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9540" tabRatio="881" activeTab="19"/>
  </bookViews>
  <sheets>
    <sheet name="0303" sheetId="1" r:id="rId1"/>
    <sheet name="晉欣18度C0303" sheetId="30" r:id="rId2"/>
    <sheet name="晉欣4度C0303" sheetId="23" r:id="rId3"/>
    <sheet name="0304" sheetId="6" r:id="rId4"/>
    <sheet name="晉欣18度C0304" sheetId="31" r:id="rId5"/>
    <sheet name="晉欣4度C0304" sheetId="24" r:id="rId6"/>
    <sheet name="0305" sheetId="7" r:id="rId7"/>
    <sheet name="晉欣18度C0305" sheetId="32" r:id="rId8"/>
    <sheet name="晉欣4度C0305" sheetId="25" r:id="rId9"/>
    <sheet name="0306" sheetId="8" r:id="rId10"/>
    <sheet name="晉欣18度C0306" sheetId="33" r:id="rId11"/>
    <sheet name="晉欣4度C0306" sheetId="26" r:id="rId12"/>
    <sheet name="0307" sheetId="4" r:id="rId13"/>
    <sheet name="晉欣18度C0307" sheetId="34" r:id="rId14"/>
    <sheet name="晉欣4度C0307" sheetId="27" r:id="rId15"/>
    <sheet name="0308" sheetId="5" r:id="rId16"/>
    <sheet name="晉欣18度C0308" sheetId="35" r:id="rId17"/>
    <sheet name="晉欣4度C0308" sheetId="28" r:id="rId18"/>
    <sheet name="0309" sheetId="3" r:id="rId19"/>
    <sheet name="晉欣18度C0309" sheetId="36" r:id="rId20"/>
    <sheet name="晉欣4度C0309" sheetId="29" r:id="rId21"/>
  </sheets>
  <externalReferences>
    <externalReference r:id="rId22"/>
  </externalReferences>
  <definedNames>
    <definedName name="_xlnm._FilterDatabase" localSheetId="0" hidden="1">'0303'!$B$10:$Q$25</definedName>
    <definedName name="_xlnm._FilterDatabase" localSheetId="3" hidden="1">'0304'!$B$10:$Q$25</definedName>
    <definedName name="_xlnm._FilterDatabase" localSheetId="6" hidden="1">'0305'!$B$10:$Q$25</definedName>
    <definedName name="_xlnm._FilterDatabase" localSheetId="9" hidden="1">'0306'!$B$10:$Q$25</definedName>
    <definedName name="_xlnm._FilterDatabase" localSheetId="12" hidden="1">'0307'!$B$10:$Q$25</definedName>
    <definedName name="_xlnm._FilterDatabase" localSheetId="15" hidden="1">'0308'!$B$10:$Q$25</definedName>
    <definedName name="_xlnm._FilterDatabase" localSheetId="18" hidden="1">'0309'!$B$10:$Q$25</definedName>
    <definedName name="_xlnm._FilterDatabase" localSheetId="1" hidden="1">晉欣18度C0303!$A$4:$R$124</definedName>
    <definedName name="_xlnm._FilterDatabase" localSheetId="4" hidden="1">晉欣18度C0304!$A$4:$R$124</definedName>
    <definedName name="_xlnm._FilterDatabase" localSheetId="7" hidden="1">晉欣18度C0305!$A$4:$R$124</definedName>
    <definedName name="_xlnm._FilterDatabase" localSheetId="10" hidden="1">晉欣18度C0306!$A$4:$R$124</definedName>
    <definedName name="_xlnm._FilterDatabase" localSheetId="13" hidden="1">晉欣18度C0307!$A$4:$R$124</definedName>
    <definedName name="_xlnm._FilterDatabase" localSheetId="16" hidden="1">晉欣18度C0308!$A$4:$R$124</definedName>
    <definedName name="_xlnm._FilterDatabase" localSheetId="19" hidden="1">晉欣18度C0309!$A$4:$R$124</definedName>
    <definedName name="_xlnm._FilterDatabase" localSheetId="2" hidden="1">晉欣4度C0303!$A$4:$AJ$173</definedName>
    <definedName name="_xlnm._FilterDatabase" localSheetId="5" hidden="1">晉欣4度C0304!$A$4:$AJ$173</definedName>
    <definedName name="_xlnm._FilterDatabase" localSheetId="8" hidden="1">晉欣4度C0305!$A$4:$AJ$173</definedName>
    <definedName name="_xlnm._FilterDatabase" localSheetId="11" hidden="1">晉欣4度C0306!$A$4:$AJ$173</definedName>
    <definedName name="_xlnm._FilterDatabase" localSheetId="14" hidden="1">晉欣4度C0307!$A$4:$AJ$173</definedName>
    <definedName name="_xlnm._FilterDatabase" localSheetId="17" hidden="1">晉欣4度C0308!$A$4:$AJ$173</definedName>
    <definedName name="_xlnm._FilterDatabase" localSheetId="20" hidden="1">晉欣4度C0309!$A$4:$AJ$173</definedName>
  </definedNames>
  <calcPr calcId="145621"/>
</workbook>
</file>

<file path=xl/calcChain.xml><?xml version="1.0" encoding="utf-8"?>
<calcChain xmlns="http://schemas.openxmlformats.org/spreadsheetml/2006/main">
  <c r="J124" i="36" l="1"/>
  <c r="H123" i="36"/>
  <c r="H119" i="36"/>
  <c r="H118" i="36"/>
  <c r="H117" i="36"/>
  <c r="H116" i="36"/>
  <c r="P115" i="36"/>
  <c r="K115" i="36"/>
  <c r="L115" i="36" s="1"/>
  <c r="H115" i="36"/>
  <c r="P114" i="36"/>
  <c r="K114" i="36" s="1"/>
  <c r="L114" i="36" s="1"/>
  <c r="H114" i="36"/>
  <c r="P113" i="36"/>
  <c r="K113" i="36"/>
  <c r="L113" i="36" s="1"/>
  <c r="H113" i="36"/>
  <c r="P112" i="36"/>
  <c r="K112" i="36" s="1"/>
  <c r="H112" i="36"/>
  <c r="J111" i="36"/>
  <c r="H110" i="36"/>
  <c r="H109" i="36"/>
  <c r="H108" i="36"/>
  <c r="H107" i="36"/>
  <c r="H106" i="36"/>
  <c r="P105" i="36"/>
  <c r="K105" i="36" s="1"/>
  <c r="L105" i="36" s="1"/>
  <c r="H105" i="36"/>
  <c r="P104" i="36"/>
  <c r="K104" i="36"/>
  <c r="L104" i="36" s="1"/>
  <c r="H104" i="36"/>
  <c r="P103" i="36"/>
  <c r="K103" i="36" s="1"/>
  <c r="L103" i="36" s="1"/>
  <c r="H103" i="36"/>
  <c r="P102" i="36"/>
  <c r="K102" i="36"/>
  <c r="L102" i="36" s="1"/>
  <c r="H102" i="36"/>
  <c r="P101" i="36"/>
  <c r="K101" i="36" s="1"/>
  <c r="H101" i="36"/>
  <c r="J100" i="36"/>
  <c r="H99" i="36"/>
  <c r="H97" i="36"/>
  <c r="H96" i="36"/>
  <c r="H95" i="36"/>
  <c r="P94" i="36"/>
  <c r="K94" i="36"/>
  <c r="L94" i="36" s="1"/>
  <c r="H94" i="36"/>
  <c r="P93" i="36"/>
  <c r="K93" i="36" s="1"/>
  <c r="L93" i="36" s="1"/>
  <c r="H93" i="36"/>
  <c r="P92" i="36"/>
  <c r="K92" i="36"/>
  <c r="L92" i="36" s="1"/>
  <c r="H92" i="36"/>
  <c r="J91" i="36"/>
  <c r="H90" i="36"/>
  <c r="H89" i="36"/>
  <c r="H88" i="36"/>
  <c r="H87" i="36"/>
  <c r="H86" i="36"/>
  <c r="H85" i="36"/>
  <c r="P84" i="36"/>
  <c r="K84" i="36"/>
  <c r="L84" i="36" s="1"/>
  <c r="H84" i="36"/>
  <c r="P83" i="36"/>
  <c r="K83" i="36" s="1"/>
  <c r="L83" i="36" s="1"/>
  <c r="H83" i="36"/>
  <c r="P82" i="36"/>
  <c r="K82" i="36"/>
  <c r="K91" i="36" s="1"/>
  <c r="H82" i="36"/>
  <c r="L81" i="36"/>
  <c r="K81" i="36"/>
  <c r="J81" i="36"/>
  <c r="H80" i="36"/>
  <c r="H79" i="36"/>
  <c r="H78" i="36"/>
  <c r="H77" i="36"/>
  <c r="H76" i="36"/>
  <c r="J75" i="36"/>
  <c r="H74" i="36"/>
  <c r="H73" i="36"/>
  <c r="H72" i="36"/>
  <c r="H71" i="36"/>
  <c r="H70" i="36"/>
  <c r="P69" i="36"/>
  <c r="L69" i="36"/>
  <c r="K69" i="36"/>
  <c r="H69" i="36"/>
  <c r="P68" i="36"/>
  <c r="K68" i="36" s="1"/>
  <c r="L68" i="36" s="1"/>
  <c r="H68" i="36"/>
  <c r="P67" i="36"/>
  <c r="L67" i="36"/>
  <c r="K67" i="36"/>
  <c r="H67" i="36"/>
  <c r="P66" i="36"/>
  <c r="K66" i="36" s="1"/>
  <c r="L66" i="36" s="1"/>
  <c r="H66" i="36"/>
  <c r="P65" i="36"/>
  <c r="L65" i="36"/>
  <c r="K65" i="36"/>
  <c r="H65" i="36"/>
  <c r="J64" i="36"/>
  <c r="H63" i="36"/>
  <c r="H62" i="36"/>
  <c r="H61" i="36"/>
  <c r="H60" i="36"/>
  <c r="H59" i="36"/>
  <c r="H58" i="36"/>
  <c r="H57" i="36"/>
  <c r="H56" i="36"/>
  <c r="P55" i="36"/>
  <c r="K55" i="36" s="1"/>
  <c r="L55" i="36" s="1"/>
  <c r="H55" i="36"/>
  <c r="P54" i="36"/>
  <c r="L54" i="36"/>
  <c r="K54" i="36"/>
  <c r="H54" i="36"/>
  <c r="P53" i="36"/>
  <c r="K53" i="36" s="1"/>
  <c r="L53" i="36" s="1"/>
  <c r="H53" i="36"/>
  <c r="P52" i="36"/>
  <c r="L52" i="36"/>
  <c r="K52" i="36"/>
  <c r="H52" i="36"/>
  <c r="J51" i="36"/>
  <c r="H50" i="36"/>
  <c r="H49" i="36"/>
  <c r="H47" i="36"/>
  <c r="H46" i="36"/>
  <c r="H45" i="36"/>
  <c r="H44" i="36"/>
  <c r="H43" i="36"/>
  <c r="H42" i="36"/>
  <c r="H41" i="36"/>
  <c r="P40" i="36"/>
  <c r="K40" i="36"/>
  <c r="L40" i="36" s="1"/>
  <c r="H40" i="36"/>
  <c r="P39" i="36"/>
  <c r="K39" i="36" s="1"/>
  <c r="H39" i="36"/>
  <c r="J38" i="36"/>
  <c r="H37" i="36"/>
  <c r="H36" i="36"/>
  <c r="H35" i="36"/>
  <c r="H34" i="36"/>
  <c r="H33" i="36"/>
  <c r="H32" i="36"/>
  <c r="H31" i="36"/>
  <c r="H30" i="36"/>
  <c r="H29" i="36"/>
  <c r="P28" i="36"/>
  <c r="K28" i="36" s="1"/>
  <c r="L28" i="36" s="1"/>
  <c r="H28" i="36"/>
  <c r="P27" i="36"/>
  <c r="L27" i="36"/>
  <c r="K27" i="36"/>
  <c r="H27" i="36"/>
  <c r="P26" i="36"/>
  <c r="K26" i="36" s="1"/>
  <c r="L26" i="36" s="1"/>
  <c r="H26" i="36"/>
  <c r="P25" i="36"/>
  <c r="L25" i="36"/>
  <c r="K25" i="36"/>
  <c r="H25" i="36"/>
  <c r="J24" i="36"/>
  <c r="H23" i="36"/>
  <c r="H22" i="36"/>
  <c r="H21" i="36"/>
  <c r="H20" i="36"/>
  <c r="H19" i="36"/>
  <c r="P18" i="36"/>
  <c r="K18" i="36" s="1"/>
  <c r="L18" i="36" s="1"/>
  <c r="H18" i="36"/>
  <c r="P17" i="36"/>
  <c r="K17" i="36"/>
  <c r="K24" i="36" s="1"/>
  <c r="H17" i="36"/>
  <c r="J16" i="36"/>
  <c r="H15" i="36"/>
  <c r="P14" i="36"/>
  <c r="L14" i="36"/>
  <c r="K14" i="36"/>
  <c r="H14" i="36"/>
  <c r="P13" i="36"/>
  <c r="K13" i="36" s="1"/>
  <c r="L13" i="36" s="1"/>
  <c r="H13" i="36"/>
  <c r="P12" i="36"/>
  <c r="L12" i="36"/>
  <c r="K12" i="36"/>
  <c r="H12" i="36"/>
  <c r="P11" i="36"/>
  <c r="K11" i="36" s="1"/>
  <c r="L11" i="36" s="1"/>
  <c r="H11" i="36"/>
  <c r="P10" i="36"/>
  <c r="L10" i="36"/>
  <c r="K10" i="36"/>
  <c r="H10" i="36"/>
  <c r="P9" i="36"/>
  <c r="K9" i="36" s="1"/>
  <c r="L9" i="36" s="1"/>
  <c r="H9" i="36"/>
  <c r="P8" i="36"/>
  <c r="L8" i="36"/>
  <c r="K8" i="36"/>
  <c r="H8" i="36"/>
  <c r="P7" i="36"/>
  <c r="K7" i="36" s="1"/>
  <c r="L7" i="36" s="1"/>
  <c r="H7" i="36"/>
  <c r="P6" i="36"/>
  <c r="L6" i="36"/>
  <c r="K6" i="36"/>
  <c r="H6" i="36"/>
  <c r="P5" i="36"/>
  <c r="K5" i="36" s="1"/>
  <c r="H5" i="36"/>
  <c r="I2" i="36"/>
  <c r="I1" i="36"/>
  <c r="E1" i="36"/>
  <c r="J124" i="35"/>
  <c r="H123" i="35"/>
  <c r="H119" i="35"/>
  <c r="H118" i="35"/>
  <c r="H117" i="35"/>
  <c r="H116" i="35"/>
  <c r="P115" i="35"/>
  <c r="K115" i="35"/>
  <c r="L115" i="35" s="1"/>
  <c r="H115" i="35"/>
  <c r="P114" i="35"/>
  <c r="K114" i="35" s="1"/>
  <c r="L114" i="35" s="1"/>
  <c r="H114" i="35"/>
  <c r="P113" i="35"/>
  <c r="K113" i="35"/>
  <c r="L113" i="35" s="1"/>
  <c r="H113" i="35"/>
  <c r="P112" i="35"/>
  <c r="K112" i="35" s="1"/>
  <c r="H112" i="35"/>
  <c r="J111" i="35"/>
  <c r="H110" i="35"/>
  <c r="H109" i="35"/>
  <c r="H108" i="35"/>
  <c r="H107" i="35"/>
  <c r="H106" i="35"/>
  <c r="P105" i="35"/>
  <c r="K105" i="35" s="1"/>
  <c r="L105" i="35" s="1"/>
  <c r="H105" i="35"/>
  <c r="P104" i="35"/>
  <c r="L104" i="35"/>
  <c r="K104" i="35"/>
  <c r="H104" i="35"/>
  <c r="P103" i="35"/>
  <c r="K103" i="35" s="1"/>
  <c r="L103" i="35" s="1"/>
  <c r="H103" i="35"/>
  <c r="P102" i="35"/>
  <c r="L102" i="35"/>
  <c r="K102" i="35"/>
  <c r="H102" i="35"/>
  <c r="P101" i="35"/>
  <c r="K101" i="35" s="1"/>
  <c r="H101" i="35"/>
  <c r="J100" i="35"/>
  <c r="H99" i="35"/>
  <c r="H97" i="35"/>
  <c r="H96" i="35"/>
  <c r="H95" i="35"/>
  <c r="P94" i="35"/>
  <c r="K94" i="35" s="1"/>
  <c r="L94" i="35" s="1"/>
  <c r="H94" i="35"/>
  <c r="P93" i="35"/>
  <c r="K93" i="35"/>
  <c r="L93" i="35" s="1"/>
  <c r="H93" i="35"/>
  <c r="P92" i="35"/>
  <c r="K92" i="35" s="1"/>
  <c r="H92" i="35"/>
  <c r="J91" i="35"/>
  <c r="H90" i="35"/>
  <c r="H89" i="35"/>
  <c r="H88" i="35"/>
  <c r="H87" i="35"/>
  <c r="H86" i="35"/>
  <c r="H85" i="35"/>
  <c r="P84" i="35"/>
  <c r="L84" i="35"/>
  <c r="K84" i="35"/>
  <c r="H84" i="35"/>
  <c r="P83" i="35"/>
  <c r="K83" i="35" s="1"/>
  <c r="L83" i="35" s="1"/>
  <c r="H83" i="35"/>
  <c r="P82" i="35"/>
  <c r="L82" i="35"/>
  <c r="K82" i="35"/>
  <c r="H82" i="35"/>
  <c r="L81" i="35"/>
  <c r="K81" i="35"/>
  <c r="J81" i="35"/>
  <c r="H80" i="35"/>
  <c r="H79" i="35"/>
  <c r="H78" i="35"/>
  <c r="H77" i="35"/>
  <c r="H76" i="35"/>
  <c r="J75" i="35"/>
  <c r="H74" i="35"/>
  <c r="H73" i="35"/>
  <c r="H72" i="35"/>
  <c r="H71" i="35"/>
  <c r="H70" i="35"/>
  <c r="P69" i="35"/>
  <c r="L69" i="35"/>
  <c r="K69" i="35"/>
  <c r="H69" i="35"/>
  <c r="P68" i="35"/>
  <c r="K68" i="35" s="1"/>
  <c r="L68" i="35" s="1"/>
  <c r="H68" i="35"/>
  <c r="P67" i="35"/>
  <c r="L67" i="35"/>
  <c r="K67" i="35"/>
  <c r="H67" i="35"/>
  <c r="P66" i="35"/>
  <c r="K66" i="35" s="1"/>
  <c r="L66" i="35" s="1"/>
  <c r="H66" i="35"/>
  <c r="P65" i="35"/>
  <c r="L65" i="35"/>
  <c r="K65" i="35"/>
  <c r="H65" i="35"/>
  <c r="J64" i="35"/>
  <c r="H63" i="35"/>
  <c r="H62" i="35"/>
  <c r="H61" i="35"/>
  <c r="H60" i="35"/>
  <c r="H59" i="35"/>
  <c r="H58" i="35"/>
  <c r="H57" i="35"/>
  <c r="H56" i="35"/>
  <c r="P55" i="35"/>
  <c r="K55" i="35" s="1"/>
  <c r="L55" i="35" s="1"/>
  <c r="H55" i="35"/>
  <c r="P54" i="35"/>
  <c r="L54" i="35"/>
  <c r="K54" i="35"/>
  <c r="H54" i="35"/>
  <c r="P53" i="35"/>
  <c r="K53" i="35" s="1"/>
  <c r="L53" i="35" s="1"/>
  <c r="H53" i="35"/>
  <c r="P52" i="35"/>
  <c r="L52" i="35"/>
  <c r="K52" i="35"/>
  <c r="K64" i="35" s="1"/>
  <c r="H52" i="35"/>
  <c r="J51" i="35"/>
  <c r="H50" i="35"/>
  <c r="H49" i="35"/>
  <c r="H47" i="35"/>
  <c r="H46" i="35"/>
  <c r="H45" i="35"/>
  <c r="H44" i="35"/>
  <c r="H43" i="35"/>
  <c r="H42" i="35"/>
  <c r="H41" i="35"/>
  <c r="P40" i="35"/>
  <c r="K40" i="35"/>
  <c r="L40" i="35" s="1"/>
  <c r="H40" i="35"/>
  <c r="P39" i="35"/>
  <c r="K39" i="35" s="1"/>
  <c r="H39" i="35"/>
  <c r="J38" i="35"/>
  <c r="H37" i="35"/>
  <c r="H36" i="35"/>
  <c r="H35" i="35"/>
  <c r="H34" i="35"/>
  <c r="H33" i="35"/>
  <c r="H32" i="35"/>
  <c r="H31" i="35"/>
  <c r="H30" i="35"/>
  <c r="H29" i="35"/>
  <c r="P28" i="35"/>
  <c r="K28" i="35" s="1"/>
  <c r="L28" i="35" s="1"/>
  <c r="H28" i="35"/>
  <c r="P27" i="35"/>
  <c r="L27" i="35"/>
  <c r="K27" i="35"/>
  <c r="H27" i="35"/>
  <c r="P26" i="35"/>
  <c r="K26" i="35" s="1"/>
  <c r="L26" i="35" s="1"/>
  <c r="H26" i="35"/>
  <c r="P25" i="35"/>
  <c r="L25" i="35"/>
  <c r="K25" i="35"/>
  <c r="H25" i="35"/>
  <c r="J24" i="35"/>
  <c r="H23" i="35"/>
  <c r="H22" i="35"/>
  <c r="H21" i="35"/>
  <c r="H20" i="35"/>
  <c r="H19" i="35"/>
  <c r="P18" i="35"/>
  <c r="K18" i="35" s="1"/>
  <c r="L18" i="35" s="1"/>
  <c r="H18" i="35"/>
  <c r="P17" i="35"/>
  <c r="K17" i="35"/>
  <c r="H17" i="35"/>
  <c r="J16" i="35"/>
  <c r="H15" i="35"/>
  <c r="P14" i="35"/>
  <c r="K14" i="35"/>
  <c r="L14" i="35" s="1"/>
  <c r="H14" i="35"/>
  <c r="P13" i="35"/>
  <c r="K13" i="35" s="1"/>
  <c r="L13" i="35" s="1"/>
  <c r="H13" i="35"/>
  <c r="P12" i="35"/>
  <c r="K12" i="35"/>
  <c r="L12" i="35" s="1"/>
  <c r="H12" i="35"/>
  <c r="P11" i="35"/>
  <c r="K11" i="35"/>
  <c r="L11" i="35" s="1"/>
  <c r="H11" i="35"/>
  <c r="P10" i="35"/>
  <c r="K10" i="35" s="1"/>
  <c r="L10" i="35" s="1"/>
  <c r="H10" i="35"/>
  <c r="P9" i="35"/>
  <c r="K9" i="35" s="1"/>
  <c r="L9" i="35" s="1"/>
  <c r="H9" i="35"/>
  <c r="P8" i="35"/>
  <c r="K8" i="35"/>
  <c r="L8" i="35" s="1"/>
  <c r="H8" i="35"/>
  <c r="P7" i="35"/>
  <c r="K7" i="35"/>
  <c r="L7" i="35" s="1"/>
  <c r="H7" i="35"/>
  <c r="P6" i="35"/>
  <c r="K6" i="35" s="1"/>
  <c r="L6" i="35" s="1"/>
  <c r="H6" i="35"/>
  <c r="P5" i="35"/>
  <c r="K5" i="35"/>
  <c r="K16" i="35" s="1"/>
  <c r="H5" i="35"/>
  <c r="I2" i="35"/>
  <c r="I1" i="35"/>
  <c r="E1" i="35"/>
  <c r="J124" i="34"/>
  <c r="H123" i="34"/>
  <c r="H119" i="34"/>
  <c r="H118" i="34"/>
  <c r="H117" i="34"/>
  <c r="H116" i="34"/>
  <c r="P115" i="34"/>
  <c r="L115" i="34"/>
  <c r="K115" i="34"/>
  <c r="H115" i="34"/>
  <c r="P114" i="34"/>
  <c r="K114" i="34" s="1"/>
  <c r="L114" i="34" s="1"/>
  <c r="H114" i="34"/>
  <c r="P113" i="34"/>
  <c r="L113" i="34"/>
  <c r="K113" i="34"/>
  <c r="H113" i="34"/>
  <c r="P112" i="34"/>
  <c r="K112" i="34" s="1"/>
  <c r="H112" i="34"/>
  <c r="J111" i="34"/>
  <c r="H110" i="34"/>
  <c r="H109" i="34"/>
  <c r="H108" i="34"/>
  <c r="H107" i="34"/>
  <c r="H106" i="34"/>
  <c r="P105" i="34"/>
  <c r="K105" i="34"/>
  <c r="L105" i="34" s="1"/>
  <c r="H105" i="34"/>
  <c r="P104" i="34"/>
  <c r="K104" i="34" s="1"/>
  <c r="L104" i="34" s="1"/>
  <c r="H104" i="34"/>
  <c r="P103" i="34"/>
  <c r="K103" i="34"/>
  <c r="L103" i="34" s="1"/>
  <c r="H103" i="34"/>
  <c r="P102" i="34"/>
  <c r="K102" i="34" s="1"/>
  <c r="L102" i="34" s="1"/>
  <c r="H102" i="34"/>
  <c r="P101" i="34"/>
  <c r="K101" i="34"/>
  <c r="L101" i="34" s="1"/>
  <c r="L111" i="34" s="1"/>
  <c r="H101" i="34"/>
  <c r="J100" i="34"/>
  <c r="H99" i="34"/>
  <c r="H97" i="34"/>
  <c r="H96" i="34"/>
  <c r="H95" i="34"/>
  <c r="P94" i="34"/>
  <c r="K94" i="34"/>
  <c r="L94" i="34" s="1"/>
  <c r="H94" i="34"/>
  <c r="P93" i="34"/>
  <c r="L93" i="34"/>
  <c r="K93" i="34"/>
  <c r="H93" i="34"/>
  <c r="P92" i="34"/>
  <c r="K92" i="34"/>
  <c r="K100" i="34" s="1"/>
  <c r="H92" i="34"/>
  <c r="J91" i="34"/>
  <c r="H90" i="34"/>
  <c r="H89" i="34"/>
  <c r="H88" i="34"/>
  <c r="H87" i="34"/>
  <c r="H86" i="34"/>
  <c r="H85" i="34"/>
  <c r="P84" i="34"/>
  <c r="K84" i="34" s="1"/>
  <c r="L84" i="34" s="1"/>
  <c r="H84" i="34"/>
  <c r="P83" i="34"/>
  <c r="K83" i="34"/>
  <c r="L83" i="34" s="1"/>
  <c r="H83" i="34"/>
  <c r="P82" i="34"/>
  <c r="K82" i="34" s="1"/>
  <c r="H82" i="34"/>
  <c r="L81" i="34"/>
  <c r="K81" i="34"/>
  <c r="J81" i="34"/>
  <c r="H80" i="34"/>
  <c r="H79" i="34"/>
  <c r="H78" i="34"/>
  <c r="H77" i="34"/>
  <c r="H76" i="34"/>
  <c r="J75" i="34"/>
  <c r="H74" i="34"/>
  <c r="H73" i="34"/>
  <c r="H72" i="34"/>
  <c r="H71" i="34"/>
  <c r="H70" i="34"/>
  <c r="P69" i="34"/>
  <c r="K69" i="34" s="1"/>
  <c r="L69" i="34" s="1"/>
  <c r="H69" i="34"/>
  <c r="P68" i="34"/>
  <c r="K68" i="34"/>
  <c r="L68" i="34" s="1"/>
  <c r="H68" i="34"/>
  <c r="P67" i="34"/>
  <c r="K67" i="34" s="1"/>
  <c r="L67" i="34" s="1"/>
  <c r="H67" i="34"/>
  <c r="P66" i="34"/>
  <c r="K66" i="34"/>
  <c r="L66" i="34" s="1"/>
  <c r="H66" i="34"/>
  <c r="P65" i="34"/>
  <c r="K65" i="34" s="1"/>
  <c r="H65" i="34"/>
  <c r="J64" i="34"/>
  <c r="H63" i="34"/>
  <c r="H62" i="34"/>
  <c r="H61" i="34"/>
  <c r="H60" i="34"/>
  <c r="H59" i="34"/>
  <c r="H58" i="34"/>
  <c r="H57" i="34"/>
  <c r="H56" i="34"/>
  <c r="P55" i="34"/>
  <c r="K55" i="34"/>
  <c r="L55" i="34" s="1"/>
  <c r="H55" i="34"/>
  <c r="P54" i="34"/>
  <c r="K54" i="34" s="1"/>
  <c r="L54" i="34" s="1"/>
  <c r="H54" i="34"/>
  <c r="P53" i="34"/>
  <c r="K53" i="34"/>
  <c r="L53" i="34" s="1"/>
  <c r="H53" i="34"/>
  <c r="P52" i="34"/>
  <c r="K52" i="34" s="1"/>
  <c r="H52" i="34"/>
  <c r="J51" i="34"/>
  <c r="H50" i="34"/>
  <c r="H49" i="34"/>
  <c r="H47" i="34"/>
  <c r="H46" i="34"/>
  <c r="H45" i="34"/>
  <c r="H44" i="34"/>
  <c r="H43" i="34"/>
  <c r="H42" i="34"/>
  <c r="H41" i="34"/>
  <c r="P40" i="34"/>
  <c r="K40" i="34"/>
  <c r="L40" i="34" s="1"/>
  <c r="H40" i="34"/>
  <c r="P39" i="34"/>
  <c r="K39" i="34" s="1"/>
  <c r="H39" i="34"/>
  <c r="J38" i="34"/>
  <c r="H37" i="34"/>
  <c r="H36" i="34"/>
  <c r="H35" i="34"/>
  <c r="H34" i="34"/>
  <c r="H33" i="34"/>
  <c r="H32" i="34"/>
  <c r="H31" i="34"/>
  <c r="H30" i="34"/>
  <c r="H29" i="34"/>
  <c r="P28" i="34"/>
  <c r="K28" i="34"/>
  <c r="L28" i="34" s="1"/>
  <c r="H28" i="34"/>
  <c r="P27" i="34"/>
  <c r="K27" i="34" s="1"/>
  <c r="L27" i="34" s="1"/>
  <c r="H27" i="34"/>
  <c r="P26" i="34"/>
  <c r="K26" i="34"/>
  <c r="L26" i="34" s="1"/>
  <c r="H26" i="34"/>
  <c r="P25" i="34"/>
  <c r="K25" i="34" s="1"/>
  <c r="H25" i="34"/>
  <c r="J24" i="34"/>
  <c r="H23" i="34"/>
  <c r="H22" i="34"/>
  <c r="H21" i="34"/>
  <c r="H20" i="34"/>
  <c r="H19" i="34"/>
  <c r="P18" i="34"/>
  <c r="K18" i="34" s="1"/>
  <c r="L18" i="34" s="1"/>
  <c r="H18" i="34"/>
  <c r="P17" i="34"/>
  <c r="K17" i="34"/>
  <c r="K24" i="34" s="1"/>
  <c r="H17" i="34"/>
  <c r="J16" i="34"/>
  <c r="H15" i="34"/>
  <c r="P14" i="34"/>
  <c r="K14" i="34" s="1"/>
  <c r="L14" i="34" s="1"/>
  <c r="H14" i="34"/>
  <c r="P13" i="34"/>
  <c r="K13" i="34"/>
  <c r="L13" i="34" s="1"/>
  <c r="H13" i="34"/>
  <c r="P12" i="34"/>
  <c r="K12" i="34" s="1"/>
  <c r="L12" i="34" s="1"/>
  <c r="H12" i="34"/>
  <c r="P11" i="34"/>
  <c r="K11" i="34"/>
  <c r="L11" i="34" s="1"/>
  <c r="H11" i="34"/>
  <c r="P10" i="34"/>
  <c r="K10" i="34" s="1"/>
  <c r="L10" i="34" s="1"/>
  <c r="H10" i="34"/>
  <c r="P9" i="34"/>
  <c r="K9" i="34"/>
  <c r="L9" i="34" s="1"/>
  <c r="H9" i="34"/>
  <c r="P8" i="34"/>
  <c r="K8" i="34" s="1"/>
  <c r="L8" i="34" s="1"/>
  <c r="H8" i="34"/>
  <c r="P7" i="34"/>
  <c r="K7" i="34"/>
  <c r="L7" i="34" s="1"/>
  <c r="H7" i="34"/>
  <c r="P6" i="34"/>
  <c r="K6" i="34" s="1"/>
  <c r="L6" i="34" s="1"/>
  <c r="H6" i="34"/>
  <c r="P5" i="34"/>
  <c r="K5" i="34"/>
  <c r="L5" i="34" s="1"/>
  <c r="L16" i="34" s="1"/>
  <c r="H5" i="34"/>
  <c r="I2" i="34"/>
  <c r="I1" i="34"/>
  <c r="E1" i="34"/>
  <c r="J124" i="33"/>
  <c r="H123" i="33"/>
  <c r="H119" i="33"/>
  <c r="H118" i="33"/>
  <c r="H117" i="33"/>
  <c r="H116" i="33"/>
  <c r="P115" i="33"/>
  <c r="K115" i="33"/>
  <c r="L115" i="33" s="1"/>
  <c r="H115" i="33"/>
  <c r="P114" i="33"/>
  <c r="K114" i="33" s="1"/>
  <c r="L114" i="33" s="1"/>
  <c r="H114" i="33"/>
  <c r="P113" i="33"/>
  <c r="K113" i="33"/>
  <c r="L113" i="33" s="1"/>
  <c r="H113" i="33"/>
  <c r="P112" i="33"/>
  <c r="K112" i="33" s="1"/>
  <c r="H112" i="33"/>
  <c r="J111" i="33"/>
  <c r="H110" i="33"/>
  <c r="H109" i="33"/>
  <c r="H108" i="33"/>
  <c r="H107" i="33"/>
  <c r="H106" i="33"/>
  <c r="P105" i="33"/>
  <c r="K105" i="33"/>
  <c r="L105" i="33" s="1"/>
  <c r="H105" i="33"/>
  <c r="P104" i="33"/>
  <c r="K104" i="33" s="1"/>
  <c r="L104" i="33" s="1"/>
  <c r="H104" i="33"/>
  <c r="P103" i="33"/>
  <c r="K103" i="33"/>
  <c r="L103" i="33" s="1"/>
  <c r="H103" i="33"/>
  <c r="P102" i="33"/>
  <c r="K102" i="33"/>
  <c r="L102" i="33" s="1"/>
  <c r="H102" i="33"/>
  <c r="P101" i="33"/>
  <c r="K101" i="33"/>
  <c r="H101" i="33"/>
  <c r="J100" i="33"/>
  <c r="H99" i="33"/>
  <c r="H97" i="33"/>
  <c r="H96" i="33"/>
  <c r="H95" i="33"/>
  <c r="P94" i="33"/>
  <c r="K94" i="33" s="1"/>
  <c r="L94" i="33" s="1"/>
  <c r="H94" i="33"/>
  <c r="P93" i="33"/>
  <c r="K93" i="33" s="1"/>
  <c r="L93" i="33" s="1"/>
  <c r="H93" i="33"/>
  <c r="P92" i="33"/>
  <c r="L92" i="33"/>
  <c r="K92" i="33"/>
  <c r="H92" i="33"/>
  <c r="J91" i="33"/>
  <c r="H90" i="33"/>
  <c r="H89" i="33"/>
  <c r="H88" i="33"/>
  <c r="H87" i="33"/>
  <c r="H86" i="33"/>
  <c r="H85" i="33"/>
  <c r="P84" i="33"/>
  <c r="K84" i="33"/>
  <c r="L84" i="33" s="1"/>
  <c r="H84" i="33"/>
  <c r="P83" i="33"/>
  <c r="K83" i="33" s="1"/>
  <c r="L83" i="33" s="1"/>
  <c r="H83" i="33"/>
  <c r="P82" i="33"/>
  <c r="K82" i="33"/>
  <c r="K91" i="33" s="1"/>
  <c r="H82" i="33"/>
  <c r="L81" i="33"/>
  <c r="K81" i="33"/>
  <c r="J81" i="33"/>
  <c r="H80" i="33"/>
  <c r="H79" i="33"/>
  <c r="H78" i="33"/>
  <c r="H77" i="33"/>
  <c r="H76" i="33"/>
  <c r="J75" i="33"/>
  <c r="H74" i="33"/>
  <c r="H73" i="33"/>
  <c r="H72" i="33"/>
  <c r="H71" i="33"/>
  <c r="H70" i="33"/>
  <c r="P69" i="33"/>
  <c r="K69" i="33"/>
  <c r="L69" i="33" s="1"/>
  <c r="H69" i="33"/>
  <c r="P68" i="33"/>
  <c r="K68" i="33" s="1"/>
  <c r="L68" i="33" s="1"/>
  <c r="H68" i="33"/>
  <c r="P67" i="33"/>
  <c r="K67" i="33"/>
  <c r="L67" i="33" s="1"/>
  <c r="H67" i="33"/>
  <c r="P66" i="33"/>
  <c r="K66" i="33" s="1"/>
  <c r="L66" i="33" s="1"/>
  <c r="H66" i="33"/>
  <c r="P65" i="33"/>
  <c r="K65" i="33"/>
  <c r="H65" i="33"/>
  <c r="J64" i="33"/>
  <c r="H63" i="33"/>
  <c r="H62" i="33"/>
  <c r="H61" i="33"/>
  <c r="H60" i="33"/>
  <c r="H59" i="33"/>
  <c r="H58" i="33"/>
  <c r="H57" i="33"/>
  <c r="H56" i="33"/>
  <c r="P55" i="33"/>
  <c r="K55" i="33" s="1"/>
  <c r="L55" i="33" s="1"/>
  <c r="H55" i="33"/>
  <c r="P54" i="33"/>
  <c r="K54" i="33"/>
  <c r="L54" i="33" s="1"/>
  <c r="H54" i="33"/>
  <c r="P53" i="33"/>
  <c r="K53" i="33" s="1"/>
  <c r="L53" i="33" s="1"/>
  <c r="H53" i="33"/>
  <c r="P52" i="33"/>
  <c r="K52" i="33"/>
  <c r="H52" i="33"/>
  <c r="J51" i="33"/>
  <c r="H50" i="33"/>
  <c r="H49" i="33"/>
  <c r="H47" i="33"/>
  <c r="H46" i="33"/>
  <c r="H45" i="33"/>
  <c r="H44" i="33"/>
  <c r="H43" i="33"/>
  <c r="H42" i="33"/>
  <c r="H41" i="33"/>
  <c r="P40" i="33"/>
  <c r="K40" i="33"/>
  <c r="L40" i="33" s="1"/>
  <c r="H40" i="33"/>
  <c r="P39" i="33"/>
  <c r="K39" i="33" s="1"/>
  <c r="H39" i="33"/>
  <c r="J38" i="33"/>
  <c r="H37" i="33"/>
  <c r="H36" i="33"/>
  <c r="H35" i="33"/>
  <c r="H34" i="33"/>
  <c r="H33" i="33"/>
  <c r="H32" i="33"/>
  <c r="H31" i="33"/>
  <c r="H30" i="33"/>
  <c r="H29" i="33"/>
  <c r="P28" i="33"/>
  <c r="K28" i="33" s="1"/>
  <c r="L28" i="33" s="1"/>
  <c r="H28" i="33"/>
  <c r="P27" i="33"/>
  <c r="K27" i="33"/>
  <c r="L27" i="33" s="1"/>
  <c r="H27" i="33"/>
  <c r="P26" i="33"/>
  <c r="K26" i="33" s="1"/>
  <c r="L26" i="33" s="1"/>
  <c r="H26" i="33"/>
  <c r="P25" i="33"/>
  <c r="K25" i="33"/>
  <c r="H25" i="33"/>
  <c r="J24" i="33"/>
  <c r="H23" i="33"/>
  <c r="H22" i="33"/>
  <c r="H21" i="33"/>
  <c r="H20" i="33"/>
  <c r="H19" i="33"/>
  <c r="P18" i="33"/>
  <c r="K18" i="33" s="1"/>
  <c r="L18" i="33" s="1"/>
  <c r="H18" i="33"/>
  <c r="P17" i="33"/>
  <c r="K17" i="33"/>
  <c r="K24" i="33" s="1"/>
  <c r="H17" i="33"/>
  <c r="J16" i="33"/>
  <c r="H15" i="33"/>
  <c r="P14" i="33"/>
  <c r="K14" i="33" s="1"/>
  <c r="L14" i="33" s="1"/>
  <c r="H14" i="33"/>
  <c r="P13" i="33"/>
  <c r="K13" i="33"/>
  <c r="L13" i="33" s="1"/>
  <c r="H13" i="33"/>
  <c r="P12" i="33"/>
  <c r="K12" i="33" s="1"/>
  <c r="L12" i="33" s="1"/>
  <c r="H12" i="33"/>
  <c r="P11" i="33"/>
  <c r="K11" i="33"/>
  <c r="L11" i="33" s="1"/>
  <c r="H11" i="33"/>
  <c r="P10" i="33"/>
  <c r="K10" i="33" s="1"/>
  <c r="L10" i="33" s="1"/>
  <c r="H10" i="33"/>
  <c r="P9" i="33"/>
  <c r="K9" i="33"/>
  <c r="L9" i="33" s="1"/>
  <c r="H9" i="33"/>
  <c r="P8" i="33"/>
  <c r="L8" i="33"/>
  <c r="K8" i="33"/>
  <c r="H8" i="33"/>
  <c r="P7" i="33"/>
  <c r="K7" i="33"/>
  <c r="L7" i="33" s="1"/>
  <c r="H7" i="33"/>
  <c r="P6" i="33"/>
  <c r="K6" i="33"/>
  <c r="L6" i="33" s="1"/>
  <c r="H6" i="33"/>
  <c r="P5" i="33"/>
  <c r="K5" i="33"/>
  <c r="K16" i="33" s="1"/>
  <c r="H5" i="33"/>
  <c r="I2" i="33"/>
  <c r="I1" i="33"/>
  <c r="E1" i="33"/>
  <c r="J124" i="32"/>
  <c r="H123" i="32"/>
  <c r="H119" i="32"/>
  <c r="H118" i="32"/>
  <c r="H117" i="32"/>
  <c r="H116" i="32"/>
  <c r="P115" i="32"/>
  <c r="K115" i="32"/>
  <c r="L115" i="32" s="1"/>
  <c r="H115" i="32"/>
  <c r="P114" i="32"/>
  <c r="K114" i="32" s="1"/>
  <c r="L114" i="32" s="1"/>
  <c r="H114" i="32"/>
  <c r="P113" i="32"/>
  <c r="K113" i="32"/>
  <c r="L113" i="32" s="1"/>
  <c r="H113" i="32"/>
  <c r="P112" i="32"/>
  <c r="K112" i="32" s="1"/>
  <c r="H112" i="32"/>
  <c r="J111" i="32"/>
  <c r="H110" i="32"/>
  <c r="H109" i="32"/>
  <c r="H108" i="32"/>
  <c r="H107" i="32"/>
  <c r="H106" i="32"/>
  <c r="P105" i="32"/>
  <c r="K105" i="32" s="1"/>
  <c r="L105" i="32" s="1"/>
  <c r="H105" i="32"/>
  <c r="P104" i="32"/>
  <c r="K104" i="32"/>
  <c r="L104" i="32" s="1"/>
  <c r="H104" i="32"/>
  <c r="P103" i="32"/>
  <c r="K103" i="32" s="1"/>
  <c r="L103" i="32" s="1"/>
  <c r="H103" i="32"/>
  <c r="P102" i="32"/>
  <c r="K102" i="32"/>
  <c r="L102" i="32" s="1"/>
  <c r="H102" i="32"/>
  <c r="P101" i="32"/>
  <c r="K101" i="32" s="1"/>
  <c r="H101" i="32"/>
  <c r="J100" i="32"/>
  <c r="H99" i="32"/>
  <c r="H97" i="32"/>
  <c r="H96" i="32"/>
  <c r="H95" i="32"/>
  <c r="P94" i="32"/>
  <c r="K94" i="32" s="1"/>
  <c r="L94" i="32"/>
  <c r="H94" i="32"/>
  <c r="P93" i="32"/>
  <c r="K93" i="32"/>
  <c r="L93" i="32" s="1"/>
  <c r="H93" i="32"/>
  <c r="P92" i="32"/>
  <c r="K92" i="32" s="1"/>
  <c r="K100" i="32" s="1"/>
  <c r="H92" i="32"/>
  <c r="J91" i="32"/>
  <c r="H90" i="32"/>
  <c r="H89" i="32"/>
  <c r="H88" i="32"/>
  <c r="H87" i="32"/>
  <c r="H86" i="32"/>
  <c r="H85" i="32"/>
  <c r="P84" i="32"/>
  <c r="L84" i="32"/>
  <c r="K84" i="32"/>
  <c r="H84" i="32"/>
  <c r="P83" i="32"/>
  <c r="K83" i="32" s="1"/>
  <c r="L83" i="32" s="1"/>
  <c r="H83" i="32"/>
  <c r="P82" i="32"/>
  <c r="K82" i="32"/>
  <c r="K91" i="32" s="1"/>
  <c r="H82" i="32"/>
  <c r="L81" i="32"/>
  <c r="K81" i="32"/>
  <c r="J81" i="32"/>
  <c r="H80" i="32"/>
  <c r="H79" i="32"/>
  <c r="H78" i="32"/>
  <c r="H77" i="32"/>
  <c r="H76" i="32"/>
  <c r="J75" i="32"/>
  <c r="H74" i="32"/>
  <c r="H73" i="32"/>
  <c r="H72" i="32"/>
  <c r="H71" i="32"/>
  <c r="H70" i="32"/>
  <c r="P69" i="32"/>
  <c r="K69" i="32" s="1"/>
  <c r="L69" i="32" s="1"/>
  <c r="H69" i="32"/>
  <c r="P68" i="32"/>
  <c r="K68" i="32" s="1"/>
  <c r="L68" i="32" s="1"/>
  <c r="H68" i="32"/>
  <c r="P67" i="32"/>
  <c r="L67" i="32"/>
  <c r="K67" i="32"/>
  <c r="H67" i="32"/>
  <c r="P66" i="32"/>
  <c r="K66" i="32" s="1"/>
  <c r="L66" i="32" s="1"/>
  <c r="H66" i="32"/>
  <c r="P65" i="32"/>
  <c r="K65" i="32" s="1"/>
  <c r="H65" i="32"/>
  <c r="J64" i="32"/>
  <c r="P63" i="32"/>
  <c r="H63" i="32"/>
  <c r="P62" i="32"/>
  <c r="H62" i="32"/>
  <c r="P61" i="32"/>
  <c r="H61" i="32"/>
  <c r="P60" i="32"/>
  <c r="H60" i="32"/>
  <c r="P59" i="32"/>
  <c r="H59" i="32"/>
  <c r="P58" i="32"/>
  <c r="H58" i="32"/>
  <c r="P57" i="32"/>
  <c r="H57" i="32"/>
  <c r="P56" i="32"/>
  <c r="H56" i="32"/>
  <c r="P55" i="32"/>
  <c r="K55" i="32"/>
  <c r="L55" i="32" s="1"/>
  <c r="H55" i="32"/>
  <c r="P54" i="32"/>
  <c r="K54" i="32"/>
  <c r="L54" i="32" s="1"/>
  <c r="H54" i="32"/>
  <c r="P53" i="32"/>
  <c r="L53" i="32"/>
  <c r="K53" i="32"/>
  <c r="H53" i="32"/>
  <c r="P52" i="32"/>
  <c r="K52" i="32" s="1"/>
  <c r="H52" i="32"/>
  <c r="J51" i="32"/>
  <c r="H50" i="32"/>
  <c r="H49" i="32"/>
  <c r="H47" i="32"/>
  <c r="H46" i="32"/>
  <c r="H45" i="32"/>
  <c r="H44" i="32"/>
  <c r="H43" i="32"/>
  <c r="H42" i="32"/>
  <c r="H41" i="32"/>
  <c r="P40" i="32"/>
  <c r="K40" i="32" s="1"/>
  <c r="L40" i="32" s="1"/>
  <c r="H40" i="32"/>
  <c r="P39" i="32"/>
  <c r="K39" i="32"/>
  <c r="K51" i="32" s="1"/>
  <c r="H39" i="32"/>
  <c r="J38" i="32"/>
  <c r="H37" i="32"/>
  <c r="H36" i="32"/>
  <c r="H35" i="32"/>
  <c r="H34" i="32"/>
  <c r="H33" i="32"/>
  <c r="H32" i="32"/>
  <c r="H31" i="32"/>
  <c r="H30" i="32"/>
  <c r="H29" i="32"/>
  <c r="P28" i="32"/>
  <c r="K28" i="32" s="1"/>
  <c r="L28" i="32" s="1"/>
  <c r="H28" i="32"/>
  <c r="P27" i="32"/>
  <c r="L27" i="32"/>
  <c r="K27" i="32"/>
  <c r="H27" i="32"/>
  <c r="P26" i="32"/>
  <c r="K26" i="32" s="1"/>
  <c r="L26" i="32" s="1"/>
  <c r="H26" i="32"/>
  <c r="P25" i="32"/>
  <c r="L25" i="32"/>
  <c r="K25" i="32"/>
  <c r="K38" i="32" s="1"/>
  <c r="H25" i="32"/>
  <c r="J24" i="32"/>
  <c r="H23" i="32"/>
  <c r="H22" i="32"/>
  <c r="H21" i="32"/>
  <c r="H20" i="32"/>
  <c r="H19" i="32"/>
  <c r="P18" i="32"/>
  <c r="K18" i="32" s="1"/>
  <c r="L18" i="32" s="1"/>
  <c r="H18" i="32"/>
  <c r="P17" i="32"/>
  <c r="K17" i="32"/>
  <c r="K24" i="32" s="1"/>
  <c r="H17" i="32"/>
  <c r="J16" i="32"/>
  <c r="H15" i="32"/>
  <c r="P14" i="32"/>
  <c r="K14" i="32" s="1"/>
  <c r="L14" i="32" s="1"/>
  <c r="H14" i="32"/>
  <c r="P13" i="32"/>
  <c r="L13" i="32"/>
  <c r="K13" i="32"/>
  <c r="H13" i="32"/>
  <c r="P12" i="32"/>
  <c r="K12" i="32" s="1"/>
  <c r="L12" i="32" s="1"/>
  <c r="H12" i="32"/>
  <c r="P11" i="32"/>
  <c r="L11" i="32"/>
  <c r="K11" i="32"/>
  <c r="H11" i="32"/>
  <c r="P10" i="32"/>
  <c r="K10" i="32" s="1"/>
  <c r="L10" i="32" s="1"/>
  <c r="H10" i="32"/>
  <c r="P9" i="32"/>
  <c r="L9" i="32"/>
  <c r="K9" i="32"/>
  <c r="H9" i="32"/>
  <c r="P8" i="32"/>
  <c r="K8" i="32" s="1"/>
  <c r="L8" i="32" s="1"/>
  <c r="H8" i="32"/>
  <c r="P7" i="32"/>
  <c r="L7" i="32"/>
  <c r="K7" i="32"/>
  <c r="H7" i="32"/>
  <c r="P6" i="32"/>
  <c r="L6" i="32"/>
  <c r="K6" i="32"/>
  <c r="H6" i="32"/>
  <c r="P5" i="32"/>
  <c r="L5" i="32"/>
  <c r="L16" i="32" s="1"/>
  <c r="K5" i="32"/>
  <c r="H5" i="32"/>
  <c r="I2" i="32"/>
  <c r="I1" i="32"/>
  <c r="E1" i="32"/>
  <c r="J124" i="31"/>
  <c r="H123" i="31"/>
  <c r="H119" i="31"/>
  <c r="H118" i="31"/>
  <c r="H117" i="31"/>
  <c r="H116" i="31"/>
  <c r="P115" i="31"/>
  <c r="K115" i="31"/>
  <c r="L115" i="31" s="1"/>
  <c r="H115" i="31"/>
  <c r="P114" i="31"/>
  <c r="K114" i="31" s="1"/>
  <c r="L114" i="31" s="1"/>
  <c r="H114" i="31"/>
  <c r="P113" i="31"/>
  <c r="K113" i="31"/>
  <c r="L113" i="31" s="1"/>
  <c r="H113" i="31"/>
  <c r="P112" i="31"/>
  <c r="K112" i="31" s="1"/>
  <c r="H112" i="31"/>
  <c r="J111" i="31"/>
  <c r="H110" i="31"/>
  <c r="H109" i="31"/>
  <c r="H108" i="31"/>
  <c r="H107" i="31"/>
  <c r="H106" i="31"/>
  <c r="P105" i="31"/>
  <c r="K105" i="31" s="1"/>
  <c r="L105" i="31" s="1"/>
  <c r="H105" i="31"/>
  <c r="P104" i="31"/>
  <c r="L104" i="31"/>
  <c r="K104" i="31"/>
  <c r="H104" i="31"/>
  <c r="P103" i="31"/>
  <c r="K103" i="31" s="1"/>
  <c r="L103" i="31" s="1"/>
  <c r="H103" i="31"/>
  <c r="P102" i="31"/>
  <c r="L102" i="31"/>
  <c r="K102" i="31"/>
  <c r="H102" i="31"/>
  <c r="P101" i="31"/>
  <c r="K101" i="31" s="1"/>
  <c r="H101" i="31"/>
  <c r="J100" i="31"/>
  <c r="H99" i="31"/>
  <c r="H97" i="31"/>
  <c r="H96" i="31"/>
  <c r="H95" i="31"/>
  <c r="P94" i="31"/>
  <c r="K94" i="31" s="1"/>
  <c r="L94" i="31" s="1"/>
  <c r="H94" i="31"/>
  <c r="P93" i="31"/>
  <c r="K93" i="31"/>
  <c r="L93" i="31" s="1"/>
  <c r="H93" i="31"/>
  <c r="P92" i="31"/>
  <c r="K92" i="31" s="1"/>
  <c r="H92" i="31"/>
  <c r="J91" i="31"/>
  <c r="H90" i="31"/>
  <c r="H89" i="31"/>
  <c r="H88" i="31"/>
  <c r="H87" i="31"/>
  <c r="H86" i="31"/>
  <c r="H85" i="31"/>
  <c r="P84" i="31"/>
  <c r="L84" i="31"/>
  <c r="K84" i="31"/>
  <c r="H84" i="31"/>
  <c r="P83" i="31"/>
  <c r="K83" i="31" s="1"/>
  <c r="L83" i="31" s="1"/>
  <c r="H83" i="31"/>
  <c r="P82" i="31"/>
  <c r="L82" i="31"/>
  <c r="L91" i="31" s="1"/>
  <c r="K82" i="31"/>
  <c r="K91" i="31" s="1"/>
  <c r="H82" i="31"/>
  <c r="L81" i="31"/>
  <c r="K81" i="31"/>
  <c r="J81" i="31"/>
  <c r="H80" i="31"/>
  <c r="H79" i="31"/>
  <c r="H78" i="31"/>
  <c r="H77" i="31"/>
  <c r="H76" i="31"/>
  <c r="J75" i="31"/>
  <c r="H74" i="31"/>
  <c r="H73" i="31"/>
  <c r="H72" i="31"/>
  <c r="H71" i="31"/>
  <c r="H70" i="31"/>
  <c r="P69" i="31"/>
  <c r="L69" i="31"/>
  <c r="K69" i="31"/>
  <c r="H69" i="31"/>
  <c r="P68" i="31"/>
  <c r="K68" i="31" s="1"/>
  <c r="L68" i="31" s="1"/>
  <c r="H68" i="31"/>
  <c r="P67" i="31"/>
  <c r="L67" i="31"/>
  <c r="K67" i="31"/>
  <c r="H67" i="31"/>
  <c r="P66" i="31"/>
  <c r="K66" i="31" s="1"/>
  <c r="L66" i="31" s="1"/>
  <c r="H66" i="31"/>
  <c r="P65" i="31"/>
  <c r="L65" i="31"/>
  <c r="K65" i="31"/>
  <c r="K75" i="31" s="1"/>
  <c r="H65" i="31"/>
  <c r="J64" i="31"/>
  <c r="P63" i="31"/>
  <c r="H63" i="31"/>
  <c r="P62" i="31"/>
  <c r="H62" i="31"/>
  <c r="P61" i="31"/>
  <c r="H61" i="31"/>
  <c r="P60" i="31"/>
  <c r="H60" i="31"/>
  <c r="P59" i="31"/>
  <c r="H59" i="31"/>
  <c r="P58" i="31"/>
  <c r="H58" i="31"/>
  <c r="P57" i="31"/>
  <c r="H57" i="31"/>
  <c r="P56" i="31"/>
  <c r="H56" i="31"/>
  <c r="P55" i="31"/>
  <c r="L55" i="31"/>
  <c r="K55" i="31"/>
  <c r="H55" i="31"/>
  <c r="P54" i="31"/>
  <c r="K54" i="31" s="1"/>
  <c r="L54" i="31" s="1"/>
  <c r="H54" i="31"/>
  <c r="P53" i="31"/>
  <c r="L53" i="31"/>
  <c r="K53" i="31"/>
  <c r="H53" i="31"/>
  <c r="P52" i="31"/>
  <c r="K52" i="31" s="1"/>
  <c r="H52" i="31"/>
  <c r="J51" i="31"/>
  <c r="H50" i="31"/>
  <c r="H49" i="31"/>
  <c r="H47" i="31"/>
  <c r="H46" i="31"/>
  <c r="H45" i="31"/>
  <c r="H44" i="31"/>
  <c r="H43" i="31"/>
  <c r="H42" i="31"/>
  <c r="H41" i="31"/>
  <c r="P40" i="31"/>
  <c r="K40" i="31"/>
  <c r="L40" i="31" s="1"/>
  <c r="H40" i="31"/>
  <c r="P39" i="31"/>
  <c r="K39" i="31" s="1"/>
  <c r="H39" i="31"/>
  <c r="J38" i="31"/>
  <c r="I1" i="31" s="1"/>
  <c r="H37" i="31"/>
  <c r="H36" i="31"/>
  <c r="H35" i="31"/>
  <c r="H34" i="31"/>
  <c r="H33" i="31"/>
  <c r="H32" i="31"/>
  <c r="H31" i="31"/>
  <c r="H30" i="31"/>
  <c r="H29" i="31"/>
  <c r="P28" i="31"/>
  <c r="K28" i="31" s="1"/>
  <c r="L28" i="31" s="1"/>
  <c r="H28" i="31"/>
  <c r="P27" i="31"/>
  <c r="L27" i="31"/>
  <c r="K27" i="31"/>
  <c r="H27" i="31"/>
  <c r="P26" i="31"/>
  <c r="K26" i="31" s="1"/>
  <c r="L26" i="31" s="1"/>
  <c r="H26" i="31"/>
  <c r="P25" i="31"/>
  <c r="L25" i="31"/>
  <c r="K25" i="31"/>
  <c r="K38" i="31" s="1"/>
  <c r="H25" i="31"/>
  <c r="J24" i="31"/>
  <c r="H23" i="31"/>
  <c r="H22" i="31"/>
  <c r="H21" i="31"/>
  <c r="H20" i="31"/>
  <c r="H19" i="31"/>
  <c r="P18" i="31"/>
  <c r="K18" i="31" s="1"/>
  <c r="L18" i="31" s="1"/>
  <c r="H18" i="31"/>
  <c r="P17" i="31"/>
  <c r="K17" i="31"/>
  <c r="K24" i="31" s="1"/>
  <c r="H17" i="31"/>
  <c r="J16" i="31"/>
  <c r="H15" i="31"/>
  <c r="P14" i="31"/>
  <c r="K14" i="31" s="1"/>
  <c r="L14" i="31" s="1"/>
  <c r="H14" i="31"/>
  <c r="P13" i="31"/>
  <c r="L13" i="31"/>
  <c r="K13" i="31"/>
  <c r="H13" i="31"/>
  <c r="P12" i="31"/>
  <c r="K12" i="31" s="1"/>
  <c r="L12" i="31" s="1"/>
  <c r="H12" i="31"/>
  <c r="P11" i="31"/>
  <c r="L11" i="31"/>
  <c r="K11" i="31"/>
  <c r="H11" i="31"/>
  <c r="P10" i="31"/>
  <c r="K10" i="31" s="1"/>
  <c r="L10" i="31" s="1"/>
  <c r="H10" i="31"/>
  <c r="P9" i="31"/>
  <c r="L9" i="31"/>
  <c r="K9" i="31"/>
  <c r="H9" i="31"/>
  <c r="P8" i="31"/>
  <c r="L8" i="31"/>
  <c r="K8" i="31"/>
  <c r="H8" i="31"/>
  <c r="P7" i="31"/>
  <c r="K7" i="31"/>
  <c r="L7" i="31" s="1"/>
  <c r="H7" i="31"/>
  <c r="P6" i="31"/>
  <c r="L6" i="31"/>
  <c r="K6" i="31"/>
  <c r="H6" i="31"/>
  <c r="P5" i="31"/>
  <c r="K5" i="31"/>
  <c r="L5" i="31" s="1"/>
  <c r="L16" i="31" s="1"/>
  <c r="H5" i="31"/>
  <c r="I2" i="31"/>
  <c r="E1" i="31"/>
  <c r="J124" i="30"/>
  <c r="H123" i="30"/>
  <c r="H119" i="30"/>
  <c r="H118" i="30"/>
  <c r="H117" i="30"/>
  <c r="H116" i="30"/>
  <c r="P115" i="30"/>
  <c r="K115" i="30"/>
  <c r="L115" i="30" s="1"/>
  <c r="H115" i="30"/>
  <c r="P114" i="30"/>
  <c r="K114" i="30" s="1"/>
  <c r="L114" i="30" s="1"/>
  <c r="H114" i="30"/>
  <c r="P113" i="30"/>
  <c r="K113" i="30"/>
  <c r="L113" i="30" s="1"/>
  <c r="H113" i="30"/>
  <c r="P112" i="30"/>
  <c r="K112" i="30" s="1"/>
  <c r="H112" i="30"/>
  <c r="J111" i="30"/>
  <c r="H110" i="30"/>
  <c r="H109" i="30"/>
  <c r="H108" i="30"/>
  <c r="H107" i="30"/>
  <c r="H106" i="30"/>
  <c r="P105" i="30"/>
  <c r="K105" i="30" s="1"/>
  <c r="L105" i="30" s="1"/>
  <c r="H105" i="30"/>
  <c r="P104" i="30"/>
  <c r="L104" i="30"/>
  <c r="K104" i="30"/>
  <c r="H104" i="30"/>
  <c r="P103" i="30"/>
  <c r="K103" i="30" s="1"/>
  <c r="L103" i="30" s="1"/>
  <c r="H103" i="30"/>
  <c r="P102" i="30"/>
  <c r="L102" i="30"/>
  <c r="K102" i="30"/>
  <c r="H102" i="30"/>
  <c r="P101" i="30"/>
  <c r="K101" i="30" s="1"/>
  <c r="H101" i="30"/>
  <c r="J100" i="30"/>
  <c r="H99" i="30"/>
  <c r="H97" i="30"/>
  <c r="H96" i="30"/>
  <c r="H95" i="30"/>
  <c r="P94" i="30"/>
  <c r="K94" i="30" s="1"/>
  <c r="L94" i="30" s="1"/>
  <c r="H94" i="30"/>
  <c r="P93" i="30"/>
  <c r="K93" i="30"/>
  <c r="L93" i="30" s="1"/>
  <c r="H93" i="30"/>
  <c r="P92" i="30"/>
  <c r="K92" i="30" s="1"/>
  <c r="L92" i="30" s="1"/>
  <c r="L100" i="30" s="1"/>
  <c r="H92" i="30"/>
  <c r="J91" i="30"/>
  <c r="H90" i="30"/>
  <c r="H89" i="30"/>
  <c r="H88" i="30"/>
  <c r="H87" i="30"/>
  <c r="H86" i="30"/>
  <c r="H85" i="30"/>
  <c r="P84" i="30"/>
  <c r="L84" i="30"/>
  <c r="K84" i="30"/>
  <c r="H84" i="30"/>
  <c r="P83" i="30"/>
  <c r="K83" i="30" s="1"/>
  <c r="L83" i="30" s="1"/>
  <c r="H83" i="30"/>
  <c r="P82" i="30"/>
  <c r="L82" i="30"/>
  <c r="K82" i="30"/>
  <c r="H82" i="30"/>
  <c r="L81" i="30"/>
  <c r="K81" i="30"/>
  <c r="J81" i="30"/>
  <c r="H80" i="30"/>
  <c r="H79" i="30"/>
  <c r="H78" i="30"/>
  <c r="H77" i="30"/>
  <c r="H76" i="30"/>
  <c r="J75" i="30"/>
  <c r="H74" i="30"/>
  <c r="H73" i="30"/>
  <c r="H72" i="30"/>
  <c r="H71" i="30"/>
  <c r="H70" i="30"/>
  <c r="P69" i="30"/>
  <c r="L69" i="30"/>
  <c r="K69" i="30"/>
  <c r="H69" i="30"/>
  <c r="P68" i="30"/>
  <c r="K68" i="30" s="1"/>
  <c r="L68" i="30" s="1"/>
  <c r="H68" i="30"/>
  <c r="P67" i="30"/>
  <c r="L67" i="30"/>
  <c r="K67" i="30"/>
  <c r="H67" i="30"/>
  <c r="P66" i="30"/>
  <c r="K66" i="30" s="1"/>
  <c r="L66" i="30" s="1"/>
  <c r="L75" i="30" s="1"/>
  <c r="H66" i="30"/>
  <c r="P65" i="30"/>
  <c r="L65" i="30"/>
  <c r="K65" i="30"/>
  <c r="H65" i="30"/>
  <c r="J64" i="30"/>
  <c r="P63" i="30"/>
  <c r="H63" i="30"/>
  <c r="P62" i="30"/>
  <c r="H62" i="30"/>
  <c r="P61" i="30"/>
  <c r="H61" i="30"/>
  <c r="P60" i="30"/>
  <c r="H60" i="30"/>
  <c r="P59" i="30"/>
  <c r="H59" i="30"/>
  <c r="P58" i="30"/>
  <c r="H58" i="30"/>
  <c r="P57" i="30"/>
  <c r="H57" i="30"/>
  <c r="P56" i="30"/>
  <c r="H56" i="30"/>
  <c r="P55" i="30"/>
  <c r="K55" i="30" s="1"/>
  <c r="L55" i="30" s="1"/>
  <c r="H55" i="30"/>
  <c r="P54" i="30"/>
  <c r="K54" i="30"/>
  <c r="L54" i="30" s="1"/>
  <c r="H54" i="30"/>
  <c r="P53" i="30"/>
  <c r="K53" i="30" s="1"/>
  <c r="L53" i="30" s="1"/>
  <c r="H53" i="30"/>
  <c r="P52" i="30"/>
  <c r="K52" i="30"/>
  <c r="K64" i="30" s="1"/>
  <c r="H52" i="30"/>
  <c r="J51" i="30"/>
  <c r="H50" i="30"/>
  <c r="H49" i="30"/>
  <c r="H47" i="30"/>
  <c r="H46" i="30"/>
  <c r="H45" i="30"/>
  <c r="H44" i="30"/>
  <c r="H43" i="30"/>
  <c r="H42" i="30"/>
  <c r="H41" i="30"/>
  <c r="P40" i="30"/>
  <c r="K40" i="30"/>
  <c r="L40" i="30" s="1"/>
  <c r="H40" i="30"/>
  <c r="P39" i="30"/>
  <c r="K39" i="30" s="1"/>
  <c r="H39" i="30"/>
  <c r="J38" i="30"/>
  <c r="H37" i="30"/>
  <c r="H36" i="30"/>
  <c r="H35" i="30"/>
  <c r="H34" i="30"/>
  <c r="H33" i="30"/>
  <c r="H32" i="30"/>
  <c r="H31" i="30"/>
  <c r="H30" i="30"/>
  <c r="H29" i="30"/>
  <c r="P28" i="30"/>
  <c r="K28" i="30"/>
  <c r="L28" i="30" s="1"/>
  <c r="H28" i="30"/>
  <c r="P27" i="30"/>
  <c r="K27" i="30" s="1"/>
  <c r="L27" i="30" s="1"/>
  <c r="H27" i="30"/>
  <c r="P26" i="30"/>
  <c r="K26" i="30"/>
  <c r="L26" i="30" s="1"/>
  <c r="H26" i="30"/>
  <c r="P25" i="30"/>
  <c r="K25" i="30" s="1"/>
  <c r="H25" i="30"/>
  <c r="J24" i="30"/>
  <c r="H23" i="30"/>
  <c r="H22" i="30"/>
  <c r="H21" i="30"/>
  <c r="H20" i="30"/>
  <c r="H19" i="30"/>
  <c r="P18" i="30"/>
  <c r="K18" i="30" s="1"/>
  <c r="L18" i="30" s="1"/>
  <c r="H18" i="30"/>
  <c r="P17" i="30"/>
  <c r="K17" i="30"/>
  <c r="K24" i="30" s="1"/>
  <c r="H17" i="30"/>
  <c r="J16" i="30"/>
  <c r="H15" i="30"/>
  <c r="P14" i="30"/>
  <c r="K14" i="30" s="1"/>
  <c r="L14" i="30" s="1"/>
  <c r="H14" i="30"/>
  <c r="P13" i="30"/>
  <c r="K13" i="30"/>
  <c r="L13" i="30" s="1"/>
  <c r="H13" i="30"/>
  <c r="P12" i="30"/>
  <c r="K12" i="30" s="1"/>
  <c r="L12" i="30" s="1"/>
  <c r="H12" i="30"/>
  <c r="P11" i="30"/>
  <c r="K11" i="30"/>
  <c r="L11" i="30" s="1"/>
  <c r="H11" i="30"/>
  <c r="P10" i="30"/>
  <c r="K10" i="30" s="1"/>
  <c r="L10" i="30" s="1"/>
  <c r="H10" i="30"/>
  <c r="P9" i="30"/>
  <c r="K9" i="30"/>
  <c r="L9" i="30" s="1"/>
  <c r="H9" i="30"/>
  <c r="P8" i="30"/>
  <c r="K8" i="30" s="1"/>
  <c r="L8" i="30" s="1"/>
  <c r="H8" i="30"/>
  <c r="P7" i="30"/>
  <c r="K7" i="30"/>
  <c r="L7" i="30" s="1"/>
  <c r="H7" i="30"/>
  <c r="P6" i="30"/>
  <c r="K6" i="30" s="1"/>
  <c r="L6" i="30" s="1"/>
  <c r="H6" i="30"/>
  <c r="P5" i="30"/>
  <c r="K5" i="30"/>
  <c r="L5" i="30" s="1"/>
  <c r="L16" i="30" s="1"/>
  <c r="H5" i="30"/>
  <c r="I2" i="30"/>
  <c r="I1" i="30"/>
  <c r="E1" i="30"/>
  <c r="K38" i="30" l="1"/>
  <c r="L25" i="30"/>
  <c r="L38" i="30" s="1"/>
  <c r="K51" i="30"/>
  <c r="L39" i="30"/>
  <c r="L51" i="30" s="1"/>
  <c r="G1" i="30"/>
  <c r="G2" i="30" s="1"/>
  <c r="K16" i="30"/>
  <c r="K91" i="30"/>
  <c r="K124" i="30"/>
  <c r="L112" i="30"/>
  <c r="L124" i="30" s="1"/>
  <c r="G1" i="31"/>
  <c r="G2" i="31" s="1"/>
  <c r="L101" i="31"/>
  <c r="L111" i="31" s="1"/>
  <c r="K111" i="31"/>
  <c r="K16" i="32"/>
  <c r="K64" i="32"/>
  <c r="L52" i="32"/>
  <c r="L64" i="32" s="1"/>
  <c r="L91" i="30"/>
  <c r="K100" i="30"/>
  <c r="L101" i="30"/>
  <c r="L111" i="30" s="1"/>
  <c r="K111" i="30"/>
  <c r="K51" i="31"/>
  <c r="L39" i="31"/>
  <c r="L51" i="31" s="1"/>
  <c r="K100" i="31"/>
  <c r="L92" i="31"/>
  <c r="L100" i="31" s="1"/>
  <c r="L17" i="30"/>
  <c r="L24" i="30" s="1"/>
  <c r="E2" i="30" s="1"/>
  <c r="L38" i="31"/>
  <c r="L75" i="31"/>
  <c r="K124" i="31"/>
  <c r="L112" i="31"/>
  <c r="L124" i="31" s="1"/>
  <c r="L52" i="30"/>
  <c r="L64" i="30" s="1"/>
  <c r="K75" i="30"/>
  <c r="K64" i="31"/>
  <c r="L52" i="31"/>
  <c r="L64" i="31" s="1"/>
  <c r="G1" i="32"/>
  <c r="G2" i="32" s="1"/>
  <c r="L38" i="32"/>
  <c r="K75" i="32"/>
  <c r="L65" i="32"/>
  <c r="L75" i="32" s="1"/>
  <c r="K16" i="31"/>
  <c r="L39" i="32"/>
  <c r="L51" i="32" s="1"/>
  <c r="L92" i="32"/>
  <c r="L100" i="32" s="1"/>
  <c r="K38" i="33"/>
  <c r="L39" i="33"/>
  <c r="L51" i="33" s="1"/>
  <c r="K51" i="33"/>
  <c r="K64" i="33"/>
  <c r="K75" i="33"/>
  <c r="K100" i="33"/>
  <c r="L17" i="31"/>
  <c r="L24" i="31" s="1"/>
  <c r="E2" i="31" s="1"/>
  <c r="L17" i="32"/>
  <c r="L24" i="32" s="1"/>
  <c r="E2" i="32" s="1"/>
  <c r="L82" i="32"/>
  <c r="L91" i="32" s="1"/>
  <c r="L112" i="32"/>
  <c r="L124" i="32" s="1"/>
  <c r="K124" i="32"/>
  <c r="G1" i="33"/>
  <c r="G2" i="33" s="1"/>
  <c r="L100" i="33"/>
  <c r="L101" i="32"/>
  <c r="L111" i="32" s="1"/>
  <c r="K111" i="32"/>
  <c r="L25" i="33"/>
  <c r="L38" i="33" s="1"/>
  <c r="L52" i="33"/>
  <c r="L64" i="33" s="1"/>
  <c r="L65" i="33"/>
  <c r="L75" i="33" s="1"/>
  <c r="L82" i="33"/>
  <c r="L91" i="33" s="1"/>
  <c r="K124" i="34"/>
  <c r="L112" i="34"/>
  <c r="L124" i="34" s="1"/>
  <c r="G1" i="35"/>
  <c r="G2" i="35" s="1"/>
  <c r="L17" i="33"/>
  <c r="L24" i="33" s="1"/>
  <c r="L65" i="34"/>
  <c r="L75" i="34" s="1"/>
  <c r="K75" i="34"/>
  <c r="K91" i="34"/>
  <c r="L82" i="34"/>
  <c r="L91" i="34" s="1"/>
  <c r="L5" i="33"/>
  <c r="L16" i="33" s="1"/>
  <c r="E2" i="33" s="1"/>
  <c r="K124" i="33"/>
  <c r="L112" i="33"/>
  <c r="L124" i="33" s="1"/>
  <c r="L101" i="33"/>
  <c r="L111" i="33" s="1"/>
  <c r="K111" i="33"/>
  <c r="G1" i="34"/>
  <c r="G2" i="34" s="1"/>
  <c r="K38" i="34"/>
  <c r="L25" i="34"/>
  <c r="L38" i="34" s="1"/>
  <c r="K51" i="34"/>
  <c r="L39" i="34"/>
  <c r="L51" i="34" s="1"/>
  <c r="K64" i="34"/>
  <c r="L52" i="34"/>
  <c r="L64" i="34" s="1"/>
  <c r="K16" i="34"/>
  <c r="L92" i="34"/>
  <c r="L100" i="34" s="1"/>
  <c r="K24" i="35"/>
  <c r="L17" i="35"/>
  <c r="L24" i="35" s="1"/>
  <c r="K38" i="35"/>
  <c r="L91" i="35"/>
  <c r="L92" i="35"/>
  <c r="L100" i="35" s="1"/>
  <c r="K100" i="35"/>
  <c r="L112" i="35"/>
  <c r="L124" i="35" s="1"/>
  <c r="K124" i="35"/>
  <c r="G1" i="36"/>
  <c r="G2" i="36" s="1"/>
  <c r="L38" i="36"/>
  <c r="L64" i="36"/>
  <c r="L75" i="36"/>
  <c r="L112" i="36"/>
  <c r="L124" i="36" s="1"/>
  <c r="K124" i="36"/>
  <c r="L38" i="35"/>
  <c r="L101" i="35"/>
  <c r="L111" i="35" s="1"/>
  <c r="K111" i="35"/>
  <c r="K16" i="36"/>
  <c r="L5" i="36"/>
  <c r="L16" i="36" s="1"/>
  <c r="L39" i="36"/>
  <c r="L51" i="36" s="1"/>
  <c r="K51" i="36"/>
  <c r="L17" i="34"/>
  <c r="L24" i="34" s="1"/>
  <c r="E2" i="34" s="1"/>
  <c r="K111" i="34"/>
  <c r="L39" i="35"/>
  <c r="L51" i="35" s="1"/>
  <c r="K51" i="35"/>
  <c r="K75" i="35"/>
  <c r="L101" i="36"/>
  <c r="L111" i="36" s="1"/>
  <c r="K111" i="36"/>
  <c r="L5" i="35"/>
  <c r="L16" i="35" s="1"/>
  <c r="L64" i="35"/>
  <c r="L75" i="35"/>
  <c r="K91" i="35"/>
  <c r="K38" i="36"/>
  <c r="K64" i="36"/>
  <c r="K75" i="36"/>
  <c r="L100" i="36"/>
  <c r="L82" i="36"/>
  <c r="L91" i="36" s="1"/>
  <c r="K100" i="36"/>
  <c r="L17" i="36"/>
  <c r="L24" i="36" s="1"/>
  <c r="E2" i="36" l="1"/>
  <c r="E2" i="35"/>
  <c r="AE173" i="29" l="1"/>
  <c r="AD173" i="29"/>
  <c r="AA173" i="29"/>
  <c r="Z173" i="29"/>
  <c r="M173" i="29"/>
  <c r="W172" i="29"/>
  <c r="H172" i="29"/>
  <c r="W171" i="29"/>
  <c r="H171" i="29"/>
  <c r="AG170" i="29"/>
  <c r="AF170" i="29"/>
  <c r="W170" i="29"/>
  <c r="H170" i="29"/>
  <c r="AG169" i="29"/>
  <c r="AF169" i="29"/>
  <c r="W169" i="29"/>
  <c r="H169" i="29"/>
  <c r="AG168" i="29"/>
  <c r="AF168" i="29"/>
  <c r="H168" i="29"/>
  <c r="AG167" i="29"/>
  <c r="AF167" i="29"/>
  <c r="H167" i="29"/>
  <c r="AG166" i="29"/>
  <c r="AF166" i="29"/>
  <c r="H166" i="29"/>
  <c r="W165" i="29"/>
  <c r="N165" i="29" s="1"/>
  <c r="P165" i="29"/>
  <c r="H165" i="29"/>
  <c r="W164" i="29"/>
  <c r="N164" i="29" s="1"/>
  <c r="H164" i="29"/>
  <c r="W163" i="29"/>
  <c r="N163" i="29" s="1"/>
  <c r="P163" i="29"/>
  <c r="H163" i="29"/>
  <c r="W162" i="29"/>
  <c r="N162" i="29" s="1"/>
  <c r="H162" i="29"/>
  <c r="AF161" i="29"/>
  <c r="W161" i="29"/>
  <c r="O161" i="29"/>
  <c r="R161" i="29" s="1"/>
  <c r="N161" i="29"/>
  <c r="AG161" i="29" s="1"/>
  <c r="H161" i="29"/>
  <c r="AE160" i="29"/>
  <c r="AD160" i="29"/>
  <c r="AA160" i="29"/>
  <c r="Z160" i="29"/>
  <c r="M160" i="29"/>
  <c r="W159" i="29"/>
  <c r="H159" i="29"/>
  <c r="W158" i="29"/>
  <c r="H158" i="29"/>
  <c r="W157" i="29"/>
  <c r="H157" i="29"/>
  <c r="W156" i="29"/>
  <c r="H156" i="29"/>
  <c r="W155" i="29"/>
  <c r="H155" i="29"/>
  <c r="AG154" i="29"/>
  <c r="AF154" i="29"/>
  <c r="W154" i="29"/>
  <c r="H154" i="29"/>
  <c r="AG153" i="29"/>
  <c r="AF153" i="29"/>
  <c r="W153" i="29"/>
  <c r="H153" i="29"/>
  <c r="AG152" i="29"/>
  <c r="AF152" i="29"/>
  <c r="H152" i="29"/>
  <c r="W151" i="29"/>
  <c r="N151" i="29" s="1"/>
  <c r="P151" i="29"/>
  <c r="H151" i="29"/>
  <c r="AG150" i="29"/>
  <c r="W150" i="29"/>
  <c r="P150" i="29"/>
  <c r="N150" i="29"/>
  <c r="O150" i="29" s="1"/>
  <c r="H150" i="29"/>
  <c r="W149" i="29"/>
  <c r="N149" i="29" s="1"/>
  <c r="P149" i="29"/>
  <c r="H149" i="29"/>
  <c r="W148" i="29"/>
  <c r="O148" i="29"/>
  <c r="N148" i="29"/>
  <c r="AF148" i="29" s="1"/>
  <c r="P160" i="29"/>
  <c r="H148" i="29"/>
  <c r="AE147" i="29"/>
  <c r="AD147" i="29"/>
  <c r="AA147" i="29"/>
  <c r="Z147" i="29"/>
  <c r="W147" i="29"/>
  <c r="M147" i="29"/>
  <c r="P147" i="29" s="1"/>
  <c r="W146" i="29"/>
  <c r="H146" i="29"/>
  <c r="AG145" i="29"/>
  <c r="AF145" i="29"/>
  <c r="W145" i="29"/>
  <c r="H145" i="29"/>
  <c r="AG144" i="29"/>
  <c r="AF144" i="29"/>
  <c r="H144" i="29"/>
  <c r="AG143" i="29"/>
  <c r="AF143" i="29"/>
  <c r="H143" i="29"/>
  <c r="AG142" i="29"/>
  <c r="AF142" i="29"/>
  <c r="H142" i="29"/>
  <c r="AG141" i="29"/>
  <c r="AF141" i="29"/>
  <c r="H141" i="29"/>
  <c r="W140" i="29"/>
  <c r="N140" i="29" s="1"/>
  <c r="P140" i="29"/>
  <c r="H140" i="29"/>
  <c r="W139" i="29"/>
  <c r="N139" i="29"/>
  <c r="AF139" i="29" s="1"/>
  <c r="P139" i="29"/>
  <c r="H139" i="29"/>
  <c r="W138" i="29"/>
  <c r="N138" i="29" s="1"/>
  <c r="P138" i="29"/>
  <c r="H138" i="29"/>
  <c r="W137" i="29"/>
  <c r="N137" i="29"/>
  <c r="AF137" i="29" s="1"/>
  <c r="P137" i="29"/>
  <c r="H137" i="29"/>
  <c r="W136" i="29"/>
  <c r="P136" i="29"/>
  <c r="N136" i="29"/>
  <c r="AG136" i="29" s="1"/>
  <c r="H136" i="29"/>
  <c r="W135" i="29"/>
  <c r="N135" i="29" s="1"/>
  <c r="P135" i="29"/>
  <c r="H135" i="29"/>
  <c r="AE134" i="29"/>
  <c r="AD134" i="29"/>
  <c r="AA134" i="29"/>
  <c r="Z134" i="29"/>
  <c r="M134" i="29"/>
  <c r="W133" i="29"/>
  <c r="H133" i="29"/>
  <c r="W132" i="29"/>
  <c r="H132" i="29"/>
  <c r="H131" i="29"/>
  <c r="H130" i="29"/>
  <c r="W129" i="29"/>
  <c r="N129" i="29"/>
  <c r="O129" i="29" s="1"/>
  <c r="P129" i="29"/>
  <c r="H129" i="29"/>
  <c r="W128" i="29"/>
  <c r="P128" i="29"/>
  <c r="N128" i="29"/>
  <c r="O128" i="29" s="1"/>
  <c r="AG128" i="29"/>
  <c r="H128" i="29"/>
  <c r="W127" i="29"/>
  <c r="N127" i="29"/>
  <c r="AF127" i="29" s="1"/>
  <c r="P127" i="29"/>
  <c r="H127" i="29"/>
  <c r="W126" i="29"/>
  <c r="P126" i="29"/>
  <c r="N126" i="29"/>
  <c r="O126" i="29" s="1"/>
  <c r="AG126" i="29"/>
  <c r="H126" i="29"/>
  <c r="W125" i="29"/>
  <c r="N125" i="29"/>
  <c r="AF125" i="29" s="1"/>
  <c r="P125" i="29"/>
  <c r="H125" i="29"/>
  <c r="W124" i="29"/>
  <c r="P124" i="29"/>
  <c r="N124" i="29"/>
  <c r="O124" i="29" s="1"/>
  <c r="AG124" i="29"/>
  <c r="H124" i="29"/>
  <c r="W123" i="29"/>
  <c r="N123" i="29"/>
  <c r="AF123" i="29" s="1"/>
  <c r="P123" i="29"/>
  <c r="H123" i="29"/>
  <c r="W122" i="29"/>
  <c r="N122" i="29"/>
  <c r="N134" i="29" s="1"/>
  <c r="P122" i="29"/>
  <c r="H122" i="29"/>
  <c r="AE121" i="29"/>
  <c r="AD121" i="29"/>
  <c r="AA121" i="29"/>
  <c r="Z121" i="29"/>
  <c r="W121" i="29"/>
  <c r="M121" i="29"/>
  <c r="W120" i="29"/>
  <c r="H120" i="29"/>
  <c r="W119" i="29"/>
  <c r="H119" i="29"/>
  <c r="W118" i="29"/>
  <c r="H118" i="29"/>
  <c r="AG117" i="29"/>
  <c r="AF117" i="29"/>
  <c r="W117" i="29"/>
  <c r="AG116" i="29"/>
  <c r="AF116" i="29"/>
  <c r="H116" i="29"/>
  <c r="AG115" i="29"/>
  <c r="AF115" i="29"/>
  <c r="H115" i="29"/>
  <c r="W114" i="29"/>
  <c r="P114" i="29"/>
  <c r="N114" i="29"/>
  <c r="O114" i="29" s="1"/>
  <c r="AG114" i="29"/>
  <c r="H114" i="29"/>
  <c r="W113" i="29"/>
  <c r="N113" i="29"/>
  <c r="P113" i="29"/>
  <c r="H113" i="29"/>
  <c r="AG112" i="29"/>
  <c r="W112" i="29"/>
  <c r="P112" i="29"/>
  <c r="N112" i="29"/>
  <c r="O112" i="29" s="1"/>
  <c r="Q112" i="29" s="1"/>
  <c r="AF112" i="29"/>
  <c r="H112" i="29"/>
  <c r="W111" i="29"/>
  <c r="O111" i="29"/>
  <c r="N111" i="29"/>
  <c r="R111" i="29"/>
  <c r="P111" i="29"/>
  <c r="H111" i="29"/>
  <c r="AF110" i="29"/>
  <c r="W110" i="29"/>
  <c r="R110" i="29"/>
  <c r="P110" i="29"/>
  <c r="N110" i="29"/>
  <c r="O110" i="29" s="1"/>
  <c r="Q110" i="29"/>
  <c r="AG110" i="29"/>
  <c r="H110" i="29"/>
  <c r="W109" i="29"/>
  <c r="P109" i="29"/>
  <c r="N109" i="29"/>
  <c r="H109" i="29"/>
  <c r="AE108" i="29"/>
  <c r="AD108" i="29"/>
  <c r="AA108" i="29"/>
  <c r="Z108" i="29"/>
  <c r="W108" i="29"/>
  <c r="M108" i="29"/>
  <c r="W107" i="29"/>
  <c r="H107" i="29"/>
  <c r="W106" i="29"/>
  <c r="H106" i="29"/>
  <c r="AG105" i="29"/>
  <c r="AF105" i="29"/>
  <c r="W105" i="29"/>
  <c r="H105" i="29"/>
  <c r="AG104" i="29"/>
  <c r="AF104" i="29"/>
  <c r="H104" i="29"/>
  <c r="AG103" i="29"/>
  <c r="AF103" i="29"/>
  <c r="H103" i="29"/>
  <c r="AG102" i="29"/>
  <c r="AF102" i="29"/>
  <c r="H102" i="29"/>
  <c r="W101" i="29"/>
  <c r="N101" i="29"/>
  <c r="P101" i="29"/>
  <c r="H101" i="29"/>
  <c r="W100" i="29"/>
  <c r="P100" i="29"/>
  <c r="N100" i="29"/>
  <c r="O100" i="29" s="1"/>
  <c r="H100" i="29"/>
  <c r="W99" i="29"/>
  <c r="N99" i="29"/>
  <c r="P99" i="29"/>
  <c r="H99" i="29"/>
  <c r="W98" i="29"/>
  <c r="P98" i="29"/>
  <c r="N98" i="29"/>
  <c r="O98" i="29" s="1"/>
  <c r="H98" i="29"/>
  <c r="W97" i="29"/>
  <c r="N97" i="29"/>
  <c r="P97" i="29"/>
  <c r="H97" i="29"/>
  <c r="W96" i="29"/>
  <c r="N96" i="29"/>
  <c r="AG96" i="29" s="1"/>
  <c r="P108" i="29"/>
  <c r="H96" i="29"/>
  <c r="AE95" i="29"/>
  <c r="AD95" i="29"/>
  <c r="AA95" i="29"/>
  <c r="Z95" i="29"/>
  <c r="M95" i="29"/>
  <c r="AG94" i="29"/>
  <c r="AF94" i="29"/>
  <c r="W94" i="29"/>
  <c r="H94" i="29"/>
  <c r="AG93" i="29"/>
  <c r="AF93" i="29"/>
  <c r="W93" i="29"/>
  <c r="H93" i="29"/>
  <c r="AG92" i="29"/>
  <c r="AF92" i="29"/>
  <c r="H92" i="29"/>
  <c r="AG91" i="29"/>
  <c r="AF91" i="29"/>
  <c r="H91" i="29"/>
  <c r="AG90" i="29"/>
  <c r="AF90" i="29"/>
  <c r="H90" i="29"/>
  <c r="W89" i="29"/>
  <c r="N89" i="29" s="1"/>
  <c r="O89" i="29" s="1"/>
  <c r="H89" i="29"/>
  <c r="AG88" i="29"/>
  <c r="W88" i="29"/>
  <c r="N88" i="29" s="1"/>
  <c r="P88" i="29"/>
  <c r="H88" i="29"/>
  <c r="W87" i="29"/>
  <c r="N87" i="29" s="1"/>
  <c r="H87" i="29"/>
  <c r="AG86" i="29"/>
  <c r="W86" i="29"/>
  <c r="N86" i="29" s="1"/>
  <c r="P86" i="29"/>
  <c r="H86" i="29"/>
  <c r="W85" i="29"/>
  <c r="N85" i="29" s="1"/>
  <c r="O85" i="29" s="1"/>
  <c r="H85" i="29"/>
  <c r="AG84" i="29"/>
  <c r="W84" i="29"/>
  <c r="N84" i="29" s="1"/>
  <c r="P84" i="29"/>
  <c r="H84" i="29"/>
  <c r="AF83" i="29"/>
  <c r="W83" i="29"/>
  <c r="N83" i="29" s="1"/>
  <c r="H83" i="29"/>
  <c r="AE82" i="29"/>
  <c r="AD82" i="29"/>
  <c r="AA82" i="29"/>
  <c r="Z82" i="29"/>
  <c r="M82" i="29"/>
  <c r="W81" i="29"/>
  <c r="AG80" i="29"/>
  <c r="AF80" i="29"/>
  <c r="W80" i="29"/>
  <c r="H80" i="29"/>
  <c r="AG79" i="29"/>
  <c r="AF79" i="29"/>
  <c r="W79" i="29"/>
  <c r="H79" i="29"/>
  <c r="AG78" i="29"/>
  <c r="AF78" i="29"/>
  <c r="H78" i="29"/>
  <c r="W77" i="29"/>
  <c r="N77" i="29" s="1"/>
  <c r="P77" i="29"/>
  <c r="H77" i="29"/>
  <c r="W76" i="29"/>
  <c r="N76" i="29" s="1"/>
  <c r="H76" i="29"/>
  <c r="W75" i="29"/>
  <c r="N75" i="29" s="1"/>
  <c r="P75" i="29"/>
  <c r="H75" i="29"/>
  <c r="W74" i="29"/>
  <c r="N74" i="29" s="1"/>
  <c r="H74" i="29"/>
  <c r="W73" i="29"/>
  <c r="N73" i="29" s="1"/>
  <c r="P73" i="29"/>
  <c r="H73" i="29"/>
  <c r="W72" i="29"/>
  <c r="N72" i="29" s="1"/>
  <c r="H72" i="29"/>
  <c r="W71" i="29"/>
  <c r="N71" i="29" s="1"/>
  <c r="P71" i="29"/>
  <c r="H71" i="29"/>
  <c r="AF70" i="29"/>
  <c r="W70" i="29"/>
  <c r="N70" i="29" s="1"/>
  <c r="P70" i="29"/>
  <c r="H70" i="29"/>
  <c r="AE69" i="29"/>
  <c r="AD69" i="29"/>
  <c r="AA69" i="29"/>
  <c r="Z69" i="29"/>
  <c r="W69" i="29"/>
  <c r="M69" i="29"/>
  <c r="W68" i="29"/>
  <c r="H68" i="29"/>
  <c r="AG67" i="29"/>
  <c r="AF67" i="29"/>
  <c r="W67" i="29"/>
  <c r="H67" i="29"/>
  <c r="AG66" i="29"/>
  <c r="AF66" i="29"/>
  <c r="W66" i="29"/>
  <c r="H66" i="29"/>
  <c r="AG65" i="29"/>
  <c r="AF65" i="29"/>
  <c r="W65" i="29"/>
  <c r="H65" i="29"/>
  <c r="AG64" i="29"/>
  <c r="AF64" i="29"/>
  <c r="H64" i="29"/>
  <c r="AG63" i="29"/>
  <c r="AF63" i="29"/>
  <c r="H63" i="29"/>
  <c r="AG62" i="29"/>
  <c r="AF62" i="29"/>
  <c r="H62" i="29"/>
  <c r="AG61" i="29"/>
  <c r="W61" i="29"/>
  <c r="N61" i="29" s="1"/>
  <c r="P61" i="29"/>
  <c r="H61" i="29"/>
  <c r="W60" i="29"/>
  <c r="N60" i="29" s="1"/>
  <c r="O60" i="29" s="1"/>
  <c r="H60" i="29"/>
  <c r="AF59" i="29"/>
  <c r="W59" i="29"/>
  <c r="N59" i="29" s="1"/>
  <c r="AG59" i="29" s="1"/>
  <c r="O59" i="29"/>
  <c r="P59" i="29"/>
  <c r="H59" i="29"/>
  <c r="AG58" i="29"/>
  <c r="W58" i="29"/>
  <c r="R58" i="29"/>
  <c r="O58" i="29"/>
  <c r="N58" i="29"/>
  <c r="P58" i="29"/>
  <c r="H58" i="29"/>
  <c r="AF57" i="29"/>
  <c r="W57" i="29"/>
  <c r="N57" i="29" s="1"/>
  <c r="P57" i="29"/>
  <c r="H57" i="29"/>
  <c r="AE56" i="29"/>
  <c r="AD56" i="29"/>
  <c r="AA56" i="29"/>
  <c r="Z56" i="29"/>
  <c r="W56" i="29"/>
  <c r="M56" i="29"/>
  <c r="W55" i="29"/>
  <c r="H55" i="29"/>
  <c r="AG54" i="29"/>
  <c r="AF54" i="29"/>
  <c r="W54" i="29"/>
  <c r="H54" i="29"/>
  <c r="AG53" i="29"/>
  <c r="AF53" i="29"/>
  <c r="W53" i="29"/>
  <c r="H53" i="29"/>
  <c r="AG52" i="29"/>
  <c r="AF52" i="29"/>
  <c r="W52" i="29"/>
  <c r="H52" i="29"/>
  <c r="W51" i="29"/>
  <c r="P51" i="29"/>
  <c r="N51" i="29"/>
  <c r="H51" i="29"/>
  <c r="AF50" i="29"/>
  <c r="W50" i="29"/>
  <c r="N50" i="29" s="1"/>
  <c r="P50" i="29"/>
  <c r="H50" i="29"/>
  <c r="W49" i="29"/>
  <c r="P49" i="29"/>
  <c r="N49" i="29"/>
  <c r="H49" i="29"/>
  <c r="W48" i="29"/>
  <c r="N48" i="29" s="1"/>
  <c r="P48" i="29"/>
  <c r="H48" i="29"/>
  <c r="W47" i="29"/>
  <c r="P47" i="29"/>
  <c r="N47" i="29"/>
  <c r="H47" i="29"/>
  <c r="AF46" i="29"/>
  <c r="W46" i="29"/>
  <c r="N46" i="29" s="1"/>
  <c r="P46" i="29"/>
  <c r="H46" i="29"/>
  <c r="W45" i="29"/>
  <c r="P45" i="29"/>
  <c r="N45" i="29"/>
  <c r="H45" i="29"/>
  <c r="W44" i="29"/>
  <c r="P44" i="29"/>
  <c r="N44" i="29"/>
  <c r="H44" i="29"/>
  <c r="AE43" i="29"/>
  <c r="AD43" i="29"/>
  <c r="AA43" i="29"/>
  <c r="Z43" i="29"/>
  <c r="M43" i="29"/>
  <c r="W42" i="29"/>
  <c r="H42" i="29"/>
  <c r="W41" i="29"/>
  <c r="AG40" i="29"/>
  <c r="AF40" i="29"/>
  <c r="W40" i="29"/>
  <c r="H40" i="29"/>
  <c r="AG39" i="29"/>
  <c r="AF39" i="29"/>
  <c r="W39" i="29"/>
  <c r="H39" i="29"/>
  <c r="AG38" i="29"/>
  <c r="AF38" i="29"/>
  <c r="H38" i="29"/>
  <c r="W37" i="29"/>
  <c r="P37" i="29"/>
  <c r="N37" i="29"/>
  <c r="O37" i="29" s="1"/>
  <c r="H37" i="29"/>
  <c r="W36" i="29"/>
  <c r="P36" i="29"/>
  <c r="N36" i="29"/>
  <c r="H36" i="29"/>
  <c r="W35" i="29"/>
  <c r="P35" i="29"/>
  <c r="N35" i="29"/>
  <c r="O35" i="29" s="1"/>
  <c r="H35" i="29"/>
  <c r="W34" i="29"/>
  <c r="P34" i="29"/>
  <c r="N34" i="29"/>
  <c r="H34" i="29"/>
  <c r="W33" i="29"/>
  <c r="P33" i="29"/>
  <c r="N33" i="29"/>
  <c r="O33" i="29" s="1"/>
  <c r="H33" i="29"/>
  <c r="W32" i="29"/>
  <c r="P32" i="29"/>
  <c r="N32" i="29"/>
  <c r="H32" i="29"/>
  <c r="W31" i="29"/>
  <c r="P31" i="29"/>
  <c r="N31" i="29"/>
  <c r="H31" i="29"/>
  <c r="AE30" i="29"/>
  <c r="AD30" i="29"/>
  <c r="AA30" i="29"/>
  <c r="Z30" i="29"/>
  <c r="M30" i="29"/>
  <c r="AF29" i="29"/>
  <c r="W29" i="29"/>
  <c r="H29" i="29"/>
  <c r="AG28" i="29"/>
  <c r="AF28" i="29"/>
  <c r="W28" i="29"/>
  <c r="H28" i="29"/>
  <c r="AG27" i="29"/>
  <c r="AF27" i="29"/>
  <c r="W27" i="29"/>
  <c r="H27" i="29"/>
  <c r="AG26" i="29"/>
  <c r="AF26" i="29"/>
  <c r="W26" i="29"/>
  <c r="H26" i="29"/>
  <c r="AG25" i="29"/>
  <c r="AF25" i="29"/>
  <c r="W25" i="29"/>
  <c r="H25" i="29"/>
  <c r="AG24" i="29"/>
  <c r="W24" i="29"/>
  <c r="N24" i="29" s="1"/>
  <c r="P24" i="29"/>
  <c r="H24" i="29"/>
  <c r="W23" i="29"/>
  <c r="N23" i="29" s="1"/>
  <c r="H23" i="29"/>
  <c r="W22" i="29"/>
  <c r="N22" i="29" s="1"/>
  <c r="P22" i="29"/>
  <c r="H22" i="29"/>
  <c r="W21" i="29"/>
  <c r="N21" i="29" s="1"/>
  <c r="O21" i="29"/>
  <c r="H21" i="29"/>
  <c r="AG20" i="29"/>
  <c r="W20" i="29"/>
  <c r="N20" i="29" s="1"/>
  <c r="P20" i="29"/>
  <c r="H20" i="29"/>
  <c r="W19" i="29"/>
  <c r="N19" i="29" s="1"/>
  <c r="H19" i="29"/>
  <c r="AF18" i="29"/>
  <c r="W18" i="29"/>
  <c r="O18" i="29"/>
  <c r="N18" i="29"/>
  <c r="H18" i="29"/>
  <c r="AE17" i="29"/>
  <c r="AE2" i="29" s="1"/>
  <c r="AD17" i="29"/>
  <c r="AA17" i="29"/>
  <c r="AA2" i="29" s="1"/>
  <c r="Z17" i="29"/>
  <c r="W17" i="29"/>
  <c r="M17" i="29"/>
  <c r="W16" i="29"/>
  <c r="H16" i="29"/>
  <c r="W15" i="29"/>
  <c r="H15" i="29"/>
  <c r="H14" i="29"/>
  <c r="AG13" i="29"/>
  <c r="AF13" i="29"/>
  <c r="H13" i="29"/>
  <c r="W12" i="29"/>
  <c r="P12" i="29"/>
  <c r="N12" i="29"/>
  <c r="H12" i="29"/>
  <c r="W11" i="29"/>
  <c r="P11" i="29"/>
  <c r="N11" i="29"/>
  <c r="O11" i="29" s="1"/>
  <c r="H11" i="29"/>
  <c r="W10" i="29"/>
  <c r="P10" i="29"/>
  <c r="N10" i="29"/>
  <c r="H10" i="29"/>
  <c r="W9" i="29"/>
  <c r="P9" i="29"/>
  <c r="N9" i="29"/>
  <c r="O9" i="29" s="1"/>
  <c r="H9" i="29"/>
  <c r="W8" i="29"/>
  <c r="P8" i="29"/>
  <c r="N8" i="29"/>
  <c r="H8" i="29"/>
  <c r="W7" i="29"/>
  <c r="P7" i="29"/>
  <c r="N7" i="29"/>
  <c r="O7" i="29" s="1"/>
  <c r="H7" i="29"/>
  <c r="W6" i="29"/>
  <c r="P6" i="29"/>
  <c r="N6" i="29"/>
  <c r="H6" i="29"/>
  <c r="W5" i="29"/>
  <c r="P5" i="29"/>
  <c r="N5" i="29"/>
  <c r="H5" i="29"/>
  <c r="AD2" i="29"/>
  <c r="I2" i="29"/>
  <c r="E1" i="29"/>
  <c r="AE173" i="28"/>
  <c r="AD173" i="28"/>
  <c r="AA173" i="28"/>
  <c r="Z173" i="28"/>
  <c r="M173" i="28"/>
  <c r="W172" i="28"/>
  <c r="H172" i="28"/>
  <c r="W171" i="28"/>
  <c r="H171" i="28"/>
  <c r="AG170" i="28"/>
  <c r="AF170" i="28"/>
  <c r="W170" i="28"/>
  <c r="H170" i="28"/>
  <c r="AG169" i="28"/>
  <c r="AF169" i="28"/>
  <c r="W169" i="28"/>
  <c r="H169" i="28"/>
  <c r="AG168" i="28"/>
  <c r="AF168" i="28"/>
  <c r="H168" i="28"/>
  <c r="AG167" i="28"/>
  <c r="AF167" i="28"/>
  <c r="H167" i="28"/>
  <c r="AG166" i="28"/>
  <c r="AF166" i="28"/>
  <c r="H166" i="28"/>
  <c r="W165" i="28"/>
  <c r="N165" i="28" s="1"/>
  <c r="P165" i="28"/>
  <c r="H165" i="28"/>
  <c r="W164" i="28"/>
  <c r="N164" i="28" s="1"/>
  <c r="O164" i="28"/>
  <c r="H164" i="28"/>
  <c r="AG163" i="28"/>
  <c r="W163" i="28"/>
  <c r="N163" i="28" s="1"/>
  <c r="P163" i="28"/>
  <c r="H163" i="28"/>
  <c r="W162" i="28"/>
  <c r="N162" i="28" s="1"/>
  <c r="H162" i="28"/>
  <c r="W161" i="28"/>
  <c r="N161" i="28" s="1"/>
  <c r="O161" i="28"/>
  <c r="H161" i="28"/>
  <c r="AE160" i="28"/>
  <c r="AD160" i="28"/>
  <c r="AA160" i="28"/>
  <c r="Z160" i="28"/>
  <c r="M160" i="28"/>
  <c r="W159" i="28"/>
  <c r="H159" i="28"/>
  <c r="W158" i="28"/>
  <c r="H158" i="28"/>
  <c r="W157" i="28"/>
  <c r="H157" i="28"/>
  <c r="W156" i="28"/>
  <c r="H156" i="28"/>
  <c r="W155" i="28"/>
  <c r="H155" i="28"/>
  <c r="AG154" i="28"/>
  <c r="AF154" i="28"/>
  <c r="W154" i="28"/>
  <c r="H154" i="28"/>
  <c r="AG153" i="28"/>
  <c r="AF153" i="28"/>
  <c r="W153" i="28"/>
  <c r="H153" i="28"/>
  <c r="AG152" i="28"/>
  <c r="W152" i="28"/>
  <c r="N152" i="28" s="1"/>
  <c r="P152" i="28"/>
  <c r="H152" i="28"/>
  <c r="W151" i="28"/>
  <c r="N151" i="28" s="1"/>
  <c r="H151" i="28"/>
  <c r="W150" i="28"/>
  <c r="N150" i="28" s="1"/>
  <c r="P150" i="28"/>
  <c r="H150" i="28"/>
  <c r="W149" i="28"/>
  <c r="N149" i="28" s="1"/>
  <c r="O149" i="28"/>
  <c r="H149" i="28"/>
  <c r="W148" i="28"/>
  <c r="N148" i="28" s="1"/>
  <c r="O148" i="28" s="1"/>
  <c r="H148" i="28"/>
  <c r="AE147" i="28"/>
  <c r="AD147" i="28"/>
  <c r="AA147" i="28"/>
  <c r="Z147" i="28"/>
  <c r="W147" i="28"/>
  <c r="M147" i="28"/>
  <c r="W146" i="28"/>
  <c r="H146" i="28"/>
  <c r="AG145" i="28"/>
  <c r="AF145" i="28"/>
  <c r="W145" i="28"/>
  <c r="H145" i="28"/>
  <c r="AG144" i="28"/>
  <c r="AF144" i="28"/>
  <c r="H144" i="28"/>
  <c r="AG143" i="28"/>
  <c r="AF143" i="28"/>
  <c r="H143" i="28"/>
  <c r="AG142" i="28"/>
  <c r="AF142" i="28"/>
  <c r="H142" i="28"/>
  <c r="AG141" i="28"/>
  <c r="AF141" i="28"/>
  <c r="H141" i="28"/>
  <c r="AG140" i="28"/>
  <c r="W140" i="28"/>
  <c r="P140" i="28"/>
  <c r="N140" i="28"/>
  <c r="O140" i="28" s="1"/>
  <c r="H140" i="28"/>
  <c r="AF139" i="28"/>
  <c r="W139" i="28"/>
  <c r="O139" i="28"/>
  <c r="N139" i="28"/>
  <c r="P139" i="28"/>
  <c r="H139" i="28"/>
  <c r="AG138" i="28"/>
  <c r="W138" i="28"/>
  <c r="P138" i="28"/>
  <c r="N138" i="28"/>
  <c r="O138" i="28" s="1"/>
  <c r="H138" i="28"/>
  <c r="W137" i="28"/>
  <c r="N137" i="28"/>
  <c r="H137" i="28"/>
  <c r="W136" i="28"/>
  <c r="N136" i="28" s="1"/>
  <c r="P136" i="28"/>
  <c r="H136" i="28"/>
  <c r="W135" i="28"/>
  <c r="N135" i="28" s="1"/>
  <c r="P135" i="28"/>
  <c r="H135" i="28"/>
  <c r="AE134" i="28"/>
  <c r="AD134" i="28"/>
  <c r="AA134" i="28"/>
  <c r="Z134" i="28"/>
  <c r="M134" i="28"/>
  <c r="W133" i="28"/>
  <c r="H133" i="28"/>
  <c r="W132" i="28"/>
  <c r="H132" i="28"/>
  <c r="H131" i="28"/>
  <c r="H130" i="28"/>
  <c r="W129" i="28"/>
  <c r="N129" i="28"/>
  <c r="O129" i="28" s="1"/>
  <c r="H129" i="28"/>
  <c r="W128" i="28"/>
  <c r="N128" i="28" s="1"/>
  <c r="P128" i="28"/>
  <c r="H128" i="28"/>
  <c r="W127" i="28"/>
  <c r="N127" i="28"/>
  <c r="H127" i="28"/>
  <c r="AF126" i="28"/>
  <c r="W126" i="28"/>
  <c r="N126" i="28" s="1"/>
  <c r="P126" i="28"/>
  <c r="H126" i="28"/>
  <c r="W125" i="28"/>
  <c r="N125" i="28"/>
  <c r="H125" i="28"/>
  <c r="W124" i="28"/>
  <c r="N124" i="28" s="1"/>
  <c r="P124" i="28"/>
  <c r="H124" i="28"/>
  <c r="W123" i="28"/>
  <c r="N123" i="28"/>
  <c r="H123" i="28"/>
  <c r="W122" i="28"/>
  <c r="N122" i="28"/>
  <c r="AG122" i="28" s="1"/>
  <c r="H122" i="28"/>
  <c r="AE121" i="28"/>
  <c r="AD121" i="28"/>
  <c r="AA121" i="28"/>
  <c r="Z121" i="28"/>
  <c r="W121" i="28"/>
  <c r="M121" i="28"/>
  <c r="W120" i="28"/>
  <c r="H120" i="28"/>
  <c r="W119" i="28"/>
  <c r="H119" i="28"/>
  <c r="W118" i="28"/>
  <c r="H118" i="28"/>
  <c r="AG117" i="28"/>
  <c r="AF117" i="28"/>
  <c r="W117" i="28"/>
  <c r="AG116" i="28"/>
  <c r="AF116" i="28"/>
  <c r="H116" i="28"/>
  <c r="AG115" i="28"/>
  <c r="AF115" i="28"/>
  <c r="H115" i="28"/>
  <c r="W114" i="28"/>
  <c r="N114" i="28" s="1"/>
  <c r="P114" i="28"/>
  <c r="H114" i="28"/>
  <c r="W113" i="28"/>
  <c r="N113" i="28"/>
  <c r="P113" i="28"/>
  <c r="H113" i="28"/>
  <c r="W112" i="28"/>
  <c r="N112" i="28" s="1"/>
  <c r="P112" i="28"/>
  <c r="H112" i="28"/>
  <c r="W111" i="28"/>
  <c r="N111" i="28"/>
  <c r="P111" i="28"/>
  <c r="H111" i="28"/>
  <c r="W110" i="28"/>
  <c r="N110" i="28" s="1"/>
  <c r="P110" i="28"/>
  <c r="H110" i="28"/>
  <c r="W109" i="28"/>
  <c r="N109" i="28" s="1"/>
  <c r="P109" i="28"/>
  <c r="P121" i="28"/>
  <c r="H109" i="28"/>
  <c r="AE108" i="28"/>
  <c r="AD108" i="28"/>
  <c r="AA108" i="28"/>
  <c r="Z108" i="28"/>
  <c r="W108" i="28"/>
  <c r="M108" i="28"/>
  <c r="W107" i="28"/>
  <c r="H107" i="28"/>
  <c r="W106" i="28"/>
  <c r="H106" i="28"/>
  <c r="AG105" i="28"/>
  <c r="AF105" i="28"/>
  <c r="W105" i="28"/>
  <c r="H105" i="28"/>
  <c r="AG104" i="28"/>
  <c r="AF104" i="28"/>
  <c r="H104" i="28"/>
  <c r="AG103" i="28"/>
  <c r="AF103" i="28"/>
  <c r="H103" i="28"/>
  <c r="W102" i="28"/>
  <c r="N102" i="28" s="1"/>
  <c r="O102" i="28"/>
  <c r="P102" i="28"/>
  <c r="H102" i="28"/>
  <c r="AG101" i="28"/>
  <c r="W101" i="28"/>
  <c r="P101" i="28"/>
  <c r="N101" i="28"/>
  <c r="O101" i="28" s="1"/>
  <c r="R101" i="28" s="1"/>
  <c r="AF101" i="28"/>
  <c r="H101" i="28"/>
  <c r="W100" i="28"/>
  <c r="N100" i="28" s="1"/>
  <c r="O100" i="28"/>
  <c r="P100" i="28"/>
  <c r="H100" i="28"/>
  <c r="AG99" i="28"/>
  <c r="W99" i="28"/>
  <c r="Q99" i="28"/>
  <c r="P99" i="28"/>
  <c r="N99" i="28"/>
  <c r="O99" i="28" s="1"/>
  <c r="R99" i="28" s="1"/>
  <c r="AF99" i="28"/>
  <c r="H99" i="28"/>
  <c r="W98" i="28"/>
  <c r="N98" i="28" s="1"/>
  <c r="O98" i="28"/>
  <c r="P98" i="28"/>
  <c r="H98" i="28"/>
  <c r="AG97" i="28"/>
  <c r="W97" i="28"/>
  <c r="Q97" i="28"/>
  <c r="P97" i="28"/>
  <c r="N97" i="28"/>
  <c r="O97" i="28" s="1"/>
  <c r="AF97" i="28"/>
  <c r="H97" i="28"/>
  <c r="AF96" i="28"/>
  <c r="W96" i="28"/>
  <c r="N96" i="28" s="1"/>
  <c r="P96" i="28"/>
  <c r="H96" i="28"/>
  <c r="AE95" i="28"/>
  <c r="AD95" i="28"/>
  <c r="AA95" i="28"/>
  <c r="Z95" i="28"/>
  <c r="M95" i="28"/>
  <c r="AG94" i="28"/>
  <c r="AF94" i="28"/>
  <c r="W94" i="28"/>
  <c r="H94" i="28"/>
  <c r="AG93" i="28"/>
  <c r="AF93" i="28"/>
  <c r="W93" i="28"/>
  <c r="H93" i="28"/>
  <c r="AG92" i="28"/>
  <c r="AF92" i="28"/>
  <c r="H92" i="28"/>
  <c r="AG91" i="28"/>
  <c r="AF91" i="28"/>
  <c r="H91" i="28"/>
  <c r="AG90" i="28"/>
  <c r="AF90" i="28"/>
  <c r="H90" i="28"/>
  <c r="W89" i="28"/>
  <c r="N89" i="28"/>
  <c r="P89" i="28"/>
  <c r="H89" i="28"/>
  <c r="W88" i="28"/>
  <c r="N88" i="28" s="1"/>
  <c r="P88" i="28"/>
  <c r="H88" i="28"/>
  <c r="W87" i="28"/>
  <c r="N87" i="28"/>
  <c r="P87" i="28"/>
  <c r="H87" i="28"/>
  <c r="W86" i="28"/>
  <c r="N86" i="28" s="1"/>
  <c r="P86" i="28"/>
  <c r="H86" i="28"/>
  <c r="W85" i="28"/>
  <c r="N85" i="28"/>
  <c r="P85" i="28"/>
  <c r="H85" i="28"/>
  <c r="W84" i="28"/>
  <c r="N84" i="28" s="1"/>
  <c r="P84" i="28"/>
  <c r="H84" i="28"/>
  <c r="W83" i="28"/>
  <c r="N83" i="28" s="1"/>
  <c r="P83" i="28"/>
  <c r="H83" i="28"/>
  <c r="AE82" i="28"/>
  <c r="AD82" i="28"/>
  <c r="AA82" i="28"/>
  <c r="Z82" i="28"/>
  <c r="M82" i="28"/>
  <c r="W81" i="28"/>
  <c r="AG80" i="28"/>
  <c r="AF80" i="28"/>
  <c r="W80" i="28"/>
  <c r="H80" i="28"/>
  <c r="AG79" i="28"/>
  <c r="AF79" i="28"/>
  <c r="W79" i="28"/>
  <c r="H79" i="28"/>
  <c r="AG78" i="28"/>
  <c r="AF78" i="28"/>
  <c r="H78" i="28"/>
  <c r="AG77" i="28"/>
  <c r="AF77" i="28"/>
  <c r="H77" i="28"/>
  <c r="AG76" i="28"/>
  <c r="AF76" i="28"/>
  <c r="H76" i="28"/>
  <c r="W75" i="28"/>
  <c r="N75" i="28"/>
  <c r="P75" i="28"/>
  <c r="H75" i="28"/>
  <c r="AF74" i="28"/>
  <c r="W74" i="28"/>
  <c r="N74" i="28" s="1"/>
  <c r="P74" i="28"/>
  <c r="H74" i="28"/>
  <c r="W73" i="28"/>
  <c r="N73" i="28"/>
  <c r="P73" i="28"/>
  <c r="H73" i="28"/>
  <c r="AF72" i="28"/>
  <c r="W72" i="28"/>
  <c r="N72" i="28" s="1"/>
  <c r="P72" i="28"/>
  <c r="H72" i="28"/>
  <c r="W71" i="28"/>
  <c r="N71" i="28"/>
  <c r="P71" i="28"/>
  <c r="H71" i="28"/>
  <c r="AG70" i="28"/>
  <c r="W70" i="28"/>
  <c r="N70" i="28"/>
  <c r="P70" i="28"/>
  <c r="H70" i="28"/>
  <c r="AE69" i="28"/>
  <c r="AD69" i="28"/>
  <c r="AA69" i="28"/>
  <c r="Z69" i="28"/>
  <c r="W69" i="28"/>
  <c r="M69" i="28"/>
  <c r="W68" i="28"/>
  <c r="H68" i="28"/>
  <c r="AG67" i="28"/>
  <c r="AF67" i="28"/>
  <c r="W67" i="28"/>
  <c r="H67" i="28"/>
  <c r="AG66" i="28"/>
  <c r="AF66" i="28"/>
  <c r="W66" i="28"/>
  <c r="H66" i="28"/>
  <c r="AG65" i="28"/>
  <c r="AF65" i="28"/>
  <c r="W65" i="28"/>
  <c r="H65" i="28"/>
  <c r="AG64" i="28"/>
  <c r="AF64" i="28"/>
  <c r="H64" i="28"/>
  <c r="AG63" i="28"/>
  <c r="AF63" i="28"/>
  <c r="H63" i="28"/>
  <c r="AG62" i="28"/>
  <c r="AF62" i="28"/>
  <c r="H62" i="28"/>
  <c r="W61" i="28"/>
  <c r="N61" i="28"/>
  <c r="P61" i="28"/>
  <c r="H61" i="28"/>
  <c r="W60" i="28"/>
  <c r="N60" i="28" s="1"/>
  <c r="P60" i="28"/>
  <c r="O60" i="28"/>
  <c r="H60" i="28"/>
  <c r="W59" i="28"/>
  <c r="N59" i="28"/>
  <c r="P59" i="28"/>
  <c r="H59" i="28"/>
  <c r="W58" i="28"/>
  <c r="N58" i="28" s="1"/>
  <c r="P58" i="28"/>
  <c r="O58" i="28"/>
  <c r="H58" i="28"/>
  <c r="W57" i="28"/>
  <c r="N57" i="28" s="1"/>
  <c r="P57" i="28"/>
  <c r="O57" i="28"/>
  <c r="P69" i="28"/>
  <c r="H57" i="28"/>
  <c r="AE56" i="28"/>
  <c r="AD56" i="28"/>
  <c r="AA56" i="28"/>
  <c r="Z56" i="28"/>
  <c r="W56" i="28"/>
  <c r="M56" i="28"/>
  <c r="W55" i="28"/>
  <c r="H55" i="28"/>
  <c r="AG54" i="28"/>
  <c r="AF54" i="28"/>
  <c r="W54" i="28"/>
  <c r="H54" i="28"/>
  <c r="AG53" i="28"/>
  <c r="AF53" i="28"/>
  <c r="W53" i="28"/>
  <c r="H53" i="28"/>
  <c r="AG52" i="28"/>
  <c r="AF52" i="28"/>
  <c r="W52" i="28"/>
  <c r="H52" i="28"/>
  <c r="AF51" i="28"/>
  <c r="W51" i="28"/>
  <c r="P51" i="28"/>
  <c r="N51" i="28"/>
  <c r="O51" i="28" s="1"/>
  <c r="Q51" i="28" s="1"/>
  <c r="R51" i="28"/>
  <c r="H51" i="28"/>
  <c r="W50" i="28"/>
  <c r="O50" i="28"/>
  <c r="N50" i="28"/>
  <c r="R50" i="28"/>
  <c r="P50" i="28"/>
  <c r="H50" i="28"/>
  <c r="W49" i="28"/>
  <c r="P49" i="28"/>
  <c r="N49" i="28"/>
  <c r="O49" i="28" s="1"/>
  <c r="Q49" i="28"/>
  <c r="AG49" i="28"/>
  <c r="H49" i="28"/>
  <c r="W48" i="28"/>
  <c r="O48" i="28"/>
  <c r="N48" i="28"/>
  <c r="R48" i="28"/>
  <c r="P48" i="28"/>
  <c r="H48" i="28"/>
  <c r="W47" i="28"/>
  <c r="N47" i="28"/>
  <c r="O47" i="28" s="1"/>
  <c r="Q47" i="28"/>
  <c r="AG47" i="28"/>
  <c r="P47" i="28"/>
  <c r="H47" i="28"/>
  <c r="W46" i="28"/>
  <c r="N46" i="28" s="1"/>
  <c r="H46" i="28"/>
  <c r="W45" i="28"/>
  <c r="N45" i="28" s="1"/>
  <c r="P45" i="28"/>
  <c r="H45" i="28"/>
  <c r="W44" i="28"/>
  <c r="N44" i="28" s="1"/>
  <c r="P44" i="28"/>
  <c r="H44" i="28"/>
  <c r="AE43" i="28"/>
  <c r="AD43" i="28"/>
  <c r="AA43" i="28"/>
  <c r="Z43" i="28"/>
  <c r="M43" i="28"/>
  <c r="W42" i="28"/>
  <c r="H42" i="28"/>
  <c r="W41" i="28"/>
  <c r="AG40" i="28"/>
  <c r="AF40" i="28"/>
  <c r="W40" i="28"/>
  <c r="H40" i="28"/>
  <c r="AG39" i="28"/>
  <c r="AF39" i="28"/>
  <c r="W39" i="28"/>
  <c r="H39" i="28"/>
  <c r="AG38" i="28"/>
  <c r="AF38" i="28"/>
  <c r="H38" i="28"/>
  <c r="W37" i="28"/>
  <c r="N37" i="28" s="1"/>
  <c r="H37" i="28"/>
  <c r="W36" i="28"/>
  <c r="N36" i="28" s="1"/>
  <c r="P36" i="28"/>
  <c r="H36" i="28"/>
  <c r="W35" i="28"/>
  <c r="N35" i="28" s="1"/>
  <c r="H35" i="28"/>
  <c r="W34" i="28"/>
  <c r="N34" i="28" s="1"/>
  <c r="P34" i="28"/>
  <c r="H34" i="28"/>
  <c r="W33" i="28"/>
  <c r="N33" i="28" s="1"/>
  <c r="H33" i="28"/>
  <c r="W32" i="28"/>
  <c r="N32" i="28" s="1"/>
  <c r="P32" i="28"/>
  <c r="H32" i="28"/>
  <c r="W31" i="28"/>
  <c r="N31" i="28" s="1"/>
  <c r="P31" i="28"/>
  <c r="H31" i="28"/>
  <c r="AE30" i="28"/>
  <c r="AD30" i="28"/>
  <c r="AA30" i="28"/>
  <c r="Z30" i="28"/>
  <c r="M30" i="28"/>
  <c r="AF29" i="28"/>
  <c r="W29" i="28"/>
  <c r="H29" i="28"/>
  <c r="AG28" i="28"/>
  <c r="AF28" i="28"/>
  <c r="W28" i="28"/>
  <c r="H28" i="28"/>
  <c r="AG27" i="28"/>
  <c r="AF27" i="28"/>
  <c r="W27" i="28"/>
  <c r="H27" i="28"/>
  <c r="AG26" i="28"/>
  <c r="AF26" i="28"/>
  <c r="W26" i="28"/>
  <c r="H26" i="28"/>
  <c r="AG25" i="28"/>
  <c r="AF25" i="28"/>
  <c r="W25" i="28"/>
  <c r="H25" i="28"/>
  <c r="AG24" i="28"/>
  <c r="AF24" i="28"/>
  <c r="W24" i="28"/>
  <c r="H24" i="28"/>
  <c r="AG23" i="28"/>
  <c r="AF23" i="28"/>
  <c r="W23" i="28"/>
  <c r="H23" i="28"/>
  <c r="W22" i="28"/>
  <c r="N22" i="28" s="1"/>
  <c r="P22" i="28"/>
  <c r="H22" i="28"/>
  <c r="W21" i="28"/>
  <c r="P21" i="28"/>
  <c r="N21" i="28"/>
  <c r="AG21" i="28" s="1"/>
  <c r="H21" i="28"/>
  <c r="W20" i="28"/>
  <c r="N20" i="28" s="1"/>
  <c r="H20" i="28"/>
  <c r="W19" i="28"/>
  <c r="P19" i="28"/>
  <c r="N19" i="28"/>
  <c r="AG19" i="28" s="1"/>
  <c r="H19" i="28"/>
  <c r="AF18" i="28"/>
  <c r="W18" i="28"/>
  <c r="P18" i="28"/>
  <c r="N18" i="28"/>
  <c r="O18" i="28" s="1"/>
  <c r="H18" i="28"/>
  <c r="AE17" i="28"/>
  <c r="AE2" i="28" s="1"/>
  <c r="AD17" i="28"/>
  <c r="AA17" i="28"/>
  <c r="Z17" i="28"/>
  <c r="Z2" i="28" s="1"/>
  <c r="W17" i="28"/>
  <c r="M17" i="28"/>
  <c r="W16" i="28"/>
  <c r="H16" i="28"/>
  <c r="W15" i="28"/>
  <c r="H15" i="28"/>
  <c r="H14" i="28"/>
  <c r="W13" i="28"/>
  <c r="N13" i="28" s="1"/>
  <c r="P13" i="28"/>
  <c r="H13" i="28"/>
  <c r="AG12" i="28"/>
  <c r="W12" i="28"/>
  <c r="P12" i="28"/>
  <c r="N12" i="28"/>
  <c r="AF12" i="28" s="1"/>
  <c r="H12" i="28"/>
  <c r="W11" i="28"/>
  <c r="N11" i="28" s="1"/>
  <c r="P11" i="28"/>
  <c r="H11" i="28"/>
  <c r="AG10" i="28"/>
  <c r="W10" i="28"/>
  <c r="P10" i="28"/>
  <c r="N10" i="28"/>
  <c r="AF10" i="28" s="1"/>
  <c r="H10" i="28"/>
  <c r="W9" i="28"/>
  <c r="N9" i="28" s="1"/>
  <c r="P9" i="28"/>
  <c r="H9" i="28"/>
  <c r="W8" i="28"/>
  <c r="P8" i="28"/>
  <c r="N8" i="28"/>
  <c r="H8" i="28"/>
  <c r="W7" i="28"/>
  <c r="N7" i="28" s="1"/>
  <c r="AG7" i="28" s="1"/>
  <c r="P7" i="28"/>
  <c r="H7" i="28"/>
  <c r="W6" i="28"/>
  <c r="P6" i="28"/>
  <c r="N6" i="28"/>
  <c r="H6" i="28"/>
  <c r="AF5" i="28"/>
  <c r="W5" i="28"/>
  <c r="P5" i="28"/>
  <c r="N5" i="28"/>
  <c r="AG5" i="28" s="1"/>
  <c r="P17" i="28"/>
  <c r="H5" i="28"/>
  <c r="AD2" i="28"/>
  <c r="AA2" i="28"/>
  <c r="I2" i="28"/>
  <c r="I1" i="28"/>
  <c r="E1" i="28"/>
  <c r="AE173" i="27"/>
  <c r="AD173" i="27"/>
  <c r="AA173" i="27"/>
  <c r="Z173" i="27"/>
  <c r="M173" i="27"/>
  <c r="W172" i="27"/>
  <c r="H172" i="27"/>
  <c r="W171" i="27"/>
  <c r="H171" i="27"/>
  <c r="AG170" i="27"/>
  <c r="AF170" i="27"/>
  <c r="W170" i="27"/>
  <c r="H170" i="27"/>
  <c r="AG169" i="27"/>
  <c r="AF169" i="27"/>
  <c r="W169" i="27"/>
  <c r="H169" i="27"/>
  <c r="AG168" i="27"/>
  <c r="AF168" i="27"/>
  <c r="H168" i="27"/>
  <c r="AG167" i="27"/>
  <c r="AF167" i="27"/>
  <c r="H167" i="27"/>
  <c r="AG166" i="27"/>
  <c r="AF166" i="27"/>
  <c r="H166" i="27"/>
  <c r="AF165" i="27"/>
  <c r="W165" i="27"/>
  <c r="N165" i="27" s="1"/>
  <c r="O165" i="27" s="1"/>
  <c r="P165" i="27"/>
  <c r="Q165" i="27"/>
  <c r="H165" i="27"/>
  <c r="W164" i="27"/>
  <c r="N164" i="27"/>
  <c r="H164" i="27"/>
  <c r="W163" i="27"/>
  <c r="N163" i="27" s="1"/>
  <c r="P163" i="27"/>
  <c r="H163" i="27"/>
  <c r="W162" i="27"/>
  <c r="N162" i="27" s="1"/>
  <c r="H162" i="27"/>
  <c r="AG161" i="27"/>
  <c r="W161" i="27"/>
  <c r="O161" i="27"/>
  <c r="N161" i="27"/>
  <c r="H161" i="27"/>
  <c r="AE160" i="27"/>
  <c r="AD160" i="27"/>
  <c r="AA160" i="27"/>
  <c r="Z160" i="27"/>
  <c r="M160" i="27"/>
  <c r="W159" i="27"/>
  <c r="H159" i="27"/>
  <c r="W158" i="27"/>
  <c r="H158" i="27"/>
  <c r="W157" i="27"/>
  <c r="H157" i="27"/>
  <c r="W156" i="27"/>
  <c r="H156" i="27"/>
  <c r="W155" i="27"/>
  <c r="H155" i="27"/>
  <c r="AG154" i="27"/>
  <c r="AF154" i="27"/>
  <c r="W154" i="27"/>
  <c r="H154" i="27"/>
  <c r="AG153" i="27"/>
  <c r="AF153" i="27"/>
  <c r="W153" i="27"/>
  <c r="H153" i="27"/>
  <c r="AG152" i="27"/>
  <c r="W152" i="27"/>
  <c r="N152" i="27" s="1"/>
  <c r="O152" i="27" s="1"/>
  <c r="P152" i="27"/>
  <c r="AF152" i="27"/>
  <c r="H152" i="27"/>
  <c r="W151" i="27"/>
  <c r="O151" i="27"/>
  <c r="N151" i="27"/>
  <c r="H151" i="27"/>
  <c r="W150" i="27"/>
  <c r="N150" i="27" s="1"/>
  <c r="P150" i="27"/>
  <c r="H150" i="27"/>
  <c r="W149" i="27"/>
  <c r="P149" i="27"/>
  <c r="N149" i="27"/>
  <c r="H149" i="27"/>
  <c r="W148" i="27"/>
  <c r="P148" i="27"/>
  <c r="N148" i="27"/>
  <c r="H148" i="27"/>
  <c r="AE147" i="27"/>
  <c r="AD147" i="27"/>
  <c r="AA147" i="27"/>
  <c r="Z147" i="27"/>
  <c r="W147" i="27"/>
  <c r="M147" i="27"/>
  <c r="W146" i="27"/>
  <c r="H146" i="27"/>
  <c r="AG145" i="27"/>
  <c r="AF145" i="27"/>
  <c r="W145" i="27"/>
  <c r="H145" i="27"/>
  <c r="AG144" i="27"/>
  <c r="AF144" i="27"/>
  <c r="H144" i="27"/>
  <c r="AG143" i="27"/>
  <c r="AF143" i="27"/>
  <c r="H143" i="27"/>
  <c r="AG142" i="27"/>
  <c r="AF142" i="27"/>
  <c r="H142" i="27"/>
  <c r="AG141" i="27"/>
  <c r="AF141" i="27"/>
  <c r="H141" i="27"/>
  <c r="W140" i="27"/>
  <c r="N140" i="27" s="1"/>
  <c r="O140" i="27"/>
  <c r="H140" i="27"/>
  <c r="AG139" i="27"/>
  <c r="W139" i="27"/>
  <c r="N139" i="27" s="1"/>
  <c r="P139" i="27"/>
  <c r="H139" i="27"/>
  <c r="W138" i="27"/>
  <c r="N138" i="27" s="1"/>
  <c r="O138" i="27" s="1"/>
  <c r="H138" i="27"/>
  <c r="AG137" i="27"/>
  <c r="W137" i="27"/>
  <c r="N137" i="27" s="1"/>
  <c r="P137" i="27"/>
  <c r="H137" i="27"/>
  <c r="W136" i="27"/>
  <c r="N136" i="27" s="1"/>
  <c r="H136" i="27"/>
  <c r="W135" i="27"/>
  <c r="O135" i="27"/>
  <c r="N135" i="27"/>
  <c r="AG135" i="27" s="1"/>
  <c r="H135" i="27"/>
  <c r="AE134" i="27"/>
  <c r="AD134" i="27"/>
  <c r="AA134" i="27"/>
  <c r="Z134" i="27"/>
  <c r="M134" i="27"/>
  <c r="W133" i="27"/>
  <c r="H133" i="27"/>
  <c r="W132" i="27"/>
  <c r="H132" i="27"/>
  <c r="H131" i="27"/>
  <c r="H130" i="27"/>
  <c r="W129" i="27"/>
  <c r="Q129" i="27"/>
  <c r="P129" i="27"/>
  <c r="N129" i="27"/>
  <c r="O129" i="27" s="1"/>
  <c r="H129" i="27"/>
  <c r="W128" i="27"/>
  <c r="N128" i="27" s="1"/>
  <c r="P128" i="27"/>
  <c r="H128" i="27"/>
  <c r="AG127" i="27"/>
  <c r="W127" i="27"/>
  <c r="P127" i="27"/>
  <c r="N127" i="27"/>
  <c r="AF127" i="27" s="1"/>
  <c r="H127" i="27"/>
  <c r="W126" i="27"/>
  <c r="N126" i="27" s="1"/>
  <c r="O126" i="27"/>
  <c r="P126" i="27"/>
  <c r="H126" i="27"/>
  <c r="AG125" i="27"/>
  <c r="W125" i="27"/>
  <c r="P125" i="27"/>
  <c r="N125" i="27"/>
  <c r="AF125" i="27" s="1"/>
  <c r="H125" i="27"/>
  <c r="W124" i="27"/>
  <c r="N124" i="27" s="1"/>
  <c r="O124" i="27"/>
  <c r="P124" i="27"/>
  <c r="H124" i="27"/>
  <c r="AG123" i="27"/>
  <c r="W123" i="27"/>
  <c r="N123" i="27"/>
  <c r="AF123" i="27" s="1"/>
  <c r="P123" i="27"/>
  <c r="H123" i="27"/>
  <c r="W122" i="27"/>
  <c r="N122" i="27" s="1"/>
  <c r="P122" i="27"/>
  <c r="P134" i="27"/>
  <c r="H122" i="27"/>
  <c r="AE121" i="27"/>
  <c r="AD121" i="27"/>
  <c r="AA121" i="27"/>
  <c r="Z121" i="27"/>
  <c r="W121" i="27"/>
  <c r="M121" i="27"/>
  <c r="W120" i="27"/>
  <c r="H120" i="27"/>
  <c r="W119" i="27"/>
  <c r="H119" i="27"/>
  <c r="W118" i="27"/>
  <c r="H118" i="27"/>
  <c r="AG117" i="27"/>
  <c r="AF117" i="27"/>
  <c r="W117" i="27"/>
  <c r="AG116" i="27"/>
  <c r="AF116" i="27"/>
  <c r="H116" i="27"/>
  <c r="AG115" i="27"/>
  <c r="AF115" i="27"/>
  <c r="H115" i="27"/>
  <c r="W114" i="27"/>
  <c r="N114" i="27" s="1"/>
  <c r="O114" i="27"/>
  <c r="H114" i="27"/>
  <c r="AG113" i="27"/>
  <c r="W113" i="27"/>
  <c r="N113" i="27" s="1"/>
  <c r="P113" i="27"/>
  <c r="H113" i="27"/>
  <c r="W112" i="27"/>
  <c r="N112" i="27" s="1"/>
  <c r="O112" i="27" s="1"/>
  <c r="H112" i="27"/>
  <c r="W111" i="27"/>
  <c r="N111" i="27" s="1"/>
  <c r="P111" i="27"/>
  <c r="H111" i="27"/>
  <c r="W110" i="27"/>
  <c r="N110" i="27" s="1"/>
  <c r="O110" i="27"/>
  <c r="H110" i="27"/>
  <c r="AF109" i="27"/>
  <c r="W109" i="27"/>
  <c r="O109" i="27"/>
  <c r="N109" i="27"/>
  <c r="H109" i="27"/>
  <c r="AE108" i="27"/>
  <c r="AD108" i="27"/>
  <c r="AA108" i="27"/>
  <c r="Z108" i="27"/>
  <c r="W108" i="27"/>
  <c r="M108" i="27"/>
  <c r="W107" i="27"/>
  <c r="H107" i="27"/>
  <c r="W106" i="27"/>
  <c r="H106" i="27"/>
  <c r="AG105" i="27"/>
  <c r="AF105" i="27"/>
  <c r="W105" i="27"/>
  <c r="H105" i="27"/>
  <c r="AG104" i="27"/>
  <c r="AF104" i="27"/>
  <c r="W104" i="27"/>
  <c r="H104" i="27"/>
  <c r="AG103" i="27"/>
  <c r="AF103" i="27"/>
  <c r="W103" i="27"/>
  <c r="H103" i="27"/>
  <c r="W102" i="27"/>
  <c r="P102" i="27"/>
  <c r="N102" i="27"/>
  <c r="O102" i="27" s="1"/>
  <c r="H102" i="27"/>
  <c r="W101" i="27"/>
  <c r="P101" i="27"/>
  <c r="N101" i="27"/>
  <c r="H101" i="27"/>
  <c r="W100" i="27"/>
  <c r="P100" i="27"/>
  <c r="N100" i="27"/>
  <c r="O100" i="27" s="1"/>
  <c r="H100" i="27"/>
  <c r="W99" i="27"/>
  <c r="P99" i="27"/>
  <c r="N99" i="27"/>
  <c r="H99" i="27"/>
  <c r="W98" i="27"/>
  <c r="P98" i="27"/>
  <c r="N98" i="27"/>
  <c r="O98" i="27" s="1"/>
  <c r="H98" i="27"/>
  <c r="W97" i="27"/>
  <c r="P97" i="27"/>
  <c r="N97" i="27"/>
  <c r="H97" i="27"/>
  <c r="W96" i="27"/>
  <c r="P96" i="27"/>
  <c r="N96" i="27"/>
  <c r="H96" i="27"/>
  <c r="AE95" i="27"/>
  <c r="AD95" i="27"/>
  <c r="AA95" i="27"/>
  <c r="Z95" i="27"/>
  <c r="M95" i="27"/>
  <c r="P95" i="27" s="1"/>
  <c r="AG94" i="27"/>
  <c r="AF94" i="27"/>
  <c r="W94" i="27"/>
  <c r="H94" i="27"/>
  <c r="AG93" i="27"/>
  <c r="AF93" i="27"/>
  <c r="W93" i="27"/>
  <c r="H93" i="27"/>
  <c r="AG92" i="27"/>
  <c r="AF92" i="27"/>
  <c r="H92" i="27"/>
  <c r="AG91" i="27"/>
  <c r="AF91" i="27"/>
  <c r="H91" i="27"/>
  <c r="W90" i="27"/>
  <c r="P90" i="27"/>
  <c r="N90" i="27"/>
  <c r="H90" i="27"/>
  <c r="W89" i="27"/>
  <c r="P89" i="27"/>
  <c r="N89" i="27"/>
  <c r="O89" i="27" s="1"/>
  <c r="H89" i="27"/>
  <c r="W88" i="27"/>
  <c r="P88" i="27"/>
  <c r="N88" i="27"/>
  <c r="H88" i="27"/>
  <c r="W87" i="27"/>
  <c r="P87" i="27"/>
  <c r="N87" i="27"/>
  <c r="O87" i="27" s="1"/>
  <c r="H87" i="27"/>
  <c r="W86" i="27"/>
  <c r="P86" i="27"/>
  <c r="N86" i="27"/>
  <c r="H86" i="27"/>
  <c r="W85" i="27"/>
  <c r="P85" i="27"/>
  <c r="N85" i="27"/>
  <c r="O85" i="27" s="1"/>
  <c r="H85" i="27"/>
  <c r="W84" i="27"/>
  <c r="P84" i="27"/>
  <c r="N84" i="27"/>
  <c r="H84" i="27"/>
  <c r="W83" i="27"/>
  <c r="P83" i="27"/>
  <c r="N83" i="27"/>
  <c r="H83" i="27"/>
  <c r="AE82" i="27"/>
  <c r="AD82" i="27"/>
  <c r="AA82" i="27"/>
  <c r="Z82" i="27"/>
  <c r="M82" i="27"/>
  <c r="W81" i="27"/>
  <c r="AG80" i="27"/>
  <c r="AF80" i="27"/>
  <c r="W80" i="27"/>
  <c r="H80" i="27"/>
  <c r="AG79" i="27"/>
  <c r="AF79" i="27"/>
  <c r="W79" i="27"/>
  <c r="H79" i="27"/>
  <c r="AG78" i="27"/>
  <c r="AF78" i="27"/>
  <c r="H78" i="27"/>
  <c r="AG77" i="27"/>
  <c r="AF77" i="27"/>
  <c r="H77" i="27"/>
  <c r="AG76" i="27"/>
  <c r="AF76" i="27"/>
  <c r="H76" i="27"/>
  <c r="W75" i="27"/>
  <c r="P75" i="27"/>
  <c r="N75" i="27"/>
  <c r="O75" i="27" s="1"/>
  <c r="H75" i="27"/>
  <c r="W74" i="27"/>
  <c r="P74" i="27"/>
  <c r="N74" i="27"/>
  <c r="H74" i="27"/>
  <c r="W73" i="27"/>
  <c r="P73" i="27"/>
  <c r="N73" i="27"/>
  <c r="O73" i="27" s="1"/>
  <c r="H73" i="27"/>
  <c r="W72" i="27"/>
  <c r="P72" i="27"/>
  <c r="N72" i="27"/>
  <c r="H72" i="27"/>
  <c r="W71" i="27"/>
  <c r="P71" i="27"/>
  <c r="N71" i="27"/>
  <c r="O71" i="27" s="1"/>
  <c r="H71" i="27"/>
  <c r="W70" i="27"/>
  <c r="N70" i="27" s="1"/>
  <c r="P70" i="27"/>
  <c r="H70" i="27"/>
  <c r="AE69" i="27"/>
  <c r="AD69" i="27"/>
  <c r="AA69" i="27"/>
  <c r="Z69" i="27"/>
  <c r="W69" i="27"/>
  <c r="M69" i="27"/>
  <c r="P69" i="27"/>
  <c r="W68" i="27"/>
  <c r="H68" i="27"/>
  <c r="AG67" i="27"/>
  <c r="AF67" i="27"/>
  <c r="W67" i="27"/>
  <c r="H67" i="27"/>
  <c r="AG66" i="27"/>
  <c r="AF66" i="27"/>
  <c r="W66" i="27"/>
  <c r="H66" i="27"/>
  <c r="AG65" i="27"/>
  <c r="AF65" i="27"/>
  <c r="W65" i="27"/>
  <c r="H65" i="27"/>
  <c r="AG64" i="27"/>
  <c r="AF64" i="27"/>
  <c r="H64" i="27"/>
  <c r="AG63" i="27"/>
  <c r="AF63" i="27"/>
  <c r="H63" i="27"/>
  <c r="AG62" i="27"/>
  <c r="AF62" i="27"/>
  <c r="H62" i="27"/>
  <c r="W61" i="27"/>
  <c r="P61" i="27"/>
  <c r="N61" i="27"/>
  <c r="O61" i="27" s="1"/>
  <c r="H61" i="27"/>
  <c r="W60" i="27"/>
  <c r="P60" i="27"/>
  <c r="N60" i="27"/>
  <c r="H60" i="27"/>
  <c r="W59" i="27"/>
  <c r="P59" i="27"/>
  <c r="N59" i="27"/>
  <c r="O59" i="27" s="1"/>
  <c r="H59" i="27"/>
  <c r="W58" i="27"/>
  <c r="P58" i="27"/>
  <c r="N58" i="27"/>
  <c r="H58" i="27"/>
  <c r="W57" i="27"/>
  <c r="P57" i="27"/>
  <c r="N57" i="27"/>
  <c r="H57" i="27"/>
  <c r="AE56" i="27"/>
  <c r="AD56" i="27"/>
  <c r="AA56" i="27"/>
  <c r="Z56" i="27"/>
  <c r="W56" i="27"/>
  <c r="M56" i="27"/>
  <c r="W55" i="27"/>
  <c r="H55" i="27"/>
  <c r="AG54" i="27"/>
  <c r="AF54" i="27"/>
  <c r="W54" i="27"/>
  <c r="H54" i="27"/>
  <c r="AG53" i="27"/>
  <c r="AF53" i="27"/>
  <c r="W53" i="27"/>
  <c r="H53" i="27"/>
  <c r="AG52" i="27"/>
  <c r="AF52" i="27"/>
  <c r="W52" i="27"/>
  <c r="H52" i="27"/>
  <c r="AG51" i="27"/>
  <c r="W51" i="27"/>
  <c r="N51" i="27" s="1"/>
  <c r="AF51" i="27" s="1"/>
  <c r="O51" i="27"/>
  <c r="Q51" i="27"/>
  <c r="P51" i="27"/>
  <c r="H51" i="27"/>
  <c r="W50" i="27"/>
  <c r="N50" i="27" s="1"/>
  <c r="AF50" i="27" s="1"/>
  <c r="O50" i="27"/>
  <c r="P50" i="27"/>
  <c r="H50" i="27"/>
  <c r="W49" i="27"/>
  <c r="N49" i="27" s="1"/>
  <c r="AF49" i="27" s="1"/>
  <c r="P49" i="27"/>
  <c r="H49" i="27"/>
  <c r="W48" i="27"/>
  <c r="N48" i="27" s="1"/>
  <c r="AF48" i="27" s="1"/>
  <c r="P48" i="27"/>
  <c r="H48" i="27"/>
  <c r="AG47" i="27"/>
  <c r="W47" i="27"/>
  <c r="O47" i="27"/>
  <c r="N47" i="27"/>
  <c r="P47" i="27"/>
  <c r="H47" i="27"/>
  <c r="W46" i="27"/>
  <c r="N46" i="27" s="1"/>
  <c r="P46" i="27"/>
  <c r="H46" i="27"/>
  <c r="W45" i="27"/>
  <c r="N45" i="27" s="1"/>
  <c r="H45" i="27"/>
  <c r="W44" i="27"/>
  <c r="N44" i="27" s="1"/>
  <c r="P56" i="27"/>
  <c r="H44" i="27"/>
  <c r="AE43" i="27"/>
  <c r="AD43" i="27"/>
  <c r="AA43" i="27"/>
  <c r="Z43" i="27"/>
  <c r="M43" i="27"/>
  <c r="W42" i="27"/>
  <c r="H42" i="27"/>
  <c r="W41" i="27"/>
  <c r="AG40" i="27"/>
  <c r="AF40" i="27"/>
  <c r="W40" i="27"/>
  <c r="H40" i="27"/>
  <c r="AG39" i="27"/>
  <c r="AF39" i="27"/>
  <c r="W39" i="27"/>
  <c r="H39" i="27"/>
  <c r="AG38" i="27"/>
  <c r="AF38" i="27"/>
  <c r="H38" i="27"/>
  <c r="AG37" i="27"/>
  <c r="W37" i="27"/>
  <c r="N37" i="27"/>
  <c r="AF37" i="27" s="1"/>
  <c r="P37" i="27"/>
  <c r="H37" i="27"/>
  <c r="W36" i="27"/>
  <c r="N36" i="27" s="1"/>
  <c r="P36" i="27"/>
  <c r="H36" i="27"/>
  <c r="AG35" i="27"/>
  <c r="W35" i="27"/>
  <c r="N35" i="27"/>
  <c r="AF35" i="27" s="1"/>
  <c r="P35" i="27"/>
  <c r="H35" i="27"/>
  <c r="W34" i="27"/>
  <c r="N34" i="27" s="1"/>
  <c r="P34" i="27"/>
  <c r="H34" i="27"/>
  <c r="AG33" i="27"/>
  <c r="W33" i="27"/>
  <c r="N33" i="27"/>
  <c r="AF33" i="27" s="1"/>
  <c r="P33" i="27"/>
  <c r="H33" i="27"/>
  <c r="W32" i="27"/>
  <c r="N32" i="27" s="1"/>
  <c r="P32" i="27"/>
  <c r="H32" i="27"/>
  <c r="W31" i="27"/>
  <c r="N31" i="27" s="1"/>
  <c r="P43" i="27"/>
  <c r="H31" i="27"/>
  <c r="AE30" i="27"/>
  <c r="AD30" i="27"/>
  <c r="AA30" i="27"/>
  <c r="Z30" i="27"/>
  <c r="M30" i="27"/>
  <c r="AF29" i="27"/>
  <c r="W29" i="27"/>
  <c r="H29" i="27"/>
  <c r="AG28" i="27"/>
  <c r="AF28" i="27"/>
  <c r="W28" i="27"/>
  <c r="H28" i="27"/>
  <c r="AG27" i="27"/>
  <c r="AF27" i="27"/>
  <c r="W27" i="27"/>
  <c r="H27" i="27"/>
  <c r="AG26" i="27"/>
  <c r="AF26" i="27"/>
  <c r="W26" i="27"/>
  <c r="H26" i="27"/>
  <c r="AG25" i="27"/>
  <c r="AF25" i="27"/>
  <c r="W25" i="27"/>
  <c r="H25" i="27"/>
  <c r="AG24" i="27"/>
  <c r="AF24" i="27"/>
  <c r="W24" i="27"/>
  <c r="H24" i="27"/>
  <c r="AG23" i="27"/>
  <c r="AF23" i="27"/>
  <c r="W23" i="27"/>
  <c r="H23" i="27"/>
  <c r="W22" i="27"/>
  <c r="N22" i="27"/>
  <c r="AG22" i="27" s="1"/>
  <c r="P22" i="27"/>
  <c r="H22" i="27"/>
  <c r="W21" i="27"/>
  <c r="P21" i="27"/>
  <c r="N21" i="27"/>
  <c r="O21" i="27" s="1"/>
  <c r="AG21" i="27"/>
  <c r="H21" i="27"/>
  <c r="W20" i="27"/>
  <c r="N20" i="27"/>
  <c r="AG20" i="27" s="1"/>
  <c r="P20" i="27"/>
  <c r="H20" i="27"/>
  <c r="W19" i="27"/>
  <c r="P19" i="27"/>
  <c r="N19" i="27"/>
  <c r="O19" i="27" s="1"/>
  <c r="AG19" i="27"/>
  <c r="H19" i="27"/>
  <c r="W18" i="27"/>
  <c r="N18" i="27" s="1"/>
  <c r="P18" i="27"/>
  <c r="P30" i="27"/>
  <c r="H18" i="27"/>
  <c r="AE17" i="27"/>
  <c r="AE2" i="27" s="1"/>
  <c r="AD17" i="27"/>
  <c r="AD2" i="27" s="1"/>
  <c r="AA17" i="27"/>
  <c r="Z17" i="27"/>
  <c r="W17" i="27"/>
  <c r="M17" i="27"/>
  <c r="P17" i="27"/>
  <c r="W16" i="27"/>
  <c r="H16" i="27"/>
  <c r="W15" i="27"/>
  <c r="H15" i="27"/>
  <c r="H14" i="27"/>
  <c r="W13" i="27"/>
  <c r="N13" i="27"/>
  <c r="AG13" i="27" s="1"/>
  <c r="P13" i="27"/>
  <c r="H13" i="27"/>
  <c r="W12" i="27"/>
  <c r="P12" i="27"/>
  <c r="N12" i="27"/>
  <c r="O12" i="27" s="1"/>
  <c r="AG12" i="27"/>
  <c r="H12" i="27"/>
  <c r="W11" i="27"/>
  <c r="N11" i="27"/>
  <c r="AG11" i="27" s="1"/>
  <c r="P11" i="27"/>
  <c r="H11" i="27"/>
  <c r="W10" i="27"/>
  <c r="P10" i="27"/>
  <c r="N10" i="27"/>
  <c r="O10" i="27" s="1"/>
  <c r="AG10" i="27"/>
  <c r="H10" i="27"/>
  <c r="W9" i="27"/>
  <c r="N9" i="27"/>
  <c r="AG9" i="27" s="1"/>
  <c r="P9" i="27"/>
  <c r="H9" i="27"/>
  <c r="W8" i="27"/>
  <c r="P8" i="27"/>
  <c r="N8" i="27"/>
  <c r="O8" i="27" s="1"/>
  <c r="AG8" i="27"/>
  <c r="H8" i="27"/>
  <c r="W7" i="27"/>
  <c r="N7" i="27"/>
  <c r="AG7" i="27" s="1"/>
  <c r="P7" i="27"/>
  <c r="H7" i="27"/>
  <c r="W6" i="27"/>
  <c r="P6" i="27"/>
  <c r="N6" i="27"/>
  <c r="O6" i="27" s="1"/>
  <c r="AG6" i="27"/>
  <c r="H6" i="27"/>
  <c r="W5" i="27"/>
  <c r="N5" i="27" s="1"/>
  <c r="P5" i="27"/>
  <c r="H5" i="27"/>
  <c r="AA2" i="27"/>
  <c r="Z2" i="27"/>
  <c r="I2" i="27"/>
  <c r="I1" i="27"/>
  <c r="E1" i="27"/>
  <c r="AE173" i="26"/>
  <c r="AD173" i="26"/>
  <c r="AA173" i="26"/>
  <c r="Z173" i="26"/>
  <c r="M173" i="26"/>
  <c r="W172" i="26"/>
  <c r="H172" i="26"/>
  <c r="W171" i="26"/>
  <c r="H171" i="26"/>
  <c r="AG170" i="26"/>
  <c r="AF170" i="26"/>
  <c r="W170" i="26"/>
  <c r="H170" i="26"/>
  <c r="AG169" i="26"/>
  <c r="AF169" i="26"/>
  <c r="W169" i="26"/>
  <c r="H169" i="26"/>
  <c r="AG168" i="26"/>
  <c r="AF168" i="26"/>
  <c r="H168" i="26"/>
  <c r="AG167" i="26"/>
  <c r="AF167" i="26"/>
  <c r="H167" i="26"/>
  <c r="AG166" i="26"/>
  <c r="AF166" i="26"/>
  <c r="H166" i="26"/>
  <c r="W165" i="26"/>
  <c r="N165" i="26" s="1"/>
  <c r="P165" i="26"/>
  <c r="H165" i="26"/>
  <c r="AG164" i="26"/>
  <c r="W164" i="26"/>
  <c r="N164" i="26"/>
  <c r="AF164" i="26" s="1"/>
  <c r="P164" i="26"/>
  <c r="H164" i="26"/>
  <c r="W163" i="26"/>
  <c r="N163" i="26" s="1"/>
  <c r="P163" i="26"/>
  <c r="H163" i="26"/>
  <c r="AG162" i="26"/>
  <c r="W162" i="26"/>
  <c r="N162" i="26"/>
  <c r="AF162" i="26" s="1"/>
  <c r="P162" i="26"/>
  <c r="H162" i="26"/>
  <c r="AF161" i="26"/>
  <c r="W161" i="26"/>
  <c r="N161" i="26"/>
  <c r="N173" i="26" s="1"/>
  <c r="P173" i="26"/>
  <c r="H161" i="26"/>
  <c r="AE160" i="26"/>
  <c r="AD160" i="26"/>
  <c r="AA160" i="26"/>
  <c r="Z160" i="26"/>
  <c r="M160" i="26"/>
  <c r="W159" i="26"/>
  <c r="H159" i="26"/>
  <c r="W158" i="26"/>
  <c r="H158" i="26"/>
  <c r="W157" i="26"/>
  <c r="H157" i="26"/>
  <c r="W156" i="26"/>
  <c r="H156" i="26"/>
  <c r="W155" i="26"/>
  <c r="H155" i="26"/>
  <c r="AG154" i="26"/>
  <c r="AF154" i="26"/>
  <c r="W154" i="26"/>
  <c r="H154" i="26"/>
  <c r="AG153" i="26"/>
  <c r="AF153" i="26"/>
  <c r="W153" i="26"/>
  <c r="H153" i="26"/>
  <c r="W152" i="26"/>
  <c r="N152" i="26" s="1"/>
  <c r="P152" i="26"/>
  <c r="H152" i="26"/>
  <c r="AG151" i="26"/>
  <c r="W151" i="26"/>
  <c r="N151" i="26"/>
  <c r="AF151" i="26" s="1"/>
  <c r="P151" i="26"/>
  <c r="H151" i="26"/>
  <c r="W150" i="26"/>
  <c r="N150" i="26" s="1"/>
  <c r="O150" i="26"/>
  <c r="H150" i="26"/>
  <c r="AG149" i="26"/>
  <c r="W149" i="26"/>
  <c r="N149" i="26"/>
  <c r="AF149" i="26" s="1"/>
  <c r="P149" i="26"/>
  <c r="H149" i="26"/>
  <c r="AF148" i="26"/>
  <c r="W148" i="26"/>
  <c r="N148" i="26"/>
  <c r="O148" i="26" s="1"/>
  <c r="P148" i="26"/>
  <c r="H148" i="26"/>
  <c r="AE147" i="26"/>
  <c r="AD147" i="26"/>
  <c r="AA147" i="26"/>
  <c r="Z147" i="26"/>
  <c r="W147" i="26"/>
  <c r="M147" i="26"/>
  <c r="W146" i="26"/>
  <c r="H146" i="26"/>
  <c r="AG145" i="26"/>
  <c r="AF145" i="26"/>
  <c r="W145" i="26"/>
  <c r="H145" i="26"/>
  <c r="AG144" i="26"/>
  <c r="AF144" i="26"/>
  <c r="H144" i="26"/>
  <c r="AG143" i="26"/>
  <c r="AF143" i="26"/>
  <c r="H143" i="26"/>
  <c r="AG142" i="26"/>
  <c r="AF142" i="26"/>
  <c r="H142" i="26"/>
  <c r="AG141" i="26"/>
  <c r="AF141" i="26"/>
  <c r="H141" i="26"/>
  <c r="W140" i="26"/>
  <c r="N140" i="26"/>
  <c r="P140" i="26"/>
  <c r="H140" i="26"/>
  <c r="W139" i="26"/>
  <c r="P139" i="26"/>
  <c r="N139" i="26"/>
  <c r="O139" i="26" s="1"/>
  <c r="H139" i="26"/>
  <c r="W138" i="26"/>
  <c r="N138" i="26"/>
  <c r="P138" i="26"/>
  <c r="H138" i="26"/>
  <c r="W137" i="26"/>
  <c r="P137" i="26"/>
  <c r="N137" i="26"/>
  <c r="O137" i="26" s="1"/>
  <c r="H137" i="26"/>
  <c r="W136" i="26"/>
  <c r="N136" i="26"/>
  <c r="P136" i="26"/>
  <c r="H136" i="26"/>
  <c r="W135" i="26"/>
  <c r="N135" i="26"/>
  <c r="P147" i="26"/>
  <c r="H135" i="26"/>
  <c r="AE134" i="26"/>
  <c r="AD134" i="26"/>
  <c r="AA134" i="26"/>
  <c r="Z134" i="26"/>
  <c r="M134" i="26"/>
  <c r="W133" i="26"/>
  <c r="H133" i="26"/>
  <c r="W132" i="26"/>
  <c r="H132" i="26"/>
  <c r="H131" i="26"/>
  <c r="H130" i="26"/>
  <c r="W129" i="26"/>
  <c r="P129" i="26"/>
  <c r="N129" i="26"/>
  <c r="O129" i="26" s="1"/>
  <c r="H129" i="26"/>
  <c r="W128" i="26"/>
  <c r="N128" i="26"/>
  <c r="P128" i="26"/>
  <c r="H128" i="26"/>
  <c r="W127" i="26"/>
  <c r="P127" i="26"/>
  <c r="N127" i="26"/>
  <c r="O127" i="26" s="1"/>
  <c r="H127" i="26"/>
  <c r="W126" i="26"/>
  <c r="O126" i="26"/>
  <c r="N126" i="26"/>
  <c r="P126" i="26"/>
  <c r="H126" i="26"/>
  <c r="AF125" i="26"/>
  <c r="W125" i="26"/>
  <c r="P125" i="26"/>
  <c r="N125" i="26"/>
  <c r="O125" i="26" s="1"/>
  <c r="H125" i="26"/>
  <c r="AF124" i="26"/>
  <c r="W124" i="26"/>
  <c r="O124" i="26"/>
  <c r="N124" i="26"/>
  <c r="AG124" i="26" s="1"/>
  <c r="P124" i="26"/>
  <c r="H124" i="26"/>
  <c r="AF123" i="26"/>
  <c r="W123" i="26"/>
  <c r="P123" i="26"/>
  <c r="N123" i="26"/>
  <c r="O123" i="26" s="1"/>
  <c r="H123" i="26"/>
  <c r="W122" i="26"/>
  <c r="P122" i="26"/>
  <c r="N122" i="26"/>
  <c r="P134" i="26"/>
  <c r="H122" i="26"/>
  <c r="AE121" i="26"/>
  <c r="AD121" i="26"/>
  <c r="AA121" i="26"/>
  <c r="AA2" i="26" s="1"/>
  <c r="Z121" i="26"/>
  <c r="W121" i="26"/>
  <c r="M121" i="26"/>
  <c r="W120" i="26"/>
  <c r="H120" i="26"/>
  <c r="W119" i="26"/>
  <c r="H119" i="26"/>
  <c r="W118" i="26"/>
  <c r="H118" i="26"/>
  <c r="AG117" i="26"/>
  <c r="AF117" i="26"/>
  <c r="W117" i="26"/>
  <c r="AG116" i="26"/>
  <c r="AF116" i="26"/>
  <c r="H116" i="26"/>
  <c r="AG115" i="26"/>
  <c r="AF115" i="26"/>
  <c r="H115" i="26"/>
  <c r="AG114" i="26"/>
  <c r="W114" i="26"/>
  <c r="P114" i="26"/>
  <c r="N114" i="26"/>
  <c r="AF114" i="26" s="1"/>
  <c r="H114" i="26"/>
  <c r="W113" i="26"/>
  <c r="N113" i="26" s="1"/>
  <c r="P113" i="26"/>
  <c r="H113" i="26"/>
  <c r="AG112" i="26"/>
  <c r="W112" i="26"/>
  <c r="P112" i="26"/>
  <c r="N112" i="26"/>
  <c r="AF112" i="26" s="1"/>
  <c r="H112" i="26"/>
  <c r="W111" i="26"/>
  <c r="N111" i="26" s="1"/>
  <c r="O111" i="26" s="1"/>
  <c r="P111" i="26"/>
  <c r="H111" i="26"/>
  <c r="AG110" i="26"/>
  <c r="W110" i="26"/>
  <c r="P110" i="26"/>
  <c r="N110" i="26"/>
  <c r="AF110" i="26" s="1"/>
  <c r="H110" i="26"/>
  <c r="AF109" i="26"/>
  <c r="W109" i="26"/>
  <c r="N109" i="26" s="1"/>
  <c r="P109" i="26"/>
  <c r="H109" i="26"/>
  <c r="AE108" i="26"/>
  <c r="AD108" i="26"/>
  <c r="AA108" i="26"/>
  <c r="Z108" i="26"/>
  <c r="W108" i="26"/>
  <c r="M108" i="26"/>
  <c r="W107" i="26"/>
  <c r="H107" i="26"/>
  <c r="W106" i="26"/>
  <c r="H106" i="26"/>
  <c r="AG105" i="26"/>
  <c r="AF105" i="26"/>
  <c r="W105" i="26"/>
  <c r="H105" i="26"/>
  <c r="AG104" i="26"/>
  <c r="AF104" i="26"/>
  <c r="H104" i="26"/>
  <c r="AG103" i="26"/>
  <c r="AF103" i="26"/>
  <c r="H103" i="26"/>
  <c r="AG102" i="26"/>
  <c r="AF102" i="26"/>
  <c r="H102" i="26"/>
  <c r="AG101" i="26"/>
  <c r="W101" i="26"/>
  <c r="N101" i="26" s="1"/>
  <c r="P101" i="26"/>
  <c r="H101" i="26"/>
  <c r="W100" i="26"/>
  <c r="N100" i="26" s="1"/>
  <c r="O100" i="26" s="1"/>
  <c r="H100" i="26"/>
  <c r="W99" i="26"/>
  <c r="N99" i="26" s="1"/>
  <c r="P99" i="26"/>
  <c r="H99" i="26"/>
  <c r="W98" i="26"/>
  <c r="N98" i="26" s="1"/>
  <c r="O98" i="26"/>
  <c r="H98" i="26"/>
  <c r="AG97" i="26"/>
  <c r="W97" i="26"/>
  <c r="N97" i="26" s="1"/>
  <c r="P97" i="26"/>
  <c r="H97" i="26"/>
  <c r="AF96" i="26"/>
  <c r="W96" i="26"/>
  <c r="N96" i="26" s="1"/>
  <c r="H96" i="26"/>
  <c r="AE95" i="26"/>
  <c r="AD95" i="26"/>
  <c r="AA95" i="26"/>
  <c r="Z95" i="26"/>
  <c r="M95" i="26"/>
  <c r="AG94" i="26"/>
  <c r="AF94" i="26"/>
  <c r="W94" i="26"/>
  <c r="H94" i="26"/>
  <c r="AG93" i="26"/>
  <c r="AF93" i="26"/>
  <c r="W93" i="26"/>
  <c r="H93" i="26"/>
  <c r="AG92" i="26"/>
  <c r="AF92" i="26"/>
  <c r="H92" i="26"/>
  <c r="AG91" i="26"/>
  <c r="AF91" i="26"/>
  <c r="H91" i="26"/>
  <c r="AG90" i="26"/>
  <c r="AF90" i="26"/>
  <c r="H90" i="26"/>
  <c r="W89" i="26"/>
  <c r="P89" i="26"/>
  <c r="N89" i="26"/>
  <c r="H89" i="26"/>
  <c r="W88" i="26"/>
  <c r="N88" i="26" s="1"/>
  <c r="P88" i="26"/>
  <c r="H88" i="26"/>
  <c r="W87" i="26"/>
  <c r="N87" i="26"/>
  <c r="P87" i="26"/>
  <c r="H87" i="26"/>
  <c r="W86" i="26"/>
  <c r="N86" i="26" s="1"/>
  <c r="P86" i="26"/>
  <c r="H86" i="26"/>
  <c r="W85" i="26"/>
  <c r="N85" i="26"/>
  <c r="P85" i="26"/>
  <c r="H85" i="26"/>
  <c r="AF84" i="26"/>
  <c r="W84" i="26"/>
  <c r="N84" i="26" s="1"/>
  <c r="P84" i="26"/>
  <c r="H84" i="26"/>
  <c r="W83" i="26"/>
  <c r="N83" i="26" s="1"/>
  <c r="P83" i="26"/>
  <c r="H83" i="26"/>
  <c r="AE82" i="26"/>
  <c r="AD82" i="26"/>
  <c r="AA82" i="26"/>
  <c r="Z82" i="26"/>
  <c r="M82" i="26"/>
  <c r="W81" i="26"/>
  <c r="AG80" i="26"/>
  <c r="AF80" i="26"/>
  <c r="W80" i="26"/>
  <c r="H80" i="26"/>
  <c r="AG79" i="26"/>
  <c r="AF79" i="26"/>
  <c r="W79" i="26"/>
  <c r="H79" i="26"/>
  <c r="AG78" i="26"/>
  <c r="AF78" i="26"/>
  <c r="W78" i="26"/>
  <c r="H78" i="26"/>
  <c r="AG77" i="26"/>
  <c r="AF77" i="26"/>
  <c r="W77" i="26"/>
  <c r="H77" i="26"/>
  <c r="W76" i="26"/>
  <c r="N76" i="26" s="1"/>
  <c r="P76" i="26"/>
  <c r="H76" i="26"/>
  <c r="AG75" i="26"/>
  <c r="W75" i="26"/>
  <c r="P75" i="26"/>
  <c r="N75" i="26"/>
  <c r="O75" i="26" s="1"/>
  <c r="Q75" i="26"/>
  <c r="AF75" i="26"/>
  <c r="H75" i="26"/>
  <c r="W74" i="26"/>
  <c r="N74" i="26" s="1"/>
  <c r="O74" i="26" s="1"/>
  <c r="P74" i="26"/>
  <c r="H74" i="26"/>
  <c r="AG73" i="26"/>
  <c r="W73" i="26"/>
  <c r="P73" i="26"/>
  <c r="N73" i="26"/>
  <c r="O73" i="26" s="1"/>
  <c r="AF73" i="26"/>
  <c r="H73" i="26"/>
  <c r="W72" i="26"/>
  <c r="N72" i="26" s="1"/>
  <c r="O72" i="26" s="1"/>
  <c r="P72" i="26"/>
  <c r="H72" i="26"/>
  <c r="AG71" i="26"/>
  <c r="W71" i="26"/>
  <c r="P71" i="26"/>
  <c r="N71" i="26"/>
  <c r="O71" i="26" s="1"/>
  <c r="R71" i="26" s="1"/>
  <c r="AF71" i="26"/>
  <c r="H71" i="26"/>
  <c r="W70" i="26"/>
  <c r="N70" i="26" s="1"/>
  <c r="P70" i="26"/>
  <c r="H70" i="26"/>
  <c r="AE69" i="26"/>
  <c r="AD69" i="26"/>
  <c r="AA69" i="26"/>
  <c r="Z69" i="26"/>
  <c r="W69" i="26"/>
  <c r="M69" i="26"/>
  <c r="W68" i="26"/>
  <c r="H68" i="26"/>
  <c r="AG67" i="26"/>
  <c r="AF67" i="26"/>
  <c r="W67" i="26"/>
  <c r="H67" i="26"/>
  <c r="AG66" i="26"/>
  <c r="AF66" i="26"/>
  <c r="W66" i="26"/>
  <c r="H66" i="26"/>
  <c r="AG65" i="26"/>
  <c r="AF65" i="26"/>
  <c r="W65" i="26"/>
  <c r="H65" i="26"/>
  <c r="AG64" i="26"/>
  <c r="AF64" i="26"/>
  <c r="H64" i="26"/>
  <c r="AG63" i="26"/>
  <c r="AF63" i="26"/>
  <c r="H63" i="26"/>
  <c r="AG62" i="26"/>
  <c r="AF62" i="26"/>
  <c r="H62" i="26"/>
  <c r="AG61" i="26"/>
  <c r="W61" i="26"/>
  <c r="N61" i="26" s="1"/>
  <c r="P61" i="26"/>
  <c r="H61" i="26"/>
  <c r="W60" i="26"/>
  <c r="N60" i="26" s="1"/>
  <c r="O60" i="26" s="1"/>
  <c r="H60" i="26"/>
  <c r="AG59" i="26"/>
  <c r="W59" i="26"/>
  <c r="N59" i="26" s="1"/>
  <c r="P59" i="26"/>
  <c r="H59" i="26"/>
  <c r="W58" i="26"/>
  <c r="N58" i="26" s="1"/>
  <c r="O58" i="26" s="1"/>
  <c r="H58" i="26"/>
  <c r="W57" i="26"/>
  <c r="O57" i="26"/>
  <c r="N57" i="26"/>
  <c r="N69" i="26" s="1"/>
  <c r="H57" i="26"/>
  <c r="AE56" i="26"/>
  <c r="AD56" i="26"/>
  <c r="AA56" i="26"/>
  <c r="Z56" i="26"/>
  <c r="W56" i="26"/>
  <c r="M56" i="26"/>
  <c r="W55" i="26"/>
  <c r="H55" i="26"/>
  <c r="AG54" i="26"/>
  <c r="AF54" i="26"/>
  <c r="W54" i="26"/>
  <c r="H54" i="26"/>
  <c r="AG53" i="26"/>
  <c r="AF53" i="26"/>
  <c r="W53" i="26"/>
  <c r="H53" i="26"/>
  <c r="AG52" i="26"/>
  <c r="AF52" i="26"/>
  <c r="W52" i="26"/>
  <c r="H52" i="26"/>
  <c r="W51" i="26"/>
  <c r="N51" i="26" s="1"/>
  <c r="P51" i="26"/>
  <c r="H51" i="26"/>
  <c r="W50" i="26"/>
  <c r="P50" i="26"/>
  <c r="N50" i="26"/>
  <c r="H50" i="26"/>
  <c r="AF49" i="26"/>
  <c r="W49" i="26"/>
  <c r="N49" i="26" s="1"/>
  <c r="P49" i="26"/>
  <c r="H49" i="26"/>
  <c r="W48" i="26"/>
  <c r="P48" i="26"/>
  <c r="N48" i="26"/>
  <c r="H48" i="26"/>
  <c r="W47" i="26"/>
  <c r="N47" i="26" s="1"/>
  <c r="P47" i="26"/>
  <c r="H47" i="26"/>
  <c r="W46" i="26"/>
  <c r="P46" i="26"/>
  <c r="N46" i="26"/>
  <c r="H46" i="26"/>
  <c r="AF45" i="26"/>
  <c r="W45" i="26"/>
  <c r="N45" i="26" s="1"/>
  <c r="P45" i="26"/>
  <c r="H45" i="26"/>
  <c r="W44" i="26"/>
  <c r="N44" i="26" s="1"/>
  <c r="P44" i="26"/>
  <c r="H44" i="26"/>
  <c r="AE43" i="26"/>
  <c r="AD43" i="26"/>
  <c r="AA43" i="26"/>
  <c r="Z43" i="26"/>
  <c r="M43" i="26"/>
  <c r="P43" i="26" s="1"/>
  <c r="W42" i="26"/>
  <c r="H42" i="26"/>
  <c r="W41" i="26"/>
  <c r="AG40" i="26"/>
  <c r="AF40" i="26"/>
  <c r="W40" i="26"/>
  <c r="H40" i="26"/>
  <c r="AG39" i="26"/>
  <c r="AF39" i="26"/>
  <c r="W39" i="26"/>
  <c r="H39" i="26"/>
  <c r="AG38" i="26"/>
  <c r="AF38" i="26"/>
  <c r="H38" i="26"/>
  <c r="W37" i="26"/>
  <c r="P37" i="26"/>
  <c r="N37" i="26"/>
  <c r="H37" i="26"/>
  <c r="W36" i="26"/>
  <c r="N36" i="26" s="1"/>
  <c r="P36" i="26"/>
  <c r="H36" i="26"/>
  <c r="W35" i="26"/>
  <c r="P35" i="26"/>
  <c r="N35" i="26"/>
  <c r="H35" i="26"/>
  <c r="W34" i="26"/>
  <c r="N34" i="26" s="1"/>
  <c r="P34" i="26"/>
  <c r="H34" i="26"/>
  <c r="W33" i="26"/>
  <c r="P33" i="26"/>
  <c r="N33" i="26"/>
  <c r="H33" i="26"/>
  <c r="W32" i="26"/>
  <c r="N32" i="26" s="1"/>
  <c r="P32" i="26"/>
  <c r="H32" i="26"/>
  <c r="W31" i="26"/>
  <c r="N31" i="26" s="1"/>
  <c r="P31" i="26"/>
  <c r="H31" i="26"/>
  <c r="AE30" i="26"/>
  <c r="AD30" i="26"/>
  <c r="AA30" i="26"/>
  <c r="Z30" i="26"/>
  <c r="M30" i="26"/>
  <c r="AF29" i="26"/>
  <c r="W29" i="26"/>
  <c r="H29" i="26"/>
  <c r="AG28" i="26"/>
  <c r="AF28" i="26"/>
  <c r="W28" i="26"/>
  <c r="H28" i="26"/>
  <c r="AG27" i="26"/>
  <c r="AF27" i="26"/>
  <c r="W27" i="26"/>
  <c r="H27" i="26"/>
  <c r="AG26" i="26"/>
  <c r="AF26" i="26"/>
  <c r="W26" i="26"/>
  <c r="H26" i="26"/>
  <c r="AG25" i="26"/>
  <c r="AF25" i="26"/>
  <c r="W25" i="26"/>
  <c r="H25" i="26"/>
  <c r="AG24" i="26"/>
  <c r="AF24" i="26"/>
  <c r="W24" i="26"/>
  <c r="H24" i="26"/>
  <c r="AG23" i="26"/>
  <c r="AF23" i="26"/>
  <c r="W23" i="26"/>
  <c r="H23" i="26"/>
  <c r="W22" i="26"/>
  <c r="N22" i="26" s="1"/>
  <c r="O22" i="26"/>
  <c r="H22" i="26"/>
  <c r="AG21" i="26"/>
  <c r="W21" i="26"/>
  <c r="N21" i="26" s="1"/>
  <c r="P21" i="26"/>
  <c r="H21" i="26"/>
  <c r="W20" i="26"/>
  <c r="N20" i="26" s="1"/>
  <c r="O20" i="26"/>
  <c r="H20" i="26"/>
  <c r="AG19" i="26"/>
  <c r="W19" i="26"/>
  <c r="N19" i="26" s="1"/>
  <c r="P19" i="26"/>
  <c r="H19" i="26"/>
  <c r="W18" i="26"/>
  <c r="N18" i="26" s="1"/>
  <c r="P18" i="26"/>
  <c r="H18" i="26"/>
  <c r="AE17" i="26"/>
  <c r="AD17" i="26"/>
  <c r="AD2" i="26" s="1"/>
  <c r="AA17" i="26"/>
  <c r="Z17" i="26"/>
  <c r="W17" i="26"/>
  <c r="M17" i="26"/>
  <c r="W16" i="26"/>
  <c r="H16" i="26"/>
  <c r="W15" i="26"/>
  <c r="H15" i="26"/>
  <c r="H14" i="26"/>
  <c r="W13" i="26"/>
  <c r="N13" i="26" s="1"/>
  <c r="O13" i="26"/>
  <c r="H13" i="26"/>
  <c r="AG12" i="26"/>
  <c r="W12" i="26"/>
  <c r="N12" i="26" s="1"/>
  <c r="P12" i="26"/>
  <c r="H12" i="26"/>
  <c r="W11" i="26"/>
  <c r="N11" i="26" s="1"/>
  <c r="O11" i="26"/>
  <c r="H11" i="26"/>
  <c r="AG10" i="26"/>
  <c r="W10" i="26"/>
  <c r="N10" i="26" s="1"/>
  <c r="P10" i="26"/>
  <c r="H10" i="26"/>
  <c r="W9" i="26"/>
  <c r="N9" i="26" s="1"/>
  <c r="O9" i="26"/>
  <c r="H9" i="26"/>
  <c r="AG8" i="26"/>
  <c r="W8" i="26"/>
  <c r="N8" i="26" s="1"/>
  <c r="P8" i="26"/>
  <c r="H8" i="26"/>
  <c r="W7" i="26"/>
  <c r="N7" i="26" s="1"/>
  <c r="O7" i="26" s="1"/>
  <c r="H7" i="26"/>
  <c r="AG6" i="26"/>
  <c r="W6" i="26"/>
  <c r="N6" i="26" s="1"/>
  <c r="P6" i="26"/>
  <c r="H6" i="26"/>
  <c r="W5" i="26"/>
  <c r="N5" i="26" s="1"/>
  <c r="P5" i="26"/>
  <c r="H5" i="26"/>
  <c r="Z2" i="26"/>
  <c r="I2" i="26"/>
  <c r="E1" i="26"/>
  <c r="AE173" i="25"/>
  <c r="AD173" i="25"/>
  <c r="AA173" i="25"/>
  <c r="Z173" i="25"/>
  <c r="P173" i="25"/>
  <c r="M173" i="25"/>
  <c r="W172" i="25"/>
  <c r="H172" i="25"/>
  <c r="W171" i="25"/>
  <c r="H171" i="25"/>
  <c r="AG170" i="25"/>
  <c r="AF170" i="25"/>
  <c r="W170" i="25"/>
  <c r="H170" i="25"/>
  <c r="AG169" i="25"/>
  <c r="AF169" i="25"/>
  <c r="W169" i="25"/>
  <c r="H169" i="25"/>
  <c r="AG168" i="25"/>
  <c r="AF168" i="25"/>
  <c r="H168" i="25"/>
  <c r="AG167" i="25"/>
  <c r="AF167" i="25"/>
  <c r="H167" i="25"/>
  <c r="AG166" i="25"/>
  <c r="AF166" i="25"/>
  <c r="H166" i="25"/>
  <c r="W165" i="25"/>
  <c r="N165" i="25" s="1"/>
  <c r="P165" i="25"/>
  <c r="H165" i="25"/>
  <c r="W164" i="25"/>
  <c r="N164" i="25"/>
  <c r="P164" i="25"/>
  <c r="H164" i="25"/>
  <c r="W163" i="25"/>
  <c r="N163" i="25" s="1"/>
  <c r="P163" i="25"/>
  <c r="H163" i="25"/>
  <c r="W162" i="25"/>
  <c r="N162" i="25"/>
  <c r="P162" i="25"/>
  <c r="H162" i="25"/>
  <c r="AG161" i="25"/>
  <c r="W161" i="25"/>
  <c r="P161" i="25"/>
  <c r="N161" i="25"/>
  <c r="H161" i="25"/>
  <c r="AE160" i="25"/>
  <c r="AD160" i="25"/>
  <c r="AA160" i="25"/>
  <c r="Z160" i="25"/>
  <c r="M160" i="25"/>
  <c r="W159" i="25"/>
  <c r="H159" i="25"/>
  <c r="W158" i="25"/>
  <c r="H158" i="25"/>
  <c r="W157" i="25"/>
  <c r="H157" i="25"/>
  <c r="W156" i="25"/>
  <c r="H156" i="25"/>
  <c r="W155" i="25"/>
  <c r="H155" i="25"/>
  <c r="AG154" i="25"/>
  <c r="AF154" i="25"/>
  <c r="W154" i="25"/>
  <c r="H154" i="25"/>
  <c r="AG153" i="25"/>
  <c r="AF153" i="25"/>
  <c r="W153" i="25"/>
  <c r="H153" i="25"/>
  <c r="AG152" i="25"/>
  <c r="AF152" i="25"/>
  <c r="H152" i="25"/>
  <c r="AG151" i="25"/>
  <c r="W151" i="25"/>
  <c r="N151" i="25" s="1"/>
  <c r="P151" i="25"/>
  <c r="H151" i="25"/>
  <c r="W150" i="25"/>
  <c r="N150" i="25" s="1"/>
  <c r="O150" i="25" s="1"/>
  <c r="H150" i="25"/>
  <c r="AG149" i="25"/>
  <c r="W149" i="25"/>
  <c r="N149" i="25" s="1"/>
  <c r="P149" i="25"/>
  <c r="H149" i="25"/>
  <c r="AF148" i="25"/>
  <c r="W148" i="25"/>
  <c r="N148" i="25" s="1"/>
  <c r="P148" i="25"/>
  <c r="H148" i="25"/>
  <c r="AE147" i="25"/>
  <c r="AD147" i="25"/>
  <c r="AA147" i="25"/>
  <c r="Z147" i="25"/>
  <c r="W147" i="25"/>
  <c r="M147" i="25"/>
  <c r="W146" i="25"/>
  <c r="H146" i="25"/>
  <c r="AG145" i="25"/>
  <c r="AF145" i="25"/>
  <c r="W145" i="25"/>
  <c r="H145" i="25"/>
  <c r="AG144" i="25"/>
  <c r="AF144" i="25"/>
  <c r="H144" i="25"/>
  <c r="AG143" i="25"/>
  <c r="AF143" i="25"/>
  <c r="H143" i="25"/>
  <c r="AG142" i="25"/>
  <c r="AF142" i="25"/>
  <c r="H142" i="25"/>
  <c r="AG141" i="25"/>
  <c r="AF141" i="25"/>
  <c r="H141" i="25"/>
  <c r="W140" i="25"/>
  <c r="P140" i="25"/>
  <c r="N140" i="25"/>
  <c r="H140" i="25"/>
  <c r="W139" i="25"/>
  <c r="N139" i="25" s="1"/>
  <c r="P139" i="25"/>
  <c r="H139" i="25"/>
  <c r="W138" i="25"/>
  <c r="P138" i="25"/>
  <c r="N138" i="25"/>
  <c r="H138" i="25"/>
  <c r="W137" i="25"/>
  <c r="N137" i="25" s="1"/>
  <c r="P137" i="25"/>
  <c r="H137" i="25"/>
  <c r="W136" i="25"/>
  <c r="P136" i="25"/>
  <c r="N136" i="25"/>
  <c r="H136" i="25"/>
  <c r="W135" i="25"/>
  <c r="P135" i="25"/>
  <c r="N135" i="25"/>
  <c r="H135" i="25"/>
  <c r="AE134" i="25"/>
  <c r="AD134" i="25"/>
  <c r="AA134" i="25"/>
  <c r="Z134" i="25"/>
  <c r="M134" i="25"/>
  <c r="W133" i="25"/>
  <c r="H133" i="25"/>
  <c r="W132" i="25"/>
  <c r="H132" i="25"/>
  <c r="H131" i="25"/>
  <c r="H130" i="25"/>
  <c r="W129" i="25"/>
  <c r="N129" i="25" s="1"/>
  <c r="O129" i="25" s="1"/>
  <c r="P129" i="25"/>
  <c r="H129" i="25"/>
  <c r="W128" i="25"/>
  <c r="P128" i="25"/>
  <c r="N128" i="25"/>
  <c r="H128" i="25"/>
  <c r="W127" i="25"/>
  <c r="N127" i="25" s="1"/>
  <c r="P127" i="25"/>
  <c r="H127" i="25"/>
  <c r="W126" i="25"/>
  <c r="P126" i="25"/>
  <c r="N126" i="25"/>
  <c r="H126" i="25"/>
  <c r="W125" i="25"/>
  <c r="N125" i="25" s="1"/>
  <c r="P125" i="25"/>
  <c r="H125" i="25"/>
  <c r="W124" i="25"/>
  <c r="P124" i="25"/>
  <c r="N124" i="25"/>
  <c r="H124" i="25"/>
  <c r="W123" i="25"/>
  <c r="N123" i="25" s="1"/>
  <c r="P123" i="25"/>
  <c r="H123" i="25"/>
  <c r="W122" i="25"/>
  <c r="N122" i="25" s="1"/>
  <c r="P122" i="25"/>
  <c r="H122" i="25"/>
  <c r="AE121" i="25"/>
  <c r="AD121" i="25"/>
  <c r="AA121" i="25"/>
  <c r="Z121" i="25"/>
  <c r="W121" i="25"/>
  <c r="M121" i="25"/>
  <c r="W120" i="25"/>
  <c r="H120" i="25"/>
  <c r="W119" i="25"/>
  <c r="H119" i="25"/>
  <c r="W118" i="25"/>
  <c r="H118" i="25"/>
  <c r="AG117" i="25"/>
  <c r="AF117" i="25"/>
  <c r="W117" i="25"/>
  <c r="H117" i="25"/>
  <c r="AG116" i="25"/>
  <c r="W116" i="25"/>
  <c r="N116" i="25" s="1"/>
  <c r="P116" i="25"/>
  <c r="H116" i="25"/>
  <c r="W115" i="25"/>
  <c r="N115" i="25" s="1"/>
  <c r="O115" i="25" s="1"/>
  <c r="H115" i="25"/>
  <c r="AG114" i="25"/>
  <c r="W114" i="25"/>
  <c r="N114" i="25" s="1"/>
  <c r="P114" i="25"/>
  <c r="H114" i="25"/>
  <c r="W113" i="25"/>
  <c r="N113" i="25" s="1"/>
  <c r="O113" i="25" s="1"/>
  <c r="H113" i="25"/>
  <c r="AG112" i="25"/>
  <c r="W112" i="25"/>
  <c r="N112" i="25" s="1"/>
  <c r="P112" i="25"/>
  <c r="H112" i="25"/>
  <c r="W111" i="25"/>
  <c r="N111" i="25" s="1"/>
  <c r="O111" i="25" s="1"/>
  <c r="H111" i="25"/>
  <c r="AG110" i="25"/>
  <c r="W110" i="25"/>
  <c r="N110" i="25" s="1"/>
  <c r="P110" i="25"/>
  <c r="H110" i="25"/>
  <c r="AF109" i="25"/>
  <c r="W109" i="25"/>
  <c r="N109" i="25" s="1"/>
  <c r="P109" i="25"/>
  <c r="H109" i="25"/>
  <c r="AE108" i="25"/>
  <c r="AD108" i="25"/>
  <c r="AA108" i="25"/>
  <c r="Z108" i="25"/>
  <c r="W108" i="25"/>
  <c r="M108" i="25"/>
  <c r="W107" i="25"/>
  <c r="H107" i="25"/>
  <c r="W106" i="25"/>
  <c r="H106" i="25"/>
  <c r="AG105" i="25"/>
  <c r="AF105" i="25"/>
  <c r="W105" i="25"/>
  <c r="H105" i="25"/>
  <c r="AG104" i="25"/>
  <c r="AF104" i="25"/>
  <c r="H104" i="25"/>
  <c r="AG103" i="25"/>
  <c r="AF103" i="25"/>
  <c r="H103" i="25"/>
  <c r="W102" i="25"/>
  <c r="N102" i="25" s="1"/>
  <c r="P102" i="25"/>
  <c r="O102" i="25"/>
  <c r="H102" i="25"/>
  <c r="W101" i="25"/>
  <c r="P101" i="25"/>
  <c r="N101" i="25"/>
  <c r="H101" i="25"/>
  <c r="W100" i="25"/>
  <c r="N100" i="25" s="1"/>
  <c r="H100" i="25"/>
  <c r="AG99" i="25"/>
  <c r="W99" i="25"/>
  <c r="P99" i="25"/>
  <c r="N99" i="25"/>
  <c r="H99" i="25"/>
  <c r="AF98" i="25"/>
  <c r="W98" i="25"/>
  <c r="O98" i="25"/>
  <c r="N98" i="25"/>
  <c r="AG98" i="25" s="1"/>
  <c r="P98" i="25"/>
  <c r="H98" i="25"/>
  <c r="AF97" i="25"/>
  <c r="W97" i="25"/>
  <c r="P97" i="25"/>
  <c r="N97" i="25"/>
  <c r="O97" i="25" s="1"/>
  <c r="H97" i="25"/>
  <c r="AG96" i="25"/>
  <c r="W96" i="25"/>
  <c r="P96" i="25"/>
  <c r="N96" i="25"/>
  <c r="O96" i="25" s="1"/>
  <c r="H96" i="25"/>
  <c r="AE95" i="25"/>
  <c r="AD95" i="25"/>
  <c r="AA95" i="25"/>
  <c r="Z95" i="25"/>
  <c r="M95" i="25"/>
  <c r="AG94" i="25"/>
  <c r="AF94" i="25"/>
  <c r="W94" i="25"/>
  <c r="H94" i="25"/>
  <c r="AG93" i="25"/>
  <c r="AF93" i="25"/>
  <c r="W93" i="25"/>
  <c r="H93" i="25"/>
  <c r="AG92" i="25"/>
  <c r="AF92" i="25"/>
  <c r="H92" i="25"/>
  <c r="AG91" i="25"/>
  <c r="AF91" i="25"/>
  <c r="H91" i="25"/>
  <c r="AG90" i="25"/>
  <c r="AF90" i="25"/>
  <c r="H90" i="25"/>
  <c r="AG89" i="25"/>
  <c r="W89" i="25"/>
  <c r="O89" i="25"/>
  <c r="N89" i="25"/>
  <c r="AF89" i="25" s="1"/>
  <c r="H89" i="25"/>
  <c r="AG88" i="25"/>
  <c r="AF88" i="25"/>
  <c r="W88" i="25"/>
  <c r="N88" i="25" s="1"/>
  <c r="O88" i="25"/>
  <c r="H88" i="25"/>
  <c r="W87" i="25"/>
  <c r="N87" i="25"/>
  <c r="P87" i="25"/>
  <c r="H87" i="25"/>
  <c r="AF86" i="25"/>
  <c r="W86" i="25"/>
  <c r="N86" i="25" s="1"/>
  <c r="AG86" i="25" s="1"/>
  <c r="O86" i="25"/>
  <c r="P86" i="25"/>
  <c r="H86" i="25"/>
  <c r="AG85" i="25"/>
  <c r="W85" i="25"/>
  <c r="O85" i="25"/>
  <c r="N85" i="25"/>
  <c r="AF85" i="25" s="1"/>
  <c r="P85" i="25"/>
  <c r="H85" i="25"/>
  <c r="W84" i="25"/>
  <c r="N84" i="25" s="1"/>
  <c r="P84" i="25"/>
  <c r="H84" i="25"/>
  <c r="W83" i="25"/>
  <c r="N83" i="25" s="1"/>
  <c r="O83" i="25"/>
  <c r="AF83" i="25"/>
  <c r="P83" i="25"/>
  <c r="H83" i="25"/>
  <c r="AE82" i="25"/>
  <c r="AD82" i="25"/>
  <c r="AA82" i="25"/>
  <c r="Z82" i="25"/>
  <c r="M82" i="25"/>
  <c r="P82" i="25"/>
  <c r="W81" i="25"/>
  <c r="AG80" i="25"/>
  <c r="AF80" i="25"/>
  <c r="W80" i="25"/>
  <c r="H80" i="25"/>
  <c r="AG79" i="25"/>
  <c r="AF79" i="25"/>
  <c r="W79" i="25"/>
  <c r="H79" i="25"/>
  <c r="AG78" i="25"/>
  <c r="AF78" i="25"/>
  <c r="H78" i="25"/>
  <c r="AG77" i="25"/>
  <c r="AF77" i="25"/>
  <c r="H77" i="25"/>
  <c r="AG76" i="25"/>
  <c r="AF76" i="25"/>
  <c r="H76" i="25"/>
  <c r="W75" i="25"/>
  <c r="O75" i="25"/>
  <c r="N75" i="25"/>
  <c r="P75" i="25"/>
  <c r="H75" i="25"/>
  <c r="W74" i="25"/>
  <c r="P74" i="25"/>
  <c r="N74" i="25"/>
  <c r="H74" i="25"/>
  <c r="W73" i="25"/>
  <c r="N73" i="25" s="1"/>
  <c r="P73" i="25"/>
  <c r="H73" i="25"/>
  <c r="W72" i="25"/>
  <c r="P72" i="25"/>
  <c r="N72" i="25"/>
  <c r="H72" i="25"/>
  <c r="W71" i="25"/>
  <c r="N71" i="25" s="1"/>
  <c r="P71" i="25"/>
  <c r="H71" i="25"/>
  <c r="W70" i="25"/>
  <c r="N70" i="25" s="1"/>
  <c r="P70" i="25"/>
  <c r="H70" i="25"/>
  <c r="AE69" i="25"/>
  <c r="AD69" i="25"/>
  <c r="AA69" i="25"/>
  <c r="Z69" i="25"/>
  <c r="W69" i="25"/>
  <c r="M69" i="25"/>
  <c r="W68" i="25"/>
  <c r="H68" i="25"/>
  <c r="AG67" i="25"/>
  <c r="AF67" i="25"/>
  <c r="W67" i="25"/>
  <c r="H67" i="25"/>
  <c r="AG66" i="25"/>
  <c r="AF66" i="25"/>
  <c r="W66" i="25"/>
  <c r="H66" i="25"/>
  <c r="AG65" i="25"/>
  <c r="AF65" i="25"/>
  <c r="W65" i="25"/>
  <c r="H65" i="25"/>
  <c r="AG64" i="25"/>
  <c r="AF64" i="25"/>
  <c r="W64" i="25"/>
  <c r="H64" i="25"/>
  <c r="AG63" i="25"/>
  <c r="AF63" i="25"/>
  <c r="W63" i="25"/>
  <c r="H63" i="25"/>
  <c r="AG62" i="25"/>
  <c r="AF62" i="25"/>
  <c r="W62" i="25"/>
  <c r="H62" i="25"/>
  <c r="W61" i="25"/>
  <c r="N61" i="25" s="1"/>
  <c r="H61" i="25"/>
  <c r="W60" i="25"/>
  <c r="N60" i="25" s="1"/>
  <c r="P60" i="25"/>
  <c r="H60" i="25"/>
  <c r="W59" i="25"/>
  <c r="N59" i="25" s="1"/>
  <c r="H59" i="25"/>
  <c r="W58" i="25"/>
  <c r="N58" i="25" s="1"/>
  <c r="P58" i="25"/>
  <c r="H58" i="25"/>
  <c r="AF57" i="25"/>
  <c r="W57" i="25"/>
  <c r="N57" i="25" s="1"/>
  <c r="P57" i="25"/>
  <c r="H57" i="25"/>
  <c r="AE56" i="25"/>
  <c r="AE2" i="25" s="1"/>
  <c r="AD56" i="25"/>
  <c r="AA56" i="25"/>
  <c r="Z56" i="25"/>
  <c r="W56" i="25"/>
  <c r="M56" i="25"/>
  <c r="W55" i="25"/>
  <c r="H55" i="25"/>
  <c r="AG54" i="25"/>
  <c r="AF54" i="25"/>
  <c r="W54" i="25"/>
  <c r="H54" i="25"/>
  <c r="AG53" i="25"/>
  <c r="AF53" i="25"/>
  <c r="W53" i="25"/>
  <c r="H53" i="25"/>
  <c r="AG52" i="25"/>
  <c r="AF52" i="25"/>
  <c r="W52" i="25"/>
  <c r="H52" i="25"/>
  <c r="W51" i="25"/>
  <c r="P51" i="25"/>
  <c r="N51" i="25"/>
  <c r="H51" i="25"/>
  <c r="AF50" i="25"/>
  <c r="W50" i="25"/>
  <c r="N50" i="25" s="1"/>
  <c r="P50" i="25"/>
  <c r="H50" i="25"/>
  <c r="W49" i="25"/>
  <c r="P49" i="25"/>
  <c r="N49" i="25"/>
  <c r="H49" i="25"/>
  <c r="AF48" i="25"/>
  <c r="W48" i="25"/>
  <c r="N48" i="25" s="1"/>
  <c r="P48" i="25"/>
  <c r="H48" i="25"/>
  <c r="W47" i="25"/>
  <c r="P47" i="25"/>
  <c r="N47" i="25"/>
  <c r="H47" i="25"/>
  <c r="AF46" i="25"/>
  <c r="W46" i="25"/>
  <c r="N46" i="25" s="1"/>
  <c r="P46" i="25"/>
  <c r="H46" i="25"/>
  <c r="W45" i="25"/>
  <c r="P45" i="25"/>
  <c r="N45" i="25"/>
  <c r="H45" i="25"/>
  <c r="AG44" i="25"/>
  <c r="W44" i="25"/>
  <c r="P44" i="25"/>
  <c r="N44" i="25"/>
  <c r="H44" i="25"/>
  <c r="AE43" i="25"/>
  <c r="AD43" i="25"/>
  <c r="AA43" i="25"/>
  <c r="Z43" i="25"/>
  <c r="M43" i="25"/>
  <c r="W42" i="25"/>
  <c r="H42" i="25"/>
  <c r="W41" i="25"/>
  <c r="AG40" i="25"/>
  <c r="AF40" i="25"/>
  <c r="W40" i="25"/>
  <c r="H40" i="25"/>
  <c r="AG39" i="25"/>
  <c r="AF39" i="25"/>
  <c r="W39" i="25"/>
  <c r="H39" i="25"/>
  <c r="W38" i="25"/>
  <c r="N38" i="25" s="1"/>
  <c r="O38" i="25" s="1"/>
  <c r="H38" i="25"/>
  <c r="W37" i="25"/>
  <c r="N37" i="25" s="1"/>
  <c r="P37" i="25"/>
  <c r="H37" i="25"/>
  <c r="W36" i="25"/>
  <c r="N36" i="25" s="1"/>
  <c r="O36" i="25" s="1"/>
  <c r="H36" i="25"/>
  <c r="W35" i="25"/>
  <c r="N35" i="25" s="1"/>
  <c r="P35" i="25"/>
  <c r="H35" i="25"/>
  <c r="W34" i="25"/>
  <c r="N34" i="25" s="1"/>
  <c r="O34" i="25" s="1"/>
  <c r="H34" i="25"/>
  <c r="AG33" i="25"/>
  <c r="W33" i="25"/>
  <c r="N33" i="25" s="1"/>
  <c r="P33" i="25"/>
  <c r="H33" i="25"/>
  <c r="W32" i="25"/>
  <c r="N32" i="25" s="1"/>
  <c r="O32" i="25" s="1"/>
  <c r="H32" i="25"/>
  <c r="W31" i="25"/>
  <c r="O31" i="25"/>
  <c r="N31" i="25"/>
  <c r="N43" i="25" s="1"/>
  <c r="AF43" i="25" s="1"/>
  <c r="H31" i="25"/>
  <c r="AE30" i="25"/>
  <c r="AD30" i="25"/>
  <c r="AA30" i="25"/>
  <c r="Z30" i="25"/>
  <c r="M30" i="25"/>
  <c r="AF29" i="25"/>
  <c r="W29" i="25"/>
  <c r="H29" i="25"/>
  <c r="AG28" i="25"/>
  <c r="AF28" i="25"/>
  <c r="W28" i="25"/>
  <c r="H28" i="25"/>
  <c r="AG27" i="25"/>
  <c r="AF27" i="25"/>
  <c r="W27" i="25"/>
  <c r="H27" i="25"/>
  <c r="AG26" i="25"/>
  <c r="AF26" i="25"/>
  <c r="W26" i="25"/>
  <c r="H26" i="25"/>
  <c r="AG25" i="25"/>
  <c r="AF25" i="25"/>
  <c r="W25" i="25"/>
  <c r="H25" i="25"/>
  <c r="AG24" i="25"/>
  <c r="AF24" i="25"/>
  <c r="W24" i="25"/>
  <c r="H24" i="25"/>
  <c r="AG23" i="25"/>
  <c r="AF23" i="25"/>
  <c r="W23" i="25"/>
  <c r="H23" i="25"/>
  <c r="W22" i="25"/>
  <c r="P22" i="25"/>
  <c r="N22" i="25"/>
  <c r="H22" i="25"/>
  <c r="W21" i="25"/>
  <c r="N21" i="25" s="1"/>
  <c r="P21" i="25"/>
  <c r="H21" i="25"/>
  <c r="W20" i="25"/>
  <c r="P20" i="25"/>
  <c r="N20" i="25"/>
  <c r="H20" i="25"/>
  <c r="W19" i="25"/>
  <c r="N19" i="25" s="1"/>
  <c r="P19" i="25"/>
  <c r="H19" i="25"/>
  <c r="W18" i="25"/>
  <c r="N18" i="25" s="1"/>
  <c r="P18" i="25"/>
  <c r="P30" i="25"/>
  <c r="H18" i="25"/>
  <c r="AE17" i="25"/>
  <c r="AD17" i="25"/>
  <c r="AA17" i="25"/>
  <c r="AA2" i="25" s="1"/>
  <c r="Z17" i="25"/>
  <c r="W17" i="25"/>
  <c r="M17" i="25"/>
  <c r="W16" i="25"/>
  <c r="H16" i="25"/>
  <c r="W15" i="25"/>
  <c r="H15" i="25"/>
  <c r="H14" i="25"/>
  <c r="W13" i="25"/>
  <c r="P13" i="25"/>
  <c r="N13" i="25"/>
  <c r="H13" i="25"/>
  <c r="W12" i="25"/>
  <c r="N12" i="25" s="1"/>
  <c r="P12" i="25"/>
  <c r="H12" i="25"/>
  <c r="W11" i="25"/>
  <c r="P11" i="25"/>
  <c r="N11" i="25"/>
  <c r="H11" i="25"/>
  <c r="W10" i="25"/>
  <c r="N10" i="25" s="1"/>
  <c r="P10" i="25"/>
  <c r="H10" i="25"/>
  <c r="W9" i="25"/>
  <c r="P9" i="25"/>
  <c r="N9" i="25"/>
  <c r="H9" i="25"/>
  <c r="W8" i="25"/>
  <c r="N8" i="25" s="1"/>
  <c r="P8" i="25"/>
  <c r="H8" i="25"/>
  <c r="W7" i="25"/>
  <c r="P7" i="25"/>
  <c r="N7" i="25"/>
  <c r="H7" i="25"/>
  <c r="W6" i="25"/>
  <c r="N6" i="25" s="1"/>
  <c r="P6" i="25"/>
  <c r="H6" i="25"/>
  <c r="W5" i="25"/>
  <c r="N5" i="25" s="1"/>
  <c r="P5" i="25"/>
  <c r="H5" i="25"/>
  <c r="Z2" i="25"/>
  <c r="I2" i="25"/>
  <c r="I1" i="25"/>
  <c r="E1" i="25"/>
  <c r="AE173" i="24"/>
  <c r="AD173" i="24"/>
  <c r="AA173" i="24"/>
  <c r="Z173" i="24"/>
  <c r="M173" i="24"/>
  <c r="W172" i="24"/>
  <c r="H172" i="24"/>
  <c r="W171" i="24"/>
  <c r="H171" i="24"/>
  <c r="AG170" i="24"/>
  <c r="AF170" i="24"/>
  <c r="W170" i="24"/>
  <c r="H170" i="24"/>
  <c r="AG169" i="24"/>
  <c r="AF169" i="24"/>
  <c r="W169" i="24"/>
  <c r="H169" i="24"/>
  <c r="AG168" i="24"/>
  <c r="AF168" i="24"/>
  <c r="H168" i="24"/>
  <c r="AG167" i="24"/>
  <c r="AF167" i="24"/>
  <c r="H167" i="24"/>
  <c r="AG166" i="24"/>
  <c r="AF166" i="24"/>
  <c r="H166" i="24"/>
  <c r="W165" i="24"/>
  <c r="N165" i="24" s="1"/>
  <c r="O165" i="24"/>
  <c r="H165" i="24"/>
  <c r="AG164" i="24"/>
  <c r="W164" i="24"/>
  <c r="N164" i="24" s="1"/>
  <c r="P164" i="24"/>
  <c r="H164" i="24"/>
  <c r="W163" i="24"/>
  <c r="N163" i="24" s="1"/>
  <c r="O163" i="24"/>
  <c r="H163" i="24"/>
  <c r="AG162" i="24"/>
  <c r="W162" i="24"/>
  <c r="N162" i="24" s="1"/>
  <c r="P162" i="24"/>
  <c r="H162" i="24"/>
  <c r="W161" i="24"/>
  <c r="N161" i="24" s="1"/>
  <c r="P161" i="24"/>
  <c r="H161" i="24"/>
  <c r="AE160" i="24"/>
  <c r="AD160" i="24"/>
  <c r="AA160" i="24"/>
  <c r="Z160" i="24"/>
  <c r="M160" i="24"/>
  <c r="P160" i="24" s="1"/>
  <c r="W159" i="24"/>
  <c r="H159" i="24"/>
  <c r="W158" i="24"/>
  <c r="H158" i="24"/>
  <c r="W157" i="24"/>
  <c r="H157" i="24"/>
  <c r="W156" i="24"/>
  <c r="H156" i="24"/>
  <c r="W155" i="24"/>
  <c r="H155" i="24"/>
  <c r="AG154" i="24"/>
  <c r="AF154" i="24"/>
  <c r="W154" i="24"/>
  <c r="H154" i="24"/>
  <c r="AG153" i="24"/>
  <c r="AF153" i="24"/>
  <c r="W153" i="24"/>
  <c r="H153" i="24"/>
  <c r="AG152" i="24"/>
  <c r="AF152" i="24"/>
  <c r="H152" i="24"/>
  <c r="AF151" i="24"/>
  <c r="W151" i="24"/>
  <c r="N151" i="24" s="1"/>
  <c r="P151" i="24"/>
  <c r="H151" i="24"/>
  <c r="W150" i="24"/>
  <c r="P150" i="24"/>
  <c r="N150" i="24"/>
  <c r="H150" i="24"/>
  <c r="AF149" i="24"/>
  <c r="W149" i="24"/>
  <c r="N149" i="24" s="1"/>
  <c r="P149" i="24"/>
  <c r="H149" i="24"/>
  <c r="W148" i="24"/>
  <c r="N148" i="24" s="1"/>
  <c r="P148" i="24"/>
  <c r="H148" i="24"/>
  <c r="AE147" i="24"/>
  <c r="AD147" i="24"/>
  <c r="AA147" i="24"/>
  <c r="Z147" i="24"/>
  <c r="W147" i="24"/>
  <c r="M147" i="24"/>
  <c r="W146" i="24"/>
  <c r="H146" i="24"/>
  <c r="AG145" i="24"/>
  <c r="AF145" i="24"/>
  <c r="W145" i="24"/>
  <c r="H145" i="24"/>
  <c r="AG144" i="24"/>
  <c r="AF144" i="24"/>
  <c r="H144" i="24"/>
  <c r="AG143" i="24"/>
  <c r="AF143" i="24"/>
  <c r="H143" i="24"/>
  <c r="AG142" i="24"/>
  <c r="AF142" i="24"/>
  <c r="H142" i="24"/>
  <c r="AG141" i="24"/>
  <c r="AF141" i="24"/>
  <c r="H141" i="24"/>
  <c r="W140" i="24"/>
  <c r="N140" i="24" s="1"/>
  <c r="P140" i="24"/>
  <c r="H140" i="24"/>
  <c r="W139" i="24"/>
  <c r="N139" i="24" s="1"/>
  <c r="O139" i="24" s="1"/>
  <c r="H139" i="24"/>
  <c r="W138" i="24"/>
  <c r="N138" i="24" s="1"/>
  <c r="P138" i="24"/>
  <c r="H138" i="24"/>
  <c r="W137" i="24"/>
  <c r="N137" i="24" s="1"/>
  <c r="O137" i="24" s="1"/>
  <c r="P137" i="24"/>
  <c r="H137" i="24"/>
  <c r="AG136" i="24"/>
  <c r="W136" i="24"/>
  <c r="P136" i="24"/>
  <c r="N136" i="24"/>
  <c r="O136" i="24" s="1"/>
  <c r="Q136" i="24" s="1"/>
  <c r="AF136" i="24"/>
  <c r="H136" i="24"/>
  <c r="W135" i="24"/>
  <c r="N135" i="24" s="1"/>
  <c r="P135" i="24"/>
  <c r="H135" i="24"/>
  <c r="AE134" i="24"/>
  <c r="AD134" i="24"/>
  <c r="AA134" i="24"/>
  <c r="Z134" i="24"/>
  <c r="M134" i="24"/>
  <c r="W133" i="24"/>
  <c r="H133" i="24"/>
  <c r="W132" i="24"/>
  <c r="H132" i="24"/>
  <c r="H131" i="24"/>
  <c r="H130" i="24"/>
  <c r="W129" i="24"/>
  <c r="N129" i="24" s="1"/>
  <c r="O129" i="24"/>
  <c r="P129" i="24"/>
  <c r="H129" i="24"/>
  <c r="AG128" i="24"/>
  <c r="W128" i="24"/>
  <c r="P128" i="24"/>
  <c r="N128" i="24"/>
  <c r="O128" i="24" s="1"/>
  <c r="AF128" i="24"/>
  <c r="H128" i="24"/>
  <c r="W127" i="24"/>
  <c r="N127" i="24" s="1"/>
  <c r="O127" i="24" s="1"/>
  <c r="P127" i="24"/>
  <c r="H127" i="24"/>
  <c r="AG126" i="24"/>
  <c r="W126" i="24"/>
  <c r="P126" i="24"/>
  <c r="N126" i="24"/>
  <c r="O126" i="24" s="1"/>
  <c r="Q126" i="24" s="1"/>
  <c r="AF126" i="24"/>
  <c r="H126" i="24"/>
  <c r="W125" i="24"/>
  <c r="N125" i="24" s="1"/>
  <c r="O125" i="24"/>
  <c r="P125" i="24"/>
  <c r="H125" i="24"/>
  <c r="AG124" i="24"/>
  <c r="W124" i="24"/>
  <c r="Q124" i="24"/>
  <c r="P124" i="24"/>
  <c r="N124" i="24"/>
  <c r="O124" i="24" s="1"/>
  <c r="R124" i="24" s="1"/>
  <c r="AF124" i="24"/>
  <c r="H124" i="24"/>
  <c r="W123" i="24"/>
  <c r="N123" i="24" s="1"/>
  <c r="P123" i="24"/>
  <c r="H123" i="24"/>
  <c r="W122" i="24"/>
  <c r="O122" i="24"/>
  <c r="N122" i="24"/>
  <c r="AG122" i="24" s="1"/>
  <c r="P122" i="24"/>
  <c r="H122" i="24"/>
  <c r="AE121" i="24"/>
  <c r="AD121" i="24"/>
  <c r="AA121" i="24"/>
  <c r="AA2" i="24" s="1"/>
  <c r="Z121" i="24"/>
  <c r="W121" i="24"/>
  <c r="M121" i="24"/>
  <c r="P121" i="24" s="1"/>
  <c r="W120" i="24"/>
  <c r="H120" i="24"/>
  <c r="W119" i="24"/>
  <c r="H119" i="24"/>
  <c r="W118" i="24"/>
  <c r="H118" i="24"/>
  <c r="AG117" i="24"/>
  <c r="AF117" i="24"/>
  <c r="W117" i="24"/>
  <c r="H117" i="24"/>
  <c r="W116" i="24"/>
  <c r="N116" i="24" s="1"/>
  <c r="P116" i="24"/>
  <c r="H116" i="24"/>
  <c r="W115" i="24"/>
  <c r="N115" i="24"/>
  <c r="P115" i="24"/>
  <c r="H115" i="24"/>
  <c r="W114" i="24"/>
  <c r="N114" i="24" s="1"/>
  <c r="P114" i="24"/>
  <c r="H114" i="24"/>
  <c r="W113" i="24"/>
  <c r="N113" i="24"/>
  <c r="P113" i="24"/>
  <c r="H113" i="24"/>
  <c r="W112" i="24"/>
  <c r="N112" i="24" s="1"/>
  <c r="P112" i="24"/>
  <c r="H112" i="24"/>
  <c r="W111" i="24"/>
  <c r="N111" i="24"/>
  <c r="P111" i="24"/>
  <c r="H111" i="24"/>
  <c r="W110" i="24"/>
  <c r="N110" i="24" s="1"/>
  <c r="P110" i="24"/>
  <c r="H110" i="24"/>
  <c r="W109" i="24"/>
  <c r="N109" i="24" s="1"/>
  <c r="P109" i="24"/>
  <c r="H109" i="24"/>
  <c r="AE108" i="24"/>
  <c r="AD108" i="24"/>
  <c r="AA108" i="24"/>
  <c r="Z108" i="24"/>
  <c r="W108" i="24"/>
  <c r="N108" i="24"/>
  <c r="M108" i="24"/>
  <c r="W107" i="24"/>
  <c r="H107" i="24"/>
  <c r="W106" i="24"/>
  <c r="H106" i="24"/>
  <c r="AG105" i="24"/>
  <c r="AF105" i="24"/>
  <c r="W105" i="24"/>
  <c r="H105" i="24"/>
  <c r="AG104" i="24"/>
  <c r="AF104" i="24"/>
  <c r="H104" i="24"/>
  <c r="AG103" i="24"/>
  <c r="AF103" i="24"/>
  <c r="H103" i="24"/>
  <c r="W102" i="24"/>
  <c r="N102" i="24" s="1"/>
  <c r="P102" i="24"/>
  <c r="H102" i="24"/>
  <c r="AG101" i="24"/>
  <c r="W101" i="24"/>
  <c r="P101" i="24"/>
  <c r="N101" i="24"/>
  <c r="O101" i="24" s="1"/>
  <c r="Q101" i="24"/>
  <c r="AF101" i="24"/>
  <c r="H101" i="24"/>
  <c r="W100" i="24"/>
  <c r="N100" i="24" s="1"/>
  <c r="O100" i="24" s="1"/>
  <c r="P100" i="24"/>
  <c r="H100" i="24"/>
  <c r="AG99" i="24"/>
  <c r="W99" i="24"/>
  <c r="P99" i="24"/>
  <c r="N99" i="24"/>
  <c r="O99" i="24" s="1"/>
  <c r="AF99" i="24"/>
  <c r="H99" i="24"/>
  <c r="W98" i="24"/>
  <c r="N98" i="24" s="1"/>
  <c r="O98" i="24"/>
  <c r="P98" i="24"/>
  <c r="H98" i="24"/>
  <c r="AG97" i="24"/>
  <c r="W97" i="24"/>
  <c r="P97" i="24"/>
  <c r="N97" i="24"/>
  <c r="O97" i="24" s="1"/>
  <c r="R97" i="24" s="1"/>
  <c r="AF97" i="24"/>
  <c r="H97" i="24"/>
  <c r="W96" i="24"/>
  <c r="N96" i="24" s="1"/>
  <c r="P96" i="24"/>
  <c r="H96" i="24"/>
  <c r="AE95" i="24"/>
  <c r="AD95" i="24"/>
  <c r="AA95" i="24"/>
  <c r="Z95" i="24"/>
  <c r="M95" i="24"/>
  <c r="AG94" i="24"/>
  <c r="AF94" i="24"/>
  <c r="W94" i="24"/>
  <c r="H94" i="24"/>
  <c r="AG93" i="24"/>
  <c r="AF93" i="24"/>
  <c r="W93" i="24"/>
  <c r="H93" i="24"/>
  <c r="AG92" i="24"/>
  <c r="AF92" i="24"/>
  <c r="H92" i="24"/>
  <c r="AG91" i="24"/>
  <c r="AF91" i="24"/>
  <c r="H91" i="24"/>
  <c r="AG90" i="24"/>
  <c r="AF90" i="24"/>
  <c r="H90" i="24"/>
  <c r="W89" i="24"/>
  <c r="N89" i="24"/>
  <c r="P89" i="24"/>
  <c r="H89" i="24"/>
  <c r="W88" i="24"/>
  <c r="N88" i="24" s="1"/>
  <c r="P88" i="24"/>
  <c r="H88" i="24"/>
  <c r="W87" i="24"/>
  <c r="N87" i="24"/>
  <c r="P87" i="24"/>
  <c r="H87" i="24"/>
  <c r="W86" i="24"/>
  <c r="N86" i="24" s="1"/>
  <c r="P86" i="24"/>
  <c r="H86" i="24"/>
  <c r="W85" i="24"/>
  <c r="N85" i="24"/>
  <c r="P85" i="24"/>
  <c r="H85" i="24"/>
  <c r="W84" i="24"/>
  <c r="N84" i="24" s="1"/>
  <c r="P84" i="24"/>
  <c r="H84" i="24"/>
  <c r="W83" i="24"/>
  <c r="N83" i="24" s="1"/>
  <c r="P83" i="24"/>
  <c r="H83" i="24"/>
  <c r="AE82" i="24"/>
  <c r="AD82" i="24"/>
  <c r="AA82" i="24"/>
  <c r="Z82" i="24"/>
  <c r="M82" i="24"/>
  <c r="W81" i="24"/>
  <c r="AG80" i="24"/>
  <c r="AF80" i="24"/>
  <c r="W80" i="24"/>
  <c r="H80" i="24"/>
  <c r="AG79" i="24"/>
  <c r="AF79" i="24"/>
  <c r="W79" i="24"/>
  <c r="H79" i="24"/>
  <c r="AG78" i="24"/>
  <c r="AF78" i="24"/>
  <c r="H78" i="24"/>
  <c r="AG77" i="24"/>
  <c r="AF77" i="24"/>
  <c r="H77" i="24"/>
  <c r="AG76" i="24"/>
  <c r="AF76" i="24"/>
  <c r="H76" i="24"/>
  <c r="W75" i="24"/>
  <c r="N75" i="24"/>
  <c r="P75" i="24"/>
  <c r="H75" i="24"/>
  <c r="W74" i="24"/>
  <c r="N74" i="24" s="1"/>
  <c r="P74" i="24"/>
  <c r="H74" i="24"/>
  <c r="W73" i="24"/>
  <c r="N73" i="24"/>
  <c r="P73" i="24"/>
  <c r="H73" i="24"/>
  <c r="W72" i="24"/>
  <c r="N72" i="24" s="1"/>
  <c r="O72" i="24" s="1"/>
  <c r="P72" i="24"/>
  <c r="H72" i="24"/>
  <c r="AG71" i="24"/>
  <c r="W71" i="24"/>
  <c r="N71" i="24"/>
  <c r="P71" i="24"/>
  <c r="H71" i="24"/>
  <c r="AF70" i="24"/>
  <c r="W70" i="24"/>
  <c r="N70" i="24"/>
  <c r="P70" i="24"/>
  <c r="H70" i="24"/>
  <c r="AE69" i="24"/>
  <c r="AD69" i="24"/>
  <c r="AA69" i="24"/>
  <c r="Z69" i="24"/>
  <c r="W69" i="24"/>
  <c r="M69" i="24"/>
  <c r="W68" i="24"/>
  <c r="H68" i="24"/>
  <c r="AG67" i="24"/>
  <c r="AF67" i="24"/>
  <c r="W67" i="24"/>
  <c r="H67" i="24"/>
  <c r="AG66" i="24"/>
  <c r="AF66" i="24"/>
  <c r="W66" i="24"/>
  <c r="H66" i="24"/>
  <c r="AG65" i="24"/>
  <c r="AF65" i="24"/>
  <c r="W65" i="24"/>
  <c r="H65" i="24"/>
  <c r="AG64" i="24"/>
  <c r="AF64" i="24"/>
  <c r="H64" i="24"/>
  <c r="AG63" i="24"/>
  <c r="AF63" i="24"/>
  <c r="H63" i="24"/>
  <c r="AG62" i="24"/>
  <c r="AF62" i="24"/>
  <c r="H62" i="24"/>
  <c r="W61" i="24"/>
  <c r="N61" i="24"/>
  <c r="P61" i="24"/>
  <c r="H61" i="24"/>
  <c r="AF60" i="24"/>
  <c r="W60" i="24"/>
  <c r="N60" i="24" s="1"/>
  <c r="O60" i="24" s="1"/>
  <c r="P60" i="24"/>
  <c r="H60" i="24"/>
  <c r="W59" i="24"/>
  <c r="N59" i="24"/>
  <c r="P59" i="24"/>
  <c r="H59" i="24"/>
  <c r="W58" i="24"/>
  <c r="N58" i="24" s="1"/>
  <c r="P58" i="24"/>
  <c r="H58" i="24"/>
  <c r="W57" i="24"/>
  <c r="N57" i="24" s="1"/>
  <c r="P57" i="24"/>
  <c r="H57" i="24"/>
  <c r="AE56" i="24"/>
  <c r="AD56" i="24"/>
  <c r="AA56" i="24"/>
  <c r="Z56" i="24"/>
  <c r="W56" i="24"/>
  <c r="N56" i="24"/>
  <c r="M56" i="24"/>
  <c r="W55" i="24"/>
  <c r="H55" i="24"/>
  <c r="AG54" i="24"/>
  <c r="AF54" i="24"/>
  <c r="W54" i="24"/>
  <c r="H54" i="24"/>
  <c r="AG53" i="24"/>
  <c r="AF53" i="24"/>
  <c r="W53" i="24"/>
  <c r="H53" i="24"/>
  <c r="AG52" i="24"/>
  <c r="AF52" i="24"/>
  <c r="W52" i="24"/>
  <c r="H52" i="24"/>
  <c r="AG51" i="24"/>
  <c r="AF51" i="24"/>
  <c r="W51" i="24"/>
  <c r="P51" i="24"/>
  <c r="N51" i="24"/>
  <c r="O51" i="24" s="1"/>
  <c r="R51" i="24" s="1"/>
  <c r="H51" i="24"/>
  <c r="W50" i="24"/>
  <c r="O50" i="24"/>
  <c r="N50" i="24"/>
  <c r="P50" i="24"/>
  <c r="H50" i="24"/>
  <c r="AG49" i="24"/>
  <c r="AF49" i="24"/>
  <c r="W49" i="24"/>
  <c r="P49" i="24"/>
  <c r="N49" i="24"/>
  <c r="O49" i="24" s="1"/>
  <c r="R49" i="24" s="1"/>
  <c r="H49" i="24"/>
  <c r="W48" i="24"/>
  <c r="O48" i="24"/>
  <c r="N48" i="24"/>
  <c r="P48" i="24"/>
  <c r="H48" i="24"/>
  <c r="AG47" i="24"/>
  <c r="W47" i="24"/>
  <c r="P47" i="24"/>
  <c r="N47" i="24"/>
  <c r="O47" i="24" s="1"/>
  <c r="H47" i="24"/>
  <c r="AF46" i="24"/>
  <c r="W46" i="24"/>
  <c r="O46" i="24"/>
  <c r="N46" i="24"/>
  <c r="H46" i="24"/>
  <c r="AG45" i="24"/>
  <c r="W45" i="24"/>
  <c r="P45" i="24"/>
  <c r="N45" i="24"/>
  <c r="O45" i="24" s="1"/>
  <c r="H45" i="24"/>
  <c r="W44" i="24"/>
  <c r="P44" i="24"/>
  <c r="N44" i="24"/>
  <c r="O44" i="24" s="1"/>
  <c r="R44" i="24"/>
  <c r="H44" i="24"/>
  <c r="AE43" i="24"/>
  <c r="AD43" i="24"/>
  <c r="AA43" i="24"/>
  <c r="Z43" i="24"/>
  <c r="M43" i="24"/>
  <c r="W42" i="24"/>
  <c r="H42" i="24"/>
  <c r="W41" i="24"/>
  <c r="AG40" i="24"/>
  <c r="AF40" i="24"/>
  <c r="W40" i="24"/>
  <c r="H40" i="24"/>
  <c r="AG39" i="24"/>
  <c r="AF39" i="24"/>
  <c r="W39" i="24"/>
  <c r="H39" i="24"/>
  <c r="W38" i="24"/>
  <c r="O38" i="24"/>
  <c r="N38" i="24"/>
  <c r="P38" i="24"/>
  <c r="H38" i="24"/>
  <c r="W37" i="24"/>
  <c r="N37" i="24"/>
  <c r="P37" i="24"/>
  <c r="H37" i="24"/>
  <c r="W36" i="24"/>
  <c r="N36" i="24" s="1"/>
  <c r="P36" i="24"/>
  <c r="H36" i="24"/>
  <c r="W35" i="24"/>
  <c r="N35" i="24"/>
  <c r="P35" i="24"/>
  <c r="H35" i="24"/>
  <c r="W34" i="24"/>
  <c r="N34" i="24" s="1"/>
  <c r="P34" i="24"/>
  <c r="H34" i="24"/>
  <c r="W33" i="24"/>
  <c r="N33" i="24"/>
  <c r="P33" i="24"/>
  <c r="H33" i="24"/>
  <c r="W32" i="24"/>
  <c r="N32" i="24" s="1"/>
  <c r="P32" i="24"/>
  <c r="H32" i="24"/>
  <c r="W31" i="24"/>
  <c r="N31" i="24" s="1"/>
  <c r="P31" i="24"/>
  <c r="H31" i="24"/>
  <c r="AE30" i="24"/>
  <c r="AD30" i="24"/>
  <c r="AA30" i="24"/>
  <c r="Z30" i="24"/>
  <c r="M30" i="24"/>
  <c r="AF29" i="24"/>
  <c r="W29" i="24"/>
  <c r="H29" i="24"/>
  <c r="AG28" i="24"/>
  <c r="AF28" i="24"/>
  <c r="W28" i="24"/>
  <c r="H28" i="24"/>
  <c r="AG27" i="24"/>
  <c r="AF27" i="24"/>
  <c r="W27" i="24"/>
  <c r="H27" i="24"/>
  <c r="AG26" i="24"/>
  <c r="AF26" i="24"/>
  <c r="W26" i="24"/>
  <c r="H26" i="24"/>
  <c r="AG25" i="24"/>
  <c r="AF25" i="24"/>
  <c r="W25" i="24"/>
  <c r="H25" i="24"/>
  <c r="AG24" i="24"/>
  <c r="AF24" i="24"/>
  <c r="W24" i="24"/>
  <c r="H24" i="24"/>
  <c r="AG23" i="24"/>
  <c r="AF23" i="24"/>
  <c r="W23" i="24"/>
  <c r="H23" i="24"/>
  <c r="W22" i="24"/>
  <c r="N22" i="24" s="1"/>
  <c r="O22" i="24"/>
  <c r="P22" i="24"/>
  <c r="H22" i="24"/>
  <c r="AG21" i="24"/>
  <c r="W21" i="24"/>
  <c r="Q21" i="24"/>
  <c r="P21" i="24"/>
  <c r="N21" i="24"/>
  <c r="O21" i="24" s="1"/>
  <c r="R21" i="24" s="1"/>
  <c r="AF21" i="24"/>
  <c r="H21" i="24"/>
  <c r="W20" i="24"/>
  <c r="N20" i="24" s="1"/>
  <c r="O20" i="24"/>
  <c r="P20" i="24"/>
  <c r="H20" i="24"/>
  <c r="AG19" i="24"/>
  <c r="W19" i="24"/>
  <c r="Q19" i="24"/>
  <c r="P19" i="24"/>
  <c r="N19" i="24"/>
  <c r="O19" i="24" s="1"/>
  <c r="AF19" i="24"/>
  <c r="H19" i="24"/>
  <c r="AF18" i="24"/>
  <c r="W18" i="24"/>
  <c r="N18" i="24" s="1"/>
  <c r="P18" i="24"/>
  <c r="H18" i="24"/>
  <c r="AE17" i="24"/>
  <c r="AD17" i="24"/>
  <c r="AA17" i="24"/>
  <c r="Z17" i="24"/>
  <c r="W17" i="24"/>
  <c r="M17" i="24"/>
  <c r="W16" i="24"/>
  <c r="H16" i="24"/>
  <c r="W15" i="24"/>
  <c r="H15" i="24"/>
  <c r="W14" i="24"/>
  <c r="R14" i="24"/>
  <c r="P14" i="24"/>
  <c r="N14" i="24"/>
  <c r="O14" i="24" s="1"/>
  <c r="Q14" i="24" s="1"/>
  <c r="H14" i="24"/>
  <c r="AF13" i="24"/>
  <c r="W13" i="24"/>
  <c r="N13" i="24" s="1"/>
  <c r="P13" i="24"/>
  <c r="H13" i="24"/>
  <c r="W12" i="24"/>
  <c r="P12" i="24"/>
  <c r="N12" i="24"/>
  <c r="H12" i="24"/>
  <c r="W11" i="24"/>
  <c r="N11" i="24" s="1"/>
  <c r="AF11" i="24" s="1"/>
  <c r="P11" i="24"/>
  <c r="H11" i="24"/>
  <c r="W10" i="24"/>
  <c r="P10" i="24"/>
  <c r="N10" i="24"/>
  <c r="H10" i="24"/>
  <c r="AF9" i="24"/>
  <c r="W9" i="24"/>
  <c r="N9" i="24" s="1"/>
  <c r="P9" i="24"/>
  <c r="H9" i="24"/>
  <c r="W8" i="24"/>
  <c r="P8" i="24"/>
  <c r="N8" i="24"/>
  <c r="H8" i="24"/>
  <c r="W7" i="24"/>
  <c r="N7" i="24" s="1"/>
  <c r="P7" i="24"/>
  <c r="H7" i="24"/>
  <c r="W6" i="24"/>
  <c r="P6" i="24"/>
  <c r="N6" i="24"/>
  <c r="H6" i="24"/>
  <c r="W5" i="24"/>
  <c r="P5" i="24"/>
  <c r="N5" i="24"/>
  <c r="AG5" i="24" s="1"/>
  <c r="P17" i="24"/>
  <c r="H5" i="24"/>
  <c r="AD2" i="24"/>
  <c r="Z2" i="24"/>
  <c r="I2" i="24"/>
  <c r="E1" i="24"/>
  <c r="AE173" i="23"/>
  <c r="AD173" i="23"/>
  <c r="AA173" i="23"/>
  <c r="Z173" i="23"/>
  <c r="M173" i="23"/>
  <c r="W172" i="23"/>
  <c r="H172" i="23"/>
  <c r="W171" i="23"/>
  <c r="H171" i="23"/>
  <c r="AG170" i="23"/>
  <c r="AF170" i="23"/>
  <c r="W170" i="23"/>
  <c r="H170" i="23"/>
  <c r="AG169" i="23"/>
  <c r="AF169" i="23"/>
  <c r="W169" i="23"/>
  <c r="H169" i="23"/>
  <c r="AG168" i="23"/>
  <c r="AF168" i="23"/>
  <c r="H168" i="23"/>
  <c r="AG167" i="23"/>
  <c r="AF167" i="23"/>
  <c r="H167" i="23"/>
  <c r="AG166" i="23"/>
  <c r="AF166" i="23"/>
  <c r="H166" i="23"/>
  <c r="AG165" i="23"/>
  <c r="W165" i="23"/>
  <c r="N165" i="23" s="1"/>
  <c r="P165" i="23"/>
  <c r="H165" i="23"/>
  <c r="W164" i="23"/>
  <c r="N164" i="23" s="1"/>
  <c r="O164" i="23"/>
  <c r="H164" i="23"/>
  <c r="AG163" i="23"/>
  <c r="W163" i="23"/>
  <c r="N163" i="23" s="1"/>
  <c r="P163" i="23"/>
  <c r="H163" i="23"/>
  <c r="W162" i="23"/>
  <c r="N162" i="23" s="1"/>
  <c r="O162" i="23"/>
  <c r="H162" i="23"/>
  <c r="W161" i="23"/>
  <c r="O161" i="23"/>
  <c r="N161" i="23"/>
  <c r="AG161" i="23" s="1"/>
  <c r="H161" i="23"/>
  <c r="AE160" i="23"/>
  <c r="AD160" i="23"/>
  <c r="AA160" i="23"/>
  <c r="Z160" i="23"/>
  <c r="P160" i="23"/>
  <c r="M160" i="23"/>
  <c r="W159" i="23"/>
  <c r="H159" i="23"/>
  <c r="W158" i="23"/>
  <c r="H158" i="23"/>
  <c r="W157" i="23"/>
  <c r="H157" i="23"/>
  <c r="W156" i="23"/>
  <c r="H156" i="23"/>
  <c r="W155" i="23"/>
  <c r="H155" i="23"/>
  <c r="AG154" i="23"/>
  <c r="AF154" i="23"/>
  <c r="W154" i="23"/>
  <c r="H154" i="23"/>
  <c r="AG153" i="23"/>
  <c r="AF153" i="23"/>
  <c r="W153" i="23"/>
  <c r="H153" i="23"/>
  <c r="AG152" i="23"/>
  <c r="AF152" i="23"/>
  <c r="H152" i="23"/>
  <c r="W151" i="23"/>
  <c r="N151" i="23"/>
  <c r="P151" i="23"/>
  <c r="H151" i="23"/>
  <c r="W150" i="23"/>
  <c r="N150" i="23" s="1"/>
  <c r="P150" i="23"/>
  <c r="H150" i="23"/>
  <c r="W149" i="23"/>
  <c r="P149" i="23"/>
  <c r="N149" i="23"/>
  <c r="H149" i="23"/>
  <c r="W148" i="23"/>
  <c r="P148" i="23"/>
  <c r="N148" i="23"/>
  <c r="H148" i="23"/>
  <c r="AE147" i="23"/>
  <c r="AD147" i="23"/>
  <c r="AA147" i="23"/>
  <c r="Z147" i="23"/>
  <c r="W147" i="23"/>
  <c r="M147" i="23"/>
  <c r="W146" i="23"/>
  <c r="H146" i="23"/>
  <c r="AG145" i="23"/>
  <c r="AF145" i="23"/>
  <c r="W145" i="23"/>
  <c r="H145" i="23"/>
  <c r="AG144" i="23"/>
  <c r="AF144" i="23"/>
  <c r="H144" i="23"/>
  <c r="AG143" i="23"/>
  <c r="AF143" i="23"/>
  <c r="H143" i="23"/>
  <c r="AG142" i="23"/>
  <c r="AF142" i="23"/>
  <c r="H142" i="23"/>
  <c r="AG141" i="23"/>
  <c r="AF141" i="23"/>
  <c r="H141" i="23"/>
  <c r="W140" i="23"/>
  <c r="N140" i="23" s="1"/>
  <c r="H140" i="23"/>
  <c r="W139" i="23"/>
  <c r="N139" i="23" s="1"/>
  <c r="P139" i="23"/>
  <c r="H139" i="23"/>
  <c r="W138" i="23"/>
  <c r="N138" i="23" s="1"/>
  <c r="O138" i="23"/>
  <c r="H138" i="23"/>
  <c r="AG137" i="23"/>
  <c r="W137" i="23"/>
  <c r="N137" i="23" s="1"/>
  <c r="P137" i="23"/>
  <c r="H137" i="23"/>
  <c r="W136" i="23"/>
  <c r="N136" i="23" s="1"/>
  <c r="O136" i="23" s="1"/>
  <c r="H136" i="23"/>
  <c r="W135" i="23"/>
  <c r="O135" i="23"/>
  <c r="N135" i="23"/>
  <c r="AG135" i="23" s="1"/>
  <c r="H135" i="23"/>
  <c r="AE134" i="23"/>
  <c r="AD134" i="23"/>
  <c r="AA134" i="23"/>
  <c r="Z134" i="23"/>
  <c r="M134" i="23"/>
  <c r="W133" i="23"/>
  <c r="H133" i="23"/>
  <c r="W132" i="23"/>
  <c r="H132" i="23"/>
  <c r="H131" i="23"/>
  <c r="H130" i="23"/>
  <c r="W129" i="23"/>
  <c r="P129" i="23"/>
  <c r="N129" i="23"/>
  <c r="O129" i="23" s="1"/>
  <c r="H129" i="23"/>
  <c r="W128" i="23"/>
  <c r="N128" i="23" s="1"/>
  <c r="O128" i="23" s="1"/>
  <c r="P128" i="23"/>
  <c r="H128" i="23"/>
  <c r="AG127" i="23"/>
  <c r="W127" i="23"/>
  <c r="P127" i="23"/>
  <c r="N127" i="23"/>
  <c r="O127" i="23" s="1"/>
  <c r="R127" i="23" s="1"/>
  <c r="AF127" i="23"/>
  <c r="H127" i="23"/>
  <c r="W126" i="23"/>
  <c r="N126" i="23" s="1"/>
  <c r="O126" i="23"/>
  <c r="P126" i="23"/>
  <c r="H126" i="23"/>
  <c r="AG125" i="23"/>
  <c r="W125" i="23"/>
  <c r="P125" i="23"/>
  <c r="N125" i="23"/>
  <c r="AF125" i="23" s="1"/>
  <c r="H125" i="23"/>
  <c r="W124" i="23"/>
  <c r="N124" i="23" s="1"/>
  <c r="O124" i="23"/>
  <c r="P124" i="23"/>
  <c r="H124" i="23"/>
  <c r="AG123" i="23"/>
  <c r="W123" i="23"/>
  <c r="N123" i="23"/>
  <c r="AF123" i="23" s="1"/>
  <c r="P123" i="23"/>
  <c r="H123" i="23"/>
  <c r="W122" i="23"/>
  <c r="N122" i="23" s="1"/>
  <c r="P122" i="23"/>
  <c r="H122" i="23"/>
  <c r="AE121" i="23"/>
  <c r="AD121" i="23"/>
  <c r="AA121" i="23"/>
  <c r="Z121" i="23"/>
  <c r="W121" i="23"/>
  <c r="M121" i="23"/>
  <c r="W120" i="23"/>
  <c r="H120" i="23"/>
  <c r="W119" i="23"/>
  <c r="H119" i="23"/>
  <c r="W118" i="23"/>
  <c r="H118" i="23"/>
  <c r="AG117" i="23"/>
  <c r="AF117" i="23"/>
  <c r="W117" i="23"/>
  <c r="H117" i="23"/>
  <c r="W116" i="23"/>
  <c r="P116" i="23"/>
  <c r="N116" i="23"/>
  <c r="H116" i="23"/>
  <c r="W115" i="23"/>
  <c r="N115" i="23" s="1"/>
  <c r="P115" i="23"/>
  <c r="H115" i="23"/>
  <c r="W114" i="23"/>
  <c r="P114" i="23"/>
  <c r="N114" i="23"/>
  <c r="H114" i="23"/>
  <c r="W113" i="23"/>
  <c r="N113" i="23" s="1"/>
  <c r="P113" i="23"/>
  <c r="H113" i="23"/>
  <c r="W112" i="23"/>
  <c r="P112" i="23"/>
  <c r="N112" i="23"/>
  <c r="H112" i="23"/>
  <c r="W111" i="23"/>
  <c r="N111" i="23" s="1"/>
  <c r="P111" i="23"/>
  <c r="H111" i="23"/>
  <c r="W110" i="23"/>
  <c r="P110" i="23"/>
  <c r="N110" i="23"/>
  <c r="H110" i="23"/>
  <c r="W109" i="23"/>
  <c r="P109" i="23"/>
  <c r="N109" i="23"/>
  <c r="H109" i="23"/>
  <c r="AE108" i="23"/>
  <c r="AD108" i="23"/>
  <c r="AA108" i="23"/>
  <c r="Z108" i="23"/>
  <c r="W108" i="23"/>
  <c r="M108" i="23"/>
  <c r="W107" i="23"/>
  <c r="H107" i="23"/>
  <c r="W106" i="23"/>
  <c r="H106" i="23"/>
  <c r="AG105" i="23"/>
  <c r="AF105" i="23"/>
  <c r="W105" i="23"/>
  <c r="H105" i="23"/>
  <c r="AG104" i="23"/>
  <c r="AF104" i="23"/>
  <c r="H104" i="23"/>
  <c r="AG103" i="23"/>
  <c r="AF103" i="23"/>
  <c r="H103" i="23"/>
  <c r="AG102" i="23"/>
  <c r="W102" i="23"/>
  <c r="N102" i="23" s="1"/>
  <c r="P102" i="23"/>
  <c r="H102" i="23"/>
  <c r="W101" i="23"/>
  <c r="N101" i="23" s="1"/>
  <c r="H101" i="23"/>
  <c r="W100" i="23"/>
  <c r="N100" i="23" s="1"/>
  <c r="P100" i="23"/>
  <c r="H100" i="23"/>
  <c r="W99" i="23"/>
  <c r="N99" i="23" s="1"/>
  <c r="O99" i="23"/>
  <c r="H99" i="23"/>
  <c r="AG98" i="23"/>
  <c r="W98" i="23"/>
  <c r="N98" i="23" s="1"/>
  <c r="P98" i="23"/>
  <c r="H98" i="23"/>
  <c r="W97" i="23"/>
  <c r="N97" i="23" s="1"/>
  <c r="H97" i="23"/>
  <c r="AF96" i="23"/>
  <c r="W96" i="23"/>
  <c r="O96" i="23"/>
  <c r="N96" i="23"/>
  <c r="AG96" i="23" s="1"/>
  <c r="H96" i="23"/>
  <c r="AE95" i="23"/>
  <c r="AD95" i="23"/>
  <c r="AA95" i="23"/>
  <c r="Z95" i="23"/>
  <c r="M95" i="23"/>
  <c r="AG94" i="23"/>
  <c r="AF94" i="23"/>
  <c r="W94" i="23"/>
  <c r="H94" i="23"/>
  <c r="AG93" i="23"/>
  <c r="AF93" i="23"/>
  <c r="W93" i="23"/>
  <c r="H93" i="23"/>
  <c r="AG92" i="23"/>
  <c r="AF92" i="23"/>
  <c r="H92" i="23"/>
  <c r="AG91" i="23"/>
  <c r="AF91" i="23"/>
  <c r="H91" i="23"/>
  <c r="AG90" i="23"/>
  <c r="AF90" i="23"/>
  <c r="H90" i="23"/>
  <c r="W89" i="23"/>
  <c r="P89" i="23"/>
  <c r="N89" i="23"/>
  <c r="O89" i="23" s="1"/>
  <c r="H89" i="23"/>
  <c r="W88" i="23"/>
  <c r="N88" i="23"/>
  <c r="P88" i="23"/>
  <c r="H88" i="23"/>
  <c r="W87" i="23"/>
  <c r="P87" i="23"/>
  <c r="N87" i="23"/>
  <c r="O87" i="23" s="1"/>
  <c r="AF87" i="23"/>
  <c r="H87" i="23"/>
  <c r="W86" i="23"/>
  <c r="N86" i="23"/>
  <c r="P86" i="23"/>
  <c r="H86" i="23"/>
  <c r="W85" i="23"/>
  <c r="P85" i="23"/>
  <c r="N85" i="23"/>
  <c r="O85" i="23" s="1"/>
  <c r="H85" i="23"/>
  <c r="W84" i="23"/>
  <c r="N84" i="23"/>
  <c r="P84" i="23"/>
  <c r="H84" i="23"/>
  <c r="AG83" i="23"/>
  <c r="W83" i="23"/>
  <c r="N83" i="23"/>
  <c r="P95" i="23"/>
  <c r="H83" i="23"/>
  <c r="AE82" i="23"/>
  <c r="AD82" i="23"/>
  <c r="AA82" i="23"/>
  <c r="Z82" i="23"/>
  <c r="M82" i="23"/>
  <c r="W81" i="23"/>
  <c r="AG80" i="23"/>
  <c r="AF80" i="23"/>
  <c r="W80" i="23"/>
  <c r="H80" i="23"/>
  <c r="AG79" i="23"/>
  <c r="AF79" i="23"/>
  <c r="W79" i="23"/>
  <c r="H79" i="23"/>
  <c r="AG78" i="23"/>
  <c r="AF78" i="23"/>
  <c r="H78" i="23"/>
  <c r="AG77" i="23"/>
  <c r="AF77" i="23"/>
  <c r="H77" i="23"/>
  <c r="W76" i="23"/>
  <c r="N76" i="23" s="1"/>
  <c r="O76" i="23"/>
  <c r="H76" i="23"/>
  <c r="AG75" i="23"/>
  <c r="W75" i="23"/>
  <c r="N75" i="23" s="1"/>
  <c r="P75" i="23"/>
  <c r="H75" i="23"/>
  <c r="W74" i="23"/>
  <c r="N74" i="23" s="1"/>
  <c r="O74" i="23" s="1"/>
  <c r="H74" i="23"/>
  <c r="W73" i="23"/>
  <c r="N73" i="23" s="1"/>
  <c r="P73" i="23"/>
  <c r="H73" i="23"/>
  <c r="W72" i="23"/>
  <c r="N72" i="23" s="1"/>
  <c r="O72" i="23"/>
  <c r="H72" i="23"/>
  <c r="AG71" i="23"/>
  <c r="W71" i="23"/>
  <c r="N71" i="23" s="1"/>
  <c r="P71" i="23"/>
  <c r="H71" i="23"/>
  <c r="AF70" i="23"/>
  <c r="W70" i="23"/>
  <c r="Q70" i="23"/>
  <c r="O70" i="23"/>
  <c r="R70" i="23" s="1"/>
  <c r="N70" i="23"/>
  <c r="H70" i="23"/>
  <c r="AE69" i="23"/>
  <c r="AD69" i="23"/>
  <c r="AA69" i="23"/>
  <c r="Z69" i="23"/>
  <c r="W69" i="23"/>
  <c r="M69" i="23"/>
  <c r="W68" i="23"/>
  <c r="H68" i="23"/>
  <c r="AG67" i="23"/>
  <c r="AF67" i="23"/>
  <c r="W67" i="23"/>
  <c r="H67" i="23"/>
  <c r="AG66" i="23"/>
  <c r="AF66" i="23"/>
  <c r="W66" i="23"/>
  <c r="H66" i="23"/>
  <c r="AG65" i="23"/>
  <c r="AF65" i="23"/>
  <c r="W65" i="23"/>
  <c r="H65" i="23"/>
  <c r="AG64" i="23"/>
  <c r="AF64" i="23"/>
  <c r="H64" i="23"/>
  <c r="AG63" i="23"/>
  <c r="AF63" i="23"/>
  <c r="H63" i="23"/>
  <c r="AG62" i="23"/>
  <c r="AF62" i="23"/>
  <c r="H62" i="23"/>
  <c r="W61" i="23"/>
  <c r="N61" i="23" s="1"/>
  <c r="AG61" i="23" s="1"/>
  <c r="P61" i="23"/>
  <c r="H61" i="23"/>
  <c r="W60" i="23"/>
  <c r="N60" i="23" s="1"/>
  <c r="O60" i="23"/>
  <c r="H60" i="23"/>
  <c r="AG59" i="23"/>
  <c r="W59" i="23"/>
  <c r="N59" i="23" s="1"/>
  <c r="P59" i="23"/>
  <c r="H59" i="23"/>
  <c r="W58" i="23"/>
  <c r="N58" i="23" s="1"/>
  <c r="O58" i="23" s="1"/>
  <c r="H58" i="23"/>
  <c r="AF57" i="23"/>
  <c r="W57" i="23"/>
  <c r="O57" i="23"/>
  <c r="N57" i="23"/>
  <c r="N69" i="23" s="1"/>
  <c r="H57" i="23"/>
  <c r="AE56" i="23"/>
  <c r="AD56" i="23"/>
  <c r="AA56" i="23"/>
  <c r="AA2" i="23" s="1"/>
  <c r="Z56" i="23"/>
  <c r="W56" i="23"/>
  <c r="M56" i="23"/>
  <c r="P56" i="23" s="1"/>
  <c r="W55" i="23"/>
  <c r="H55" i="23"/>
  <c r="AG54" i="23"/>
  <c r="AF54" i="23"/>
  <c r="W54" i="23"/>
  <c r="H54" i="23"/>
  <c r="AG53" i="23"/>
  <c r="AF53" i="23"/>
  <c r="W53" i="23"/>
  <c r="H53" i="23"/>
  <c r="AG52" i="23"/>
  <c r="AF52" i="23"/>
  <c r="W52" i="23"/>
  <c r="H52" i="23"/>
  <c r="W51" i="23"/>
  <c r="P51" i="23"/>
  <c r="N51" i="23"/>
  <c r="O51" i="23" s="1"/>
  <c r="H51" i="23"/>
  <c r="W50" i="23"/>
  <c r="P50" i="23"/>
  <c r="N50" i="23"/>
  <c r="H50" i="23"/>
  <c r="W49" i="23"/>
  <c r="P49" i="23"/>
  <c r="N49" i="23"/>
  <c r="O49" i="23" s="1"/>
  <c r="H49" i="23"/>
  <c r="W48" i="23"/>
  <c r="P48" i="23"/>
  <c r="N48" i="23"/>
  <c r="H48" i="23"/>
  <c r="W47" i="23"/>
  <c r="P47" i="23"/>
  <c r="N47" i="23"/>
  <c r="O47" i="23" s="1"/>
  <c r="H47" i="23"/>
  <c r="W46" i="23"/>
  <c r="P46" i="23"/>
  <c r="N46" i="23"/>
  <c r="H46" i="23"/>
  <c r="W45" i="23"/>
  <c r="P45" i="23"/>
  <c r="N45" i="23"/>
  <c r="O45" i="23" s="1"/>
  <c r="H45" i="23"/>
  <c r="W44" i="23"/>
  <c r="N44" i="23" s="1"/>
  <c r="P44" i="23"/>
  <c r="H44" i="23"/>
  <c r="AE43" i="23"/>
  <c r="AD43" i="23"/>
  <c r="AD2" i="23" s="1"/>
  <c r="AA43" i="23"/>
  <c r="Z43" i="23"/>
  <c r="M43" i="23"/>
  <c r="W42" i="23"/>
  <c r="H42" i="23"/>
  <c r="W41" i="23"/>
  <c r="AG40" i="23"/>
  <c r="AF40" i="23"/>
  <c r="W40" i="23"/>
  <c r="H40" i="23"/>
  <c r="AG39" i="23"/>
  <c r="AF39" i="23"/>
  <c r="W39" i="23"/>
  <c r="H39" i="23"/>
  <c r="W38" i="23"/>
  <c r="N38" i="23" s="1"/>
  <c r="AG38" i="23" s="1"/>
  <c r="P38" i="23"/>
  <c r="H38" i="23"/>
  <c r="W37" i="23"/>
  <c r="N37" i="23" s="1"/>
  <c r="O37" i="23"/>
  <c r="H37" i="23"/>
  <c r="AG36" i="23"/>
  <c r="W36" i="23"/>
  <c r="N36" i="23" s="1"/>
  <c r="P36" i="23"/>
  <c r="H36" i="23"/>
  <c r="W35" i="23"/>
  <c r="N35" i="23" s="1"/>
  <c r="H35" i="23"/>
  <c r="W34" i="23"/>
  <c r="N34" i="23" s="1"/>
  <c r="P34" i="23"/>
  <c r="H34" i="23"/>
  <c r="W33" i="23"/>
  <c r="N33" i="23" s="1"/>
  <c r="O33" i="23"/>
  <c r="H33" i="23"/>
  <c r="AG32" i="23"/>
  <c r="W32" i="23"/>
  <c r="N32" i="23" s="1"/>
  <c r="P32" i="23"/>
  <c r="H32" i="23"/>
  <c r="AF31" i="23"/>
  <c r="W31" i="23"/>
  <c r="N31" i="23" s="1"/>
  <c r="P31" i="23"/>
  <c r="H31" i="23"/>
  <c r="AE30" i="23"/>
  <c r="AD30" i="23"/>
  <c r="AA30" i="23"/>
  <c r="Z30" i="23"/>
  <c r="M30" i="23"/>
  <c r="AF29" i="23"/>
  <c r="W29" i="23"/>
  <c r="H29" i="23"/>
  <c r="AG28" i="23"/>
  <c r="AF28" i="23"/>
  <c r="W28" i="23"/>
  <c r="H28" i="23"/>
  <c r="AG27" i="23"/>
  <c r="AF27" i="23"/>
  <c r="W27" i="23"/>
  <c r="H27" i="23"/>
  <c r="AG26" i="23"/>
  <c r="AF26" i="23"/>
  <c r="W26" i="23"/>
  <c r="H26" i="23"/>
  <c r="AG25" i="23"/>
  <c r="AF25" i="23"/>
  <c r="H25" i="23"/>
  <c r="AG24" i="23"/>
  <c r="AF24" i="23"/>
  <c r="W24" i="23"/>
  <c r="H24" i="23"/>
  <c r="AG23" i="23"/>
  <c r="AF23" i="23"/>
  <c r="W23" i="23"/>
  <c r="H23" i="23"/>
  <c r="W22" i="23"/>
  <c r="N22" i="23" s="1"/>
  <c r="O22" i="23"/>
  <c r="H22" i="23"/>
  <c r="AG21" i="23"/>
  <c r="W21" i="23"/>
  <c r="N21" i="23" s="1"/>
  <c r="P21" i="23"/>
  <c r="H21" i="23"/>
  <c r="W20" i="23"/>
  <c r="N20" i="23" s="1"/>
  <c r="H20" i="23"/>
  <c r="W19" i="23"/>
  <c r="N19" i="23" s="1"/>
  <c r="P19" i="23"/>
  <c r="H19" i="23"/>
  <c r="W18" i="23"/>
  <c r="N18" i="23" s="1"/>
  <c r="P18" i="23"/>
  <c r="H18" i="23"/>
  <c r="AE17" i="23"/>
  <c r="AD17" i="23"/>
  <c r="AA17" i="23"/>
  <c r="Z17" i="23"/>
  <c r="W17" i="23"/>
  <c r="M17" i="23"/>
  <c r="W16" i="23"/>
  <c r="H16" i="23"/>
  <c r="W15" i="23"/>
  <c r="H15" i="23"/>
  <c r="W14" i="23"/>
  <c r="R14" i="23"/>
  <c r="P14" i="23"/>
  <c r="N14" i="23"/>
  <c r="O14" i="23" s="1"/>
  <c r="H14" i="23"/>
  <c r="W13" i="23"/>
  <c r="P13" i="23"/>
  <c r="N13" i="23"/>
  <c r="O13" i="23" s="1"/>
  <c r="H13" i="23"/>
  <c r="W12" i="23"/>
  <c r="P12" i="23"/>
  <c r="N12" i="23"/>
  <c r="H12" i="23"/>
  <c r="W11" i="23"/>
  <c r="P11" i="23"/>
  <c r="N11" i="23"/>
  <c r="H11" i="23"/>
  <c r="W10" i="23"/>
  <c r="P10" i="23"/>
  <c r="N10" i="23"/>
  <c r="H10" i="23"/>
  <c r="W9" i="23"/>
  <c r="P9" i="23"/>
  <c r="N9" i="23"/>
  <c r="H9" i="23"/>
  <c r="AF8" i="23"/>
  <c r="W8" i="23"/>
  <c r="P8" i="23"/>
  <c r="N8" i="23"/>
  <c r="H8" i="23"/>
  <c r="AF7" i="23"/>
  <c r="W7" i="23"/>
  <c r="O7" i="23"/>
  <c r="N7" i="23"/>
  <c r="P7" i="23"/>
  <c r="H7" i="23"/>
  <c r="AF6" i="23"/>
  <c r="W6" i="23"/>
  <c r="P6" i="23"/>
  <c r="N6" i="23"/>
  <c r="O6" i="23" s="1"/>
  <c r="H6" i="23"/>
  <c r="W5" i="23"/>
  <c r="P5" i="23"/>
  <c r="N5" i="23"/>
  <c r="H5" i="23"/>
  <c r="G1" i="23" s="1"/>
  <c r="G2" i="23" s="1"/>
  <c r="Z2" i="23"/>
  <c r="I2" i="23"/>
  <c r="E1" i="23"/>
  <c r="G1" i="24" l="1"/>
  <c r="G2" i="24" s="1"/>
  <c r="R6" i="23"/>
  <c r="Q6" i="23"/>
  <c r="R74" i="23"/>
  <c r="Q74" i="23"/>
  <c r="P74" i="23"/>
  <c r="AG140" i="23"/>
  <c r="AF140" i="23"/>
  <c r="AG149" i="23"/>
  <c r="AF149" i="23"/>
  <c r="O149" i="23"/>
  <c r="P46" i="24"/>
  <c r="AF59" i="24"/>
  <c r="O59" i="24"/>
  <c r="AG61" i="25"/>
  <c r="AF61" i="25"/>
  <c r="O61" i="25"/>
  <c r="N69" i="25"/>
  <c r="AG37" i="26"/>
  <c r="AF37" i="26"/>
  <c r="O37" i="26"/>
  <c r="R73" i="26"/>
  <c r="Q73" i="26"/>
  <c r="AG76" i="26"/>
  <c r="AF76" i="26"/>
  <c r="O76" i="26"/>
  <c r="AG5" i="23"/>
  <c r="AG10" i="23"/>
  <c r="O10" i="23"/>
  <c r="AF10" i="23"/>
  <c r="AG12" i="23"/>
  <c r="AF12" i="23"/>
  <c r="O12" i="23"/>
  <c r="AF13" i="23"/>
  <c r="AG46" i="23"/>
  <c r="AF46" i="23"/>
  <c r="O46" i="23"/>
  <c r="AF47" i="23"/>
  <c r="AG50" i="23"/>
  <c r="AF50" i="23"/>
  <c r="O50" i="23"/>
  <c r="R58" i="23"/>
  <c r="P58" i="23"/>
  <c r="AG89" i="23"/>
  <c r="AG97" i="23"/>
  <c r="AF97" i="23"/>
  <c r="AG101" i="23"/>
  <c r="AF101" i="23"/>
  <c r="O113" i="23"/>
  <c r="AG113" i="23"/>
  <c r="AG114" i="23"/>
  <c r="AF114" i="23"/>
  <c r="O114" i="23"/>
  <c r="R137" i="24"/>
  <c r="Q137" i="24"/>
  <c r="P173" i="24"/>
  <c r="I1" i="23"/>
  <c r="O18" i="23"/>
  <c r="AG18" i="23"/>
  <c r="AF19" i="23"/>
  <c r="O19" i="23"/>
  <c r="AF34" i="23"/>
  <c r="O34" i="23"/>
  <c r="O44" i="23"/>
  <c r="AG44" i="23"/>
  <c r="N56" i="23"/>
  <c r="AF44" i="23"/>
  <c r="R47" i="23"/>
  <c r="Q47" i="23"/>
  <c r="R51" i="23"/>
  <c r="Q51" i="23"/>
  <c r="AG60" i="23"/>
  <c r="AF60" i="23"/>
  <c r="AG69" i="23"/>
  <c r="AH57" i="23" s="1"/>
  <c r="Q69" i="23"/>
  <c r="AF69" i="23"/>
  <c r="R72" i="23"/>
  <c r="Q72" i="23"/>
  <c r="AF73" i="23"/>
  <c r="O73" i="23"/>
  <c r="R76" i="23"/>
  <c r="Q76" i="23"/>
  <c r="AG85" i="23"/>
  <c r="Q85" i="23"/>
  <c r="AF85" i="23"/>
  <c r="AF89" i="23"/>
  <c r="Q136" i="23"/>
  <c r="P136" i="23"/>
  <c r="R20" i="24"/>
  <c r="Q20" i="24"/>
  <c r="O31" i="24"/>
  <c r="N43" i="24"/>
  <c r="AG31" i="24"/>
  <c r="AF31" i="24"/>
  <c r="AG38" i="24"/>
  <c r="Q38" i="24"/>
  <c r="AG108" i="24"/>
  <c r="AH96" i="24" s="1"/>
  <c r="AF108" i="24"/>
  <c r="P165" i="24"/>
  <c r="AG6" i="23"/>
  <c r="R13" i="23"/>
  <c r="Q13" i="23"/>
  <c r="AG76" i="23"/>
  <c r="AF76" i="23"/>
  <c r="P82" i="23"/>
  <c r="AF83" i="23"/>
  <c r="N95" i="23"/>
  <c r="O83" i="23"/>
  <c r="P97" i="23"/>
  <c r="AF100" i="23"/>
  <c r="O100" i="23"/>
  <c r="AF139" i="23"/>
  <c r="O139" i="23"/>
  <c r="AF148" i="23"/>
  <c r="N160" i="23"/>
  <c r="O148" i="23"/>
  <c r="AG148" i="23"/>
  <c r="O7" i="24"/>
  <c r="AG7" i="24"/>
  <c r="AG8" i="24"/>
  <c r="AF8" i="24"/>
  <c r="O8" i="24"/>
  <c r="AG20" i="24"/>
  <c r="AF20" i="24"/>
  <c r="R22" i="24"/>
  <c r="Q22" i="24"/>
  <c r="I1" i="24"/>
  <c r="P163" i="24"/>
  <c r="O21" i="25"/>
  <c r="AG21" i="25"/>
  <c r="AF21" i="25"/>
  <c r="P88" i="25"/>
  <c r="O139" i="25"/>
  <c r="AG139" i="25"/>
  <c r="AF139" i="25"/>
  <c r="Q7" i="23"/>
  <c r="R7" i="23"/>
  <c r="O9" i="23"/>
  <c r="AG9" i="23"/>
  <c r="O11" i="23"/>
  <c r="AG11" i="23"/>
  <c r="Q14" i="23"/>
  <c r="AE2" i="23"/>
  <c r="AF18" i="23"/>
  <c r="AG19" i="23"/>
  <c r="AG33" i="23"/>
  <c r="AF33" i="23"/>
  <c r="AG34" i="23"/>
  <c r="AG37" i="23"/>
  <c r="AF37" i="23"/>
  <c r="AF45" i="23"/>
  <c r="AG48" i="23"/>
  <c r="AF48" i="23"/>
  <c r="O48" i="23"/>
  <c r="AF49" i="23"/>
  <c r="R57" i="23"/>
  <c r="P57" i="23"/>
  <c r="AF59" i="23"/>
  <c r="O59" i="23"/>
  <c r="R60" i="23"/>
  <c r="P60" i="23"/>
  <c r="AF71" i="23"/>
  <c r="O71" i="23"/>
  <c r="P72" i="23"/>
  <c r="AF75" i="23"/>
  <c r="O75" i="23"/>
  <c r="P76" i="23"/>
  <c r="AG84" i="23"/>
  <c r="AF84" i="23"/>
  <c r="O84" i="23"/>
  <c r="AG86" i="23"/>
  <c r="AF86" i="23"/>
  <c r="O86" i="23"/>
  <c r="AG88" i="23"/>
  <c r="AF88" i="23"/>
  <c r="O88" i="23"/>
  <c r="AG99" i="23"/>
  <c r="AF99" i="23"/>
  <c r="AG100" i="23"/>
  <c r="O111" i="23"/>
  <c r="AG111" i="23"/>
  <c r="AG112" i="23"/>
  <c r="AF112" i="23"/>
  <c r="O112" i="23"/>
  <c r="O115" i="23"/>
  <c r="AG115" i="23"/>
  <c r="AG116" i="23"/>
  <c r="AF116" i="23"/>
  <c r="O116" i="23"/>
  <c r="P121" i="23"/>
  <c r="AG126" i="23"/>
  <c r="AF126" i="23"/>
  <c r="Q127" i="23"/>
  <c r="P147" i="23"/>
  <c r="P135" i="23"/>
  <c r="AF137" i="23"/>
  <c r="O137" i="23"/>
  <c r="O147" i="23" s="1"/>
  <c r="AG138" i="23"/>
  <c r="AF138" i="23"/>
  <c r="AG139" i="23"/>
  <c r="O150" i="23"/>
  <c r="AG150" i="23"/>
  <c r="AG151" i="23"/>
  <c r="AF151" i="23"/>
  <c r="O151" i="23"/>
  <c r="AG162" i="23"/>
  <c r="AF162" i="23"/>
  <c r="AF163" i="23"/>
  <c r="O163" i="23"/>
  <c r="AG164" i="23"/>
  <c r="AF164" i="23"/>
  <c r="AF165" i="23"/>
  <c r="O165" i="23"/>
  <c r="AF7" i="24"/>
  <c r="P30" i="24"/>
  <c r="R19" i="24"/>
  <c r="AG22" i="24"/>
  <c r="AF22" i="24"/>
  <c r="O32" i="24"/>
  <c r="AG32" i="24"/>
  <c r="AG33" i="24"/>
  <c r="AF33" i="24"/>
  <c r="O33" i="24"/>
  <c r="O34" i="24"/>
  <c r="AG34" i="24"/>
  <c r="AG35" i="24"/>
  <c r="AF35" i="24"/>
  <c r="O35" i="24"/>
  <c r="O36" i="24"/>
  <c r="AG36" i="24"/>
  <c r="AG37" i="24"/>
  <c r="AF37" i="24"/>
  <c r="O37" i="24"/>
  <c r="R38" i="24"/>
  <c r="AG59" i="24"/>
  <c r="N82" i="24"/>
  <c r="O70" i="24"/>
  <c r="AG70" i="24"/>
  <c r="R72" i="24"/>
  <c r="Q72" i="24"/>
  <c r="AG85" i="24"/>
  <c r="AF85" i="24"/>
  <c r="O85" i="24"/>
  <c r="AG89" i="24"/>
  <c r="AF89" i="24"/>
  <c r="O89" i="24"/>
  <c r="O6" i="25"/>
  <c r="AG6" i="25"/>
  <c r="N17" i="25"/>
  <c r="AF6" i="25"/>
  <c r="AG11" i="25"/>
  <c r="AF11" i="25"/>
  <c r="O11" i="25"/>
  <c r="AF60" i="25"/>
  <c r="O60" i="25"/>
  <c r="AG60" i="25"/>
  <c r="AG72" i="25"/>
  <c r="AF72" i="25"/>
  <c r="O72" i="25"/>
  <c r="Q85" i="25"/>
  <c r="R85" i="25"/>
  <c r="AF127" i="25"/>
  <c r="O163" i="25"/>
  <c r="AG163" i="25"/>
  <c r="AF163" i="25"/>
  <c r="AG20" i="23"/>
  <c r="AF20" i="23"/>
  <c r="AG35" i="23"/>
  <c r="AF35" i="23"/>
  <c r="AF51" i="23"/>
  <c r="AF61" i="23"/>
  <c r="O61" i="23"/>
  <c r="AG87" i="23"/>
  <c r="AG110" i="23"/>
  <c r="AF110" i="23"/>
  <c r="O110" i="23"/>
  <c r="N134" i="23"/>
  <c r="O122" i="23"/>
  <c r="AG122" i="23"/>
  <c r="R124" i="23"/>
  <c r="Q124" i="23"/>
  <c r="O173" i="23"/>
  <c r="Q161" i="23"/>
  <c r="N17" i="24"/>
  <c r="AF5" i="24"/>
  <c r="O5" i="24"/>
  <c r="N69" i="24"/>
  <c r="AG57" i="24"/>
  <c r="AF57" i="24"/>
  <c r="O57" i="24"/>
  <c r="AG87" i="24"/>
  <c r="AF87" i="24"/>
  <c r="O87" i="24"/>
  <c r="AG22" i="25"/>
  <c r="AF22" i="25"/>
  <c r="O22" i="25"/>
  <c r="P20" i="23"/>
  <c r="P30" i="23"/>
  <c r="P35" i="23"/>
  <c r="AF38" i="23"/>
  <c r="O38" i="23"/>
  <c r="AG72" i="23"/>
  <c r="AF72" i="23"/>
  <c r="AG73" i="23"/>
  <c r="R87" i="23"/>
  <c r="Q87" i="23"/>
  <c r="R89" i="23"/>
  <c r="Q89" i="23"/>
  <c r="P101" i="23"/>
  <c r="N121" i="23"/>
  <c r="AF109" i="23"/>
  <c r="O109" i="23"/>
  <c r="AG109" i="23"/>
  <c r="AF113" i="23"/>
  <c r="AF122" i="23"/>
  <c r="AG124" i="23"/>
  <c r="AF124" i="23"/>
  <c r="R126" i="23"/>
  <c r="Q126" i="23"/>
  <c r="R129" i="23"/>
  <c r="R135" i="23"/>
  <c r="Q135" i="23"/>
  <c r="P140" i="23"/>
  <c r="P161" i="23"/>
  <c r="Q164" i="23"/>
  <c r="O11" i="24"/>
  <c r="AG11" i="24"/>
  <c r="AG12" i="24"/>
  <c r="AF12" i="24"/>
  <c r="O12" i="24"/>
  <c r="AG58" i="24"/>
  <c r="O58" i="24"/>
  <c r="AF58" i="24"/>
  <c r="O86" i="24"/>
  <c r="AG86" i="24"/>
  <c r="AF86" i="24"/>
  <c r="R99" i="24"/>
  <c r="Q99" i="24"/>
  <c r="AG102" i="24"/>
  <c r="AF102" i="24"/>
  <c r="O102" i="24"/>
  <c r="AF112" i="24"/>
  <c r="AF116" i="24"/>
  <c r="R128" i="24"/>
  <c r="Q128" i="24"/>
  <c r="O135" i="24"/>
  <c r="AG135" i="24"/>
  <c r="N147" i="24"/>
  <c r="AF135" i="24"/>
  <c r="G1" i="25"/>
  <c r="G2" i="25" s="1"/>
  <c r="AG7" i="25"/>
  <c r="AF7" i="25"/>
  <c r="O7" i="25"/>
  <c r="N56" i="25"/>
  <c r="AF44" i="25"/>
  <c r="O44" i="25"/>
  <c r="AF58" i="25"/>
  <c r="O58" i="25"/>
  <c r="AG58" i="25"/>
  <c r="AF87" i="25"/>
  <c r="AG87" i="25"/>
  <c r="O87" i="25"/>
  <c r="O32" i="26"/>
  <c r="AG32" i="26"/>
  <c r="AF32" i="26"/>
  <c r="N17" i="23"/>
  <c r="O5" i="23"/>
  <c r="AF9" i="23"/>
  <c r="AF11" i="23"/>
  <c r="AG22" i="23"/>
  <c r="AF22" i="23"/>
  <c r="P17" i="23"/>
  <c r="AF5" i="23"/>
  <c r="AG7" i="23"/>
  <c r="AG8" i="23"/>
  <c r="O8" i="23"/>
  <c r="O20" i="23"/>
  <c r="AF21" i="23"/>
  <c r="O21" i="23"/>
  <c r="Q22" i="23"/>
  <c r="P22" i="23"/>
  <c r="N30" i="23"/>
  <c r="O31" i="23"/>
  <c r="N43" i="23"/>
  <c r="AG31" i="23"/>
  <c r="AF32" i="23"/>
  <c r="O32" i="23"/>
  <c r="Q33" i="23"/>
  <c r="P33" i="23"/>
  <c r="O35" i="23"/>
  <c r="AF36" i="23"/>
  <c r="O36" i="23"/>
  <c r="R37" i="23"/>
  <c r="P37" i="23"/>
  <c r="R45" i="23"/>
  <c r="Q45" i="23"/>
  <c r="R49" i="23"/>
  <c r="Q49" i="23"/>
  <c r="AG58" i="23"/>
  <c r="AF58" i="23"/>
  <c r="P69" i="23"/>
  <c r="N82" i="23"/>
  <c r="AG74" i="23"/>
  <c r="AF74" i="23"/>
  <c r="P108" i="23"/>
  <c r="P96" i="23"/>
  <c r="O97" i="23"/>
  <c r="O108" i="23" s="1"/>
  <c r="AF98" i="23"/>
  <c r="O98" i="23"/>
  <c r="R99" i="23"/>
  <c r="P99" i="23"/>
  <c r="O101" i="23"/>
  <c r="AF102" i="23"/>
  <c r="O102" i="23"/>
  <c r="AF111" i="23"/>
  <c r="AF115" i="23"/>
  <c r="P134" i="23"/>
  <c r="AG128" i="23"/>
  <c r="AF128" i="23"/>
  <c r="Q129" i="23"/>
  <c r="AG136" i="23"/>
  <c r="AF136" i="23"/>
  <c r="R138" i="23"/>
  <c r="P138" i="23"/>
  <c r="O140" i="23"/>
  <c r="AF150" i="23"/>
  <c r="Q162" i="23"/>
  <c r="P162" i="23"/>
  <c r="R164" i="23"/>
  <c r="P164" i="23"/>
  <c r="P173" i="23"/>
  <c r="AG6" i="24"/>
  <c r="AF6" i="24"/>
  <c r="O6" i="24"/>
  <c r="O9" i="24"/>
  <c r="AG9" i="24"/>
  <c r="AG10" i="24"/>
  <c r="AF10" i="24"/>
  <c r="O10" i="24"/>
  <c r="O13" i="24"/>
  <c r="AG13" i="24"/>
  <c r="AE2" i="24"/>
  <c r="O18" i="24"/>
  <c r="N30" i="24"/>
  <c r="AG18" i="24"/>
  <c r="AF32" i="24"/>
  <c r="AF34" i="24"/>
  <c r="AF36" i="24"/>
  <c r="Q44" i="24"/>
  <c r="AF45" i="24"/>
  <c r="R46" i="24"/>
  <c r="AF47" i="24"/>
  <c r="Q47" i="24"/>
  <c r="R60" i="24"/>
  <c r="Q60" i="24"/>
  <c r="AF71" i="24"/>
  <c r="O71" i="24"/>
  <c r="AF72" i="24"/>
  <c r="O84" i="24"/>
  <c r="AG84" i="24"/>
  <c r="N95" i="24"/>
  <c r="AF84" i="24"/>
  <c r="O88" i="24"/>
  <c r="AG88" i="24"/>
  <c r="AF88" i="24"/>
  <c r="O96" i="24"/>
  <c r="AG96" i="24"/>
  <c r="AF96" i="24"/>
  <c r="O109" i="24"/>
  <c r="AG109" i="24"/>
  <c r="N121" i="24"/>
  <c r="AF109" i="24"/>
  <c r="AF110" i="24"/>
  <c r="AF114" i="24"/>
  <c r="AG123" i="24"/>
  <c r="AF123" i="24"/>
  <c r="N134" i="24"/>
  <c r="O123" i="24"/>
  <c r="R127" i="24"/>
  <c r="Q127" i="24"/>
  <c r="O148" i="24"/>
  <c r="AG148" i="24"/>
  <c r="AF148" i="24"/>
  <c r="N160" i="24"/>
  <c r="O10" i="25"/>
  <c r="AG10" i="25"/>
  <c r="AF10" i="25"/>
  <c r="AG59" i="25"/>
  <c r="AF59" i="25"/>
  <c r="O59" i="25"/>
  <c r="O71" i="25"/>
  <c r="AG71" i="25"/>
  <c r="AF71" i="25"/>
  <c r="AF101" i="25"/>
  <c r="O101" i="25"/>
  <c r="AG101" i="25"/>
  <c r="AG173" i="26"/>
  <c r="AH161" i="26" s="1"/>
  <c r="AF173" i="26"/>
  <c r="AG165" i="26"/>
  <c r="AF165" i="26"/>
  <c r="O165" i="26"/>
  <c r="AG32" i="27"/>
  <c r="AF32" i="27"/>
  <c r="O32" i="27"/>
  <c r="AG13" i="23"/>
  <c r="P43" i="23"/>
  <c r="AG45" i="23"/>
  <c r="AG47" i="23"/>
  <c r="AG49" i="23"/>
  <c r="AG51" i="23"/>
  <c r="AG70" i="23"/>
  <c r="N173" i="23"/>
  <c r="P43" i="24"/>
  <c r="O56" i="24"/>
  <c r="R48" i="24"/>
  <c r="Q49" i="24"/>
  <c r="R50" i="24"/>
  <c r="Q51" i="24"/>
  <c r="O74" i="24"/>
  <c r="AG74" i="24"/>
  <c r="AG75" i="24"/>
  <c r="AF75" i="24"/>
  <c r="O75" i="24"/>
  <c r="Q97" i="24"/>
  <c r="R98" i="24"/>
  <c r="Q98" i="24"/>
  <c r="R100" i="24"/>
  <c r="R101" i="24"/>
  <c r="AG125" i="24"/>
  <c r="AF125" i="24"/>
  <c r="R129" i="24"/>
  <c r="P147" i="24"/>
  <c r="O151" i="24"/>
  <c r="AG151" i="24"/>
  <c r="O5" i="25"/>
  <c r="AG5" i="25"/>
  <c r="AF5" i="25"/>
  <c r="P17" i="25"/>
  <c r="P31" i="25"/>
  <c r="O46" i="25"/>
  <c r="AG46" i="25"/>
  <c r="AG47" i="25"/>
  <c r="AF47" i="25"/>
  <c r="O47" i="25"/>
  <c r="O50" i="25"/>
  <c r="AG50" i="25"/>
  <c r="AG51" i="25"/>
  <c r="AF51" i="25"/>
  <c r="O51" i="25"/>
  <c r="P56" i="25"/>
  <c r="P59" i="25"/>
  <c r="P61" i="25"/>
  <c r="N82" i="25"/>
  <c r="O70" i="25"/>
  <c r="AG70" i="25"/>
  <c r="AF70" i="25"/>
  <c r="AF96" i="25"/>
  <c r="AG100" i="25"/>
  <c r="O100" i="25"/>
  <c r="AF100" i="25"/>
  <c r="AG126" i="25"/>
  <c r="AF126" i="25"/>
  <c r="O126" i="25"/>
  <c r="AF137" i="25"/>
  <c r="AF161" i="25"/>
  <c r="N173" i="25"/>
  <c r="O161" i="25"/>
  <c r="O36" i="26"/>
  <c r="AG36" i="26"/>
  <c r="AF36" i="26"/>
  <c r="P100" i="26"/>
  <c r="P83" i="23"/>
  <c r="N108" i="23"/>
  <c r="O123" i="23"/>
  <c r="O125" i="23"/>
  <c r="AF135" i="23"/>
  <c r="N147" i="23"/>
  <c r="AF161" i="23"/>
  <c r="AF38" i="24"/>
  <c r="AF44" i="24"/>
  <c r="AG46" i="24"/>
  <c r="AG48" i="24"/>
  <c r="AF48" i="24"/>
  <c r="AG50" i="24"/>
  <c r="AF50" i="24"/>
  <c r="AF74" i="24"/>
  <c r="O83" i="24"/>
  <c r="AG83" i="24"/>
  <c r="AF83" i="24"/>
  <c r="P95" i="24"/>
  <c r="AG98" i="24"/>
  <c r="AF98" i="24"/>
  <c r="O110" i="24"/>
  <c r="AG110" i="24"/>
  <c r="AG111" i="24"/>
  <c r="AF111" i="24"/>
  <c r="O111" i="24"/>
  <c r="O112" i="24"/>
  <c r="AG112" i="24"/>
  <c r="AG113" i="24"/>
  <c r="AF113" i="24"/>
  <c r="O113" i="24"/>
  <c r="O114" i="24"/>
  <c r="AG114" i="24"/>
  <c r="AG115" i="24"/>
  <c r="AF115" i="24"/>
  <c r="O115" i="24"/>
  <c r="O116" i="24"/>
  <c r="AG116" i="24"/>
  <c r="R122" i="24"/>
  <c r="Q122" i="24"/>
  <c r="O134" i="24"/>
  <c r="AG127" i="24"/>
  <c r="AF127" i="24"/>
  <c r="Q129" i="24"/>
  <c r="P134" i="24"/>
  <c r="AG137" i="24"/>
  <c r="AF137" i="24"/>
  <c r="AF138" i="24"/>
  <c r="O138" i="24"/>
  <c r="AG139" i="24"/>
  <c r="AF139" i="24"/>
  <c r="AF140" i="24"/>
  <c r="O140" i="24"/>
  <c r="N173" i="24"/>
  <c r="O161" i="24"/>
  <c r="AG161" i="24"/>
  <c r="R163" i="24"/>
  <c r="Q163" i="24"/>
  <c r="R165" i="24"/>
  <c r="Q165" i="24"/>
  <c r="O8" i="25"/>
  <c r="AG8" i="25"/>
  <c r="AG9" i="25"/>
  <c r="AF9" i="25"/>
  <c r="O9" i="25"/>
  <c r="O12" i="25"/>
  <c r="AG12" i="25"/>
  <c r="AG13" i="25"/>
  <c r="AF13" i="25"/>
  <c r="O13" i="25"/>
  <c r="O19" i="25"/>
  <c r="AG19" i="25"/>
  <c r="AG20" i="25"/>
  <c r="AF20" i="25"/>
  <c r="O20" i="25"/>
  <c r="AG32" i="25"/>
  <c r="AF32" i="25"/>
  <c r="AF33" i="25"/>
  <c r="O33" i="25"/>
  <c r="AG34" i="25"/>
  <c r="AF34" i="25"/>
  <c r="AF35" i="25"/>
  <c r="O35" i="25"/>
  <c r="AG36" i="25"/>
  <c r="AF36" i="25"/>
  <c r="AF37" i="25"/>
  <c r="O37" i="25"/>
  <c r="AG38" i="25"/>
  <c r="AF38" i="25"/>
  <c r="O73" i="25"/>
  <c r="AG73" i="25"/>
  <c r="AG74" i="25"/>
  <c r="AF74" i="25"/>
  <c r="O74" i="25"/>
  <c r="AG75" i="25"/>
  <c r="Q75" i="25"/>
  <c r="Q83" i="25"/>
  <c r="Q88" i="25"/>
  <c r="P89" i="25"/>
  <c r="R89" i="25"/>
  <c r="R96" i="25"/>
  <c r="O125" i="25"/>
  <c r="AG125" i="25"/>
  <c r="AF125" i="25"/>
  <c r="P134" i="25"/>
  <c r="AG136" i="25"/>
  <c r="AF136" i="25"/>
  <c r="O136" i="25"/>
  <c r="AF34" i="26"/>
  <c r="O44" i="26"/>
  <c r="AG44" i="26"/>
  <c r="N56" i="26"/>
  <c r="AF44" i="26"/>
  <c r="R72" i="26"/>
  <c r="Q72" i="26"/>
  <c r="AG87" i="26"/>
  <c r="AF87" i="26"/>
  <c r="O87" i="26"/>
  <c r="AF99" i="26"/>
  <c r="O99" i="26"/>
  <c r="AG99" i="26"/>
  <c r="AG57" i="23"/>
  <c r="P70" i="23"/>
  <c r="AF56" i="24"/>
  <c r="AG44" i="24"/>
  <c r="Q46" i="24"/>
  <c r="Q48" i="24"/>
  <c r="Q50" i="24"/>
  <c r="P56" i="24"/>
  <c r="P69" i="24"/>
  <c r="AG60" i="24"/>
  <c r="AF61" i="24"/>
  <c r="O61" i="24"/>
  <c r="AG61" i="24"/>
  <c r="AG72" i="24"/>
  <c r="AF73" i="24"/>
  <c r="O73" i="24"/>
  <c r="AG73" i="24"/>
  <c r="AG100" i="24"/>
  <c r="AF100" i="24"/>
  <c r="P108" i="24"/>
  <c r="R125" i="24"/>
  <c r="R126" i="24"/>
  <c r="R136" i="24"/>
  <c r="AG138" i="24"/>
  <c r="Q139" i="24"/>
  <c r="P139" i="24"/>
  <c r="AG140" i="24"/>
  <c r="O149" i="24"/>
  <c r="AG149" i="24"/>
  <c r="AG150" i="24"/>
  <c r="AF150" i="24"/>
  <c r="O150" i="24"/>
  <c r="AF161" i="24"/>
  <c r="AF162" i="24"/>
  <c r="O162" i="24"/>
  <c r="AG163" i="24"/>
  <c r="AF163" i="24"/>
  <c r="AF164" i="24"/>
  <c r="O164" i="24"/>
  <c r="AG165" i="24"/>
  <c r="AF165" i="24"/>
  <c r="AF8" i="25"/>
  <c r="AF12" i="25"/>
  <c r="AD2" i="25"/>
  <c r="O18" i="25"/>
  <c r="N30" i="25"/>
  <c r="AG18" i="25"/>
  <c r="AF18" i="25"/>
  <c r="AF19" i="25"/>
  <c r="Q43" i="25"/>
  <c r="AG43" i="25"/>
  <c r="AH31" i="25" s="1"/>
  <c r="Q32" i="25"/>
  <c r="P32" i="25"/>
  <c r="Q34" i="25"/>
  <c r="P34" i="25"/>
  <c r="AG35" i="25"/>
  <c r="Q36" i="25"/>
  <c r="P36" i="25"/>
  <c r="AG37" i="25"/>
  <c r="R38" i="25"/>
  <c r="P38" i="25"/>
  <c r="P43" i="25"/>
  <c r="AG45" i="25"/>
  <c r="AF45" i="25"/>
  <c r="O45" i="25"/>
  <c r="O48" i="25"/>
  <c r="AG48" i="25"/>
  <c r="AG49" i="25"/>
  <c r="AF49" i="25"/>
  <c r="O49" i="25"/>
  <c r="O57" i="25"/>
  <c r="AG57" i="25"/>
  <c r="P69" i="25"/>
  <c r="AF73" i="25"/>
  <c r="N95" i="25"/>
  <c r="AG84" i="25"/>
  <c r="AF84" i="25"/>
  <c r="O84" i="25"/>
  <c r="R86" i="25"/>
  <c r="Q86" i="25"/>
  <c r="Q98" i="25"/>
  <c r="R98" i="25"/>
  <c r="P100" i="25"/>
  <c r="AF123" i="25"/>
  <c r="R129" i="25"/>
  <c r="Q129" i="25"/>
  <c r="AG140" i="25"/>
  <c r="AF140" i="25"/>
  <c r="O140" i="25"/>
  <c r="AG164" i="25"/>
  <c r="AF164" i="25"/>
  <c r="O164" i="25"/>
  <c r="AG33" i="26"/>
  <c r="AF33" i="26"/>
  <c r="O33" i="26"/>
  <c r="R57" i="26"/>
  <c r="O70" i="26"/>
  <c r="N82" i="26"/>
  <c r="AG70" i="26"/>
  <c r="AF70" i="26"/>
  <c r="O83" i="26"/>
  <c r="AG83" i="26"/>
  <c r="AF83" i="26"/>
  <c r="N95" i="26"/>
  <c r="O86" i="26"/>
  <c r="AG86" i="26"/>
  <c r="AF86" i="26"/>
  <c r="Q98" i="26"/>
  <c r="R100" i="26"/>
  <c r="Q100" i="26"/>
  <c r="AG113" i="26"/>
  <c r="AF113" i="26"/>
  <c r="O113" i="26"/>
  <c r="P121" i="26"/>
  <c r="P82" i="24"/>
  <c r="R83" i="25"/>
  <c r="AG83" i="25"/>
  <c r="Q97" i="25"/>
  <c r="AG97" i="25"/>
  <c r="AG102" i="25"/>
  <c r="P108" i="25"/>
  <c r="O109" i="25"/>
  <c r="AG109" i="25"/>
  <c r="P121" i="25"/>
  <c r="N147" i="25"/>
  <c r="AF135" i="25"/>
  <c r="O135" i="25"/>
  <c r="AG135" i="25"/>
  <c r="N160" i="25"/>
  <c r="O148" i="25"/>
  <c r="AG148" i="25"/>
  <c r="O165" i="25"/>
  <c r="AG165" i="25"/>
  <c r="N17" i="26"/>
  <c r="O5" i="26"/>
  <c r="AG5" i="26"/>
  <c r="AE2" i="26"/>
  <c r="O18" i="26"/>
  <c r="N30" i="26"/>
  <c r="AG18" i="26"/>
  <c r="R20" i="26"/>
  <c r="P30" i="26"/>
  <c r="I1" i="26"/>
  <c r="O31" i="26"/>
  <c r="AG31" i="26"/>
  <c r="N43" i="26"/>
  <c r="AF31" i="26"/>
  <c r="O47" i="26"/>
  <c r="AG47" i="26"/>
  <c r="AG48" i="26"/>
  <c r="AF48" i="26"/>
  <c r="O48" i="26"/>
  <c r="O51" i="26"/>
  <c r="AG51" i="26"/>
  <c r="P69" i="26"/>
  <c r="P57" i="26"/>
  <c r="Q71" i="26"/>
  <c r="R74" i="26"/>
  <c r="R75" i="26"/>
  <c r="O88" i="26"/>
  <c r="AG88" i="26"/>
  <c r="AG89" i="26"/>
  <c r="AF89" i="26"/>
  <c r="O89" i="26"/>
  <c r="P95" i="26"/>
  <c r="AG98" i="26"/>
  <c r="AF98" i="26"/>
  <c r="O109" i="26"/>
  <c r="N121" i="26"/>
  <c r="AG109" i="26"/>
  <c r="R111" i="26"/>
  <c r="R123" i="26"/>
  <c r="AF122" i="24"/>
  <c r="AF31" i="25"/>
  <c r="AF75" i="25"/>
  <c r="P95" i="25"/>
  <c r="R97" i="25"/>
  <c r="AF102" i="25"/>
  <c r="N108" i="25"/>
  <c r="AF110" i="25"/>
  <c r="O110" i="25"/>
  <c r="AG111" i="25"/>
  <c r="AF111" i="25"/>
  <c r="AF112" i="25"/>
  <c r="O112" i="25"/>
  <c r="AG113" i="25"/>
  <c r="AF113" i="25"/>
  <c r="AF114" i="25"/>
  <c r="O114" i="25"/>
  <c r="AG115" i="25"/>
  <c r="AF115" i="25"/>
  <c r="AF116" i="25"/>
  <c r="O116" i="25"/>
  <c r="N121" i="25"/>
  <c r="O123" i="25"/>
  <c r="AG123" i="25"/>
  <c r="AG124" i="25"/>
  <c r="AF124" i="25"/>
  <c r="O124" i="25"/>
  <c r="O127" i="25"/>
  <c r="AG127" i="25"/>
  <c r="AG128" i="25"/>
  <c r="AF128" i="25"/>
  <c r="O128" i="25"/>
  <c r="O137" i="25"/>
  <c r="AG137" i="25"/>
  <c r="AG138" i="25"/>
  <c r="AF138" i="25"/>
  <c r="O138" i="25"/>
  <c r="AF149" i="25"/>
  <c r="O149" i="25"/>
  <c r="AG150" i="25"/>
  <c r="AF150" i="25"/>
  <c r="AF151" i="25"/>
  <c r="O151" i="25"/>
  <c r="AF165" i="25"/>
  <c r="AF5" i="26"/>
  <c r="AF6" i="26"/>
  <c r="O6" i="26"/>
  <c r="AG7" i="26"/>
  <c r="AF7" i="26"/>
  <c r="AF8" i="26"/>
  <c r="O8" i="26"/>
  <c r="AG9" i="26"/>
  <c r="AF9" i="26"/>
  <c r="AF10" i="26"/>
  <c r="O10" i="26"/>
  <c r="AG11" i="26"/>
  <c r="AF11" i="26"/>
  <c r="AF12" i="26"/>
  <c r="O12" i="26"/>
  <c r="AG13" i="26"/>
  <c r="AF13" i="26"/>
  <c r="AF18" i="26"/>
  <c r="AF19" i="26"/>
  <c r="O19" i="26"/>
  <c r="AG20" i="26"/>
  <c r="AF20" i="26"/>
  <c r="AF21" i="26"/>
  <c r="O21" i="26"/>
  <c r="AG22" i="26"/>
  <c r="AF22" i="26"/>
  <c r="O34" i="26"/>
  <c r="AG34" i="26"/>
  <c r="AG35" i="26"/>
  <c r="AF35" i="26"/>
  <c r="O35" i="26"/>
  <c r="AF47" i="26"/>
  <c r="AF51" i="26"/>
  <c r="P56" i="26"/>
  <c r="AG58" i="26"/>
  <c r="AF58" i="26"/>
  <c r="AF59" i="26"/>
  <c r="O59" i="26"/>
  <c r="AG60" i="26"/>
  <c r="AF60" i="26"/>
  <c r="AF61" i="26"/>
  <c r="O61" i="26"/>
  <c r="AG72" i="26"/>
  <c r="AF72" i="26"/>
  <c r="AF88" i="26"/>
  <c r="P108" i="26"/>
  <c r="N108" i="26"/>
  <c r="O96" i="26"/>
  <c r="AG96" i="26"/>
  <c r="AF97" i="26"/>
  <c r="O97" i="26"/>
  <c r="R98" i="26"/>
  <c r="P98" i="26"/>
  <c r="AF122" i="26"/>
  <c r="R148" i="26"/>
  <c r="Q148" i="26"/>
  <c r="AG31" i="25"/>
  <c r="R88" i="25"/>
  <c r="AF99" i="25"/>
  <c r="O99" i="25"/>
  <c r="R102" i="25"/>
  <c r="Q102" i="25"/>
  <c r="Q111" i="25"/>
  <c r="P111" i="25"/>
  <c r="Q113" i="25"/>
  <c r="P113" i="25"/>
  <c r="R115" i="25"/>
  <c r="P115" i="25"/>
  <c r="N134" i="25"/>
  <c r="O122" i="25"/>
  <c r="AG122" i="25"/>
  <c r="AF122" i="25"/>
  <c r="P147" i="25"/>
  <c r="R150" i="25"/>
  <c r="P150" i="25"/>
  <c r="P160" i="25"/>
  <c r="AG162" i="25"/>
  <c r="AF162" i="25"/>
  <c r="O162" i="25"/>
  <c r="G1" i="26"/>
  <c r="G2" i="26" s="1"/>
  <c r="Q7" i="26"/>
  <c r="P7" i="26"/>
  <c r="Q9" i="26"/>
  <c r="P9" i="26"/>
  <c r="R11" i="26"/>
  <c r="P11" i="26"/>
  <c r="Q13" i="26"/>
  <c r="P13" i="26"/>
  <c r="P17" i="26"/>
  <c r="Q20" i="26"/>
  <c r="P20" i="26"/>
  <c r="Q22" i="26"/>
  <c r="P22" i="26"/>
  <c r="O45" i="26"/>
  <c r="AG45" i="26"/>
  <c r="AG46" i="26"/>
  <c r="AF46" i="26"/>
  <c r="O46" i="26"/>
  <c r="O49" i="26"/>
  <c r="AG49" i="26"/>
  <c r="AG50" i="26"/>
  <c r="AF50" i="26"/>
  <c r="O50" i="26"/>
  <c r="AG69" i="26"/>
  <c r="AH57" i="26" s="1"/>
  <c r="Q69" i="26"/>
  <c r="AF69" i="26"/>
  <c r="R58" i="26"/>
  <c r="P58" i="26"/>
  <c r="R60" i="26"/>
  <c r="P60" i="26"/>
  <c r="P82" i="26"/>
  <c r="AG74" i="26"/>
  <c r="AF74" i="26"/>
  <c r="O84" i="26"/>
  <c r="AG84" i="26"/>
  <c r="AG85" i="26"/>
  <c r="AF85" i="26"/>
  <c r="O85" i="26"/>
  <c r="AG100" i="26"/>
  <c r="AF100" i="26"/>
  <c r="AF101" i="26"/>
  <c r="O101" i="26"/>
  <c r="AG111" i="26"/>
  <c r="AF111" i="26"/>
  <c r="AG122" i="26"/>
  <c r="Q124" i="26"/>
  <c r="R124" i="26"/>
  <c r="R125" i="26"/>
  <c r="AG128" i="26"/>
  <c r="AF128" i="26"/>
  <c r="O128" i="26"/>
  <c r="N147" i="26"/>
  <c r="AF135" i="26"/>
  <c r="O135" i="26"/>
  <c r="AG135" i="26"/>
  <c r="Q123" i="26"/>
  <c r="AG123" i="26"/>
  <c r="Q125" i="26"/>
  <c r="AG125" i="26"/>
  <c r="AG136" i="26"/>
  <c r="AF136" i="26"/>
  <c r="O136" i="26"/>
  <c r="AG138" i="26"/>
  <c r="AF138" i="26"/>
  <c r="O138" i="26"/>
  <c r="AG140" i="26"/>
  <c r="AF140" i="26"/>
  <c r="O140" i="26"/>
  <c r="R150" i="26"/>
  <c r="Q150" i="26"/>
  <c r="G1" i="27"/>
  <c r="G2" i="27" s="1"/>
  <c r="O5" i="27"/>
  <c r="AG5" i="27"/>
  <c r="AF5" i="27"/>
  <c r="N17" i="27"/>
  <c r="AG34" i="27"/>
  <c r="AF34" i="27"/>
  <c r="O34" i="27"/>
  <c r="AF46" i="27"/>
  <c r="O46" i="27"/>
  <c r="AG46" i="27"/>
  <c r="AF57" i="26"/>
  <c r="O110" i="26"/>
  <c r="O112" i="26"/>
  <c r="O114" i="26"/>
  <c r="N134" i="26"/>
  <c r="O122" i="26"/>
  <c r="R126" i="26"/>
  <c r="AG127" i="26"/>
  <c r="R127" i="26"/>
  <c r="AF127" i="26"/>
  <c r="AG150" i="26"/>
  <c r="AF150" i="26"/>
  <c r="N160" i="26"/>
  <c r="AG36" i="27"/>
  <c r="AF36" i="27"/>
  <c r="O36" i="27"/>
  <c r="N56" i="27"/>
  <c r="AG44" i="27"/>
  <c r="AF44" i="27"/>
  <c r="O44" i="27"/>
  <c r="AG57" i="26"/>
  <c r="P96" i="26"/>
  <c r="AG126" i="26"/>
  <c r="AF126" i="26"/>
  <c r="Q127" i="26"/>
  <c r="R129" i="26"/>
  <c r="Q129" i="26"/>
  <c r="AG137" i="26"/>
  <c r="Q137" i="26"/>
  <c r="AF137" i="26"/>
  <c r="AG139" i="26"/>
  <c r="R139" i="26"/>
  <c r="AF139" i="26"/>
  <c r="P150" i="26"/>
  <c r="P160" i="26"/>
  <c r="AG152" i="26"/>
  <c r="AF152" i="26"/>
  <c r="O152" i="26"/>
  <c r="AG163" i="26"/>
  <c r="AF163" i="26"/>
  <c r="O163" i="26"/>
  <c r="O18" i="27"/>
  <c r="N30" i="27"/>
  <c r="AG18" i="27"/>
  <c r="AF18" i="27"/>
  <c r="AG31" i="27"/>
  <c r="N43" i="27"/>
  <c r="AF31" i="27"/>
  <c r="O31" i="27"/>
  <c r="AG45" i="27"/>
  <c r="AF45" i="27"/>
  <c r="O45" i="27"/>
  <c r="AF6" i="27"/>
  <c r="AF8" i="27"/>
  <c r="AF10" i="27"/>
  <c r="AF12" i="27"/>
  <c r="AF19" i="27"/>
  <c r="AF21" i="27"/>
  <c r="AG58" i="27"/>
  <c r="AF58" i="27"/>
  <c r="O58" i="27"/>
  <c r="AF59" i="27"/>
  <c r="AF71" i="27"/>
  <c r="AG74" i="27"/>
  <c r="AF74" i="27"/>
  <c r="O74" i="27"/>
  <c r="AF75" i="27"/>
  <c r="R85" i="27"/>
  <c r="Q85" i="27"/>
  <c r="R89" i="27"/>
  <c r="Q89" i="27"/>
  <c r="AF96" i="27"/>
  <c r="N108" i="27"/>
  <c r="O96" i="27"/>
  <c r="AG96" i="27"/>
  <c r="AG99" i="27"/>
  <c r="AF99" i="27"/>
  <c r="O99" i="27"/>
  <c r="AF100" i="27"/>
  <c r="P109" i="27"/>
  <c r="R110" i="27"/>
  <c r="AF111" i="27"/>
  <c r="O111" i="27"/>
  <c r="R112" i="27"/>
  <c r="P112" i="27"/>
  <c r="AG128" i="27"/>
  <c r="AF128" i="27"/>
  <c r="AG136" i="27"/>
  <c r="AF136" i="27"/>
  <c r="R138" i="27"/>
  <c r="P138" i="27"/>
  <c r="O150" i="27"/>
  <c r="AG150" i="27"/>
  <c r="O163" i="27"/>
  <c r="AG163" i="27"/>
  <c r="AF163" i="27"/>
  <c r="AG9" i="28"/>
  <c r="AF9" i="28"/>
  <c r="O9" i="28"/>
  <c r="O22" i="28"/>
  <c r="AG22" i="28"/>
  <c r="AF22" i="28"/>
  <c r="AG35" i="28"/>
  <c r="AF35" i="28"/>
  <c r="O35" i="28"/>
  <c r="N56" i="28"/>
  <c r="O44" i="28"/>
  <c r="AG44" i="28"/>
  <c r="AF44" i="28"/>
  <c r="AG148" i="26"/>
  <c r="AG161" i="26"/>
  <c r="Q6" i="27"/>
  <c r="O7" i="27"/>
  <c r="R8" i="27"/>
  <c r="O9" i="27"/>
  <c r="R10" i="27"/>
  <c r="O11" i="27"/>
  <c r="R12" i="27"/>
  <c r="O13" i="27"/>
  <c r="R19" i="27"/>
  <c r="O20" i="27"/>
  <c r="Q21" i="27"/>
  <c r="O22" i="27"/>
  <c r="P31" i="27"/>
  <c r="P44" i="27"/>
  <c r="P45" i="27"/>
  <c r="Q47" i="27"/>
  <c r="AG48" i="27"/>
  <c r="R51" i="27"/>
  <c r="R59" i="27"/>
  <c r="Q59" i="27"/>
  <c r="R71" i="27"/>
  <c r="Q71" i="27"/>
  <c r="R75" i="27"/>
  <c r="Q75" i="27"/>
  <c r="P82" i="27"/>
  <c r="N95" i="27"/>
  <c r="AF83" i="27"/>
  <c r="O83" i="27"/>
  <c r="AG83" i="27"/>
  <c r="AG86" i="27"/>
  <c r="AF86" i="27"/>
  <c r="O86" i="27"/>
  <c r="AF87" i="27"/>
  <c r="AG90" i="27"/>
  <c r="AF90" i="27"/>
  <c r="O90" i="27"/>
  <c r="R100" i="27"/>
  <c r="Q100" i="27"/>
  <c r="AG110" i="27"/>
  <c r="AF110" i="27"/>
  <c r="AG111" i="27"/>
  <c r="R114" i="27"/>
  <c r="N134" i="27"/>
  <c r="O122" i="27"/>
  <c r="AG122" i="27"/>
  <c r="R124" i="27"/>
  <c r="Q124" i="27"/>
  <c r="R126" i="27"/>
  <c r="P136" i="27"/>
  <c r="AG140" i="27"/>
  <c r="AF140" i="27"/>
  <c r="AF150" i="27"/>
  <c r="AF6" i="28"/>
  <c r="O6" i="28"/>
  <c r="AG6" i="28"/>
  <c r="P135" i="26"/>
  <c r="O149" i="26"/>
  <c r="O151" i="26"/>
  <c r="O161" i="26"/>
  <c r="O162" i="26"/>
  <c r="O164" i="26"/>
  <c r="AF7" i="27"/>
  <c r="AF9" i="27"/>
  <c r="AF11" i="27"/>
  <c r="AF13" i="27"/>
  <c r="AF20" i="27"/>
  <c r="AF22" i="27"/>
  <c r="O33" i="27"/>
  <c r="O35" i="27"/>
  <c r="O37" i="27"/>
  <c r="R47" i="27"/>
  <c r="O48" i="27"/>
  <c r="AG49" i="27"/>
  <c r="AF57" i="27"/>
  <c r="O57" i="27"/>
  <c r="AG57" i="27"/>
  <c r="AG60" i="27"/>
  <c r="AF60" i="27"/>
  <c r="O60" i="27"/>
  <c r="AF61" i="27"/>
  <c r="N69" i="27"/>
  <c r="AG72" i="27"/>
  <c r="AF72" i="27"/>
  <c r="O72" i="27"/>
  <c r="AF73" i="27"/>
  <c r="R87" i="27"/>
  <c r="Q87" i="27"/>
  <c r="AG97" i="27"/>
  <c r="AF97" i="27"/>
  <c r="O97" i="27"/>
  <c r="AF98" i="27"/>
  <c r="AG101" i="27"/>
  <c r="AF101" i="27"/>
  <c r="O101" i="27"/>
  <c r="AF102" i="27"/>
  <c r="P108" i="27"/>
  <c r="N121" i="27"/>
  <c r="Q110" i="27"/>
  <c r="P110" i="27"/>
  <c r="AF113" i="27"/>
  <c r="O113" i="27"/>
  <c r="AG114" i="27"/>
  <c r="AF114" i="27"/>
  <c r="AF122" i="27"/>
  <c r="AG124" i="27"/>
  <c r="AF124" i="27"/>
  <c r="Q126" i="27"/>
  <c r="R129" i="27"/>
  <c r="AF139" i="27"/>
  <c r="O139" i="27"/>
  <c r="Q140" i="27"/>
  <c r="P140" i="27"/>
  <c r="AG149" i="27"/>
  <c r="AF149" i="27"/>
  <c r="O149" i="27"/>
  <c r="AG162" i="27"/>
  <c r="AF162" i="27"/>
  <c r="O162" i="27"/>
  <c r="AG164" i="27"/>
  <c r="AF164" i="27"/>
  <c r="O164" i="27"/>
  <c r="P161" i="26"/>
  <c r="AF47" i="27"/>
  <c r="O49" i="27"/>
  <c r="R50" i="27"/>
  <c r="AG50" i="27"/>
  <c r="R61" i="27"/>
  <c r="Q61" i="27"/>
  <c r="N82" i="27"/>
  <c r="O70" i="27"/>
  <c r="AG70" i="27"/>
  <c r="AF70" i="27"/>
  <c r="R73" i="27"/>
  <c r="Q73" i="27"/>
  <c r="AG84" i="27"/>
  <c r="AF84" i="27"/>
  <c r="O84" i="27"/>
  <c r="AF85" i="27"/>
  <c r="AG88" i="27"/>
  <c r="AF88" i="27"/>
  <c r="O88" i="27"/>
  <c r="AF89" i="27"/>
  <c r="R98" i="27"/>
  <c r="Q98" i="27"/>
  <c r="R102" i="27"/>
  <c r="Q102" i="27"/>
  <c r="R109" i="27"/>
  <c r="Q109" i="27"/>
  <c r="AG112" i="27"/>
  <c r="AF112" i="27"/>
  <c r="Q114" i="27"/>
  <c r="P114" i="27"/>
  <c r="P121" i="27"/>
  <c r="AG126" i="27"/>
  <c r="AF126" i="27"/>
  <c r="O128" i="27"/>
  <c r="P147" i="27"/>
  <c r="P135" i="27"/>
  <c r="O136" i="27"/>
  <c r="AF137" i="27"/>
  <c r="O137" i="27"/>
  <c r="AG138" i="27"/>
  <c r="AF138" i="27"/>
  <c r="N160" i="27"/>
  <c r="AF148" i="27"/>
  <c r="O148" i="27"/>
  <c r="AG148" i="27"/>
  <c r="G1" i="28"/>
  <c r="G2" i="28" s="1"/>
  <c r="AG59" i="27"/>
  <c r="AG61" i="27"/>
  <c r="AG71" i="27"/>
  <c r="AG73" i="27"/>
  <c r="AG75" i="27"/>
  <c r="AG85" i="27"/>
  <c r="AG87" i="27"/>
  <c r="AG89" i="27"/>
  <c r="AG98" i="27"/>
  <c r="AG100" i="27"/>
  <c r="AG102" i="27"/>
  <c r="P160" i="27"/>
  <c r="R151" i="27"/>
  <c r="P151" i="27"/>
  <c r="AF161" i="27"/>
  <c r="N173" i="27"/>
  <c r="AG165" i="27"/>
  <c r="AF8" i="28"/>
  <c r="O8" i="28"/>
  <c r="AG8" i="28"/>
  <c r="Q18" i="28"/>
  <c r="R18" i="28"/>
  <c r="AF32" i="28"/>
  <c r="O32" i="28"/>
  <c r="AG32" i="28"/>
  <c r="AG37" i="28"/>
  <c r="AF37" i="28"/>
  <c r="O37" i="28"/>
  <c r="P43" i="28"/>
  <c r="AG46" i="28"/>
  <c r="AF46" i="28"/>
  <c r="O46" i="28"/>
  <c r="O123" i="27"/>
  <c r="O125" i="27"/>
  <c r="O127" i="27"/>
  <c r="AF135" i="27"/>
  <c r="N147" i="27"/>
  <c r="O173" i="27"/>
  <c r="Q161" i="27"/>
  <c r="P164" i="27"/>
  <c r="AF7" i="28"/>
  <c r="O13" i="28"/>
  <c r="AG13" i="28"/>
  <c r="AF13" i="28"/>
  <c r="O20" i="28"/>
  <c r="AG20" i="28"/>
  <c r="AF20" i="28"/>
  <c r="O31" i="28"/>
  <c r="AG31" i="28"/>
  <c r="N43" i="28"/>
  <c r="AF31" i="28"/>
  <c r="AF34" i="28"/>
  <c r="O34" i="28"/>
  <c r="AG34" i="28"/>
  <c r="AG109" i="27"/>
  <c r="AG151" i="27"/>
  <c r="AF151" i="27"/>
  <c r="R152" i="27"/>
  <c r="P173" i="27"/>
  <c r="P161" i="27"/>
  <c r="R161" i="27"/>
  <c r="P162" i="27"/>
  <c r="R165" i="27"/>
  <c r="N17" i="28"/>
  <c r="O5" i="28"/>
  <c r="O7" i="28"/>
  <c r="O11" i="28"/>
  <c r="AG11" i="28"/>
  <c r="AF11" i="28"/>
  <c r="P30" i="28"/>
  <c r="AG33" i="28"/>
  <c r="AF33" i="28"/>
  <c r="O33" i="28"/>
  <c r="AF36" i="28"/>
  <c r="O36" i="28"/>
  <c r="AG36" i="28"/>
  <c r="AF45" i="28"/>
  <c r="O45" i="28"/>
  <c r="AG45" i="28"/>
  <c r="AG18" i="28"/>
  <c r="P20" i="28"/>
  <c r="N30" i="28"/>
  <c r="R47" i="28"/>
  <c r="R49" i="28"/>
  <c r="Q57" i="28"/>
  <c r="AF58" i="28"/>
  <c r="R60" i="28"/>
  <c r="Q60" i="28"/>
  <c r="O83" i="28"/>
  <c r="AG83" i="28"/>
  <c r="AF83" i="28"/>
  <c r="P95" i="28"/>
  <c r="AG98" i="28"/>
  <c r="AF98" i="28"/>
  <c r="R100" i="28"/>
  <c r="Q100" i="28"/>
  <c r="O110" i="28"/>
  <c r="AG110" i="28"/>
  <c r="AG111" i="28"/>
  <c r="AF111" i="28"/>
  <c r="O111" i="28"/>
  <c r="O112" i="28"/>
  <c r="AG112" i="28"/>
  <c r="AG113" i="28"/>
  <c r="AF113" i="28"/>
  <c r="O113" i="28"/>
  <c r="O114" i="28"/>
  <c r="AG114" i="28"/>
  <c r="AG123" i="28"/>
  <c r="AF123" i="28"/>
  <c r="O123" i="28"/>
  <c r="O124" i="28"/>
  <c r="AG124" i="28"/>
  <c r="O135" i="28"/>
  <c r="N147" i="28"/>
  <c r="AG135" i="28"/>
  <c r="AF135" i="28"/>
  <c r="R7" i="29"/>
  <c r="Q7" i="29"/>
  <c r="R11" i="29"/>
  <c r="Q11" i="29"/>
  <c r="R35" i="29"/>
  <c r="Q35" i="29"/>
  <c r="AF134" i="29"/>
  <c r="AG134" i="29"/>
  <c r="AH122" i="29" s="1"/>
  <c r="AF165" i="29"/>
  <c r="O165" i="29"/>
  <c r="AG165" i="29"/>
  <c r="O10" i="28"/>
  <c r="O12" i="28"/>
  <c r="O19" i="28"/>
  <c r="O21" i="28"/>
  <c r="O30" i="28" s="1"/>
  <c r="P33" i="28"/>
  <c r="P35" i="28"/>
  <c r="P37" i="28"/>
  <c r="P46" i="28"/>
  <c r="AG48" i="28"/>
  <c r="AG50" i="28"/>
  <c r="P56" i="28"/>
  <c r="R58" i="28"/>
  <c r="Q58" i="28"/>
  <c r="N95" i="28"/>
  <c r="R97" i="28"/>
  <c r="AG100" i="28"/>
  <c r="AF100" i="28"/>
  <c r="Q101" i="28"/>
  <c r="R102" i="28"/>
  <c r="Q102" i="28"/>
  <c r="P108" i="28"/>
  <c r="AF110" i="28"/>
  <c r="AF112" i="28"/>
  <c r="AF114" i="28"/>
  <c r="AF124" i="28"/>
  <c r="Q129" i="28"/>
  <c r="AG137" i="28"/>
  <c r="AF137" i="28"/>
  <c r="O137" i="28"/>
  <c r="AG151" i="28"/>
  <c r="AF151" i="28"/>
  <c r="O151" i="28"/>
  <c r="AF19" i="28"/>
  <c r="AF21" i="28"/>
  <c r="AF47" i="28"/>
  <c r="Q48" i="28"/>
  <c r="AF48" i="28"/>
  <c r="AF49" i="28"/>
  <c r="Q50" i="28"/>
  <c r="AF50" i="28"/>
  <c r="AG60" i="28"/>
  <c r="AF61" i="28"/>
  <c r="O61" i="28"/>
  <c r="AG61" i="28"/>
  <c r="O84" i="28"/>
  <c r="AG84" i="28"/>
  <c r="AG85" i="28"/>
  <c r="AF85" i="28"/>
  <c r="O85" i="28"/>
  <c r="O86" i="28"/>
  <c r="AG86" i="28"/>
  <c r="AG87" i="28"/>
  <c r="AF87" i="28"/>
  <c r="O87" i="28"/>
  <c r="O88" i="28"/>
  <c r="AG88" i="28"/>
  <c r="AG89" i="28"/>
  <c r="AF89" i="28"/>
  <c r="O89" i="28"/>
  <c r="O96" i="28"/>
  <c r="AG96" i="28"/>
  <c r="AG102" i="28"/>
  <c r="AF102" i="28"/>
  <c r="N108" i="28"/>
  <c r="O109" i="28"/>
  <c r="N121" i="28"/>
  <c r="AG109" i="28"/>
  <c r="AF109" i="28"/>
  <c r="AG127" i="28"/>
  <c r="AF127" i="28"/>
  <c r="O127" i="28"/>
  <c r="O128" i="28"/>
  <c r="AG128" i="28"/>
  <c r="R129" i="28"/>
  <c r="O136" i="28"/>
  <c r="AG136" i="28"/>
  <c r="AF140" i="28"/>
  <c r="R148" i="28"/>
  <c r="Q148" i="28"/>
  <c r="AG19" i="29"/>
  <c r="AF19" i="29"/>
  <c r="O19" i="29"/>
  <c r="AG51" i="28"/>
  <c r="N69" i="28"/>
  <c r="AG57" i="28"/>
  <c r="AF57" i="28"/>
  <c r="AG58" i="28"/>
  <c r="AF59" i="28"/>
  <c r="O59" i="28"/>
  <c r="O69" i="28" s="1"/>
  <c r="R69" i="28" s="1"/>
  <c r="S57" i="28" s="1"/>
  <c r="AG59" i="28"/>
  <c r="AF60" i="28"/>
  <c r="N82" i="28"/>
  <c r="O70" i="28"/>
  <c r="AF70" i="28"/>
  <c r="AG71" i="28"/>
  <c r="AF71" i="28"/>
  <c r="O71" i="28"/>
  <c r="O72" i="28"/>
  <c r="AG72" i="28"/>
  <c r="AG73" i="28"/>
  <c r="AF73" i="28"/>
  <c r="O73" i="28"/>
  <c r="O74" i="28"/>
  <c r="AG74" i="28"/>
  <c r="AG75" i="28"/>
  <c r="AF75" i="28"/>
  <c r="O75" i="28"/>
  <c r="AF84" i="28"/>
  <c r="AF86" i="28"/>
  <c r="AF88" i="28"/>
  <c r="R98" i="28"/>
  <c r="Q98" i="28"/>
  <c r="AF122" i="28"/>
  <c r="N134" i="28"/>
  <c r="O122" i="28"/>
  <c r="AG125" i="28"/>
  <c r="AF125" i="28"/>
  <c r="O125" i="28"/>
  <c r="O126" i="28"/>
  <c r="AG126" i="28"/>
  <c r="AF128" i="28"/>
  <c r="AF136" i="28"/>
  <c r="AF138" i="28"/>
  <c r="R139" i="28"/>
  <c r="AG162" i="28"/>
  <c r="AF162" i="28"/>
  <c r="O162" i="28"/>
  <c r="AG23" i="29"/>
  <c r="AF23" i="29"/>
  <c r="O23" i="29"/>
  <c r="AG74" i="29"/>
  <c r="AF74" i="29"/>
  <c r="O74" i="29"/>
  <c r="AF77" i="29"/>
  <c r="O77" i="29"/>
  <c r="AG77" i="29"/>
  <c r="P82" i="28"/>
  <c r="P134" i="28"/>
  <c r="P147" i="28"/>
  <c r="AF150" i="28"/>
  <c r="O150" i="28"/>
  <c r="O160" i="28" s="1"/>
  <c r="P151" i="28"/>
  <c r="P161" i="28"/>
  <c r="AG161" i="28"/>
  <c r="AF161" i="28"/>
  <c r="N173" i="28"/>
  <c r="P162" i="28"/>
  <c r="AF165" i="28"/>
  <c r="O165" i="28"/>
  <c r="AF5" i="29"/>
  <c r="N17" i="29"/>
  <c r="O5" i="29"/>
  <c r="AG5" i="29"/>
  <c r="AG8" i="29"/>
  <c r="AF8" i="29"/>
  <c r="O8" i="29"/>
  <c r="AF9" i="29"/>
  <c r="AG12" i="29"/>
  <c r="AF12" i="29"/>
  <c r="O12" i="29"/>
  <c r="P17" i="29"/>
  <c r="I1" i="29"/>
  <c r="N30" i="29"/>
  <c r="P19" i="29"/>
  <c r="AF22" i="29"/>
  <c r="O22" i="29"/>
  <c r="P23" i="29"/>
  <c r="Z2" i="29"/>
  <c r="AG32" i="29"/>
  <c r="AF32" i="29"/>
  <c r="O32" i="29"/>
  <c r="AF33" i="29"/>
  <c r="AG36" i="29"/>
  <c r="AF36" i="29"/>
  <c r="O36" i="29"/>
  <c r="AF37" i="29"/>
  <c r="AG45" i="29"/>
  <c r="AF45" i="29"/>
  <c r="O45" i="29"/>
  <c r="O48" i="29"/>
  <c r="AG48" i="29"/>
  <c r="AG49" i="29"/>
  <c r="AF49" i="29"/>
  <c r="O49" i="29"/>
  <c r="N69" i="29"/>
  <c r="O57" i="29"/>
  <c r="AG57" i="29"/>
  <c r="Q58" i="29"/>
  <c r="R59" i="29"/>
  <c r="Q59" i="29"/>
  <c r="AF71" i="29"/>
  <c r="O71" i="29"/>
  <c r="AG71" i="29"/>
  <c r="AG76" i="29"/>
  <c r="AF76" i="29"/>
  <c r="O76" i="29"/>
  <c r="AG87" i="29"/>
  <c r="AF87" i="29"/>
  <c r="O87" i="29"/>
  <c r="P122" i="28"/>
  <c r="P123" i="28"/>
  <c r="P125" i="28"/>
  <c r="P127" i="28"/>
  <c r="P129" i="28"/>
  <c r="P137" i="28"/>
  <c r="AG139" i="28"/>
  <c r="P160" i="28"/>
  <c r="P148" i="28"/>
  <c r="AG149" i="28"/>
  <c r="AF149" i="28"/>
  <c r="AG150" i="28"/>
  <c r="AG164" i="28"/>
  <c r="AF164" i="28"/>
  <c r="AG165" i="28"/>
  <c r="P173" i="28"/>
  <c r="G1" i="29"/>
  <c r="G2" i="29" s="1"/>
  <c r="R9" i="29"/>
  <c r="Q9" i="29"/>
  <c r="AG21" i="29"/>
  <c r="AF21" i="29"/>
  <c r="AG22" i="29"/>
  <c r="R33" i="29"/>
  <c r="Q33" i="29"/>
  <c r="R37" i="29"/>
  <c r="Q37" i="29"/>
  <c r="P43" i="29"/>
  <c r="N56" i="29"/>
  <c r="AF44" i="29"/>
  <c r="O44" i="29"/>
  <c r="AG44" i="29"/>
  <c r="AF48" i="29"/>
  <c r="AG60" i="29"/>
  <c r="AF60" i="29"/>
  <c r="AF73" i="29"/>
  <c r="O73" i="29"/>
  <c r="AG73" i="29"/>
  <c r="R100" i="29"/>
  <c r="Q100" i="29"/>
  <c r="Q139" i="28"/>
  <c r="AG148" i="28"/>
  <c r="N160" i="28"/>
  <c r="AF148" i="28"/>
  <c r="P149" i="28"/>
  <c r="AF152" i="28"/>
  <c r="O152" i="28"/>
  <c r="R161" i="28"/>
  <c r="Q161" i="28"/>
  <c r="AF163" i="28"/>
  <c r="O163" i="28"/>
  <c r="O173" i="28" s="1"/>
  <c r="R164" i="28"/>
  <c r="P164" i="28"/>
  <c r="AG6" i="29"/>
  <c r="AF6" i="29"/>
  <c r="O6" i="29"/>
  <c r="AF7" i="29"/>
  <c r="AG10" i="29"/>
  <c r="AF10" i="29"/>
  <c r="O10" i="29"/>
  <c r="AF11" i="29"/>
  <c r="P18" i="29"/>
  <c r="AF20" i="29"/>
  <c r="O20" i="29"/>
  <c r="R21" i="29"/>
  <c r="P21" i="29"/>
  <c r="AF24" i="29"/>
  <c r="O24" i="29"/>
  <c r="P30" i="29"/>
  <c r="N43" i="29"/>
  <c r="AF31" i="29"/>
  <c r="O31" i="29"/>
  <c r="AG31" i="29"/>
  <c r="AG34" i="29"/>
  <c r="AF34" i="29"/>
  <c r="O34" i="29"/>
  <c r="AF35" i="29"/>
  <c r="O46" i="29"/>
  <c r="AG46" i="29"/>
  <c r="AG47" i="29"/>
  <c r="AF47" i="29"/>
  <c r="O47" i="29"/>
  <c r="O50" i="29"/>
  <c r="AG50" i="29"/>
  <c r="AG51" i="29"/>
  <c r="AF51" i="29"/>
  <c r="O51" i="29"/>
  <c r="P56" i="29"/>
  <c r="AG72" i="29"/>
  <c r="AF72" i="29"/>
  <c r="O72" i="29"/>
  <c r="AF75" i="29"/>
  <c r="O75" i="29"/>
  <c r="AG75" i="29"/>
  <c r="AG99" i="29"/>
  <c r="AF99" i="29"/>
  <c r="O99" i="29"/>
  <c r="AG7" i="29"/>
  <c r="AG9" i="29"/>
  <c r="AG11" i="29"/>
  <c r="AG33" i="29"/>
  <c r="AG35" i="29"/>
  <c r="AG37" i="29"/>
  <c r="AF58" i="29"/>
  <c r="Q60" i="29"/>
  <c r="P60" i="29"/>
  <c r="AF61" i="29"/>
  <c r="O61" i="29"/>
  <c r="P69" i="29"/>
  <c r="P72" i="29"/>
  <c r="P74" i="29"/>
  <c r="P76" i="29"/>
  <c r="P82" i="29"/>
  <c r="AF86" i="29"/>
  <c r="O86" i="29"/>
  <c r="P87" i="29"/>
  <c r="AG101" i="29"/>
  <c r="AF101" i="29"/>
  <c r="O101" i="29"/>
  <c r="AG85" i="29"/>
  <c r="AF85" i="29"/>
  <c r="AG89" i="29"/>
  <c r="AF89" i="29"/>
  <c r="P95" i="29"/>
  <c r="AF96" i="29"/>
  <c r="N108" i="29"/>
  <c r="O96" i="29"/>
  <c r="AF98" i="29"/>
  <c r="AG18" i="29"/>
  <c r="O70" i="29"/>
  <c r="AG70" i="29"/>
  <c r="N82" i="29"/>
  <c r="N95" i="29"/>
  <c r="O83" i="29"/>
  <c r="AG83" i="29"/>
  <c r="AF84" i="29"/>
  <c r="O84" i="29"/>
  <c r="R85" i="29"/>
  <c r="P85" i="29"/>
  <c r="AF88" i="29"/>
  <c r="O88" i="29"/>
  <c r="R89" i="29"/>
  <c r="P89" i="29"/>
  <c r="AG97" i="29"/>
  <c r="AF97" i="29"/>
  <c r="O97" i="29"/>
  <c r="R98" i="29"/>
  <c r="Q98" i="29"/>
  <c r="AF100" i="29"/>
  <c r="N121" i="29"/>
  <c r="O109" i="29"/>
  <c r="AG109" i="29"/>
  <c r="AF109" i="29"/>
  <c r="AG98" i="29"/>
  <c r="AG100" i="29"/>
  <c r="P121" i="29"/>
  <c r="AF111" i="29"/>
  <c r="AG111" i="29"/>
  <c r="R124" i="29"/>
  <c r="R129" i="29"/>
  <c r="Q129" i="29"/>
  <c r="R150" i="29"/>
  <c r="Q150" i="29"/>
  <c r="AF163" i="29"/>
  <c r="O163" i="29"/>
  <c r="AG163" i="29"/>
  <c r="P96" i="29"/>
  <c r="Q111" i="29"/>
  <c r="AF113" i="29"/>
  <c r="AG113" i="29"/>
  <c r="AG135" i="29"/>
  <c r="N147" i="29"/>
  <c r="AF135" i="29"/>
  <c r="O135" i="29"/>
  <c r="AG138" i="29"/>
  <c r="AF138" i="29"/>
  <c r="O138" i="29"/>
  <c r="AG151" i="29"/>
  <c r="AF151" i="29"/>
  <c r="O151" i="29"/>
  <c r="AG164" i="29"/>
  <c r="AF164" i="29"/>
  <c r="O164" i="29"/>
  <c r="P83" i="29"/>
  <c r="R112" i="29"/>
  <c r="O113" i="29"/>
  <c r="AG140" i="29"/>
  <c r="AF140" i="29"/>
  <c r="O140" i="29"/>
  <c r="AG149" i="29"/>
  <c r="AF149" i="29"/>
  <c r="O149" i="29"/>
  <c r="O160" i="29" s="1"/>
  <c r="AG162" i="29"/>
  <c r="AF162" i="29"/>
  <c r="O162" i="29"/>
  <c r="P173" i="29"/>
  <c r="AF122" i="29"/>
  <c r="AG123" i="29"/>
  <c r="AG125" i="29"/>
  <c r="AG127" i="29"/>
  <c r="O136" i="29"/>
  <c r="AG137" i="29"/>
  <c r="AG139" i="29"/>
  <c r="AG148" i="29"/>
  <c r="AF150" i="29"/>
  <c r="AF114" i="29"/>
  <c r="AG122" i="29"/>
  <c r="AF124" i="29"/>
  <c r="AF126" i="29"/>
  <c r="AF128" i="29"/>
  <c r="AF136" i="29"/>
  <c r="P161" i="29"/>
  <c r="P162" i="29"/>
  <c r="P164" i="29"/>
  <c r="N173" i="29"/>
  <c r="Q114" i="29"/>
  <c r="O122" i="29"/>
  <c r="O123" i="29"/>
  <c r="Q124" i="29"/>
  <c r="O125" i="29"/>
  <c r="Q126" i="29"/>
  <c r="O127" i="29"/>
  <c r="R128" i="29"/>
  <c r="P134" i="29"/>
  <c r="O137" i="29"/>
  <c r="O139" i="29"/>
  <c r="P148" i="29"/>
  <c r="N160" i="29"/>
  <c r="Q161" i="29"/>
  <c r="O173" i="29"/>
  <c r="R160" i="29" l="1"/>
  <c r="S148" i="29" s="1"/>
  <c r="Q160" i="29"/>
  <c r="R160" i="28"/>
  <c r="S148" i="28" s="1"/>
  <c r="Q160" i="28"/>
  <c r="Q30" i="28"/>
  <c r="R30" i="28"/>
  <c r="S18" i="28" s="1"/>
  <c r="Q148" i="29"/>
  <c r="AF160" i="29"/>
  <c r="AG160" i="29"/>
  <c r="AH148" i="29" s="1"/>
  <c r="O134" i="29"/>
  <c r="R122" i="29"/>
  <c r="Q122" i="29"/>
  <c r="R140" i="29"/>
  <c r="Q140" i="29"/>
  <c r="R126" i="29"/>
  <c r="R138" i="29"/>
  <c r="Q138" i="29"/>
  <c r="R114" i="29"/>
  <c r="R88" i="29"/>
  <c r="Q88" i="29"/>
  <c r="R84" i="29"/>
  <c r="Q84" i="29"/>
  <c r="AG95" i="29"/>
  <c r="AH83" i="29" s="1"/>
  <c r="AF95" i="29"/>
  <c r="Q101" i="29"/>
  <c r="R101" i="29"/>
  <c r="Q99" i="29"/>
  <c r="R99" i="29"/>
  <c r="R75" i="29"/>
  <c r="Q75" i="29"/>
  <c r="Q47" i="29"/>
  <c r="R47" i="29"/>
  <c r="R46" i="29"/>
  <c r="Q46" i="29"/>
  <c r="Q43" i="29"/>
  <c r="AG43" i="29"/>
  <c r="AH31" i="29" s="1"/>
  <c r="AF43" i="29"/>
  <c r="Q10" i="29"/>
  <c r="R10" i="29"/>
  <c r="Q6" i="29"/>
  <c r="R6" i="29"/>
  <c r="R87" i="29"/>
  <c r="Q87" i="29"/>
  <c r="Q45" i="29"/>
  <c r="R45" i="29"/>
  <c r="R22" i="29"/>
  <c r="Q22" i="29"/>
  <c r="R165" i="28"/>
  <c r="Q165" i="28"/>
  <c r="Q149" i="28"/>
  <c r="R23" i="29"/>
  <c r="Q23" i="29"/>
  <c r="R126" i="28"/>
  <c r="Q126" i="28"/>
  <c r="Q122" i="28"/>
  <c r="O134" i="28"/>
  <c r="R122" i="28"/>
  <c r="Q75" i="28"/>
  <c r="R75" i="28"/>
  <c r="R74" i="28"/>
  <c r="Q74" i="28"/>
  <c r="R19" i="29"/>
  <c r="Q19" i="29"/>
  <c r="O30" i="29"/>
  <c r="AG121" i="28"/>
  <c r="AH109" i="28" s="1"/>
  <c r="AF121" i="28"/>
  <c r="Q87" i="28"/>
  <c r="R87" i="28"/>
  <c r="R86" i="28"/>
  <c r="Q86" i="28"/>
  <c r="Q137" i="28"/>
  <c r="R137" i="28"/>
  <c r="Q12" i="28"/>
  <c r="R12" i="28"/>
  <c r="R124" i="28"/>
  <c r="Q124" i="28"/>
  <c r="R33" i="28"/>
  <c r="Q33" i="28"/>
  <c r="O17" i="28"/>
  <c r="R5" i="28"/>
  <c r="Q5" i="28"/>
  <c r="AG147" i="27"/>
  <c r="AH135" i="27" s="1"/>
  <c r="AF147" i="27"/>
  <c r="R123" i="27"/>
  <c r="Q123" i="27"/>
  <c r="R8" i="28"/>
  <c r="Q8" i="28"/>
  <c r="Q148" i="27"/>
  <c r="O160" i="27"/>
  <c r="R148" i="27"/>
  <c r="Q88" i="27"/>
  <c r="R88" i="27"/>
  <c r="Q84" i="27"/>
  <c r="R84" i="27"/>
  <c r="Q82" i="27"/>
  <c r="AG82" i="27"/>
  <c r="AH70" i="27" s="1"/>
  <c r="AF82" i="27"/>
  <c r="Q101" i="27"/>
  <c r="R101" i="27"/>
  <c r="Q97" i="27"/>
  <c r="R97" i="27"/>
  <c r="R33" i="27"/>
  <c r="Q33" i="27"/>
  <c r="R164" i="26"/>
  <c r="Q164" i="26"/>
  <c r="R149" i="26"/>
  <c r="Q149" i="26"/>
  <c r="Q50" i="27"/>
  <c r="Q20" i="27"/>
  <c r="R20" i="27"/>
  <c r="R22" i="28"/>
  <c r="Q22" i="28"/>
  <c r="Q151" i="27"/>
  <c r="R140" i="27"/>
  <c r="Q58" i="27"/>
  <c r="R58" i="27"/>
  <c r="R45" i="27"/>
  <c r="Q45" i="27"/>
  <c r="O56" i="27"/>
  <c r="R44" i="27"/>
  <c r="Q44" i="27"/>
  <c r="R36" i="27"/>
  <c r="Q36" i="27"/>
  <c r="R21" i="27"/>
  <c r="R6" i="27"/>
  <c r="R112" i="26"/>
  <c r="Q112" i="26"/>
  <c r="R46" i="27"/>
  <c r="Q46" i="27"/>
  <c r="R5" i="27"/>
  <c r="O17" i="27"/>
  <c r="Q5" i="27"/>
  <c r="Q140" i="26"/>
  <c r="R140" i="26"/>
  <c r="AG147" i="26"/>
  <c r="AH135" i="26" s="1"/>
  <c r="AF147" i="26"/>
  <c r="R122" i="25"/>
  <c r="Q122" i="25"/>
  <c r="O134" i="25"/>
  <c r="O160" i="26"/>
  <c r="R96" i="26"/>
  <c r="Q96" i="26"/>
  <c r="O108" i="26"/>
  <c r="AG121" i="25"/>
  <c r="AH109" i="25" s="1"/>
  <c r="AF121" i="25"/>
  <c r="AG108" i="25"/>
  <c r="AH96" i="25" s="1"/>
  <c r="AF108" i="25"/>
  <c r="Q126" i="26"/>
  <c r="AG121" i="26"/>
  <c r="AH109" i="26" s="1"/>
  <c r="AF121" i="26"/>
  <c r="Q48" i="26"/>
  <c r="R48" i="26"/>
  <c r="R47" i="26"/>
  <c r="Q47" i="26"/>
  <c r="O43" i="26"/>
  <c r="R43" i="26" s="1"/>
  <c r="S31" i="26" s="1"/>
  <c r="R31" i="26"/>
  <c r="Q31" i="26"/>
  <c r="R22" i="26"/>
  <c r="AG30" i="26"/>
  <c r="AH18" i="26" s="1"/>
  <c r="AF30" i="26"/>
  <c r="R13" i="26"/>
  <c r="R9" i="26"/>
  <c r="AG160" i="25"/>
  <c r="AH148" i="25" s="1"/>
  <c r="AF160" i="25"/>
  <c r="AG147" i="25"/>
  <c r="AH135" i="25" s="1"/>
  <c r="AF147" i="25"/>
  <c r="O121" i="25"/>
  <c r="R109" i="25"/>
  <c r="Q109" i="25"/>
  <c r="R113" i="26"/>
  <c r="Q113" i="26"/>
  <c r="Q57" i="26"/>
  <c r="Q140" i="25"/>
  <c r="R140" i="25"/>
  <c r="Q49" i="25"/>
  <c r="R49" i="25"/>
  <c r="R48" i="25"/>
  <c r="Q48" i="25"/>
  <c r="AF30" i="25"/>
  <c r="AG30" i="25"/>
  <c r="AH18" i="25" s="1"/>
  <c r="Q58" i="26"/>
  <c r="Q136" i="25"/>
  <c r="R136" i="25"/>
  <c r="R113" i="25"/>
  <c r="R37" i="25"/>
  <c r="Q37" i="25"/>
  <c r="R35" i="25"/>
  <c r="Q35" i="25"/>
  <c r="R33" i="25"/>
  <c r="Q33" i="25"/>
  <c r="Q20" i="25"/>
  <c r="R20" i="25"/>
  <c r="R19" i="25"/>
  <c r="Q19" i="25"/>
  <c r="R161" i="24"/>
  <c r="O173" i="24"/>
  <c r="Q161" i="24"/>
  <c r="Q113" i="24"/>
  <c r="R113" i="24"/>
  <c r="R112" i="24"/>
  <c r="Q112" i="24"/>
  <c r="R123" i="23"/>
  <c r="Q123" i="23"/>
  <c r="R7" i="26"/>
  <c r="Q150" i="25"/>
  <c r="Q96" i="25"/>
  <c r="Q12" i="27"/>
  <c r="R165" i="26"/>
  <c r="Q165" i="26"/>
  <c r="R111" i="25"/>
  <c r="R36" i="25"/>
  <c r="AG160" i="24"/>
  <c r="AH148" i="24" s="1"/>
  <c r="AF160" i="24"/>
  <c r="R123" i="24"/>
  <c r="Q123" i="24"/>
  <c r="O30" i="24"/>
  <c r="R18" i="24"/>
  <c r="Q18" i="24"/>
  <c r="Q10" i="24"/>
  <c r="R10" i="24"/>
  <c r="R9" i="24"/>
  <c r="Q9" i="24"/>
  <c r="R140" i="23"/>
  <c r="Q140" i="23"/>
  <c r="R98" i="23"/>
  <c r="Q98" i="23"/>
  <c r="R108" i="23"/>
  <c r="S96" i="23" s="1"/>
  <c r="Q82" i="23"/>
  <c r="AG82" i="23"/>
  <c r="AH70" i="23" s="1"/>
  <c r="AF82" i="23"/>
  <c r="R36" i="23"/>
  <c r="Q36" i="23"/>
  <c r="AG43" i="23"/>
  <c r="AH31" i="23" s="1"/>
  <c r="AF43" i="23"/>
  <c r="Q43" i="23"/>
  <c r="Q111" i="26"/>
  <c r="R32" i="26"/>
  <c r="Q32" i="26"/>
  <c r="Q44" i="25"/>
  <c r="O56" i="25"/>
  <c r="R56" i="25" s="1"/>
  <c r="S44" i="25" s="1"/>
  <c r="R44" i="25"/>
  <c r="R139" i="24"/>
  <c r="O147" i="24"/>
  <c r="R135" i="24"/>
  <c r="Q135" i="24"/>
  <c r="R58" i="24"/>
  <c r="Q58" i="24"/>
  <c r="Q12" i="24"/>
  <c r="R12" i="24"/>
  <c r="R11" i="24"/>
  <c r="Q11" i="24"/>
  <c r="R162" i="23"/>
  <c r="R38" i="23"/>
  <c r="Q38" i="23"/>
  <c r="R22" i="23"/>
  <c r="Q22" i="25"/>
  <c r="R22" i="25"/>
  <c r="AG17" i="24"/>
  <c r="AH5" i="24" s="1"/>
  <c r="AF17" i="24"/>
  <c r="AF134" i="23"/>
  <c r="AG134" i="23"/>
  <c r="AH122" i="23" s="1"/>
  <c r="Q72" i="25"/>
  <c r="R72" i="25"/>
  <c r="R60" i="25"/>
  <c r="Q60" i="25"/>
  <c r="R34" i="25"/>
  <c r="O82" i="24"/>
  <c r="R82" i="24" s="1"/>
  <c r="S70" i="24" s="1"/>
  <c r="R70" i="24"/>
  <c r="Q70" i="24"/>
  <c r="Q37" i="24"/>
  <c r="R37" i="24"/>
  <c r="R36" i="24"/>
  <c r="Q36" i="24"/>
  <c r="R147" i="23"/>
  <c r="S135" i="23" s="1"/>
  <c r="R96" i="23"/>
  <c r="Q84" i="23"/>
  <c r="R84" i="23"/>
  <c r="Q48" i="23"/>
  <c r="R48" i="23"/>
  <c r="Q9" i="23"/>
  <c r="R9" i="23"/>
  <c r="R139" i="23"/>
  <c r="Q139" i="23"/>
  <c r="R100" i="23"/>
  <c r="Q100" i="23"/>
  <c r="R32" i="25"/>
  <c r="O43" i="24"/>
  <c r="R43" i="24" s="1"/>
  <c r="S31" i="24" s="1"/>
  <c r="R31" i="24"/>
  <c r="Q31" i="24"/>
  <c r="R85" i="23"/>
  <c r="O56" i="23"/>
  <c r="R56" i="23" s="1"/>
  <c r="S44" i="23" s="1"/>
  <c r="R44" i="23"/>
  <c r="Q44" i="23"/>
  <c r="R33" i="23"/>
  <c r="R137" i="26"/>
  <c r="Q37" i="26"/>
  <c r="R37" i="26"/>
  <c r="AG69" i="25"/>
  <c r="AH57" i="25" s="1"/>
  <c r="Q69" i="25"/>
  <c r="AF69" i="25"/>
  <c r="Q38" i="25"/>
  <c r="Q128" i="23"/>
  <c r="R136" i="23"/>
  <c r="Q58" i="23"/>
  <c r="Q113" i="29"/>
  <c r="R113" i="29"/>
  <c r="Q151" i="29"/>
  <c r="R151" i="29"/>
  <c r="Q82" i="29"/>
  <c r="AG82" i="29"/>
  <c r="AH70" i="29" s="1"/>
  <c r="AF82" i="29"/>
  <c r="R61" i="29"/>
  <c r="Q61" i="29"/>
  <c r="R163" i="28"/>
  <c r="Q163" i="28"/>
  <c r="R73" i="29"/>
  <c r="Q73" i="29"/>
  <c r="Q44" i="29"/>
  <c r="R44" i="29"/>
  <c r="O56" i="29"/>
  <c r="R56" i="29" s="1"/>
  <c r="S44" i="29" s="1"/>
  <c r="Q18" i="29"/>
  <c r="O69" i="29"/>
  <c r="R69" i="29" s="1"/>
  <c r="S57" i="29" s="1"/>
  <c r="R57" i="29"/>
  <c r="Q57" i="29"/>
  <c r="Q12" i="29"/>
  <c r="R12" i="29"/>
  <c r="Q8" i="29"/>
  <c r="R8" i="29"/>
  <c r="Q5" i="29"/>
  <c r="O17" i="29"/>
  <c r="R5" i="29"/>
  <c r="R149" i="28"/>
  <c r="R74" i="29"/>
  <c r="Q74" i="29"/>
  <c r="Q125" i="28"/>
  <c r="R125" i="28"/>
  <c r="AG134" i="28"/>
  <c r="AH122" i="28" s="1"/>
  <c r="AF134" i="28"/>
  <c r="Q73" i="28"/>
  <c r="R73" i="28"/>
  <c r="R72" i="28"/>
  <c r="Q72" i="28"/>
  <c r="R136" i="28"/>
  <c r="Q136" i="28"/>
  <c r="R128" i="28"/>
  <c r="Q128" i="28"/>
  <c r="O121" i="28"/>
  <c r="R109" i="28"/>
  <c r="Q109" i="28"/>
  <c r="Q85" i="28"/>
  <c r="R85" i="28"/>
  <c r="R84" i="28"/>
  <c r="Q84" i="28"/>
  <c r="R60" i="29"/>
  <c r="Q10" i="28"/>
  <c r="R10" i="28"/>
  <c r="AF147" i="28"/>
  <c r="AG147" i="28"/>
  <c r="AH135" i="28" s="1"/>
  <c r="Q123" i="28"/>
  <c r="R123" i="28"/>
  <c r="R114" i="28"/>
  <c r="Q114" i="28"/>
  <c r="R83" i="28"/>
  <c r="O95" i="28"/>
  <c r="Q83" i="28"/>
  <c r="AG17" i="28"/>
  <c r="AH5" i="28" s="1"/>
  <c r="AF17" i="28"/>
  <c r="Q43" i="28"/>
  <c r="AG43" i="28"/>
  <c r="AH31" i="28" s="1"/>
  <c r="AF43" i="28"/>
  <c r="R13" i="28"/>
  <c r="Q13" i="28"/>
  <c r="R137" i="27"/>
  <c r="Q137" i="27"/>
  <c r="R49" i="27"/>
  <c r="Q49" i="27"/>
  <c r="Q164" i="27"/>
  <c r="R164" i="27"/>
  <c r="Q149" i="27"/>
  <c r="R149" i="27"/>
  <c r="Q135" i="27"/>
  <c r="R113" i="27"/>
  <c r="Q113" i="27"/>
  <c r="AG121" i="27"/>
  <c r="AH109" i="27" s="1"/>
  <c r="AF121" i="27"/>
  <c r="AG69" i="27"/>
  <c r="AH57" i="27" s="1"/>
  <c r="Q69" i="27"/>
  <c r="AF69" i="27"/>
  <c r="R162" i="26"/>
  <c r="Q162" i="26"/>
  <c r="AG95" i="27"/>
  <c r="AH83" i="27" s="1"/>
  <c r="AF95" i="27"/>
  <c r="Q11" i="27"/>
  <c r="R11" i="27"/>
  <c r="Q7" i="27"/>
  <c r="R7" i="27"/>
  <c r="O56" i="28"/>
  <c r="R56" i="28" s="1"/>
  <c r="S44" i="28" s="1"/>
  <c r="R44" i="28"/>
  <c r="Q44" i="28"/>
  <c r="R9" i="28"/>
  <c r="Q9" i="28"/>
  <c r="Q112" i="27"/>
  <c r="AF43" i="27"/>
  <c r="Q43" i="27"/>
  <c r="AG43" i="27"/>
  <c r="AH31" i="27" s="1"/>
  <c r="AF30" i="27"/>
  <c r="AG30" i="27"/>
  <c r="AH18" i="27" s="1"/>
  <c r="Q10" i="27"/>
  <c r="AG160" i="26"/>
  <c r="AH148" i="26" s="1"/>
  <c r="AF160" i="26"/>
  <c r="O134" i="26"/>
  <c r="R122" i="26"/>
  <c r="Q122" i="26"/>
  <c r="R110" i="26"/>
  <c r="Q110" i="26"/>
  <c r="AG17" i="27"/>
  <c r="AH5" i="27" s="1"/>
  <c r="AF17" i="27"/>
  <c r="Q128" i="26"/>
  <c r="R128" i="26"/>
  <c r="Q50" i="26"/>
  <c r="R50" i="26"/>
  <c r="R49" i="26"/>
  <c r="Q49" i="26"/>
  <c r="AG134" i="25"/>
  <c r="AH122" i="25" s="1"/>
  <c r="AF134" i="25"/>
  <c r="Q139" i="26"/>
  <c r="R97" i="26"/>
  <c r="Q97" i="26"/>
  <c r="AG108" i="26"/>
  <c r="AH96" i="26" s="1"/>
  <c r="AF108" i="26"/>
  <c r="R61" i="26"/>
  <c r="Q61" i="26"/>
  <c r="R59" i="26"/>
  <c r="Q59" i="26"/>
  <c r="R21" i="26"/>
  <c r="Q21" i="26"/>
  <c r="R19" i="26"/>
  <c r="Q19" i="26"/>
  <c r="Q138" i="25"/>
  <c r="R138" i="25"/>
  <c r="R137" i="25"/>
  <c r="Q137" i="25"/>
  <c r="R116" i="25"/>
  <c r="Q116" i="25"/>
  <c r="R114" i="25"/>
  <c r="Q114" i="25"/>
  <c r="R112" i="25"/>
  <c r="Q112" i="25"/>
  <c r="R110" i="25"/>
  <c r="Q110" i="25"/>
  <c r="O121" i="26"/>
  <c r="R109" i="26"/>
  <c r="Q109" i="26"/>
  <c r="Q89" i="26"/>
  <c r="R89" i="26"/>
  <c r="R88" i="26"/>
  <c r="Q88" i="26"/>
  <c r="O30" i="26"/>
  <c r="R18" i="26"/>
  <c r="Q18" i="26"/>
  <c r="Q11" i="26"/>
  <c r="R165" i="25"/>
  <c r="Q165" i="25"/>
  <c r="AG82" i="26"/>
  <c r="AH70" i="26" s="1"/>
  <c r="AF82" i="26"/>
  <c r="Q82" i="26"/>
  <c r="Q164" i="25"/>
  <c r="R164" i="25"/>
  <c r="AG95" i="25"/>
  <c r="AH83" i="25" s="1"/>
  <c r="AF95" i="25"/>
  <c r="Q45" i="25"/>
  <c r="R45" i="25"/>
  <c r="O30" i="25"/>
  <c r="R18" i="25"/>
  <c r="Q18" i="25"/>
  <c r="R164" i="24"/>
  <c r="Q164" i="24"/>
  <c r="R162" i="24"/>
  <c r="Q162" i="24"/>
  <c r="Q150" i="24"/>
  <c r="R150" i="24"/>
  <c r="R149" i="24"/>
  <c r="Q149" i="24"/>
  <c r="R99" i="26"/>
  <c r="Q99" i="26"/>
  <c r="O56" i="26"/>
  <c r="R56" i="26" s="1"/>
  <c r="S44" i="26" s="1"/>
  <c r="R44" i="26"/>
  <c r="Q44" i="26"/>
  <c r="Q74" i="25"/>
  <c r="R74" i="25"/>
  <c r="R73" i="25"/>
  <c r="Q73" i="25"/>
  <c r="Q13" i="25"/>
  <c r="R13" i="25"/>
  <c r="R12" i="25"/>
  <c r="Q12" i="25"/>
  <c r="AG173" i="24"/>
  <c r="AH161" i="24" s="1"/>
  <c r="AF173" i="24"/>
  <c r="R140" i="24"/>
  <c r="Q140" i="24"/>
  <c r="R138" i="24"/>
  <c r="Q138" i="24"/>
  <c r="Q111" i="24"/>
  <c r="R111" i="24"/>
  <c r="R110" i="24"/>
  <c r="Q110" i="24"/>
  <c r="AG147" i="23"/>
  <c r="AH135" i="23" s="1"/>
  <c r="AF147" i="23"/>
  <c r="AG108" i="23"/>
  <c r="AH96" i="23" s="1"/>
  <c r="AF108" i="23"/>
  <c r="O173" i="25"/>
  <c r="Q161" i="25"/>
  <c r="R161" i="25"/>
  <c r="Q126" i="25"/>
  <c r="R126" i="25"/>
  <c r="R100" i="25"/>
  <c r="Q100" i="25"/>
  <c r="Q51" i="25"/>
  <c r="R51" i="25"/>
  <c r="R50" i="25"/>
  <c r="Q50" i="25"/>
  <c r="R151" i="24"/>
  <c r="Q151" i="24"/>
  <c r="Q115" i="25"/>
  <c r="AG134" i="24"/>
  <c r="AH122" i="24" s="1"/>
  <c r="AF134" i="24"/>
  <c r="AF121" i="24"/>
  <c r="AG121" i="24"/>
  <c r="AH109" i="24" s="1"/>
  <c r="R88" i="24"/>
  <c r="Q88" i="24"/>
  <c r="R84" i="24"/>
  <c r="Q84" i="24"/>
  <c r="R71" i="24"/>
  <c r="Q71" i="24"/>
  <c r="Q6" i="24"/>
  <c r="R6" i="24"/>
  <c r="R101" i="23"/>
  <c r="Q101" i="23"/>
  <c r="R32" i="23"/>
  <c r="Q32" i="23"/>
  <c r="O43" i="23"/>
  <c r="R31" i="23"/>
  <c r="Q31" i="23"/>
  <c r="R21" i="23"/>
  <c r="Q21" i="23"/>
  <c r="R8" i="23"/>
  <c r="Q8" i="23"/>
  <c r="AG121" i="23"/>
  <c r="AH109" i="23" s="1"/>
  <c r="AF121" i="23"/>
  <c r="AG69" i="24"/>
  <c r="AH57" i="24" s="1"/>
  <c r="Q69" i="24"/>
  <c r="AF69" i="24"/>
  <c r="Q110" i="23"/>
  <c r="R110" i="23"/>
  <c r="Q11" i="25"/>
  <c r="R11" i="25"/>
  <c r="AG17" i="25"/>
  <c r="AH5" i="25" s="1"/>
  <c r="AF17" i="25"/>
  <c r="Q100" i="24"/>
  <c r="AG82" i="24"/>
  <c r="AH70" i="24" s="1"/>
  <c r="AF82" i="24"/>
  <c r="Q82" i="24"/>
  <c r="Q35" i="24"/>
  <c r="R35" i="24"/>
  <c r="R34" i="24"/>
  <c r="Q34" i="24"/>
  <c r="R165" i="23"/>
  <c r="Q165" i="23"/>
  <c r="R163" i="23"/>
  <c r="Q163" i="23"/>
  <c r="Q151" i="23"/>
  <c r="R151" i="23"/>
  <c r="R150" i="23"/>
  <c r="Q150" i="23"/>
  <c r="R137" i="23"/>
  <c r="Q137" i="23"/>
  <c r="Q86" i="23"/>
  <c r="R86" i="23"/>
  <c r="R75" i="23"/>
  <c r="Q75" i="23"/>
  <c r="R71" i="23"/>
  <c r="Q71" i="23"/>
  <c r="O82" i="23"/>
  <c r="R82" i="23" s="1"/>
  <c r="S70" i="23" s="1"/>
  <c r="R139" i="25"/>
  <c r="Q139" i="25"/>
  <c r="Q31" i="25"/>
  <c r="R21" i="25"/>
  <c r="Q21" i="25"/>
  <c r="O160" i="23"/>
  <c r="Q148" i="23"/>
  <c r="R148" i="23"/>
  <c r="R47" i="24"/>
  <c r="R34" i="23"/>
  <c r="Q34" i="23"/>
  <c r="O30" i="23"/>
  <c r="R18" i="23"/>
  <c r="Q18" i="23"/>
  <c r="R76" i="26"/>
  <c r="Q76" i="26"/>
  <c r="R61" i="25"/>
  <c r="Q61" i="25"/>
  <c r="Q149" i="23"/>
  <c r="R149" i="23"/>
  <c r="R128" i="23"/>
  <c r="Q149" i="29"/>
  <c r="R149" i="29"/>
  <c r="AG147" i="29"/>
  <c r="AH135" i="29" s="1"/>
  <c r="AF147" i="29"/>
  <c r="R173" i="29"/>
  <c r="S161" i="29" s="1"/>
  <c r="Q173" i="29"/>
  <c r="R139" i="29"/>
  <c r="Q139" i="29"/>
  <c r="AG173" i="29"/>
  <c r="AH161" i="29" s="1"/>
  <c r="AF173" i="29"/>
  <c r="R162" i="29"/>
  <c r="Q162" i="29"/>
  <c r="R164" i="29"/>
  <c r="Q164" i="29"/>
  <c r="Q128" i="29"/>
  <c r="O121" i="29"/>
  <c r="R109" i="29"/>
  <c r="Q109" i="29"/>
  <c r="O108" i="29"/>
  <c r="Q96" i="29"/>
  <c r="R96" i="29"/>
  <c r="R86" i="29"/>
  <c r="Q86" i="29"/>
  <c r="R72" i="29"/>
  <c r="Q72" i="29"/>
  <c r="Q34" i="29"/>
  <c r="R34" i="29"/>
  <c r="Q31" i="29"/>
  <c r="O43" i="29"/>
  <c r="R43" i="29" s="1"/>
  <c r="S31" i="29" s="1"/>
  <c r="R31" i="29"/>
  <c r="R24" i="29"/>
  <c r="Q24" i="29"/>
  <c r="R20" i="29"/>
  <c r="Q20" i="29"/>
  <c r="R152" i="28"/>
  <c r="Q152" i="28"/>
  <c r="R18" i="29"/>
  <c r="Q89" i="29"/>
  <c r="AG69" i="29"/>
  <c r="AH57" i="29" s="1"/>
  <c r="Q69" i="29"/>
  <c r="AF69" i="29"/>
  <c r="Q36" i="29"/>
  <c r="R36" i="29"/>
  <c r="Q32" i="29"/>
  <c r="R32" i="29"/>
  <c r="Q21" i="29"/>
  <c r="AG30" i="29"/>
  <c r="AH18" i="29" s="1"/>
  <c r="AF30" i="29"/>
  <c r="AF17" i="29"/>
  <c r="AG17" i="29"/>
  <c r="AH5" i="29" s="1"/>
  <c r="Q164" i="28"/>
  <c r="AG173" i="28"/>
  <c r="AH161" i="28" s="1"/>
  <c r="AF173" i="28"/>
  <c r="R150" i="28"/>
  <c r="Q150" i="28"/>
  <c r="Q71" i="28"/>
  <c r="R71" i="28"/>
  <c r="O82" i="28"/>
  <c r="R82" i="28" s="1"/>
  <c r="S70" i="28" s="1"/>
  <c r="R70" i="28"/>
  <c r="Q70" i="28"/>
  <c r="R59" i="28"/>
  <c r="Q59" i="28"/>
  <c r="Q85" i="29"/>
  <c r="R140" i="28"/>
  <c r="Q140" i="28"/>
  <c r="Q127" i="28"/>
  <c r="R127" i="28"/>
  <c r="AG108" i="28"/>
  <c r="AH96" i="28" s="1"/>
  <c r="AF108" i="28"/>
  <c r="O108" i="28"/>
  <c r="R96" i="28"/>
  <c r="Q96" i="28"/>
  <c r="Q61" i="28"/>
  <c r="R61" i="28"/>
  <c r="AG95" i="28"/>
  <c r="AH83" i="28" s="1"/>
  <c r="AF95" i="28"/>
  <c r="Q21" i="28"/>
  <c r="R21" i="28"/>
  <c r="O147" i="28"/>
  <c r="R135" i="28"/>
  <c r="Q135" i="28"/>
  <c r="Q113" i="28"/>
  <c r="R113" i="28"/>
  <c r="R112" i="28"/>
  <c r="Q112" i="28"/>
  <c r="R57" i="28"/>
  <c r="R36" i="28"/>
  <c r="Q36" i="28"/>
  <c r="R11" i="28"/>
  <c r="Q11" i="28"/>
  <c r="R34" i="28"/>
  <c r="Q34" i="28"/>
  <c r="R20" i="28"/>
  <c r="Q20" i="28"/>
  <c r="R173" i="27"/>
  <c r="S161" i="27" s="1"/>
  <c r="Q173" i="27"/>
  <c r="R127" i="27"/>
  <c r="Q127" i="27"/>
  <c r="R46" i="28"/>
  <c r="Q46" i="28"/>
  <c r="R37" i="28"/>
  <c r="Q37" i="28"/>
  <c r="R32" i="28"/>
  <c r="Q32" i="28"/>
  <c r="Q152" i="27"/>
  <c r="AG160" i="27"/>
  <c r="AH148" i="27" s="1"/>
  <c r="AF160" i="27"/>
  <c r="Q162" i="27"/>
  <c r="R162" i="27"/>
  <c r="R135" i="27"/>
  <c r="Q72" i="27"/>
  <c r="R72" i="27"/>
  <c r="R37" i="27"/>
  <c r="Q37" i="27"/>
  <c r="R161" i="26"/>
  <c r="O173" i="26"/>
  <c r="Q161" i="26"/>
  <c r="O134" i="27"/>
  <c r="R122" i="27"/>
  <c r="Q122" i="27"/>
  <c r="Q22" i="27"/>
  <c r="R22" i="27"/>
  <c r="AF56" i="28"/>
  <c r="AG56" i="28"/>
  <c r="AH44" i="28" s="1"/>
  <c r="Q56" i="28"/>
  <c r="R163" i="27"/>
  <c r="Q163" i="27"/>
  <c r="R150" i="27"/>
  <c r="Q150" i="27"/>
  <c r="R111" i="27"/>
  <c r="Q111" i="27"/>
  <c r="Q99" i="27"/>
  <c r="R99" i="27"/>
  <c r="Q96" i="27"/>
  <c r="O108" i="27"/>
  <c r="R96" i="27"/>
  <c r="Q138" i="27"/>
  <c r="O30" i="27"/>
  <c r="R18" i="27"/>
  <c r="Q18" i="27"/>
  <c r="R152" i="26"/>
  <c r="Q152" i="26"/>
  <c r="AG134" i="26"/>
  <c r="AH122" i="26" s="1"/>
  <c r="AF134" i="26"/>
  <c r="R34" i="27"/>
  <c r="Q34" i="27"/>
  <c r="Q136" i="26"/>
  <c r="R136" i="26"/>
  <c r="Q135" i="26"/>
  <c r="O147" i="26"/>
  <c r="R135" i="26"/>
  <c r="R101" i="26"/>
  <c r="Q101" i="26"/>
  <c r="Q85" i="26"/>
  <c r="R85" i="26"/>
  <c r="R84" i="26"/>
  <c r="Q84" i="26"/>
  <c r="Q46" i="26"/>
  <c r="R46" i="26"/>
  <c r="R45" i="26"/>
  <c r="Q45" i="26"/>
  <c r="R99" i="25"/>
  <c r="Q99" i="25"/>
  <c r="Q35" i="26"/>
  <c r="R35" i="26"/>
  <c r="R34" i="26"/>
  <c r="Q34" i="26"/>
  <c r="R151" i="25"/>
  <c r="Q151" i="25"/>
  <c r="R149" i="25"/>
  <c r="Q149" i="25"/>
  <c r="Q128" i="25"/>
  <c r="R128" i="25"/>
  <c r="R127" i="25"/>
  <c r="Q127" i="25"/>
  <c r="AG43" i="26"/>
  <c r="AH31" i="26" s="1"/>
  <c r="AF43" i="26"/>
  <c r="Q43" i="26"/>
  <c r="R5" i="26"/>
  <c r="Q5" i="26"/>
  <c r="O17" i="26"/>
  <c r="Q135" i="25"/>
  <c r="R135" i="25"/>
  <c r="O147" i="25"/>
  <c r="R86" i="26"/>
  <c r="Q86" i="26"/>
  <c r="R83" i="26"/>
  <c r="O95" i="26"/>
  <c r="Q83" i="26"/>
  <c r="O82" i="26"/>
  <c r="R82" i="26" s="1"/>
  <c r="S70" i="26" s="1"/>
  <c r="R70" i="26"/>
  <c r="Q70" i="26"/>
  <c r="Q33" i="26"/>
  <c r="R33" i="26"/>
  <c r="R84" i="25"/>
  <c r="Q84" i="25"/>
  <c r="O95" i="25"/>
  <c r="R73" i="24"/>
  <c r="Q73" i="24"/>
  <c r="R125" i="25"/>
  <c r="Q125" i="25"/>
  <c r="Q9" i="25"/>
  <c r="R9" i="25"/>
  <c r="R8" i="25"/>
  <c r="Q8" i="25"/>
  <c r="Q134" i="24"/>
  <c r="R134" i="24"/>
  <c r="S122" i="24" s="1"/>
  <c r="R116" i="24"/>
  <c r="Q116" i="24"/>
  <c r="R83" i="24"/>
  <c r="O95" i="24"/>
  <c r="Q83" i="24"/>
  <c r="Q74" i="26"/>
  <c r="R36" i="26"/>
  <c r="Q36" i="26"/>
  <c r="AF173" i="25"/>
  <c r="AG173" i="25"/>
  <c r="AH161" i="25" s="1"/>
  <c r="Q89" i="25"/>
  <c r="O82" i="25"/>
  <c r="R82" i="25" s="1"/>
  <c r="S70" i="25" s="1"/>
  <c r="R70" i="25"/>
  <c r="Q70" i="25"/>
  <c r="Q47" i="25"/>
  <c r="R47" i="25"/>
  <c r="R46" i="25"/>
  <c r="Q46" i="25"/>
  <c r="Q75" i="24"/>
  <c r="R75" i="24"/>
  <c r="R74" i="24"/>
  <c r="Q74" i="24"/>
  <c r="Q19" i="27"/>
  <c r="Q8" i="27"/>
  <c r="R101" i="25"/>
  <c r="Q101" i="25"/>
  <c r="R71" i="25"/>
  <c r="Q71" i="25"/>
  <c r="Q125" i="24"/>
  <c r="O108" i="24"/>
  <c r="R96" i="24"/>
  <c r="Q96" i="24"/>
  <c r="R56" i="24"/>
  <c r="S44" i="24" s="1"/>
  <c r="R97" i="23"/>
  <c r="Q97" i="23"/>
  <c r="R35" i="23"/>
  <c r="Q35" i="23"/>
  <c r="AG30" i="23"/>
  <c r="AH18" i="23" s="1"/>
  <c r="AF30" i="23"/>
  <c r="R5" i="23"/>
  <c r="O17" i="23"/>
  <c r="Q5" i="23"/>
  <c r="R87" i="25"/>
  <c r="Q87" i="25"/>
  <c r="R58" i="25"/>
  <c r="Q58" i="25"/>
  <c r="AG56" i="25"/>
  <c r="AH44" i="25" s="1"/>
  <c r="Q56" i="25"/>
  <c r="AF56" i="25"/>
  <c r="AG147" i="24"/>
  <c r="AH135" i="24" s="1"/>
  <c r="AF147" i="24"/>
  <c r="R86" i="24"/>
  <c r="Q86" i="24"/>
  <c r="Q56" i="24"/>
  <c r="Q37" i="23"/>
  <c r="R57" i="24"/>
  <c r="Q57" i="24"/>
  <c r="O69" i="24"/>
  <c r="R69" i="24" s="1"/>
  <c r="S57" i="24" s="1"/>
  <c r="Q5" i="24"/>
  <c r="O17" i="24"/>
  <c r="R5" i="24"/>
  <c r="R61" i="23"/>
  <c r="Q61" i="23"/>
  <c r="O43" i="25"/>
  <c r="R43" i="25" s="1"/>
  <c r="S31" i="25" s="1"/>
  <c r="Q85" i="24"/>
  <c r="R85" i="24"/>
  <c r="Q33" i="24"/>
  <c r="R33" i="24"/>
  <c r="R32" i="24"/>
  <c r="Q32" i="24"/>
  <c r="Q116" i="23"/>
  <c r="R116" i="23"/>
  <c r="R115" i="23"/>
  <c r="Q115" i="23"/>
  <c r="Q88" i="23"/>
  <c r="R88" i="23"/>
  <c r="R59" i="23"/>
  <c r="Q59" i="23"/>
  <c r="Q11" i="23"/>
  <c r="R11" i="23"/>
  <c r="R31" i="25"/>
  <c r="AF160" i="23"/>
  <c r="AG160" i="23"/>
  <c r="AH148" i="23" s="1"/>
  <c r="Q138" i="23"/>
  <c r="Q99" i="23"/>
  <c r="O95" i="23"/>
  <c r="Q83" i="23"/>
  <c r="R83" i="23"/>
  <c r="AF56" i="23"/>
  <c r="AG56" i="23"/>
  <c r="AH44" i="23" s="1"/>
  <c r="Q56" i="23"/>
  <c r="R19" i="23"/>
  <c r="Q19" i="23"/>
  <c r="Q114" i="23"/>
  <c r="R114" i="23"/>
  <c r="R113" i="23"/>
  <c r="Q113" i="23"/>
  <c r="Q60" i="23"/>
  <c r="Q50" i="23"/>
  <c r="R50" i="23"/>
  <c r="Q46" i="23"/>
  <c r="R46" i="23"/>
  <c r="Q60" i="26"/>
  <c r="R59" i="24"/>
  <c r="Q59" i="24"/>
  <c r="R125" i="29"/>
  <c r="Q125" i="29"/>
  <c r="R137" i="29"/>
  <c r="Q137" i="29"/>
  <c r="R127" i="29"/>
  <c r="Q127" i="29"/>
  <c r="R123" i="29"/>
  <c r="Q123" i="29"/>
  <c r="R148" i="29"/>
  <c r="R136" i="29"/>
  <c r="Q136" i="29"/>
  <c r="O147" i="29"/>
  <c r="R135" i="29"/>
  <c r="Q135" i="29"/>
  <c r="R163" i="29"/>
  <c r="Q163" i="29"/>
  <c r="AG121" i="29"/>
  <c r="AH109" i="29" s="1"/>
  <c r="AF121" i="29"/>
  <c r="Q97" i="29"/>
  <c r="R97" i="29"/>
  <c r="R83" i="29"/>
  <c r="O95" i="29"/>
  <c r="Q83" i="29"/>
  <c r="O82" i="29"/>
  <c r="R82" i="29" s="1"/>
  <c r="S70" i="29" s="1"/>
  <c r="R70" i="29"/>
  <c r="Q70" i="29"/>
  <c r="AG108" i="29"/>
  <c r="AH96" i="29" s="1"/>
  <c r="AF108" i="29"/>
  <c r="Q51" i="29"/>
  <c r="R51" i="29"/>
  <c r="R50" i="29"/>
  <c r="Q50" i="29"/>
  <c r="AF160" i="28"/>
  <c r="AG160" i="28"/>
  <c r="AH148" i="28" s="1"/>
  <c r="AG56" i="29"/>
  <c r="AH44" i="29" s="1"/>
  <c r="Q56" i="29"/>
  <c r="AF56" i="29"/>
  <c r="R76" i="29"/>
  <c r="Q76" i="29"/>
  <c r="R71" i="29"/>
  <c r="Q71" i="29"/>
  <c r="Q49" i="29"/>
  <c r="R49" i="29"/>
  <c r="R48" i="29"/>
  <c r="Q48" i="29"/>
  <c r="R173" i="28"/>
  <c r="S161" i="28" s="1"/>
  <c r="R77" i="29"/>
  <c r="Q77" i="29"/>
  <c r="R162" i="28"/>
  <c r="Q162" i="28"/>
  <c r="R138" i="28"/>
  <c r="Q138" i="28"/>
  <c r="AG82" i="28"/>
  <c r="AH70" i="28" s="1"/>
  <c r="AF82" i="28"/>
  <c r="Q82" i="28"/>
  <c r="AG69" i="28"/>
  <c r="AH57" i="28" s="1"/>
  <c r="Q69" i="28"/>
  <c r="AF69" i="28"/>
  <c r="Q89" i="28"/>
  <c r="R89" i="28"/>
  <c r="R88" i="28"/>
  <c r="Q88" i="28"/>
  <c r="R151" i="28"/>
  <c r="Q151" i="28"/>
  <c r="Q19" i="28"/>
  <c r="R19" i="28"/>
  <c r="R165" i="29"/>
  <c r="Q165" i="29"/>
  <c r="Q111" i="28"/>
  <c r="R111" i="28"/>
  <c r="R110" i="28"/>
  <c r="Q110" i="28"/>
  <c r="AG30" i="28"/>
  <c r="AH18" i="28" s="1"/>
  <c r="AF30" i="28"/>
  <c r="R45" i="28"/>
  <c r="Q45" i="28"/>
  <c r="R7" i="28"/>
  <c r="Q7" i="28"/>
  <c r="O43" i="28"/>
  <c r="R43" i="28" s="1"/>
  <c r="S31" i="28" s="1"/>
  <c r="R31" i="28"/>
  <c r="Q31" i="28"/>
  <c r="R125" i="27"/>
  <c r="Q125" i="27"/>
  <c r="AF173" i="27"/>
  <c r="AG173" i="27"/>
  <c r="AH161" i="27" s="1"/>
  <c r="R136" i="27"/>
  <c r="Q136" i="27"/>
  <c r="R128" i="27"/>
  <c r="Q128" i="27"/>
  <c r="R70" i="27"/>
  <c r="Q70" i="27"/>
  <c r="O82" i="27"/>
  <c r="R82" i="27" s="1"/>
  <c r="S70" i="27" s="1"/>
  <c r="R139" i="27"/>
  <c r="Q139" i="27"/>
  <c r="O147" i="27"/>
  <c r="Q60" i="27"/>
  <c r="R60" i="27"/>
  <c r="Q57" i="27"/>
  <c r="O69" i="27"/>
  <c r="R69" i="27" s="1"/>
  <c r="S57" i="27" s="1"/>
  <c r="R57" i="27"/>
  <c r="R48" i="27"/>
  <c r="Q48" i="27"/>
  <c r="R35" i="27"/>
  <c r="Q35" i="27"/>
  <c r="R151" i="26"/>
  <c r="Q151" i="26"/>
  <c r="R6" i="28"/>
  <c r="Q6" i="28"/>
  <c r="AF134" i="27"/>
  <c r="AG134" i="27"/>
  <c r="AH122" i="27" s="1"/>
  <c r="Q90" i="27"/>
  <c r="R90" i="27"/>
  <c r="Q86" i="27"/>
  <c r="R86" i="27"/>
  <c r="Q83" i="27"/>
  <c r="R83" i="27"/>
  <c r="O95" i="27"/>
  <c r="Q13" i="27"/>
  <c r="R13" i="27"/>
  <c r="Q9" i="27"/>
  <c r="R9" i="27"/>
  <c r="R35" i="28"/>
  <c r="Q35" i="28"/>
  <c r="O121" i="27"/>
  <c r="AF108" i="27"/>
  <c r="AG108" i="27"/>
  <c r="AH96" i="27" s="1"/>
  <c r="Q74" i="27"/>
  <c r="R74" i="27"/>
  <c r="O43" i="27"/>
  <c r="R43" i="27" s="1"/>
  <c r="S31" i="27" s="1"/>
  <c r="R31" i="27"/>
  <c r="Q31" i="27"/>
  <c r="R163" i="26"/>
  <c r="Q163" i="26"/>
  <c r="AG56" i="27"/>
  <c r="AH44" i="27" s="1"/>
  <c r="Q56" i="27"/>
  <c r="AF56" i="27"/>
  <c r="R114" i="26"/>
  <c r="Q114" i="26"/>
  <c r="Q138" i="26"/>
  <c r="R138" i="26"/>
  <c r="Q162" i="25"/>
  <c r="R162" i="25"/>
  <c r="R12" i="26"/>
  <c r="Q12" i="26"/>
  <c r="R10" i="26"/>
  <c r="Q10" i="26"/>
  <c r="R8" i="26"/>
  <c r="Q8" i="26"/>
  <c r="R6" i="26"/>
  <c r="Q6" i="26"/>
  <c r="Q124" i="25"/>
  <c r="R124" i="25"/>
  <c r="R123" i="25"/>
  <c r="Q123" i="25"/>
  <c r="R51" i="26"/>
  <c r="Q51" i="26"/>
  <c r="AG17" i="26"/>
  <c r="AH5" i="26" s="1"/>
  <c r="AF17" i="26"/>
  <c r="R148" i="25"/>
  <c r="O160" i="25"/>
  <c r="Q148" i="25"/>
  <c r="AG95" i="26"/>
  <c r="AH83" i="26" s="1"/>
  <c r="AF95" i="26"/>
  <c r="O69" i="26"/>
  <c r="R69" i="26" s="1"/>
  <c r="S57" i="26" s="1"/>
  <c r="O69" i="25"/>
  <c r="R69" i="25" s="1"/>
  <c r="S57" i="25" s="1"/>
  <c r="R57" i="25"/>
  <c r="Q57" i="25"/>
  <c r="R61" i="24"/>
  <c r="Q61" i="24"/>
  <c r="Q87" i="26"/>
  <c r="R87" i="26"/>
  <c r="AF56" i="26"/>
  <c r="Q56" i="26"/>
  <c r="AG56" i="26"/>
  <c r="AH44" i="26" s="1"/>
  <c r="Q115" i="24"/>
  <c r="R115" i="24"/>
  <c r="R114" i="24"/>
  <c r="Q114" i="24"/>
  <c r="R125" i="23"/>
  <c r="Q125" i="23"/>
  <c r="O108" i="25"/>
  <c r="AF82" i="25"/>
  <c r="AG82" i="25"/>
  <c r="AH70" i="25" s="1"/>
  <c r="Q82" i="25"/>
  <c r="R5" i="25"/>
  <c r="O17" i="25"/>
  <c r="Q5" i="25"/>
  <c r="AG173" i="23"/>
  <c r="AH161" i="23" s="1"/>
  <c r="AF173" i="23"/>
  <c r="R32" i="27"/>
  <c r="Q32" i="27"/>
  <c r="R59" i="25"/>
  <c r="Q59" i="25"/>
  <c r="R10" i="25"/>
  <c r="Q10" i="25"/>
  <c r="R148" i="24"/>
  <c r="O160" i="24"/>
  <c r="Q148" i="24"/>
  <c r="O121" i="24"/>
  <c r="R109" i="24"/>
  <c r="Q109" i="24"/>
  <c r="AG95" i="24"/>
  <c r="AH83" i="24" s="1"/>
  <c r="AF95" i="24"/>
  <c r="AG56" i="24"/>
  <c r="AH44" i="24" s="1"/>
  <c r="R45" i="24"/>
  <c r="Q45" i="24"/>
  <c r="AG30" i="24"/>
  <c r="AH18" i="24" s="1"/>
  <c r="AF30" i="24"/>
  <c r="R13" i="24"/>
  <c r="Q13" i="24"/>
  <c r="R102" i="23"/>
  <c r="Q102" i="23"/>
  <c r="R20" i="23"/>
  <c r="Q20" i="23"/>
  <c r="AG17" i="23"/>
  <c r="AH5" i="23" s="1"/>
  <c r="AF17" i="23"/>
  <c r="Q7" i="25"/>
  <c r="R7" i="25"/>
  <c r="R102" i="24"/>
  <c r="Q102" i="24"/>
  <c r="R173" i="23"/>
  <c r="S161" i="23" s="1"/>
  <c r="Q109" i="23"/>
  <c r="O121" i="23"/>
  <c r="R109" i="23"/>
  <c r="Q87" i="24"/>
  <c r="R87" i="24"/>
  <c r="R161" i="23"/>
  <c r="O134" i="23"/>
  <c r="R122" i="23"/>
  <c r="Q122" i="23"/>
  <c r="R163" i="25"/>
  <c r="Q163" i="25"/>
  <c r="R6" i="25"/>
  <c r="Q6" i="25"/>
  <c r="Q89" i="24"/>
  <c r="R89" i="24"/>
  <c r="Q112" i="23"/>
  <c r="R112" i="23"/>
  <c r="R111" i="23"/>
  <c r="Q111" i="23"/>
  <c r="Q96" i="23"/>
  <c r="Q8" i="24"/>
  <c r="R8" i="24"/>
  <c r="R7" i="24"/>
  <c r="Q7" i="24"/>
  <c r="AF95" i="23"/>
  <c r="AG95" i="23"/>
  <c r="AH83" i="23" s="1"/>
  <c r="AG43" i="24"/>
  <c r="AH31" i="24" s="1"/>
  <c r="AF43" i="24"/>
  <c r="Q43" i="24"/>
  <c r="R73" i="23"/>
  <c r="Q73" i="23"/>
  <c r="Q57" i="23"/>
  <c r="Q12" i="23"/>
  <c r="R12" i="23"/>
  <c r="Q10" i="23"/>
  <c r="R10" i="23"/>
  <c r="R75" i="25"/>
  <c r="O69" i="23"/>
  <c r="R69" i="23" s="1"/>
  <c r="S57" i="23" s="1"/>
  <c r="Q160" i="24" l="1"/>
  <c r="R160" i="24"/>
  <c r="S148" i="24" s="1"/>
  <c r="R134" i="23"/>
  <c r="S122" i="23" s="1"/>
  <c r="Q134" i="23"/>
  <c r="Q108" i="25"/>
  <c r="R108" i="25"/>
  <c r="S96" i="25" s="1"/>
  <c r="R95" i="29"/>
  <c r="S83" i="29" s="1"/>
  <c r="Q95" i="29"/>
  <c r="R121" i="23"/>
  <c r="S109" i="23" s="1"/>
  <c r="Q121" i="23"/>
  <c r="R121" i="24"/>
  <c r="S109" i="24" s="1"/>
  <c r="Q121" i="24"/>
  <c r="R160" i="25"/>
  <c r="S148" i="25" s="1"/>
  <c r="Q160" i="25"/>
  <c r="R121" i="27"/>
  <c r="S109" i="27" s="1"/>
  <c r="Q121" i="27"/>
  <c r="R95" i="27"/>
  <c r="S83" i="27" s="1"/>
  <c r="Q95" i="27"/>
  <c r="R17" i="23"/>
  <c r="S5" i="23" s="1"/>
  <c r="Q17" i="23"/>
  <c r="E2" i="23"/>
  <c r="R95" i="25"/>
  <c r="S83" i="25" s="1"/>
  <c r="Q95" i="25"/>
  <c r="R17" i="26"/>
  <c r="S5" i="26" s="1"/>
  <c r="Q17" i="26"/>
  <c r="E2" i="26"/>
  <c r="R147" i="26"/>
  <c r="S135" i="26" s="1"/>
  <c r="Q147" i="26"/>
  <c r="R30" i="27"/>
  <c r="S18" i="27" s="1"/>
  <c r="Q30" i="27"/>
  <c r="R134" i="27"/>
  <c r="S122" i="27" s="1"/>
  <c r="Q134" i="27"/>
  <c r="Q108" i="28"/>
  <c r="R108" i="28"/>
  <c r="S96" i="28" s="1"/>
  <c r="R108" i="29"/>
  <c r="S96" i="29" s="1"/>
  <c r="Q108" i="29"/>
  <c r="Q30" i="23"/>
  <c r="R30" i="23"/>
  <c r="S18" i="23" s="1"/>
  <c r="R43" i="23"/>
  <c r="S31" i="23" s="1"/>
  <c r="R173" i="25"/>
  <c r="S161" i="25" s="1"/>
  <c r="Q173" i="25"/>
  <c r="Q147" i="24"/>
  <c r="R147" i="24"/>
  <c r="S135" i="24" s="1"/>
  <c r="Q160" i="26"/>
  <c r="R160" i="26"/>
  <c r="S148" i="26" s="1"/>
  <c r="R17" i="28"/>
  <c r="S5" i="28" s="1"/>
  <c r="Q17" i="28"/>
  <c r="E2" i="28"/>
  <c r="Q108" i="23"/>
  <c r="Q147" i="23"/>
  <c r="R147" i="29"/>
  <c r="S135" i="29" s="1"/>
  <c r="Q147" i="29"/>
  <c r="R95" i="23"/>
  <c r="S83" i="23" s="1"/>
  <c r="Q95" i="23"/>
  <c r="R17" i="24"/>
  <c r="S5" i="24" s="1"/>
  <c r="E2" i="24"/>
  <c r="Q17" i="24"/>
  <c r="Q95" i="24"/>
  <c r="R95" i="24"/>
  <c r="S83" i="24" s="1"/>
  <c r="Q95" i="26"/>
  <c r="R95" i="26"/>
  <c r="S83" i="26" s="1"/>
  <c r="R147" i="25"/>
  <c r="S135" i="25" s="1"/>
  <c r="Q147" i="25"/>
  <c r="R121" i="26"/>
  <c r="S109" i="26" s="1"/>
  <c r="Q121" i="26"/>
  <c r="R134" i="26"/>
  <c r="S122" i="26" s="1"/>
  <c r="Q134" i="26"/>
  <c r="Q95" i="28"/>
  <c r="R95" i="28"/>
  <c r="S83" i="28" s="1"/>
  <c r="R173" i="24"/>
  <c r="S161" i="24" s="1"/>
  <c r="Q173" i="24"/>
  <c r="R108" i="26"/>
  <c r="S96" i="26" s="1"/>
  <c r="Q108" i="26"/>
  <c r="R134" i="25"/>
  <c r="S122" i="25" s="1"/>
  <c r="Q134" i="25"/>
  <c r="Q17" i="27"/>
  <c r="E2" i="27"/>
  <c r="R17" i="27"/>
  <c r="S5" i="27" s="1"/>
  <c r="R56" i="27"/>
  <c r="S44" i="27" s="1"/>
  <c r="R160" i="27"/>
  <c r="S148" i="27" s="1"/>
  <c r="Q160" i="27"/>
  <c r="Q17" i="25"/>
  <c r="E2" i="25"/>
  <c r="R17" i="25"/>
  <c r="S5" i="25" s="1"/>
  <c r="R147" i="27"/>
  <c r="S135" i="27" s="1"/>
  <c r="Q147" i="27"/>
  <c r="Q173" i="23"/>
  <c r="R173" i="26"/>
  <c r="S161" i="26" s="1"/>
  <c r="Q173" i="26"/>
  <c r="R30" i="26"/>
  <c r="S18" i="26" s="1"/>
  <c r="Q30" i="26"/>
  <c r="R121" i="28"/>
  <c r="S109" i="28" s="1"/>
  <c r="Q121" i="28"/>
  <c r="Q121" i="25"/>
  <c r="R121" i="25"/>
  <c r="S109" i="25" s="1"/>
  <c r="Q173" i="28"/>
  <c r="Q108" i="24"/>
  <c r="R108" i="24"/>
  <c r="S96" i="24" s="1"/>
  <c r="R108" i="27"/>
  <c r="S96" i="27" s="1"/>
  <c r="Q108" i="27"/>
  <c r="R147" i="28"/>
  <c r="S135" i="28" s="1"/>
  <c r="Q147" i="28"/>
  <c r="R121" i="29"/>
  <c r="S109" i="29" s="1"/>
  <c r="Q121" i="29"/>
  <c r="R160" i="23"/>
  <c r="S148" i="23" s="1"/>
  <c r="Q160" i="23"/>
  <c r="R30" i="25"/>
  <c r="S18" i="25" s="1"/>
  <c r="Q30" i="25"/>
  <c r="E2" i="29"/>
  <c r="R17" i="29"/>
  <c r="S5" i="29" s="1"/>
  <c r="Q17" i="29"/>
  <c r="R30" i="24"/>
  <c r="S18" i="24" s="1"/>
  <c r="Q30" i="24"/>
  <c r="R30" i="29"/>
  <c r="S18" i="29" s="1"/>
  <c r="Q30" i="29"/>
  <c r="R134" i="28"/>
  <c r="S122" i="28" s="1"/>
  <c r="Q134" i="28"/>
  <c r="R134" i="29"/>
  <c r="S122" i="29" s="1"/>
  <c r="Q134" i="29"/>
  <c r="L7" i="3" l="1"/>
  <c r="J7" i="3"/>
  <c r="H7" i="3"/>
  <c r="F7" i="3"/>
  <c r="Q6" i="3"/>
  <c r="P6" i="3"/>
  <c r="O6" i="3"/>
  <c r="N6" i="3"/>
  <c r="L6" i="3"/>
  <c r="J6" i="3"/>
  <c r="H6" i="3"/>
  <c r="F6" i="3"/>
  <c r="L7" i="5"/>
  <c r="J7" i="5"/>
  <c r="H7" i="5"/>
  <c r="F7" i="5"/>
  <c r="Q6" i="5"/>
  <c r="P6" i="5"/>
  <c r="O6" i="5"/>
  <c r="N6" i="5"/>
  <c r="L6" i="5"/>
  <c r="J6" i="5"/>
  <c r="H6" i="5"/>
  <c r="F6" i="5"/>
  <c r="L7" i="4"/>
  <c r="J7" i="4"/>
  <c r="H7" i="4"/>
  <c r="F7" i="4"/>
  <c r="Q6" i="4"/>
  <c r="P6" i="4"/>
  <c r="O6" i="4"/>
  <c r="N6" i="4"/>
  <c r="L6" i="4"/>
  <c r="J6" i="4"/>
  <c r="H6" i="4"/>
  <c r="F6" i="4"/>
  <c r="L7" i="8"/>
  <c r="J7" i="8"/>
  <c r="H7" i="8"/>
  <c r="F7" i="8"/>
  <c r="Q6" i="8"/>
  <c r="P6" i="8"/>
  <c r="O6" i="8"/>
  <c r="N6" i="8"/>
  <c r="L6" i="8"/>
  <c r="J6" i="8"/>
  <c r="H6" i="8"/>
  <c r="F6" i="8"/>
  <c r="L8" i="1"/>
  <c r="J8" i="1"/>
  <c r="H8" i="1"/>
  <c r="F8" i="1"/>
  <c r="L8" i="6"/>
  <c r="J8" i="6"/>
  <c r="H8" i="6"/>
  <c r="F8" i="6"/>
  <c r="L8" i="7"/>
  <c r="J8" i="7"/>
  <c r="F8" i="7"/>
  <c r="F6" i="7"/>
  <c r="H6" i="7"/>
  <c r="J6" i="7"/>
  <c r="L6" i="7"/>
  <c r="F7" i="7"/>
  <c r="H7" i="7"/>
  <c r="J7" i="7"/>
  <c r="L7" i="7"/>
  <c r="D15" i="7"/>
  <c r="H8" i="7" s="1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L7" i="6"/>
  <c r="J7" i="6"/>
  <c r="H7" i="6"/>
  <c r="F7" i="6"/>
  <c r="L6" i="6"/>
  <c r="J6" i="6"/>
  <c r="H6" i="6"/>
  <c r="F6" i="6"/>
  <c r="L7" i="1"/>
  <c r="J7" i="1"/>
  <c r="H7" i="1"/>
  <c r="F7" i="1"/>
  <c r="L6" i="1"/>
  <c r="J6" i="1"/>
  <c r="H6" i="1"/>
  <c r="F6" i="1"/>
  <c r="M32" i="8" l="1"/>
  <c r="L32" i="8"/>
  <c r="K32" i="8"/>
  <c r="J32" i="8"/>
  <c r="L8" i="8" s="1"/>
  <c r="I32" i="8"/>
  <c r="H32" i="8"/>
  <c r="G32" i="8"/>
  <c r="F32" i="8"/>
  <c r="E32" i="8"/>
  <c r="D32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M32" i="7"/>
  <c r="L32" i="7"/>
  <c r="K32" i="7"/>
  <c r="J32" i="7"/>
  <c r="I32" i="7"/>
  <c r="H32" i="7"/>
  <c r="G32" i="7"/>
  <c r="F32" i="7"/>
  <c r="E32" i="7"/>
  <c r="D32" i="7"/>
  <c r="M32" i="6"/>
  <c r="L32" i="6"/>
  <c r="K32" i="6"/>
  <c r="J32" i="6"/>
  <c r="I32" i="6"/>
  <c r="H32" i="6"/>
  <c r="G32" i="6"/>
  <c r="F32" i="6"/>
  <c r="E32" i="6"/>
  <c r="D32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M32" i="5"/>
  <c r="L32" i="5"/>
  <c r="K32" i="5"/>
  <c r="J32" i="5"/>
  <c r="L8" i="5" s="1"/>
  <c r="I32" i="5"/>
  <c r="H32" i="5"/>
  <c r="G32" i="5"/>
  <c r="F32" i="5"/>
  <c r="E32" i="5"/>
  <c r="D32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M32" i="4"/>
  <c r="L32" i="4"/>
  <c r="K32" i="4"/>
  <c r="J32" i="4"/>
  <c r="L8" i="4" s="1"/>
  <c r="I32" i="4"/>
  <c r="H32" i="4"/>
  <c r="G32" i="4"/>
  <c r="F32" i="4"/>
  <c r="E32" i="4"/>
  <c r="D32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M32" i="3"/>
  <c r="L32" i="3"/>
  <c r="K32" i="3"/>
  <c r="J32" i="3"/>
  <c r="I32" i="3"/>
  <c r="H32" i="3"/>
  <c r="G32" i="3"/>
  <c r="F32" i="3"/>
  <c r="E32" i="3"/>
  <c r="D32" i="3"/>
  <c r="J8" i="3" s="1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M32" i="1"/>
  <c r="L32" i="1"/>
  <c r="K32" i="1"/>
  <c r="J32" i="1"/>
  <c r="I32" i="1"/>
  <c r="H32" i="1"/>
  <c r="G32" i="1"/>
  <c r="F32" i="1"/>
  <c r="E32" i="1"/>
  <c r="D32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L8" i="3" l="1"/>
  <c r="H8" i="3"/>
  <c r="F8" i="3"/>
  <c r="J8" i="5"/>
  <c r="H8" i="5"/>
  <c r="F8" i="5"/>
  <c r="J8" i="4"/>
  <c r="H8" i="4"/>
  <c r="F8" i="4"/>
  <c r="J8" i="8"/>
  <c r="H8" i="8"/>
  <c r="F8" i="8"/>
</calcChain>
</file>

<file path=xl/sharedStrings.xml><?xml version="1.0" encoding="utf-8"?>
<sst xmlns="http://schemas.openxmlformats.org/spreadsheetml/2006/main" count="5031" uniqueCount="436">
  <si>
    <t>晉欣廠組合室生產人時性分析</t>
    <phoneticPr fontId="3" type="noConversion"/>
  </si>
  <si>
    <t>日期</t>
  </si>
  <si>
    <t>訂單量</t>
  </si>
  <si>
    <t>營業額</t>
  </si>
  <si>
    <t>項目</t>
    <phoneticPr fontId="3" type="noConversion"/>
  </si>
  <si>
    <t>項目</t>
    <phoneticPr fontId="8" type="noConversion"/>
  </si>
  <si>
    <t>➀</t>
    <phoneticPr fontId="8" type="noConversion"/>
  </si>
  <si>
    <t>➁</t>
    <phoneticPr fontId="8" type="noConversion"/>
  </si>
  <si>
    <t>➂</t>
    <phoneticPr fontId="8" type="noConversion"/>
  </si>
  <si>
    <t>➃</t>
    <phoneticPr fontId="8" type="noConversion"/>
  </si>
  <si>
    <t>異常停線</t>
    <phoneticPr fontId="8" type="noConversion"/>
  </si>
  <si>
    <t>短暫停線</t>
    <phoneticPr fontId="8" type="noConversion"/>
  </si>
  <si>
    <t>人時性</t>
    <phoneticPr fontId="3" type="noConversion"/>
  </si>
  <si>
    <t>組合室</t>
    <phoneticPr fontId="3" type="noConversion"/>
  </si>
  <si>
    <t>全溫層</t>
  </si>
  <si>
    <t>4度C(含4度飯糰)</t>
  </si>
  <si>
    <t>18度C 一配</t>
  </si>
  <si>
    <t>18度C 二配</t>
  </si>
  <si>
    <t>合計次數</t>
    <phoneticPr fontId="8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</si>
  <si>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</si>
  <si>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</si>
  <si>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</si>
  <si>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</si>
  <si>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</si>
  <si>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</si>
  <si>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</si>
  <si>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</si>
  <si>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4度一組</t>
    <phoneticPr fontId="3" type="noConversion"/>
  </si>
  <si>
    <t xml:space="preserve">
4度二組A
</t>
    <phoneticPr fontId="3" type="noConversion"/>
  </si>
  <si>
    <t xml:space="preserve">
4度二組B
</t>
    <phoneticPr fontId="3" type="noConversion"/>
  </si>
  <si>
    <t xml:space="preserve">
4度二組C1
</t>
    <phoneticPr fontId="3" type="noConversion"/>
  </si>
  <si>
    <t>4度一組B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</si>
  <si>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</si>
  <si>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</si>
  <si>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</si>
  <si>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</si>
  <si>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</si>
  <si>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</si>
  <si>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</si>
  <si>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</si>
  <si>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壽司線</t>
  </si>
  <si>
    <t>人時性</t>
    <phoneticPr fontId="8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</si>
  <si>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</si>
  <si>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</si>
  <si>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</si>
  <si>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</si>
  <si>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</si>
  <si>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</si>
  <si>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9" type="noConversion"/>
  </si>
  <si>
    <t/>
  </si>
  <si>
    <t>短暫停線
(5分鐘以下)</t>
    <phoneticPr fontId="19" type="noConversion"/>
  </si>
  <si>
    <t>配置人數</t>
    <phoneticPr fontId="3" type="noConversion"/>
  </si>
  <si>
    <t>主要應用設備</t>
    <phoneticPr fontId="3" type="noConversion"/>
  </si>
  <si>
    <t>ET-600</t>
  </si>
  <si>
    <t>八爪機</t>
  </si>
  <si>
    <t>十爪機</t>
  </si>
  <si>
    <t>ET-55</t>
  </si>
  <si>
    <t>伺服包裝機</t>
  </si>
  <si>
    <t>次要應用設備</t>
    <phoneticPr fontId="3" type="noConversion"/>
  </si>
  <si>
    <t>備註</t>
    <phoneticPr fontId="3" type="noConversion"/>
  </si>
  <si>
    <t>熱麵固定線</t>
  </si>
  <si>
    <t>烤飯糰</t>
  </si>
  <si>
    <t>吸收產線</t>
  </si>
  <si>
    <t>大口固定線</t>
  </si>
  <si>
    <t>➂18度C 一配-各編組展開</t>
    <phoneticPr fontId="3" type="noConversion"/>
  </si>
  <si>
    <t>➃18度C 二配-各編組展開</t>
    <phoneticPr fontId="8" type="noConversion"/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</si>
  <si>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</si>
  <si>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</si>
  <si>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</si>
  <si>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</si>
  <si>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</si>
  <si>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</si>
  <si>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</si>
  <si>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</si>
  <si>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</si>
  <si>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</si>
  <si>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</si>
  <si>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</si>
  <si>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</si>
  <si>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</si>
  <si>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</si>
  <si>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</si>
  <si>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</si>
  <si>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</si>
  <si>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</si>
  <si>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</si>
  <si>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</si>
  <si>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</si>
  <si>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</si>
  <si>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</si>
  <si>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</si>
  <si>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</si>
  <si>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時間/分</t>
    <phoneticPr fontId="4"/>
  </si>
  <si>
    <t>總次數</t>
    <phoneticPr fontId="4"/>
  </si>
  <si>
    <t>四度一組
(ET-600)</t>
    <phoneticPr fontId="8" type="noConversion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</si>
  <si>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</si>
  <si>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</si>
  <si>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</si>
  <si>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</si>
  <si>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</si>
  <si>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</si>
  <si>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</si>
  <si>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</si>
  <si>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</si>
  <si>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</si>
  <si>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</si>
  <si>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大口金黃薯牛堡飯糰</t>
  </si>
  <si>
    <t>大口日式塔塔醬蝦排飯糰</t>
  </si>
  <si>
    <t>大口義式香草雞腿排飯糰</t>
  </si>
  <si>
    <t>日式野菜烘蛋燴飯</t>
  </si>
  <si>
    <t>壽喜燒牛丼</t>
  </si>
  <si>
    <t>香辣醬粉絲煲</t>
  </si>
  <si>
    <t>四度二組
(烤飯糰/八爪機)</t>
    <phoneticPr fontId="8" type="noConversion"/>
  </si>
  <si>
    <t>多穀紫米飯</t>
  </si>
  <si>
    <t>優質池上飯</t>
  </si>
  <si>
    <t>媽媽煮藝-鹹酥雞</t>
  </si>
  <si>
    <t>糖燻豬耳絲</t>
  </si>
  <si>
    <t>燻之味-糖燻雞胗</t>
  </si>
  <si>
    <t>韓式蒜味炸雞</t>
  </si>
  <si>
    <t>四度三組
(ET-55)</t>
    <phoneticPr fontId="8" type="noConversion"/>
  </si>
  <si>
    <t>蕃茄起司手工千層麵(區2)</t>
  </si>
  <si>
    <t>嘉義劉里長雞肉飯</t>
  </si>
  <si>
    <t>好吃雞肉便當</t>
  </si>
  <si>
    <t>香腸腿排雙拼便當</t>
  </si>
  <si>
    <t>新招牌腿排便當</t>
  </si>
  <si>
    <t>二配蒙古風味烤肉飯</t>
  </si>
  <si>
    <t>二配起司控培根白醬焗烤飯</t>
  </si>
  <si>
    <t>媽媽煮藝-(區)香滷牛肚絲</t>
  </si>
  <si>
    <t>淡麗清酒蒸蛤蜊烤飯糰</t>
  </si>
  <si>
    <t>糖燻野郎起司炙燒牛烤飯糰</t>
  </si>
  <si>
    <t>明太子奶油炸飯糰</t>
  </si>
  <si>
    <t>極上炙烤親子丼</t>
  </si>
  <si>
    <t>鐵板滑蛋炸豬排丼</t>
  </si>
  <si>
    <t>壹號醬雞豚雙拼</t>
  </si>
  <si>
    <t>好多蒜燒豚飯</t>
  </si>
  <si>
    <t>二配鮭魚蛋炒飯</t>
  </si>
  <si>
    <t>二配香拌海鮮醬肉絲蛋炒飯</t>
  </si>
  <si>
    <t>二配香辣醬蒜味香腸蛋炒飯</t>
  </si>
  <si>
    <t>二配粗飽系雞排炒飯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</si>
  <si>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</si>
  <si>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</si>
  <si>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</si>
  <si>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</si>
  <si>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</si>
  <si>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</si>
  <si>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二配西班牙風味海鮮燉飯</t>
  </si>
  <si>
    <t>二配濃蕃茄火腿蛋包飯</t>
  </si>
  <si>
    <t>二配港式香滑嫩蛋牛肉燴飯</t>
  </si>
  <si>
    <t>二配金咖哩濃厚辛口咖哩飯</t>
  </si>
  <si>
    <t>二配美味蟹煲</t>
  </si>
  <si>
    <t>二配金咖哩果香甘口咖哩飯</t>
  </si>
  <si>
    <t>二配麻油雞燴飯</t>
  </si>
  <si>
    <t>二配泰式綠咖哩雞</t>
  </si>
  <si>
    <t>二配川味麻婆燒豆腐燴飯</t>
  </si>
  <si>
    <t>綜合四組</t>
    <phoneticPr fontId="3" type="noConversion"/>
  </si>
  <si>
    <t>二配香炒沙茶豬肉飯</t>
  </si>
  <si>
    <t>二配厚香料咖哩雞排飯</t>
  </si>
  <si>
    <t>便當組
大口
固定線
(伺服包裝機)</t>
    <phoneticPr fontId="8" type="noConversion"/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</si>
  <si>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</si>
  <si>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</si>
  <si>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</si>
  <si>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</si>
  <si>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</si>
  <si>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</si>
  <si>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3.當日出勤熟手較少</t>
    <phoneticPr fontId="8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</si>
  <si>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</si>
  <si>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</si>
  <si>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</si>
  <si>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</si>
  <si>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</si>
  <si>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</si>
  <si>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</si>
  <si>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</si>
  <si>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</si>
  <si>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</si>
  <si>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</si>
  <si>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</si>
  <si>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</si>
  <si>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</si>
  <si>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</si>
  <si>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產能差異分析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</si>
  <si>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</si>
  <si>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</si>
  <si>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</si>
  <si>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產能/時</t>
    <phoneticPr fontId="8" type="noConversion"/>
  </si>
  <si>
    <t>人數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</si>
  <si>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</si>
  <si>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</si>
  <si>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</si>
  <si>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設備因素(次數)</t>
    <phoneticPr fontId="4"/>
  </si>
  <si>
    <t>4度一組</t>
    <phoneticPr fontId="3" type="noConversion"/>
  </si>
  <si>
    <t>平均</t>
    <phoneticPr fontId="8" type="noConversion"/>
  </si>
  <si>
    <t xml:space="preserve">4度二組A
</t>
    <phoneticPr fontId="3" type="noConversion"/>
  </si>
  <si>
    <t xml:space="preserve">
4度二組B
</t>
    <phoneticPr fontId="3" type="noConversion"/>
  </si>
  <si>
    <t xml:space="preserve">
4度二組C2
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</si>
  <si>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</si>
  <si>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</si>
  <si>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</si>
  <si>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</si>
  <si>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</si>
  <si>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</si>
  <si>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</si>
  <si>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</si>
  <si>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</si>
  <si>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綜合三組
(ET-55)</t>
    <phoneticPr fontId="3" type="noConversion"/>
  </si>
  <si>
    <t>生產實績</t>
    <phoneticPr fontId="8" type="noConversion"/>
  </si>
  <si>
    <t>多次生產數</t>
    <phoneticPr fontId="8" type="noConversion"/>
  </si>
  <si>
    <t>生產量</t>
    <phoneticPr fontId="8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</si>
  <si>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</si>
  <si>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</si>
  <si>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</si>
  <si>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</si>
  <si>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</si>
  <si>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</si>
  <si>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</si>
  <si>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兩粒飯糰(鮪魚.焦糖鮭魚)</t>
  </si>
  <si>
    <t>碳烤燒肉飯飯糰(區)</t>
  </si>
  <si>
    <t>平均</t>
  </si>
  <si>
    <t>照燒雞肉飯糰</t>
  </si>
  <si>
    <t>鮭魚奶油醬油飯糰</t>
  </si>
  <si>
    <t>紅運烏魚子紹興飯糰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</si>
  <si>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</si>
  <si>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</si>
  <si>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</si>
  <si>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</si>
  <si>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</si>
  <si>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</si>
  <si>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</si>
  <si>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</si>
  <si>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</si>
  <si>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二配油蔥G絲飯糰</t>
  </si>
  <si>
    <t>二配三杯醬爆菇菇飯糰</t>
  </si>
  <si>
    <t>二配壹號醬炙烤牛飯糰</t>
  </si>
  <si>
    <t>二配鹽蔥燒肉飯糰</t>
  </si>
  <si>
    <t>二配大飯糰滷肉飯加蛋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</si>
  <si>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</si>
  <si>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</si>
  <si>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</si>
  <si>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</si>
  <si>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</si>
  <si>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 xml:space="preserve">晉欣廠18度C日報分析                              </t>
    <phoneticPr fontId="8" type="noConversion"/>
  </si>
  <si>
    <t>品類</t>
    <phoneticPr fontId="8" type="noConversion"/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</si>
  <si>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</si>
  <si>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</si>
  <si>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</si>
  <si>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</si>
  <si>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</si>
  <si>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</si>
  <si>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</si>
  <si>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</si>
  <si>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03月03日  星期二</t>
  </si>
  <si>
    <t>03月04日  星期三</t>
  </si>
  <si>
    <t>03月05日  星期四</t>
  </si>
  <si>
    <t>03月06日  星期五</t>
  </si>
  <si>
    <t>項目</t>
  </si>
  <si>
    <t>➀</t>
  </si>
  <si>
    <t>➁</t>
  </si>
  <si>
    <t>➂</t>
  </si>
  <si>
    <t>➃</t>
  </si>
  <si>
    <t>異常停線</t>
  </si>
  <si>
    <t>短暫停線</t>
  </si>
  <si>
    <t>組合室</t>
  </si>
  <si>
    <t>合計次數</t>
  </si>
  <si>
    <t>時間</t>
  </si>
  <si>
    <t>設備次數</t>
  </si>
  <si>
    <t>03月07日  星期六</t>
  </si>
  <si>
    <t>03月08日  星期日</t>
  </si>
  <si>
    <t>03月09日  星期一</t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</si>
  <si>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</si>
  <si>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</si>
  <si>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</si>
  <si>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</si>
  <si>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</si>
  <si>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</si>
  <si>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</si>
  <si>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</si>
  <si>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</si>
  <si>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03月03日  星期二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</si>
  <si>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</si>
  <si>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</si>
  <si>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</si>
  <si>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多次
生產</t>
    <phoneticPr fontId="8" type="noConversion"/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</si>
  <si>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</si>
  <si>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</si>
  <si>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</si>
  <si>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</si>
  <si>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</si>
  <si>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</si>
  <si>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</si>
  <si>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</si>
  <si>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</si>
  <si>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</si>
  <si>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</si>
  <si>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</si>
  <si>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</si>
  <si>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</si>
  <si>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</si>
  <si>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辣腐乳麻醬拌麵</t>
    <phoneticPr fontId="3" type="noConversion"/>
  </si>
  <si>
    <t>二配濃起司燻腸紅醬焗烤飯</t>
  </si>
  <si>
    <t>4度一組</t>
    <phoneticPr fontId="3" type="noConversion"/>
  </si>
  <si>
    <t>平均</t>
    <phoneticPr fontId="8" type="noConversion"/>
  </si>
  <si>
    <t>四度二組A
熱麵
固定線
(ET-55)</t>
    <phoneticPr fontId="8" type="noConversion"/>
  </si>
  <si>
    <t>辣腐乳麻醬拌麵</t>
  </si>
  <si>
    <t xml:space="preserve">4度二組A
</t>
    <phoneticPr fontId="3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</si>
  <si>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</si>
  <si>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</si>
  <si>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</si>
  <si>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8" type="noConversion"/>
  </si>
  <si>
    <t>蟹味可樂餅風炸飯糰</t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</si>
  <si>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</si>
  <si>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</si>
  <si>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</si>
  <si>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</si>
  <si>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8" type="noConversion"/>
  </si>
  <si>
    <t>日式中濃醬炭火漢堡排飯</t>
  </si>
  <si>
    <t xml:space="preserve">
4度三組
</t>
    <phoneticPr fontId="3" type="noConversion"/>
  </si>
  <si>
    <t>四度四組
(ET-55)</t>
    <phoneticPr fontId="8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</si>
  <si>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</si>
  <si>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</si>
  <si>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</si>
  <si>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</si>
  <si>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</si>
  <si>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>二配鐵板豆腐燴蛋蓋飯</t>
  </si>
  <si>
    <t xml:space="preserve">
綜合一組
</t>
    <phoneticPr fontId="3" type="noConversion"/>
  </si>
  <si>
    <t>綜合二組
(ET-55)</t>
    <phoneticPr fontId="8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</si>
  <si>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</si>
  <si>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</si>
  <si>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</si>
  <si>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</si>
  <si>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</si>
  <si>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8" type="noConversion"/>
  </si>
  <si>
    <t xml:space="preserve">
便當組
</t>
    <phoneticPr fontId="3" type="noConversion"/>
  </si>
  <si>
    <t>3.當日出勤熟手較少</t>
    <phoneticPr fontId="8" type="noConversion"/>
  </si>
  <si>
    <t>12.商品結構，產能較低</t>
    <phoneticPr fontId="3" type="noConversion"/>
  </si>
  <si>
    <t>13.區域出貨，分段生產</t>
    <phoneticPr fontId="3" type="noConversion"/>
  </si>
  <si>
    <t>日報登錄</t>
    <phoneticPr fontId="8" type="noConversion"/>
  </si>
  <si>
    <t>合計
設備次數</t>
    <phoneticPr fontId="3" type="noConversion"/>
  </si>
  <si>
    <t>03月04日  星期三</t>
    <phoneticPr fontId="8" type="noConversion"/>
  </si>
  <si>
    <t>多次
生產</t>
    <phoneticPr fontId="8" type="noConversion"/>
  </si>
  <si>
    <t>達成率</t>
    <phoneticPr fontId="8" type="noConversion"/>
  </si>
  <si>
    <t>達成率平均</t>
    <phoneticPr fontId="8" type="noConversion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</si>
  <si>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</si>
  <si>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</si>
  <si>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</si>
  <si>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</si>
  <si>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四度二組A
熱麵
固定線
(ET-55)</t>
    <phoneticPr fontId="8" type="noConversion"/>
  </si>
  <si>
    <t>四度二組
(烤飯糰/十爪機)</t>
    <phoneticPr fontId="3" type="noConversion"/>
  </si>
  <si>
    <t>四度四組
(ET-55)</t>
    <phoneticPr fontId="8" type="noConversion"/>
  </si>
  <si>
    <t>綜合二組
(ET-55)</t>
    <phoneticPr fontId="8" type="noConversion"/>
  </si>
  <si>
    <t>13.區域出貨，分段生產</t>
    <phoneticPr fontId="3" type="noConversion"/>
  </si>
  <si>
    <t>03月05日  星期四</t>
    <phoneticPr fontId="8" type="noConversion"/>
  </si>
  <si>
    <t>03月06日  星期五</t>
    <phoneticPr fontId="8" type="noConversion"/>
  </si>
  <si>
    <t>03月07日  星期六</t>
    <phoneticPr fontId="8" type="noConversion"/>
  </si>
  <si>
    <t>03月08日  星期日</t>
    <phoneticPr fontId="8" type="noConversion"/>
  </si>
  <si>
    <t>03月09日  星期一</t>
    <phoneticPr fontId="8" type="noConversion"/>
  </si>
  <si>
    <t>二配濃起司燻腸紅醬焗烤飯</t>
    <phoneticPr fontId="3" type="noConversion"/>
  </si>
  <si>
    <t>二配鐵板豆腐燴蛋蓋飯</t>
    <phoneticPr fontId="3" type="noConversion"/>
  </si>
  <si>
    <t>出勤人數</t>
    <phoneticPr fontId="8" type="noConversion"/>
  </si>
  <si>
    <t>03月03日  星期二</t>
    <phoneticPr fontId="8" type="noConversion"/>
  </si>
  <si>
    <t>雙倍德腸飯卷</t>
    <phoneticPr fontId="3" type="noConversion"/>
  </si>
  <si>
    <t>明太子泡菜牛飯卷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</si>
  <si>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</si>
  <si>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</si>
  <si>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</si>
  <si>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</si>
  <si>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</si>
  <si>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</si>
  <si>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</si>
  <si>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</si>
  <si>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</si>
  <si>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</si>
  <si>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</si>
  <si>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</si>
  <si>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</si>
  <si>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</si>
  <si>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</si>
  <si>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</si>
  <si>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</si>
  <si>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</si>
  <si>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</si>
  <si>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</si>
  <si>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</si>
  <si>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</si>
  <si>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</si>
  <si>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</si>
  <si>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</si>
  <si>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</si>
  <si>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</si>
  <si>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</si>
  <si>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</si>
  <si>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</si>
  <si>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</si>
  <si>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03月04日  星期三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</si>
  <si>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</si>
  <si>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</si>
  <si>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</si>
  <si>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</si>
  <si>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</si>
  <si>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</si>
  <si>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</si>
  <si>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</si>
  <si>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</si>
  <si>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雙倍德腸飯卷</t>
    <phoneticPr fontId="3" type="noConversion"/>
  </si>
  <si>
    <t>03月05日  星期四</t>
    <phoneticPr fontId="8" type="noConversion"/>
  </si>
  <si>
    <t>03月06日  星期五</t>
    <phoneticPr fontId="8" type="noConversion"/>
  </si>
  <si>
    <t>03月07日  星期六</t>
    <phoneticPr fontId="8" type="noConversion"/>
  </si>
  <si>
    <t>03月08日  星期日</t>
    <phoneticPr fontId="8" type="noConversion"/>
  </si>
  <si>
    <t>03月09日  星期一</t>
    <phoneticPr fontId="8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</si>
  <si>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</si>
  <si>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</si>
  <si>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</si>
  <si>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</si>
  <si>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平均</t>
    <phoneticPr fontId="8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</si>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</sst>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0_);[Red]\(0\)"/>
    <numFmt numFmtId="182" formatCode="&quot;¥&quot;#,##0;[Red]&quot;¥&quot;\-#,##0"/>
    <numFmt numFmtId="183" formatCode="0_ "/>
    <numFmt numFmtId="184" formatCode="0.0_ "/>
    <numFmt numFmtId="185" formatCode="h:mm;@"/>
  </numFmts>
  <fonts count="4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5" fillId="0" borderId="0"/>
    <xf numFmtId="0" fontId="1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2" fillId="0" borderId="0"/>
    <xf numFmtId="0" fontId="1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/>
    <xf numFmtId="44" fontId="25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</cellStyleXfs>
  <cellXfs count="6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176" fontId="5" fillId="0" borderId="0" xfId="3" applyNumberFormat="1" applyFont="1" applyBorder="1" applyAlignment="1">
      <alignment vertical="center"/>
    </xf>
    <xf numFmtId="0" fontId="11" fillId="0" borderId="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/>
    </xf>
    <xf numFmtId="0" fontId="14" fillId="0" borderId="0" xfId="1" applyFont="1">
      <alignment vertical="center"/>
    </xf>
    <xf numFmtId="0" fontId="5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8" fillId="0" borderId="2" xfId="1" applyNumberFormat="1" applyFont="1" applyBorder="1" applyAlignment="1">
      <alignment horizontal="center" vertical="center"/>
    </xf>
    <xf numFmtId="178" fontId="18" fillId="0" borderId="18" xfId="1" applyNumberFormat="1" applyFont="1" applyBorder="1" applyAlignment="1">
      <alignment horizontal="center" vertical="center"/>
    </xf>
    <xf numFmtId="180" fontId="18" fillId="0" borderId="2" xfId="6" applyNumberFormat="1" applyFont="1" applyBorder="1" applyAlignment="1">
      <alignment horizontal="center" vertical="center"/>
    </xf>
    <xf numFmtId="180" fontId="18" fillId="0" borderId="18" xfId="6" applyNumberFormat="1" applyFont="1" applyBorder="1" applyAlignment="1">
      <alignment horizontal="center" vertical="center"/>
    </xf>
    <xf numFmtId="20" fontId="14" fillId="0" borderId="2" xfId="1" applyNumberFormat="1" applyFont="1" applyBorder="1" applyAlignment="1">
      <alignment horizontal="center" vertical="center" wrapText="1"/>
    </xf>
    <xf numFmtId="20" fontId="14" fillId="0" borderId="18" xfId="1" applyNumberFormat="1" applyFont="1" applyBorder="1" applyAlignment="1">
      <alignment horizontal="center" vertical="center" wrapText="1"/>
    </xf>
    <xf numFmtId="181" fontId="14" fillId="5" borderId="2" xfId="1" applyNumberFormat="1" applyFont="1" applyFill="1" applyBorder="1" applyAlignment="1">
      <alignment horizontal="center" vertical="center" wrapText="1"/>
    </xf>
    <xf numFmtId="181" fontId="14" fillId="5" borderId="18" xfId="1" applyNumberFormat="1" applyFont="1" applyFill="1" applyBorder="1" applyAlignment="1">
      <alignment horizontal="center" vertical="center" wrapText="1"/>
    </xf>
    <xf numFmtId="181" fontId="14" fillId="0" borderId="2" xfId="1" applyNumberFormat="1" applyFont="1" applyBorder="1" applyAlignment="1">
      <alignment horizontal="center" vertical="center" wrapText="1"/>
    </xf>
    <xf numFmtId="181" fontId="14" fillId="0" borderId="18" xfId="1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80" fontId="14" fillId="0" borderId="18" xfId="6" applyNumberFormat="1" applyFont="1" applyBorder="1" applyAlignment="1">
      <alignment horizontal="center" vertical="center"/>
    </xf>
    <xf numFmtId="0" fontId="14" fillId="0" borderId="26" xfId="1" applyFont="1" applyBorder="1">
      <alignment vertical="center"/>
    </xf>
    <xf numFmtId="0" fontId="14" fillId="0" borderId="26" xfId="1" applyFont="1" applyBorder="1" applyAlignment="1">
      <alignment horizontal="center" vertical="center"/>
    </xf>
    <xf numFmtId="0" fontId="14" fillId="0" borderId="27" xfId="1" applyFont="1" applyBorder="1">
      <alignment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178" fontId="14" fillId="0" borderId="2" xfId="1" applyNumberFormat="1" applyFont="1" applyBorder="1" applyAlignment="1">
      <alignment horizontal="center" vertical="center"/>
    </xf>
    <xf numFmtId="178" fontId="14" fillId="0" borderId="3" xfId="1" applyNumberFormat="1" applyFont="1" applyBorder="1" applyAlignment="1">
      <alignment horizontal="center" vertical="center"/>
    </xf>
    <xf numFmtId="178" fontId="14" fillId="0" borderId="33" xfId="1" applyNumberFormat="1" applyFont="1" applyBorder="1" applyAlignment="1">
      <alignment horizontal="center" vertical="center"/>
    </xf>
    <xf numFmtId="178" fontId="14" fillId="0" borderId="18" xfId="1" applyNumberFormat="1" applyFont="1" applyBorder="1" applyAlignment="1">
      <alignment horizontal="center" vertical="center"/>
    </xf>
    <xf numFmtId="178" fontId="18" fillId="0" borderId="3" xfId="1" applyNumberFormat="1" applyFont="1" applyBorder="1" applyAlignment="1">
      <alignment horizontal="center" vertical="center"/>
    </xf>
    <xf numFmtId="178" fontId="18" fillId="0" borderId="3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80" fontId="18" fillId="0" borderId="3" xfId="6" applyNumberFormat="1" applyFont="1" applyBorder="1" applyAlignment="1">
      <alignment horizontal="center" vertical="center"/>
    </xf>
    <xf numFmtId="180" fontId="18" fillId="0" borderId="33" xfId="6" applyNumberFormat="1" applyFont="1" applyBorder="1" applyAlignment="1">
      <alignment horizontal="center" vertical="center"/>
    </xf>
    <xf numFmtId="20" fontId="14" fillId="0" borderId="3" xfId="1" applyNumberFormat="1" applyFont="1" applyBorder="1" applyAlignment="1">
      <alignment horizontal="center" vertical="center" wrapText="1"/>
    </xf>
    <xf numFmtId="20" fontId="14" fillId="0" borderId="33" xfId="1" applyNumberFormat="1" applyFont="1" applyBorder="1" applyAlignment="1">
      <alignment horizontal="center" vertical="center" wrapText="1"/>
    </xf>
    <xf numFmtId="1" fontId="14" fillId="0" borderId="2" xfId="1" applyNumberFormat="1" applyFont="1" applyBorder="1" applyAlignment="1">
      <alignment horizontal="center" vertical="center" wrapText="1"/>
    </xf>
    <xf numFmtId="1" fontId="14" fillId="0" borderId="3" xfId="1" applyNumberFormat="1" applyFont="1" applyBorder="1" applyAlignment="1">
      <alignment horizontal="center" vertical="center" wrapText="1"/>
    </xf>
    <xf numFmtId="1" fontId="14" fillId="0" borderId="33" xfId="1" applyNumberFormat="1" applyFont="1" applyBorder="1" applyAlignment="1">
      <alignment horizontal="center" vertical="center" wrapText="1"/>
    </xf>
    <xf numFmtId="1" fontId="14" fillId="0" borderId="18" xfId="1" applyNumberFormat="1" applyFont="1" applyBorder="1" applyAlignment="1">
      <alignment horizontal="center" vertical="center" wrapText="1"/>
    </xf>
    <xf numFmtId="180" fontId="4" fillId="0" borderId="2" xfId="6" applyNumberFormat="1" applyFont="1" applyBorder="1" applyAlignment="1">
      <alignment horizontal="center" vertical="center"/>
    </xf>
    <xf numFmtId="180" fontId="4" fillId="0" borderId="3" xfId="6" applyNumberFormat="1" applyFont="1" applyBorder="1" applyAlignment="1">
      <alignment horizontal="center" vertical="center"/>
    </xf>
    <xf numFmtId="49" fontId="4" fillId="0" borderId="33" xfId="6" applyNumberFormat="1" applyFont="1" applyBorder="1" applyAlignment="1">
      <alignment horizontal="center" vertical="center"/>
    </xf>
    <xf numFmtId="180" fontId="4" fillId="0" borderId="18" xfId="6" applyNumberFormat="1" applyFont="1" applyBorder="1" applyAlignment="1">
      <alignment horizontal="center" vertical="center"/>
    </xf>
    <xf numFmtId="180" fontId="14" fillId="0" borderId="2" xfId="6" applyNumberFormat="1" applyFont="1" applyBorder="1" applyAlignment="1">
      <alignment horizontal="center" vertical="center"/>
    </xf>
    <xf numFmtId="180" fontId="14" fillId="0" borderId="3" xfId="6" applyNumberFormat="1" applyFont="1" applyBorder="1" applyAlignment="1">
      <alignment horizontal="center" vertical="center"/>
    </xf>
    <xf numFmtId="49" fontId="14" fillId="0" borderId="33" xfId="6" applyNumberFormat="1" applyFont="1" applyBorder="1" applyAlignment="1">
      <alignment horizontal="center" vertical="center"/>
    </xf>
    <xf numFmtId="0" fontId="14" fillId="0" borderId="34" xfId="1" applyFont="1" applyBorder="1">
      <alignment vertical="center"/>
    </xf>
    <xf numFmtId="0" fontId="14" fillId="0" borderId="35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34" fillId="0" borderId="39" xfId="4" applyFont="1" applyBorder="1">
      <alignment vertical="center"/>
    </xf>
    <xf numFmtId="176" fontId="11" fillId="12" borderId="39" xfId="286" applyNumberFormat="1" applyFont="1" applyFill="1" applyBorder="1" applyAlignment="1">
      <alignment horizontal="center" vertical="center"/>
    </xf>
    <xf numFmtId="43" fontId="34" fillId="0" borderId="39" xfId="286" applyFont="1" applyBorder="1" applyAlignment="1">
      <alignment horizontal="center" vertical="center"/>
    </xf>
    <xf numFmtId="1" fontId="34" fillId="0" borderId="39" xfId="4" applyNumberFormat="1" applyFont="1" applyBorder="1" applyAlignment="1">
      <alignment horizontal="center" vertical="center"/>
    </xf>
    <xf numFmtId="0" fontId="19" fillId="0" borderId="40" xfId="4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0" fontId="35" fillId="0" borderId="0" xfId="4" applyFont="1">
      <alignment vertical="center"/>
    </xf>
    <xf numFmtId="0" fontId="34" fillId="0" borderId="39" xfId="4" applyFont="1" applyBorder="1" applyAlignment="1">
      <alignment horizontal="left" vertical="center"/>
    </xf>
    <xf numFmtId="178" fontId="34" fillId="0" borderId="39" xfId="4" applyNumberFormat="1" applyFont="1" applyBorder="1" applyAlignment="1">
      <alignment horizontal="center" vertical="center"/>
    </xf>
    <xf numFmtId="178" fontId="37" fillId="0" borderId="39" xfId="4" applyNumberFormat="1" applyFont="1" applyBorder="1" applyAlignment="1">
      <alignment horizontal="center" vertical="center" wrapText="1"/>
    </xf>
    <xf numFmtId="2" fontId="34" fillId="0" borderId="39" xfId="4" applyNumberFormat="1" applyFont="1" applyBorder="1" applyAlignment="1">
      <alignment horizontal="center" vertical="center"/>
    </xf>
    <xf numFmtId="183" fontId="36" fillId="0" borderId="40" xfId="4" applyNumberFormat="1" applyFont="1" applyBorder="1" applyAlignment="1">
      <alignment horizontal="center" vertical="center"/>
    </xf>
    <xf numFmtId="0" fontId="36" fillId="0" borderId="40" xfId="4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40" fillId="3" borderId="39" xfId="4" applyFont="1" applyFill="1" applyBorder="1" applyAlignment="1">
      <alignment horizontal="center" vertical="center" wrapText="1"/>
    </xf>
    <xf numFmtId="0" fontId="35" fillId="0" borderId="47" xfId="4" applyFont="1" applyBorder="1" applyAlignment="1">
      <alignment horizontal="center"/>
    </xf>
    <xf numFmtId="0" fontId="35" fillId="0" borderId="48" xfId="4" applyFont="1" applyBorder="1" applyAlignment="1">
      <alignment horizontal="center"/>
    </xf>
    <xf numFmtId="0" fontId="35" fillId="0" borderId="44" xfId="160" applyFont="1" applyBorder="1" applyAlignment="1"/>
    <xf numFmtId="0" fontId="35" fillId="0" borderId="47" xfId="160" applyFont="1" applyBorder="1" applyAlignment="1"/>
    <xf numFmtId="1" fontId="35" fillId="0" borderId="39" xfId="4" applyNumberFormat="1" applyFont="1" applyBorder="1" applyAlignment="1">
      <alignment horizontal="center" vertical="center"/>
    </xf>
    <xf numFmtId="43" fontId="35" fillId="0" borderId="39" xfId="286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 wrapText="1"/>
    </xf>
    <xf numFmtId="1" fontId="35" fillId="4" borderId="39" xfId="4" applyNumberFormat="1" applyFont="1" applyFill="1" applyBorder="1" applyAlignment="1">
      <alignment horizontal="center" vertical="center"/>
    </xf>
    <xf numFmtId="178" fontId="35" fillId="0" borderId="39" xfId="4" applyNumberFormat="1" applyFont="1" applyBorder="1" applyAlignment="1">
      <alignment horizontal="center" vertical="center"/>
    </xf>
    <xf numFmtId="0" fontId="35" fillId="4" borderId="39" xfId="4" applyFont="1" applyFill="1" applyBorder="1" applyAlignment="1">
      <alignment horizontal="center" vertical="center"/>
    </xf>
    <xf numFmtId="183" fontId="35" fillId="0" borderId="39" xfId="4" applyNumberFormat="1" applyFont="1" applyBorder="1" applyAlignment="1">
      <alignment horizontal="center" vertical="center"/>
    </xf>
    <xf numFmtId="184" fontId="35" fillId="0" borderId="39" xfId="4" applyNumberFormat="1" applyFont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5" fontId="35" fillId="0" borderId="39" xfId="4" applyNumberFormat="1" applyFont="1" applyBorder="1" applyAlignment="1">
      <alignment horizontal="center" vertical="center"/>
    </xf>
    <xf numFmtId="183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/>
    </xf>
    <xf numFmtId="20" fontId="35" fillId="0" borderId="39" xfId="4" applyNumberFormat="1" applyFont="1" applyBorder="1" applyAlignment="1">
      <alignment horizontal="center" vertical="center"/>
    </xf>
    <xf numFmtId="183" fontId="35" fillId="0" borderId="2" xfId="4" applyNumberFormat="1" applyFont="1" applyBorder="1" applyAlignment="1">
      <alignment horizontal="center" vertical="center"/>
    </xf>
    <xf numFmtId="0" fontId="35" fillId="0" borderId="3" xfId="4" applyFont="1" applyBorder="1" applyAlignment="1">
      <alignment horizontal="center" vertical="center"/>
    </xf>
    <xf numFmtId="0" fontId="35" fillId="14" borderId="1" xfId="160" applyFont="1" applyFill="1" applyBorder="1" applyAlignment="1"/>
    <xf numFmtId="1" fontId="35" fillId="0" borderId="2" xfId="4" applyNumberFormat="1" applyFont="1" applyBorder="1" applyAlignment="1">
      <alignment horizontal="center" vertical="center"/>
    </xf>
    <xf numFmtId="0" fontId="35" fillId="0" borderId="49" xfId="4" applyFont="1" applyBorder="1" applyAlignment="1">
      <alignment horizontal="center" vertical="center"/>
    </xf>
    <xf numFmtId="0" fontId="35" fillId="0" borderId="50" xfId="160" applyFont="1" applyBorder="1" applyAlignment="1"/>
    <xf numFmtId="0" fontId="35" fillId="0" borderId="51" xfId="160" applyFont="1" applyBorder="1" applyAlignment="1"/>
    <xf numFmtId="1" fontId="35" fillId="0" borderId="40" xfId="4" applyNumberFormat="1" applyFont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4" borderId="40" xfId="4" applyFont="1" applyFill="1" applyBorder="1" applyAlignment="1">
      <alignment horizontal="center" vertical="center"/>
    </xf>
    <xf numFmtId="185" fontId="35" fillId="0" borderId="40" xfId="4" applyNumberFormat="1" applyFont="1" applyBorder="1" applyAlignment="1">
      <alignment horizontal="center" vertical="center"/>
    </xf>
    <xf numFmtId="20" fontId="35" fillId="0" borderId="40" xfId="4" applyNumberFormat="1" applyFont="1" applyBorder="1" applyAlignment="1">
      <alignment horizontal="center" vertical="center"/>
    </xf>
    <xf numFmtId="183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5" fillId="0" borderId="0" xfId="4" applyFont="1" applyAlignment="1">
      <alignment horizontal="center"/>
    </xf>
    <xf numFmtId="0" fontId="35" fillId="0" borderId="51" xfId="4" applyFont="1" applyBorder="1" applyAlignment="1">
      <alignment horizontal="center" vertical="center"/>
    </xf>
    <xf numFmtId="1" fontId="35" fillId="0" borderId="47" xfId="4" applyNumberFormat="1" applyFont="1" applyBorder="1" applyAlignment="1">
      <alignment horizontal="center" vertical="center"/>
    </xf>
    <xf numFmtId="0" fontId="35" fillId="0" borderId="51" xfId="4" applyFont="1" applyBorder="1" applyAlignment="1">
      <alignment horizontal="center"/>
    </xf>
    <xf numFmtId="1" fontId="35" fillId="15" borderId="40" xfId="4" applyNumberFormat="1" applyFont="1" applyFill="1" applyBorder="1" applyAlignment="1">
      <alignment horizontal="center" vertical="center"/>
    </xf>
    <xf numFmtId="43" fontId="35" fillId="15" borderId="40" xfId="286" applyFont="1" applyFill="1" applyBorder="1" applyAlignment="1">
      <alignment horizontal="center" vertical="center"/>
    </xf>
    <xf numFmtId="0" fontId="35" fillId="15" borderId="40" xfId="4" applyFont="1" applyFill="1" applyBorder="1" applyAlignment="1">
      <alignment horizontal="center" vertical="center"/>
    </xf>
    <xf numFmtId="178" fontId="35" fillId="15" borderId="40" xfId="4" applyNumberFormat="1" applyFont="1" applyFill="1" applyBorder="1" applyAlignment="1">
      <alignment horizontal="center" vertical="center"/>
    </xf>
    <xf numFmtId="184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 wrapText="1"/>
    </xf>
    <xf numFmtId="178" fontId="35" fillId="0" borderId="40" xfId="4" applyNumberFormat="1" applyFont="1" applyBorder="1" applyAlignment="1">
      <alignment horizontal="center" vertical="center"/>
    </xf>
    <xf numFmtId="183" fontId="35" fillId="3" borderId="36" xfId="4" applyNumberFormat="1" applyFont="1" applyFill="1" applyBorder="1" applyAlignment="1">
      <alignment horizontal="center" vertical="center"/>
    </xf>
    <xf numFmtId="0" fontId="35" fillId="3" borderId="36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/>
    </xf>
    <xf numFmtId="0" fontId="35" fillId="0" borderId="3" xfId="4" applyFont="1" applyBorder="1" applyAlignment="1">
      <alignment horizontal="center"/>
    </xf>
    <xf numFmtId="0" fontId="35" fillId="0" borderId="3" xfId="160" applyFont="1" applyBorder="1" applyAlignment="1"/>
    <xf numFmtId="0" fontId="35" fillId="0" borderId="1" xfId="160" applyFont="1" applyBorder="1" applyAlignment="1"/>
    <xf numFmtId="43" fontId="35" fillId="0" borderId="2" xfId="286" applyFont="1" applyBorder="1" applyAlignment="1">
      <alignment horizontal="center" vertical="center"/>
    </xf>
    <xf numFmtId="1" fontId="35" fillId="4" borderId="53" xfId="4" applyNumberFormat="1" applyFont="1" applyFill="1" applyBorder="1" applyAlignment="1">
      <alignment horizontal="center" vertical="center"/>
    </xf>
    <xf numFmtId="178" fontId="35" fillId="0" borderId="2" xfId="4" applyNumberFormat="1" applyFont="1" applyBorder="1" applyAlignment="1">
      <alignment horizontal="center" vertical="center"/>
    </xf>
    <xf numFmtId="1" fontId="35" fillId="4" borderId="2" xfId="4" applyNumberFormat="1" applyFont="1" applyFill="1" applyBorder="1" applyAlignment="1">
      <alignment horizontal="center" vertical="center"/>
    </xf>
    <xf numFmtId="184" fontId="35" fillId="0" borderId="2" xfId="4" applyNumberFormat="1" applyFont="1" applyBorder="1" applyAlignment="1">
      <alignment horizontal="center" vertical="center"/>
    </xf>
    <xf numFmtId="180" fontId="35" fillId="0" borderId="2" xfId="341" applyNumberFormat="1" applyFont="1" applyBorder="1" applyAlignment="1">
      <alignment horizontal="center" vertical="center"/>
    </xf>
    <xf numFmtId="185" fontId="35" fillId="0" borderId="2" xfId="4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 wrapText="1"/>
    </xf>
    <xf numFmtId="183" fontId="35" fillId="0" borderId="53" xfId="4" applyNumberFormat="1" applyFont="1" applyBorder="1" applyAlignment="1">
      <alignment horizontal="center" vertical="center"/>
    </xf>
    <xf numFmtId="180" fontId="35" fillId="0" borderId="53" xfId="341" applyNumberFormat="1" applyFont="1" applyBorder="1" applyAlignment="1">
      <alignment horizontal="center" vertical="center"/>
    </xf>
    <xf numFmtId="1" fontId="35" fillId="4" borderId="55" xfId="4" applyNumberFormat="1" applyFont="1" applyFill="1" applyBorder="1" applyAlignment="1">
      <alignment horizontal="center" vertical="center"/>
    </xf>
    <xf numFmtId="1" fontId="35" fillId="0" borderId="31" xfId="4" applyNumberFormat="1" applyFont="1" applyBorder="1" applyAlignment="1">
      <alignment horizontal="center" vertical="center"/>
    </xf>
    <xf numFmtId="178" fontId="35" fillId="0" borderId="31" xfId="4" applyNumberFormat="1" applyFont="1" applyBorder="1" applyAlignment="1">
      <alignment horizontal="center" vertical="center"/>
    </xf>
    <xf numFmtId="20" fontId="35" fillId="0" borderId="2" xfId="4" applyNumberFormat="1" applyFont="1" applyBorder="1" applyAlignment="1">
      <alignment horizontal="center" vertical="center"/>
    </xf>
    <xf numFmtId="0" fontId="35" fillId="0" borderId="44" xfId="4" applyFont="1" applyBorder="1" applyAlignment="1">
      <alignment horizontal="center"/>
    </xf>
    <xf numFmtId="0" fontId="35" fillId="14" borderId="44" xfId="160" applyFont="1" applyFill="1" applyBorder="1" applyAlignment="1"/>
    <xf numFmtId="0" fontId="35" fillId="0" borderId="1" xfId="4" applyFont="1" applyBorder="1" applyAlignment="1">
      <alignment horizontal="center"/>
    </xf>
    <xf numFmtId="0" fontId="17" fillId="0" borderId="2" xfId="1" applyFont="1" applyBorder="1" applyAlignment="1">
      <alignment horizontal="center" vertical="center"/>
    </xf>
    <xf numFmtId="1" fontId="35" fillId="15" borderId="2" xfId="4" applyNumberFormat="1" applyFont="1" applyFill="1" applyBorder="1" applyAlignment="1">
      <alignment horizontal="center" vertical="center"/>
    </xf>
    <xf numFmtId="43" fontId="35" fillId="15" borderId="2" xfId="286" applyFont="1" applyFill="1" applyBorder="1" applyAlignment="1">
      <alignment horizontal="center" vertical="center"/>
    </xf>
    <xf numFmtId="0" fontId="35" fillId="15" borderId="2" xfId="4" applyFont="1" applyFill="1" applyBorder="1" applyAlignment="1">
      <alignment horizontal="center" vertical="center"/>
    </xf>
    <xf numFmtId="178" fontId="35" fillId="15" borderId="2" xfId="4" applyNumberFormat="1" applyFont="1" applyFill="1" applyBorder="1" applyAlignment="1">
      <alignment horizontal="center" vertical="center"/>
    </xf>
    <xf numFmtId="180" fontId="35" fillId="0" borderId="2" xfId="341" applyNumberFormat="1" applyFont="1" applyFill="1" applyBorder="1" applyAlignment="1">
      <alignment horizontal="center" vertical="center"/>
    </xf>
    <xf numFmtId="183" fontId="35" fillId="3" borderId="2" xfId="4" applyNumberFormat="1" applyFont="1" applyFill="1" applyBorder="1" applyAlignment="1">
      <alignment horizontal="center" vertical="center"/>
    </xf>
    <xf numFmtId="0" fontId="35" fillId="3" borderId="2" xfId="4" applyFont="1" applyFill="1" applyBorder="1" applyAlignment="1">
      <alignment horizontal="center" vertical="center"/>
    </xf>
    <xf numFmtId="183" fontId="35" fillId="0" borderId="55" xfId="4" applyNumberFormat="1" applyFont="1" applyBorder="1" applyAlignment="1">
      <alignment horizontal="center" vertical="center"/>
    </xf>
    <xf numFmtId="180" fontId="35" fillId="0" borderId="55" xfId="341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/>
    </xf>
    <xf numFmtId="0" fontId="35" fillId="14" borderId="60" xfId="160" applyFont="1" applyFill="1" applyBorder="1" applyAlignment="1"/>
    <xf numFmtId="0" fontId="35" fillId="0" borderId="61" xfId="160" applyFont="1" applyBorder="1" applyAlignment="1"/>
    <xf numFmtId="43" fontId="35" fillId="0" borderId="31" xfId="286" applyFont="1" applyBorder="1" applyAlignment="1">
      <alignment horizontal="center" vertical="center"/>
    </xf>
    <xf numFmtId="1" fontId="35" fillId="4" borderId="31" xfId="4" applyNumberFormat="1" applyFont="1" applyFill="1" applyBorder="1" applyAlignment="1">
      <alignment horizontal="center" vertical="center"/>
    </xf>
    <xf numFmtId="1" fontId="35" fillId="0" borderId="46" xfId="4" applyNumberFormat="1" applyFont="1" applyBorder="1" applyAlignment="1">
      <alignment horizontal="center" vertical="center"/>
    </xf>
    <xf numFmtId="178" fontId="35" fillId="0" borderId="46" xfId="4" applyNumberFormat="1" applyFont="1" applyBorder="1" applyAlignment="1">
      <alignment horizontal="center" vertical="center"/>
    </xf>
    <xf numFmtId="183" fontId="35" fillId="0" borderId="46" xfId="4" applyNumberFormat="1" applyFont="1" applyBorder="1" applyAlignment="1">
      <alignment horizontal="center" vertical="center"/>
    </xf>
    <xf numFmtId="184" fontId="35" fillId="0" borderId="46" xfId="4" applyNumberFormat="1" applyFont="1" applyBorder="1" applyAlignment="1">
      <alignment horizontal="center" vertical="center"/>
    </xf>
    <xf numFmtId="185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 wrapText="1"/>
    </xf>
    <xf numFmtId="180" fontId="35" fillId="0" borderId="59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/>
    </xf>
    <xf numFmtId="0" fontId="35" fillId="0" borderId="49" xfId="4" applyFont="1" applyBorder="1" applyAlignment="1">
      <alignment horizontal="center"/>
    </xf>
    <xf numFmtId="20" fontId="35" fillId="0" borderId="2" xfId="160" applyNumberFormat="1" applyFont="1" applyBorder="1" applyAlignment="1">
      <alignment horizontal="center" vertical="center"/>
    </xf>
    <xf numFmtId="183" fontId="35" fillId="0" borderId="2" xfId="160" applyNumberFormat="1" applyFont="1" applyBorder="1" applyAlignment="1">
      <alignment horizontal="center" vertical="center"/>
    </xf>
    <xf numFmtId="180" fontId="35" fillId="0" borderId="44" xfId="341" applyNumberFormat="1" applyFont="1" applyBorder="1" applyAlignment="1">
      <alignment horizontal="center" vertical="center"/>
    </xf>
    <xf numFmtId="0" fontId="35" fillId="0" borderId="48" xfId="4" applyFont="1" applyBorder="1" applyAlignment="1">
      <alignment horizontal="center" vertical="center"/>
    </xf>
    <xf numFmtId="1" fontId="35" fillId="14" borderId="39" xfId="4" applyNumberFormat="1" applyFont="1" applyFill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 vertical="center"/>
    </xf>
    <xf numFmtId="180" fontId="35" fillId="0" borderId="50" xfId="341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/>
    </xf>
    <xf numFmtId="1" fontId="35" fillId="4" borderId="7" xfId="197" applyNumberFormat="1" applyFont="1" applyFill="1" applyBorder="1" applyAlignment="1">
      <alignment horizontal="center" vertical="center"/>
    </xf>
    <xf numFmtId="1" fontId="35" fillId="0" borderId="7" xfId="197" applyNumberFormat="1" applyFont="1" applyBorder="1" applyAlignment="1">
      <alignment horizontal="center" vertical="center"/>
    </xf>
    <xf numFmtId="178" fontId="35" fillId="0" borderId="7" xfId="4" applyNumberFormat="1" applyFont="1" applyBorder="1" applyAlignment="1">
      <alignment horizontal="center" vertical="center"/>
    </xf>
    <xf numFmtId="183" fontId="35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31" xfId="136" applyFont="1" applyBorder="1" applyAlignment="1">
      <alignment horizontal="center" vertical="center"/>
    </xf>
    <xf numFmtId="1" fontId="4" fillId="4" borderId="31" xfId="136" applyNumberFormat="1" applyFont="1" applyFill="1" applyBorder="1" applyAlignment="1">
      <alignment horizontal="center" vertical="center"/>
    </xf>
    <xf numFmtId="1" fontId="4" fillId="0" borderId="31" xfId="136" applyNumberFormat="1" applyFont="1" applyBorder="1" applyAlignment="1">
      <alignment horizontal="center" vertical="center"/>
    </xf>
    <xf numFmtId="178" fontId="4" fillId="0" borderId="31" xfId="136" applyNumberFormat="1" applyFont="1" applyBorder="1" applyAlignment="1">
      <alignment horizontal="center" vertical="center"/>
    </xf>
    <xf numFmtId="184" fontId="35" fillId="0" borderId="31" xfId="4" applyNumberFormat="1" applyFont="1" applyBorder="1" applyAlignment="1">
      <alignment horizontal="center" vertical="center"/>
    </xf>
    <xf numFmtId="180" fontId="35" fillId="0" borderId="61" xfId="341" applyNumberFormat="1" applyFont="1" applyBorder="1" applyAlignment="1">
      <alignment horizontal="center" vertical="center"/>
    </xf>
    <xf numFmtId="185" fontId="4" fillId="0" borderId="31" xfId="136" applyNumberFormat="1" applyFont="1" applyBorder="1" applyAlignment="1">
      <alignment horizontal="center" vertical="center"/>
    </xf>
    <xf numFmtId="0" fontId="35" fillId="14" borderId="39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7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0" fontId="35" fillId="0" borderId="50" xfId="4" applyFont="1" applyBorder="1" applyAlignment="1">
      <alignment horizontal="center"/>
    </xf>
    <xf numFmtId="183" fontId="35" fillId="0" borderId="61" xfId="4" applyNumberFormat="1" applyFont="1" applyBorder="1" applyAlignment="1">
      <alignment horizontal="center" vertical="center"/>
    </xf>
    <xf numFmtId="180" fontId="35" fillId="0" borderId="46" xfId="341" applyNumberFormat="1" applyFont="1" applyFill="1" applyBorder="1" applyAlignment="1">
      <alignment horizontal="center" vertical="center"/>
    </xf>
    <xf numFmtId="185" fontId="35" fillId="0" borderId="46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20" fontId="35" fillId="0" borderId="46" xfId="4" applyNumberFormat="1" applyFont="1" applyBorder="1" applyAlignment="1">
      <alignment horizontal="center" vertical="center"/>
    </xf>
    <xf numFmtId="183" fontId="35" fillId="0" borderId="44" xfId="4" applyNumberFormat="1" applyFont="1" applyBorder="1" applyAlignment="1">
      <alignment horizontal="center" vertical="center"/>
    </xf>
    <xf numFmtId="0" fontId="35" fillId="0" borderId="59" xfId="4" applyFont="1" applyBorder="1" applyAlignment="1">
      <alignment horizontal="center"/>
    </xf>
    <xf numFmtId="0" fontId="35" fillId="0" borderId="59" xfId="160" applyFont="1" applyBorder="1" applyAlignment="1"/>
    <xf numFmtId="183" fontId="35" fillId="0" borderId="47" xfId="4" applyNumberFormat="1" applyFont="1" applyBorder="1" applyAlignment="1">
      <alignment horizontal="center" vertical="center"/>
    </xf>
    <xf numFmtId="185" fontId="4" fillId="14" borderId="31" xfId="136" applyNumberFormat="1" applyFont="1" applyFill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1" fontId="35" fillId="4" borderId="40" xfId="4" applyNumberFormat="1" applyFont="1" applyFill="1" applyBorder="1" applyAlignment="1">
      <alignment horizontal="center" vertical="center"/>
    </xf>
    <xf numFmtId="0" fontId="35" fillId="0" borderId="39" xfId="4" applyFont="1" applyBorder="1" applyAlignment="1">
      <alignment horizontal="center"/>
    </xf>
    <xf numFmtId="1" fontId="35" fillId="15" borderId="46" xfId="4" applyNumberFormat="1" applyFont="1" applyFill="1" applyBorder="1" applyAlignment="1">
      <alignment horizontal="center" vertical="center"/>
    </xf>
    <xf numFmtId="43" fontId="35" fillId="15" borderId="39" xfId="286" applyFont="1" applyFill="1" applyBorder="1" applyAlignment="1">
      <alignment horizontal="center" vertical="center"/>
    </xf>
    <xf numFmtId="178" fontId="35" fillId="15" borderId="39" xfId="4" applyNumberFormat="1" applyFont="1" applyFill="1" applyBorder="1" applyAlignment="1">
      <alignment horizontal="center" vertical="center"/>
    </xf>
    <xf numFmtId="180" fontId="35" fillId="0" borderId="39" xfId="341" applyNumberFormat="1" applyFont="1" applyFill="1" applyBorder="1" applyAlignment="1">
      <alignment horizontal="center" vertical="center"/>
    </xf>
    <xf numFmtId="0" fontId="35" fillId="0" borderId="48" xfId="160" applyFont="1" applyBorder="1" applyAlignment="1"/>
    <xf numFmtId="1" fontId="35" fillId="0" borderId="55" xfId="4" applyNumberFormat="1" applyFont="1" applyBorder="1" applyAlignment="1">
      <alignment horizontal="center" vertical="center"/>
    </xf>
    <xf numFmtId="0" fontId="35" fillId="0" borderId="62" xfId="4" applyFont="1" applyBorder="1" applyAlignment="1">
      <alignment horizontal="center"/>
    </xf>
    <xf numFmtId="0" fontId="35" fillId="0" borderId="62" xfId="160" applyFont="1" applyBorder="1" applyAlignment="1"/>
    <xf numFmtId="0" fontId="35" fillId="0" borderId="63" xfId="160" applyFont="1" applyBorder="1" applyAlignment="1"/>
    <xf numFmtId="1" fontId="35" fillId="4" borderId="2" xfId="197" applyNumberFormat="1" applyFont="1" applyFill="1" applyBorder="1" applyAlignment="1">
      <alignment horizontal="center" vertical="center"/>
    </xf>
    <xf numFmtId="1" fontId="35" fillId="0" borderId="2" xfId="197" applyNumberFormat="1" applyFont="1" applyBorder="1" applyAlignment="1">
      <alignment horizontal="center" vertical="center"/>
    </xf>
    <xf numFmtId="20" fontId="35" fillId="0" borderId="39" xfId="160" applyNumberFormat="1" applyFont="1" applyBorder="1" applyAlignment="1">
      <alignment horizontal="center" vertical="center"/>
    </xf>
    <xf numFmtId="178" fontId="35" fillId="0" borderId="63" xfId="4" applyNumberFormat="1" applyFont="1" applyBorder="1" applyAlignment="1">
      <alignment horizontal="center" vertical="center"/>
    </xf>
    <xf numFmtId="184" fontId="35" fillId="0" borderId="55" xfId="4" applyNumberFormat="1" applyFont="1" applyBorder="1" applyAlignment="1">
      <alignment horizontal="center" vertical="center"/>
    </xf>
    <xf numFmtId="178" fontId="35" fillId="0" borderId="1" xfId="4" applyNumberFormat="1" applyFont="1" applyBorder="1" applyAlignment="1">
      <alignment horizontal="center" vertical="center"/>
    </xf>
    <xf numFmtId="178" fontId="35" fillId="15" borderId="6" xfId="4" applyNumberFormat="1" applyFont="1" applyFill="1" applyBorder="1" applyAlignment="1">
      <alignment horizontal="center" vertical="center"/>
    </xf>
    <xf numFmtId="0" fontId="4" fillId="0" borderId="48" xfId="160" applyFont="1" applyBorder="1" applyAlignment="1"/>
    <xf numFmtId="180" fontId="35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5" fillId="14" borderId="36" xfId="4" applyFont="1" applyFill="1" applyBorder="1" applyAlignment="1">
      <alignment horizontal="center" vertical="center"/>
    </xf>
    <xf numFmtId="20" fontId="35" fillId="0" borderId="55" xfId="4" applyNumberFormat="1" applyFont="1" applyBorder="1" applyAlignment="1">
      <alignment horizontal="center" vertical="center"/>
    </xf>
    <xf numFmtId="0" fontId="35" fillId="0" borderId="36" xfId="4" applyFont="1" applyBorder="1" applyAlignment="1">
      <alignment horizontal="center" vertical="center"/>
    </xf>
    <xf numFmtId="1" fontId="35" fillId="4" borderId="36" xfId="4" applyNumberFormat="1" applyFont="1" applyFill="1" applyBorder="1" applyAlignment="1">
      <alignment horizontal="center" vertical="center"/>
    </xf>
    <xf numFmtId="1" fontId="35" fillId="0" borderId="36" xfId="4" applyNumberFormat="1" applyFont="1" applyBorder="1" applyAlignment="1">
      <alignment horizontal="center" vertical="center"/>
    </xf>
    <xf numFmtId="178" fontId="35" fillId="0" borderId="36" xfId="4" applyNumberFormat="1" applyFont="1" applyBorder="1" applyAlignment="1">
      <alignment horizontal="center" vertical="center"/>
    </xf>
    <xf numFmtId="183" fontId="35" fillId="0" borderId="36" xfId="4" applyNumberFormat="1" applyFont="1" applyBorder="1" applyAlignment="1">
      <alignment horizontal="center" vertical="center"/>
    </xf>
    <xf numFmtId="184" fontId="35" fillId="0" borderId="36" xfId="4" applyNumberFormat="1" applyFont="1" applyBorder="1" applyAlignment="1">
      <alignment horizontal="center" vertical="center"/>
    </xf>
    <xf numFmtId="0" fontId="35" fillId="0" borderId="50" xfId="4" applyFont="1" applyBorder="1" applyAlignment="1">
      <alignment horizontal="center" vertical="center"/>
    </xf>
    <xf numFmtId="0" fontId="35" fillId="0" borderId="1" xfId="4" applyFont="1" applyBorder="1" applyAlignment="1">
      <alignment horizontal="center" vertical="center"/>
    </xf>
    <xf numFmtId="180" fontId="35" fillId="0" borderId="51" xfId="341" applyNumberFormat="1" applyFont="1" applyBorder="1" applyAlignment="1">
      <alignment horizontal="center" vertical="center"/>
    </xf>
    <xf numFmtId="20" fontId="35" fillId="0" borderId="40" xfId="160" applyNumberFormat="1" applyFont="1" applyBorder="1" applyAlignment="1">
      <alignment horizontal="center" vertical="center"/>
    </xf>
    <xf numFmtId="1" fontId="35" fillId="0" borderId="3" xfId="4" applyNumberFormat="1" applyFont="1" applyBorder="1" applyAlignment="1">
      <alignment horizontal="center" vertical="center"/>
    </xf>
    <xf numFmtId="0" fontId="35" fillId="4" borderId="1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/>
    </xf>
    <xf numFmtId="43" fontId="35" fillId="15" borderId="7" xfId="286" applyFont="1" applyFill="1" applyBorder="1" applyAlignment="1">
      <alignment horizontal="center" vertical="center"/>
    </xf>
    <xf numFmtId="1" fontId="35" fillId="15" borderId="7" xfId="4" applyNumberFormat="1" applyFont="1" applyFill="1" applyBorder="1" applyAlignment="1">
      <alignment horizontal="center" vertical="center"/>
    </xf>
    <xf numFmtId="178" fontId="35" fillId="15" borderId="7" xfId="4" applyNumberFormat="1" applyFont="1" applyFill="1" applyBorder="1" applyAlignment="1">
      <alignment horizontal="center" vertical="center"/>
    </xf>
    <xf numFmtId="183" fontId="35" fillId="0" borderId="7" xfId="4" applyNumberFormat="1" applyFont="1" applyBorder="1" applyAlignment="1">
      <alignment horizontal="center" vertical="center"/>
    </xf>
    <xf numFmtId="184" fontId="35" fillId="0" borderId="7" xfId="4" applyNumberFormat="1" applyFont="1" applyBorder="1" applyAlignment="1">
      <alignment horizontal="center" vertical="center"/>
    </xf>
    <xf numFmtId="180" fontId="35" fillId="0" borderId="7" xfId="341" applyNumberFormat="1" applyFont="1" applyFill="1" applyBorder="1" applyAlignment="1">
      <alignment horizontal="center" vertical="center"/>
    </xf>
    <xf numFmtId="0" fontId="35" fillId="14" borderId="3" xfId="4" applyFont="1" applyFill="1" applyBorder="1" applyAlignment="1">
      <alignment horizontal="center"/>
    </xf>
    <xf numFmtId="0" fontId="35" fillId="14" borderId="3" xfId="160" applyFont="1" applyFill="1" applyBorder="1" applyAlignment="1"/>
    <xf numFmtId="1" fontId="35" fillId="14" borderId="2" xfId="4" applyNumberFormat="1" applyFont="1" applyFill="1" applyBorder="1" applyAlignment="1">
      <alignment horizontal="center" vertical="center"/>
    </xf>
    <xf numFmtId="43" fontId="35" fillId="14" borderId="39" xfId="286" applyFont="1" applyFill="1" applyBorder="1" applyAlignment="1">
      <alignment horizontal="center" vertical="center"/>
    </xf>
    <xf numFmtId="185" fontId="35" fillId="14" borderId="2" xfId="4" applyNumberFormat="1" applyFont="1" applyFill="1" applyBorder="1" applyAlignment="1">
      <alignment horizontal="center" vertical="center"/>
    </xf>
    <xf numFmtId="0" fontId="35" fillId="14" borderId="2" xfId="4" applyFont="1" applyFill="1" applyBorder="1" applyAlignment="1">
      <alignment horizontal="center" vertical="center"/>
    </xf>
    <xf numFmtId="183" fontId="35" fillId="14" borderId="2" xfId="4" applyNumberFormat="1" applyFont="1" applyFill="1" applyBorder="1" applyAlignment="1">
      <alignment horizontal="center" vertical="center"/>
    </xf>
    <xf numFmtId="180" fontId="35" fillId="14" borderId="2" xfId="341" applyNumberFormat="1" applyFont="1" applyFill="1" applyBorder="1" applyAlignment="1">
      <alignment horizontal="center" vertical="center"/>
    </xf>
    <xf numFmtId="0" fontId="35" fillId="14" borderId="0" xfId="4" applyFont="1" applyFill="1">
      <alignment vertical="center"/>
    </xf>
    <xf numFmtId="20" fontId="35" fillId="0" borderId="39" xfId="197" applyNumberFormat="1" applyFont="1" applyBorder="1" applyAlignment="1">
      <alignment horizontal="center" vertical="center"/>
    </xf>
    <xf numFmtId="183" fontId="35" fillId="0" borderId="2" xfId="197" applyNumberFormat="1" applyFont="1" applyBorder="1" applyAlignment="1">
      <alignment horizontal="center" vertical="center"/>
    </xf>
    <xf numFmtId="183" fontId="35" fillId="0" borderId="39" xfId="197" applyNumberFormat="1" applyFont="1" applyBorder="1" applyAlignment="1">
      <alignment horizontal="center" vertical="center"/>
    </xf>
    <xf numFmtId="0" fontId="35" fillId="0" borderId="0" xfId="197" applyFont="1">
      <alignment vertical="center"/>
    </xf>
    <xf numFmtId="20" fontId="35" fillId="0" borderId="40" xfId="197" applyNumberFormat="1" applyFont="1" applyBorder="1" applyAlignment="1">
      <alignment horizontal="center" vertical="center"/>
    </xf>
    <xf numFmtId="20" fontId="35" fillId="0" borderId="2" xfId="197" applyNumberFormat="1" applyFont="1" applyBorder="1" applyAlignment="1">
      <alignment horizontal="center" vertical="center"/>
    </xf>
    <xf numFmtId="0" fontId="35" fillId="0" borderId="2" xfId="197" applyFont="1" applyBorder="1" applyAlignment="1">
      <alignment horizontal="center" vertical="center"/>
    </xf>
    <xf numFmtId="0" fontId="35" fillId="0" borderId="55" xfId="197" applyFont="1" applyBorder="1" applyAlignment="1">
      <alignment horizontal="center" vertical="center"/>
    </xf>
    <xf numFmtId="0" fontId="35" fillId="0" borderId="3" xfId="197" applyFont="1" applyBorder="1" applyAlignment="1">
      <alignment horizontal="center" vertical="center"/>
    </xf>
    <xf numFmtId="1" fontId="35" fillId="4" borderId="46" xfId="4" applyNumberFormat="1" applyFont="1" applyFill="1" applyBorder="1" applyAlignment="1">
      <alignment horizontal="center" vertical="center"/>
    </xf>
    <xf numFmtId="178" fontId="35" fillId="0" borderId="2" xfId="197" applyNumberFormat="1" applyFont="1" applyBorder="1" applyAlignment="1">
      <alignment horizontal="center" vertical="center"/>
    </xf>
    <xf numFmtId="43" fontId="35" fillId="0" borderId="40" xfId="286" applyFont="1" applyBorder="1" applyAlignment="1">
      <alignment horizontal="center" vertical="center"/>
    </xf>
    <xf numFmtId="185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5" fillId="4" borderId="46" xfId="4" applyFont="1" applyFill="1" applyBorder="1" applyAlignment="1">
      <alignment horizontal="center" vertical="center"/>
    </xf>
    <xf numFmtId="1" fontId="35" fillId="0" borderId="44" xfId="4" applyNumberFormat="1" applyFont="1" applyBorder="1" applyAlignment="1">
      <alignment horizontal="center" vertical="center"/>
    </xf>
    <xf numFmtId="43" fontId="35" fillId="0" borderId="66" xfId="286" applyFont="1" applyBorder="1" applyAlignment="1">
      <alignment horizontal="center" vertical="center"/>
    </xf>
    <xf numFmtId="1" fontId="35" fillId="0" borderId="3" xfId="197" applyNumberFormat="1" applyFont="1" applyBorder="1" applyAlignment="1">
      <alignment horizontal="center" vertical="center"/>
    </xf>
    <xf numFmtId="0" fontId="35" fillId="15" borderId="67" xfId="4" applyFont="1" applyFill="1" applyBorder="1" applyAlignment="1"/>
    <xf numFmtId="0" fontId="35" fillId="15" borderId="52" xfId="4" applyFont="1" applyFill="1" applyBorder="1" applyAlignment="1"/>
    <xf numFmtId="1" fontId="35" fillId="15" borderId="39" xfId="4" applyNumberFormat="1" applyFont="1" applyFill="1" applyBorder="1" applyAlignment="1">
      <alignment horizontal="center" vertical="center"/>
    </xf>
    <xf numFmtId="43" fontId="35" fillId="15" borderId="46" xfId="286" applyFont="1" applyFill="1" applyBorder="1" applyAlignment="1">
      <alignment horizontal="center" vertical="center"/>
    </xf>
    <xf numFmtId="0" fontId="35" fillId="15" borderId="39" xfId="4" applyFont="1" applyFill="1" applyBorder="1" applyAlignment="1">
      <alignment horizontal="center" vertical="center"/>
    </xf>
    <xf numFmtId="178" fontId="35" fillId="0" borderId="55" xfId="4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 wrapText="1"/>
    </xf>
    <xf numFmtId="43" fontId="35" fillId="0" borderId="50" xfId="286" applyFont="1" applyBorder="1" applyAlignment="1">
      <alignment horizontal="center" vertical="center"/>
    </xf>
    <xf numFmtId="0" fontId="35" fillId="15" borderId="31" xfId="4" applyFont="1" applyFill="1" applyBorder="1" applyAlignment="1">
      <alignment horizontal="center" vertical="center"/>
    </xf>
    <xf numFmtId="1" fontId="35" fillId="15" borderId="31" xfId="4" applyNumberFormat="1" applyFont="1" applyFill="1" applyBorder="1" applyAlignment="1">
      <alignment horizontal="center" vertical="center"/>
    </xf>
    <xf numFmtId="178" fontId="35" fillId="15" borderId="31" xfId="4" applyNumberFormat="1" applyFont="1" applyFill="1" applyBorder="1" applyAlignment="1">
      <alignment horizontal="center" vertical="center"/>
    </xf>
    <xf numFmtId="180" fontId="35" fillId="0" borderId="61" xfId="341" applyNumberFormat="1" applyFont="1" applyFill="1" applyBorder="1" applyAlignment="1">
      <alignment horizontal="center" vertical="center"/>
    </xf>
    <xf numFmtId="43" fontId="35" fillId="0" borderId="46" xfId="286" applyFont="1" applyBorder="1" applyAlignment="1">
      <alignment horizontal="center" vertical="center"/>
    </xf>
    <xf numFmtId="185" fontId="35" fillId="0" borderId="47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 wrapText="1"/>
    </xf>
    <xf numFmtId="0" fontId="35" fillId="0" borderId="2" xfId="160" applyFont="1" applyBorder="1" applyAlignment="1"/>
    <xf numFmtId="0" fontId="35" fillId="14" borderId="46" xfId="4" applyFont="1" applyFill="1" applyBorder="1" applyAlignment="1">
      <alignment horizontal="center" vertical="center"/>
    </xf>
    <xf numFmtId="0" fontId="35" fillId="14" borderId="68" xfId="4" applyFont="1" applyFill="1" applyBorder="1" applyAlignment="1">
      <alignment horizontal="center" vertical="center"/>
    </xf>
    <xf numFmtId="0" fontId="35" fillId="0" borderId="49" xfId="160" applyFont="1" applyBorder="1" applyAlignment="1"/>
    <xf numFmtId="185" fontId="35" fillId="0" borderId="50" xfId="4" applyNumberFormat="1" applyFont="1" applyBorder="1" applyAlignment="1">
      <alignment horizontal="center" vertical="center"/>
    </xf>
    <xf numFmtId="0" fontId="35" fillId="14" borderId="3" xfId="4" applyFont="1" applyFill="1" applyBorder="1" applyAlignment="1">
      <alignment horizontal="center" vertical="center"/>
    </xf>
    <xf numFmtId="0" fontId="35" fillId="0" borderId="45" xfId="160" applyFont="1" applyBorder="1" applyAlignment="1"/>
    <xf numFmtId="0" fontId="35" fillId="0" borderId="0" xfId="4" applyFont="1" applyAlignment="1">
      <alignment horizontal="center" vertical="center"/>
    </xf>
    <xf numFmtId="0" fontId="35" fillId="0" borderId="0" xfId="160" applyFont="1" applyAlignment="1"/>
    <xf numFmtId="0" fontId="35" fillId="0" borderId="7" xfId="4" applyFont="1" applyBorder="1" applyAlignment="1">
      <alignment horizontal="center"/>
    </xf>
    <xf numFmtId="180" fontId="35" fillId="0" borderId="6" xfId="341" applyNumberFormat="1" applyFont="1" applyFill="1" applyBorder="1" applyAlignment="1">
      <alignment horizontal="center" vertical="center"/>
    </xf>
    <xf numFmtId="180" fontId="35" fillId="0" borderId="68" xfId="341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/>
    </xf>
    <xf numFmtId="185" fontId="35" fillId="0" borderId="51" xfId="4" applyNumberFormat="1" applyFont="1" applyBorder="1" applyAlignment="1">
      <alignment horizontal="center" vertical="center"/>
    </xf>
    <xf numFmtId="1" fontId="35" fillId="4" borderId="1" xfId="197" applyNumberFormat="1" applyFont="1" applyFill="1" applyBorder="1" applyAlignment="1">
      <alignment horizontal="center" vertical="center"/>
    </xf>
    <xf numFmtId="183" fontId="35" fillId="0" borderId="51" xfId="4" applyNumberFormat="1" applyFont="1" applyBorder="1" applyAlignment="1">
      <alignment horizontal="center" vertical="center"/>
    </xf>
    <xf numFmtId="183" fontId="35" fillId="0" borderId="40" xfId="197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 wrapText="1"/>
    </xf>
    <xf numFmtId="0" fontId="35" fillId="0" borderId="40" xfId="197" applyFont="1" applyBorder="1" applyAlignment="1">
      <alignment horizontal="center" vertical="center" wrapText="1"/>
    </xf>
    <xf numFmtId="0" fontId="35" fillId="0" borderId="36" xfId="4" applyFont="1" applyBorder="1" applyAlignment="1">
      <alignment horizontal="center"/>
    </xf>
    <xf numFmtId="0" fontId="17" fillId="0" borderId="36" xfId="1" applyFont="1" applyBorder="1" applyAlignment="1">
      <alignment horizontal="center" vertical="center"/>
    </xf>
    <xf numFmtId="1" fontId="35" fillId="15" borderId="36" xfId="4" applyNumberFormat="1" applyFont="1" applyFill="1" applyBorder="1" applyAlignment="1">
      <alignment horizontal="center" vertical="center"/>
    </xf>
    <xf numFmtId="178" fontId="35" fillId="15" borderId="36" xfId="4" applyNumberFormat="1" applyFont="1" applyFill="1" applyBorder="1" applyAlignment="1">
      <alignment horizontal="center" vertical="center"/>
    </xf>
    <xf numFmtId="180" fontId="35" fillId="0" borderId="50" xfId="341" applyNumberFormat="1" applyFont="1" applyFill="1" applyBorder="1" applyAlignment="1">
      <alignment horizontal="center" vertical="center"/>
    </xf>
    <xf numFmtId="185" fontId="35" fillId="0" borderId="36" xfId="4" applyNumberFormat="1" applyFont="1" applyBorder="1" applyAlignment="1">
      <alignment horizontal="center" vertical="center"/>
    </xf>
    <xf numFmtId="0" fontId="35" fillId="0" borderId="36" xfId="160" applyFont="1" applyBorder="1" applyAlignment="1"/>
    <xf numFmtId="0" fontId="35" fillId="0" borderId="2" xfId="4" applyFont="1" applyBorder="1" applyAlignment="1">
      <alignment horizontal="center" vertical="center"/>
    </xf>
    <xf numFmtId="0" fontId="35" fillId="0" borderId="0" xfId="4" applyFont="1" applyAlignment="1">
      <alignment vertical="center" wrapText="1"/>
    </xf>
    <xf numFmtId="0" fontId="35" fillId="0" borderId="2" xfId="4" applyFont="1" applyBorder="1">
      <alignment vertical="center"/>
    </xf>
    <xf numFmtId="0" fontId="14" fillId="0" borderId="70" xfId="97" applyFont="1" applyBorder="1" applyAlignment="1">
      <alignment vertical="center"/>
    </xf>
    <xf numFmtId="0" fontId="14" fillId="0" borderId="71" xfId="97" applyFont="1" applyBorder="1" applyAlignment="1">
      <alignment vertical="center"/>
    </xf>
    <xf numFmtId="0" fontId="14" fillId="0" borderId="2" xfId="97" applyFont="1" applyBorder="1" applyAlignment="1">
      <alignment vertical="center"/>
    </xf>
    <xf numFmtId="0" fontId="14" fillId="0" borderId="72" xfId="97" applyFont="1" applyBorder="1" applyAlignment="1">
      <alignment horizontal="left" vertical="center"/>
    </xf>
    <xf numFmtId="176" fontId="14" fillId="12" borderId="73" xfId="237" applyNumberFormat="1" applyFont="1" applyFill="1" applyBorder="1" applyAlignment="1">
      <alignment horizontal="center" vertical="center"/>
    </xf>
    <xf numFmtId="2" fontId="4" fillId="14" borderId="73" xfId="97" applyNumberFormat="1" applyFont="1" applyFill="1" applyBorder="1" applyAlignment="1">
      <alignment horizontal="center" vertical="center"/>
    </xf>
    <xf numFmtId="43" fontId="14" fillId="0" borderId="74" xfId="237" applyFont="1" applyBorder="1" applyAlignment="1">
      <alignment horizontal="center" vertical="center"/>
    </xf>
    <xf numFmtId="0" fontId="14" fillId="0" borderId="74" xfId="97" applyFont="1" applyBorder="1" applyAlignment="1">
      <alignment horizontal="center" vertical="center"/>
    </xf>
    <xf numFmtId="1" fontId="14" fillId="0" borderId="73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4" fillId="0" borderId="2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178" fontId="14" fillId="0" borderId="3" xfId="97" applyNumberFormat="1" applyFont="1" applyBorder="1" applyAlignment="1">
      <alignment horizontal="center" vertical="center"/>
    </xf>
    <xf numFmtId="2" fontId="45" fillId="0" borderId="3" xfId="97" applyNumberFormat="1" applyFont="1" applyBorder="1" applyAlignment="1">
      <alignment horizontal="center" vertical="center"/>
    </xf>
    <xf numFmtId="43" fontId="14" fillId="0" borderId="2" xfId="97" applyNumberFormat="1" applyFont="1" applyBorder="1" applyAlignment="1">
      <alignment horizontal="center" vertical="center"/>
    </xf>
    <xf numFmtId="0" fontId="14" fillId="0" borderId="2" xfId="97" applyFont="1" applyBorder="1" applyAlignment="1">
      <alignment horizontal="center" vertical="center"/>
    </xf>
    <xf numFmtId="0" fontId="1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8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7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5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64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64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7" xfId="97" applyFont="1" applyBorder="1" applyAlignment="1">
      <alignment horizontal="left" vertical="top"/>
    </xf>
    <xf numFmtId="0" fontId="4" fillId="0" borderId="88" xfId="97" applyFont="1" applyBorder="1" applyAlignment="1">
      <alignment horizontal="left" vertical="top"/>
    </xf>
    <xf numFmtId="0" fontId="4" fillId="0" borderId="37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9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89" xfId="97" applyFont="1" applyBorder="1" applyAlignment="1">
      <alignment horizontal="left" vertical="top"/>
    </xf>
    <xf numFmtId="0" fontId="4" fillId="0" borderId="36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48" xfId="97" applyFont="1" applyBorder="1" applyAlignment="1">
      <alignment horizontal="left" vertical="top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5" fontId="4" fillId="0" borderId="39" xfId="97" applyNumberFormat="1" applyFont="1" applyBorder="1" applyAlignment="1">
      <alignment horizontal="left" vertical="center"/>
    </xf>
    <xf numFmtId="0" fontId="4" fillId="0" borderId="91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7" xfId="97" applyFont="1" applyBorder="1" applyAlignment="1">
      <alignment vertical="top"/>
    </xf>
    <xf numFmtId="0" fontId="4" fillId="0" borderId="92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4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31" xfId="97" applyFont="1" applyBorder="1" applyAlignment="1">
      <alignment horizontal="center" vertical="center"/>
    </xf>
    <xf numFmtId="0" fontId="4" fillId="0" borderId="37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7" fillId="0" borderId="2" xfId="237" applyFont="1" applyBorder="1" applyAlignment="1">
      <alignment horizontal="center" vertical="center"/>
    </xf>
    <xf numFmtId="185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31" xfId="97" applyFont="1" applyFill="1" applyBorder="1" applyAlignment="1">
      <alignment horizontal="center" vertical="center"/>
    </xf>
    <xf numFmtId="0" fontId="4" fillId="0" borderId="88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4" fillId="0" borderId="2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28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0" fontId="4" fillId="9" borderId="29" xfId="1" applyFont="1" applyFill="1" applyBorder="1" applyAlignment="1">
      <alignment horizontal="center" vertical="center"/>
    </xf>
    <xf numFmtId="0" fontId="4" fillId="9" borderId="28" xfId="1" applyFont="1" applyFill="1" applyBorder="1" applyAlignment="1">
      <alignment horizontal="center" vertical="center"/>
    </xf>
    <xf numFmtId="0" fontId="4" fillId="9" borderId="30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textRotation="255"/>
    </xf>
    <xf numFmtId="0" fontId="4" fillId="0" borderId="21" xfId="1" applyFont="1" applyBorder="1" applyAlignment="1">
      <alignment horizontal="center" vertical="center" textRotation="255"/>
    </xf>
    <xf numFmtId="0" fontId="4" fillId="0" borderId="22" xfId="1" applyFont="1" applyBorder="1" applyAlignment="1">
      <alignment horizontal="center" vertical="center" textRotation="255"/>
    </xf>
    <xf numFmtId="0" fontId="4" fillId="0" borderId="20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17" fillId="8" borderId="17" xfId="2" applyFont="1" applyFill="1" applyBorder="1" applyAlignment="1">
      <alignment horizontal="center" vertical="center" wrapText="1"/>
    </xf>
    <xf numFmtId="0" fontId="17" fillId="8" borderId="5" xfId="2" applyFont="1" applyFill="1" applyBorder="1" applyAlignment="1">
      <alignment horizontal="center" vertical="center" wrapText="1"/>
    </xf>
    <xf numFmtId="0" fontId="17" fillId="8" borderId="19" xfId="2" applyFont="1" applyFill="1" applyBorder="1" applyAlignment="1">
      <alignment horizontal="center" vertical="center" wrapText="1"/>
    </xf>
    <xf numFmtId="0" fontId="17" fillId="8" borderId="11" xfId="2" applyFont="1" applyFill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3" applyNumberFormat="1" applyFont="1" applyFill="1" applyBorder="1" applyAlignment="1">
      <alignment horizontal="center" vertical="center"/>
    </xf>
    <xf numFmtId="178" fontId="13" fillId="7" borderId="1" xfId="3" applyNumberFormat="1" applyFont="1" applyFill="1" applyBorder="1" applyAlignment="1">
      <alignment horizontal="center" vertical="center"/>
    </xf>
    <xf numFmtId="179" fontId="13" fillId="7" borderId="3" xfId="3" applyNumberFormat="1" applyFont="1" applyFill="1" applyBorder="1" applyAlignment="1">
      <alignment horizontal="center" vertical="center"/>
    </xf>
    <xf numFmtId="179" fontId="13" fillId="7" borderId="1" xfId="3" applyNumberFormat="1" applyFont="1" applyFill="1" applyBorder="1" applyAlignment="1">
      <alignment horizontal="center" vertical="center"/>
    </xf>
    <xf numFmtId="180" fontId="13" fillId="0" borderId="3" xfId="5" applyNumberFormat="1" applyFont="1" applyFill="1" applyBorder="1" applyAlignment="1">
      <alignment horizontal="center" vertical="center"/>
    </xf>
    <xf numFmtId="180" fontId="13" fillId="0" borderId="1" xfId="5" applyNumberFormat="1" applyFont="1" applyFill="1" applyBorder="1" applyAlignment="1">
      <alignment horizontal="center" vertical="center"/>
    </xf>
    <xf numFmtId="178" fontId="5" fillId="0" borderId="3" xfId="3" applyNumberFormat="1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center" vertical="center"/>
    </xf>
    <xf numFmtId="179" fontId="5" fillId="0" borderId="3" xfId="3" applyNumberFormat="1" applyFont="1" applyBorder="1" applyAlignment="1">
      <alignment horizontal="center" vertical="center"/>
    </xf>
    <xf numFmtId="179" fontId="5" fillId="0" borderId="1" xfId="3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4" borderId="3" xfId="3" applyNumberFormat="1" applyFont="1" applyFill="1" applyBorder="1" applyAlignment="1">
      <alignment horizontal="center" vertical="center"/>
    </xf>
    <xf numFmtId="176" fontId="5" fillId="4" borderId="1" xfId="3" applyNumberFormat="1" applyFont="1" applyFill="1" applyBorder="1" applyAlignment="1">
      <alignment horizontal="center" vertical="center"/>
    </xf>
    <xf numFmtId="176" fontId="5" fillId="5" borderId="3" xfId="3" applyNumberFormat="1" applyFont="1" applyFill="1" applyBorder="1" applyAlignment="1">
      <alignment horizontal="center" vertical="center"/>
    </xf>
    <xf numFmtId="176" fontId="5" fillId="5" borderId="1" xfId="3" applyNumberFormat="1" applyFont="1" applyFill="1" applyBorder="1" applyAlignment="1">
      <alignment horizontal="center" vertical="center"/>
    </xf>
    <xf numFmtId="176" fontId="5" fillId="6" borderId="3" xfId="3" applyNumberFormat="1" applyFont="1" applyFill="1" applyBorder="1" applyAlignment="1">
      <alignment horizontal="center" vertical="center"/>
    </xf>
    <xf numFmtId="176" fontId="5" fillId="6" borderId="1" xfId="3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76" fontId="5" fillId="0" borderId="3" xfId="3" applyNumberFormat="1" applyFont="1" applyBorder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7" fontId="5" fillId="0" borderId="3" xfId="3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6" xfId="97" applyFont="1" applyFill="1" applyBorder="1" applyAlignment="1"/>
    <xf numFmtId="0" fontId="4" fillId="17" borderId="82" xfId="97" applyFont="1" applyFill="1" applyBorder="1" applyAlignment="1">
      <alignment horizontal="center" vertical="center" wrapText="1"/>
    </xf>
    <xf numFmtId="0" fontId="4" fillId="17" borderId="84" xfId="97" applyFont="1" applyFill="1" applyBorder="1" applyAlignment="1">
      <alignment horizontal="center" vertical="center" wrapText="1"/>
    </xf>
    <xf numFmtId="0" fontId="4" fillId="17" borderId="85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7" xfId="97" applyFont="1" applyFill="1" applyBorder="1" applyAlignment="1">
      <alignment horizontal="center" vertical="center" wrapText="1"/>
    </xf>
    <xf numFmtId="0" fontId="4" fillId="15" borderId="37" xfId="97" applyFont="1" applyFill="1" applyBorder="1" applyAlignment="1"/>
    <xf numFmtId="0" fontId="4" fillId="15" borderId="88" xfId="97" applyFont="1" applyFill="1" applyBorder="1" applyAlignment="1"/>
    <xf numFmtId="0" fontId="4" fillId="22" borderId="90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23" borderId="87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7" xfId="97" applyFont="1" applyBorder="1" applyAlignment="1"/>
    <xf numFmtId="0" fontId="4" fillId="8" borderId="87" xfId="97" applyFont="1" applyFill="1" applyBorder="1" applyAlignment="1">
      <alignment horizontal="center" vertical="center" wrapText="1"/>
    </xf>
    <xf numFmtId="0" fontId="4" fillId="8" borderId="87" xfId="97" applyFont="1" applyFill="1" applyBorder="1" applyAlignment="1">
      <alignment horizontal="center" vertical="center"/>
    </xf>
    <xf numFmtId="0" fontId="4" fillId="9" borderId="82" xfId="97" applyFont="1" applyFill="1" applyBorder="1" applyAlignment="1">
      <alignment horizontal="center" vertical="center" wrapText="1"/>
    </xf>
    <xf numFmtId="0" fontId="4" fillId="9" borderId="84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3" xfId="97" applyFont="1" applyFill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7" borderId="90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6" xfId="97" applyFont="1" applyFill="1" applyBorder="1" applyAlignment="1">
      <alignment horizontal="center" vertical="center" wrapText="1"/>
    </xf>
    <xf numFmtId="0" fontId="38" fillId="3" borderId="46" xfId="97" applyFont="1" applyFill="1" applyBorder="1" applyAlignment="1">
      <alignment horizontal="center" vertical="center"/>
    </xf>
    <xf numFmtId="0" fontId="4" fillId="4" borderId="84" xfId="97" applyFont="1" applyFill="1" applyBorder="1" applyAlignment="1">
      <alignment horizontal="center" vertical="center"/>
    </xf>
    <xf numFmtId="0" fontId="4" fillId="4" borderId="85" xfId="97" applyFont="1" applyFill="1" applyBorder="1" applyAlignment="1">
      <alignment horizontal="center" vertical="center"/>
    </xf>
    <xf numFmtId="0" fontId="4" fillId="4" borderId="83" xfId="97" applyFont="1" applyFill="1" applyBorder="1" applyAlignment="1">
      <alignment horizontal="center" vertical="center"/>
    </xf>
    <xf numFmtId="0" fontId="4" fillId="13" borderId="84" xfId="97" applyFont="1" applyFill="1" applyBorder="1" applyAlignment="1">
      <alignment horizontal="center" vertical="center" wrapText="1"/>
    </xf>
    <xf numFmtId="0" fontId="4" fillId="13" borderId="85" xfId="97" applyFont="1" applyFill="1" applyBorder="1" applyAlignment="1">
      <alignment horizontal="center" vertical="center" wrapText="1"/>
    </xf>
    <xf numFmtId="0" fontId="4" fillId="13" borderId="86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38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4" fillId="0" borderId="75" xfId="97" applyFont="1" applyBorder="1" applyAlignment="1">
      <alignment horizontal="center" vertical="center"/>
    </xf>
    <xf numFmtId="0" fontId="44" fillId="0" borderId="76" xfId="97" applyFont="1" applyBorder="1" applyAlignment="1">
      <alignment horizontal="center" vertical="center"/>
    </xf>
    <xf numFmtId="0" fontId="44" fillId="0" borderId="77" xfId="97" applyFont="1" applyBorder="1" applyAlignment="1">
      <alignment horizontal="center" vertical="center"/>
    </xf>
    <xf numFmtId="0" fontId="44" fillId="0" borderId="79" xfId="97" applyFont="1" applyBorder="1" applyAlignment="1">
      <alignment horizontal="center" vertical="center"/>
    </xf>
    <xf numFmtId="0" fontId="44" fillId="0" borderId="80" xfId="97" applyFont="1" applyBorder="1" applyAlignment="1">
      <alignment horizontal="center" vertical="center"/>
    </xf>
    <xf numFmtId="0" fontId="44" fillId="0" borderId="81" xfId="97" applyFont="1" applyBorder="1" applyAlignment="1">
      <alignment horizontal="center" vertical="center"/>
    </xf>
    <xf numFmtId="0" fontId="14" fillId="0" borderId="78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0" fontId="4" fillId="0" borderId="82" xfId="97" applyFont="1" applyBorder="1" applyAlignment="1">
      <alignment horizontal="center" vertical="center"/>
    </xf>
    <xf numFmtId="0" fontId="4" fillId="0" borderId="83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8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/>
    </xf>
    <xf numFmtId="0" fontId="35" fillId="15" borderId="2" xfId="4" applyFont="1" applyFill="1" applyBorder="1" applyAlignment="1"/>
    <xf numFmtId="0" fontId="35" fillId="0" borderId="2" xfId="4" applyFont="1" applyBorder="1" applyAlignment="1">
      <alignment horizontal="center" vertical="center"/>
    </xf>
    <xf numFmtId="0" fontId="41" fillId="7" borderId="2" xfId="4" applyFont="1" applyFill="1" applyBorder="1" applyAlignment="1">
      <alignment horizontal="center" vertical="center" wrapText="1"/>
    </xf>
    <xf numFmtId="180" fontId="35" fillId="0" borderId="2" xfId="341" applyNumberFormat="1" applyFont="1" applyBorder="1" applyAlignment="1">
      <alignment horizontal="center" vertical="center"/>
    </xf>
    <xf numFmtId="0" fontId="35" fillId="15" borderId="51" xfId="4" applyFont="1" applyFill="1" applyBorder="1" applyAlignment="1"/>
    <xf numFmtId="0" fontId="35" fillId="15" borderId="40" xfId="4" applyFont="1" applyFill="1" applyBorder="1" applyAlignment="1"/>
    <xf numFmtId="0" fontId="35" fillId="20" borderId="0" xfId="4" applyFont="1" applyFill="1" applyAlignment="1">
      <alignment horizontal="center" vertical="center" wrapText="1"/>
    </xf>
    <xf numFmtId="180" fontId="43" fillId="0" borderId="36" xfId="341" applyNumberFormat="1" applyFont="1" applyBorder="1" applyAlignment="1">
      <alignment horizontal="center" vertical="center"/>
    </xf>
    <xf numFmtId="180" fontId="43" fillId="0" borderId="38" xfId="341" applyNumberFormat="1" applyFont="1" applyBorder="1" applyAlignment="1">
      <alignment horizontal="center" vertical="center"/>
    </xf>
    <xf numFmtId="180" fontId="35" fillId="0" borderId="36" xfId="341" applyNumberFormat="1" applyFont="1" applyBorder="1" applyAlignment="1">
      <alignment horizontal="center" vertical="center"/>
    </xf>
    <xf numFmtId="0" fontId="35" fillId="19" borderId="40" xfId="4" applyFont="1" applyFill="1" applyBorder="1" applyAlignment="1">
      <alignment horizontal="center" vertical="center" wrapText="1"/>
    </xf>
    <xf numFmtId="0" fontId="35" fillId="19" borderId="7" xfId="4" applyFont="1" applyFill="1" applyBorder="1" applyAlignment="1">
      <alignment horizontal="center" vertical="center" wrapText="1"/>
    </xf>
    <xf numFmtId="0" fontId="35" fillId="19" borderId="68" xfId="4" applyFont="1" applyFill="1" applyBorder="1" applyAlignment="1">
      <alignment horizontal="center" vertical="center" wrapText="1"/>
    </xf>
    <xf numFmtId="0" fontId="35" fillId="19" borderId="69" xfId="4" applyFont="1" applyFill="1" applyBorder="1" applyAlignment="1">
      <alignment horizontal="center" vertical="center" wrapText="1"/>
    </xf>
    <xf numFmtId="180" fontId="35" fillId="0" borderId="7" xfId="341" applyNumberFormat="1" applyFont="1" applyBorder="1" applyAlignment="1">
      <alignment horizontal="center" vertical="center"/>
    </xf>
    <xf numFmtId="180" fontId="35" fillId="0" borderId="6" xfId="341" applyNumberFormat="1" applyFont="1" applyBorder="1" applyAlignment="1">
      <alignment horizontal="center" vertical="center"/>
    </xf>
    <xf numFmtId="180" fontId="35" fillId="0" borderId="66" xfId="341" applyNumberFormat="1" applyFont="1" applyBorder="1" applyAlignment="1">
      <alignment horizontal="center" vertical="center"/>
    </xf>
    <xf numFmtId="0" fontId="35" fillId="18" borderId="39" xfId="4" applyFont="1" applyFill="1" applyBorder="1" applyAlignment="1">
      <alignment horizontal="center" vertical="center" wrapText="1"/>
    </xf>
    <xf numFmtId="180" fontId="35" fillId="0" borderId="39" xfId="341" applyNumberFormat="1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5" fillId="13" borderId="64" xfId="4" applyFont="1" applyFill="1" applyBorder="1" applyAlignment="1">
      <alignment horizontal="center" vertical="center" wrapText="1"/>
    </xf>
    <xf numFmtId="0" fontId="35" fillId="13" borderId="0" xfId="4" applyFont="1" applyFill="1" applyAlignment="1">
      <alignment horizontal="center" vertical="center" wrapText="1"/>
    </xf>
    <xf numFmtId="0" fontId="35" fillId="13" borderId="60" xfId="4" applyFont="1" applyFill="1" applyBorder="1" applyAlignment="1">
      <alignment horizontal="center" vertical="center" wrapText="1"/>
    </xf>
    <xf numFmtId="180" fontId="35" fillId="0" borderId="65" xfId="341" applyNumberFormat="1" applyFont="1" applyBorder="1" applyAlignment="1">
      <alignment horizontal="center" vertical="center"/>
    </xf>
    <xf numFmtId="0" fontId="35" fillId="7" borderId="2" xfId="4" applyFont="1" applyFill="1" applyBorder="1" applyAlignment="1">
      <alignment horizontal="center" vertical="center" wrapText="1"/>
    </xf>
    <xf numFmtId="180" fontId="35" fillId="0" borderId="51" xfId="341" applyNumberFormat="1" applyFont="1" applyBorder="1" applyAlignment="1">
      <alignment horizontal="center" vertical="center"/>
    </xf>
    <xf numFmtId="0" fontId="35" fillId="17" borderId="40" xfId="4" applyFont="1" applyFill="1" applyBorder="1" applyAlignment="1">
      <alignment horizontal="center" vertical="center" wrapText="1"/>
    </xf>
    <xf numFmtId="0" fontId="35" fillId="17" borderId="7" xfId="4" applyFont="1" applyFill="1" applyBorder="1" applyAlignment="1">
      <alignment horizontal="center" vertical="center" wrapText="1"/>
    </xf>
    <xf numFmtId="0" fontId="35" fillId="9" borderId="39" xfId="4" applyFont="1" applyFill="1" applyBorder="1" applyAlignment="1">
      <alignment horizontal="center" vertical="center" wrapText="1"/>
    </xf>
    <xf numFmtId="0" fontId="35" fillId="9" borderId="39" xfId="4" applyFont="1" applyFill="1" applyBorder="1" applyAlignment="1">
      <alignment horizontal="center" vertical="center"/>
    </xf>
    <xf numFmtId="0" fontId="35" fillId="5" borderId="39" xfId="4" applyFont="1" applyFill="1" applyBorder="1" applyAlignment="1">
      <alignment horizontal="center" vertical="center" wrapText="1"/>
    </xf>
    <xf numFmtId="0" fontId="35" fillId="5" borderId="39" xfId="4" applyFont="1" applyFill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0" fontId="42" fillId="16" borderId="49" xfId="136" applyFont="1" applyFill="1" applyBorder="1" applyAlignment="1">
      <alignment horizontal="center" vertical="center" wrapText="1"/>
    </xf>
    <xf numFmtId="0" fontId="42" fillId="16" borderId="0" xfId="136" applyFont="1" applyFill="1" applyAlignment="1">
      <alignment horizontal="center" vertical="center" wrapText="1"/>
    </xf>
    <xf numFmtId="0" fontId="42" fillId="16" borderId="60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5" fillId="5" borderId="59" xfId="4" applyFont="1" applyFill="1" applyBorder="1" applyAlignment="1">
      <alignment horizontal="center" vertical="center" wrapText="1"/>
    </xf>
    <xf numFmtId="0" fontId="35" fillId="5" borderId="44" xfId="4" applyFont="1" applyFill="1" applyBorder="1" applyAlignment="1">
      <alignment horizontal="center" vertical="center"/>
    </xf>
    <xf numFmtId="180" fontId="35" fillId="0" borderId="31" xfId="341" applyNumberFormat="1" applyFont="1" applyBorder="1" applyAlignment="1">
      <alignment horizontal="center" vertical="center"/>
    </xf>
    <xf numFmtId="0" fontId="35" fillId="15" borderId="31" xfId="4" applyFont="1" applyFill="1" applyBorder="1" applyAlignment="1"/>
    <xf numFmtId="180" fontId="35" fillId="0" borderId="54" xfId="341" applyNumberFormat="1" applyFont="1" applyBorder="1" applyAlignment="1">
      <alignment horizontal="center" vertical="center"/>
    </xf>
    <xf numFmtId="180" fontId="35" fillId="0" borderId="56" xfId="341" applyNumberFormat="1" applyFont="1" applyBorder="1" applyAlignment="1">
      <alignment horizontal="center" vertical="center"/>
    </xf>
    <xf numFmtId="180" fontId="35" fillId="0" borderId="57" xfId="341" applyNumberFormat="1" applyFont="1" applyBorder="1" applyAlignment="1">
      <alignment horizontal="center" vertical="center"/>
    </xf>
    <xf numFmtId="180" fontId="35" fillId="0" borderId="58" xfId="341" applyNumberFormat="1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 wrapText="1"/>
    </xf>
    <xf numFmtId="0" fontId="11" fillId="0" borderId="2" xfId="4" applyFont="1" applyBorder="1" applyAlignment="1">
      <alignment horizontal="center" vertical="center"/>
    </xf>
    <xf numFmtId="0" fontId="38" fillId="3" borderId="44" xfId="4" applyFont="1" applyFill="1" applyBorder="1" applyAlignment="1">
      <alignment horizontal="center" vertical="center" wrapText="1"/>
    </xf>
    <xf numFmtId="0" fontId="38" fillId="3" borderId="45" xfId="4" applyFont="1" applyFill="1" applyBorder="1" applyAlignment="1">
      <alignment horizontal="center" vertical="center" wrapText="1"/>
    </xf>
    <xf numFmtId="0" fontId="35" fillId="13" borderId="39" xfId="4" applyFont="1" applyFill="1" applyBorder="1" applyAlignment="1">
      <alignment horizontal="center" vertical="center"/>
    </xf>
    <xf numFmtId="0" fontId="35" fillId="7" borderId="39" xfId="4" applyFont="1" applyFill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 wrapText="1"/>
    </xf>
    <xf numFmtId="0" fontId="35" fillId="4" borderId="2" xfId="4" applyFont="1" applyFill="1" applyBorder="1" applyAlignment="1">
      <alignment horizontal="center" vertical="center"/>
    </xf>
    <xf numFmtId="0" fontId="35" fillId="4" borderId="36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 wrapText="1"/>
    </xf>
    <xf numFmtId="0" fontId="39" fillId="3" borderId="44" xfId="4" applyFont="1" applyFill="1" applyBorder="1" applyAlignment="1">
      <alignment horizontal="center" vertical="center" wrapText="1"/>
    </xf>
    <xf numFmtId="0" fontId="39" fillId="3" borderId="45" xfId="4" applyFont="1" applyFill="1" applyBorder="1" applyAlignment="1">
      <alignment horizontal="center" vertical="center" wrapText="1"/>
    </xf>
    <xf numFmtId="0" fontId="35" fillId="4" borderId="39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0" fontId="34" fillId="0" borderId="39" xfId="4" applyFont="1" applyBorder="1" applyAlignment="1">
      <alignment horizontal="left" vertical="center"/>
    </xf>
    <xf numFmtId="0" fontId="36" fillId="0" borderId="39" xfId="4" applyFont="1" applyBorder="1" applyAlignment="1">
      <alignment horizontal="center" vertical="center"/>
    </xf>
    <xf numFmtId="0" fontId="5" fillId="0" borderId="41" xfId="98" applyFont="1" applyBorder="1" applyAlignment="1">
      <alignment horizontal="center" vertical="center" wrapText="1"/>
    </xf>
    <xf numFmtId="0" fontId="5" fillId="0" borderId="42" xfId="98" applyFont="1" applyBorder="1" applyAlignment="1">
      <alignment horizontal="center" vertical="center" wrapText="1"/>
    </xf>
    <xf numFmtId="0" fontId="5" fillId="0" borderId="43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178" fontId="44" fillId="0" borderId="3" xfId="1" applyNumberFormat="1" applyFont="1" applyBorder="1" applyAlignment="1">
      <alignment horizontal="center" vertical="center"/>
    </xf>
    <xf numFmtId="178" fontId="44" fillId="0" borderId="1" xfId="1" applyNumberFormat="1" applyFont="1" applyBorder="1" applyAlignment="1">
      <alignment horizontal="center" vertical="center"/>
    </xf>
    <xf numFmtId="178" fontId="44" fillId="0" borderId="3" xfId="3" applyNumberFormat="1" applyFont="1" applyBorder="1" applyAlignment="1">
      <alignment horizontal="center" vertical="center"/>
    </xf>
    <xf numFmtId="178" fontId="44" fillId="0" borderId="1" xfId="3" applyNumberFormat="1" applyFont="1" applyBorder="1" applyAlignment="1">
      <alignment horizontal="center" vertical="center"/>
    </xf>
    <xf numFmtId="179" fontId="44" fillId="0" borderId="3" xfId="3" applyNumberFormat="1" applyFont="1" applyBorder="1" applyAlignment="1">
      <alignment horizontal="center" vertical="center"/>
    </xf>
    <xf numFmtId="179" fontId="44" fillId="0" borderId="1" xfId="3" applyNumberFormat="1" applyFont="1" applyBorder="1" applyAlignment="1">
      <alignment horizontal="center" vertical="center"/>
    </xf>
    <xf numFmtId="178" fontId="35" fillId="0" borderId="47" xfId="160" applyNumberFormat="1" applyFont="1" applyBorder="1" applyAlignment="1">
      <alignment horizontal="center"/>
    </xf>
    <xf numFmtId="178" fontId="35" fillId="15" borderId="40" xfId="4" applyNumberFormat="1" applyFont="1" applyFill="1" applyBorder="1" applyAlignment="1">
      <alignment horizontal="center"/>
    </xf>
    <xf numFmtId="178" fontId="35" fillId="0" borderId="52" xfId="160" applyNumberFormat="1" applyFont="1" applyBorder="1" applyAlignment="1">
      <alignment horizontal="center"/>
    </xf>
    <xf numFmtId="178" fontId="35" fillId="0" borderId="1" xfId="160" applyNumberFormat="1" applyFont="1" applyBorder="1" applyAlignment="1">
      <alignment horizontal="center"/>
    </xf>
    <xf numFmtId="178" fontId="35" fillId="15" borderId="2" xfId="4" applyNumberFormat="1" applyFont="1" applyFill="1" applyBorder="1" applyAlignment="1">
      <alignment horizontal="center"/>
    </xf>
    <xf numFmtId="178" fontId="35" fillId="0" borderId="60" xfId="160" applyNumberFormat="1" applyFont="1" applyBorder="1" applyAlignment="1">
      <alignment horizontal="center"/>
    </xf>
    <xf numFmtId="178" fontId="35" fillId="0" borderId="2" xfId="160" applyNumberFormat="1" applyFont="1" applyBorder="1" applyAlignment="1">
      <alignment horizontal="center"/>
    </xf>
    <xf numFmtId="178" fontId="35" fillId="0" borderId="48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5" fillId="15" borderId="39" xfId="4" applyNumberFormat="1" applyFont="1" applyFill="1" applyBorder="1" applyAlignment="1">
      <alignment horizontal="center"/>
    </xf>
    <xf numFmtId="178" fontId="35" fillId="15" borderId="44" xfId="4" applyNumberFormat="1" applyFont="1" applyFill="1" applyBorder="1" applyAlignment="1">
      <alignment horizontal="center"/>
    </xf>
    <xf numFmtId="178" fontId="35" fillId="14" borderId="1" xfId="160" applyNumberFormat="1" applyFont="1" applyFill="1" applyBorder="1" applyAlignment="1">
      <alignment horizontal="center"/>
    </xf>
    <xf numFmtId="178" fontId="35" fillId="15" borderId="31" xfId="4" applyNumberFormat="1" applyFont="1" applyFill="1" applyBorder="1" applyAlignment="1">
      <alignment horizontal="center"/>
    </xf>
    <xf numFmtId="178" fontId="35" fillId="0" borderId="49" xfId="160" applyNumberFormat="1" applyFont="1" applyBorder="1" applyAlignment="1">
      <alignment horizontal="center"/>
    </xf>
    <xf numFmtId="178" fontId="35" fillId="15" borderId="68" xfId="4" applyNumberFormat="1" applyFont="1" applyFill="1" applyBorder="1" applyAlignment="1">
      <alignment horizontal="center"/>
    </xf>
    <xf numFmtId="0" fontId="4" fillId="0" borderId="93" xfId="97" applyFont="1" applyBorder="1" applyAlignment="1">
      <alignment vertical="center"/>
    </xf>
    <xf numFmtId="0" fontId="4" fillId="0" borderId="94" xfId="97" applyFont="1" applyBorder="1" applyAlignment="1">
      <alignment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234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3&#26376;/4&#24230;/&#26185;&#27427;&#22235;&#24230;&#24037;&#20316;&#26085;&#22577;&#34920;115%2003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301"/>
      <sheetName val="晉欣4度C0302"/>
      <sheetName val="晉欣4度C0303"/>
      <sheetName val="晉欣4度C0304"/>
      <sheetName val="晉欣4度C0305"/>
      <sheetName val="晉欣4度C0306"/>
      <sheetName val="晉欣4度C0307"/>
      <sheetName val="晉欣4度C0308"/>
      <sheetName val="晉欣4度C0309"/>
      <sheetName val="工作表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Z2">
            <v>0</v>
          </cell>
          <cell r="AA2">
            <v>0</v>
          </cell>
          <cell r="AD2">
            <v>2</v>
          </cell>
          <cell r="AE2">
            <v>1</v>
          </cell>
        </row>
      </sheetData>
      <sheetData sheetId="10">
        <row r="2">
          <cell r="Z2">
            <v>0</v>
          </cell>
          <cell r="AA2">
            <v>0</v>
          </cell>
          <cell r="AD2">
            <v>3</v>
          </cell>
          <cell r="AE2">
            <v>2</v>
          </cell>
        </row>
      </sheetData>
      <sheetData sheetId="11">
        <row r="2">
          <cell r="Z2">
            <v>0</v>
          </cell>
          <cell r="AA2">
            <v>0</v>
          </cell>
          <cell r="AD2">
            <v>2</v>
          </cell>
          <cell r="AE2">
            <v>6</v>
          </cell>
        </row>
      </sheetData>
      <sheetData sheetId="12">
        <row r="2">
          <cell r="Z2">
            <v>0</v>
          </cell>
          <cell r="AA2">
            <v>0</v>
          </cell>
          <cell r="AD2">
            <v>2</v>
          </cell>
          <cell r="AE2">
            <v>4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250</v>
      </c>
      <c r="E3" s="501"/>
      <c r="F3" s="491" t="s">
        <v>2</v>
      </c>
      <c r="G3" s="492"/>
      <c r="H3" s="502">
        <v>260347.6</v>
      </c>
      <c r="I3" s="503"/>
      <c r="J3" s="491" t="s">
        <v>3</v>
      </c>
      <c r="K3" s="492"/>
      <c r="L3" s="504">
        <v>8657869.4223409258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13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9"/>
      <c r="C6" s="480"/>
      <c r="D6" s="491" t="s">
        <v>21</v>
      </c>
      <c r="E6" s="492"/>
      <c r="F6" s="644">
        <f>AVERAGE(D13:O13,P13:Q13,D30:F30,H30,J30:M30)</f>
        <v>378.1383037931904</v>
      </c>
      <c r="G6" s="645"/>
      <c r="H6" s="646">
        <f>AVERAGE(D13:P13,Q13)</f>
        <v>137.43162024644209</v>
      </c>
      <c r="I6" s="647"/>
      <c r="J6" s="646">
        <f>AVERAGE(D30:H30)</f>
        <v>754</v>
      </c>
      <c r="K6" s="647"/>
      <c r="L6" s="648">
        <f>AVERAGE(J30:M30)</f>
        <v>881.25</v>
      </c>
      <c r="M6" s="649"/>
      <c r="N6" s="473">
        <v>0</v>
      </c>
      <c r="O6" s="458">
        <v>0</v>
      </c>
      <c r="P6" s="474">
        <v>1</v>
      </c>
      <c r="Q6" s="458">
        <v>3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354.35193936548563</v>
      </c>
      <c r="G7" s="462"/>
      <c r="H7" s="463">
        <f>AVERAGE(D14:P14,Q14)</f>
        <v>124.03910040706705</v>
      </c>
      <c r="I7" s="464"/>
      <c r="J7" s="463">
        <f>AVERAGE(D31:H31)</f>
        <v>740.39645118995122</v>
      </c>
      <c r="K7" s="464"/>
      <c r="L7" s="465">
        <f>AVERAGE(J31:M31)</f>
        <v>809.43252937180716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0.90689418778104713</v>
      </c>
      <c r="G8" s="468"/>
      <c r="H8" s="467">
        <f>AVERAGE(D15:O15,P15:Q15)</f>
        <v>0.89436680448338746</v>
      </c>
      <c r="I8" s="468"/>
      <c r="J8" s="467">
        <f>AVERAGE(D32:H32)</f>
        <v>0.96426375844445733</v>
      </c>
      <c r="K8" s="468"/>
      <c r="L8" s="467">
        <f>AVERAGE(J32:M32)</f>
        <v>0.91953537851841438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126.3030615755074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90.799253034547164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117.90461431536127</v>
      </c>
      <c r="E14" s="15">
        <v>89.679646400656338</v>
      </c>
      <c r="F14" s="15">
        <v>116.56996699628303</v>
      </c>
      <c r="G14" s="15">
        <v>324.4138365530232</v>
      </c>
      <c r="H14" s="15">
        <v>223.20726068051482</v>
      </c>
      <c r="I14" s="15">
        <v>79.519939978013625</v>
      </c>
      <c r="J14" s="15">
        <v>64.416767719036514</v>
      </c>
      <c r="K14" s="15">
        <v>97.98708463345713</v>
      </c>
      <c r="L14" s="15">
        <v>73.90129095718909</v>
      </c>
      <c r="M14" s="15">
        <v>72.200257296652453</v>
      </c>
      <c r="N14" s="15">
        <v>76.131913858095729</v>
      </c>
      <c r="O14" s="15">
        <v>73.643661848542195</v>
      </c>
      <c r="P14" s="15">
        <v>190.74819826164713</v>
      </c>
      <c r="Q14" s="16">
        <v>136.22296620046629</v>
      </c>
    </row>
    <row r="15" spans="2:17" ht="39.9" customHeight="1">
      <c r="B15" s="446"/>
      <c r="C15" s="10" t="s">
        <v>44</v>
      </c>
      <c r="D15" s="17">
        <f t="shared" ref="D15:P15" si="0">D14/D13</f>
        <v>0.93350559237928443</v>
      </c>
      <c r="E15" s="17">
        <f t="shared" si="0"/>
        <v>0.89487511449602775</v>
      </c>
      <c r="F15" s="17">
        <f t="shared" si="0"/>
        <v>0.88790220571870226</v>
      </c>
      <c r="G15" s="17">
        <f t="shared" si="0"/>
        <v>0.88036319281688791</v>
      </c>
      <c r="H15" s="17">
        <f t="shared" si="0"/>
        <v>0.97653176547725229</v>
      </c>
      <c r="I15" s="17">
        <f t="shared" si="0"/>
        <v>0.87577746865117934</v>
      </c>
      <c r="J15" s="17">
        <f t="shared" si="0"/>
        <v>0.84854986948638012</v>
      </c>
      <c r="K15" s="17">
        <f t="shared" si="0"/>
        <v>0.86350347347989909</v>
      </c>
      <c r="L15" s="17">
        <f t="shared" si="0"/>
        <v>0.8666529809347524</v>
      </c>
      <c r="M15" s="17">
        <f t="shared" si="0"/>
        <v>0.88760357014996971</v>
      </c>
      <c r="N15" s="17">
        <f t="shared" si="0"/>
        <v>0.90897417375934375</v>
      </c>
      <c r="O15" s="17">
        <f t="shared" si="0"/>
        <v>0.83889546573242968</v>
      </c>
      <c r="P15" s="17">
        <f t="shared" si="0"/>
        <v>0.94984728168220689</v>
      </c>
      <c r="Q15" s="18">
        <f>Q14/Q13</f>
        <v>0.90815310800310856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0.7763888888888888</v>
      </c>
      <c r="E17" s="19">
        <v>0.66041666666666665</v>
      </c>
      <c r="F17" s="19">
        <v>0.61249999999999993</v>
      </c>
      <c r="G17" s="19">
        <v>0.6875</v>
      </c>
      <c r="H17" s="19">
        <v>0.67152777777777783</v>
      </c>
      <c r="I17" s="19">
        <v>0.78333333333333321</v>
      </c>
      <c r="J17" s="19">
        <v>0.83680555555555558</v>
      </c>
      <c r="K17" s="19">
        <v>0.80902777777777757</v>
      </c>
      <c r="L17" s="19">
        <v>0.93055555555555525</v>
      </c>
      <c r="M17" s="19">
        <v>0.95138888888888873</v>
      </c>
      <c r="N17" s="19">
        <v>0.99236111111111103</v>
      </c>
      <c r="O17" s="19">
        <v>0.82986111111111116</v>
      </c>
      <c r="P17" s="19">
        <v>0.60902777777777772</v>
      </c>
      <c r="Q17" s="20">
        <v>0.69791666666666663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451"/>
      <c r="C21" s="452"/>
      <c r="D21" s="21" t="s">
        <v>49</v>
      </c>
      <c r="E21" s="21">
        <v>1</v>
      </c>
      <c r="F21" s="21" t="s">
        <v>49</v>
      </c>
      <c r="G21" s="21">
        <v>2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428" t="s">
        <v>51</v>
      </c>
      <c r="C22" s="429"/>
      <c r="D22" s="23">
        <v>19.3</v>
      </c>
      <c r="E22" s="23">
        <v>17</v>
      </c>
      <c r="F22" s="23">
        <v>15.75</v>
      </c>
      <c r="G22" s="23">
        <v>5.75</v>
      </c>
      <c r="H22" s="23">
        <v>6.6</v>
      </c>
      <c r="I22" s="23">
        <v>16.428571428571427</v>
      </c>
      <c r="J22" s="23">
        <v>19.142857142857142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11.2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271.26211180124238</v>
      </c>
      <c r="E31" s="15">
        <v>682.77778816116233</v>
      </c>
      <c r="F31" s="15">
        <v>918.1850853548965</v>
      </c>
      <c r="G31" s="15">
        <v>880.51711309523876</v>
      </c>
      <c r="H31" s="41">
        <v>949.24015753721574</v>
      </c>
      <c r="I31" s="42">
        <v>0</v>
      </c>
      <c r="J31" s="15">
        <v>798.5696969696977</v>
      </c>
      <c r="K31" s="15">
        <v>634.15886939571158</v>
      </c>
      <c r="L31" s="15">
        <v>907.28280112181869</v>
      </c>
      <c r="M31" s="16">
        <v>897.71875000000045</v>
      </c>
    </row>
    <row r="32" spans="2:17" ht="39.9" customHeight="1">
      <c r="B32" s="446"/>
      <c r="C32" s="43" t="s">
        <v>44</v>
      </c>
      <c r="D32" s="17">
        <f t="shared" ref="D32:M32" si="1">D31/D30</f>
        <v>0.8476940993788824</v>
      </c>
      <c r="E32" s="17">
        <f t="shared" si="1"/>
        <v>0.82760944019534832</v>
      </c>
      <c r="F32" s="17">
        <f t="shared" si="1"/>
        <v>1.1129516186119957</v>
      </c>
      <c r="G32" s="17">
        <f t="shared" si="1"/>
        <v>0.97835234788359859</v>
      </c>
      <c r="H32" s="44">
        <f t="shared" si="1"/>
        <v>1.0547112861524619</v>
      </c>
      <c r="I32" s="45">
        <f t="shared" si="1"/>
        <v>0</v>
      </c>
      <c r="J32" s="17">
        <f t="shared" si="1"/>
        <v>0.96796326905417907</v>
      </c>
      <c r="K32" s="17">
        <f t="shared" si="1"/>
        <v>0.70462096599523505</v>
      </c>
      <c r="L32" s="17">
        <f t="shared" si="1"/>
        <v>1.0080920012464651</v>
      </c>
      <c r="M32" s="18">
        <f t="shared" si="1"/>
        <v>0.99746527777777827</v>
      </c>
    </row>
    <row r="33" spans="2:13" ht="25.8" customHeight="1">
      <c r="B33" s="44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3178.9285714285738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0.23472222222222219</v>
      </c>
      <c r="E34" s="19">
        <v>0.35694444444444445</v>
      </c>
      <c r="F34" s="19">
        <v>0.24583333333333335</v>
      </c>
      <c r="G34" s="19">
        <v>1059.642857142858</v>
      </c>
      <c r="H34" s="46">
        <v>0.44236111111111115</v>
      </c>
      <c r="I34" s="47">
        <v>0</v>
      </c>
      <c r="J34" s="19">
        <v>0.83124999999999993</v>
      </c>
      <c r="K34" s="19">
        <v>0.86805555555555547</v>
      </c>
      <c r="L34" s="19">
        <v>46085.107638888891</v>
      </c>
      <c r="M34" s="20">
        <v>0.93055555555555547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63" priority="10" operator="lessThan">
      <formula>0.8</formula>
    </cfRule>
  </conditionalFormatting>
  <conditionalFormatting sqref="M32">
    <cfRule type="cellIs" dxfId="23462" priority="9" operator="lessThan">
      <formula>0.8</formula>
    </cfRule>
  </conditionalFormatting>
  <conditionalFormatting sqref="K32">
    <cfRule type="cellIs" dxfId="23461" priority="8" operator="lessThan">
      <formula>0.8</formula>
    </cfRule>
  </conditionalFormatting>
  <conditionalFormatting sqref="E32">
    <cfRule type="cellIs" dxfId="23460" priority="7" operator="lessThan">
      <formula>0.8</formula>
    </cfRule>
  </conditionalFormatting>
  <conditionalFormatting sqref="D15:P15">
    <cfRule type="cellIs" dxfId="23459" priority="6" operator="lessThan">
      <formula>0.8</formula>
    </cfRule>
  </conditionalFormatting>
  <conditionalFormatting sqref="Q15">
    <cfRule type="cellIs" dxfId="23458" priority="5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240</v>
      </c>
      <c r="B1" s="336"/>
      <c r="C1" s="337"/>
      <c r="D1" s="338" t="s">
        <v>175</v>
      </c>
      <c r="E1" s="339">
        <f>SUM(G5:G124)</f>
        <v>89213</v>
      </c>
      <c r="F1" s="340" t="s">
        <v>3</v>
      </c>
      <c r="G1" s="341">
        <f>SUM(H5:H124)</f>
        <v>1703091.0062245433</v>
      </c>
      <c r="H1" s="342" t="s">
        <v>357</v>
      </c>
      <c r="I1" s="343">
        <f>+J16+J64+J24+J38+J51+J81+J100+J91+J57+J124+J111</f>
        <v>41.68333333333333</v>
      </c>
      <c r="J1" s="554" t="s">
        <v>205</v>
      </c>
      <c r="K1" s="555"/>
      <c r="L1" s="556"/>
      <c r="M1" s="554" t="s">
        <v>335</v>
      </c>
      <c r="N1" s="555"/>
      <c r="O1" s="555"/>
      <c r="P1" s="555"/>
      <c r="Q1" s="555"/>
      <c r="R1" s="556"/>
    </row>
    <row r="2" spans="1:18" ht="26.25" customHeight="1" thickBot="1">
      <c r="A2" s="560" t="s">
        <v>358</v>
      </c>
      <c r="B2" s="561"/>
      <c r="C2" s="345"/>
      <c r="D2" s="346" t="s">
        <v>181</v>
      </c>
      <c r="E2" s="347">
        <f>AVERAGE(L16,L24,L38,L51,L100,L111,L91)</f>
        <v>621.20847414357081</v>
      </c>
      <c r="F2" s="348" t="s">
        <v>80</v>
      </c>
      <c r="G2" s="349">
        <f>G1/E1</f>
        <v>19.090166301150543</v>
      </c>
      <c r="H2" s="350" t="s">
        <v>206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182</v>
      </c>
      <c r="B3" s="564" t="s">
        <v>241</v>
      </c>
      <c r="C3" s="352"/>
      <c r="D3" s="565" t="s">
        <v>183</v>
      </c>
      <c r="E3" s="565"/>
      <c r="F3" s="566" t="s">
        <v>83</v>
      </c>
      <c r="G3" s="567" t="s">
        <v>207</v>
      </c>
      <c r="H3" s="568" t="s">
        <v>208</v>
      </c>
      <c r="I3" s="569" t="s">
        <v>338</v>
      </c>
      <c r="J3" s="537" t="s">
        <v>185</v>
      </c>
      <c r="K3" s="547" t="s">
        <v>184</v>
      </c>
      <c r="L3" s="549" t="s">
        <v>181</v>
      </c>
      <c r="M3" s="551" t="s">
        <v>88</v>
      </c>
      <c r="N3" s="551"/>
      <c r="O3" s="537" t="s">
        <v>209</v>
      </c>
      <c r="P3" s="552" t="s">
        <v>186</v>
      </c>
      <c r="Q3" s="537" t="s">
        <v>187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343</v>
      </c>
      <c r="R4" s="354" t="s">
        <v>210</v>
      </c>
    </row>
    <row r="5" spans="1:18">
      <c r="A5" s="538" t="s">
        <v>211</v>
      </c>
      <c r="B5" s="355" t="s">
        <v>246</v>
      </c>
      <c r="C5" s="355"/>
      <c r="D5" s="356" t="s">
        <v>212</v>
      </c>
      <c r="E5" s="356"/>
      <c r="F5" s="357">
        <v>29.965493443754308</v>
      </c>
      <c r="G5" s="352">
        <v>2010</v>
      </c>
      <c r="H5" s="358">
        <f>F5*G5</f>
        <v>60230.641821946163</v>
      </c>
      <c r="I5" s="359"/>
      <c r="J5" s="360">
        <v>13</v>
      </c>
      <c r="K5" s="361">
        <f t="shared" ref="K5:K12" si="0">G5/P5*60</f>
        <v>1340</v>
      </c>
      <c r="L5" s="362">
        <f t="shared" ref="L5:L12" si="1">K5/J5</f>
        <v>103.07692307692308</v>
      </c>
      <c r="M5" s="363">
        <v>0.17361111111111113</v>
      </c>
      <c r="N5" s="363">
        <v>0.23611111111111113</v>
      </c>
      <c r="O5" s="354">
        <v>10</v>
      </c>
      <c r="P5" s="364">
        <f t="shared" ref="P5:P14" si="2">(N5-M5)*24*60</f>
        <v>90</v>
      </c>
      <c r="Q5" s="365"/>
      <c r="R5" s="365"/>
    </row>
    <row r="6" spans="1:18">
      <c r="A6" s="538"/>
      <c r="B6" s="355">
        <v>0</v>
      </c>
      <c r="C6" s="355"/>
      <c r="D6" s="356" t="s">
        <v>213</v>
      </c>
      <c r="E6" s="356"/>
      <c r="F6" s="357" t="s">
        <v>248</v>
      </c>
      <c r="G6" s="352">
        <v>1337</v>
      </c>
      <c r="H6" s="358">
        <f t="shared" ref="H6:H113" si="3">F6*G6</f>
        <v>0</v>
      </c>
      <c r="I6" s="359"/>
      <c r="J6" s="360">
        <v>9</v>
      </c>
      <c r="K6" s="361">
        <f t="shared" si="0"/>
        <v>1604.4000000000019</v>
      </c>
      <c r="L6" s="362">
        <f t="shared" si="1"/>
        <v>178.26666666666688</v>
      </c>
      <c r="M6" s="363">
        <v>0.23958333333333334</v>
      </c>
      <c r="N6" s="363">
        <v>0.27430555555555552</v>
      </c>
      <c r="O6" s="354">
        <v>5</v>
      </c>
      <c r="P6" s="364">
        <f t="shared" si="2"/>
        <v>49.999999999999943</v>
      </c>
      <c r="Q6" s="354"/>
      <c r="R6" s="354"/>
    </row>
    <row r="7" spans="1:18">
      <c r="A7" s="538"/>
      <c r="B7" s="355">
        <v>0</v>
      </c>
      <c r="C7" s="355"/>
      <c r="D7" s="356" t="s">
        <v>214</v>
      </c>
      <c r="E7" s="356"/>
      <c r="F7" s="357" t="s">
        <v>248</v>
      </c>
      <c r="G7" s="352">
        <v>1391</v>
      </c>
      <c r="H7" s="358">
        <f t="shared" si="3"/>
        <v>0</v>
      </c>
      <c r="I7" s="359"/>
      <c r="J7" s="360">
        <v>9</v>
      </c>
      <c r="K7" s="361">
        <f t="shared" si="0"/>
        <v>1517.4545454545464</v>
      </c>
      <c r="L7" s="362">
        <f t="shared" si="1"/>
        <v>168.60606060606071</v>
      </c>
      <c r="M7" s="363">
        <v>0.27777777777777779</v>
      </c>
      <c r="N7" s="363">
        <v>0.31597222222222221</v>
      </c>
      <c r="O7" s="354">
        <v>5</v>
      </c>
      <c r="P7" s="364">
        <f t="shared" si="2"/>
        <v>54.999999999999964</v>
      </c>
      <c r="Q7" s="365"/>
      <c r="R7" s="365"/>
    </row>
    <row r="8" spans="1:18">
      <c r="A8" s="538"/>
      <c r="B8" s="355" t="s">
        <v>249</v>
      </c>
      <c r="C8" s="355"/>
      <c r="D8" s="356" t="s">
        <v>359</v>
      </c>
      <c r="E8" s="356"/>
      <c r="F8" s="357">
        <v>36.450000000000003</v>
      </c>
      <c r="G8" s="352">
        <v>1947</v>
      </c>
      <c r="H8" s="358">
        <f t="shared" si="3"/>
        <v>70968.150000000009</v>
      </c>
      <c r="I8" s="359"/>
      <c r="J8" s="360">
        <v>10</v>
      </c>
      <c r="K8" s="361">
        <f t="shared" si="0"/>
        <v>1460.2500000000007</v>
      </c>
      <c r="L8" s="362">
        <f t="shared" si="1"/>
        <v>146.02500000000006</v>
      </c>
      <c r="M8" s="363">
        <v>0.31944444444444448</v>
      </c>
      <c r="N8" s="363">
        <v>0.375</v>
      </c>
      <c r="O8" s="354">
        <v>5</v>
      </c>
      <c r="P8" s="364">
        <f t="shared" si="2"/>
        <v>79.999999999999957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574</v>
      </c>
      <c r="H9" s="358">
        <f t="shared" si="3"/>
        <v>15526.7</v>
      </c>
      <c r="I9" s="359"/>
      <c r="J9" s="360">
        <v>13</v>
      </c>
      <c r="K9" s="361">
        <f t="shared" si="0"/>
        <v>1377.6000000000049</v>
      </c>
      <c r="L9" s="362">
        <f t="shared" si="1"/>
        <v>105.96923076923115</v>
      </c>
      <c r="M9" s="363">
        <v>0.37847222222222227</v>
      </c>
      <c r="N9" s="363">
        <v>0.39583333333333331</v>
      </c>
      <c r="O9" s="354">
        <v>5</v>
      </c>
      <c r="P9" s="364">
        <f t="shared" si="2"/>
        <v>24.999999999999911</v>
      </c>
      <c r="Q9" s="365">
        <v>0.39583333333333331</v>
      </c>
      <c r="R9" s="365">
        <v>0.4375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3270</v>
      </c>
      <c r="H10" s="358">
        <f t="shared" si="3"/>
        <v>58434.9</v>
      </c>
      <c r="I10" s="359"/>
      <c r="J10" s="360">
        <v>12</v>
      </c>
      <c r="K10" s="361">
        <f t="shared" si="0"/>
        <v>1189.0909090909088</v>
      </c>
      <c r="L10" s="362">
        <f t="shared" si="1"/>
        <v>99.090909090909065</v>
      </c>
      <c r="M10" s="363">
        <v>0.4375</v>
      </c>
      <c r="N10" s="363">
        <v>0.55208333333333337</v>
      </c>
      <c r="O10" s="354">
        <v>5</v>
      </c>
      <c r="P10" s="364">
        <f t="shared" si="2"/>
        <v>165.00000000000006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702</v>
      </c>
      <c r="H11" s="358">
        <f t="shared" si="3"/>
        <v>17999.28</v>
      </c>
      <c r="I11" s="359"/>
      <c r="J11" s="360">
        <v>10</v>
      </c>
      <c r="K11" s="361">
        <f t="shared" si="0"/>
        <v>1403.9999999999975</v>
      </c>
      <c r="L11" s="362">
        <f t="shared" si="1"/>
        <v>140.39999999999975</v>
      </c>
      <c r="M11" s="363">
        <v>0.55555555555555558</v>
      </c>
      <c r="N11" s="363">
        <v>0.57638888888888895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1337</v>
      </c>
      <c r="H12" s="358">
        <f t="shared" si="3"/>
        <v>39468.239999999998</v>
      </c>
      <c r="I12" s="359"/>
      <c r="J12" s="360">
        <v>13</v>
      </c>
      <c r="K12" s="361">
        <f t="shared" si="0"/>
        <v>1782.6666666666667</v>
      </c>
      <c r="L12" s="362">
        <f t="shared" si="1"/>
        <v>137.12820512820514</v>
      </c>
      <c r="M12" s="363">
        <v>0.57986111111111105</v>
      </c>
      <c r="N12" s="363">
        <v>0.61111111111111105</v>
      </c>
      <c r="O12" s="354">
        <v>5</v>
      </c>
      <c r="P12" s="364">
        <f t="shared" si="2"/>
        <v>45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1391</v>
      </c>
      <c r="H13" s="358">
        <f t="shared" si="3"/>
        <v>41531.087</v>
      </c>
      <c r="I13" s="359"/>
      <c r="J13" s="360">
        <v>13</v>
      </c>
      <c r="K13" s="361">
        <f>G13/P13*60</f>
        <v>1854.6666666666667</v>
      </c>
      <c r="L13" s="362">
        <f>K13/J13</f>
        <v>142.66666666666669</v>
      </c>
      <c r="M13" s="363">
        <v>0.61458333333333337</v>
      </c>
      <c r="N13" s="363">
        <v>0.64583333333333337</v>
      </c>
      <c r="O13" s="354">
        <v>5</v>
      </c>
      <c r="P13" s="364">
        <f t="shared" si="2"/>
        <v>45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1645</v>
      </c>
      <c r="H14" s="358">
        <f t="shared" si="3"/>
        <v>46997.65</v>
      </c>
      <c r="I14" s="359"/>
      <c r="J14" s="360">
        <v>10</v>
      </c>
      <c r="K14" s="361">
        <f>G14/P14*60</f>
        <v>1410.0000000000018</v>
      </c>
      <c r="L14" s="362">
        <f>K14/J14</f>
        <v>141.00000000000017</v>
      </c>
      <c r="M14" s="363">
        <v>0.64930555555555558</v>
      </c>
      <c r="N14" s="363">
        <v>0.69791666666666663</v>
      </c>
      <c r="O14" s="354">
        <v>5</v>
      </c>
      <c r="P14" s="364">
        <f t="shared" si="2"/>
        <v>69.999999999999915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11.2</v>
      </c>
      <c r="K16" s="375">
        <f>AVERAGE(K5:K15)</f>
        <v>1494.0128787878796</v>
      </c>
      <c r="L16" s="376">
        <f>AVERAGE(L5:L15)</f>
        <v>136.22296620046629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572</v>
      </c>
      <c r="H17" s="377">
        <f t="shared" ref="H17:H23" si="4">F17*G17</f>
        <v>8025.16</v>
      </c>
      <c r="I17" s="378"/>
      <c r="J17" s="360">
        <v>6</v>
      </c>
      <c r="K17" s="361">
        <f>G17/P17*60</f>
        <v>1492.1739130434783</v>
      </c>
      <c r="L17" s="362">
        <f>K17/J17</f>
        <v>248.69565217391303</v>
      </c>
      <c r="M17" s="363">
        <v>0.18055555555555555</v>
      </c>
      <c r="N17" s="363">
        <v>0.19652777777777777</v>
      </c>
      <c r="O17" s="354">
        <v>20</v>
      </c>
      <c r="P17" s="364">
        <f>(N17-M17)*24*60</f>
        <v>23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857</v>
      </c>
      <c r="H18" s="358">
        <f t="shared" si="4"/>
        <v>12417.93</v>
      </c>
      <c r="I18" s="359"/>
      <c r="J18" s="360">
        <v>5</v>
      </c>
      <c r="K18" s="361">
        <f>G18/P18*60</f>
        <v>1469.1428571428589</v>
      </c>
      <c r="L18" s="362">
        <f>K18/J18</f>
        <v>293.82857142857176</v>
      </c>
      <c r="M18" s="363">
        <v>0.21041666666666667</v>
      </c>
      <c r="N18" s="363">
        <v>0.23472222222222219</v>
      </c>
      <c r="O18" s="354">
        <v>20</v>
      </c>
      <c r="P18" s="364">
        <f t="shared" ref="P18" si="5">(N18-M18)*24*60</f>
        <v>34.999999999999957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1480.6583850931686</v>
      </c>
      <c r="L24" s="376">
        <f>AVERAGE(L17:L23)</f>
        <v>271.26211180124238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657</v>
      </c>
      <c r="H25" s="358">
        <f t="shared" ref="H25:H37" si="6">F25*G25</f>
        <v>14639.154545454545</v>
      </c>
      <c r="I25" s="359"/>
      <c r="J25" s="360">
        <v>4</v>
      </c>
      <c r="K25" s="361">
        <f t="shared" ref="K25:K28" si="7">G25/P25*60</f>
        <v>2628.0000000000023</v>
      </c>
      <c r="L25" s="362">
        <f t="shared" ref="L25:L28" si="8">K25/J25</f>
        <v>657.00000000000057</v>
      </c>
      <c r="M25" s="363">
        <v>0.18055555555555555</v>
      </c>
      <c r="N25" s="363">
        <v>0.19097222222222221</v>
      </c>
      <c r="O25" s="354">
        <v>20</v>
      </c>
      <c r="P25" s="364">
        <f t="shared" ref="P25:P28" si="9">(N25-M25)*24*60</f>
        <v>14.999999999999986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3103</v>
      </c>
      <c r="H26" s="358">
        <f t="shared" si="6"/>
        <v>56412.54</v>
      </c>
      <c r="I26" s="359"/>
      <c r="J26" s="360">
        <v>4</v>
      </c>
      <c r="K26" s="361">
        <f t="shared" si="7"/>
        <v>2778.8059701492557</v>
      </c>
      <c r="L26" s="362">
        <f t="shared" si="8"/>
        <v>694.70149253731392</v>
      </c>
      <c r="M26" s="363">
        <v>0.20486111111111113</v>
      </c>
      <c r="N26" s="363">
        <v>0.25138888888888888</v>
      </c>
      <c r="O26" s="354">
        <v>20</v>
      </c>
      <c r="P26" s="364">
        <f t="shared" si="9"/>
        <v>66.999999999999957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1185</v>
      </c>
      <c r="H27" s="358">
        <f t="shared" si="6"/>
        <v>32314.95</v>
      </c>
      <c r="I27" s="359"/>
      <c r="J27" s="360">
        <v>4</v>
      </c>
      <c r="K27" s="361">
        <f t="shared" si="7"/>
        <v>2734.6153846153861</v>
      </c>
      <c r="L27" s="362">
        <f t="shared" si="8"/>
        <v>683.65384615384653</v>
      </c>
      <c r="M27" s="363">
        <v>0.26527777777777778</v>
      </c>
      <c r="N27" s="363">
        <v>0.28333333333333333</v>
      </c>
      <c r="O27" s="354">
        <v>20</v>
      </c>
      <c r="P27" s="364">
        <f t="shared" si="9"/>
        <v>25.999999999999986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3989</v>
      </c>
      <c r="H28" s="358">
        <f t="shared" si="6"/>
        <v>59954.67</v>
      </c>
      <c r="I28" s="359"/>
      <c r="J28" s="360">
        <v>4</v>
      </c>
      <c r="K28" s="361">
        <f t="shared" si="7"/>
        <v>2783.0232558139528</v>
      </c>
      <c r="L28" s="362">
        <f t="shared" si="8"/>
        <v>695.7558139534882</v>
      </c>
      <c r="M28" s="363">
        <v>0.29722222222222222</v>
      </c>
      <c r="N28" s="363">
        <v>0.35694444444444445</v>
      </c>
      <c r="O28" s="354">
        <v>20</v>
      </c>
      <c r="P28" s="364">
        <f t="shared" si="9"/>
        <v>86.000000000000014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2731.1111526446493</v>
      </c>
      <c r="L38" s="376">
        <f>AVERAGE(L25:L37)</f>
        <v>682.77778816116233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961</v>
      </c>
      <c r="H39" s="358">
        <f t="shared" ref="H39:H47" si="10">F39*G39</f>
        <v>20613.45</v>
      </c>
      <c r="I39" s="359"/>
      <c r="J39" s="360">
        <v>3</v>
      </c>
      <c r="K39" s="361">
        <f>G39/P39*60</f>
        <v>2745.7142857142849</v>
      </c>
      <c r="L39" s="362">
        <f>K39/J39</f>
        <v>915.23809523809496</v>
      </c>
      <c r="M39" s="363">
        <v>0.18055555555555555</v>
      </c>
      <c r="N39" s="363">
        <v>0.19513888888888889</v>
      </c>
      <c r="O39" s="354">
        <v>20</v>
      </c>
      <c r="P39" s="391">
        <f t="shared" ref="P39:P40" si="11">(N39-M39)*24*60</f>
        <v>21.000000000000007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2441</v>
      </c>
      <c r="H40" s="358">
        <f t="shared" si="10"/>
        <v>45231.73</v>
      </c>
      <c r="I40" s="359"/>
      <c r="J40" s="360">
        <v>3</v>
      </c>
      <c r="K40" s="361">
        <f>G40/P40*60</f>
        <v>2763.3962264150937</v>
      </c>
      <c r="L40" s="362">
        <f>K40/J40</f>
        <v>921.13207547169793</v>
      </c>
      <c r="M40" s="363">
        <v>0.20902777777777778</v>
      </c>
      <c r="N40" s="363">
        <v>0.24583333333333335</v>
      </c>
      <c r="O40" s="354">
        <v>20</v>
      </c>
      <c r="P40" s="391">
        <f t="shared" si="11"/>
        <v>53.000000000000014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2754.5552560646893</v>
      </c>
      <c r="L51" s="376">
        <f>AVERAGE(L39:L50)</f>
        <v>918.1850853548965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778</v>
      </c>
      <c r="H52" s="358">
        <f>F52*G52</f>
        <v>19473.34</v>
      </c>
      <c r="I52" s="359"/>
      <c r="J52" s="360">
        <v>4</v>
      </c>
      <c r="K52" s="361">
        <f>G52/P52*60</f>
        <v>3334.2857142857165</v>
      </c>
      <c r="L52" s="362">
        <f>K52/J52</f>
        <v>833.57142857142912</v>
      </c>
      <c r="M52" s="363">
        <v>0.18055555555555555</v>
      </c>
      <c r="N52" s="363">
        <v>0.19027777777777777</v>
      </c>
      <c r="O52" s="361">
        <v>20</v>
      </c>
      <c r="P52" s="364">
        <f>(N52-M52)*24*60</f>
        <v>13.999999999999989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995</v>
      </c>
      <c r="H53" s="358">
        <f t="shared" ref="H53:H62" si="12">F53*G53</f>
        <v>24695.9</v>
      </c>
      <c r="I53" s="359"/>
      <c r="J53" s="360">
        <v>4</v>
      </c>
      <c r="K53" s="361">
        <f t="shared" ref="K53:K55" si="13">G53/P53*60</f>
        <v>3316.6666666666715</v>
      </c>
      <c r="L53" s="362">
        <f t="shared" ref="L53:L55" si="14">K53/J53</f>
        <v>829.16666666666788</v>
      </c>
      <c r="M53" s="363">
        <v>0.20416666666666669</v>
      </c>
      <c r="N53" s="363">
        <v>0.21666666666666667</v>
      </c>
      <c r="O53" s="361">
        <v>20</v>
      </c>
      <c r="P53" s="364">
        <f t="shared" ref="P53:P63" si="15">(N53-M53)*24*60</f>
        <v>17.999999999999975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1706</v>
      </c>
      <c r="H54" s="358">
        <f t="shared" si="12"/>
        <v>51180</v>
      </c>
      <c r="I54" s="359"/>
      <c r="J54" s="360">
        <v>4</v>
      </c>
      <c r="K54" s="361">
        <f t="shared" si="13"/>
        <v>3198.7499999999991</v>
      </c>
      <c r="L54" s="362">
        <f t="shared" si="14"/>
        <v>799.68749999999977</v>
      </c>
      <c r="M54" s="363">
        <v>0.23055555555555554</v>
      </c>
      <c r="N54" s="363">
        <v>0.25277777777777777</v>
      </c>
      <c r="O54" s="361">
        <v>20</v>
      </c>
      <c r="P54" s="364">
        <f t="shared" si="15"/>
        <v>32.000000000000007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2967</v>
      </c>
      <c r="H55" s="358">
        <f t="shared" si="12"/>
        <v>41627.009999999995</v>
      </c>
      <c r="I55" s="359"/>
      <c r="J55" s="360">
        <v>3</v>
      </c>
      <c r="K55" s="361">
        <f t="shared" si="13"/>
        <v>3178.9285714285738</v>
      </c>
      <c r="L55" s="362">
        <f t="shared" si="14"/>
        <v>1059.642857142858</v>
      </c>
      <c r="M55" s="363">
        <v>0.26666666666666666</v>
      </c>
      <c r="N55" s="363">
        <v>0.30555555555555552</v>
      </c>
      <c r="O55" s="361">
        <v>20</v>
      </c>
      <c r="P55" s="364">
        <f t="shared" si="15"/>
        <v>55.999999999999957</v>
      </c>
      <c r="Q55" s="365">
        <v>0.30555555555555552</v>
      </c>
      <c r="R55" s="365">
        <v>0.34722222222222227</v>
      </c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3257.1577380952403</v>
      </c>
      <c r="L64" s="376">
        <f>AVERAGE(L52:L63)</f>
        <v>880.51711309523876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870</v>
      </c>
      <c r="H65" s="358">
        <f>F65*G65</f>
        <v>15816.6</v>
      </c>
      <c r="I65" s="359"/>
      <c r="J65" s="360">
        <v>3</v>
      </c>
      <c r="K65" s="361">
        <f t="shared" ref="K65:K69" si="16">G65/P65*60</f>
        <v>3070.5882352941139</v>
      </c>
      <c r="L65" s="362">
        <f t="shared" ref="L65:L69" si="17">K65/J65</f>
        <v>1023.5294117647046</v>
      </c>
      <c r="M65" s="363">
        <v>0.18055555555555555</v>
      </c>
      <c r="N65" s="363">
        <v>0.19236111111111112</v>
      </c>
      <c r="O65" s="361">
        <v>20</v>
      </c>
      <c r="P65" s="364">
        <f>(N65-M65)*24*60</f>
        <v>17.000000000000021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2955</v>
      </c>
      <c r="H66" s="358">
        <f t="shared" ref="H66:H74" si="18">F66*G66</f>
        <v>49230.3</v>
      </c>
      <c r="I66" s="359"/>
      <c r="J66" s="360">
        <v>4</v>
      </c>
      <c r="K66" s="361">
        <f t="shared" si="16"/>
        <v>2955.0000000000009</v>
      </c>
      <c r="L66" s="362">
        <f t="shared" si="17"/>
        <v>738.75000000000023</v>
      </c>
      <c r="M66" s="363">
        <v>0.20625000000000002</v>
      </c>
      <c r="N66" s="363">
        <v>0.24791666666666667</v>
      </c>
      <c r="O66" s="361">
        <v>20</v>
      </c>
      <c r="P66" s="364">
        <f t="shared" ref="P66:P69" si="19">(N66-M66)*24*60</f>
        <v>59.999999999999986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1829</v>
      </c>
      <c r="H67" s="358">
        <f t="shared" si="18"/>
        <v>32722.472727272725</v>
      </c>
      <c r="I67" s="359"/>
      <c r="J67" s="360">
        <v>3</v>
      </c>
      <c r="K67" s="361">
        <f t="shared" si="16"/>
        <v>2965.9459459459435</v>
      </c>
      <c r="L67" s="362">
        <f t="shared" si="17"/>
        <v>988.64864864864785</v>
      </c>
      <c r="M67" s="363">
        <v>0.26180555555555557</v>
      </c>
      <c r="N67" s="363">
        <v>0.28750000000000003</v>
      </c>
      <c r="O67" s="361">
        <v>20</v>
      </c>
      <c r="P67" s="364">
        <f t="shared" si="19"/>
        <v>37.000000000000028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1618</v>
      </c>
      <c r="H68" s="358">
        <f t="shared" si="18"/>
        <v>29415.239999999998</v>
      </c>
      <c r="I68" s="359"/>
      <c r="J68" s="360">
        <v>3</v>
      </c>
      <c r="K68" s="361">
        <f t="shared" si="16"/>
        <v>2941.8181818181779</v>
      </c>
      <c r="L68" s="362">
        <f t="shared" si="17"/>
        <v>980.60606060605926</v>
      </c>
      <c r="M68" s="363">
        <v>0.30138888888888887</v>
      </c>
      <c r="N68" s="363">
        <v>0.32430555555555557</v>
      </c>
      <c r="O68" s="361">
        <v>20</v>
      </c>
      <c r="P68" s="364">
        <f t="shared" si="19"/>
        <v>33.000000000000043</v>
      </c>
      <c r="Q68" s="365">
        <v>0.32430555555555557</v>
      </c>
      <c r="R68" s="365">
        <v>0.3659722222222222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4566</v>
      </c>
      <c r="H69" s="358">
        <f t="shared" si="18"/>
        <v>65228.571428571413</v>
      </c>
      <c r="I69" s="359"/>
      <c r="J69" s="360">
        <v>3</v>
      </c>
      <c r="K69" s="361">
        <f t="shared" si="16"/>
        <v>3044</v>
      </c>
      <c r="L69" s="362">
        <f t="shared" si="17"/>
        <v>1014.6666666666666</v>
      </c>
      <c r="M69" s="363">
        <v>0.37986111111111115</v>
      </c>
      <c r="N69" s="363">
        <v>0.44236111111111115</v>
      </c>
      <c r="O69" s="361">
        <v>20</v>
      </c>
      <c r="P69" s="364">
        <f t="shared" si="19"/>
        <v>90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2995.4704726116474</v>
      </c>
      <c r="L75" s="376">
        <f>AVERAGE(L65:L74)</f>
        <v>949.24015753721574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456</v>
      </c>
      <c r="H82" s="414">
        <f t="shared" ref="H82:H90" si="20">F82*G82</f>
        <v>8290.08</v>
      </c>
      <c r="I82" s="359"/>
      <c r="J82" s="360">
        <v>4</v>
      </c>
      <c r="K82" s="361">
        <f t="shared" ref="K82:K84" si="21">G82/P82*60</f>
        <v>2736.00000000001</v>
      </c>
      <c r="L82" s="362">
        <f t="shared" ref="L82:L84" si="22">K82/J82</f>
        <v>684.0000000000025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1226</v>
      </c>
      <c r="H83" s="414">
        <f t="shared" si="20"/>
        <v>20474.2</v>
      </c>
      <c r="I83" s="359"/>
      <c r="J83" s="360">
        <v>3</v>
      </c>
      <c r="K83" s="361">
        <f t="shared" si="21"/>
        <v>2942.3999999999919</v>
      </c>
      <c r="L83" s="362">
        <f t="shared" si="22"/>
        <v>980.79999999999734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1072</v>
      </c>
      <c r="H84" s="414">
        <f t="shared" si="20"/>
        <v>23886.109090909089</v>
      </c>
      <c r="I84" s="359"/>
      <c r="J84" s="360">
        <v>4</v>
      </c>
      <c r="K84" s="361">
        <f t="shared" si="21"/>
        <v>2923.636363636374</v>
      </c>
      <c r="L84" s="362">
        <f t="shared" si="22"/>
        <v>730.90909090909349</v>
      </c>
      <c r="M84" s="363">
        <v>0.81597222222222221</v>
      </c>
      <c r="N84" s="363">
        <v>0.83124999999999993</v>
      </c>
      <c r="O84" s="361">
        <v>20</v>
      </c>
      <c r="P84" s="391">
        <f t="shared" ref="P84" si="23">(N84-M84)*24*60</f>
        <v>21.999999999999922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2867.3454545454588</v>
      </c>
      <c r="L91" s="376">
        <f>AVERAGE(L82:L90)</f>
        <v>798.5696969696977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1790</v>
      </c>
      <c r="H92" s="358">
        <f t="shared" ref="H92:H97" si="24">F92*G92</f>
        <v>43926.6</v>
      </c>
      <c r="I92" s="359"/>
      <c r="J92" s="360">
        <v>3</v>
      </c>
      <c r="K92" s="361">
        <f>G92/P92*60</f>
        <v>2386.6666666666665</v>
      </c>
      <c r="L92" s="362">
        <f t="shared" ref="L92:L94" si="25">K92/J92</f>
        <v>795.55555555555554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1083</v>
      </c>
      <c r="H93" s="358">
        <f t="shared" si="24"/>
        <v>24345.84</v>
      </c>
      <c r="I93" s="359"/>
      <c r="J93" s="360">
        <v>4</v>
      </c>
      <c r="K93" s="361">
        <f t="shared" ref="K93:K94" si="26">G93/P93*60</f>
        <v>2165.9999999999964</v>
      </c>
      <c r="L93" s="362">
        <f t="shared" si="25"/>
        <v>541.49999999999909</v>
      </c>
      <c r="M93" s="363">
        <v>0.76736111111111116</v>
      </c>
      <c r="N93" s="363">
        <v>0.78819444444444453</v>
      </c>
      <c r="O93" s="354">
        <v>20</v>
      </c>
      <c r="P93" s="364">
        <f>(N93-M93)*24*60</f>
        <v>30.000000000000053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3581</v>
      </c>
      <c r="H94" s="358">
        <f t="shared" si="24"/>
        <v>79534.010000000009</v>
      </c>
      <c r="I94" s="359"/>
      <c r="J94" s="360">
        <v>4</v>
      </c>
      <c r="K94" s="361">
        <f t="shared" si="26"/>
        <v>2261.6842105263195</v>
      </c>
      <c r="L94" s="362">
        <f t="shared" si="25"/>
        <v>565.42105263157987</v>
      </c>
      <c r="M94" s="363">
        <v>0.80208333333333337</v>
      </c>
      <c r="N94" s="363">
        <v>0.86805555555555547</v>
      </c>
      <c r="O94" s="354">
        <v>20</v>
      </c>
      <c r="P94" s="364">
        <f>(N94-M94)*24*60</f>
        <v>94.999999999999829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2271.4502923976606</v>
      </c>
      <c r="L100" s="376">
        <f>AVERAGE(L92:L99)</f>
        <v>634.15886939571158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1194</v>
      </c>
      <c r="H101" s="358">
        <f t="shared" ref="H101:H110" si="27">F101*G101</f>
        <v>29885.82</v>
      </c>
      <c r="I101" s="359"/>
      <c r="J101" s="360">
        <v>4</v>
      </c>
      <c r="K101" s="361">
        <f>G101/P101*60</f>
        <v>2865.5999999999917</v>
      </c>
      <c r="L101" s="362">
        <f t="shared" ref="L101:L105" si="28">K101/J101</f>
        <v>716.39999999999793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1815</v>
      </c>
      <c r="H102" s="358">
        <f t="shared" si="27"/>
        <v>45048.3</v>
      </c>
      <c r="I102" s="359"/>
      <c r="J102" s="360">
        <v>4</v>
      </c>
      <c r="K102" s="361">
        <f t="shared" ref="K102:K105" si="30">G102/P102*60</f>
        <v>3111.4285714285684</v>
      </c>
      <c r="L102" s="362">
        <f t="shared" si="28"/>
        <v>777.85714285714209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3089</v>
      </c>
      <c r="H103" s="358">
        <f t="shared" si="27"/>
        <v>88252.73</v>
      </c>
      <c r="I103" s="359"/>
      <c r="J103" s="360">
        <v>3</v>
      </c>
      <c r="K103" s="361">
        <f t="shared" si="30"/>
        <v>3089.0000000000032</v>
      </c>
      <c r="L103" s="362">
        <f t="shared" si="28"/>
        <v>1029.6666666666677</v>
      </c>
      <c r="M103" s="363">
        <v>0.79513888888888884</v>
      </c>
      <c r="N103" s="363">
        <v>0.83680555555555547</v>
      </c>
      <c r="O103" s="354">
        <v>25</v>
      </c>
      <c r="P103" s="361">
        <f t="shared" si="29"/>
        <v>59.999999999999943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6070</v>
      </c>
      <c r="H104" s="358">
        <f t="shared" si="27"/>
        <v>85162.099999999991</v>
      </c>
      <c r="I104" s="359"/>
      <c r="J104" s="360">
        <v>3</v>
      </c>
      <c r="K104" s="361">
        <f t="shared" si="30"/>
        <v>3035.0000000000027</v>
      </c>
      <c r="L104" s="362">
        <f t="shared" si="28"/>
        <v>1011.6666666666675</v>
      </c>
      <c r="M104" s="363">
        <v>0.85069444444444453</v>
      </c>
      <c r="N104" s="363">
        <v>0.93402777777777779</v>
      </c>
      <c r="O104" s="354">
        <v>20</v>
      </c>
      <c r="P104" s="361">
        <f>(N104-M104)*24*60</f>
        <v>119.99999999999989</v>
      </c>
      <c r="Q104" s="365">
        <v>0.93402777777777779</v>
      </c>
      <c r="R104" s="365">
        <v>0.97569444444444453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8507</v>
      </c>
      <c r="H105" s="358">
        <f t="shared" si="27"/>
        <v>121528.57142857141</v>
      </c>
      <c r="I105" s="359"/>
      <c r="J105" s="360">
        <v>3</v>
      </c>
      <c r="K105" s="361">
        <f t="shared" si="30"/>
        <v>3002.4705882558546</v>
      </c>
      <c r="L105" s="362">
        <f t="shared" si="28"/>
        <v>1000.8235294186183</v>
      </c>
      <c r="M105" s="363">
        <v>46084.989583333336</v>
      </c>
      <c r="N105" s="363">
        <v>46085.107638888891</v>
      </c>
      <c r="O105" s="354">
        <v>20</v>
      </c>
      <c r="P105" s="361">
        <f>(N105-M105)*24*60</f>
        <v>169.99999999883585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3020.6998319368845</v>
      </c>
      <c r="L111" s="376">
        <f>AVERAGE(L101:L110)</f>
        <v>907.28280112181869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1031</v>
      </c>
      <c r="H112" s="414">
        <f t="shared" si="3"/>
        <v>18743.579999999998</v>
      </c>
      <c r="I112" s="359"/>
      <c r="J112" s="360">
        <v>4</v>
      </c>
      <c r="K112" s="361">
        <f t="shared" ref="K112:K115" si="31">G112/P112*60</f>
        <v>3092.9999999999864</v>
      </c>
      <c r="L112" s="362">
        <f t="shared" ref="L112:L115" si="32">K112/J112</f>
        <v>773.24999999999659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1148</v>
      </c>
      <c r="H113" s="414">
        <f t="shared" si="3"/>
        <v>20870.64</v>
      </c>
      <c r="I113" s="359"/>
      <c r="J113" s="360">
        <v>3</v>
      </c>
      <c r="K113" s="361">
        <f t="shared" si="31"/>
        <v>3444.0000000000123</v>
      </c>
      <c r="L113" s="362">
        <f t="shared" si="32"/>
        <v>1148.0000000000041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5639</v>
      </c>
      <c r="H114" s="414">
        <f>F114*G114</f>
        <v>93945.74</v>
      </c>
      <c r="I114" s="359"/>
      <c r="J114" s="360">
        <v>4</v>
      </c>
      <c r="K114" s="361">
        <f t="shared" si="31"/>
        <v>2819.4999999999986</v>
      </c>
      <c r="L114" s="362">
        <f t="shared" si="32"/>
        <v>704.87499999999966</v>
      </c>
      <c r="M114" s="363">
        <v>0.77777777777777779</v>
      </c>
      <c r="N114" s="363">
        <v>0.86111111111111116</v>
      </c>
      <c r="O114" s="354">
        <v>20</v>
      </c>
      <c r="P114" s="364">
        <f t="shared" si="33"/>
        <v>120.00000000000006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3859</v>
      </c>
      <c r="H115" s="414">
        <f t="shared" ref="H115:H123" si="34">F115*G115</f>
        <v>69041.018181818174</v>
      </c>
      <c r="I115" s="359"/>
      <c r="J115" s="360">
        <v>3</v>
      </c>
      <c r="K115" s="361">
        <f t="shared" si="31"/>
        <v>2894.2500000000045</v>
      </c>
      <c r="L115" s="362">
        <f t="shared" si="32"/>
        <v>964.75000000000148</v>
      </c>
      <c r="M115" s="363">
        <v>0.875</v>
      </c>
      <c r="N115" s="363">
        <v>0.93055555555555547</v>
      </c>
      <c r="O115" s="354">
        <v>20</v>
      </c>
      <c r="P115" s="364">
        <f t="shared" si="33"/>
        <v>79.999999999999872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3062.6875</v>
      </c>
      <c r="L124" s="376">
        <f>AVERAGE(L112:L123)</f>
        <v>897.71875000000045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98" activePane="bottomLeft" state="frozen"/>
      <selection activeCell="Q96" sqref="Q9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69" t="s">
        <v>269</v>
      </c>
      <c r="E1" s="63">
        <f>SUM(G5:G173)</f>
        <v>171134.6</v>
      </c>
      <c r="F1" s="75" t="s">
        <v>3</v>
      </c>
      <c r="G1" s="64">
        <f>SUM(H5:H173)</f>
        <v>6954778.4161163829</v>
      </c>
      <c r="H1" s="67" t="s">
        <v>77</v>
      </c>
      <c r="I1" s="65">
        <f>M17+M30+M43+M56+M69+M82+M95+M108+M121+M134+M147+M160+M173</f>
        <v>199.3011904761905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270</v>
      </c>
      <c r="Q1" s="638"/>
      <c r="R1" s="638"/>
      <c r="S1" s="638"/>
      <c r="T1" s="638" t="s">
        <v>271</v>
      </c>
      <c r="U1" s="638"/>
      <c r="V1" s="638"/>
      <c r="W1" s="638"/>
      <c r="X1" s="638"/>
      <c r="Y1" s="638"/>
      <c r="Z1" s="66" t="s">
        <v>272</v>
      </c>
      <c r="AA1" s="66" t="s">
        <v>273</v>
      </c>
      <c r="AB1" s="639" t="s">
        <v>274</v>
      </c>
      <c r="AC1" s="640"/>
      <c r="AD1" s="66" t="s">
        <v>272</v>
      </c>
      <c r="AE1" s="66" t="s">
        <v>275</v>
      </c>
      <c r="AF1" s="638" t="s">
        <v>276</v>
      </c>
      <c r="AG1" s="643"/>
      <c r="AH1" s="643"/>
    </row>
    <row r="2" spans="1:34" ht="26.25" customHeight="1">
      <c r="A2" s="637" t="s">
        <v>277</v>
      </c>
      <c r="B2" s="637"/>
      <c r="C2" s="69"/>
      <c r="D2" s="69" t="s">
        <v>278</v>
      </c>
      <c r="E2" s="70">
        <f>AVERAGE(O17,O30,O43,O56,O69,O82,O95,O108,O121,O134,O147,O160,O173)</f>
        <v>123.10187996142096</v>
      </c>
      <c r="F2" s="71" t="s">
        <v>80</v>
      </c>
      <c r="G2" s="72">
        <f>G1/E1</f>
        <v>40.639230267382416</v>
      </c>
      <c r="H2" s="67" t="s">
        <v>81</v>
      </c>
      <c r="I2" s="67">
        <f>COUNT(I5:I173)</f>
        <v>4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1</v>
      </c>
      <c r="AE2" s="74">
        <f>AE17+AE30+AE43+AE56+AE69+AE82+AE95+AE108+AE121+AE134+AE147+AE160+AE173</f>
        <v>3</v>
      </c>
      <c r="AF2" s="643"/>
      <c r="AG2" s="643"/>
      <c r="AH2" s="643"/>
    </row>
    <row r="3" spans="1:34" ht="30.6" customHeight="1">
      <c r="A3" s="571" t="s">
        <v>279</v>
      </c>
      <c r="B3" s="571" t="s">
        <v>82</v>
      </c>
      <c r="C3" s="635"/>
      <c r="D3" s="571" t="s">
        <v>280</v>
      </c>
      <c r="E3" s="571"/>
      <c r="F3" s="635" t="s">
        <v>83</v>
      </c>
      <c r="G3" s="629" t="s">
        <v>84</v>
      </c>
      <c r="H3" s="635" t="s">
        <v>85</v>
      </c>
      <c r="I3" s="631" t="s">
        <v>281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282</v>
      </c>
      <c r="O3" s="605" t="s">
        <v>278</v>
      </c>
      <c r="P3" s="634" t="s">
        <v>283</v>
      </c>
      <c r="Q3" s="605" t="s">
        <v>278</v>
      </c>
      <c r="R3" s="625" t="s">
        <v>284</v>
      </c>
      <c r="S3" s="602" t="s">
        <v>285</v>
      </c>
      <c r="T3" s="629" t="s">
        <v>88</v>
      </c>
      <c r="U3" s="629"/>
      <c r="V3" s="630" t="s">
        <v>89</v>
      </c>
      <c r="W3" s="631" t="s">
        <v>286</v>
      </c>
      <c r="X3" s="629" t="s">
        <v>287</v>
      </c>
      <c r="Y3" s="629"/>
      <c r="Z3" s="632" t="s">
        <v>288</v>
      </c>
      <c r="AA3" s="633"/>
      <c r="AB3" s="620" t="s">
        <v>289</v>
      </c>
      <c r="AC3" s="621"/>
      <c r="AD3" s="622" t="s">
        <v>290</v>
      </c>
      <c r="AE3" s="623"/>
      <c r="AF3" s="624" t="s">
        <v>282</v>
      </c>
      <c r="AG3" s="625" t="s">
        <v>284</v>
      </c>
      <c r="AH3" s="602" t="s">
        <v>285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291</v>
      </c>
      <c r="Y4" s="75" t="s">
        <v>76</v>
      </c>
      <c r="Z4" s="76" t="s">
        <v>292</v>
      </c>
      <c r="AA4" s="76" t="s">
        <v>293</v>
      </c>
      <c r="AB4" s="621"/>
      <c r="AC4" s="621"/>
      <c r="AD4" s="76" t="s">
        <v>294</v>
      </c>
      <c r="AE4" s="77" t="s">
        <v>295</v>
      </c>
      <c r="AF4" s="624"/>
      <c r="AG4" s="625"/>
      <c r="AH4" s="602"/>
    </row>
    <row r="5" spans="1:34" ht="18.75" customHeight="1">
      <c r="A5" s="626" t="s">
        <v>296</v>
      </c>
      <c r="B5" s="78" t="s">
        <v>242</v>
      </c>
      <c r="C5" s="79"/>
      <c r="D5" s="80" t="s">
        <v>95</v>
      </c>
      <c r="E5" s="81"/>
      <c r="F5" s="650">
        <v>37.94</v>
      </c>
      <c r="G5" s="82">
        <v>2917.2000000000003</v>
      </c>
      <c r="H5" s="83">
        <f t="shared" ref="H5:H16" si="0">F5*G5</f>
        <v>110678.568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4" si="1">G5/W5*60</f>
        <v>2244.0000000000018</v>
      </c>
      <c r="O5" s="86">
        <f t="shared" ref="O5:O14" si="2">N5/M5</f>
        <v>112.20000000000009</v>
      </c>
      <c r="P5" s="88">
        <f t="shared" ref="P5:P14" si="3">M5-J5</f>
        <v>0</v>
      </c>
      <c r="Q5" s="89">
        <f t="shared" ref="Q5:Q14" si="4">O5-L5</f>
        <v>-7.7999999999999119</v>
      </c>
      <c r="R5" s="90">
        <f t="shared" ref="R5:R14" si="5">O5/L5</f>
        <v>0.93500000000000072</v>
      </c>
      <c r="S5" s="590">
        <f>R17</f>
        <v>0.93350559237928443</v>
      </c>
      <c r="T5" s="91">
        <v>0.29166666666666669</v>
      </c>
      <c r="U5" s="91">
        <v>0.34583333333333333</v>
      </c>
      <c r="V5" s="75">
        <v>5</v>
      </c>
      <c r="W5" s="84">
        <f>(U5-T5)*24*60</f>
        <v>77.999999999999957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-155.99999999999818</v>
      </c>
      <c r="AG5" s="90">
        <f t="shared" ref="AG5:AG70" si="7">N5/K5</f>
        <v>0.93500000000000072</v>
      </c>
      <c r="AH5" s="590">
        <f>AG17</f>
        <v>0.97933059330810868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1828.45</v>
      </c>
      <c r="H6" s="83">
        <f t="shared" si="0"/>
        <v>57168.558717218781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2612.071428571428</v>
      </c>
      <c r="O6" s="86">
        <f t="shared" si="2"/>
        <v>137.47744360902252</v>
      </c>
      <c r="P6" s="88">
        <f t="shared" si="3"/>
        <v>1</v>
      </c>
      <c r="Q6" s="89">
        <f t="shared" si="4"/>
        <v>-6.9670008354219419</v>
      </c>
      <c r="R6" s="90">
        <f t="shared" si="5"/>
        <v>0.95176691729323271</v>
      </c>
      <c r="S6" s="590"/>
      <c r="T6" s="91">
        <v>0.35</v>
      </c>
      <c r="U6" s="91">
        <v>0.37916666666666665</v>
      </c>
      <c r="V6" s="75">
        <v>6</v>
      </c>
      <c r="W6" s="84">
        <f t="shared" ref="W6:W17" si="8">(U6-T6)*24*60</f>
        <v>42.000000000000014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12.071428571427987</v>
      </c>
      <c r="AG6" s="90">
        <f t="shared" si="7"/>
        <v>1.0046428571428569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2608.4500000000003</v>
      </c>
      <c r="H7" s="83">
        <f t="shared" si="0"/>
        <v>100766.90773809522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2652.6610169491514</v>
      </c>
      <c r="O7" s="86">
        <f t="shared" si="2"/>
        <v>139.61373773416585</v>
      </c>
      <c r="P7" s="88">
        <f t="shared" si="3"/>
        <v>1</v>
      </c>
      <c r="Q7" s="89">
        <f t="shared" si="4"/>
        <v>-4.830706710278605</v>
      </c>
      <c r="R7" s="90">
        <f t="shared" si="5"/>
        <v>0.96655664585191736</v>
      </c>
      <c r="S7" s="590"/>
      <c r="T7" s="91">
        <v>0.39444444444444443</v>
      </c>
      <c r="U7" s="91">
        <v>0.43541666666666667</v>
      </c>
      <c r="V7" s="75">
        <v>22</v>
      </c>
      <c r="W7" s="84">
        <f t="shared" si="8"/>
        <v>59.000000000000028</v>
      </c>
      <c r="X7" s="94">
        <v>0.38263888888888892</v>
      </c>
      <c r="Y7" s="94">
        <v>0.39166666666666666</v>
      </c>
      <c r="Z7" s="95"/>
      <c r="AA7" s="95"/>
      <c r="AB7" s="571"/>
      <c r="AC7" s="571"/>
      <c r="AD7" s="332"/>
      <c r="AE7" s="332"/>
      <c r="AF7" s="88">
        <f t="shared" si="6"/>
        <v>52.661016949151417</v>
      </c>
      <c r="AG7" s="90">
        <f t="shared" si="7"/>
        <v>1.0202542372881351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3771.6</v>
      </c>
      <c r="H8" s="83">
        <f t="shared" si="0"/>
        <v>143320.79999999999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2631.348837209302</v>
      </c>
      <c r="O8" s="86">
        <f t="shared" si="2"/>
        <v>131.5674418604651</v>
      </c>
      <c r="P8" s="88">
        <f t="shared" si="3"/>
        <v>1</v>
      </c>
      <c r="Q8" s="89">
        <f t="shared" si="4"/>
        <v>-5.274663402692795</v>
      </c>
      <c r="R8" s="90">
        <f t="shared" si="5"/>
        <v>0.96145438282647577</v>
      </c>
      <c r="S8" s="590"/>
      <c r="T8" s="91">
        <v>0.43958333333333333</v>
      </c>
      <c r="U8" s="91">
        <v>0.49930555555555556</v>
      </c>
      <c r="V8" s="75">
        <v>6</v>
      </c>
      <c r="W8" s="84">
        <f t="shared" si="8"/>
        <v>86.000000000000014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31.348837209302019</v>
      </c>
      <c r="AG8" s="90">
        <f t="shared" si="7"/>
        <v>1.0120572450805008</v>
      </c>
      <c r="AH8" s="590"/>
    </row>
    <row r="9" spans="1:34" ht="19.2" customHeight="1">
      <c r="A9" s="627"/>
      <c r="B9" s="78" t="s">
        <v>244</v>
      </c>
      <c r="C9" s="96"/>
      <c r="D9" s="80" t="s">
        <v>297</v>
      </c>
      <c r="E9" s="97"/>
      <c r="F9" s="650">
        <v>38.1</v>
      </c>
      <c r="G9" s="98">
        <v>1389.3</v>
      </c>
      <c r="H9" s="83">
        <f t="shared" si="0"/>
        <v>52932.33</v>
      </c>
      <c r="I9" s="332"/>
      <c r="J9" s="85">
        <v>17</v>
      </c>
      <c r="K9" s="82">
        <v>1500</v>
      </c>
      <c r="L9" s="86">
        <v>88.235294117647058</v>
      </c>
      <c r="M9" s="87">
        <v>17</v>
      </c>
      <c r="N9" s="82">
        <f t="shared" si="1"/>
        <v>1323.1428571428585</v>
      </c>
      <c r="O9" s="86">
        <f t="shared" si="2"/>
        <v>77.831932773109315</v>
      </c>
      <c r="P9" s="88">
        <f t="shared" si="3"/>
        <v>0</v>
      </c>
      <c r="Q9" s="89">
        <f t="shared" si="4"/>
        <v>-10.403361344537743</v>
      </c>
      <c r="R9" s="90">
        <f t="shared" si="5"/>
        <v>0.88209523809523893</v>
      </c>
      <c r="S9" s="590"/>
      <c r="T9" s="91">
        <v>0.54097222222222219</v>
      </c>
      <c r="U9" s="91">
        <v>0.58472222222222214</v>
      </c>
      <c r="V9" s="75">
        <v>7</v>
      </c>
      <c r="W9" s="84">
        <f t="shared" si="8"/>
        <v>62.999999999999936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-176.85714285714153</v>
      </c>
      <c r="AG9" s="90">
        <f t="shared" si="7"/>
        <v>0.88209523809523893</v>
      </c>
      <c r="AH9" s="590"/>
    </row>
    <row r="10" spans="1:34" ht="19.2" customHeight="1">
      <c r="A10" s="628"/>
      <c r="B10" s="78" t="s">
        <v>242</v>
      </c>
      <c r="C10" s="79"/>
      <c r="D10" s="80" t="s">
        <v>98</v>
      </c>
      <c r="E10" s="81"/>
      <c r="F10" s="650">
        <v>38</v>
      </c>
      <c r="G10" s="82">
        <v>1616.3999999999999</v>
      </c>
      <c r="H10" s="83">
        <f t="shared" si="0"/>
        <v>61423.199999999997</v>
      </c>
      <c r="I10" s="84"/>
      <c r="J10" s="85">
        <v>19</v>
      </c>
      <c r="K10" s="82">
        <v>2600</v>
      </c>
      <c r="L10" s="86">
        <v>136.84210526315789</v>
      </c>
      <c r="M10" s="87">
        <v>20</v>
      </c>
      <c r="N10" s="82">
        <f t="shared" si="1"/>
        <v>2621.1891891891869</v>
      </c>
      <c r="O10" s="86">
        <f t="shared" si="2"/>
        <v>131.05945945945933</v>
      </c>
      <c r="P10" s="88">
        <f t="shared" si="3"/>
        <v>1</v>
      </c>
      <c r="Q10" s="89">
        <f t="shared" si="4"/>
        <v>-5.7826458036985571</v>
      </c>
      <c r="R10" s="90">
        <f t="shared" si="5"/>
        <v>0.95774220374220287</v>
      </c>
      <c r="S10" s="593"/>
      <c r="T10" s="91">
        <v>0.5888888888888888</v>
      </c>
      <c r="U10" s="91">
        <v>0.61458333333333326</v>
      </c>
      <c r="V10" s="75">
        <v>6</v>
      </c>
      <c r="W10" s="84">
        <f t="shared" si="8"/>
        <v>37.000000000000028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21.189189189186891</v>
      </c>
      <c r="AG10" s="90">
        <f t="shared" si="7"/>
        <v>1.0081496881496872</v>
      </c>
      <c r="AH10" s="593"/>
    </row>
    <row r="11" spans="1:34" ht="19.2" customHeight="1">
      <c r="A11" s="628"/>
      <c r="B11" s="78" t="s">
        <v>242</v>
      </c>
      <c r="C11" s="79"/>
      <c r="D11" s="80" t="s">
        <v>97</v>
      </c>
      <c r="E11" s="81"/>
      <c r="F11" s="650">
        <v>38.630952380952372</v>
      </c>
      <c r="G11" s="82">
        <v>1404.55</v>
      </c>
      <c r="H11" s="83">
        <f t="shared" si="0"/>
        <v>54259.10416666665</v>
      </c>
      <c r="I11" s="84"/>
      <c r="J11" s="85">
        <v>18</v>
      </c>
      <c r="K11" s="82">
        <v>2600</v>
      </c>
      <c r="L11" s="86">
        <v>144.44444444444446</v>
      </c>
      <c r="M11" s="87">
        <v>20</v>
      </c>
      <c r="N11" s="82">
        <f t="shared" si="1"/>
        <v>2633.5312499999964</v>
      </c>
      <c r="O11" s="86">
        <f t="shared" si="2"/>
        <v>131.67656249999982</v>
      </c>
      <c r="P11" s="88">
        <f t="shared" si="3"/>
        <v>2</v>
      </c>
      <c r="Q11" s="89">
        <f t="shared" si="4"/>
        <v>-12.767881944444639</v>
      </c>
      <c r="R11" s="90">
        <f t="shared" si="5"/>
        <v>0.91160697115384481</v>
      </c>
      <c r="S11" s="593"/>
      <c r="T11" s="91">
        <v>0.6201388888888888</v>
      </c>
      <c r="U11" s="91">
        <v>0.64236111111111105</v>
      </c>
      <c r="V11" s="75">
        <v>8</v>
      </c>
      <c r="W11" s="84">
        <f t="shared" si="8"/>
        <v>32.000000000000043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33.531249999996362</v>
      </c>
      <c r="AG11" s="90">
        <f t="shared" si="7"/>
        <v>1.0128966346153832</v>
      </c>
      <c r="AH11" s="593"/>
    </row>
    <row r="12" spans="1:34" ht="19.2" customHeight="1">
      <c r="A12" s="628"/>
      <c r="B12" s="78" t="s">
        <v>242</v>
      </c>
      <c r="C12" s="79"/>
      <c r="D12" s="80" t="s">
        <v>96</v>
      </c>
      <c r="E12" s="81"/>
      <c r="F12" s="650">
        <v>31.266131815044861</v>
      </c>
      <c r="G12" s="82">
        <v>984.55</v>
      </c>
      <c r="H12" s="83">
        <f t="shared" si="0"/>
        <v>30783.070078502416</v>
      </c>
      <c r="I12" s="84"/>
      <c r="J12" s="85">
        <v>18</v>
      </c>
      <c r="K12" s="82">
        <v>2600</v>
      </c>
      <c r="L12" s="86">
        <v>144.44444444444446</v>
      </c>
      <c r="M12" s="87">
        <v>20</v>
      </c>
      <c r="N12" s="82">
        <f t="shared" si="1"/>
        <v>2568.3913043478174</v>
      </c>
      <c r="O12" s="86">
        <f t="shared" si="2"/>
        <v>128.41956521739087</v>
      </c>
      <c r="P12" s="88">
        <f t="shared" si="3"/>
        <v>2</v>
      </c>
      <c r="Q12" s="89">
        <f t="shared" si="4"/>
        <v>-16.024879227053589</v>
      </c>
      <c r="R12" s="90">
        <f t="shared" si="5"/>
        <v>0.88905852842809052</v>
      </c>
      <c r="S12" s="593"/>
      <c r="T12" s="91">
        <v>0.65833333333333321</v>
      </c>
      <c r="U12" s="91">
        <v>0.67430555555555549</v>
      </c>
      <c r="V12" s="75">
        <v>23</v>
      </c>
      <c r="W12" s="84">
        <f t="shared" si="8"/>
        <v>23.000000000000078</v>
      </c>
      <c r="X12" s="94">
        <v>0.64583333333333337</v>
      </c>
      <c r="Y12" s="94">
        <v>0.65555555555555556</v>
      </c>
      <c r="Z12" s="95"/>
      <c r="AA12" s="95"/>
      <c r="AB12" s="571"/>
      <c r="AC12" s="571"/>
      <c r="AD12" s="332"/>
      <c r="AE12" s="332"/>
      <c r="AF12" s="88">
        <f t="shared" si="6"/>
        <v>-31.608695652182632</v>
      </c>
      <c r="AG12" s="90">
        <f t="shared" si="7"/>
        <v>0.98784280936454516</v>
      </c>
      <c r="AH12" s="593"/>
    </row>
    <row r="13" spans="1:34" ht="19.2" customHeight="1">
      <c r="A13" s="628"/>
      <c r="B13" s="78" t="s">
        <v>242</v>
      </c>
      <c r="C13" s="99"/>
      <c r="D13" s="100" t="s">
        <v>95</v>
      </c>
      <c r="E13" s="101"/>
      <c r="F13" s="650">
        <v>37.94</v>
      </c>
      <c r="G13" s="102">
        <v>1570.8</v>
      </c>
      <c r="H13" s="83">
        <f t="shared" si="0"/>
        <v>59596.151999999995</v>
      </c>
      <c r="I13" s="103"/>
      <c r="J13" s="85">
        <v>20</v>
      </c>
      <c r="K13" s="82">
        <v>2400</v>
      </c>
      <c r="L13" s="86">
        <v>120</v>
      </c>
      <c r="M13" s="104">
        <v>20</v>
      </c>
      <c r="N13" s="82">
        <f t="shared" si="1"/>
        <v>2243.9999999999991</v>
      </c>
      <c r="O13" s="86">
        <f t="shared" si="2"/>
        <v>112.19999999999996</v>
      </c>
      <c r="P13" s="88">
        <f t="shared" si="3"/>
        <v>0</v>
      </c>
      <c r="Q13" s="89">
        <f t="shared" si="4"/>
        <v>-7.8000000000000398</v>
      </c>
      <c r="R13" s="90">
        <f t="shared" si="5"/>
        <v>0.93499999999999972</v>
      </c>
      <c r="S13" s="593"/>
      <c r="T13" s="105">
        <v>0.67847222222222214</v>
      </c>
      <c r="U13" s="105">
        <v>0.70763888888888882</v>
      </c>
      <c r="V13" s="103">
        <v>6</v>
      </c>
      <c r="W13" s="84">
        <f t="shared" si="8"/>
        <v>42.000000000000014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-156.00000000000091</v>
      </c>
      <c r="AG13" s="90">
        <f t="shared" si="7"/>
        <v>0.93499999999999961</v>
      </c>
      <c r="AH13" s="593"/>
    </row>
    <row r="14" spans="1:34" ht="19.2" customHeight="1">
      <c r="A14" s="628"/>
      <c r="B14" s="78" t="s">
        <v>247</v>
      </c>
      <c r="C14" s="109"/>
      <c r="D14" s="80" t="s">
        <v>298</v>
      </c>
      <c r="E14" s="81"/>
      <c r="F14" s="650">
        <v>50.67</v>
      </c>
      <c r="G14" s="102">
        <v>1801.8</v>
      </c>
      <c r="H14" s="83">
        <f t="shared" si="0"/>
        <v>91297.206000000006</v>
      </c>
      <c r="I14" s="103"/>
      <c r="J14" s="85">
        <v>18</v>
      </c>
      <c r="K14" s="82">
        <v>1500</v>
      </c>
      <c r="L14" s="86">
        <v>83.333333333333329</v>
      </c>
      <c r="M14" s="104">
        <v>18</v>
      </c>
      <c r="N14" s="82">
        <f t="shared" si="1"/>
        <v>1385.9999999999993</v>
      </c>
      <c r="O14" s="86">
        <f t="shared" si="2"/>
        <v>76.999999999999957</v>
      </c>
      <c r="P14" s="88">
        <f t="shared" si="3"/>
        <v>0</v>
      </c>
      <c r="Q14" s="89">
        <f t="shared" si="4"/>
        <v>-6.3333333333333712</v>
      </c>
      <c r="R14" s="90">
        <f t="shared" si="5"/>
        <v>0.92399999999999949</v>
      </c>
      <c r="S14" s="593"/>
      <c r="T14" s="105">
        <v>0.7222222222222221</v>
      </c>
      <c r="U14" s="105">
        <v>0.7763888888888888</v>
      </c>
      <c r="V14" s="103">
        <v>21</v>
      </c>
      <c r="W14" s="84">
        <f t="shared" si="8"/>
        <v>78.000000000000043</v>
      </c>
      <c r="X14" s="106">
        <v>0.71111111111111114</v>
      </c>
      <c r="Y14" s="106">
        <v>0.71944444444444444</v>
      </c>
      <c r="Z14" s="95"/>
      <c r="AA14" s="95"/>
      <c r="AB14" s="571"/>
      <c r="AC14" s="571"/>
      <c r="AD14" s="332">
        <v>1</v>
      </c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299</v>
      </c>
      <c r="D17" s="577" t="s">
        <v>300</v>
      </c>
      <c r="E17" s="577"/>
      <c r="F17" s="651"/>
      <c r="G17" s="113"/>
      <c r="H17" s="114"/>
      <c r="I17" s="115"/>
      <c r="J17" s="113">
        <v>18.5</v>
      </c>
      <c r="K17" s="113">
        <v>2340</v>
      </c>
      <c r="L17" s="116">
        <v>126.3030615755074</v>
      </c>
      <c r="M17" s="113">
        <f t="shared" ref="J17:O17" si="9">AVERAGE(M5:M16)</f>
        <v>19.3</v>
      </c>
      <c r="N17" s="113">
        <f t="shared" si="9"/>
        <v>2291.6335883409743</v>
      </c>
      <c r="O17" s="116">
        <f t="shared" si="9"/>
        <v>117.90461431536127</v>
      </c>
      <c r="P17" s="107">
        <f t="shared" ref="P17:P22" si="10">M17-J17</f>
        <v>0.80000000000000071</v>
      </c>
      <c r="Q17" s="117">
        <f t="shared" ref="Q17:Q22" si="11">O17-L17</f>
        <v>-8.3984472601461277</v>
      </c>
      <c r="R17" s="118">
        <f>O17/L17</f>
        <v>0.93350559237928443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1</v>
      </c>
      <c r="AE17" s="122">
        <f>SUM(AE5:AE16)</f>
        <v>0</v>
      </c>
      <c r="AF17" s="107">
        <f t="shared" si="6"/>
        <v>-48.366411659025744</v>
      </c>
      <c r="AG17" s="108">
        <f t="shared" si="7"/>
        <v>0.97933059330810868</v>
      </c>
      <c r="AH17" s="593"/>
    </row>
    <row r="18" spans="1:34" ht="19.2" customHeight="1">
      <c r="A18" s="574" t="s">
        <v>301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2710</v>
      </c>
      <c r="H18" s="127">
        <f t="shared" ref="H18:H29" si="12">F18*G18</f>
        <v>99890.599999999991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2167.9999999999995</v>
      </c>
      <c r="O18" s="129">
        <f t="shared" ref="O18:O22" si="14">N18/M18</f>
        <v>120.44444444444441</v>
      </c>
      <c r="P18" s="95">
        <f t="shared" si="10"/>
        <v>1</v>
      </c>
      <c r="Q18" s="131">
        <f t="shared" si="11"/>
        <v>-11.908496732026165</v>
      </c>
      <c r="R18" s="132">
        <f t="shared" ref="R18:R22" si="15">O18/L18</f>
        <v>0.91002469135802455</v>
      </c>
      <c r="S18" s="575">
        <f>R30</f>
        <v>0.89487511449602775</v>
      </c>
      <c r="T18" s="133">
        <v>0.16666666666666666</v>
      </c>
      <c r="U18" s="133">
        <v>0.21875</v>
      </c>
      <c r="V18" s="332">
        <v>5</v>
      </c>
      <c r="W18" s="134">
        <f>(U18-T18)*24*60</f>
        <v>75.000000000000014</v>
      </c>
      <c r="X18" s="129"/>
      <c r="Y18" s="129"/>
      <c r="Z18" s="95"/>
      <c r="AA18" s="95"/>
      <c r="AB18" s="571"/>
      <c r="AC18" s="571"/>
      <c r="AD18" s="332"/>
      <c r="AE18" s="332">
        <v>1</v>
      </c>
      <c r="AF18" s="135">
        <f t="shared" si="6"/>
        <v>-82.000000000000455</v>
      </c>
      <c r="AG18" s="136">
        <f t="shared" si="7"/>
        <v>0.96355555555555539</v>
      </c>
      <c r="AH18" s="616">
        <f>AG30</f>
        <v>0.91958067189701176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2277.7999999999997</v>
      </c>
      <c r="H19" s="127">
        <f t="shared" si="12"/>
        <v>87444.741999999984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1438.610526315789</v>
      </c>
      <c r="O19" s="139">
        <f t="shared" si="14"/>
        <v>84.624148606811119</v>
      </c>
      <c r="P19" s="95">
        <f t="shared" si="10"/>
        <v>1</v>
      </c>
      <c r="Q19" s="131">
        <f t="shared" si="11"/>
        <v>-17.625851393188881</v>
      </c>
      <c r="R19" s="132">
        <f t="shared" si="15"/>
        <v>0.82762003527443639</v>
      </c>
      <c r="S19" s="575"/>
      <c r="T19" s="133">
        <v>0.22361111111111112</v>
      </c>
      <c r="U19" s="133">
        <v>0.28958333333333336</v>
      </c>
      <c r="V19" s="332">
        <v>7</v>
      </c>
      <c r="W19" s="134">
        <f>(U19-T19)*24*60</f>
        <v>95.000000000000028</v>
      </c>
      <c r="X19" s="140"/>
      <c r="Y19" s="140"/>
      <c r="Z19" s="95"/>
      <c r="AA19" s="95"/>
      <c r="AB19" s="571"/>
      <c r="AC19" s="571"/>
      <c r="AD19" s="332"/>
      <c r="AE19" s="332"/>
      <c r="AF19" s="88">
        <f t="shared" si="6"/>
        <v>-197.389473684211</v>
      </c>
      <c r="AG19" s="90">
        <f t="shared" si="7"/>
        <v>0.87934628747908861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2106</v>
      </c>
      <c r="H20" s="127">
        <f t="shared" si="12"/>
        <v>90852.84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1388.5714285714284</v>
      </c>
      <c r="O20" s="139">
        <f t="shared" si="14"/>
        <v>86.785714285714278</v>
      </c>
      <c r="P20" s="95">
        <f t="shared" si="10"/>
        <v>0</v>
      </c>
      <c r="Q20" s="131">
        <f t="shared" si="11"/>
        <v>-3.2142857142857224</v>
      </c>
      <c r="R20" s="132">
        <f t="shared" si="15"/>
        <v>0.96428571428571419</v>
      </c>
      <c r="S20" s="575"/>
      <c r="T20" s="133">
        <v>0.30486111111111114</v>
      </c>
      <c r="U20" s="133">
        <v>0.36805555555555558</v>
      </c>
      <c r="V20" s="332">
        <v>22</v>
      </c>
      <c r="W20" s="134">
        <f t="shared" ref="W20:W29" si="16">(U20-T20)*24*60</f>
        <v>91</v>
      </c>
      <c r="X20" s="140">
        <v>0.29305555555555557</v>
      </c>
      <c r="Y20" s="140">
        <v>0.30208333333333331</v>
      </c>
      <c r="Z20" s="95"/>
      <c r="AA20" s="95"/>
      <c r="AB20" s="571"/>
      <c r="AC20" s="571"/>
      <c r="AD20" s="332"/>
      <c r="AE20" s="332"/>
      <c r="AF20" s="135">
        <f t="shared" si="6"/>
        <v>-51.428571428571558</v>
      </c>
      <c r="AG20" s="136">
        <f t="shared" si="7"/>
        <v>0.96428571428571419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3704.8</v>
      </c>
      <c r="H21" s="127">
        <f t="shared" si="12"/>
        <v>141152.88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1331.0658682634726</v>
      </c>
      <c r="O21" s="139">
        <f t="shared" si="14"/>
        <v>78.297992250792504</v>
      </c>
      <c r="P21" s="95">
        <f t="shared" si="10"/>
        <v>0</v>
      </c>
      <c r="Q21" s="131">
        <f t="shared" si="11"/>
        <v>-9.9373018668545541</v>
      </c>
      <c r="R21" s="132">
        <f t="shared" si="15"/>
        <v>0.88737724550898167</v>
      </c>
      <c r="S21" s="575"/>
      <c r="T21" s="133">
        <v>0.37291666666666667</v>
      </c>
      <c r="U21" s="133">
        <v>0.48888888888888893</v>
      </c>
      <c r="V21" s="332">
        <v>7</v>
      </c>
      <c r="W21" s="134">
        <f t="shared" si="16"/>
        <v>167.00000000000006</v>
      </c>
      <c r="X21" s="140"/>
      <c r="Y21" s="140"/>
      <c r="Z21" s="95"/>
      <c r="AA21" s="95"/>
      <c r="AB21" s="571"/>
      <c r="AC21" s="571"/>
      <c r="AD21" s="332"/>
      <c r="AE21" s="332"/>
      <c r="AF21" s="88">
        <f t="shared" si="6"/>
        <v>-168.93413173652743</v>
      </c>
      <c r="AG21" s="90">
        <f t="shared" si="7"/>
        <v>0.88737724550898167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4167.9000000000005</v>
      </c>
      <c r="H22" s="127">
        <f t="shared" si="12"/>
        <v>158796.99000000002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1330.1808510638302</v>
      </c>
      <c r="O22" s="139">
        <f t="shared" si="14"/>
        <v>78.24593241551942</v>
      </c>
      <c r="P22" s="95">
        <f t="shared" si="10"/>
        <v>0</v>
      </c>
      <c r="Q22" s="131">
        <f t="shared" si="11"/>
        <v>-9.9893617021276384</v>
      </c>
      <c r="R22" s="132">
        <f t="shared" si="15"/>
        <v>0.88678723404255344</v>
      </c>
      <c r="S22" s="575"/>
      <c r="T22" s="133">
        <v>0.52986111111111112</v>
      </c>
      <c r="U22" s="133">
        <v>0.66041666666666665</v>
      </c>
      <c r="V22" s="332">
        <v>6</v>
      </c>
      <c r="W22" s="134">
        <f t="shared" si="16"/>
        <v>187.99999999999997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-169.81914893616977</v>
      </c>
      <c r="AG22" s="136">
        <f t="shared" si="7"/>
        <v>0.88678723404255344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/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303</v>
      </c>
      <c r="D30" s="615" t="s">
        <v>300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1531.285734842904</v>
      </c>
      <c r="O30" s="148">
        <f t="shared" si="17"/>
        <v>89.679646400656338</v>
      </c>
      <c r="P30" s="95">
        <f t="shared" ref="P30:P38" si="18">M30-J30</f>
        <v>0.39999999999999858</v>
      </c>
      <c r="Q30" s="131">
        <f t="shared" ref="Q30:Q38" si="19">O30-L30</f>
        <v>-10.535059481696607</v>
      </c>
      <c r="R30" s="149">
        <f t="shared" ref="R30:R38" si="20">O30/L30</f>
        <v>0.89487511449602775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1</v>
      </c>
      <c r="AF30" s="152">
        <f t="shared" si="6"/>
        <v>-133.914265157096</v>
      </c>
      <c r="AG30" s="153">
        <f t="shared" ref="AG30" si="21">N30/K30</f>
        <v>0.91958067189701176</v>
      </c>
      <c r="AH30" s="619"/>
    </row>
    <row r="31" spans="1:34" ht="19.2" customHeight="1">
      <c r="A31" s="612" t="s">
        <v>305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2166</v>
      </c>
      <c r="H31" s="157">
        <f t="shared" ref="H31:H40" si="22">F31*G31</f>
        <v>74142.179999999993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2096.1290322580649</v>
      </c>
      <c r="O31" s="160">
        <f t="shared" ref="O31:O38" si="24">N31/M31</f>
        <v>161.24069478908191</v>
      </c>
      <c r="P31" s="161">
        <f t="shared" si="18"/>
        <v>0</v>
      </c>
      <c r="Q31" s="162">
        <f t="shared" si="19"/>
        <v>-11.836228287841152</v>
      </c>
      <c r="R31" s="166">
        <f t="shared" si="20"/>
        <v>0.9316129032258067</v>
      </c>
      <c r="S31" s="614">
        <f>R43</f>
        <v>0.88790220571870226</v>
      </c>
      <c r="T31" s="163">
        <v>0.16666666666666666</v>
      </c>
      <c r="U31" s="163">
        <v>0.2097222222222222</v>
      </c>
      <c r="V31" s="93">
        <v>5</v>
      </c>
      <c r="W31" s="164">
        <f t="shared" ref="W31:W42" si="25">(U31-T31)*24*60</f>
        <v>61.999999999999979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-153.87096774193515</v>
      </c>
      <c r="AG31" s="165">
        <f t="shared" si="7"/>
        <v>0.93161290322580659</v>
      </c>
      <c r="AH31" s="592">
        <f>AG43</f>
        <v>0.88855107381306808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2242</v>
      </c>
      <c r="H32" s="127">
        <f t="shared" si="22"/>
        <v>79209.86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2101.8749999999982</v>
      </c>
      <c r="O32" s="86">
        <f t="shared" si="24"/>
        <v>175.15624999999986</v>
      </c>
      <c r="P32" s="88">
        <f t="shared" si="18"/>
        <v>0</v>
      </c>
      <c r="Q32" s="89">
        <f t="shared" si="19"/>
        <v>-1.3437500000001421</v>
      </c>
      <c r="R32" s="90">
        <f t="shared" si="20"/>
        <v>0.99238668555240717</v>
      </c>
      <c r="S32" s="575"/>
      <c r="T32" s="133">
        <v>0.21458333333333332</v>
      </c>
      <c r="U32" s="133">
        <v>0.2590277777777778</v>
      </c>
      <c r="V32" s="332">
        <v>7</v>
      </c>
      <c r="W32" s="134">
        <f t="shared" si="25"/>
        <v>64.000000000000057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-16.125000000001819</v>
      </c>
      <c r="AG32" s="90">
        <f t="shared" si="7"/>
        <v>0.99238668555240706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2388.0499999999997</v>
      </c>
      <c r="H33" s="127">
        <f t="shared" si="22"/>
        <v>86948.900499999989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2274.3333333333298</v>
      </c>
      <c r="O33" s="86">
        <f t="shared" si="24"/>
        <v>227.433333333333</v>
      </c>
      <c r="P33" s="88">
        <f t="shared" si="18"/>
        <v>0</v>
      </c>
      <c r="Q33" s="89">
        <f t="shared" si="19"/>
        <v>-49.466666666666981</v>
      </c>
      <c r="R33" s="90">
        <f t="shared" si="20"/>
        <v>0.82135548332731312</v>
      </c>
      <c r="S33" s="575"/>
      <c r="T33" s="133">
        <v>0.27499999999999997</v>
      </c>
      <c r="U33" s="133">
        <v>0.31875000000000003</v>
      </c>
      <c r="V33" s="332">
        <v>23</v>
      </c>
      <c r="W33" s="134">
        <f t="shared" si="25"/>
        <v>63.000000000000099</v>
      </c>
      <c r="X33" s="169">
        <v>0.26250000000000001</v>
      </c>
      <c r="Y33" s="169">
        <v>0.2722222222222222</v>
      </c>
      <c r="Z33" s="170"/>
      <c r="AA33" s="170"/>
      <c r="AB33" s="571"/>
      <c r="AC33" s="571"/>
      <c r="AD33" s="332"/>
      <c r="AE33" s="332"/>
      <c r="AF33" s="88">
        <f t="shared" si="6"/>
        <v>-494.66666666667015</v>
      </c>
      <c r="AG33" s="171">
        <f t="shared" si="7"/>
        <v>0.82135548332731301</v>
      </c>
      <c r="AH33" s="590"/>
    </row>
    <row r="34" spans="1:34" ht="19.2" customHeight="1">
      <c r="A34" s="613"/>
      <c r="B34" s="167" t="s">
        <v>247</v>
      </c>
      <c r="C34" s="172"/>
      <c r="D34" s="125" t="s">
        <v>109</v>
      </c>
      <c r="E34" s="126"/>
      <c r="F34" s="650">
        <v>49.91</v>
      </c>
      <c r="G34" s="98">
        <v>832</v>
      </c>
      <c r="H34" s="127">
        <f t="shared" si="22"/>
        <v>41525.119999999995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1313.6842105263177</v>
      </c>
      <c r="O34" s="86">
        <f t="shared" si="24"/>
        <v>77.275541795665745</v>
      </c>
      <c r="P34" s="88">
        <f t="shared" si="18"/>
        <v>0</v>
      </c>
      <c r="Q34" s="89">
        <f t="shared" si="19"/>
        <v>-10.959752321981313</v>
      </c>
      <c r="R34" s="90">
        <f t="shared" si="20"/>
        <v>0.87578947368421178</v>
      </c>
      <c r="S34" s="575"/>
      <c r="T34" s="133">
        <v>0.32291666666666669</v>
      </c>
      <c r="U34" s="133">
        <v>0.34930555555555554</v>
      </c>
      <c r="V34" s="332">
        <v>6</v>
      </c>
      <c r="W34" s="134">
        <f t="shared" si="25"/>
        <v>37.999999999999943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-186.31578947368234</v>
      </c>
      <c r="AG34" s="171">
        <f t="shared" si="7"/>
        <v>0.87578947368421178</v>
      </c>
      <c r="AH34" s="590"/>
    </row>
    <row r="35" spans="1:34" ht="19.2" customHeight="1">
      <c r="A35" s="613"/>
      <c r="B35" s="167" t="s">
        <v>247</v>
      </c>
      <c r="C35" s="79"/>
      <c r="D35" s="80" t="s">
        <v>110</v>
      </c>
      <c r="E35" s="81"/>
      <c r="F35" s="650">
        <v>53.27</v>
      </c>
      <c r="G35" s="173">
        <v>1443</v>
      </c>
      <c r="H35" s="127">
        <f t="shared" si="22"/>
        <v>76868.61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1331.9999999999998</v>
      </c>
      <c r="O35" s="86">
        <f t="shared" si="24"/>
        <v>73.999999999999986</v>
      </c>
      <c r="P35" s="88">
        <f t="shared" si="18"/>
        <v>0</v>
      </c>
      <c r="Q35" s="89">
        <f t="shared" si="19"/>
        <v>-9.3333333333333428</v>
      </c>
      <c r="R35" s="90">
        <f t="shared" si="20"/>
        <v>0.8879999999999999</v>
      </c>
      <c r="S35" s="575"/>
      <c r="T35" s="133">
        <v>0.36736111111111108</v>
      </c>
      <c r="U35" s="133">
        <v>0.41249999999999998</v>
      </c>
      <c r="V35" s="332">
        <v>22</v>
      </c>
      <c r="W35" s="134">
        <f t="shared" si="25"/>
        <v>65.000000000000014</v>
      </c>
      <c r="X35" s="169">
        <v>0.3527777777777778</v>
      </c>
      <c r="Y35" s="169">
        <v>0.36180555555555555</v>
      </c>
      <c r="Z35" s="170"/>
      <c r="AA35" s="170"/>
      <c r="AB35" s="571"/>
      <c r="AC35" s="571"/>
      <c r="AD35" s="332"/>
      <c r="AE35" s="332"/>
      <c r="AF35" s="161">
        <f t="shared" si="6"/>
        <v>-168.00000000000023</v>
      </c>
      <c r="AG35" s="165">
        <f t="shared" si="7"/>
        <v>0.8879999999999999</v>
      </c>
      <c r="AH35" s="593"/>
    </row>
    <row r="36" spans="1:34" ht="19.2" customHeight="1">
      <c r="A36" s="613"/>
      <c r="B36" s="167" t="s">
        <v>245</v>
      </c>
      <c r="C36" s="175"/>
      <c r="D36" s="80" t="s">
        <v>111</v>
      </c>
      <c r="E36" s="126"/>
      <c r="F36" s="650">
        <v>29.113149847094796</v>
      </c>
      <c r="G36" s="98">
        <v>2724.54</v>
      </c>
      <c r="H36" s="127">
        <f t="shared" si="22"/>
        <v>79319.941284403656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1329.0439024390248</v>
      </c>
      <c r="O36" s="86">
        <f t="shared" si="24"/>
        <v>66.452195121951235</v>
      </c>
      <c r="P36" s="88">
        <f t="shared" si="18"/>
        <v>0</v>
      </c>
      <c r="Q36" s="89">
        <f t="shared" si="19"/>
        <v>-8.5478048780487654</v>
      </c>
      <c r="R36" s="90">
        <f t="shared" si="20"/>
        <v>0.88602926829268314</v>
      </c>
      <c r="S36" s="575"/>
      <c r="T36" s="133">
        <v>0.42708333333333331</v>
      </c>
      <c r="U36" s="133">
        <v>0.51249999999999996</v>
      </c>
      <c r="V36" s="332">
        <v>21</v>
      </c>
      <c r="W36" s="134">
        <f t="shared" si="25"/>
        <v>122.99999999999996</v>
      </c>
      <c r="X36" s="169">
        <v>0.41597222222222219</v>
      </c>
      <c r="Y36" s="169">
        <v>0.42430555555555555</v>
      </c>
      <c r="Z36" s="170"/>
      <c r="AA36" s="170"/>
      <c r="AB36" s="571"/>
      <c r="AC36" s="571"/>
      <c r="AD36" s="332"/>
      <c r="AE36" s="332"/>
      <c r="AF36" s="88">
        <f t="shared" si="6"/>
        <v>-170.95609756097519</v>
      </c>
      <c r="AG36" s="90">
        <f t="shared" si="7"/>
        <v>0.88602926829268325</v>
      </c>
      <c r="AH36" s="593"/>
    </row>
    <row r="37" spans="1:34" ht="19.2" customHeight="1">
      <c r="A37" s="613"/>
      <c r="B37" s="167" t="s">
        <v>244</v>
      </c>
      <c r="C37" s="175"/>
      <c r="D37" s="125" t="s">
        <v>105</v>
      </c>
      <c r="E37" s="126"/>
      <c r="F37" s="650">
        <v>38.39</v>
      </c>
      <c r="G37" s="98">
        <v>976.19999999999993</v>
      </c>
      <c r="H37" s="127">
        <f t="shared" si="22"/>
        <v>37476.317999999999</v>
      </c>
      <c r="I37" s="332">
        <v>2</v>
      </c>
      <c r="J37" s="85">
        <v>16</v>
      </c>
      <c r="K37" s="82">
        <v>1636</v>
      </c>
      <c r="L37" s="86">
        <v>102.25</v>
      </c>
      <c r="M37" s="85">
        <v>16</v>
      </c>
      <c r="N37" s="82">
        <f t="shared" si="23"/>
        <v>1362.1395348837204</v>
      </c>
      <c r="O37" s="86">
        <f t="shared" si="24"/>
        <v>85.133720930232528</v>
      </c>
      <c r="P37" s="88">
        <f t="shared" si="18"/>
        <v>0</v>
      </c>
      <c r="Q37" s="89">
        <f t="shared" si="19"/>
        <v>-17.116279069767472</v>
      </c>
      <c r="R37" s="90">
        <f t="shared" si="20"/>
        <v>0.83260362767953577</v>
      </c>
      <c r="S37" s="575"/>
      <c r="T37" s="133">
        <v>0.55347222222222214</v>
      </c>
      <c r="U37" s="133">
        <v>0.58333333333333326</v>
      </c>
      <c r="V37" s="332">
        <v>6</v>
      </c>
      <c r="W37" s="134">
        <f t="shared" si="25"/>
        <v>43.000000000000007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-273.86046511627956</v>
      </c>
      <c r="AG37" s="171">
        <f t="shared" si="7"/>
        <v>0.83260362767953577</v>
      </c>
      <c r="AH37" s="593"/>
    </row>
    <row r="38" spans="1:34" ht="19.2" customHeight="1">
      <c r="A38" s="613"/>
      <c r="B38" s="167" t="s">
        <v>245</v>
      </c>
      <c r="C38" s="175"/>
      <c r="D38" s="125" t="s">
        <v>111</v>
      </c>
      <c r="E38" s="126"/>
      <c r="F38" s="650">
        <v>29.113149847094796</v>
      </c>
      <c r="G38" s="98">
        <v>768.46</v>
      </c>
      <c r="H38" s="127">
        <f t="shared" si="22"/>
        <v>22372.291131498467</v>
      </c>
      <c r="I38" s="332"/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1317.3599999999988</v>
      </c>
      <c r="O38" s="86">
        <f t="shared" si="24"/>
        <v>65.867999999999938</v>
      </c>
      <c r="P38" s="88">
        <f t="shared" si="18"/>
        <v>0</v>
      </c>
      <c r="Q38" s="89">
        <f t="shared" si="19"/>
        <v>-9.1320000000000618</v>
      </c>
      <c r="R38" s="90">
        <f t="shared" si="20"/>
        <v>0.87823999999999913</v>
      </c>
      <c r="S38" s="575"/>
      <c r="T38" s="133">
        <v>0.58819444444444435</v>
      </c>
      <c r="U38" s="133">
        <v>0.61249999999999993</v>
      </c>
      <c r="V38" s="332">
        <v>7</v>
      </c>
      <c r="W38" s="134">
        <f t="shared" si="25"/>
        <v>35.000000000000036</v>
      </c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-182.64000000000124</v>
      </c>
      <c r="AG38" s="171">
        <f t="shared" si="7"/>
        <v>0.87823999999999913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306</v>
      </c>
      <c r="D43" s="572" t="s">
        <v>300</v>
      </c>
      <c r="E43" s="572"/>
      <c r="F43" s="654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J43:O43" si="26">AVERAGE(M31:M42)</f>
        <v>15.75</v>
      </c>
      <c r="N43" s="145">
        <f t="shared" si="26"/>
        <v>1640.8206266800569</v>
      </c>
      <c r="O43" s="148">
        <f t="shared" si="26"/>
        <v>116.56996699628303</v>
      </c>
      <c r="P43" s="95">
        <f>M43-J43</f>
        <v>0</v>
      </c>
      <c r="Q43" s="131">
        <f>N43-K43</f>
        <v>-205.80437331994312</v>
      </c>
      <c r="R43" s="149">
        <f t="shared" ref="R43:R51" si="27">O43/L43</f>
        <v>0.88790220571870226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0</v>
      </c>
      <c r="AE43" s="151">
        <f>SUM(AE31:AE42)</f>
        <v>0</v>
      </c>
      <c r="AF43" s="88">
        <f t="shared" ref="AF43:AF54" si="28">N43-K43</f>
        <v>-205.80437331994312</v>
      </c>
      <c r="AG43" s="108">
        <f t="shared" si="7"/>
        <v>0.88855107381306808</v>
      </c>
      <c r="AH43" s="593"/>
    </row>
    <row r="44" spans="1:34" s="195" customFormat="1" ht="19.2" customHeight="1">
      <c r="A44" s="608" t="s">
        <v>307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690</v>
      </c>
      <c r="H44" s="83">
        <f>F44*G44</f>
        <v>15366.3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2069.9999999999991</v>
      </c>
      <c r="O44" s="187">
        <f>N44/M44</f>
        <v>413.99999999999983</v>
      </c>
      <c r="P44" s="92">
        <f t="shared" ref="P44:P51" si="29">M44-J44</f>
        <v>1</v>
      </c>
      <c r="Q44" s="188">
        <f t="shared" ref="Q44:Q51" si="30">O44-L44</f>
        <v>-86.000000000000171</v>
      </c>
      <c r="R44" s="189">
        <f t="shared" si="27"/>
        <v>0.82799999999999963</v>
      </c>
      <c r="S44" s="590">
        <f>R56</f>
        <v>0.88036319281688791</v>
      </c>
      <c r="T44" s="190">
        <v>0.16666666666666666</v>
      </c>
      <c r="U44" s="190">
        <v>0.18055555555555555</v>
      </c>
      <c r="V44" s="191">
        <v>5</v>
      </c>
      <c r="W44" s="192">
        <f t="shared" ref="W44:W56" si="31">(U44-T44)*24*60</f>
        <v>20.000000000000007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69.999999999999091</v>
      </c>
      <c r="AG44" s="194">
        <f t="shared" si="7"/>
        <v>1.0349999999999995</v>
      </c>
      <c r="AH44" s="611">
        <f>AG56</f>
        <v>1.0108532564338404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2453</v>
      </c>
      <c r="H45" s="83">
        <f>F45*G45</f>
        <v>60662.69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2133.0434782608695</v>
      </c>
      <c r="O45" s="187">
        <f>N45/M45</f>
        <v>426.60869565217388</v>
      </c>
      <c r="P45" s="92">
        <f t="shared" si="29"/>
        <v>1</v>
      </c>
      <c r="Q45" s="188">
        <f t="shared" si="30"/>
        <v>-73.391304347826122</v>
      </c>
      <c r="R45" s="189">
        <f t="shared" si="27"/>
        <v>0.85321739130434771</v>
      </c>
      <c r="S45" s="590"/>
      <c r="T45" s="190">
        <v>0.18402777777777776</v>
      </c>
      <c r="U45" s="190">
        <v>0.23194444444444443</v>
      </c>
      <c r="V45" s="191">
        <v>5</v>
      </c>
      <c r="W45" s="192">
        <f t="shared" si="31"/>
        <v>69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133.04347826086951</v>
      </c>
      <c r="AG45" s="194">
        <f t="shared" si="7"/>
        <v>1.0665217391304347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2241</v>
      </c>
      <c r="H46" s="83">
        <f t="shared" ref="H46:H51" si="32">F46*G46</f>
        <v>55419.93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2134.2857142857151</v>
      </c>
      <c r="O46" s="187">
        <f>N46/M46</f>
        <v>426.857142857143</v>
      </c>
      <c r="P46" s="92">
        <f t="shared" si="29"/>
        <v>1</v>
      </c>
      <c r="Q46" s="188">
        <f t="shared" si="30"/>
        <v>-73.142857142856997</v>
      </c>
      <c r="R46" s="189">
        <f t="shared" si="27"/>
        <v>0.85371428571428598</v>
      </c>
      <c r="S46" s="590"/>
      <c r="T46" s="190">
        <v>0.23541666666666664</v>
      </c>
      <c r="U46" s="190">
        <v>0.27916666666666662</v>
      </c>
      <c r="V46" s="191">
        <v>5</v>
      </c>
      <c r="W46" s="192">
        <f t="shared" si="31"/>
        <v>62.999999999999979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134.28571428571513</v>
      </c>
      <c r="AG46" s="194">
        <f t="shared" si="7"/>
        <v>1.0671428571428576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2836</v>
      </c>
      <c r="H47" s="83">
        <f t="shared" si="32"/>
        <v>89135.48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1466.8965517241381</v>
      </c>
      <c r="O47" s="187">
        <f>N47/M47</f>
        <v>209.55665024630545</v>
      </c>
      <c r="P47" s="92">
        <f t="shared" si="29"/>
        <v>0</v>
      </c>
      <c r="Q47" s="188">
        <f t="shared" si="30"/>
        <v>-4.7290640394088257</v>
      </c>
      <c r="R47" s="189">
        <f t="shared" si="27"/>
        <v>0.97793103448275887</v>
      </c>
      <c r="S47" s="590"/>
      <c r="T47" s="190">
        <v>0.29652777777777772</v>
      </c>
      <c r="U47" s="190">
        <v>0.37708333333333327</v>
      </c>
      <c r="V47" s="186">
        <v>25</v>
      </c>
      <c r="W47" s="192">
        <f t="shared" si="31"/>
        <v>115.99999999999999</v>
      </c>
      <c r="X47" s="169">
        <v>0.28263888888888888</v>
      </c>
      <c r="Y47" s="169">
        <v>0.29375000000000001</v>
      </c>
      <c r="Z47" s="170"/>
      <c r="AA47" s="170"/>
      <c r="AB47" s="571"/>
      <c r="AC47" s="571"/>
      <c r="AD47" s="332"/>
      <c r="AE47" s="332"/>
      <c r="AF47" s="193">
        <f t="shared" si="28"/>
        <v>-33.103448275861865</v>
      </c>
      <c r="AG47" s="194">
        <f t="shared" si="7"/>
        <v>0.97793103448275875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2387</v>
      </c>
      <c r="H48" s="83">
        <f t="shared" si="32"/>
        <v>27689.200000000001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1446.666666666667</v>
      </c>
      <c r="O48" s="187">
        <f t="shared" ref="O48:O51" si="34">N48/M48</f>
        <v>206.66666666666671</v>
      </c>
      <c r="P48" s="92">
        <f t="shared" si="29"/>
        <v>0</v>
      </c>
      <c r="Q48" s="188">
        <f t="shared" si="30"/>
        <v>-27.047619047619008</v>
      </c>
      <c r="R48" s="189">
        <f t="shared" si="27"/>
        <v>0.8842705786471069</v>
      </c>
      <c r="S48" s="590"/>
      <c r="T48" s="201">
        <v>0.39444444444444438</v>
      </c>
      <c r="U48" s="201">
        <v>0.46319444444444435</v>
      </c>
      <c r="V48" s="183">
        <v>25</v>
      </c>
      <c r="W48" s="192">
        <f t="shared" si="31"/>
        <v>98.999999999999972</v>
      </c>
      <c r="X48" s="169">
        <v>0.38055555555555554</v>
      </c>
      <c r="Y48" s="169">
        <v>0.39166666666666666</v>
      </c>
      <c r="Z48" s="170"/>
      <c r="AA48" s="170"/>
      <c r="AB48" s="571"/>
      <c r="AC48" s="571"/>
      <c r="AD48" s="332"/>
      <c r="AE48" s="332"/>
      <c r="AF48" s="193">
        <f t="shared" si="28"/>
        <v>-189.33333333333303</v>
      </c>
      <c r="AG48" s="194">
        <f t="shared" si="7"/>
        <v>0.8842705786471069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2847.6000000000004</v>
      </c>
      <c r="H49" s="83">
        <f t="shared" si="32"/>
        <v>28732.284000000003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1435.7647058823525</v>
      </c>
      <c r="O49" s="187">
        <f t="shared" si="34"/>
        <v>239.29411764705875</v>
      </c>
      <c r="P49" s="92">
        <f t="shared" si="29"/>
        <v>0</v>
      </c>
      <c r="Q49" s="188">
        <f t="shared" si="30"/>
        <v>-10.705882352941245</v>
      </c>
      <c r="R49" s="189">
        <f t="shared" si="27"/>
        <v>0.95717647058823507</v>
      </c>
      <c r="S49" s="590"/>
      <c r="T49" s="201">
        <v>0.47013888888888877</v>
      </c>
      <c r="U49" s="201">
        <v>0.5527777777777777</v>
      </c>
      <c r="V49" s="183">
        <v>10</v>
      </c>
      <c r="W49" s="192">
        <f t="shared" si="31"/>
        <v>119.00000000000006</v>
      </c>
      <c r="X49" s="202"/>
      <c r="Y49" s="202"/>
      <c r="Z49" s="203"/>
      <c r="AA49" s="170"/>
      <c r="AB49" s="571"/>
      <c r="AC49" s="571"/>
      <c r="AD49" s="332"/>
      <c r="AE49" s="332">
        <v>1</v>
      </c>
      <c r="AF49" s="193">
        <f t="shared" si="28"/>
        <v>-64.235294117647527</v>
      </c>
      <c r="AG49" s="194">
        <f t="shared" si="7"/>
        <v>0.95717647058823496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2989.98</v>
      </c>
      <c r="H50" s="83">
        <f t="shared" si="32"/>
        <v>30168.8982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1446.7645161290318</v>
      </c>
      <c r="O50" s="187">
        <f t="shared" si="34"/>
        <v>241.12741935483862</v>
      </c>
      <c r="P50" s="92">
        <f t="shared" si="29"/>
        <v>0</v>
      </c>
      <c r="Q50" s="188">
        <f t="shared" si="30"/>
        <v>-8.8725806451613778</v>
      </c>
      <c r="R50" s="189">
        <f t="shared" si="27"/>
        <v>0.96450967741935445</v>
      </c>
      <c r="S50" s="590"/>
      <c r="T50" s="201">
        <v>0.57361111111111107</v>
      </c>
      <c r="U50" s="201">
        <v>0.65972222222222221</v>
      </c>
      <c r="V50" s="183">
        <v>30</v>
      </c>
      <c r="W50" s="192">
        <f t="shared" si="31"/>
        <v>124.00000000000004</v>
      </c>
      <c r="X50" s="202">
        <v>0.55625000000000002</v>
      </c>
      <c r="Y50" s="202">
        <v>0.5708333333333333</v>
      </c>
      <c r="Z50" s="203"/>
      <c r="AA50" s="203"/>
      <c r="AB50" s="571"/>
      <c r="AC50" s="571"/>
      <c r="AD50" s="332"/>
      <c r="AE50" s="332">
        <v>1</v>
      </c>
      <c r="AF50" s="193">
        <f t="shared" si="28"/>
        <v>-53.23548387096821</v>
      </c>
      <c r="AG50" s="194">
        <f t="shared" si="7"/>
        <v>0.96450967741935456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1078</v>
      </c>
      <c r="H51" s="83">
        <f t="shared" si="32"/>
        <v>23629.760000000002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2155.9999999999959</v>
      </c>
      <c r="O51" s="187">
        <f t="shared" si="34"/>
        <v>431.19999999999919</v>
      </c>
      <c r="P51" s="92">
        <f t="shared" si="29"/>
        <v>1</v>
      </c>
      <c r="Q51" s="188">
        <f t="shared" si="30"/>
        <v>-68.800000000000807</v>
      </c>
      <c r="R51" s="189">
        <f t="shared" si="27"/>
        <v>0.86239999999999839</v>
      </c>
      <c r="S51" s="590"/>
      <c r="T51" s="201">
        <v>0.66666666666666663</v>
      </c>
      <c r="U51" s="201">
        <v>0.6875</v>
      </c>
      <c r="V51" s="183">
        <v>10</v>
      </c>
      <c r="W51" s="192">
        <f t="shared" si="31"/>
        <v>30.000000000000053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155.99999999999591</v>
      </c>
      <c r="AG51" s="194">
        <f t="shared" si="7"/>
        <v>1.0779999999999978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310</v>
      </c>
      <c r="D56" s="572" t="s">
        <v>300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1786.177704118596</v>
      </c>
      <c r="O56" s="148">
        <f t="shared" si="35"/>
        <v>324.4138365530232</v>
      </c>
      <c r="P56" s="208">
        <f>M56-J56</f>
        <v>0.5</v>
      </c>
      <c r="Q56" s="162">
        <f>N56-K56</f>
        <v>19.177704118596012</v>
      </c>
      <c r="R56" s="209">
        <f t="shared" ref="R56:R61" si="36">O56/L56</f>
        <v>0.88036319281688791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2</v>
      </c>
      <c r="AF56" s="213">
        <f>N56-K56</f>
        <v>19.177704118596012</v>
      </c>
      <c r="AG56" s="132">
        <f>N56/K56</f>
        <v>1.0108532564338404</v>
      </c>
      <c r="AH56" s="611"/>
    </row>
    <row r="57" spans="1:34" ht="19.2" customHeight="1">
      <c r="A57" s="604" t="s">
        <v>311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1757</v>
      </c>
      <c r="H57" s="127">
        <f t="shared" ref="H57:H66" si="37">F57*G57</f>
        <v>49652.82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1464.1666666666661</v>
      </c>
      <c r="O57" s="129">
        <f t="shared" ref="O57:O61" si="39">N57/M57</f>
        <v>209.16666666666657</v>
      </c>
      <c r="P57" s="216">
        <f t="shared" ref="P57:P61" si="40">M57-J57</f>
        <v>0</v>
      </c>
      <c r="Q57" s="89">
        <f t="shared" ref="Q57:Q61" si="41">O57-L57</f>
        <v>-5.1190476190477057</v>
      </c>
      <c r="R57" s="90">
        <f t="shared" si="36"/>
        <v>0.97611111111111071</v>
      </c>
      <c r="S57" s="590">
        <f>R69</f>
        <v>0.97653176547725229</v>
      </c>
      <c r="T57" s="190">
        <v>0.16666666666666666</v>
      </c>
      <c r="U57" s="190">
        <v>0.21666666666666667</v>
      </c>
      <c r="V57" s="75">
        <v>5</v>
      </c>
      <c r="W57" s="84">
        <f>(U57-T57)*24*60</f>
        <v>72.000000000000028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-35.83333333333394</v>
      </c>
      <c r="AG57" s="166">
        <f t="shared" si="7"/>
        <v>0.97611111111111071</v>
      </c>
      <c r="AH57" s="592">
        <f>AG69</f>
        <v>0.97641323100182276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2762</v>
      </c>
      <c r="H58" s="83">
        <f t="shared" si="37"/>
        <v>77004.56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1466.5486725663711</v>
      </c>
      <c r="O58" s="86">
        <f t="shared" si="39"/>
        <v>209.50695322376731</v>
      </c>
      <c r="P58" s="216">
        <f t="shared" si="40"/>
        <v>0</v>
      </c>
      <c r="Q58" s="89">
        <f t="shared" si="41"/>
        <v>-4.778761061946966</v>
      </c>
      <c r="R58" s="90">
        <f t="shared" si="36"/>
        <v>0.97769911504424745</v>
      </c>
      <c r="S58" s="590"/>
      <c r="T58" s="217">
        <v>0.22361111111111112</v>
      </c>
      <c r="U58" s="217">
        <v>0.30208333333333337</v>
      </c>
      <c r="V58" s="75">
        <v>10</v>
      </c>
      <c r="W58" s="84">
        <f>(U58-T58)*24*60</f>
        <v>113.00000000000004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-33.451327433628876</v>
      </c>
      <c r="AG58" s="90">
        <f t="shared" si="7"/>
        <v>0.97769911504424745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2672</v>
      </c>
      <c r="H59" s="83">
        <f t="shared" si="37"/>
        <v>74816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1457.4545454545453</v>
      </c>
      <c r="O59" s="86">
        <f t="shared" si="39"/>
        <v>208.20779220779218</v>
      </c>
      <c r="P59" s="216">
        <f t="shared" si="40"/>
        <v>0</v>
      </c>
      <c r="Q59" s="89">
        <f t="shared" si="41"/>
        <v>-6.0779220779220964</v>
      </c>
      <c r="R59" s="90">
        <f t="shared" si="36"/>
        <v>0.97163636363636352</v>
      </c>
      <c r="S59" s="590"/>
      <c r="T59" s="217">
        <v>0.31944444444444448</v>
      </c>
      <c r="U59" s="217">
        <v>0.39583333333333337</v>
      </c>
      <c r="V59" s="191">
        <v>25</v>
      </c>
      <c r="W59" s="84">
        <f>(U59-T59)*24*60</f>
        <v>110.00000000000001</v>
      </c>
      <c r="X59" s="94">
        <v>0.30555555555555552</v>
      </c>
      <c r="Y59" s="94">
        <v>0.31666666666666665</v>
      </c>
      <c r="Z59" s="95"/>
      <c r="AA59" s="95"/>
      <c r="AB59" s="571"/>
      <c r="AC59" s="571"/>
      <c r="AD59" s="332"/>
      <c r="AE59" s="332"/>
      <c r="AF59" s="88">
        <f t="shared" si="6"/>
        <v>-42.545454545454731</v>
      </c>
      <c r="AG59" s="90">
        <f t="shared" si="7"/>
        <v>0.97163636363636352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2705.2200000000003</v>
      </c>
      <c r="H60" s="83">
        <f t="shared" si="37"/>
        <v>27295.669800000003</v>
      </c>
      <c r="I60" s="75"/>
      <c r="J60" s="85">
        <v>6</v>
      </c>
      <c r="K60" s="82">
        <v>1500</v>
      </c>
      <c r="L60" s="129">
        <v>250</v>
      </c>
      <c r="M60" s="104">
        <v>6</v>
      </c>
      <c r="N60" s="82">
        <f t="shared" si="38"/>
        <v>1449.2250000000001</v>
      </c>
      <c r="O60" s="86">
        <f t="shared" si="39"/>
        <v>241.53750000000002</v>
      </c>
      <c r="P60" s="216">
        <f t="shared" si="40"/>
        <v>0</v>
      </c>
      <c r="Q60" s="89">
        <f t="shared" si="41"/>
        <v>-8.4624999999999773</v>
      </c>
      <c r="R60" s="90">
        <f t="shared" si="36"/>
        <v>0.96615000000000006</v>
      </c>
      <c r="S60" s="590"/>
      <c r="T60" s="217">
        <v>0.41319444444444448</v>
      </c>
      <c r="U60" s="217">
        <v>0.49097222222222225</v>
      </c>
      <c r="V60" s="191">
        <v>25</v>
      </c>
      <c r="W60" s="84">
        <f>(U60-T60)*24*60</f>
        <v>112</v>
      </c>
      <c r="X60" s="94">
        <v>0.39930555555555558</v>
      </c>
      <c r="Y60" s="94">
        <v>0.41041666666666665</v>
      </c>
      <c r="Z60" s="95"/>
      <c r="AA60" s="95"/>
      <c r="AB60" s="571"/>
      <c r="AC60" s="571"/>
      <c r="AD60" s="332"/>
      <c r="AE60" s="332"/>
      <c r="AF60" s="88">
        <f t="shared" si="6"/>
        <v>-50.774999999999864</v>
      </c>
      <c r="AG60" s="166">
        <f t="shared" si="7"/>
        <v>0.96615000000000006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5695.2000000000007</v>
      </c>
      <c r="H61" s="83">
        <f t="shared" si="37"/>
        <v>57464.568000000007</v>
      </c>
      <c r="I61" s="75"/>
      <c r="J61" s="85">
        <v>6</v>
      </c>
      <c r="K61" s="82">
        <v>1500</v>
      </c>
      <c r="L61" s="129">
        <v>250</v>
      </c>
      <c r="M61" s="104">
        <v>6</v>
      </c>
      <c r="N61" s="82">
        <f t="shared" si="38"/>
        <v>1485.7043478260875</v>
      </c>
      <c r="O61" s="86">
        <f t="shared" si="39"/>
        <v>247.61739130434793</v>
      </c>
      <c r="P61" s="216">
        <f t="shared" si="40"/>
        <v>0</v>
      </c>
      <c r="Q61" s="89">
        <f t="shared" si="41"/>
        <v>-2.3826086956520669</v>
      </c>
      <c r="R61" s="90">
        <f t="shared" si="36"/>
        <v>0.99046956521739171</v>
      </c>
      <c r="S61" s="590"/>
      <c r="T61" s="217">
        <v>0.51180555555555562</v>
      </c>
      <c r="U61" s="217">
        <v>0.67152777777777783</v>
      </c>
      <c r="V61" s="191">
        <v>30</v>
      </c>
      <c r="W61" s="84">
        <f>(U61-T61)*24*60</f>
        <v>229.99999999999997</v>
      </c>
      <c r="X61" s="94">
        <v>0.49444444444444446</v>
      </c>
      <c r="Y61" s="94">
        <v>0.50902777777777775</v>
      </c>
      <c r="Z61" s="95"/>
      <c r="AA61" s="95"/>
      <c r="AB61" s="571"/>
      <c r="AC61" s="571"/>
      <c r="AD61" s="332"/>
      <c r="AE61" s="332"/>
      <c r="AF61" s="88">
        <f t="shared" si="6"/>
        <v>-14.295652173912458</v>
      </c>
      <c r="AG61" s="90">
        <f t="shared" si="7"/>
        <v>0.99046956521739171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312</v>
      </c>
      <c r="D69" s="572" t="s">
        <v>300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6.6</v>
      </c>
      <c r="N69" s="113">
        <f t="shared" si="43"/>
        <v>1464.6198465027342</v>
      </c>
      <c r="O69" s="116">
        <f t="shared" si="43"/>
        <v>223.20726068051482</v>
      </c>
      <c r="P69" s="88">
        <f>M69-J69</f>
        <v>0</v>
      </c>
      <c r="Q69" s="89">
        <f>N69-K69</f>
        <v>-35.380153497265837</v>
      </c>
      <c r="R69" s="225">
        <f t="shared" ref="R69:R70" si="44">O69/L69</f>
        <v>0.97653176547725229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-35.380153497265837</v>
      </c>
      <c r="AG69" s="90">
        <f t="shared" si="7"/>
        <v>0.97641323100182276</v>
      </c>
      <c r="AH69" s="590"/>
    </row>
    <row r="70" spans="1:34" ht="19.2" customHeight="1">
      <c r="A70" s="602" t="s">
        <v>313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507</v>
      </c>
      <c r="H70" s="83">
        <f>F70*G70</f>
        <v>31499.91</v>
      </c>
      <c r="I70" s="75"/>
      <c r="J70" s="85">
        <v>14</v>
      </c>
      <c r="K70" s="82">
        <v>1500</v>
      </c>
      <c r="L70" s="86">
        <v>107.14285714285714</v>
      </c>
      <c r="M70" s="87">
        <v>13</v>
      </c>
      <c r="N70" s="82">
        <f t="shared" ref="N70:N76" si="45">G70/W70*60</f>
        <v>1216.8000000000002</v>
      </c>
      <c r="O70" s="86">
        <f t="shared" ref="O70:O76" si="46">N70/M70</f>
        <v>93.600000000000009</v>
      </c>
      <c r="P70" s="88">
        <f t="shared" ref="P70:P76" si="47">M70-J70</f>
        <v>-1</v>
      </c>
      <c r="Q70" s="89">
        <f t="shared" ref="Q70" si="48">O70-L70</f>
        <v>-13.54285714285713</v>
      </c>
      <c r="R70" s="90">
        <f t="shared" si="44"/>
        <v>0.87360000000000015</v>
      </c>
      <c r="S70" s="590">
        <f>R82</f>
        <v>0.87577746865117934</v>
      </c>
      <c r="T70" s="91">
        <v>0.29166666666666669</v>
      </c>
      <c r="U70" s="91">
        <v>0.30902777777777779</v>
      </c>
      <c r="V70" s="75">
        <v>5</v>
      </c>
      <c r="W70" s="84">
        <f>(U70-T70)*24*60</f>
        <v>24.999999999999993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-283.19999999999982</v>
      </c>
      <c r="AG70" s="90">
        <f t="shared" si="7"/>
        <v>0.81120000000000014</v>
      </c>
      <c r="AH70" s="590">
        <f>AG82</f>
        <v>0.87807154575097257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2593.5</v>
      </c>
      <c r="H71" s="83">
        <f>F71*G71</f>
        <v>123580.27499999999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1341.4655172413795</v>
      </c>
      <c r="O71" s="86">
        <f t="shared" si="46"/>
        <v>74.525862068965523</v>
      </c>
      <c r="P71" s="88">
        <f t="shared" si="47"/>
        <v>0</v>
      </c>
      <c r="Q71" s="89">
        <f>O71-L71</f>
        <v>-5.4741379310344769</v>
      </c>
      <c r="R71" s="90">
        <f>O71/L71</f>
        <v>0.93157327586206906</v>
      </c>
      <c r="S71" s="590"/>
      <c r="T71" s="91">
        <v>0.31319444444444444</v>
      </c>
      <c r="U71" s="91">
        <v>0.39374999999999999</v>
      </c>
      <c r="V71" s="75">
        <v>6</v>
      </c>
      <c r="W71" s="84">
        <f t="shared" ref="W71:W81" si="49">(U71-T71)*24*60</f>
        <v>115.99999999999999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-98.53448275862047</v>
      </c>
      <c r="AG71" s="90">
        <f>N71/K71</f>
        <v>0.93157327586206917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2543.5200000000004</v>
      </c>
      <c r="H72" s="83">
        <f t="shared" ref="H72:H80" si="50">F72*G72</f>
        <v>144599.11200000002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1387.3745454545456</v>
      </c>
      <c r="O72" s="86">
        <f t="shared" si="46"/>
        <v>77.076363636363638</v>
      </c>
      <c r="P72" s="88">
        <f t="shared" si="47"/>
        <v>0</v>
      </c>
      <c r="Q72" s="89">
        <f>O72-L72</f>
        <v>-13.812525252525248</v>
      </c>
      <c r="R72" s="90">
        <f>O72/L72</f>
        <v>0.84802845076683708</v>
      </c>
      <c r="S72" s="590"/>
      <c r="T72" s="91">
        <v>0.40902777777777777</v>
      </c>
      <c r="U72" s="91">
        <v>0.48541666666666666</v>
      </c>
      <c r="V72" s="75">
        <v>22</v>
      </c>
      <c r="W72" s="84">
        <f t="shared" si="49"/>
        <v>110.00000000000001</v>
      </c>
      <c r="X72" s="94">
        <v>0.3972222222222222</v>
      </c>
      <c r="Y72" s="94">
        <v>0.40625</v>
      </c>
      <c r="Z72" s="95"/>
      <c r="AA72" s="95"/>
      <c r="AB72" s="571"/>
      <c r="AC72" s="571"/>
      <c r="AD72" s="332"/>
      <c r="AE72" s="332"/>
      <c r="AF72" s="88">
        <f>N72-K72</f>
        <v>-248.62545454545443</v>
      </c>
      <c r="AG72" s="90">
        <f>N72/K72</f>
        <v>0.84802845076683719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2807</v>
      </c>
      <c r="H73" s="83">
        <f t="shared" si="50"/>
        <v>150904.32000000001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1336.6666666666663</v>
      </c>
      <c r="O73" s="86">
        <f t="shared" si="46"/>
        <v>83.541666666666643</v>
      </c>
      <c r="P73" s="88">
        <f t="shared" si="47"/>
        <v>0</v>
      </c>
      <c r="Q73" s="89">
        <f>O73-L73</f>
        <v>-6.458333333333357</v>
      </c>
      <c r="R73" s="90">
        <f>O73/L73</f>
        <v>0.92824074074074048</v>
      </c>
      <c r="S73" s="590"/>
      <c r="T73" s="91">
        <v>0.5263888888888888</v>
      </c>
      <c r="U73" s="91">
        <v>0.61388888888888882</v>
      </c>
      <c r="V73" s="75">
        <v>6</v>
      </c>
      <c r="W73" s="84">
        <f t="shared" si="49"/>
        <v>126.00000000000003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-103.33333333333371</v>
      </c>
      <c r="AG73" s="90">
        <f>N73/K73</f>
        <v>0.92824074074074048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2791</v>
      </c>
      <c r="H74" s="83">
        <f t="shared" si="50"/>
        <v>132600.41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1350.4838709677415</v>
      </c>
      <c r="O74" s="86">
        <f t="shared" si="46"/>
        <v>79.440227703984789</v>
      </c>
      <c r="P74" s="88">
        <f t="shared" si="47"/>
        <v>0</v>
      </c>
      <c r="Q74" s="89">
        <f>O74-L74</f>
        <v>-5.2656546489563851</v>
      </c>
      <c r="R74" s="90">
        <f>O74/L74</f>
        <v>0.93783602150537604</v>
      </c>
      <c r="S74" s="590"/>
      <c r="T74" s="91">
        <v>0.62986111111111098</v>
      </c>
      <c r="U74" s="91">
        <v>0.71597222222222212</v>
      </c>
      <c r="V74" s="75">
        <v>23</v>
      </c>
      <c r="W74" s="84">
        <f t="shared" si="49"/>
        <v>124.00000000000004</v>
      </c>
      <c r="X74" s="233">
        <v>0.61736111111111114</v>
      </c>
      <c r="Y74" s="233">
        <v>0.62708333333333333</v>
      </c>
      <c r="Z74" s="170"/>
      <c r="AA74" s="170"/>
      <c r="AB74" s="571"/>
      <c r="AC74" s="571"/>
      <c r="AD74" s="332"/>
      <c r="AE74" s="332"/>
      <c r="AF74" s="88">
        <f t="shared" ref="AF74:AF80" si="51">N74-K74</f>
        <v>-89.516129032258505</v>
      </c>
      <c r="AG74" s="90">
        <f t="shared" ref="AG74:AG80" si="52">N74/K74</f>
        <v>0.93783602150537604</v>
      </c>
      <c r="AH74" s="590"/>
    </row>
    <row r="75" spans="1:34" ht="19.2" customHeight="1">
      <c r="A75" s="602"/>
      <c r="B75" s="75" t="s">
        <v>243</v>
      </c>
      <c r="C75" s="109"/>
      <c r="D75" s="226" t="s">
        <v>121</v>
      </c>
      <c r="E75" s="81"/>
      <c r="F75" s="650">
        <v>47.65</v>
      </c>
      <c r="G75" s="98">
        <v>864.5</v>
      </c>
      <c r="H75" s="83">
        <f t="shared" si="50"/>
        <v>41193.424999999996</v>
      </c>
      <c r="I75" s="75">
        <v>2</v>
      </c>
      <c r="J75" s="231">
        <v>18</v>
      </c>
      <c r="K75" s="232">
        <v>1440</v>
      </c>
      <c r="L75" s="129">
        <v>80</v>
      </c>
      <c r="M75" s="87">
        <v>18</v>
      </c>
      <c r="N75" s="82">
        <f t="shared" si="45"/>
        <v>1296.7499999999995</v>
      </c>
      <c r="O75" s="86">
        <f t="shared" si="46"/>
        <v>72.041666666666643</v>
      </c>
      <c r="P75" s="88">
        <f t="shared" si="47"/>
        <v>0</v>
      </c>
      <c r="Q75" s="89">
        <f t="shared" ref="Q75:Q76" si="53">O75-L75</f>
        <v>-7.958333333333357</v>
      </c>
      <c r="R75" s="90">
        <f t="shared" ref="R75:R76" si="54">O75/L75</f>
        <v>0.90052083333333299</v>
      </c>
      <c r="S75" s="590"/>
      <c r="T75" s="91">
        <v>0.73124999999999984</v>
      </c>
      <c r="U75" s="91">
        <v>0.75902777777777763</v>
      </c>
      <c r="V75" s="75">
        <v>22</v>
      </c>
      <c r="W75" s="84">
        <f t="shared" si="49"/>
        <v>40.000000000000014</v>
      </c>
      <c r="X75" s="233">
        <v>0.71944444444444444</v>
      </c>
      <c r="Y75" s="233">
        <v>0.7284722222222223</v>
      </c>
      <c r="Z75" s="170"/>
      <c r="AA75" s="170"/>
      <c r="AB75" s="571"/>
      <c r="AC75" s="571"/>
      <c r="AD75" s="332"/>
      <c r="AE75" s="332"/>
      <c r="AF75" s="88">
        <f t="shared" si="51"/>
        <v>-143.25000000000045</v>
      </c>
      <c r="AG75" s="90">
        <f t="shared" si="52"/>
        <v>0.90052083333333299</v>
      </c>
      <c r="AH75" s="590"/>
    </row>
    <row r="76" spans="1:34" ht="19.2" customHeight="1">
      <c r="A76" s="602"/>
      <c r="B76" s="75" t="s">
        <v>247</v>
      </c>
      <c r="C76" s="228"/>
      <c r="D76" s="229" t="s">
        <v>136</v>
      </c>
      <c r="E76" s="230"/>
      <c r="F76" s="650">
        <v>55.32</v>
      </c>
      <c r="G76" s="227">
        <v>554</v>
      </c>
      <c r="H76" s="83">
        <f t="shared" si="50"/>
        <v>30647.279999999999</v>
      </c>
      <c r="I76" s="75"/>
      <c r="J76" s="85">
        <v>14</v>
      </c>
      <c r="K76" s="227">
        <v>1440</v>
      </c>
      <c r="L76" s="86">
        <v>102.85714285714286</v>
      </c>
      <c r="M76" s="174">
        <v>15</v>
      </c>
      <c r="N76" s="82">
        <f t="shared" si="45"/>
        <v>1146.2068965517219</v>
      </c>
      <c r="O76" s="86">
        <f t="shared" si="46"/>
        <v>76.413793103448128</v>
      </c>
      <c r="P76" s="88">
        <f t="shared" si="47"/>
        <v>1</v>
      </c>
      <c r="Q76" s="89">
        <f t="shared" si="53"/>
        <v>-26.443349753694733</v>
      </c>
      <c r="R76" s="90">
        <f t="shared" si="54"/>
        <v>0.7429118773946346</v>
      </c>
      <c r="S76" s="590"/>
      <c r="T76" s="91">
        <v>0.76319444444444429</v>
      </c>
      <c r="U76" s="91">
        <v>0.78333333333333321</v>
      </c>
      <c r="V76" s="75">
        <v>6</v>
      </c>
      <c r="W76" s="84">
        <f t="shared" si="49"/>
        <v>29.000000000000057</v>
      </c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-293.79310344827809</v>
      </c>
      <c r="AG76" s="90">
        <f t="shared" si="52"/>
        <v>0.79597701149425137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/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315</v>
      </c>
      <c r="D82" s="572" t="s">
        <v>300</v>
      </c>
      <c r="E82" s="572"/>
      <c r="F82" s="660"/>
      <c r="G82" s="145"/>
      <c r="H82" s="146"/>
      <c r="I82" s="147"/>
      <c r="J82" s="145">
        <v>16.428571428571427</v>
      </c>
      <c r="K82" s="145">
        <v>1476.5714285714287</v>
      </c>
      <c r="L82" s="148">
        <v>90.799253034547164</v>
      </c>
      <c r="M82" s="145">
        <f t="shared" ref="J82:O82" si="55">AVERAGE(M70:M81)</f>
        <v>16.428571428571427</v>
      </c>
      <c r="N82" s="145">
        <f t="shared" si="55"/>
        <v>1296.5353566974361</v>
      </c>
      <c r="O82" s="237">
        <f t="shared" si="55"/>
        <v>79.519939978013625</v>
      </c>
      <c r="P82" s="161">
        <f>M82-J82</f>
        <v>0</v>
      </c>
      <c r="Q82" s="162">
        <f>N82-K82</f>
        <v>-180.03607187399257</v>
      </c>
      <c r="R82" s="225">
        <f>O82/L82</f>
        <v>0.87577746865117934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-180.03607187399257</v>
      </c>
      <c r="AG82" s="90">
        <f>N82/K82</f>
        <v>0.87807154575097257</v>
      </c>
      <c r="AH82" s="590"/>
    </row>
    <row r="83" spans="1:34" ht="19.2" customHeight="1">
      <c r="A83" s="600" t="s">
        <v>316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2382.04</v>
      </c>
      <c r="H83" s="127">
        <f t="shared" ref="H83:H94" si="56">F83*G83</f>
        <v>127105.6544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1232.0896551724138</v>
      </c>
      <c r="O83" s="236">
        <f t="shared" ref="O83:O89" si="58">N83/M83</f>
        <v>64.846823956442833</v>
      </c>
      <c r="P83" s="95">
        <f t="shared" ref="P83:P89" si="59">M83-J83</f>
        <v>0</v>
      </c>
      <c r="Q83" s="131">
        <f t="shared" ref="Q83:Q89" si="60">O83-L83</f>
        <v>-10.942649727767687</v>
      </c>
      <c r="R83" s="239">
        <f t="shared" ref="R83:R89" si="61">O83/L83</f>
        <v>0.85561781609195409</v>
      </c>
      <c r="S83" s="590">
        <f>R95</f>
        <v>0.84854986948638012</v>
      </c>
      <c r="T83" s="91">
        <v>0.33333333333333331</v>
      </c>
      <c r="U83" s="91">
        <v>0.41388888888888886</v>
      </c>
      <c r="V83" s="75">
        <v>5</v>
      </c>
      <c r="W83" s="84">
        <f t="shared" ref="W83:W93" si="62">(U83-T83)*24*60</f>
        <v>115.99999999999999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-207.91034482758619</v>
      </c>
      <c r="AG83" s="90">
        <f t="shared" ref="AG83:AG173" si="64">N83/K83</f>
        <v>0.85561781609195409</v>
      </c>
      <c r="AH83" s="590">
        <f>AG95</f>
        <v>0.84788451378903207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2919.92</v>
      </c>
      <c r="H84" s="127">
        <f t="shared" si="56"/>
        <v>155806.93119999999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1208.2427586206891</v>
      </c>
      <c r="O84" s="236">
        <f t="shared" si="58"/>
        <v>63.591724137931003</v>
      </c>
      <c r="P84" s="95">
        <f t="shared" si="59"/>
        <v>0</v>
      </c>
      <c r="Q84" s="131">
        <f t="shared" si="60"/>
        <v>-12.197749546279518</v>
      </c>
      <c r="R84" s="239">
        <f t="shared" si="61"/>
        <v>0.83905747126436747</v>
      </c>
      <c r="S84" s="590"/>
      <c r="T84" s="91">
        <v>0.42986111111111108</v>
      </c>
      <c r="U84" s="91">
        <v>0.53055555555555556</v>
      </c>
      <c r="V84" s="75">
        <v>23</v>
      </c>
      <c r="W84" s="84">
        <f t="shared" si="62"/>
        <v>145.00000000000006</v>
      </c>
      <c r="X84" s="94">
        <v>0.41736111111111113</v>
      </c>
      <c r="Y84" s="94">
        <v>0.42708333333333331</v>
      </c>
      <c r="Z84" s="95"/>
      <c r="AA84" s="95"/>
      <c r="AB84" s="571"/>
      <c r="AC84" s="571"/>
      <c r="AD84" s="332"/>
      <c r="AE84" s="332"/>
      <c r="AF84" s="88">
        <f t="shared" si="63"/>
        <v>-231.75724137931093</v>
      </c>
      <c r="AG84" s="90">
        <f t="shared" si="64"/>
        <v>0.83905747126436736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1173</v>
      </c>
      <c r="H85" s="127">
        <f t="shared" si="56"/>
        <v>60702.75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1327.9245283018877</v>
      </c>
      <c r="O85" s="236">
        <f t="shared" si="58"/>
        <v>63.234501347708935</v>
      </c>
      <c r="P85" s="95">
        <f t="shared" si="59"/>
        <v>0</v>
      </c>
      <c r="Q85" s="131">
        <f t="shared" si="60"/>
        <v>-8.1940700808624953</v>
      </c>
      <c r="R85" s="239">
        <f t="shared" si="61"/>
        <v>0.88528301886792504</v>
      </c>
      <c r="S85" s="590"/>
      <c r="T85" s="91">
        <v>0.57152777777777775</v>
      </c>
      <c r="U85" s="91">
        <v>0.60833333333333328</v>
      </c>
      <c r="V85" s="75">
        <v>6</v>
      </c>
      <c r="W85" s="84">
        <f t="shared" si="62"/>
        <v>52.999999999999972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-172.07547169811232</v>
      </c>
      <c r="AG85" s="90">
        <f t="shared" si="64"/>
        <v>0.88528301886792515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660</v>
      </c>
      <c r="H86" s="127">
        <f t="shared" si="56"/>
        <v>39164.400000000001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1277.4193548387077</v>
      </c>
      <c r="O86" s="236">
        <f t="shared" si="58"/>
        <v>75.142314990512219</v>
      </c>
      <c r="P86" s="95">
        <f t="shared" si="59"/>
        <v>0</v>
      </c>
      <c r="Q86" s="131">
        <f t="shared" si="60"/>
        <v>-9.5635673624289552</v>
      </c>
      <c r="R86" s="239">
        <f t="shared" si="61"/>
        <v>0.88709677419354704</v>
      </c>
      <c r="S86" s="590"/>
      <c r="T86" s="91">
        <v>0.61388888888888882</v>
      </c>
      <c r="U86" s="91">
        <v>0.63541666666666663</v>
      </c>
      <c r="V86" s="75">
        <v>8</v>
      </c>
      <c r="W86" s="84">
        <f t="shared" si="62"/>
        <v>31.00000000000005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-162.5806451612923</v>
      </c>
      <c r="AG86" s="90">
        <f t="shared" si="64"/>
        <v>0.88709677419354704</v>
      </c>
      <c r="AH86" s="590"/>
    </row>
    <row r="87" spans="1:34" ht="19.2" customHeight="1">
      <c r="A87" s="601"/>
      <c r="B87" s="154" t="s">
        <v>243</v>
      </c>
      <c r="C87" s="141"/>
      <c r="D87" s="240" t="s">
        <v>122</v>
      </c>
      <c r="E87" s="81"/>
      <c r="F87" s="657">
        <v>53.36</v>
      </c>
      <c r="G87" s="82">
        <v>2382.04</v>
      </c>
      <c r="H87" s="127">
        <f t="shared" si="56"/>
        <v>127105.6544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1253.705263157894</v>
      </c>
      <c r="O87" s="236">
        <f t="shared" si="58"/>
        <v>65.984487534625998</v>
      </c>
      <c r="P87" s="95">
        <f t="shared" si="59"/>
        <v>0</v>
      </c>
      <c r="Q87" s="131">
        <f t="shared" si="60"/>
        <v>-9.8049861495845221</v>
      </c>
      <c r="R87" s="239">
        <f t="shared" si="61"/>
        <v>0.87062865497075981</v>
      </c>
      <c r="S87" s="590"/>
      <c r="T87" s="91">
        <v>0.65069444444444435</v>
      </c>
      <c r="U87" s="91">
        <v>0.72986111111111107</v>
      </c>
      <c r="V87" s="75">
        <v>22</v>
      </c>
      <c r="W87" s="84">
        <f t="shared" si="62"/>
        <v>114.00000000000007</v>
      </c>
      <c r="X87" s="94">
        <v>0.63888888888888895</v>
      </c>
      <c r="Y87" s="94">
        <v>0.6479166666666667</v>
      </c>
      <c r="Z87" s="95"/>
      <c r="AA87" s="95"/>
      <c r="AB87" s="571"/>
      <c r="AC87" s="571"/>
      <c r="AD87" s="332"/>
      <c r="AE87" s="332"/>
      <c r="AF87" s="88">
        <f t="shared" si="63"/>
        <v>-186.29473684210598</v>
      </c>
      <c r="AG87" s="90">
        <f t="shared" si="64"/>
        <v>0.8706286549707597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1063</v>
      </c>
      <c r="H88" s="127">
        <f t="shared" si="56"/>
        <v>61834.71</v>
      </c>
      <c r="I88" s="75"/>
      <c r="J88" s="130">
        <v>19</v>
      </c>
      <c r="K88" s="98">
        <v>1385</v>
      </c>
      <c r="L88" s="129">
        <v>72.89473684210526</v>
      </c>
      <c r="M88" s="174">
        <v>19</v>
      </c>
      <c r="N88" s="98">
        <f t="shared" si="57"/>
        <v>1138.9285714285722</v>
      </c>
      <c r="O88" s="236">
        <f t="shared" si="58"/>
        <v>59.943609022556437</v>
      </c>
      <c r="P88" s="95">
        <f t="shared" si="59"/>
        <v>0</v>
      </c>
      <c r="Q88" s="131">
        <f t="shared" si="60"/>
        <v>-12.951127819548823</v>
      </c>
      <c r="R88" s="239">
        <f t="shared" si="61"/>
        <v>0.82233109850438435</v>
      </c>
      <c r="S88" s="590"/>
      <c r="T88" s="91">
        <v>0.74583333333333335</v>
      </c>
      <c r="U88" s="91">
        <v>0.78472222222222221</v>
      </c>
      <c r="V88" s="75">
        <v>23</v>
      </c>
      <c r="W88" s="84">
        <f t="shared" si="62"/>
        <v>55.999999999999957</v>
      </c>
      <c r="X88" s="94">
        <v>0.73333333333333339</v>
      </c>
      <c r="Y88" s="94">
        <v>0.74305555555555547</v>
      </c>
      <c r="Z88" s="95"/>
      <c r="AA88" s="95"/>
      <c r="AB88" s="571"/>
      <c r="AC88" s="571"/>
      <c r="AD88" s="332"/>
      <c r="AE88" s="332"/>
      <c r="AF88" s="88">
        <f t="shared" si="63"/>
        <v>-246.07142857142776</v>
      </c>
      <c r="AG88" s="90">
        <f t="shared" si="64"/>
        <v>0.82233109850438424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1338</v>
      </c>
      <c r="H89" s="127">
        <f t="shared" si="56"/>
        <v>71823.839999999997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1163.4782608695641</v>
      </c>
      <c r="O89" s="236">
        <f t="shared" si="58"/>
        <v>58.173913043478208</v>
      </c>
      <c r="P89" s="95">
        <f t="shared" si="59"/>
        <v>0</v>
      </c>
      <c r="Q89" s="131">
        <f t="shared" si="60"/>
        <v>-16.826086956521792</v>
      </c>
      <c r="R89" s="239">
        <f t="shared" si="61"/>
        <v>0.77565217391304275</v>
      </c>
      <c r="S89" s="590"/>
      <c r="T89" s="91">
        <v>0.78888888888888886</v>
      </c>
      <c r="U89" s="91">
        <v>0.83680555555555558</v>
      </c>
      <c r="V89" s="75">
        <v>6</v>
      </c>
      <c r="W89" s="84">
        <f t="shared" si="62"/>
        <v>69.000000000000071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-336.52173913043589</v>
      </c>
      <c r="AG89" s="90">
        <f t="shared" si="64"/>
        <v>0.77565217391304275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317</v>
      </c>
      <c r="D95" s="572" t="s">
        <v>300</v>
      </c>
      <c r="E95" s="572"/>
      <c r="F95" s="651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J95:O95" si="65">AVERAGE(M83:M94)</f>
        <v>19.142857142857142</v>
      </c>
      <c r="N95" s="257">
        <f t="shared" si="65"/>
        <v>1228.8269131985328</v>
      </c>
      <c r="O95" s="258">
        <f t="shared" si="65"/>
        <v>64.416767719036514</v>
      </c>
      <c r="P95" s="259">
        <f>M95-J95</f>
        <v>0</v>
      </c>
      <c r="Q95" s="260">
        <f t="shared" ref="Q95:Q102" si="66">O95-L95</f>
        <v>-11.497176806141979</v>
      </c>
      <c r="R95" s="261">
        <f>O95/L95</f>
        <v>0.84854986948638012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-220.45880108718143</v>
      </c>
      <c r="AG95" s="108">
        <f t="shared" si="64"/>
        <v>0.84788451378903207</v>
      </c>
      <c r="AH95" s="593"/>
    </row>
    <row r="96" spans="1:34" ht="19.2" customHeight="1">
      <c r="A96" s="598" t="s">
        <v>318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385</v>
      </c>
      <c r="H96" s="83">
        <f t="shared" ref="H96:H106" si="67">F96*G96</f>
        <v>14214.2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1358.823529411763</v>
      </c>
      <c r="O96" s="86">
        <f t="shared" ref="O96:O102" si="69">N96/M96</f>
        <v>226.47058823529383</v>
      </c>
      <c r="P96" s="88">
        <f t="shared" ref="P96:P102" si="70">M96-J96</f>
        <v>0</v>
      </c>
      <c r="Q96" s="89">
        <f t="shared" si="66"/>
        <v>-46.196078431372854</v>
      </c>
      <c r="R96" s="90">
        <f t="shared" ref="R96:R102" si="71">O96/L96</f>
        <v>0.83057672946929273</v>
      </c>
      <c r="S96" s="590">
        <f>R108</f>
        <v>0.86350347347989909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-277.17647058823695</v>
      </c>
      <c r="AG96" s="132">
        <f t="shared" si="64"/>
        <v>0.83057672946929284</v>
      </c>
      <c r="AH96" s="575">
        <f>AG108</f>
        <v>0.87107647123153842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3633.6000000000004</v>
      </c>
      <c r="H97" s="265">
        <f t="shared" si="67"/>
        <v>206570.16000000003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1313.3493975903611</v>
      </c>
      <c r="O97" s="86">
        <f t="shared" si="69"/>
        <v>72.963855421686731</v>
      </c>
      <c r="P97" s="88">
        <f t="shared" si="70"/>
        <v>0</v>
      </c>
      <c r="Q97" s="89">
        <f t="shared" si="66"/>
        <v>-17.925033467202155</v>
      </c>
      <c r="R97" s="90">
        <f t="shared" si="71"/>
        <v>0.80278080537308139</v>
      </c>
      <c r="S97" s="590"/>
      <c r="T97" s="266">
        <v>0.35</v>
      </c>
      <c r="U97" s="266">
        <v>0.46527777777777779</v>
      </c>
      <c r="V97" s="267">
        <v>7</v>
      </c>
      <c r="W97" s="134">
        <f t="shared" si="72"/>
        <v>166.00000000000006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-322.65060240963885</v>
      </c>
      <c r="AG97" s="269">
        <f t="shared" si="64"/>
        <v>0.80278080537308139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1398</v>
      </c>
      <c r="H98" s="265">
        <f t="shared" si="67"/>
        <v>100026.9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1270.9090909090924</v>
      </c>
      <c r="O98" s="86">
        <f t="shared" si="69"/>
        <v>70.60606060606068</v>
      </c>
      <c r="P98" s="88">
        <f t="shared" si="70"/>
        <v>0</v>
      </c>
      <c r="Q98" s="89">
        <f t="shared" si="66"/>
        <v>-6.3383838383837627</v>
      </c>
      <c r="R98" s="90">
        <f t="shared" si="71"/>
        <v>0.91762389235313524</v>
      </c>
      <c r="S98" s="590"/>
      <c r="T98" s="133">
        <v>0.50624999999999998</v>
      </c>
      <c r="U98" s="133">
        <v>0.55208333333333326</v>
      </c>
      <c r="V98" s="332">
        <v>6</v>
      </c>
      <c r="W98" s="134">
        <f t="shared" si="72"/>
        <v>65.999999999999929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-114.09090909090764</v>
      </c>
      <c r="AG98" s="132">
        <f t="shared" si="64"/>
        <v>0.91762389235313524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2003</v>
      </c>
      <c r="H99" s="265">
        <f t="shared" si="67"/>
        <v>119258.62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1292.2580645161293</v>
      </c>
      <c r="O99" s="86">
        <f t="shared" si="69"/>
        <v>71.792114695340516</v>
      </c>
      <c r="P99" s="88">
        <f t="shared" si="70"/>
        <v>0</v>
      </c>
      <c r="Q99" s="89">
        <f t="shared" si="66"/>
        <v>-5.1523297491039273</v>
      </c>
      <c r="R99" s="90">
        <f t="shared" si="71"/>
        <v>0.9330383137300573</v>
      </c>
      <c r="S99" s="590"/>
      <c r="T99" s="133">
        <v>0.5576388888888888</v>
      </c>
      <c r="U99" s="133">
        <v>0.62222222222222212</v>
      </c>
      <c r="V99" s="332">
        <v>8</v>
      </c>
      <c r="W99" s="134">
        <f t="shared" si="72"/>
        <v>92.999999999999986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-92.741935483870748</v>
      </c>
      <c r="AG99" s="269">
        <f t="shared" si="64"/>
        <v>0.93303831373005719</v>
      </c>
      <c r="AH99" s="575"/>
    </row>
    <row r="100" spans="1:34" s="274" customFormat="1" ht="19.2" customHeight="1">
      <c r="A100" s="598"/>
      <c r="B100" s="75" t="s">
        <v>247</v>
      </c>
      <c r="C100" s="96"/>
      <c r="D100" s="80" t="s">
        <v>314</v>
      </c>
      <c r="E100" s="126"/>
      <c r="F100" s="661">
        <v>56.85</v>
      </c>
      <c r="G100" s="98">
        <v>2906.88</v>
      </c>
      <c r="H100" s="265">
        <f t="shared" si="67"/>
        <v>165256.128</v>
      </c>
      <c r="I100" s="332"/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1311.3744360902256</v>
      </c>
      <c r="O100" s="86">
        <f t="shared" si="69"/>
        <v>72.85413533834587</v>
      </c>
      <c r="P100" s="88">
        <f t="shared" si="70"/>
        <v>0</v>
      </c>
      <c r="Q100" s="89">
        <f t="shared" si="66"/>
        <v>-18.034753550543016</v>
      </c>
      <c r="R100" s="90">
        <f t="shared" si="71"/>
        <v>0.80157361619206946</v>
      </c>
      <c r="S100" s="590"/>
      <c r="T100" s="266">
        <v>0.63749999999999984</v>
      </c>
      <c r="U100" s="266">
        <v>0.72986111111111096</v>
      </c>
      <c r="V100" s="267">
        <v>22</v>
      </c>
      <c r="W100" s="134">
        <f t="shared" si="72"/>
        <v>133</v>
      </c>
      <c r="X100" s="275">
        <v>0.62569444444444444</v>
      </c>
      <c r="Y100" s="275">
        <v>0.63472222222222219</v>
      </c>
      <c r="Z100" s="272"/>
      <c r="AA100" s="272"/>
      <c r="AB100" s="571"/>
      <c r="AC100" s="571"/>
      <c r="AD100" s="332"/>
      <c r="AE100" s="332"/>
      <c r="AF100" s="95">
        <f t="shared" si="63"/>
        <v>-324.62556390977443</v>
      </c>
      <c r="AG100" s="132">
        <f t="shared" si="64"/>
        <v>0.80157361619206946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984</v>
      </c>
      <c r="H101" s="265">
        <f t="shared" si="67"/>
        <v>53421.36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1341.8181818181818</v>
      </c>
      <c r="O101" s="86">
        <f t="shared" si="69"/>
        <v>89.454545454545453</v>
      </c>
      <c r="P101" s="88">
        <f t="shared" si="70"/>
        <v>0</v>
      </c>
      <c r="Q101" s="89">
        <f t="shared" si="66"/>
        <v>-6.5454545454545467</v>
      </c>
      <c r="R101" s="90">
        <f t="shared" si="71"/>
        <v>0.93181818181818177</v>
      </c>
      <c r="S101" s="590"/>
      <c r="T101" s="266">
        <v>0.74583333333333313</v>
      </c>
      <c r="U101" s="133">
        <v>0.77638888888888868</v>
      </c>
      <c r="V101" s="267">
        <v>23</v>
      </c>
      <c r="W101" s="134">
        <f t="shared" si="72"/>
        <v>44</v>
      </c>
      <c r="X101" s="276">
        <v>0.73333333333333339</v>
      </c>
      <c r="Y101" s="276">
        <v>0.74305555555555547</v>
      </c>
      <c r="Z101" s="272"/>
      <c r="AA101" s="272"/>
      <c r="AB101" s="571"/>
      <c r="AC101" s="571"/>
      <c r="AD101" s="332"/>
      <c r="AE101" s="332"/>
      <c r="AF101" s="268">
        <f t="shared" si="63"/>
        <v>-98.181818181818244</v>
      </c>
      <c r="AG101" s="269">
        <f t="shared" si="64"/>
        <v>0.93181818181818177</v>
      </c>
      <c r="AH101" s="575"/>
    </row>
    <row r="102" spans="1:34" s="274" customFormat="1" ht="19.2" customHeight="1">
      <c r="A102" s="598"/>
      <c r="B102" s="75" t="s">
        <v>247</v>
      </c>
      <c r="C102" s="228"/>
      <c r="D102" s="229" t="s">
        <v>137</v>
      </c>
      <c r="E102" s="230"/>
      <c r="F102" s="661">
        <v>55.56</v>
      </c>
      <c r="G102" s="98">
        <v>894</v>
      </c>
      <c r="H102" s="265">
        <f t="shared" si="67"/>
        <v>49670.64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1308.2926829268288</v>
      </c>
      <c r="O102" s="86">
        <f t="shared" si="69"/>
        <v>81.768292682926798</v>
      </c>
      <c r="P102" s="88">
        <f t="shared" si="70"/>
        <v>0</v>
      </c>
      <c r="Q102" s="89">
        <f t="shared" si="66"/>
        <v>-8.2317073170732016</v>
      </c>
      <c r="R102" s="90">
        <f t="shared" si="71"/>
        <v>0.90853658536585336</v>
      </c>
      <c r="S102" s="590"/>
      <c r="T102" s="266">
        <v>0.78055555555555534</v>
      </c>
      <c r="U102" s="266">
        <v>0.80902777777777757</v>
      </c>
      <c r="V102" s="267">
        <v>6</v>
      </c>
      <c r="W102" s="134">
        <f t="shared" si="72"/>
        <v>41.000000000000014</v>
      </c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-131.70731707317123</v>
      </c>
      <c r="AG102" s="132">
        <f t="shared" si="64"/>
        <v>0.90853658536585336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319</v>
      </c>
      <c r="D108" s="572" t="s">
        <v>300</v>
      </c>
      <c r="E108" s="572"/>
      <c r="F108" s="662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J108:O108" si="73">AVERAGE(M96:M107)</f>
        <v>15.571428571428571</v>
      </c>
      <c r="N108" s="145">
        <f t="shared" si="73"/>
        <v>1313.8321976089403</v>
      </c>
      <c r="O108" s="148">
        <f t="shared" si="73"/>
        <v>97.98708463345713</v>
      </c>
      <c r="P108" s="95">
        <f t="shared" ref="P108:P116" si="74">M108-J108</f>
        <v>0</v>
      </c>
      <c r="Q108" s="131">
        <f t="shared" ref="Q108:Q116" si="75">O108-L108</f>
        <v>-15.489105842733352</v>
      </c>
      <c r="R108" s="149">
        <f t="shared" ref="R108:R116" si="76">O108/L108</f>
        <v>0.86350347347989909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-194.45351667677392</v>
      </c>
      <c r="AG108" s="132">
        <f t="shared" si="64"/>
        <v>0.87107647123153842</v>
      </c>
      <c r="AH108" s="575"/>
    </row>
    <row r="109" spans="1:34" ht="19.2" customHeight="1">
      <c r="A109" s="594" t="s">
        <v>321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1026</v>
      </c>
      <c r="H109" s="83">
        <f t="shared" ref="H109:H118" si="77">F109*G109</f>
        <v>79350.84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1309.7872340425533</v>
      </c>
      <c r="O109" s="86">
        <f t="shared" ref="O109:O116" si="79">N109/M109</f>
        <v>72.765957446808514</v>
      </c>
      <c r="P109" s="88">
        <f t="shared" si="74"/>
        <v>0</v>
      </c>
      <c r="Q109" s="89">
        <f t="shared" si="75"/>
        <v>-7.234042553191486</v>
      </c>
      <c r="R109" s="90">
        <f t="shared" si="76"/>
        <v>0.90957446808510645</v>
      </c>
      <c r="S109" s="597">
        <f>R121</f>
        <v>0.8666529809347524</v>
      </c>
      <c r="T109" s="283">
        <v>0.5</v>
      </c>
      <c r="U109" s="283">
        <v>0.53263888888888888</v>
      </c>
      <c r="V109" s="284">
        <v>5</v>
      </c>
      <c r="W109" s="84">
        <f t="shared" si="72"/>
        <v>46.999999999999993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-130.21276595744666</v>
      </c>
      <c r="AG109" s="171">
        <f t="shared" si="64"/>
        <v>0.90957446808510645</v>
      </c>
      <c r="AH109" s="575">
        <f>AG121</f>
        <v>0.87138353766590049</v>
      </c>
    </row>
    <row r="110" spans="1:34" ht="19.2" customHeight="1">
      <c r="A110" s="595"/>
      <c r="B110" s="75" t="s">
        <v>247</v>
      </c>
      <c r="C110" s="228"/>
      <c r="D110" s="80" t="s">
        <v>133</v>
      </c>
      <c r="E110" s="230"/>
      <c r="F110" s="650">
        <v>56.43</v>
      </c>
      <c r="G110" s="227">
        <v>1113</v>
      </c>
      <c r="H110" s="83">
        <f t="shared" si="77"/>
        <v>62806.59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1391.2500000000005</v>
      </c>
      <c r="O110" s="86">
        <f t="shared" si="79"/>
        <v>77.291666666666686</v>
      </c>
      <c r="P110" s="88">
        <f t="shared" si="74"/>
        <v>0</v>
      </c>
      <c r="Q110" s="89">
        <f t="shared" si="75"/>
        <v>-6.041666666666643</v>
      </c>
      <c r="R110" s="90">
        <f t="shared" si="76"/>
        <v>0.92750000000000032</v>
      </c>
      <c r="S110" s="586"/>
      <c r="T110" s="283">
        <v>0.53680555555555554</v>
      </c>
      <c r="U110" s="283">
        <v>0.57013888888888886</v>
      </c>
      <c r="V110" s="284">
        <v>6</v>
      </c>
      <c r="W110" s="84">
        <f t="shared" si="72"/>
        <v>47.999999999999986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-108.74999999999955</v>
      </c>
      <c r="AG110" s="171">
        <f t="shared" si="64"/>
        <v>0.92750000000000032</v>
      </c>
      <c r="AH110" s="575"/>
    </row>
    <row r="111" spans="1:34" ht="19.2" customHeight="1">
      <c r="A111" s="595"/>
      <c r="B111" s="75" t="s">
        <v>247</v>
      </c>
      <c r="C111" s="228"/>
      <c r="D111" s="80" t="s">
        <v>131</v>
      </c>
      <c r="E111" s="230"/>
      <c r="F111" s="650">
        <v>53.68</v>
      </c>
      <c r="G111" s="98">
        <v>1038</v>
      </c>
      <c r="H111" s="83">
        <f t="shared" si="77"/>
        <v>55719.839999999997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1384</v>
      </c>
      <c r="O111" s="86">
        <f t="shared" si="79"/>
        <v>86.5</v>
      </c>
      <c r="P111" s="88">
        <f t="shared" si="74"/>
        <v>0</v>
      </c>
      <c r="Q111" s="89">
        <f t="shared" si="75"/>
        <v>-7.25</v>
      </c>
      <c r="R111" s="90">
        <f t="shared" si="76"/>
        <v>0.92266666666666663</v>
      </c>
      <c r="S111" s="586"/>
      <c r="T111" s="283">
        <v>0.58541666666666659</v>
      </c>
      <c r="U111" s="283">
        <v>0.61666666666666659</v>
      </c>
      <c r="V111" s="284">
        <v>22</v>
      </c>
      <c r="W111" s="84">
        <f t="shared" si="72"/>
        <v>45</v>
      </c>
      <c r="X111" s="94">
        <v>0.57361111111111118</v>
      </c>
      <c r="Y111" s="94">
        <v>0.58333333333333337</v>
      </c>
      <c r="Z111" s="95"/>
      <c r="AA111" s="95"/>
      <c r="AB111" s="571"/>
      <c r="AC111" s="571"/>
      <c r="AD111" s="332"/>
      <c r="AE111" s="332"/>
      <c r="AF111" s="88">
        <f t="shared" si="63"/>
        <v>-116</v>
      </c>
      <c r="AG111" s="171">
        <f t="shared" si="64"/>
        <v>0.92266666666666663</v>
      </c>
      <c r="AH111" s="575"/>
    </row>
    <row r="112" spans="1:34" ht="19.2" customHeight="1">
      <c r="A112" s="595"/>
      <c r="B112" s="75" t="s">
        <v>247</v>
      </c>
      <c r="C112" s="228"/>
      <c r="D112" s="229" t="s">
        <v>132</v>
      </c>
      <c r="E112" s="230"/>
      <c r="F112" s="650">
        <v>57.734999999999999</v>
      </c>
      <c r="G112" s="98">
        <v>1814.75</v>
      </c>
      <c r="H112" s="83">
        <f t="shared" si="77"/>
        <v>104774.59125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1361.0624999999995</v>
      </c>
      <c r="O112" s="86">
        <f t="shared" si="79"/>
        <v>85.066406249999972</v>
      </c>
      <c r="P112" s="88">
        <f t="shared" si="74"/>
        <v>0</v>
      </c>
      <c r="Q112" s="89">
        <f t="shared" si="75"/>
        <v>-12.746093750000028</v>
      </c>
      <c r="R112" s="90">
        <f t="shared" si="76"/>
        <v>0.86968849840255558</v>
      </c>
      <c r="S112" s="586"/>
      <c r="T112" s="283">
        <v>0.62083333333333324</v>
      </c>
      <c r="U112" s="283">
        <v>0.67638888888888882</v>
      </c>
      <c r="V112" s="284">
        <v>6</v>
      </c>
      <c r="W112" s="84">
        <f t="shared" si="72"/>
        <v>80.000000000000028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-203.93750000000045</v>
      </c>
      <c r="AG112" s="171">
        <f t="shared" si="64"/>
        <v>0.86968849840255558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322</v>
      </c>
      <c r="E113" s="230"/>
      <c r="F113" s="650">
        <v>44.98</v>
      </c>
      <c r="G113" s="98">
        <v>3184</v>
      </c>
      <c r="H113" s="83">
        <f t="shared" si="77"/>
        <v>143216.31999999998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1240.5194805194808</v>
      </c>
      <c r="O113" s="86">
        <f t="shared" si="79"/>
        <v>65.290498974709521</v>
      </c>
      <c r="P113" s="88">
        <f t="shared" si="74"/>
        <v>0</v>
      </c>
      <c r="Q113" s="89">
        <f t="shared" si="75"/>
        <v>-13.656869446343109</v>
      </c>
      <c r="R113" s="90">
        <f t="shared" si="76"/>
        <v>0.82701298701298731</v>
      </c>
      <c r="S113" s="586"/>
      <c r="T113" s="283">
        <v>0.71805555555555545</v>
      </c>
      <c r="U113" s="283">
        <v>0.82499999999999984</v>
      </c>
      <c r="V113" s="284">
        <v>7</v>
      </c>
      <c r="W113" s="84">
        <f t="shared" si="72"/>
        <v>153.99999999999994</v>
      </c>
      <c r="X113" s="271"/>
      <c r="Y113" s="271"/>
      <c r="Z113" s="272"/>
      <c r="AA113" s="272"/>
      <c r="AB113" s="571"/>
      <c r="AC113" s="571"/>
      <c r="AD113" s="277"/>
      <c r="AE113" s="277"/>
      <c r="AF113" s="152">
        <f t="shared" si="63"/>
        <v>-259.48051948051921</v>
      </c>
      <c r="AG113" s="171">
        <f t="shared" si="64"/>
        <v>0.8270129870129872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298</v>
      </c>
      <c r="E114" s="230"/>
      <c r="F114" s="650">
        <v>50.67</v>
      </c>
      <c r="G114" s="98">
        <v>1201.2</v>
      </c>
      <c r="H114" s="83">
        <f t="shared" si="77"/>
        <v>60864.804000000004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1386.0000000000007</v>
      </c>
      <c r="O114" s="86">
        <f t="shared" si="79"/>
        <v>77.000000000000043</v>
      </c>
      <c r="P114" s="88">
        <f t="shared" si="74"/>
        <v>0</v>
      </c>
      <c r="Q114" s="89">
        <f t="shared" si="75"/>
        <v>-6.333333333333286</v>
      </c>
      <c r="R114" s="90">
        <f t="shared" si="76"/>
        <v>0.9240000000000006</v>
      </c>
      <c r="S114" s="586"/>
      <c r="T114" s="283">
        <v>0.84097222222222201</v>
      </c>
      <c r="U114" s="283">
        <v>0.8770833333333331</v>
      </c>
      <c r="V114" s="284">
        <v>23</v>
      </c>
      <c r="W114" s="84">
        <f t="shared" si="72"/>
        <v>51.999999999999972</v>
      </c>
      <c r="X114" s="271">
        <v>0.82847222222222217</v>
      </c>
      <c r="Y114" s="271">
        <v>0.83819444444444446</v>
      </c>
      <c r="Z114" s="272"/>
      <c r="AA114" s="272"/>
      <c r="AB114" s="571"/>
      <c r="AC114" s="571"/>
      <c r="AD114" s="277"/>
      <c r="AE114" s="277"/>
      <c r="AF114" s="88">
        <f t="shared" si="63"/>
        <v>-113.99999999999932</v>
      </c>
      <c r="AG114" s="171">
        <f t="shared" si="64"/>
        <v>0.92400000000000049</v>
      </c>
      <c r="AH114" s="575"/>
    </row>
    <row r="115" spans="1:34" s="274" customFormat="1" ht="19.2" customHeight="1">
      <c r="A115" s="595"/>
      <c r="B115" s="75" t="s">
        <v>247</v>
      </c>
      <c r="C115" s="228"/>
      <c r="D115" s="229" t="s">
        <v>138</v>
      </c>
      <c r="E115" s="230"/>
      <c r="F115" s="650">
        <v>57.73</v>
      </c>
      <c r="G115" s="227">
        <v>991</v>
      </c>
      <c r="H115" s="83">
        <f t="shared" si="77"/>
        <v>57210.43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1189.2000000000005</v>
      </c>
      <c r="O115" s="86">
        <f t="shared" si="79"/>
        <v>69.952941176470617</v>
      </c>
      <c r="P115" s="88">
        <f t="shared" si="74"/>
        <v>1</v>
      </c>
      <c r="Q115" s="89">
        <f t="shared" si="75"/>
        <v>-20.047058823529383</v>
      </c>
      <c r="R115" s="90">
        <f t="shared" si="76"/>
        <v>0.77725490196078462</v>
      </c>
      <c r="S115" s="586"/>
      <c r="T115" s="283">
        <v>0.8819444444444442</v>
      </c>
      <c r="U115" s="283">
        <v>0.91666666666666641</v>
      </c>
      <c r="V115" s="284">
        <v>7</v>
      </c>
      <c r="W115" s="84">
        <f t="shared" si="72"/>
        <v>49.999999999999986</v>
      </c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-250.7999999999995</v>
      </c>
      <c r="AG115" s="171">
        <f t="shared" si="64"/>
        <v>0.82583333333333364</v>
      </c>
      <c r="AH115" s="575"/>
    </row>
    <row r="116" spans="1:34" s="274" customFormat="1" ht="19.2" customHeight="1">
      <c r="A116" s="595"/>
      <c r="B116" s="75" t="s">
        <v>247</v>
      </c>
      <c r="C116" s="96"/>
      <c r="D116" s="125" t="s">
        <v>126</v>
      </c>
      <c r="E116" s="126"/>
      <c r="F116" s="650">
        <v>53.68</v>
      </c>
      <c r="G116" s="98">
        <v>267.60000000000002</v>
      </c>
      <c r="H116" s="83">
        <f t="shared" si="77"/>
        <v>14364.768000000002</v>
      </c>
      <c r="I116" s="332">
        <v>2</v>
      </c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1146.8571428571472</v>
      </c>
      <c r="O116" s="86">
        <f t="shared" si="79"/>
        <v>57.342857142857362</v>
      </c>
      <c r="P116" s="88">
        <f t="shared" si="74"/>
        <v>0</v>
      </c>
      <c r="Q116" s="89">
        <f t="shared" si="75"/>
        <v>-17.657142857142638</v>
      </c>
      <c r="R116" s="90">
        <f t="shared" si="76"/>
        <v>0.76457142857143146</v>
      </c>
      <c r="S116" s="586"/>
      <c r="T116" s="283">
        <v>0.92083333333333306</v>
      </c>
      <c r="U116" s="283">
        <v>0.93055555555555525</v>
      </c>
      <c r="V116" s="284">
        <v>6</v>
      </c>
      <c r="W116" s="84">
        <f t="shared" si="72"/>
        <v>13.99999999999995</v>
      </c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-353.14285714285279</v>
      </c>
      <c r="AG116" s="171">
        <f t="shared" si="64"/>
        <v>0.76457142857143146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323</v>
      </c>
      <c r="D121" s="289" t="s">
        <v>300</v>
      </c>
      <c r="E121" s="290"/>
      <c r="F121" s="659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J121:O121" si="80">AVERAGE(M109:M120)</f>
        <v>17.75</v>
      </c>
      <c r="N121" s="257">
        <f t="shared" si="80"/>
        <v>1301.0845446773976</v>
      </c>
      <c r="O121" s="258">
        <f t="shared" si="80"/>
        <v>73.90129095718909</v>
      </c>
      <c r="P121" s="88">
        <f t="shared" ref="P121:P129" si="81">M121-J121</f>
        <v>0.125</v>
      </c>
      <c r="Q121" s="89">
        <f t="shared" ref="Q121:Q129" si="82">O121-L121</f>
        <v>-11.370775928775828</v>
      </c>
      <c r="R121" s="225">
        <f t="shared" ref="R121:R129" si="83">O121/L121</f>
        <v>0.8666529809347524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0</v>
      </c>
      <c r="AE121" s="151">
        <f>SUM(AE109:AE120)</f>
        <v>0</v>
      </c>
      <c r="AF121" s="88">
        <f>N121-K121</f>
        <v>-192.04045532260238</v>
      </c>
      <c r="AG121" s="171">
        <f>N121/K121</f>
        <v>0.87138353766590049</v>
      </c>
      <c r="AH121" s="575"/>
    </row>
    <row r="122" spans="1:34" ht="19.2" customHeight="1">
      <c r="A122" s="589" t="s">
        <v>324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2075</v>
      </c>
      <c r="H122" s="83">
        <f t="shared" ref="H122:H132" si="84">F122*G122</f>
        <v>121740.25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1324.4680851063831</v>
      </c>
      <c r="O122" s="294">
        <f t="shared" ref="O122:O129" si="86">N122/M122</f>
        <v>69.708846584546478</v>
      </c>
      <c r="P122" s="152">
        <f t="shared" si="81"/>
        <v>0</v>
      </c>
      <c r="Q122" s="235">
        <f t="shared" si="82"/>
        <v>-6.0806270996640421</v>
      </c>
      <c r="R122" s="153">
        <f t="shared" si="83"/>
        <v>0.91976950354609943</v>
      </c>
      <c r="S122" s="590">
        <f>R134</f>
        <v>0.88760357014996971</v>
      </c>
      <c r="T122" s="91">
        <v>0.5</v>
      </c>
      <c r="U122" s="91">
        <v>0.56527777777777777</v>
      </c>
      <c r="V122" s="284">
        <v>5</v>
      </c>
      <c r="W122" s="84">
        <f t="shared" si="72"/>
        <v>93.999999999999986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-115.53191489361689</v>
      </c>
      <c r="AG122" s="90">
        <f t="shared" si="64"/>
        <v>0.91976950354609943</v>
      </c>
      <c r="AH122" s="592">
        <f>AG134</f>
        <v>0.90483789809057102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2540</v>
      </c>
      <c r="H123" s="83">
        <f t="shared" si="84"/>
        <v>151180.80000000002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1291.5254237288129</v>
      </c>
      <c r="O123" s="129">
        <f t="shared" si="86"/>
        <v>61.501210653752999</v>
      </c>
      <c r="P123" s="95">
        <f t="shared" si="81"/>
        <v>0</v>
      </c>
      <c r="Q123" s="131">
        <f t="shared" si="82"/>
        <v>-4.4511702986279502</v>
      </c>
      <c r="R123" s="132">
        <f t="shared" si="83"/>
        <v>0.93250933121213941</v>
      </c>
      <c r="S123" s="590"/>
      <c r="T123" s="91">
        <v>0.5708333333333333</v>
      </c>
      <c r="U123" s="91">
        <v>0.65277777777777779</v>
      </c>
      <c r="V123" s="284">
        <v>8</v>
      </c>
      <c r="W123" s="84">
        <f>(U123-T123)*24*60</f>
        <v>118.00000000000006</v>
      </c>
      <c r="X123" s="94"/>
      <c r="Y123" s="94"/>
      <c r="Z123" s="95"/>
      <c r="AA123" s="95"/>
      <c r="AB123" s="571"/>
      <c r="AC123" s="571"/>
      <c r="AD123" s="332"/>
      <c r="AE123" s="332"/>
      <c r="AF123" s="88">
        <f t="shared" si="63"/>
        <v>-93.474576271187061</v>
      </c>
      <c r="AG123" s="90">
        <f t="shared" si="64"/>
        <v>0.9325093312121393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1405</v>
      </c>
      <c r="H124" s="83">
        <f t="shared" si="84"/>
        <v>79789.95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1505.357142857144</v>
      </c>
      <c r="O124" s="294">
        <f t="shared" si="86"/>
        <v>83.630952380952451</v>
      </c>
      <c r="P124" s="152">
        <f t="shared" si="81"/>
        <v>0</v>
      </c>
      <c r="Q124" s="235">
        <f t="shared" si="82"/>
        <v>-7.2579365079364351</v>
      </c>
      <c r="R124" s="153">
        <f t="shared" si="83"/>
        <v>0.92014495284666509</v>
      </c>
      <c r="S124" s="591"/>
      <c r="T124" s="91">
        <v>0.70833333333333337</v>
      </c>
      <c r="U124" s="91">
        <v>0.74722222222222223</v>
      </c>
      <c r="V124" s="284">
        <v>5</v>
      </c>
      <c r="W124" s="297">
        <f>(U124-T124)*24*60</f>
        <v>55.999999999999957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-130.64285714285597</v>
      </c>
      <c r="AG124" s="153">
        <f t="shared" si="64"/>
        <v>0.92014495284666509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1086</v>
      </c>
      <c r="H125" s="83">
        <f t="shared" si="84"/>
        <v>61760.82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1515.348837209302</v>
      </c>
      <c r="O125" s="129">
        <f t="shared" si="86"/>
        <v>84.186046511627893</v>
      </c>
      <c r="P125" s="95">
        <f t="shared" si="81"/>
        <v>0</v>
      </c>
      <c r="Q125" s="131">
        <f t="shared" si="82"/>
        <v>-6.7028423772609926</v>
      </c>
      <c r="R125" s="132">
        <f t="shared" si="83"/>
        <v>0.92625234548245849</v>
      </c>
      <c r="S125" s="591"/>
      <c r="T125" s="91">
        <v>0.75277777777777777</v>
      </c>
      <c r="U125" s="91">
        <v>0.78263888888888888</v>
      </c>
      <c r="V125" s="284">
        <v>8</v>
      </c>
      <c r="W125" s="297">
        <f t="shared" ref="W125:W133" si="87">(U125-T125)*24*60</f>
        <v>43.000000000000007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-120.65116279069798</v>
      </c>
      <c r="AG125" s="90">
        <f t="shared" si="64"/>
        <v>0.92625234548245849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1383</v>
      </c>
      <c r="H126" s="83">
        <f t="shared" si="84"/>
        <v>74806.47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1383.0000000000014</v>
      </c>
      <c r="O126" s="129">
        <f t="shared" si="86"/>
        <v>69.150000000000063</v>
      </c>
      <c r="P126" s="95">
        <f t="shared" si="81"/>
        <v>3</v>
      </c>
      <c r="Q126" s="131">
        <f t="shared" si="82"/>
        <v>-22.908823529411706</v>
      </c>
      <c r="R126" s="132">
        <f t="shared" si="83"/>
        <v>0.75115015974440957</v>
      </c>
      <c r="S126" s="591"/>
      <c r="T126" s="91">
        <v>0.78749999999999998</v>
      </c>
      <c r="U126" s="91">
        <v>0.82916666666666661</v>
      </c>
      <c r="V126" s="284">
        <v>7</v>
      </c>
      <c r="W126" s="297">
        <f t="shared" si="87"/>
        <v>59.999999999999943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-181.99999999999864</v>
      </c>
      <c r="AG126" s="153">
        <f t="shared" si="64"/>
        <v>0.88370607028754078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1488</v>
      </c>
      <c r="H127" s="83">
        <f t="shared" si="84"/>
        <v>70828.800000000003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1352.7272727272741</v>
      </c>
      <c r="O127" s="294">
        <f t="shared" si="86"/>
        <v>71.196172248803904</v>
      </c>
      <c r="P127" s="152">
        <f t="shared" si="81"/>
        <v>0</v>
      </c>
      <c r="Q127" s="235">
        <f t="shared" si="82"/>
        <v>-4.593301435406616</v>
      </c>
      <c r="R127" s="153">
        <f t="shared" si="83"/>
        <v>0.93939393939394045</v>
      </c>
      <c r="S127" s="591"/>
      <c r="T127" s="91">
        <v>0.84444444444444433</v>
      </c>
      <c r="U127" s="91">
        <v>0.89027777777777761</v>
      </c>
      <c r="V127" s="75">
        <v>22</v>
      </c>
      <c r="W127" s="297">
        <f t="shared" si="87"/>
        <v>65.999999999999929</v>
      </c>
      <c r="X127" s="106">
        <v>0.83263888888888893</v>
      </c>
      <c r="Y127" s="106">
        <v>0.84166666666666667</v>
      </c>
      <c r="Z127" s="95"/>
      <c r="AA127" s="95"/>
      <c r="AB127" s="571"/>
      <c r="AC127" s="571"/>
      <c r="AD127" s="332"/>
      <c r="AE127" s="332"/>
      <c r="AF127" s="152">
        <f t="shared" si="63"/>
        <v>-87.272727272725888</v>
      </c>
      <c r="AG127" s="153">
        <f t="shared" si="64"/>
        <v>0.93939393939394034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1040</v>
      </c>
      <c r="H128" s="83">
        <f t="shared" si="84"/>
        <v>59592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1300.0000000000002</v>
      </c>
      <c r="O128" s="129">
        <f t="shared" si="86"/>
        <v>76.47058823529413</v>
      </c>
      <c r="P128" s="95">
        <f t="shared" si="81"/>
        <v>0</v>
      </c>
      <c r="Q128" s="131">
        <f t="shared" si="82"/>
        <v>-4.9999999999999858</v>
      </c>
      <c r="R128" s="132">
        <f t="shared" si="83"/>
        <v>0.93862815884476547</v>
      </c>
      <c r="S128" s="591"/>
      <c r="T128" s="91">
        <v>0.89444444444444426</v>
      </c>
      <c r="U128" s="91">
        <v>0.92777777777777759</v>
      </c>
      <c r="V128" s="75">
        <v>6</v>
      </c>
      <c r="W128" s="297">
        <f t="shared" si="87"/>
        <v>47.999999999999986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-84.999999999999773</v>
      </c>
      <c r="AG128" s="153">
        <f t="shared" si="64"/>
        <v>0.93862815884476547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562</v>
      </c>
      <c r="H129" s="83">
        <f t="shared" si="84"/>
        <v>28476.54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1296.9230769230735</v>
      </c>
      <c r="O129" s="129">
        <f t="shared" si="86"/>
        <v>61.758241758241596</v>
      </c>
      <c r="P129" s="95">
        <f t="shared" si="81"/>
        <v>0</v>
      </c>
      <c r="Q129" s="131">
        <f t="shared" si="82"/>
        <v>-16.146520146520302</v>
      </c>
      <c r="R129" s="132">
        <f t="shared" si="83"/>
        <v>0.79274026706789347</v>
      </c>
      <c r="S129" s="591"/>
      <c r="T129" s="91">
        <v>0.93333333333333313</v>
      </c>
      <c r="U129" s="91">
        <v>0.95138888888888873</v>
      </c>
      <c r="V129" s="75">
        <v>8</v>
      </c>
      <c r="W129" s="297">
        <f t="shared" si="87"/>
        <v>26.000000000000068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325</v>
      </c>
      <c r="D134" s="572" t="s">
        <v>300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1371.1687298189991</v>
      </c>
      <c r="O134" s="301">
        <f t="shared" si="88"/>
        <v>72.200257296652453</v>
      </c>
      <c r="P134" s="92">
        <f t="shared" ref="P134:P140" si="89">M134-J134</f>
        <v>0.375</v>
      </c>
      <c r="Q134" s="188">
        <f t="shared" ref="Q134:Q140" si="90">O134-L134</f>
        <v>-9.1426526743534993</v>
      </c>
      <c r="R134" s="302">
        <f t="shared" ref="R134:R140" si="91">O134/L134</f>
        <v>0.88760357014996971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-144.20627018100095</v>
      </c>
      <c r="AG134" s="90">
        <f t="shared" si="64"/>
        <v>0.90483789809057102</v>
      </c>
      <c r="AH134" s="593"/>
    </row>
    <row r="135" spans="1:34" ht="19.2" customHeight="1">
      <c r="A135" s="582" t="s">
        <v>326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901</v>
      </c>
      <c r="H135" s="303">
        <f t="shared" ref="H135:H146" si="92">F135*G135</f>
        <v>45653.67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1386.1538461538455</v>
      </c>
      <c r="O135" s="160">
        <f t="shared" ref="O135:O140" si="94">N135/M135</f>
        <v>81.538461538461505</v>
      </c>
      <c r="P135" s="95">
        <f t="shared" si="89"/>
        <v>0</v>
      </c>
      <c r="Q135" s="131">
        <f t="shared" si="90"/>
        <v>-6.6968325791855534</v>
      </c>
      <c r="R135" s="132">
        <f t="shared" si="91"/>
        <v>0.92410256410256375</v>
      </c>
      <c r="S135" s="586">
        <f>R147</f>
        <v>0.90897417375934375</v>
      </c>
      <c r="T135" s="304">
        <v>0.70833333333333337</v>
      </c>
      <c r="U135" s="91">
        <v>0.73541666666666672</v>
      </c>
      <c r="V135" s="191">
        <v>5</v>
      </c>
      <c r="W135" s="305">
        <f t="shared" ref="W135:W147" si="95">(U135-T135)*24*60</f>
        <v>39.000000000000021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-113.84615384615449</v>
      </c>
      <c r="AG135" s="165">
        <f t="shared" si="64"/>
        <v>0.92410256410256364</v>
      </c>
      <c r="AH135" s="575">
        <f>AG147</f>
        <v>0.92216642854744157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1681</v>
      </c>
      <c r="H136" s="127">
        <f t="shared" si="92"/>
        <v>85697.37999999999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1344.799999999999</v>
      </c>
      <c r="O136" s="129">
        <f t="shared" si="94"/>
        <v>67.239999999999952</v>
      </c>
      <c r="P136" s="95">
        <f t="shared" si="89"/>
        <v>0</v>
      </c>
      <c r="Q136" s="131">
        <f t="shared" si="90"/>
        <v>-4.7600000000000477</v>
      </c>
      <c r="R136" s="132">
        <f t="shared" si="91"/>
        <v>0.93388888888888821</v>
      </c>
      <c r="S136" s="586"/>
      <c r="T136" s="304">
        <v>0.73958333333333337</v>
      </c>
      <c r="U136" s="91">
        <v>0.79166666666666674</v>
      </c>
      <c r="V136" s="191">
        <v>6</v>
      </c>
      <c r="W136" s="84">
        <f t="shared" si="95"/>
        <v>75.000000000000057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-95.200000000000955</v>
      </c>
      <c r="AG136" s="171">
        <f t="shared" si="64"/>
        <v>0.93388888888888821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991</v>
      </c>
      <c r="H137" s="127">
        <f t="shared" si="92"/>
        <v>53603.19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1382.7906976744184</v>
      </c>
      <c r="O137" s="129">
        <f t="shared" si="94"/>
        <v>72.778457772337816</v>
      </c>
      <c r="P137" s="95">
        <f t="shared" si="89"/>
        <v>0</v>
      </c>
      <c r="Q137" s="131">
        <f t="shared" si="90"/>
        <v>-6.1689106487148138</v>
      </c>
      <c r="R137" s="132">
        <f t="shared" si="91"/>
        <v>0.92186046511627906</v>
      </c>
      <c r="S137" s="586"/>
      <c r="T137" s="91">
        <v>0.79652777777777783</v>
      </c>
      <c r="U137" s="91">
        <v>0.82638888888888895</v>
      </c>
      <c r="V137" s="307">
        <v>7</v>
      </c>
      <c r="W137" s="84">
        <f t="shared" si="95"/>
        <v>43.000000000000007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-117.20930232558158</v>
      </c>
      <c r="AG137" s="171">
        <f t="shared" si="64"/>
        <v>0.92186046511627895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1907</v>
      </c>
      <c r="H138" s="127">
        <f t="shared" si="92"/>
        <v>97104.44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1330.4651162790694</v>
      </c>
      <c r="O138" s="129">
        <f t="shared" si="94"/>
        <v>70.024479804161544</v>
      </c>
      <c r="P138" s="95">
        <f t="shared" si="89"/>
        <v>0</v>
      </c>
      <c r="Q138" s="131">
        <f t="shared" si="90"/>
        <v>-5.7649938800489764</v>
      </c>
      <c r="R138" s="296">
        <f t="shared" si="91"/>
        <v>0.92393410852713154</v>
      </c>
      <c r="S138" s="586"/>
      <c r="T138" s="91">
        <v>0.84236111111111112</v>
      </c>
      <c r="U138" s="91">
        <v>0.90208333333333335</v>
      </c>
      <c r="V138" s="307">
        <v>23</v>
      </c>
      <c r="W138" s="84">
        <f t="shared" si="95"/>
        <v>86.000000000000014</v>
      </c>
      <c r="X138" s="94">
        <v>0.82986111111111116</v>
      </c>
      <c r="Y138" s="94">
        <v>0.83958333333333324</v>
      </c>
      <c r="Z138" s="95"/>
      <c r="AA138" s="95"/>
      <c r="AB138" s="571"/>
      <c r="AC138" s="571"/>
      <c r="AD138" s="332"/>
      <c r="AE138" s="332"/>
      <c r="AF138" s="88">
        <f t="shared" si="63"/>
        <v>-109.53488372093057</v>
      </c>
      <c r="AG138" s="171">
        <f t="shared" si="64"/>
        <v>0.92393410852713154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1192</v>
      </c>
      <c r="H139" s="127">
        <f t="shared" si="92"/>
        <v>60398.64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1324.4444444444453</v>
      </c>
      <c r="O139" s="129">
        <f t="shared" si="94"/>
        <v>77.908496732026194</v>
      </c>
      <c r="P139" s="95">
        <f t="shared" si="89"/>
        <v>0</v>
      </c>
      <c r="Q139" s="131">
        <f t="shared" si="90"/>
        <v>-6.7973856209149801</v>
      </c>
      <c r="R139" s="132">
        <f t="shared" si="91"/>
        <v>0.91975308641975373</v>
      </c>
      <c r="S139" s="586"/>
      <c r="T139" s="91">
        <v>0.90625</v>
      </c>
      <c r="U139" s="91">
        <v>0.94374999999999998</v>
      </c>
      <c r="V139" s="308">
        <v>6</v>
      </c>
      <c r="W139" s="84">
        <f t="shared" si="95"/>
        <v>53.999999999999972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-115.55555555555475</v>
      </c>
      <c r="AG139" s="171">
        <f t="shared" si="64"/>
        <v>0.91975308641975362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1375</v>
      </c>
      <c r="H140" s="127">
        <f t="shared" si="92"/>
        <v>69423.75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1309.5238095238108</v>
      </c>
      <c r="O140" s="129">
        <f t="shared" si="94"/>
        <v>87.301587301587389</v>
      </c>
      <c r="P140" s="95">
        <f t="shared" si="89"/>
        <v>1</v>
      </c>
      <c r="Q140" s="131">
        <f t="shared" si="90"/>
        <v>-15.555555555555472</v>
      </c>
      <c r="R140" s="132">
        <f t="shared" si="91"/>
        <v>0.8487654320987662</v>
      </c>
      <c r="S140" s="587"/>
      <c r="T140" s="105">
        <v>0.94861111111111107</v>
      </c>
      <c r="U140" s="310">
        <v>0.99236111111111103</v>
      </c>
      <c r="V140" s="311">
        <v>7</v>
      </c>
      <c r="W140" s="84">
        <f t="shared" si="95"/>
        <v>62.999999999999936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-130.47619047618923</v>
      </c>
      <c r="AG140" s="171">
        <f t="shared" si="64"/>
        <v>0.90939153439153531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327</v>
      </c>
      <c r="D147" s="572" t="s">
        <v>300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1346.3629856792647</v>
      </c>
      <c r="O147" s="301">
        <f t="shared" si="96"/>
        <v>76.131913858095729</v>
      </c>
      <c r="P147" s="92">
        <f t="shared" ref="P147:P151" si="97">M147-J147</f>
        <v>0.1666666666666643</v>
      </c>
      <c r="Q147" s="188">
        <f t="shared" ref="Q147:Q151" si="98">O147-L147</f>
        <v>-7.6239463807366405</v>
      </c>
      <c r="R147" s="316">
        <f t="shared" ref="R147:R151" si="99">O147/L147</f>
        <v>0.90897417375934375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-113.63701432073526</v>
      </c>
      <c r="AG147" s="317">
        <f t="shared" si="64"/>
        <v>0.92216642854744157</v>
      </c>
      <c r="AH147" s="575"/>
    </row>
    <row r="148" spans="1:34" ht="19.2" customHeight="1">
      <c r="A148" s="578" t="s">
        <v>328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605</v>
      </c>
      <c r="H148" s="127">
        <f t="shared" ref="H148:H172" si="100">F148*G148</f>
        <v>30655.350000000002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1296.4285714285686</v>
      </c>
      <c r="O148" s="86">
        <f>N148/M148</f>
        <v>76.260504201680504</v>
      </c>
      <c r="P148" s="88">
        <f t="shared" si="97"/>
        <v>1</v>
      </c>
      <c r="Q148" s="89">
        <f t="shared" si="98"/>
        <v>-13.739495798319496</v>
      </c>
      <c r="R148" s="90">
        <f t="shared" si="99"/>
        <v>0.84733893557422779</v>
      </c>
      <c r="S148" s="579">
        <f>R160</f>
        <v>0.83889546573242968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-143.5714285714314</v>
      </c>
      <c r="AG148" s="171">
        <f t="shared" si="64"/>
        <v>0.90029761904761707</v>
      </c>
      <c r="AH148" s="575">
        <f>AG160</f>
        <v>0.85213761966246548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1627</v>
      </c>
      <c r="H149" s="127">
        <f t="shared" si="100"/>
        <v>93227.099999999991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1374.9295774647874</v>
      </c>
      <c r="O149" s="86">
        <f>N149/M149</f>
        <v>76.384976525821514</v>
      </c>
      <c r="P149" s="88">
        <f t="shared" si="97"/>
        <v>0</v>
      </c>
      <c r="Q149" s="89">
        <f t="shared" si="98"/>
        <v>-6.9483568075118143</v>
      </c>
      <c r="R149" s="90">
        <f t="shared" si="99"/>
        <v>0.91661971830985822</v>
      </c>
      <c r="S149" s="580"/>
      <c r="T149" s="304">
        <v>0.73194444444444451</v>
      </c>
      <c r="U149" s="91">
        <v>0.78125000000000011</v>
      </c>
      <c r="V149" s="75">
        <v>6</v>
      </c>
      <c r="W149" s="84">
        <f t="shared" ref="W149:W159" si="101">(U149-T149)*24*60</f>
        <v>71.000000000000071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-125.07042253521263</v>
      </c>
      <c r="AG149" s="171">
        <f t="shared" si="64"/>
        <v>0.91661971830985822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320.25</v>
      </c>
      <c r="H150" s="127">
        <f t="shared" si="100"/>
        <v>18489.633750000001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1281.0000000000045</v>
      </c>
      <c r="O150" s="86">
        <f>N150/M150</f>
        <v>80.062500000000284</v>
      </c>
      <c r="P150" s="88">
        <f t="shared" si="97"/>
        <v>0</v>
      </c>
      <c r="Q150" s="89">
        <f t="shared" si="98"/>
        <v>-17.749999999999716</v>
      </c>
      <c r="R150" s="90">
        <f t="shared" si="99"/>
        <v>0.81853035143770259</v>
      </c>
      <c r="S150" s="580"/>
      <c r="T150" s="304">
        <v>0.79652777777777783</v>
      </c>
      <c r="U150" s="91">
        <v>0.80694444444444446</v>
      </c>
      <c r="V150" s="75">
        <v>22</v>
      </c>
      <c r="W150" s="84">
        <f t="shared" si="101"/>
        <v>14.999999999999947</v>
      </c>
      <c r="X150" s="271">
        <v>0.78472222222222221</v>
      </c>
      <c r="Y150" s="271">
        <v>0.79375000000000007</v>
      </c>
      <c r="Z150" s="272"/>
      <c r="AA150" s="272"/>
      <c r="AB150" s="571"/>
      <c r="AC150" s="571"/>
      <c r="AD150" s="332"/>
      <c r="AE150" s="332"/>
      <c r="AF150" s="88">
        <f t="shared" si="63"/>
        <v>-283.99999999999545</v>
      </c>
      <c r="AG150" s="171">
        <f t="shared" si="64"/>
        <v>0.81853035143770259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464</v>
      </c>
      <c r="H151" s="127">
        <f t="shared" si="100"/>
        <v>23334.560000000001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1113.599999999997</v>
      </c>
      <c r="O151" s="86">
        <f>N151/M151</f>
        <v>61.866666666666497</v>
      </c>
      <c r="P151" s="88">
        <f t="shared" si="97"/>
        <v>0</v>
      </c>
      <c r="Q151" s="89">
        <f t="shared" si="98"/>
        <v>-18.133333333333503</v>
      </c>
      <c r="R151" s="90">
        <f t="shared" si="99"/>
        <v>0.77333333333333121</v>
      </c>
      <c r="S151" s="580"/>
      <c r="T151" s="304">
        <v>0.8125</v>
      </c>
      <c r="U151" s="91">
        <v>0.82986111111111116</v>
      </c>
      <c r="V151" s="75">
        <v>8</v>
      </c>
      <c r="W151" s="84">
        <f t="shared" si="101"/>
        <v>25.000000000000071</v>
      </c>
      <c r="X151" s="271"/>
      <c r="Y151" s="271"/>
      <c r="Z151" s="272"/>
      <c r="AA151" s="272"/>
      <c r="AB151" s="571"/>
      <c r="AC151" s="571"/>
      <c r="AD151" s="277"/>
      <c r="AE151" s="277"/>
      <c r="AF151" s="88">
        <f t="shared" si="63"/>
        <v>-326.40000000000305</v>
      </c>
      <c r="AG151" s="171">
        <f t="shared" si="64"/>
        <v>0.77333333333333121</v>
      </c>
      <c r="AH151" s="581"/>
    </row>
    <row r="152" spans="1:34" s="274" customFormat="1" ht="19.2" customHeight="1">
      <c r="A152" s="578"/>
      <c r="B152" s="332">
        <v>0</v>
      </c>
      <c r="C152" s="277"/>
      <c r="D152" s="309"/>
      <c r="E152" s="101"/>
      <c r="F152" s="657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580"/>
      <c r="T152" s="319"/>
      <c r="U152" s="105"/>
      <c r="V152" s="103"/>
      <c r="W152" s="84"/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0</v>
      </c>
      <c r="AG152" s="171" t="e">
        <f t="shared" si="64"/>
        <v>#DIV/0!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329</v>
      </c>
      <c r="D160" s="576" t="s">
        <v>300</v>
      </c>
      <c r="E160" s="577"/>
      <c r="F160" s="651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J160:O160" si="102">AVERAGE(M148:M159)</f>
        <v>17.25</v>
      </c>
      <c r="N160" s="327">
        <f t="shared" si="102"/>
        <v>1266.4895372233393</v>
      </c>
      <c r="O160" s="328">
        <f t="shared" si="102"/>
        <v>73.643661848542195</v>
      </c>
      <c r="P160" s="107">
        <f t="shared" ref="P160:P165" si="103">M160-J160</f>
        <v>0.25</v>
      </c>
      <c r="Q160" s="117">
        <f t="shared" ref="Q160:Q165" si="104">O160-L160</f>
        <v>-14.142796484791134</v>
      </c>
      <c r="R160" s="329">
        <f>O160/L160</f>
        <v>0.83889546573242968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0</v>
      </c>
      <c r="AE160" s="122">
        <f>SUM(AE148:AE159)</f>
        <v>0</v>
      </c>
      <c r="AF160" s="107">
        <f t="shared" si="63"/>
        <v>-219.76046277666069</v>
      </c>
      <c r="AG160" s="176">
        <f t="shared" si="64"/>
        <v>0.85213761966246548</v>
      </c>
      <c r="AH160" s="581"/>
    </row>
    <row r="161" spans="1:36" ht="19.2" customHeight="1">
      <c r="A161" s="574" t="s">
        <v>330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3022</v>
      </c>
      <c r="H161" s="127">
        <f t="shared" ref="H161:H170" si="105">F161*G161</f>
        <v>103443.06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2184.5783132530128</v>
      </c>
      <c r="O161" s="129">
        <f t="shared" ref="O161:O165" si="107">N161/M161</f>
        <v>168.04448563484715</v>
      </c>
      <c r="P161" s="95">
        <f t="shared" si="103"/>
        <v>0</v>
      </c>
      <c r="Q161" s="131">
        <f t="shared" si="104"/>
        <v>-5.032437442075917</v>
      </c>
      <c r="R161" s="132">
        <f t="shared" ref="R161:R165" si="108">O161/L161</f>
        <v>0.97092369477911689</v>
      </c>
      <c r="S161" s="575">
        <f>R173</f>
        <v>0.94984728168220689</v>
      </c>
      <c r="T161" s="133">
        <v>0.16666666666666666</v>
      </c>
      <c r="U161" s="133">
        <v>0.22430555555555554</v>
      </c>
      <c r="V161" s="332">
        <v>5</v>
      </c>
      <c r="W161" s="134">
        <f t="shared" ref="W161:W165" si="109">(U161-T161)*24*60</f>
        <v>82.999999999999986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-65.421686746987234</v>
      </c>
      <c r="AG161" s="132">
        <f t="shared" si="64"/>
        <v>0.97092369477911677</v>
      </c>
      <c r="AH161" s="575">
        <f>AG173</f>
        <v>0.95369291151203273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3864</v>
      </c>
      <c r="H162" s="127">
        <f t="shared" si="105"/>
        <v>132264.72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2208.0000000000005</v>
      </c>
      <c r="O162" s="129">
        <f t="shared" si="107"/>
        <v>169.84615384615387</v>
      </c>
      <c r="P162" s="95">
        <f t="shared" si="103"/>
        <v>0</v>
      </c>
      <c r="Q162" s="131">
        <f t="shared" si="104"/>
        <v>-3.230769230769198</v>
      </c>
      <c r="R162" s="132">
        <f t="shared" si="108"/>
        <v>0.9813333333333335</v>
      </c>
      <c r="S162" s="575"/>
      <c r="T162" s="133">
        <v>0.22916666666666666</v>
      </c>
      <c r="U162" s="133">
        <v>0.30208333333333331</v>
      </c>
      <c r="V162" s="332">
        <v>7</v>
      </c>
      <c r="W162" s="134">
        <f t="shared" si="109"/>
        <v>104.99999999999999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-41.999999999999545</v>
      </c>
      <c r="AG162" s="132">
        <f t="shared" si="64"/>
        <v>0.9813333333333335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2458</v>
      </c>
      <c r="H163" s="127">
        <f t="shared" si="105"/>
        <v>84137.34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2077.1830985915494</v>
      </c>
      <c r="O163" s="129">
        <f t="shared" si="107"/>
        <v>173.09859154929578</v>
      </c>
      <c r="P163" s="95">
        <f t="shared" si="103"/>
        <v>0</v>
      </c>
      <c r="Q163" s="131">
        <f t="shared" si="104"/>
        <v>-3.4014084507042242</v>
      </c>
      <c r="R163" s="132">
        <f t="shared" si="108"/>
        <v>0.98072856401867292</v>
      </c>
      <c r="S163" s="575"/>
      <c r="T163" s="133">
        <v>0.3430555555555555</v>
      </c>
      <c r="U163" s="133">
        <v>0.39236111111111105</v>
      </c>
      <c r="V163" s="332">
        <v>6</v>
      </c>
      <c r="W163" s="134">
        <f t="shared" si="109"/>
        <v>70.999999999999986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-40.816901408450576</v>
      </c>
      <c r="AG163" s="132">
        <f t="shared" si="64"/>
        <v>0.98072856401867303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5781</v>
      </c>
      <c r="H164" s="127">
        <f t="shared" si="105"/>
        <v>207133.22999999998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2209.2993630573246</v>
      </c>
      <c r="O164" s="129">
        <f t="shared" si="107"/>
        <v>200.84539664157498</v>
      </c>
      <c r="P164" s="95">
        <f t="shared" si="103"/>
        <v>0</v>
      </c>
      <c r="Q164" s="131">
        <f t="shared" si="104"/>
        <v>-3.7000579038795536</v>
      </c>
      <c r="R164" s="132">
        <f t="shared" si="108"/>
        <v>0.98191082802547769</v>
      </c>
      <c r="S164" s="575"/>
      <c r="T164" s="133">
        <v>0.40763888888888883</v>
      </c>
      <c r="U164" s="133">
        <v>0.51666666666666661</v>
      </c>
      <c r="V164" s="332">
        <v>22</v>
      </c>
      <c r="W164" s="134">
        <f t="shared" si="109"/>
        <v>157</v>
      </c>
      <c r="X164" s="140">
        <v>0.39583333333333331</v>
      </c>
      <c r="Y164" s="140">
        <v>0.40486111111111112</v>
      </c>
      <c r="Z164" s="95"/>
      <c r="AA164" s="95"/>
      <c r="AB164" s="571"/>
      <c r="AC164" s="571"/>
      <c r="AD164" s="332"/>
      <c r="AE164" s="332"/>
      <c r="AF164" s="95">
        <f t="shared" si="63"/>
        <v>-40.700636942675374</v>
      </c>
      <c r="AG164" s="132">
        <f t="shared" si="64"/>
        <v>0.98191082802547758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4434.95</v>
      </c>
      <c r="H165" s="127">
        <f t="shared" si="105"/>
        <v>161476.52949999998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2419.0636363636377</v>
      </c>
      <c r="O165" s="129">
        <f t="shared" si="107"/>
        <v>241.90636363636378</v>
      </c>
      <c r="P165" s="95">
        <f t="shared" si="103"/>
        <v>0</v>
      </c>
      <c r="Q165" s="131">
        <f t="shared" si="104"/>
        <v>-34.993636363636199</v>
      </c>
      <c r="R165" s="132">
        <f t="shared" si="108"/>
        <v>0.87362355953905313</v>
      </c>
      <c r="S165" s="575"/>
      <c r="T165" s="133">
        <v>0.53263888888888888</v>
      </c>
      <c r="U165" s="133">
        <v>0.60902777777777772</v>
      </c>
      <c r="V165" s="332">
        <v>23</v>
      </c>
      <c r="W165" s="134">
        <f t="shared" si="109"/>
        <v>109.99999999999993</v>
      </c>
      <c r="X165" s="140">
        <v>0.52013888888888882</v>
      </c>
      <c r="Y165" s="140">
        <v>0.52986111111111112</v>
      </c>
      <c r="Z165" s="95"/>
      <c r="AA165" s="95"/>
      <c r="AB165" s="571"/>
      <c r="AC165" s="571"/>
      <c r="AD165" s="332"/>
      <c r="AE165" s="332"/>
      <c r="AF165" s="95">
        <f t="shared" si="63"/>
        <v>-349.93636363636233</v>
      </c>
      <c r="AG165" s="132">
        <f t="shared" si="64"/>
        <v>0.87362355953905302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331</v>
      </c>
      <c r="D173" s="572" t="s">
        <v>300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2219.6248822531052</v>
      </c>
      <c r="O173" s="148">
        <f t="shared" si="110"/>
        <v>190.74819826164713</v>
      </c>
      <c r="P173" s="95">
        <f>M173-J173</f>
        <v>0</v>
      </c>
      <c r="Q173" s="131">
        <f>O173-L173</f>
        <v>-10.071661878213007</v>
      </c>
      <c r="R173" s="149">
        <f>O173/L173</f>
        <v>0.94984728168220689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0</v>
      </c>
      <c r="AF173" s="95">
        <f t="shared" si="63"/>
        <v>-107.77511774689492</v>
      </c>
      <c r="AG173" s="132">
        <f t="shared" si="64"/>
        <v>0.95369291151203273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332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333</v>
      </c>
    </row>
    <row r="186" spans="23:36">
      <c r="W186" s="68"/>
      <c r="AJ186" s="334" t="s">
        <v>334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23421" priority="3346" operator="lessThan">
      <formula>0</formula>
    </cfRule>
  </conditionalFormatting>
  <conditionalFormatting sqref="AH57 AH70 S43 S123 S95 AH95 S5:S9 AH5:AH9 S134 AH17:AH18 S17:S18 S32 S82 AH82 S57:S70">
    <cfRule type="cellIs" dxfId="23420" priority="3345" operator="lessThan">
      <formula>0.8</formula>
    </cfRule>
  </conditionalFormatting>
  <conditionalFormatting sqref="R147 R173 R30 R121 R95 R43 R134 R82 R154:R159 R17:R18 R57:R70">
    <cfRule type="cellIs" dxfId="23419" priority="3343" operator="lessThan">
      <formula>0.8</formula>
    </cfRule>
    <cfRule type="cellIs" dxfId="2341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23417" priority="3341" operator="greaterThan">
      <formula>1</formula>
    </cfRule>
    <cfRule type="cellIs" dxfId="23416" priority="3342" operator="lessThan">
      <formula>0.8</formula>
    </cfRule>
  </conditionalFormatting>
  <conditionalFormatting sqref="P147 P30 P121 P95 P43 P134 P82 P154:P159 P17:P18 P57:P70">
    <cfRule type="cellIs" dxfId="23415" priority="3340" operator="greaterThan">
      <formula>0</formula>
    </cfRule>
  </conditionalFormatting>
  <conditionalFormatting sqref="S161">
    <cfRule type="cellIs" dxfId="23414" priority="3339" operator="lessThan">
      <formula>0.8</formula>
    </cfRule>
  </conditionalFormatting>
  <conditionalFormatting sqref="Q161:Q166">
    <cfRule type="cellIs" dxfId="23413" priority="3338" operator="lessThan">
      <formula>0</formula>
    </cfRule>
  </conditionalFormatting>
  <conditionalFormatting sqref="R161:R166">
    <cfRule type="cellIs" dxfId="23412" priority="3336" operator="lessThan">
      <formula>0.8</formula>
    </cfRule>
    <cfRule type="cellIs" dxfId="23411" priority="3337" operator="greaterThan">
      <formula>1</formula>
    </cfRule>
  </conditionalFormatting>
  <conditionalFormatting sqref="R161:R166">
    <cfRule type="cellIs" dxfId="23410" priority="3334" operator="greaterThan">
      <formula>1</formula>
    </cfRule>
    <cfRule type="cellIs" dxfId="23409" priority="3335" operator="lessThan">
      <formula>0.8</formula>
    </cfRule>
  </conditionalFormatting>
  <conditionalFormatting sqref="P161:P166">
    <cfRule type="cellIs" dxfId="23408" priority="3333" operator="greaterThan">
      <formula>0</formula>
    </cfRule>
  </conditionalFormatting>
  <conditionalFormatting sqref="Q169:Q172 AF161:AF172">
    <cfRule type="cellIs" dxfId="23407" priority="3332" operator="lessThan">
      <formula>0</formula>
    </cfRule>
  </conditionalFormatting>
  <conditionalFormatting sqref="R169:R172">
    <cfRule type="cellIs" dxfId="23406" priority="3330" operator="lessThan">
      <formula>0.8</formula>
    </cfRule>
    <cfRule type="cellIs" dxfId="23405" priority="3331" operator="greaterThan">
      <formula>1</formula>
    </cfRule>
  </conditionalFormatting>
  <conditionalFormatting sqref="R169:R172 AG161:AG172">
    <cfRule type="cellIs" dxfId="23404" priority="3328" operator="greaterThan">
      <formula>1</formula>
    </cfRule>
    <cfRule type="cellIs" dxfId="23403" priority="3329" operator="lessThan">
      <formula>0.8</formula>
    </cfRule>
  </conditionalFormatting>
  <conditionalFormatting sqref="P169:P172">
    <cfRule type="cellIs" dxfId="23402" priority="3327" operator="greaterThan">
      <formula>0</formula>
    </cfRule>
  </conditionalFormatting>
  <conditionalFormatting sqref="AF145">
    <cfRule type="cellIs" dxfId="23401" priority="3326" operator="lessThan">
      <formula>0</formula>
    </cfRule>
  </conditionalFormatting>
  <conditionalFormatting sqref="AG145">
    <cfRule type="cellIs" dxfId="23400" priority="3324" operator="greaterThan">
      <formula>1</formula>
    </cfRule>
    <cfRule type="cellIs" dxfId="23399" priority="3325" operator="lessThan">
      <formula>0.8</formula>
    </cfRule>
  </conditionalFormatting>
  <conditionalFormatting sqref="AF44:AF54">
    <cfRule type="cellIs" dxfId="23398" priority="3323" operator="lessThan">
      <formula>0</formula>
    </cfRule>
  </conditionalFormatting>
  <conditionalFormatting sqref="AG44:AG54">
    <cfRule type="cellIs" dxfId="23397" priority="3321" operator="greaterThan">
      <formula>1</formula>
    </cfRule>
    <cfRule type="cellIs" dxfId="23396" priority="3322" operator="lessThan">
      <formula>0.8</formula>
    </cfRule>
  </conditionalFormatting>
  <conditionalFormatting sqref="AF83:AF94">
    <cfRule type="cellIs" dxfId="23395" priority="3320" operator="lessThan">
      <formula>0</formula>
    </cfRule>
  </conditionalFormatting>
  <conditionalFormatting sqref="AH83">
    <cfRule type="cellIs" dxfId="23394" priority="3319" operator="lessThan">
      <formula>0.8</formula>
    </cfRule>
  </conditionalFormatting>
  <conditionalFormatting sqref="AG83:AG94">
    <cfRule type="cellIs" dxfId="23393" priority="3317" operator="greaterThan">
      <formula>1</formula>
    </cfRule>
    <cfRule type="cellIs" dxfId="23392" priority="3318" operator="lessThan">
      <formula>0.8</formula>
    </cfRule>
  </conditionalFormatting>
  <conditionalFormatting sqref="S83">
    <cfRule type="cellIs" dxfId="23391" priority="3316" operator="lessThan">
      <formula>0.8</formula>
    </cfRule>
  </conditionalFormatting>
  <conditionalFormatting sqref="AH84">
    <cfRule type="cellIs" dxfId="23390" priority="3315" operator="lessThan">
      <formula>0.8</formula>
    </cfRule>
  </conditionalFormatting>
  <conditionalFormatting sqref="S84">
    <cfRule type="cellIs" dxfId="23389" priority="3314" operator="lessThan">
      <formula>0.8</formula>
    </cfRule>
  </conditionalFormatting>
  <conditionalFormatting sqref="S90">
    <cfRule type="cellIs" dxfId="23388" priority="3313" operator="lessThan">
      <formula>0.8</formula>
    </cfRule>
  </conditionalFormatting>
  <conditionalFormatting sqref="AH90">
    <cfRule type="cellIs" dxfId="23387" priority="3312" operator="lessThan">
      <formula>0.8</formula>
    </cfRule>
  </conditionalFormatting>
  <conditionalFormatting sqref="AF122">
    <cfRule type="cellIs" dxfId="23386" priority="3311" operator="lessThan">
      <formula>0</formula>
    </cfRule>
  </conditionalFormatting>
  <conditionalFormatting sqref="S122">
    <cfRule type="cellIs" dxfId="23385" priority="3310" operator="lessThan">
      <formula>0.8</formula>
    </cfRule>
  </conditionalFormatting>
  <conditionalFormatting sqref="AG122">
    <cfRule type="cellIs" dxfId="23384" priority="3308" operator="greaterThan">
      <formula>1</formula>
    </cfRule>
    <cfRule type="cellIs" dxfId="23383" priority="3309" operator="lessThan">
      <formula>0.8</formula>
    </cfRule>
  </conditionalFormatting>
  <conditionalFormatting sqref="P162:P168">
    <cfRule type="cellIs" dxfId="23382" priority="3302" operator="greaterThan">
      <formula>0</formula>
    </cfRule>
  </conditionalFormatting>
  <conditionalFormatting sqref="R162:R168">
    <cfRule type="cellIs" dxfId="23381" priority="3305" operator="lessThan">
      <formula>0.8</formula>
    </cfRule>
    <cfRule type="cellIs" dxfId="23380" priority="3306" operator="greaterThan">
      <formula>1</formula>
    </cfRule>
  </conditionalFormatting>
  <conditionalFormatting sqref="R162:R168">
    <cfRule type="cellIs" dxfId="23379" priority="3303" operator="greaterThan">
      <formula>1</formula>
    </cfRule>
    <cfRule type="cellIs" dxfId="23378" priority="3304" operator="lessThan">
      <formula>0.8</formula>
    </cfRule>
  </conditionalFormatting>
  <conditionalFormatting sqref="Q162:Q168">
    <cfRule type="cellIs" dxfId="23377" priority="3307" operator="lessThan">
      <formula>0</formula>
    </cfRule>
  </conditionalFormatting>
  <conditionalFormatting sqref="P132:P133">
    <cfRule type="cellIs" dxfId="23376" priority="3295" operator="greaterThan">
      <formula>0</formula>
    </cfRule>
  </conditionalFormatting>
  <conditionalFormatting sqref="AF124 Q132:Q133 AF126:AF133">
    <cfRule type="cellIs" dxfId="23375" priority="3301" operator="lessThan">
      <formula>0</formula>
    </cfRule>
  </conditionalFormatting>
  <conditionalFormatting sqref="S124:S133">
    <cfRule type="cellIs" dxfId="23374" priority="3300" operator="lessThan">
      <formula>0.8</formula>
    </cfRule>
  </conditionalFormatting>
  <conditionalFormatting sqref="R132:R133">
    <cfRule type="cellIs" dxfId="23373" priority="3298" operator="lessThan">
      <formula>0.8</formula>
    </cfRule>
    <cfRule type="cellIs" dxfId="23372" priority="3299" operator="greaterThan">
      <formula>1</formula>
    </cfRule>
  </conditionalFormatting>
  <conditionalFormatting sqref="AG124 R132:R133 AG126:AG133">
    <cfRule type="cellIs" dxfId="23371" priority="3296" operator="greaterThan">
      <formula>1</formula>
    </cfRule>
    <cfRule type="cellIs" dxfId="23370" priority="3297" operator="lessThan">
      <formula>0.8</formula>
    </cfRule>
  </conditionalFormatting>
  <conditionalFormatting sqref="AF112 AF115">
    <cfRule type="cellIs" dxfId="23369" priority="3294" operator="lessThan">
      <formula>0</formula>
    </cfRule>
  </conditionalFormatting>
  <conditionalFormatting sqref="AG112 AG115">
    <cfRule type="cellIs" dxfId="23368" priority="3292" operator="greaterThan">
      <formula>1</formula>
    </cfRule>
    <cfRule type="cellIs" dxfId="23367" priority="3293" operator="lessThan">
      <formula>0.8</formula>
    </cfRule>
  </conditionalFormatting>
  <conditionalFormatting sqref="AF111 AF114 AF117">
    <cfRule type="cellIs" dxfId="23366" priority="3291" operator="lessThan">
      <formula>0</formula>
    </cfRule>
  </conditionalFormatting>
  <conditionalFormatting sqref="AH109">
    <cfRule type="cellIs" dxfId="23365" priority="3290" operator="lessThan">
      <formula>0.8</formula>
    </cfRule>
  </conditionalFormatting>
  <conditionalFormatting sqref="AG111 AG114 AG117">
    <cfRule type="cellIs" dxfId="23364" priority="3288" operator="greaterThan">
      <formula>1</formula>
    </cfRule>
    <cfRule type="cellIs" dxfId="23363" priority="3289" operator="lessThan">
      <formula>0.8</formula>
    </cfRule>
  </conditionalFormatting>
  <conditionalFormatting sqref="R160 AG160">
    <cfRule type="cellIs" dxfId="23362" priority="3283" operator="greaterThan">
      <formula>1</formula>
    </cfRule>
    <cfRule type="cellIs" dxfId="23361" priority="3284" operator="lessThan">
      <formula>0.8</formula>
    </cfRule>
  </conditionalFormatting>
  <conditionalFormatting sqref="R160">
    <cfRule type="cellIs" dxfId="23360" priority="3285" operator="lessThan">
      <formula>0.8</formula>
    </cfRule>
    <cfRule type="cellIs" dxfId="23359" priority="3286" operator="greaterThan">
      <formula>1</formula>
    </cfRule>
  </conditionalFormatting>
  <conditionalFormatting sqref="P160">
    <cfRule type="cellIs" dxfId="23358" priority="3282" operator="greaterThan">
      <formula>0</formula>
    </cfRule>
  </conditionalFormatting>
  <conditionalFormatting sqref="AH148">
    <cfRule type="cellIs" dxfId="23357" priority="3281" operator="lessThan">
      <formula>0.8</formula>
    </cfRule>
  </conditionalFormatting>
  <conditionalFormatting sqref="Q160 AF160">
    <cfRule type="cellIs" dxfId="23356" priority="3287" operator="lessThan">
      <formula>0</formula>
    </cfRule>
  </conditionalFormatting>
  <conditionalFormatting sqref="AF148:AF154">
    <cfRule type="cellIs" dxfId="23355" priority="3280" operator="lessThan">
      <formula>0</formula>
    </cfRule>
  </conditionalFormatting>
  <conditionalFormatting sqref="S148">
    <cfRule type="cellIs" dxfId="23354" priority="3279" operator="lessThan">
      <formula>0.8</formula>
    </cfRule>
  </conditionalFormatting>
  <conditionalFormatting sqref="AG148:AG154">
    <cfRule type="cellIs" dxfId="23353" priority="3277" operator="greaterThan">
      <formula>1</formula>
    </cfRule>
    <cfRule type="cellIs" dxfId="23352" priority="3278" operator="lessThan">
      <formula>0.8</formula>
    </cfRule>
  </conditionalFormatting>
  <conditionalFormatting sqref="S86">
    <cfRule type="cellIs" dxfId="23351" priority="3276" operator="lessThan">
      <formula>0.8</formula>
    </cfRule>
  </conditionalFormatting>
  <conditionalFormatting sqref="S88 AH88">
    <cfRule type="cellIs" dxfId="23350" priority="3271" operator="lessThan">
      <formula>0.8</formula>
    </cfRule>
  </conditionalFormatting>
  <conditionalFormatting sqref="AH86">
    <cfRule type="cellIs" dxfId="23349" priority="3275" operator="lessThan">
      <formula>0.8</formula>
    </cfRule>
  </conditionalFormatting>
  <conditionalFormatting sqref="S87">
    <cfRule type="cellIs" dxfId="23348" priority="3274" operator="lessThan">
      <formula>0.8</formula>
    </cfRule>
  </conditionalFormatting>
  <conditionalFormatting sqref="AH87">
    <cfRule type="cellIs" dxfId="23347" priority="3273" operator="lessThan">
      <formula>0.8</formula>
    </cfRule>
  </conditionalFormatting>
  <conditionalFormatting sqref="S89 AH89">
    <cfRule type="cellIs" dxfId="23346" priority="3272" operator="lessThan">
      <formula>0.8</formula>
    </cfRule>
  </conditionalFormatting>
  <conditionalFormatting sqref="AF31 AF35 AF39">
    <cfRule type="cellIs" dxfId="23345" priority="3270" operator="lessThan">
      <formula>0</formula>
    </cfRule>
  </conditionalFormatting>
  <conditionalFormatting sqref="AH31 S31">
    <cfRule type="cellIs" dxfId="23344" priority="3269" operator="lessThan">
      <formula>0.8</formula>
    </cfRule>
  </conditionalFormatting>
  <conditionalFormatting sqref="AG31 AG35 AG39">
    <cfRule type="cellIs" dxfId="23343" priority="3267" operator="greaterThan">
      <formula>1</formula>
    </cfRule>
    <cfRule type="cellIs" dxfId="23342" priority="3268" operator="lessThan">
      <formula>0.8</formula>
    </cfRule>
  </conditionalFormatting>
  <conditionalFormatting sqref="AF135">
    <cfRule type="cellIs" dxfId="23341" priority="3266" operator="lessThan">
      <formula>0</formula>
    </cfRule>
  </conditionalFormatting>
  <conditionalFormatting sqref="AH135 S135">
    <cfRule type="cellIs" dxfId="23340" priority="3265" operator="lessThan">
      <formula>0.8</formula>
    </cfRule>
  </conditionalFormatting>
  <conditionalFormatting sqref="AG135">
    <cfRule type="cellIs" dxfId="23339" priority="3263" operator="greaterThan">
      <formula>1</formula>
    </cfRule>
    <cfRule type="cellIs" dxfId="23338" priority="3264" operator="lessThan">
      <formula>0.8</formula>
    </cfRule>
  </conditionalFormatting>
  <conditionalFormatting sqref="AF110 AF113 AF116">
    <cfRule type="cellIs" dxfId="23337" priority="3262" operator="lessThan">
      <formula>0</formula>
    </cfRule>
  </conditionalFormatting>
  <conditionalFormatting sqref="AG110 AG113 AG116">
    <cfRule type="cellIs" dxfId="23336" priority="3260" operator="greaterThan">
      <formula>1</formula>
    </cfRule>
    <cfRule type="cellIs" dxfId="23335" priority="3261" operator="lessThan">
      <formula>0.8</formula>
    </cfRule>
  </conditionalFormatting>
  <conditionalFormatting sqref="AF108 Q108">
    <cfRule type="cellIs" dxfId="23334" priority="3259" operator="lessThan">
      <formula>0</formula>
    </cfRule>
  </conditionalFormatting>
  <conditionalFormatting sqref="R108">
    <cfRule type="cellIs" dxfId="23333" priority="3257" operator="lessThan">
      <formula>0.8</formula>
    </cfRule>
    <cfRule type="cellIs" dxfId="23332" priority="3258" operator="greaterThan">
      <formula>1</formula>
    </cfRule>
  </conditionalFormatting>
  <conditionalFormatting sqref="AG108 R108">
    <cfRule type="cellIs" dxfId="23331" priority="3255" operator="greaterThan">
      <formula>1</formula>
    </cfRule>
    <cfRule type="cellIs" dxfId="23330" priority="3256" operator="lessThan">
      <formula>0.8</formula>
    </cfRule>
  </conditionalFormatting>
  <conditionalFormatting sqref="P108">
    <cfRule type="cellIs" dxfId="23329" priority="3254" operator="greaterThan">
      <formula>0</formula>
    </cfRule>
  </conditionalFormatting>
  <conditionalFormatting sqref="AH97">
    <cfRule type="cellIs" dxfId="23328" priority="3249" operator="lessThan">
      <formula>0.8</formula>
    </cfRule>
  </conditionalFormatting>
  <conditionalFormatting sqref="AG96 AG98 AG100 AG102 AG104">
    <cfRule type="cellIs" dxfId="23327" priority="3251" operator="greaterThan">
      <formula>1</formula>
    </cfRule>
    <cfRule type="cellIs" dxfId="23326" priority="3252" operator="lessThan">
      <formula>0.8</formula>
    </cfRule>
  </conditionalFormatting>
  <conditionalFormatting sqref="AF96 AF98 AF100 AF102 AF104">
    <cfRule type="cellIs" dxfId="23325" priority="3253" operator="lessThan">
      <formula>0</formula>
    </cfRule>
  </conditionalFormatting>
  <conditionalFormatting sqref="AG97 AG99 AG101 AG103 AG105">
    <cfRule type="cellIs" dxfId="23324" priority="3247" operator="greaterThan">
      <formula>1</formula>
    </cfRule>
    <cfRule type="cellIs" dxfId="23323" priority="3248" operator="lessThan">
      <formula>0.8</formula>
    </cfRule>
  </conditionalFormatting>
  <conditionalFormatting sqref="AF97 AF99 AF101 AF103 AF105">
    <cfRule type="cellIs" dxfId="23322" priority="3250" operator="lessThan">
      <formula>0</formula>
    </cfRule>
  </conditionalFormatting>
  <conditionalFormatting sqref="AF71 AF73 AF75 AF79 AF77">
    <cfRule type="cellIs" dxfId="23321" priority="3244" operator="lessThan">
      <formula>0</formula>
    </cfRule>
  </conditionalFormatting>
  <conditionalFormatting sqref="S71 AH71">
    <cfRule type="cellIs" dxfId="23320" priority="3243" operator="lessThan">
      <formula>0.8</formula>
    </cfRule>
  </conditionalFormatting>
  <conditionalFormatting sqref="AG71 AG73 AG75 AG79 AG77">
    <cfRule type="cellIs" dxfId="23319" priority="3241" operator="greaterThan">
      <formula>1</formula>
    </cfRule>
    <cfRule type="cellIs" dxfId="23318" priority="3242" operator="lessThan">
      <formula>0.8</formula>
    </cfRule>
  </conditionalFormatting>
  <conditionalFormatting sqref="AF72 AF76 AF80">
    <cfRule type="cellIs" dxfId="23317" priority="3240" operator="lessThan">
      <formula>0</formula>
    </cfRule>
  </conditionalFormatting>
  <conditionalFormatting sqref="S72 AH72">
    <cfRule type="cellIs" dxfId="23316" priority="3239" operator="lessThan">
      <formula>0.8</formula>
    </cfRule>
  </conditionalFormatting>
  <conditionalFormatting sqref="S11">
    <cfRule type="cellIs" dxfId="23315" priority="3246" operator="lessThan">
      <formula>0.8</formula>
    </cfRule>
  </conditionalFormatting>
  <conditionalFormatting sqref="S10">
    <cfRule type="cellIs" dxfId="23314" priority="3245" operator="lessThan">
      <formula>0.8</formula>
    </cfRule>
  </conditionalFormatting>
  <conditionalFormatting sqref="AG72 AG76 AG80">
    <cfRule type="cellIs" dxfId="23313" priority="3237" operator="greaterThan">
      <formula>1</formula>
    </cfRule>
    <cfRule type="cellIs" dxfId="23312" priority="3238" operator="lessThan">
      <formula>0.8</formula>
    </cfRule>
  </conditionalFormatting>
  <conditionalFormatting sqref="AF14:AF16 Q15:Q16">
    <cfRule type="cellIs" dxfId="23311" priority="3236" operator="lessThan">
      <formula>0</formula>
    </cfRule>
  </conditionalFormatting>
  <conditionalFormatting sqref="R15:R16">
    <cfRule type="cellIs" dxfId="23310" priority="3234" operator="lessThan">
      <formula>0.8</formula>
    </cfRule>
    <cfRule type="cellIs" dxfId="23309" priority="3235" operator="greaterThan">
      <formula>1</formula>
    </cfRule>
  </conditionalFormatting>
  <conditionalFormatting sqref="AG14:AG16 R15:R16">
    <cfRule type="cellIs" dxfId="23308" priority="3232" operator="greaterThan">
      <formula>1</formula>
    </cfRule>
    <cfRule type="cellIs" dxfId="23307" priority="3233" operator="lessThan">
      <formula>0.8</formula>
    </cfRule>
  </conditionalFormatting>
  <conditionalFormatting sqref="P15:P16">
    <cfRule type="cellIs" dxfId="23306" priority="3231" operator="greaterThan">
      <formula>0</formula>
    </cfRule>
  </conditionalFormatting>
  <conditionalFormatting sqref="AH98">
    <cfRule type="cellIs" dxfId="23305" priority="3230" operator="lessThan">
      <formula>0.8</formula>
    </cfRule>
  </conditionalFormatting>
  <conditionalFormatting sqref="AF33 AF37">
    <cfRule type="cellIs" dxfId="23304" priority="3229" operator="lessThan">
      <formula>0</formula>
    </cfRule>
  </conditionalFormatting>
  <conditionalFormatting sqref="AG33 AG37">
    <cfRule type="cellIs" dxfId="23303" priority="3227" operator="greaterThan">
      <formula>1</formula>
    </cfRule>
    <cfRule type="cellIs" dxfId="23302" priority="3228" operator="lessThan">
      <formula>0.8</formula>
    </cfRule>
  </conditionalFormatting>
  <conditionalFormatting sqref="P41:P42">
    <cfRule type="cellIs" dxfId="23301" priority="3221" operator="greaterThan">
      <formula>0</formula>
    </cfRule>
  </conditionalFormatting>
  <conditionalFormatting sqref="Q41:Q42 AF34 AF41:AF42 AF38">
    <cfRule type="cellIs" dxfId="23300" priority="3226" operator="lessThan">
      <formula>0</formula>
    </cfRule>
  </conditionalFormatting>
  <conditionalFormatting sqref="R41:R42">
    <cfRule type="cellIs" dxfId="23299" priority="3224" operator="lessThan">
      <formula>0.8</formula>
    </cfRule>
    <cfRule type="cellIs" dxfId="23298" priority="3225" operator="greaterThan">
      <formula>1</formula>
    </cfRule>
  </conditionalFormatting>
  <conditionalFormatting sqref="R41:R42 AG34 AG41:AG42 AG38">
    <cfRule type="cellIs" dxfId="23297" priority="3222" operator="greaterThan">
      <formula>1</formula>
    </cfRule>
    <cfRule type="cellIs" dxfId="23296" priority="3223" operator="lessThan">
      <formula>0.8</formula>
    </cfRule>
  </conditionalFormatting>
  <conditionalFormatting sqref="AF137:AF144">
    <cfRule type="cellIs" dxfId="23295" priority="3220" operator="lessThan">
      <formula>0</formula>
    </cfRule>
  </conditionalFormatting>
  <conditionalFormatting sqref="AH137 S137">
    <cfRule type="cellIs" dxfId="23294" priority="3219" operator="lessThan">
      <formula>0.8</formula>
    </cfRule>
  </conditionalFormatting>
  <conditionalFormatting sqref="AG137:AG144">
    <cfRule type="cellIs" dxfId="23293" priority="3217" operator="greaterThan">
      <formula>1</formula>
    </cfRule>
    <cfRule type="cellIs" dxfId="23292" priority="3218" operator="lessThan">
      <formula>0.8</formula>
    </cfRule>
  </conditionalFormatting>
  <conditionalFormatting sqref="AF55">
    <cfRule type="cellIs" dxfId="23291" priority="3216" operator="lessThan">
      <formula>0</formula>
    </cfRule>
  </conditionalFormatting>
  <conditionalFormatting sqref="AG55">
    <cfRule type="cellIs" dxfId="23290" priority="3214" operator="greaterThan">
      <formula>1</formula>
    </cfRule>
    <cfRule type="cellIs" dxfId="23289" priority="3215" operator="lessThan">
      <formula>0.8</formula>
    </cfRule>
  </conditionalFormatting>
  <conditionalFormatting sqref="AF56 Q56">
    <cfRule type="cellIs" dxfId="23288" priority="3213" operator="lessThan">
      <formula>0</formula>
    </cfRule>
  </conditionalFormatting>
  <conditionalFormatting sqref="R56">
    <cfRule type="cellIs" dxfId="23287" priority="3211" operator="lessThan">
      <formula>0.8</formula>
    </cfRule>
    <cfRule type="cellIs" dxfId="23286" priority="3212" operator="greaterThan">
      <formula>1</formula>
    </cfRule>
  </conditionalFormatting>
  <conditionalFormatting sqref="AG56 R56">
    <cfRule type="cellIs" dxfId="23285" priority="3209" operator="greaterThan">
      <formula>1</formula>
    </cfRule>
    <cfRule type="cellIs" dxfId="23284" priority="3210" operator="lessThan">
      <formula>0.8</formula>
    </cfRule>
  </conditionalFormatting>
  <conditionalFormatting sqref="P56">
    <cfRule type="cellIs" dxfId="23283" priority="3208" operator="greaterThan">
      <formula>0</formula>
    </cfRule>
  </conditionalFormatting>
  <conditionalFormatting sqref="P52:P55">
    <cfRule type="cellIs" dxfId="23282" priority="3202" operator="greaterThan">
      <formula>0</formula>
    </cfRule>
  </conditionalFormatting>
  <conditionalFormatting sqref="Q52:Q55">
    <cfRule type="cellIs" dxfId="23281" priority="3207" operator="lessThan">
      <formula>0</formula>
    </cfRule>
  </conditionalFormatting>
  <conditionalFormatting sqref="R52:R55">
    <cfRule type="cellIs" dxfId="23280" priority="3205" operator="lessThan">
      <formula>0.8</formula>
    </cfRule>
    <cfRule type="cellIs" dxfId="23279" priority="3206" operator="greaterThan">
      <formula>1</formula>
    </cfRule>
  </conditionalFormatting>
  <conditionalFormatting sqref="R52:R55">
    <cfRule type="cellIs" dxfId="23278" priority="3203" operator="greaterThan">
      <formula>1</formula>
    </cfRule>
    <cfRule type="cellIs" dxfId="23277" priority="3204" operator="lessThan">
      <formula>0.8</formula>
    </cfRule>
  </conditionalFormatting>
  <conditionalFormatting sqref="P80:P81">
    <cfRule type="cellIs" dxfId="23276" priority="3196" operator="greaterThan">
      <formula>0</formula>
    </cfRule>
  </conditionalFormatting>
  <conditionalFormatting sqref="AF81 Q80:Q81">
    <cfRule type="cellIs" dxfId="23275" priority="3201" operator="lessThan">
      <formula>0</formula>
    </cfRule>
  </conditionalFormatting>
  <conditionalFormatting sqref="R80:R81">
    <cfRule type="cellIs" dxfId="23274" priority="3199" operator="lessThan">
      <formula>0.8</formula>
    </cfRule>
    <cfRule type="cellIs" dxfId="23273" priority="3200" operator="greaterThan">
      <formula>1</formula>
    </cfRule>
  </conditionalFormatting>
  <conditionalFormatting sqref="AG81 R80:R81">
    <cfRule type="cellIs" dxfId="23272" priority="3197" operator="greaterThan">
      <formula>1</formula>
    </cfRule>
    <cfRule type="cellIs" dxfId="23271" priority="3198" operator="lessThan">
      <formula>0.8</formula>
    </cfRule>
  </conditionalFormatting>
  <conditionalFormatting sqref="AH85">
    <cfRule type="cellIs" dxfId="23270" priority="3195" operator="lessThan">
      <formula>0.8</formula>
    </cfRule>
  </conditionalFormatting>
  <conditionalFormatting sqref="S85">
    <cfRule type="cellIs" dxfId="23269" priority="3194" operator="lessThan">
      <formula>0.8</formula>
    </cfRule>
  </conditionalFormatting>
  <conditionalFormatting sqref="AF106:AF107">
    <cfRule type="cellIs" dxfId="23268" priority="3193" operator="lessThan">
      <formula>0</formula>
    </cfRule>
  </conditionalFormatting>
  <conditionalFormatting sqref="AH100:AH107">
    <cfRule type="cellIs" dxfId="23267" priority="3192" operator="lessThan">
      <formula>0.8</formula>
    </cfRule>
  </conditionalFormatting>
  <conditionalFormatting sqref="AG106:AG107">
    <cfRule type="cellIs" dxfId="23266" priority="3190" operator="greaterThan">
      <formula>1</formula>
    </cfRule>
    <cfRule type="cellIs" dxfId="23265" priority="3191" operator="lessThan">
      <formula>0.8</formula>
    </cfRule>
  </conditionalFormatting>
  <conditionalFormatting sqref="P106:P107">
    <cfRule type="cellIs" dxfId="23264" priority="3184" operator="greaterThan">
      <formula>0</formula>
    </cfRule>
  </conditionalFormatting>
  <conditionalFormatting sqref="Q106:Q107">
    <cfRule type="cellIs" dxfId="23263" priority="3189" operator="lessThan">
      <formula>0</formula>
    </cfRule>
  </conditionalFormatting>
  <conditionalFormatting sqref="R106:R107">
    <cfRule type="cellIs" dxfId="23262" priority="3187" operator="lessThan">
      <formula>0.8</formula>
    </cfRule>
    <cfRule type="cellIs" dxfId="23261" priority="3188" operator="greaterThan">
      <formula>1</formula>
    </cfRule>
  </conditionalFormatting>
  <conditionalFormatting sqref="R106:R107">
    <cfRule type="cellIs" dxfId="23260" priority="3185" operator="greaterThan">
      <formula>1</formula>
    </cfRule>
    <cfRule type="cellIs" dxfId="23259" priority="3186" operator="lessThan">
      <formula>0.8</formula>
    </cfRule>
  </conditionalFormatting>
  <conditionalFormatting sqref="AF109">
    <cfRule type="cellIs" dxfId="23258" priority="3183" operator="lessThan">
      <formula>0</formula>
    </cfRule>
  </conditionalFormatting>
  <conditionalFormatting sqref="S109">
    <cfRule type="cellIs" dxfId="23257" priority="3182" operator="lessThan">
      <formula>0.8</formula>
    </cfRule>
  </conditionalFormatting>
  <conditionalFormatting sqref="AG109">
    <cfRule type="cellIs" dxfId="23256" priority="3180" operator="greaterThan">
      <formula>1</formula>
    </cfRule>
    <cfRule type="cellIs" dxfId="23255" priority="3181" operator="lessThan">
      <formula>0.8</formula>
    </cfRule>
  </conditionalFormatting>
  <conditionalFormatting sqref="S150">
    <cfRule type="cellIs" dxfId="23254" priority="3179" operator="lessThan">
      <formula>0.8</formula>
    </cfRule>
  </conditionalFormatting>
  <conditionalFormatting sqref="AH150">
    <cfRule type="cellIs" dxfId="23253" priority="3178" operator="lessThan">
      <formula>0.8</formula>
    </cfRule>
  </conditionalFormatting>
  <conditionalFormatting sqref="S149">
    <cfRule type="cellIs" dxfId="23252" priority="3177" operator="lessThan">
      <formula>0.8</formula>
    </cfRule>
  </conditionalFormatting>
  <conditionalFormatting sqref="Q26:Q29">
    <cfRule type="cellIs" dxfId="23251" priority="3176" operator="lessThan">
      <formula>0</formula>
    </cfRule>
  </conditionalFormatting>
  <conditionalFormatting sqref="S21:S29 AH21:AH29">
    <cfRule type="cellIs" dxfId="23250" priority="3175" operator="lessThan">
      <formula>0.8</formula>
    </cfRule>
  </conditionalFormatting>
  <conditionalFormatting sqref="R26:R29">
    <cfRule type="cellIs" dxfId="23249" priority="3173" operator="lessThan">
      <formula>0.8</formula>
    </cfRule>
    <cfRule type="cellIs" dxfId="23248" priority="3174" operator="greaterThan">
      <formula>1</formula>
    </cfRule>
  </conditionalFormatting>
  <conditionalFormatting sqref="R26:R29">
    <cfRule type="cellIs" dxfId="23247" priority="3171" operator="greaterThan">
      <formula>1</formula>
    </cfRule>
    <cfRule type="cellIs" dxfId="23246" priority="3172" operator="lessThan">
      <formula>0.8</formula>
    </cfRule>
  </conditionalFormatting>
  <conditionalFormatting sqref="P26:P29">
    <cfRule type="cellIs" dxfId="23245" priority="3170" operator="greaterThan">
      <formula>0</formula>
    </cfRule>
  </conditionalFormatting>
  <conditionalFormatting sqref="AH91 S91">
    <cfRule type="cellIs" dxfId="23244" priority="3169" operator="lessThan">
      <formula>0.8</formula>
    </cfRule>
  </conditionalFormatting>
  <conditionalFormatting sqref="P92:P94">
    <cfRule type="cellIs" dxfId="23243" priority="3163" operator="greaterThan">
      <formula>0</formula>
    </cfRule>
  </conditionalFormatting>
  <conditionalFormatting sqref="Q92:Q94">
    <cfRule type="cellIs" dxfId="23242" priority="3168" operator="lessThan">
      <formula>0</formula>
    </cfRule>
  </conditionalFormatting>
  <conditionalFormatting sqref="R92:R94">
    <cfRule type="cellIs" dxfId="23241" priority="3166" operator="lessThan">
      <formula>0.8</formula>
    </cfRule>
    <cfRule type="cellIs" dxfId="23240" priority="3167" operator="greaterThan">
      <formula>1</formula>
    </cfRule>
  </conditionalFormatting>
  <conditionalFormatting sqref="R92:R94">
    <cfRule type="cellIs" dxfId="23239" priority="3164" operator="greaterThan">
      <formula>1</formula>
    </cfRule>
    <cfRule type="cellIs" dxfId="23238" priority="3165" operator="lessThan">
      <formula>0.8</formula>
    </cfRule>
  </conditionalFormatting>
  <conditionalFormatting sqref="AF146 Q145:Q146">
    <cfRule type="cellIs" dxfId="23237" priority="3162" operator="lessThan">
      <formula>0</formula>
    </cfRule>
  </conditionalFormatting>
  <conditionalFormatting sqref="AH139:AH146 S139:S146">
    <cfRule type="cellIs" dxfId="23236" priority="3161" operator="lessThan">
      <formula>0.8</formula>
    </cfRule>
  </conditionalFormatting>
  <conditionalFormatting sqref="R145:R146">
    <cfRule type="cellIs" dxfId="23235" priority="3159" operator="lessThan">
      <formula>0.8</formula>
    </cfRule>
    <cfRule type="cellIs" dxfId="23234" priority="3160" operator="greaterThan">
      <formula>1</formula>
    </cfRule>
  </conditionalFormatting>
  <conditionalFormatting sqref="AG146 R145:R146">
    <cfRule type="cellIs" dxfId="23233" priority="3157" operator="greaterThan">
      <formula>1</formula>
    </cfRule>
    <cfRule type="cellIs" dxfId="23232" priority="3158" operator="lessThan">
      <formula>0.8</formula>
    </cfRule>
  </conditionalFormatting>
  <conditionalFormatting sqref="P145:P146">
    <cfRule type="cellIs" dxfId="23231" priority="3156" operator="greaterThan">
      <formula>0</formula>
    </cfRule>
  </conditionalFormatting>
  <conditionalFormatting sqref="Q119:Q120">
    <cfRule type="cellIs" dxfId="23230" priority="3155" operator="lessThan">
      <formula>0</formula>
    </cfRule>
  </conditionalFormatting>
  <conditionalFormatting sqref="R119:R120">
    <cfRule type="cellIs" dxfId="23229" priority="3153" operator="lessThan">
      <formula>0.8</formula>
    </cfRule>
    <cfRule type="cellIs" dxfId="23228" priority="3154" operator="greaterThan">
      <formula>1</formula>
    </cfRule>
  </conditionalFormatting>
  <conditionalFormatting sqref="R119:R120">
    <cfRule type="cellIs" dxfId="23227" priority="3151" operator="greaterThan">
      <formula>1</formula>
    </cfRule>
    <cfRule type="cellIs" dxfId="23226" priority="3152" operator="lessThan">
      <formula>0.8</formula>
    </cfRule>
  </conditionalFormatting>
  <conditionalFormatting sqref="P119:P120">
    <cfRule type="cellIs" dxfId="23225" priority="3150" operator="greaterThan">
      <formula>0</formula>
    </cfRule>
  </conditionalFormatting>
  <conditionalFormatting sqref="AF118:AF120">
    <cfRule type="cellIs" dxfId="23224" priority="3149" operator="lessThan">
      <formula>0</formula>
    </cfRule>
  </conditionalFormatting>
  <conditionalFormatting sqref="AG118:AG120">
    <cfRule type="cellIs" dxfId="23223" priority="3147" operator="greaterThan">
      <formula>1</formula>
    </cfRule>
    <cfRule type="cellIs" dxfId="23222" priority="3148" operator="lessThan">
      <formula>0.8</formula>
    </cfRule>
  </conditionalFormatting>
  <conditionalFormatting sqref="S44:S56">
    <cfRule type="cellIs" dxfId="23221" priority="3146" operator="lessThan">
      <formula>0.8</formula>
    </cfRule>
  </conditionalFormatting>
  <conditionalFormatting sqref="S108">
    <cfRule type="cellIs" dxfId="23220" priority="3145" operator="lessThan">
      <formula>0.8</formula>
    </cfRule>
  </conditionalFormatting>
  <conditionalFormatting sqref="S96">
    <cfRule type="cellIs" dxfId="23219" priority="3144" operator="lessThan">
      <formula>0.8</formula>
    </cfRule>
  </conditionalFormatting>
  <conditionalFormatting sqref="S97">
    <cfRule type="cellIs" dxfId="23218" priority="3143" operator="lessThan">
      <formula>0.8</formula>
    </cfRule>
  </conditionalFormatting>
  <conditionalFormatting sqref="S103">
    <cfRule type="cellIs" dxfId="23217" priority="3142" operator="lessThan">
      <formula>0.8</formula>
    </cfRule>
  </conditionalFormatting>
  <conditionalFormatting sqref="S99">
    <cfRule type="cellIs" dxfId="23216" priority="3141" operator="lessThan">
      <formula>0.8</formula>
    </cfRule>
  </conditionalFormatting>
  <conditionalFormatting sqref="S101">
    <cfRule type="cellIs" dxfId="23215" priority="3138" operator="lessThan">
      <formula>0.8</formula>
    </cfRule>
  </conditionalFormatting>
  <conditionalFormatting sqref="S100">
    <cfRule type="cellIs" dxfId="23214" priority="3140" operator="lessThan">
      <formula>0.8</formula>
    </cfRule>
  </conditionalFormatting>
  <conditionalFormatting sqref="S102">
    <cfRule type="cellIs" dxfId="23213" priority="3139" operator="lessThan">
      <formula>0.8</formula>
    </cfRule>
  </conditionalFormatting>
  <conditionalFormatting sqref="S98">
    <cfRule type="cellIs" dxfId="23212" priority="3137" operator="lessThan">
      <formula>0.8</formula>
    </cfRule>
  </conditionalFormatting>
  <conditionalFormatting sqref="S104">
    <cfRule type="cellIs" dxfId="23211" priority="3136" operator="lessThan">
      <formula>0.8</formula>
    </cfRule>
  </conditionalFormatting>
  <conditionalFormatting sqref="P118">
    <cfRule type="cellIs" dxfId="23210" priority="3130" operator="greaterThan">
      <formula>0</formula>
    </cfRule>
  </conditionalFormatting>
  <conditionalFormatting sqref="Q118">
    <cfRule type="cellIs" dxfId="23209" priority="3135" operator="lessThan">
      <formula>0</formula>
    </cfRule>
  </conditionalFormatting>
  <conditionalFormatting sqref="R118">
    <cfRule type="cellIs" dxfId="23208" priority="3133" operator="lessThan">
      <formula>0.8</formula>
    </cfRule>
    <cfRule type="cellIs" dxfId="23207" priority="3134" operator="greaterThan">
      <formula>1</formula>
    </cfRule>
  </conditionalFormatting>
  <conditionalFormatting sqref="R118">
    <cfRule type="cellIs" dxfId="23206" priority="3131" operator="greaterThan">
      <formula>1</formula>
    </cfRule>
    <cfRule type="cellIs" dxfId="23205" priority="3132" operator="lessThan">
      <formula>0.8</formula>
    </cfRule>
  </conditionalFormatting>
  <conditionalFormatting sqref="Q162:Q166">
    <cfRule type="cellIs" dxfId="23204" priority="3129" operator="lessThan">
      <formula>0</formula>
    </cfRule>
  </conditionalFormatting>
  <conditionalFormatting sqref="R162:R166">
    <cfRule type="cellIs" dxfId="23203" priority="3127" operator="lessThan">
      <formula>0.8</formula>
    </cfRule>
    <cfRule type="cellIs" dxfId="23202" priority="3128" operator="greaterThan">
      <formula>1</formula>
    </cfRule>
  </conditionalFormatting>
  <conditionalFormatting sqref="R162:R166">
    <cfRule type="cellIs" dxfId="23201" priority="3125" operator="greaterThan">
      <formula>1</formula>
    </cfRule>
    <cfRule type="cellIs" dxfId="23200" priority="3126" operator="lessThan">
      <formula>0.8</formula>
    </cfRule>
  </conditionalFormatting>
  <conditionalFormatting sqref="P162:P166">
    <cfRule type="cellIs" dxfId="23199" priority="3124" operator="greaterThan">
      <formula>0</formula>
    </cfRule>
  </conditionalFormatting>
  <conditionalFormatting sqref="P167:P168">
    <cfRule type="cellIs" dxfId="23198" priority="3118" operator="greaterThan">
      <formula>0</formula>
    </cfRule>
  </conditionalFormatting>
  <conditionalFormatting sqref="R167:R168">
    <cfRule type="cellIs" dxfId="23197" priority="3121" operator="lessThan">
      <formula>0.8</formula>
    </cfRule>
    <cfRule type="cellIs" dxfId="23196" priority="3122" operator="greaterThan">
      <formula>1</formula>
    </cfRule>
  </conditionalFormatting>
  <conditionalFormatting sqref="R167:R168">
    <cfRule type="cellIs" dxfId="23195" priority="3119" operator="greaterThan">
      <formula>1</formula>
    </cfRule>
    <cfRule type="cellIs" dxfId="23194" priority="3120" operator="lessThan">
      <formula>0.8</formula>
    </cfRule>
  </conditionalFormatting>
  <conditionalFormatting sqref="Q167:Q168">
    <cfRule type="cellIs" dxfId="23193" priority="3123" operator="lessThan">
      <formula>0</formula>
    </cfRule>
  </conditionalFormatting>
  <conditionalFormatting sqref="Q117">
    <cfRule type="cellIs" dxfId="23192" priority="3117" operator="lessThan">
      <formula>0</formula>
    </cfRule>
  </conditionalFormatting>
  <conditionalFormatting sqref="R117">
    <cfRule type="cellIs" dxfId="23191" priority="3115" operator="lessThan">
      <formula>0.8</formula>
    </cfRule>
    <cfRule type="cellIs" dxfId="23190" priority="3116" operator="greaterThan">
      <formula>1</formula>
    </cfRule>
  </conditionalFormatting>
  <conditionalFormatting sqref="R117">
    <cfRule type="cellIs" dxfId="23189" priority="3113" operator="greaterThan">
      <formula>1</formula>
    </cfRule>
    <cfRule type="cellIs" dxfId="23188" priority="3114" operator="lessThan">
      <formula>0.8</formula>
    </cfRule>
  </conditionalFormatting>
  <conditionalFormatting sqref="P117">
    <cfRule type="cellIs" dxfId="23187" priority="3112" operator="greaterThan">
      <formula>0</formula>
    </cfRule>
  </conditionalFormatting>
  <conditionalFormatting sqref="Q117">
    <cfRule type="cellIs" dxfId="23186" priority="3111" operator="lessThan">
      <formula>0</formula>
    </cfRule>
  </conditionalFormatting>
  <conditionalFormatting sqref="R117">
    <cfRule type="cellIs" dxfId="23185" priority="3109" operator="lessThan">
      <formula>0.8</formula>
    </cfRule>
    <cfRule type="cellIs" dxfId="23184" priority="3110" operator="greaterThan">
      <formula>1</formula>
    </cfRule>
  </conditionalFormatting>
  <conditionalFormatting sqref="R117">
    <cfRule type="cellIs" dxfId="23183" priority="3107" operator="greaterThan">
      <formula>1</formula>
    </cfRule>
    <cfRule type="cellIs" dxfId="23182" priority="3108" operator="lessThan">
      <formula>0.8</formula>
    </cfRule>
  </conditionalFormatting>
  <conditionalFormatting sqref="P117">
    <cfRule type="cellIs" dxfId="23181" priority="3106" operator="greaterThan">
      <formula>0</formula>
    </cfRule>
  </conditionalFormatting>
  <conditionalFormatting sqref="P117">
    <cfRule type="cellIs" dxfId="23180" priority="3100" operator="greaterThan">
      <formula>0</formula>
    </cfRule>
  </conditionalFormatting>
  <conditionalFormatting sqref="Q117">
    <cfRule type="cellIs" dxfId="23179" priority="3105" operator="lessThan">
      <formula>0</formula>
    </cfRule>
  </conditionalFormatting>
  <conditionalFormatting sqref="R117">
    <cfRule type="cellIs" dxfId="23178" priority="3103" operator="lessThan">
      <formula>0.8</formula>
    </cfRule>
    <cfRule type="cellIs" dxfId="23177" priority="3104" operator="greaterThan">
      <formula>1</formula>
    </cfRule>
  </conditionalFormatting>
  <conditionalFormatting sqref="R117">
    <cfRule type="cellIs" dxfId="23176" priority="3101" operator="greaterThan">
      <formula>1</formula>
    </cfRule>
    <cfRule type="cellIs" dxfId="23175" priority="3102" operator="lessThan">
      <formula>0.8</formula>
    </cfRule>
  </conditionalFormatting>
  <conditionalFormatting sqref="P117">
    <cfRule type="cellIs" dxfId="23174" priority="3094" operator="greaterThan">
      <formula>0</formula>
    </cfRule>
  </conditionalFormatting>
  <conditionalFormatting sqref="Q117">
    <cfRule type="cellIs" dxfId="23173" priority="3099" operator="lessThan">
      <formula>0</formula>
    </cfRule>
  </conditionalFormatting>
  <conditionalFormatting sqref="R117">
    <cfRule type="cellIs" dxfId="23172" priority="3097" operator="lessThan">
      <formula>0.8</formula>
    </cfRule>
    <cfRule type="cellIs" dxfId="23171" priority="3098" operator="greaterThan">
      <formula>1</formula>
    </cfRule>
  </conditionalFormatting>
  <conditionalFormatting sqref="R117">
    <cfRule type="cellIs" dxfId="23170" priority="3095" operator="greaterThan">
      <formula>1</formula>
    </cfRule>
    <cfRule type="cellIs" dxfId="23169" priority="3096" operator="lessThan">
      <formula>0.8</formula>
    </cfRule>
  </conditionalFormatting>
  <conditionalFormatting sqref="P117">
    <cfRule type="cellIs" dxfId="23168" priority="3088" operator="greaterThan">
      <formula>0</formula>
    </cfRule>
  </conditionalFormatting>
  <conditionalFormatting sqref="Q117">
    <cfRule type="cellIs" dxfId="23167" priority="3093" operator="lessThan">
      <formula>0</formula>
    </cfRule>
  </conditionalFormatting>
  <conditionalFormatting sqref="R117">
    <cfRule type="cellIs" dxfId="23166" priority="3091" operator="lessThan">
      <formula>0.8</formula>
    </cfRule>
    <cfRule type="cellIs" dxfId="23165" priority="3092" operator="greaterThan">
      <formula>1</formula>
    </cfRule>
  </conditionalFormatting>
  <conditionalFormatting sqref="R117">
    <cfRule type="cellIs" dxfId="23164" priority="3089" operator="greaterThan">
      <formula>1</formula>
    </cfRule>
    <cfRule type="cellIs" dxfId="23163" priority="3090" operator="lessThan">
      <formula>0.8</formula>
    </cfRule>
  </conditionalFormatting>
  <conditionalFormatting sqref="Q117">
    <cfRule type="cellIs" dxfId="23162" priority="3087" operator="lessThan">
      <formula>0</formula>
    </cfRule>
  </conditionalFormatting>
  <conditionalFormatting sqref="R117">
    <cfRule type="cellIs" dxfId="23161" priority="3085" operator="lessThan">
      <formula>0.8</formula>
    </cfRule>
    <cfRule type="cellIs" dxfId="23160" priority="3086" operator="greaterThan">
      <formula>1</formula>
    </cfRule>
  </conditionalFormatting>
  <conditionalFormatting sqref="R117">
    <cfRule type="cellIs" dxfId="23159" priority="3083" operator="greaterThan">
      <formula>1</formula>
    </cfRule>
    <cfRule type="cellIs" dxfId="23158" priority="3084" operator="lessThan">
      <formula>0.8</formula>
    </cfRule>
  </conditionalFormatting>
  <conditionalFormatting sqref="P117">
    <cfRule type="cellIs" dxfId="23157" priority="3082" operator="greaterThan">
      <formula>0</formula>
    </cfRule>
  </conditionalFormatting>
  <conditionalFormatting sqref="P117">
    <cfRule type="cellIs" dxfId="23156" priority="3076" operator="greaterThan">
      <formula>0</formula>
    </cfRule>
  </conditionalFormatting>
  <conditionalFormatting sqref="Q117">
    <cfRule type="cellIs" dxfId="23155" priority="3081" operator="lessThan">
      <formula>0</formula>
    </cfRule>
  </conditionalFormatting>
  <conditionalFormatting sqref="R117">
    <cfRule type="cellIs" dxfId="23154" priority="3079" operator="lessThan">
      <formula>0.8</formula>
    </cfRule>
    <cfRule type="cellIs" dxfId="23153" priority="3080" operator="greaterThan">
      <formula>1</formula>
    </cfRule>
  </conditionalFormatting>
  <conditionalFormatting sqref="R117">
    <cfRule type="cellIs" dxfId="23152" priority="3077" operator="greaterThan">
      <formula>1</formula>
    </cfRule>
    <cfRule type="cellIs" dxfId="23151" priority="3078" operator="lessThan">
      <formula>0.8</formula>
    </cfRule>
  </conditionalFormatting>
  <conditionalFormatting sqref="P117">
    <cfRule type="cellIs" dxfId="23150" priority="3070" operator="greaterThan">
      <formula>0</formula>
    </cfRule>
  </conditionalFormatting>
  <conditionalFormatting sqref="Q117">
    <cfRule type="cellIs" dxfId="23149" priority="3075" operator="lessThan">
      <formula>0</formula>
    </cfRule>
  </conditionalFormatting>
  <conditionalFormatting sqref="R117">
    <cfRule type="cellIs" dxfId="23148" priority="3073" operator="lessThan">
      <formula>0.8</formula>
    </cfRule>
    <cfRule type="cellIs" dxfId="23147" priority="3074" operator="greaterThan">
      <formula>1</formula>
    </cfRule>
  </conditionalFormatting>
  <conditionalFormatting sqref="R117">
    <cfRule type="cellIs" dxfId="23146" priority="3071" operator="greaterThan">
      <formula>1</formula>
    </cfRule>
    <cfRule type="cellIs" dxfId="23145" priority="3072" operator="lessThan">
      <formula>0.8</formula>
    </cfRule>
  </conditionalFormatting>
  <conditionalFormatting sqref="Q117">
    <cfRule type="cellIs" dxfId="23144" priority="3069" operator="lessThan">
      <formula>0</formula>
    </cfRule>
  </conditionalFormatting>
  <conditionalFormatting sqref="R117">
    <cfRule type="cellIs" dxfId="23143" priority="3067" operator="lessThan">
      <formula>0.8</formula>
    </cfRule>
    <cfRule type="cellIs" dxfId="23142" priority="3068" operator="greaterThan">
      <formula>1</formula>
    </cfRule>
  </conditionalFormatting>
  <conditionalFormatting sqref="R117">
    <cfRule type="cellIs" dxfId="23141" priority="3065" operator="greaterThan">
      <formula>1</formula>
    </cfRule>
    <cfRule type="cellIs" dxfId="23140" priority="3066" operator="lessThan">
      <formula>0.8</formula>
    </cfRule>
  </conditionalFormatting>
  <conditionalFormatting sqref="P117">
    <cfRule type="cellIs" dxfId="23139" priority="3064" operator="greaterThan">
      <formula>0</formula>
    </cfRule>
  </conditionalFormatting>
  <conditionalFormatting sqref="P117">
    <cfRule type="cellIs" dxfId="23138" priority="3058" operator="greaterThan">
      <formula>0</formula>
    </cfRule>
  </conditionalFormatting>
  <conditionalFormatting sqref="Q117">
    <cfRule type="cellIs" dxfId="23137" priority="3063" operator="lessThan">
      <formula>0</formula>
    </cfRule>
  </conditionalFormatting>
  <conditionalFormatting sqref="R117">
    <cfRule type="cellIs" dxfId="23136" priority="3061" operator="lessThan">
      <formula>0.8</formula>
    </cfRule>
    <cfRule type="cellIs" dxfId="23135" priority="3062" operator="greaterThan">
      <formula>1</formula>
    </cfRule>
  </conditionalFormatting>
  <conditionalFormatting sqref="R117">
    <cfRule type="cellIs" dxfId="23134" priority="3059" operator="greaterThan">
      <formula>1</formula>
    </cfRule>
    <cfRule type="cellIs" dxfId="23133" priority="3060" operator="lessThan">
      <formula>0.8</formula>
    </cfRule>
  </conditionalFormatting>
  <conditionalFormatting sqref="Q117">
    <cfRule type="cellIs" dxfId="23132" priority="3057" operator="lessThan">
      <formula>0</formula>
    </cfRule>
  </conditionalFormatting>
  <conditionalFormatting sqref="R117">
    <cfRule type="cellIs" dxfId="23131" priority="3055" operator="lessThan">
      <formula>0.8</formula>
    </cfRule>
    <cfRule type="cellIs" dxfId="23130" priority="3056" operator="greaterThan">
      <formula>1</formula>
    </cfRule>
  </conditionalFormatting>
  <conditionalFormatting sqref="R117">
    <cfRule type="cellIs" dxfId="23129" priority="3053" operator="greaterThan">
      <formula>1</formula>
    </cfRule>
    <cfRule type="cellIs" dxfId="23128" priority="3054" operator="lessThan">
      <formula>0.8</formula>
    </cfRule>
  </conditionalFormatting>
  <conditionalFormatting sqref="P117">
    <cfRule type="cellIs" dxfId="23127" priority="3052" operator="greaterThan">
      <formula>0</formula>
    </cfRule>
  </conditionalFormatting>
  <conditionalFormatting sqref="Q117">
    <cfRule type="cellIs" dxfId="23126" priority="3051" operator="lessThan">
      <formula>0</formula>
    </cfRule>
  </conditionalFormatting>
  <conditionalFormatting sqref="R117">
    <cfRule type="cellIs" dxfId="23125" priority="3049" operator="lessThan">
      <formula>0.8</formula>
    </cfRule>
    <cfRule type="cellIs" dxfId="23124" priority="3050" operator="greaterThan">
      <formula>1</formula>
    </cfRule>
  </conditionalFormatting>
  <conditionalFormatting sqref="R117">
    <cfRule type="cellIs" dxfId="23123" priority="3047" operator="greaterThan">
      <formula>1</formula>
    </cfRule>
    <cfRule type="cellIs" dxfId="23122" priority="3048" operator="lessThan">
      <formula>0.8</formula>
    </cfRule>
  </conditionalFormatting>
  <conditionalFormatting sqref="P117">
    <cfRule type="cellIs" dxfId="23121" priority="3046" operator="greaterThan">
      <formula>0</formula>
    </cfRule>
  </conditionalFormatting>
  <conditionalFormatting sqref="Q83">
    <cfRule type="cellIs" dxfId="23120" priority="3045" operator="lessThan">
      <formula>0</formula>
    </cfRule>
  </conditionalFormatting>
  <conditionalFormatting sqref="R83">
    <cfRule type="cellIs" dxfId="23119" priority="3043" operator="lessThan">
      <formula>0.8</formula>
    </cfRule>
    <cfRule type="cellIs" dxfId="23118" priority="3044" operator="greaterThan">
      <formula>1</formula>
    </cfRule>
  </conditionalFormatting>
  <conditionalFormatting sqref="R83">
    <cfRule type="cellIs" dxfId="23117" priority="3041" operator="greaterThan">
      <formula>1</formula>
    </cfRule>
    <cfRule type="cellIs" dxfId="23116" priority="3042" operator="lessThan">
      <formula>0.8</formula>
    </cfRule>
  </conditionalFormatting>
  <conditionalFormatting sqref="P83">
    <cfRule type="cellIs" dxfId="23115" priority="3040" operator="greaterThan">
      <formula>0</formula>
    </cfRule>
  </conditionalFormatting>
  <conditionalFormatting sqref="Q83">
    <cfRule type="cellIs" dxfId="23114" priority="3039" operator="lessThan">
      <formula>0</formula>
    </cfRule>
  </conditionalFormatting>
  <conditionalFormatting sqref="R83">
    <cfRule type="cellIs" dxfId="23113" priority="3037" operator="lessThan">
      <formula>0.8</formula>
    </cfRule>
    <cfRule type="cellIs" dxfId="23112" priority="3038" operator="greaterThan">
      <formula>1</formula>
    </cfRule>
  </conditionalFormatting>
  <conditionalFormatting sqref="R83">
    <cfRule type="cellIs" dxfId="23111" priority="3035" operator="greaterThan">
      <formula>1</formula>
    </cfRule>
    <cfRule type="cellIs" dxfId="23110" priority="3036" operator="lessThan">
      <formula>0.8</formula>
    </cfRule>
  </conditionalFormatting>
  <conditionalFormatting sqref="P83">
    <cfRule type="cellIs" dxfId="23109" priority="3034" operator="greaterThan">
      <formula>0</formula>
    </cfRule>
  </conditionalFormatting>
  <conditionalFormatting sqref="Q83">
    <cfRule type="cellIs" dxfId="23108" priority="3033" operator="lessThan">
      <formula>0</formula>
    </cfRule>
  </conditionalFormatting>
  <conditionalFormatting sqref="R83">
    <cfRule type="cellIs" dxfId="23107" priority="3031" operator="lessThan">
      <formula>0.8</formula>
    </cfRule>
    <cfRule type="cellIs" dxfId="23106" priority="3032" operator="greaterThan">
      <formula>1</formula>
    </cfRule>
  </conditionalFormatting>
  <conditionalFormatting sqref="R83">
    <cfRule type="cellIs" dxfId="23105" priority="3029" operator="greaterThan">
      <formula>1</formula>
    </cfRule>
    <cfRule type="cellIs" dxfId="23104" priority="3030" operator="lessThan">
      <formula>0.8</formula>
    </cfRule>
  </conditionalFormatting>
  <conditionalFormatting sqref="P83">
    <cfRule type="cellIs" dxfId="23103" priority="3028" operator="greaterThan">
      <formula>0</formula>
    </cfRule>
  </conditionalFormatting>
  <conditionalFormatting sqref="Q83">
    <cfRule type="cellIs" dxfId="23102" priority="3027" operator="lessThan">
      <formula>0</formula>
    </cfRule>
  </conditionalFormatting>
  <conditionalFormatting sqref="R83">
    <cfRule type="cellIs" dxfId="23101" priority="3025" operator="lessThan">
      <formula>0.8</formula>
    </cfRule>
    <cfRule type="cellIs" dxfId="23100" priority="3026" operator="greaterThan">
      <formula>1</formula>
    </cfRule>
  </conditionalFormatting>
  <conditionalFormatting sqref="R83">
    <cfRule type="cellIs" dxfId="23099" priority="3023" operator="greaterThan">
      <formula>1</formula>
    </cfRule>
    <cfRule type="cellIs" dxfId="23098" priority="3024" operator="lessThan">
      <formula>0.8</formula>
    </cfRule>
  </conditionalFormatting>
  <conditionalFormatting sqref="P83">
    <cfRule type="cellIs" dxfId="23097" priority="3022" operator="greaterThan">
      <formula>0</formula>
    </cfRule>
  </conditionalFormatting>
  <conditionalFormatting sqref="P83">
    <cfRule type="cellIs" dxfId="23096" priority="3016" operator="greaterThan">
      <formula>0</formula>
    </cfRule>
  </conditionalFormatting>
  <conditionalFormatting sqref="Q83">
    <cfRule type="cellIs" dxfId="23095" priority="3021" operator="lessThan">
      <formula>0</formula>
    </cfRule>
  </conditionalFormatting>
  <conditionalFormatting sqref="R83">
    <cfRule type="cellIs" dxfId="23094" priority="3019" operator="lessThan">
      <formula>0.8</formula>
    </cfRule>
    <cfRule type="cellIs" dxfId="23093" priority="3020" operator="greaterThan">
      <formula>1</formula>
    </cfRule>
  </conditionalFormatting>
  <conditionalFormatting sqref="R83">
    <cfRule type="cellIs" dxfId="23092" priority="3017" operator="greaterThan">
      <formula>1</formula>
    </cfRule>
    <cfRule type="cellIs" dxfId="23091" priority="3018" operator="lessThan">
      <formula>0.8</formula>
    </cfRule>
  </conditionalFormatting>
  <conditionalFormatting sqref="P83">
    <cfRule type="cellIs" dxfId="23090" priority="3010" operator="greaterThan">
      <formula>0</formula>
    </cfRule>
  </conditionalFormatting>
  <conditionalFormatting sqref="Q83">
    <cfRule type="cellIs" dxfId="23089" priority="3015" operator="lessThan">
      <formula>0</formula>
    </cfRule>
  </conditionalFormatting>
  <conditionalFormatting sqref="R83">
    <cfRule type="cellIs" dxfId="23088" priority="3013" operator="lessThan">
      <formula>0.8</formula>
    </cfRule>
    <cfRule type="cellIs" dxfId="23087" priority="3014" operator="greaterThan">
      <formula>1</formula>
    </cfRule>
  </conditionalFormatting>
  <conditionalFormatting sqref="R83">
    <cfRule type="cellIs" dxfId="23086" priority="3011" operator="greaterThan">
      <formula>1</formula>
    </cfRule>
    <cfRule type="cellIs" dxfId="23085" priority="3012" operator="lessThan">
      <formula>0.8</formula>
    </cfRule>
  </conditionalFormatting>
  <conditionalFormatting sqref="R83">
    <cfRule type="cellIs" dxfId="23084" priority="3007" operator="lessThan">
      <formula>0.8</formula>
    </cfRule>
    <cfRule type="cellIs" dxfId="23083" priority="3008" operator="greaterThan">
      <formula>1</formula>
    </cfRule>
  </conditionalFormatting>
  <conditionalFormatting sqref="R83">
    <cfRule type="cellIs" dxfId="23082" priority="3005" operator="greaterThan">
      <formula>1</formula>
    </cfRule>
    <cfRule type="cellIs" dxfId="23081" priority="3006" operator="lessThan">
      <formula>0.8</formula>
    </cfRule>
  </conditionalFormatting>
  <conditionalFormatting sqref="P83">
    <cfRule type="cellIs" dxfId="23080" priority="3004" operator="greaterThan">
      <formula>0</formula>
    </cfRule>
  </conditionalFormatting>
  <conditionalFormatting sqref="Q83">
    <cfRule type="cellIs" dxfId="23079" priority="3009" operator="lessThan">
      <formula>0</formula>
    </cfRule>
  </conditionalFormatting>
  <conditionalFormatting sqref="Q83">
    <cfRule type="cellIs" dxfId="23078" priority="3003" operator="lessThan">
      <formula>0</formula>
    </cfRule>
  </conditionalFormatting>
  <conditionalFormatting sqref="R83">
    <cfRule type="cellIs" dxfId="23077" priority="3001" operator="lessThan">
      <formula>0.8</formula>
    </cfRule>
    <cfRule type="cellIs" dxfId="23076" priority="3002" operator="greaterThan">
      <formula>1</formula>
    </cfRule>
  </conditionalFormatting>
  <conditionalFormatting sqref="R83">
    <cfRule type="cellIs" dxfId="23075" priority="2999" operator="greaterThan">
      <formula>1</formula>
    </cfRule>
    <cfRule type="cellIs" dxfId="23074" priority="3000" operator="lessThan">
      <formula>0.8</formula>
    </cfRule>
  </conditionalFormatting>
  <conditionalFormatting sqref="P83">
    <cfRule type="cellIs" dxfId="23073" priority="2998" operator="greaterThan">
      <formula>0</formula>
    </cfRule>
  </conditionalFormatting>
  <conditionalFormatting sqref="P83">
    <cfRule type="cellIs" dxfId="23072" priority="2992" operator="greaterThan">
      <formula>0</formula>
    </cfRule>
  </conditionalFormatting>
  <conditionalFormatting sqref="Q83">
    <cfRule type="cellIs" dxfId="23071" priority="2997" operator="lessThan">
      <formula>0</formula>
    </cfRule>
  </conditionalFormatting>
  <conditionalFormatting sqref="R83">
    <cfRule type="cellIs" dxfId="23070" priority="2995" operator="lessThan">
      <formula>0.8</formula>
    </cfRule>
    <cfRule type="cellIs" dxfId="23069" priority="2996" operator="greaterThan">
      <formula>1</formula>
    </cfRule>
  </conditionalFormatting>
  <conditionalFormatting sqref="R83">
    <cfRule type="cellIs" dxfId="23068" priority="2993" operator="greaterThan">
      <formula>1</formula>
    </cfRule>
    <cfRule type="cellIs" dxfId="23067" priority="2994" operator="lessThan">
      <formula>0.8</formula>
    </cfRule>
  </conditionalFormatting>
  <conditionalFormatting sqref="P83">
    <cfRule type="cellIs" dxfId="23066" priority="2986" operator="greaterThan">
      <formula>0</formula>
    </cfRule>
  </conditionalFormatting>
  <conditionalFormatting sqref="Q83">
    <cfRule type="cellIs" dxfId="23065" priority="2991" operator="lessThan">
      <formula>0</formula>
    </cfRule>
  </conditionalFormatting>
  <conditionalFormatting sqref="R83">
    <cfRule type="cellIs" dxfId="23064" priority="2989" operator="lessThan">
      <formula>0.8</formula>
    </cfRule>
    <cfRule type="cellIs" dxfId="23063" priority="2990" operator="greaterThan">
      <formula>1</formula>
    </cfRule>
  </conditionalFormatting>
  <conditionalFormatting sqref="R83">
    <cfRule type="cellIs" dxfId="23062" priority="2987" operator="greaterThan">
      <formula>1</formula>
    </cfRule>
    <cfRule type="cellIs" dxfId="23061" priority="2988" operator="lessThan">
      <formula>0.8</formula>
    </cfRule>
  </conditionalFormatting>
  <conditionalFormatting sqref="R83">
    <cfRule type="cellIs" dxfId="23060" priority="2983" operator="lessThan">
      <formula>0.8</formula>
    </cfRule>
    <cfRule type="cellIs" dxfId="23059" priority="2984" operator="greaterThan">
      <formula>1</formula>
    </cfRule>
  </conditionalFormatting>
  <conditionalFormatting sqref="R83">
    <cfRule type="cellIs" dxfId="23058" priority="2981" operator="greaterThan">
      <formula>1</formula>
    </cfRule>
    <cfRule type="cellIs" dxfId="23057" priority="2982" operator="lessThan">
      <formula>0.8</formula>
    </cfRule>
  </conditionalFormatting>
  <conditionalFormatting sqref="P83">
    <cfRule type="cellIs" dxfId="23056" priority="2980" operator="greaterThan">
      <formula>0</formula>
    </cfRule>
  </conditionalFormatting>
  <conditionalFormatting sqref="Q83">
    <cfRule type="cellIs" dxfId="23055" priority="2985" operator="lessThan">
      <formula>0</formula>
    </cfRule>
  </conditionalFormatting>
  <conditionalFormatting sqref="P83">
    <cfRule type="cellIs" dxfId="23054" priority="2974" operator="greaterThan">
      <formula>0</formula>
    </cfRule>
  </conditionalFormatting>
  <conditionalFormatting sqref="Q83">
    <cfRule type="cellIs" dxfId="23053" priority="2979" operator="lessThan">
      <formula>0</formula>
    </cfRule>
  </conditionalFormatting>
  <conditionalFormatting sqref="R83">
    <cfRule type="cellIs" dxfId="23052" priority="2977" operator="lessThan">
      <formula>0.8</formula>
    </cfRule>
    <cfRule type="cellIs" dxfId="23051" priority="2978" operator="greaterThan">
      <formula>1</formula>
    </cfRule>
  </conditionalFormatting>
  <conditionalFormatting sqref="R83">
    <cfRule type="cellIs" dxfId="23050" priority="2975" operator="greaterThan">
      <formula>1</formula>
    </cfRule>
    <cfRule type="cellIs" dxfId="23049" priority="2976" operator="lessThan">
      <formula>0.8</formula>
    </cfRule>
  </conditionalFormatting>
  <conditionalFormatting sqref="R83">
    <cfRule type="cellIs" dxfId="23048" priority="2971" operator="lessThan">
      <formula>0.8</formula>
    </cfRule>
    <cfRule type="cellIs" dxfId="23047" priority="2972" operator="greaterThan">
      <formula>1</formula>
    </cfRule>
  </conditionalFormatting>
  <conditionalFormatting sqref="R83">
    <cfRule type="cellIs" dxfId="23046" priority="2969" operator="greaterThan">
      <formula>1</formula>
    </cfRule>
    <cfRule type="cellIs" dxfId="23045" priority="2970" operator="lessThan">
      <formula>0.8</formula>
    </cfRule>
  </conditionalFormatting>
  <conditionalFormatting sqref="P83">
    <cfRule type="cellIs" dxfId="23044" priority="2968" operator="greaterThan">
      <formula>0</formula>
    </cfRule>
  </conditionalFormatting>
  <conditionalFormatting sqref="Q83">
    <cfRule type="cellIs" dxfId="23043" priority="2973" operator="lessThan">
      <formula>0</formula>
    </cfRule>
  </conditionalFormatting>
  <conditionalFormatting sqref="R83">
    <cfRule type="cellIs" dxfId="23042" priority="2965" operator="lessThan">
      <formula>0.8</formula>
    </cfRule>
    <cfRule type="cellIs" dxfId="23041" priority="2966" operator="greaterThan">
      <formula>1</formula>
    </cfRule>
  </conditionalFormatting>
  <conditionalFormatting sqref="R83">
    <cfRule type="cellIs" dxfId="23040" priority="2963" operator="greaterThan">
      <formula>1</formula>
    </cfRule>
    <cfRule type="cellIs" dxfId="23039" priority="2964" operator="lessThan">
      <formula>0.8</formula>
    </cfRule>
  </conditionalFormatting>
  <conditionalFormatting sqref="P83">
    <cfRule type="cellIs" dxfId="23038" priority="2962" operator="greaterThan">
      <formula>0</formula>
    </cfRule>
  </conditionalFormatting>
  <conditionalFormatting sqref="Q83">
    <cfRule type="cellIs" dxfId="23037" priority="2967" operator="lessThan">
      <formula>0</formula>
    </cfRule>
  </conditionalFormatting>
  <conditionalFormatting sqref="Q83">
    <cfRule type="cellIs" dxfId="23036" priority="2961" operator="lessThan">
      <formula>0</formula>
    </cfRule>
  </conditionalFormatting>
  <conditionalFormatting sqref="R83">
    <cfRule type="cellIs" dxfId="23035" priority="2959" operator="lessThan">
      <formula>0.8</formula>
    </cfRule>
    <cfRule type="cellIs" dxfId="23034" priority="2960" operator="greaterThan">
      <formula>1</formula>
    </cfRule>
  </conditionalFormatting>
  <conditionalFormatting sqref="R83">
    <cfRule type="cellIs" dxfId="23033" priority="2957" operator="greaterThan">
      <formula>1</formula>
    </cfRule>
    <cfRule type="cellIs" dxfId="23032" priority="2958" operator="lessThan">
      <formula>0.8</formula>
    </cfRule>
  </conditionalFormatting>
  <conditionalFormatting sqref="P83">
    <cfRule type="cellIs" dxfId="23031" priority="2956" operator="greaterThan">
      <formula>0</formula>
    </cfRule>
  </conditionalFormatting>
  <conditionalFormatting sqref="Q83">
    <cfRule type="cellIs" dxfId="23030" priority="2950" operator="lessThan">
      <formula>0</formula>
    </cfRule>
  </conditionalFormatting>
  <conditionalFormatting sqref="R83">
    <cfRule type="cellIs" dxfId="23029" priority="2954" operator="lessThan">
      <formula>0.8</formula>
    </cfRule>
    <cfRule type="cellIs" dxfId="23028" priority="2955" operator="greaterThan">
      <formula>1</formula>
    </cfRule>
  </conditionalFormatting>
  <conditionalFormatting sqref="R83">
    <cfRule type="cellIs" dxfId="23027" priority="2952" operator="greaterThan">
      <formula>1</formula>
    </cfRule>
    <cfRule type="cellIs" dxfId="23026" priority="2953" operator="lessThan">
      <formula>0.8</formula>
    </cfRule>
  </conditionalFormatting>
  <conditionalFormatting sqref="P83">
    <cfRule type="cellIs" dxfId="23025" priority="2951" operator="greaterThan">
      <formula>0</formula>
    </cfRule>
  </conditionalFormatting>
  <conditionalFormatting sqref="Q83">
    <cfRule type="cellIs" dxfId="23024" priority="2949" operator="lessThan">
      <formula>0</formula>
    </cfRule>
  </conditionalFormatting>
  <conditionalFormatting sqref="R83">
    <cfRule type="cellIs" dxfId="23023" priority="2947" operator="lessThan">
      <formula>0.8</formula>
    </cfRule>
    <cfRule type="cellIs" dxfId="23022" priority="2948" operator="greaterThan">
      <formula>1</formula>
    </cfRule>
  </conditionalFormatting>
  <conditionalFormatting sqref="R83">
    <cfRule type="cellIs" dxfId="23021" priority="2945" operator="greaterThan">
      <formula>1</formula>
    </cfRule>
    <cfRule type="cellIs" dxfId="23020" priority="2946" operator="lessThan">
      <formula>0.8</formula>
    </cfRule>
  </conditionalFormatting>
  <conditionalFormatting sqref="P83">
    <cfRule type="cellIs" dxfId="23019" priority="2944" operator="greaterThan">
      <formula>0</formula>
    </cfRule>
  </conditionalFormatting>
  <conditionalFormatting sqref="Q83">
    <cfRule type="cellIs" dxfId="23018" priority="2943" operator="lessThan">
      <formula>0</formula>
    </cfRule>
  </conditionalFormatting>
  <conditionalFormatting sqref="R83">
    <cfRule type="cellIs" dxfId="23017" priority="2941" operator="lessThan">
      <formula>0.8</formula>
    </cfRule>
    <cfRule type="cellIs" dxfId="23016" priority="2942" operator="greaterThan">
      <formula>1</formula>
    </cfRule>
  </conditionalFormatting>
  <conditionalFormatting sqref="R83">
    <cfRule type="cellIs" dxfId="23015" priority="2939" operator="greaterThan">
      <formula>1</formula>
    </cfRule>
    <cfRule type="cellIs" dxfId="23014" priority="2940" operator="lessThan">
      <formula>0.8</formula>
    </cfRule>
  </conditionalFormatting>
  <conditionalFormatting sqref="P83">
    <cfRule type="cellIs" dxfId="23013" priority="2938" operator="greaterThan">
      <formula>0</formula>
    </cfRule>
  </conditionalFormatting>
  <conditionalFormatting sqref="Q83">
    <cfRule type="cellIs" dxfId="23012" priority="2937" operator="lessThan">
      <formula>0</formula>
    </cfRule>
  </conditionalFormatting>
  <conditionalFormatting sqref="R83">
    <cfRule type="cellIs" dxfId="23011" priority="2935" operator="lessThan">
      <formula>0.8</formula>
    </cfRule>
    <cfRule type="cellIs" dxfId="23010" priority="2936" operator="greaterThan">
      <formula>1</formula>
    </cfRule>
  </conditionalFormatting>
  <conditionalFormatting sqref="R83">
    <cfRule type="cellIs" dxfId="23009" priority="2933" operator="greaterThan">
      <formula>1</formula>
    </cfRule>
    <cfRule type="cellIs" dxfId="23008" priority="2934" operator="lessThan">
      <formula>0.8</formula>
    </cfRule>
  </conditionalFormatting>
  <conditionalFormatting sqref="P83">
    <cfRule type="cellIs" dxfId="23007" priority="2932" operator="greaterThan">
      <formula>0</formula>
    </cfRule>
  </conditionalFormatting>
  <conditionalFormatting sqref="Q83">
    <cfRule type="cellIs" dxfId="23006" priority="2931" operator="lessThan">
      <formula>0</formula>
    </cfRule>
  </conditionalFormatting>
  <conditionalFormatting sqref="R83">
    <cfRule type="cellIs" dxfId="23005" priority="2929" operator="lessThan">
      <formula>0.8</formula>
    </cfRule>
    <cfRule type="cellIs" dxfId="23004" priority="2930" operator="greaterThan">
      <formula>1</formula>
    </cfRule>
  </conditionalFormatting>
  <conditionalFormatting sqref="R83">
    <cfRule type="cellIs" dxfId="23003" priority="2927" operator="greaterThan">
      <formula>1</formula>
    </cfRule>
    <cfRule type="cellIs" dxfId="23002" priority="2928" operator="lessThan">
      <formula>0.8</formula>
    </cfRule>
  </conditionalFormatting>
  <conditionalFormatting sqref="P83">
    <cfRule type="cellIs" dxfId="23001" priority="2926" operator="greaterThan">
      <formula>0</formula>
    </cfRule>
  </conditionalFormatting>
  <conditionalFormatting sqref="Q83">
    <cfRule type="cellIs" dxfId="23000" priority="2925" operator="lessThan">
      <formula>0</formula>
    </cfRule>
  </conditionalFormatting>
  <conditionalFormatting sqref="R83">
    <cfRule type="cellIs" dxfId="22999" priority="2923" operator="lessThan">
      <formula>0.8</formula>
    </cfRule>
    <cfRule type="cellIs" dxfId="22998" priority="2924" operator="greaterThan">
      <formula>1</formula>
    </cfRule>
  </conditionalFormatting>
  <conditionalFormatting sqref="R83">
    <cfRule type="cellIs" dxfId="22997" priority="2921" operator="greaterThan">
      <formula>1</formula>
    </cfRule>
    <cfRule type="cellIs" dxfId="22996" priority="2922" operator="lessThan">
      <formula>0.8</formula>
    </cfRule>
  </conditionalFormatting>
  <conditionalFormatting sqref="P83">
    <cfRule type="cellIs" dxfId="22995" priority="2920" operator="greaterThan">
      <formula>0</formula>
    </cfRule>
  </conditionalFormatting>
  <conditionalFormatting sqref="P83">
    <cfRule type="cellIs" dxfId="22994" priority="2914" operator="greaterThan">
      <formula>0</formula>
    </cfRule>
  </conditionalFormatting>
  <conditionalFormatting sqref="Q83">
    <cfRule type="cellIs" dxfId="22993" priority="2919" operator="lessThan">
      <formula>0</formula>
    </cfRule>
  </conditionalFormatting>
  <conditionalFormatting sqref="R83">
    <cfRule type="cellIs" dxfId="22992" priority="2917" operator="lessThan">
      <formula>0.8</formula>
    </cfRule>
    <cfRule type="cellIs" dxfId="22991" priority="2918" operator="greaterThan">
      <formula>1</formula>
    </cfRule>
  </conditionalFormatting>
  <conditionalFormatting sqref="R83">
    <cfRule type="cellIs" dxfId="22990" priority="2915" operator="greaterThan">
      <formula>1</formula>
    </cfRule>
    <cfRule type="cellIs" dxfId="22989" priority="2916" operator="lessThan">
      <formula>0.8</formula>
    </cfRule>
  </conditionalFormatting>
  <conditionalFormatting sqref="P83">
    <cfRule type="cellIs" dxfId="22988" priority="2908" operator="greaterThan">
      <formula>0</formula>
    </cfRule>
  </conditionalFormatting>
  <conditionalFormatting sqref="Q83">
    <cfRule type="cellIs" dxfId="22987" priority="2913" operator="lessThan">
      <formula>0</formula>
    </cfRule>
  </conditionalFormatting>
  <conditionalFormatting sqref="R83">
    <cfRule type="cellIs" dxfId="22986" priority="2911" operator="lessThan">
      <formula>0.8</formula>
    </cfRule>
    <cfRule type="cellIs" dxfId="22985" priority="2912" operator="greaterThan">
      <formula>1</formula>
    </cfRule>
  </conditionalFormatting>
  <conditionalFormatting sqref="R83">
    <cfRule type="cellIs" dxfId="22984" priority="2909" operator="greaterThan">
      <formula>1</formula>
    </cfRule>
    <cfRule type="cellIs" dxfId="22983" priority="2910" operator="lessThan">
      <formula>0.8</formula>
    </cfRule>
  </conditionalFormatting>
  <conditionalFormatting sqref="R83">
    <cfRule type="cellIs" dxfId="22982" priority="2905" operator="lessThan">
      <formula>0.8</formula>
    </cfRule>
    <cfRule type="cellIs" dxfId="22981" priority="2906" operator="greaterThan">
      <formula>1</formula>
    </cfRule>
  </conditionalFormatting>
  <conditionalFormatting sqref="R83">
    <cfRule type="cellIs" dxfId="22980" priority="2903" operator="greaterThan">
      <formula>1</formula>
    </cfRule>
    <cfRule type="cellIs" dxfId="22979" priority="2904" operator="lessThan">
      <formula>0.8</formula>
    </cfRule>
  </conditionalFormatting>
  <conditionalFormatting sqref="P83">
    <cfRule type="cellIs" dxfId="22978" priority="2902" operator="greaterThan">
      <formula>0</formula>
    </cfRule>
  </conditionalFormatting>
  <conditionalFormatting sqref="Q83">
    <cfRule type="cellIs" dxfId="22977" priority="2907" operator="lessThan">
      <formula>0</formula>
    </cfRule>
  </conditionalFormatting>
  <conditionalFormatting sqref="Q83">
    <cfRule type="cellIs" dxfId="22976" priority="2901" operator="lessThan">
      <formula>0</formula>
    </cfRule>
  </conditionalFormatting>
  <conditionalFormatting sqref="R83">
    <cfRule type="cellIs" dxfId="22975" priority="2899" operator="lessThan">
      <formula>0.8</formula>
    </cfRule>
    <cfRule type="cellIs" dxfId="22974" priority="2900" operator="greaterThan">
      <formula>1</formula>
    </cfRule>
  </conditionalFormatting>
  <conditionalFormatting sqref="R83">
    <cfRule type="cellIs" dxfId="22973" priority="2897" operator="greaterThan">
      <formula>1</formula>
    </cfRule>
    <cfRule type="cellIs" dxfId="22972" priority="2898" operator="lessThan">
      <formula>0.8</formula>
    </cfRule>
  </conditionalFormatting>
  <conditionalFormatting sqref="P83">
    <cfRule type="cellIs" dxfId="22971" priority="2896" operator="greaterThan">
      <formula>0</formula>
    </cfRule>
  </conditionalFormatting>
  <conditionalFormatting sqref="Q83">
    <cfRule type="cellIs" dxfId="22970" priority="2895" operator="lessThan">
      <formula>0</formula>
    </cfRule>
  </conditionalFormatting>
  <conditionalFormatting sqref="R83">
    <cfRule type="cellIs" dxfId="22969" priority="2893" operator="lessThan">
      <formula>0.8</formula>
    </cfRule>
    <cfRule type="cellIs" dxfId="22968" priority="2894" operator="greaterThan">
      <formula>1</formula>
    </cfRule>
  </conditionalFormatting>
  <conditionalFormatting sqref="R83">
    <cfRule type="cellIs" dxfId="22967" priority="2891" operator="greaterThan">
      <formula>1</formula>
    </cfRule>
    <cfRule type="cellIs" dxfId="22966" priority="2892" operator="lessThan">
      <formula>0.8</formula>
    </cfRule>
  </conditionalFormatting>
  <conditionalFormatting sqref="P83">
    <cfRule type="cellIs" dxfId="22965" priority="2890" operator="greaterThan">
      <formula>0</formula>
    </cfRule>
  </conditionalFormatting>
  <conditionalFormatting sqref="Q83">
    <cfRule type="cellIs" dxfId="22964" priority="2889" operator="lessThan">
      <formula>0</formula>
    </cfRule>
  </conditionalFormatting>
  <conditionalFormatting sqref="R83">
    <cfRule type="cellIs" dxfId="22963" priority="2887" operator="lessThan">
      <formula>0.8</formula>
    </cfRule>
    <cfRule type="cellIs" dxfId="22962" priority="2888" operator="greaterThan">
      <formula>1</formula>
    </cfRule>
  </conditionalFormatting>
  <conditionalFormatting sqref="R83">
    <cfRule type="cellIs" dxfId="22961" priority="2885" operator="greaterThan">
      <formula>1</formula>
    </cfRule>
    <cfRule type="cellIs" dxfId="22960" priority="2886" operator="lessThan">
      <formula>0.8</formula>
    </cfRule>
  </conditionalFormatting>
  <conditionalFormatting sqref="P83">
    <cfRule type="cellIs" dxfId="22959" priority="2884" operator="greaterThan">
      <formula>0</formula>
    </cfRule>
  </conditionalFormatting>
  <conditionalFormatting sqref="Q83">
    <cfRule type="cellIs" dxfId="22958" priority="2883" operator="lessThan">
      <formula>0</formula>
    </cfRule>
  </conditionalFormatting>
  <conditionalFormatting sqref="R83">
    <cfRule type="cellIs" dxfId="22957" priority="2881" operator="lessThan">
      <formula>0.8</formula>
    </cfRule>
    <cfRule type="cellIs" dxfId="22956" priority="2882" operator="greaterThan">
      <formula>1</formula>
    </cfRule>
  </conditionalFormatting>
  <conditionalFormatting sqref="R83">
    <cfRule type="cellIs" dxfId="22955" priority="2879" operator="greaterThan">
      <formula>1</formula>
    </cfRule>
    <cfRule type="cellIs" dxfId="22954" priority="2880" operator="lessThan">
      <formula>0.8</formula>
    </cfRule>
  </conditionalFormatting>
  <conditionalFormatting sqref="P83">
    <cfRule type="cellIs" dxfId="22953" priority="2878" operator="greaterThan">
      <formula>0</formula>
    </cfRule>
  </conditionalFormatting>
  <conditionalFormatting sqref="P83">
    <cfRule type="cellIs" dxfId="22952" priority="2872" operator="greaterThan">
      <formula>0</formula>
    </cfRule>
  </conditionalFormatting>
  <conditionalFormatting sqref="Q83">
    <cfRule type="cellIs" dxfId="22951" priority="2877" operator="lessThan">
      <formula>0</formula>
    </cfRule>
  </conditionalFormatting>
  <conditionalFormatting sqref="R83">
    <cfRule type="cellIs" dxfId="22950" priority="2875" operator="lessThan">
      <formula>0.8</formula>
    </cfRule>
    <cfRule type="cellIs" dxfId="22949" priority="2876" operator="greaterThan">
      <formula>1</formula>
    </cfRule>
  </conditionalFormatting>
  <conditionalFormatting sqref="R83">
    <cfRule type="cellIs" dxfId="22948" priority="2873" operator="greaterThan">
      <formula>1</formula>
    </cfRule>
    <cfRule type="cellIs" dxfId="22947" priority="2874" operator="lessThan">
      <formula>0.8</formula>
    </cfRule>
  </conditionalFormatting>
  <conditionalFormatting sqref="P83">
    <cfRule type="cellIs" dxfId="22946" priority="2866" operator="greaterThan">
      <formula>0</formula>
    </cfRule>
  </conditionalFormatting>
  <conditionalFormatting sqref="Q83">
    <cfRule type="cellIs" dxfId="22945" priority="2871" operator="lessThan">
      <formula>0</formula>
    </cfRule>
  </conditionalFormatting>
  <conditionalFormatting sqref="R83">
    <cfRule type="cellIs" dxfId="22944" priority="2869" operator="lessThan">
      <formula>0.8</formula>
    </cfRule>
    <cfRule type="cellIs" dxfId="22943" priority="2870" operator="greaterThan">
      <formula>1</formula>
    </cfRule>
  </conditionalFormatting>
  <conditionalFormatting sqref="R83">
    <cfRule type="cellIs" dxfId="22942" priority="2867" operator="greaterThan">
      <formula>1</formula>
    </cfRule>
    <cfRule type="cellIs" dxfId="22941" priority="2868" operator="lessThan">
      <formula>0.8</formula>
    </cfRule>
  </conditionalFormatting>
  <conditionalFormatting sqref="R83">
    <cfRule type="cellIs" dxfId="22940" priority="2863" operator="lessThan">
      <formula>0.8</formula>
    </cfRule>
    <cfRule type="cellIs" dxfId="22939" priority="2864" operator="greaterThan">
      <formula>1</formula>
    </cfRule>
  </conditionalFormatting>
  <conditionalFormatting sqref="R83">
    <cfRule type="cellIs" dxfId="22938" priority="2861" operator="greaterThan">
      <formula>1</formula>
    </cfRule>
    <cfRule type="cellIs" dxfId="22937" priority="2862" operator="lessThan">
      <formula>0.8</formula>
    </cfRule>
  </conditionalFormatting>
  <conditionalFormatting sqref="P83">
    <cfRule type="cellIs" dxfId="22936" priority="2860" operator="greaterThan">
      <formula>0</formula>
    </cfRule>
  </conditionalFormatting>
  <conditionalFormatting sqref="Q83">
    <cfRule type="cellIs" dxfId="22935" priority="2865" operator="lessThan">
      <formula>0</formula>
    </cfRule>
  </conditionalFormatting>
  <conditionalFormatting sqref="Q83">
    <cfRule type="cellIs" dxfId="22934" priority="2859" operator="lessThan">
      <formula>0</formula>
    </cfRule>
  </conditionalFormatting>
  <conditionalFormatting sqref="R83">
    <cfRule type="cellIs" dxfId="22933" priority="2857" operator="lessThan">
      <formula>0.8</formula>
    </cfRule>
    <cfRule type="cellIs" dxfId="22932" priority="2858" operator="greaterThan">
      <formula>1</formula>
    </cfRule>
  </conditionalFormatting>
  <conditionalFormatting sqref="R83">
    <cfRule type="cellIs" dxfId="22931" priority="2855" operator="greaterThan">
      <formula>1</formula>
    </cfRule>
    <cfRule type="cellIs" dxfId="22930" priority="2856" operator="lessThan">
      <formula>0.8</formula>
    </cfRule>
  </conditionalFormatting>
  <conditionalFormatting sqref="P83">
    <cfRule type="cellIs" dxfId="22929" priority="2854" operator="greaterThan">
      <formula>0</formula>
    </cfRule>
  </conditionalFormatting>
  <conditionalFormatting sqref="P83">
    <cfRule type="cellIs" dxfId="22928" priority="2848" operator="greaterThan">
      <formula>0</formula>
    </cfRule>
  </conditionalFormatting>
  <conditionalFormatting sqref="Q83">
    <cfRule type="cellIs" dxfId="22927" priority="2853" operator="lessThan">
      <formula>0</formula>
    </cfRule>
  </conditionalFormatting>
  <conditionalFormatting sqref="R83">
    <cfRule type="cellIs" dxfId="22926" priority="2851" operator="lessThan">
      <formula>0.8</formula>
    </cfRule>
    <cfRule type="cellIs" dxfId="22925" priority="2852" operator="greaterThan">
      <formula>1</formula>
    </cfRule>
  </conditionalFormatting>
  <conditionalFormatting sqref="R83">
    <cfRule type="cellIs" dxfId="22924" priority="2849" operator="greaterThan">
      <formula>1</formula>
    </cfRule>
    <cfRule type="cellIs" dxfId="22923" priority="2850" operator="lessThan">
      <formula>0.8</formula>
    </cfRule>
  </conditionalFormatting>
  <conditionalFormatting sqref="P83">
    <cfRule type="cellIs" dxfId="22922" priority="2842" operator="greaterThan">
      <formula>0</formula>
    </cfRule>
  </conditionalFormatting>
  <conditionalFormatting sqref="Q83">
    <cfRule type="cellIs" dxfId="22921" priority="2847" operator="lessThan">
      <formula>0</formula>
    </cfRule>
  </conditionalFormatting>
  <conditionalFormatting sqref="R83">
    <cfRule type="cellIs" dxfId="22920" priority="2845" operator="lessThan">
      <formula>0.8</formula>
    </cfRule>
    <cfRule type="cellIs" dxfId="22919" priority="2846" operator="greaterThan">
      <formula>1</formula>
    </cfRule>
  </conditionalFormatting>
  <conditionalFormatting sqref="R83">
    <cfRule type="cellIs" dxfId="22918" priority="2843" operator="greaterThan">
      <formula>1</formula>
    </cfRule>
    <cfRule type="cellIs" dxfId="22917" priority="2844" operator="lessThan">
      <formula>0.8</formula>
    </cfRule>
  </conditionalFormatting>
  <conditionalFormatting sqref="R83">
    <cfRule type="cellIs" dxfId="22916" priority="2839" operator="lessThan">
      <formula>0.8</formula>
    </cfRule>
    <cfRule type="cellIs" dxfId="22915" priority="2840" operator="greaterThan">
      <formula>1</formula>
    </cfRule>
  </conditionalFormatting>
  <conditionalFormatting sqref="R83">
    <cfRule type="cellIs" dxfId="22914" priority="2837" operator="greaterThan">
      <formula>1</formula>
    </cfRule>
    <cfRule type="cellIs" dxfId="22913" priority="2838" operator="lessThan">
      <formula>0.8</formula>
    </cfRule>
  </conditionalFormatting>
  <conditionalFormatting sqref="P83">
    <cfRule type="cellIs" dxfId="22912" priority="2836" operator="greaterThan">
      <formula>0</formula>
    </cfRule>
  </conditionalFormatting>
  <conditionalFormatting sqref="Q83">
    <cfRule type="cellIs" dxfId="22911" priority="2841" operator="lessThan">
      <formula>0</formula>
    </cfRule>
  </conditionalFormatting>
  <conditionalFormatting sqref="P83">
    <cfRule type="cellIs" dxfId="22910" priority="2830" operator="greaterThan">
      <formula>0</formula>
    </cfRule>
  </conditionalFormatting>
  <conditionalFormatting sqref="Q83">
    <cfRule type="cellIs" dxfId="22909" priority="2835" operator="lessThan">
      <formula>0</formula>
    </cfRule>
  </conditionalFormatting>
  <conditionalFormatting sqref="R83">
    <cfRule type="cellIs" dxfId="22908" priority="2833" operator="lessThan">
      <formula>0.8</formula>
    </cfRule>
    <cfRule type="cellIs" dxfId="22907" priority="2834" operator="greaterThan">
      <formula>1</formula>
    </cfRule>
  </conditionalFormatting>
  <conditionalFormatting sqref="R83">
    <cfRule type="cellIs" dxfId="22906" priority="2831" operator="greaterThan">
      <formula>1</formula>
    </cfRule>
    <cfRule type="cellIs" dxfId="22905" priority="2832" operator="lessThan">
      <formula>0.8</formula>
    </cfRule>
  </conditionalFormatting>
  <conditionalFormatting sqref="R83">
    <cfRule type="cellIs" dxfId="22904" priority="2827" operator="lessThan">
      <formula>0.8</formula>
    </cfRule>
    <cfRule type="cellIs" dxfId="22903" priority="2828" operator="greaterThan">
      <formula>1</formula>
    </cfRule>
  </conditionalFormatting>
  <conditionalFormatting sqref="R83">
    <cfRule type="cellIs" dxfId="22902" priority="2825" operator="greaterThan">
      <formula>1</formula>
    </cfRule>
    <cfRule type="cellIs" dxfId="22901" priority="2826" operator="lessThan">
      <formula>0.8</formula>
    </cfRule>
  </conditionalFormatting>
  <conditionalFormatting sqref="P83">
    <cfRule type="cellIs" dxfId="22900" priority="2824" operator="greaterThan">
      <formula>0</formula>
    </cfRule>
  </conditionalFormatting>
  <conditionalFormatting sqref="Q83">
    <cfRule type="cellIs" dxfId="22899" priority="2829" operator="lessThan">
      <formula>0</formula>
    </cfRule>
  </conditionalFormatting>
  <conditionalFormatting sqref="R83">
    <cfRule type="cellIs" dxfId="22898" priority="2821" operator="lessThan">
      <formula>0.8</formula>
    </cfRule>
    <cfRule type="cellIs" dxfId="22897" priority="2822" operator="greaterThan">
      <formula>1</formula>
    </cfRule>
  </conditionalFormatting>
  <conditionalFormatting sqref="R83">
    <cfRule type="cellIs" dxfId="22896" priority="2819" operator="greaterThan">
      <formula>1</formula>
    </cfRule>
    <cfRule type="cellIs" dxfId="22895" priority="2820" operator="lessThan">
      <formula>0.8</formula>
    </cfRule>
  </conditionalFormatting>
  <conditionalFormatting sqref="P83">
    <cfRule type="cellIs" dxfId="22894" priority="2818" operator="greaterThan">
      <formula>0</formula>
    </cfRule>
  </conditionalFormatting>
  <conditionalFormatting sqref="Q83">
    <cfRule type="cellIs" dxfId="22893" priority="2823" operator="lessThan">
      <formula>0</formula>
    </cfRule>
  </conditionalFormatting>
  <conditionalFormatting sqref="Q83">
    <cfRule type="cellIs" dxfId="22892" priority="2817" operator="lessThan">
      <formula>0</formula>
    </cfRule>
  </conditionalFormatting>
  <conditionalFormatting sqref="R83">
    <cfRule type="cellIs" dxfId="22891" priority="2815" operator="lessThan">
      <formula>0.8</formula>
    </cfRule>
    <cfRule type="cellIs" dxfId="22890" priority="2816" operator="greaterThan">
      <formula>1</formula>
    </cfRule>
  </conditionalFormatting>
  <conditionalFormatting sqref="R83">
    <cfRule type="cellIs" dxfId="22889" priority="2813" operator="greaterThan">
      <formula>1</formula>
    </cfRule>
    <cfRule type="cellIs" dxfId="22888" priority="2814" operator="lessThan">
      <formula>0.8</formula>
    </cfRule>
  </conditionalFormatting>
  <conditionalFormatting sqref="P83">
    <cfRule type="cellIs" dxfId="22887" priority="2812" operator="greaterThan">
      <formula>0</formula>
    </cfRule>
  </conditionalFormatting>
  <conditionalFormatting sqref="Q83">
    <cfRule type="cellIs" dxfId="22886" priority="2806" operator="lessThan">
      <formula>0</formula>
    </cfRule>
  </conditionalFormatting>
  <conditionalFormatting sqref="R83">
    <cfRule type="cellIs" dxfId="22885" priority="2810" operator="lessThan">
      <formula>0.8</formula>
    </cfRule>
    <cfRule type="cellIs" dxfId="22884" priority="2811" operator="greaterThan">
      <formula>1</formula>
    </cfRule>
  </conditionalFormatting>
  <conditionalFormatting sqref="R83">
    <cfRule type="cellIs" dxfId="22883" priority="2808" operator="greaterThan">
      <formula>1</formula>
    </cfRule>
    <cfRule type="cellIs" dxfId="22882" priority="2809" operator="lessThan">
      <formula>0.8</formula>
    </cfRule>
  </conditionalFormatting>
  <conditionalFormatting sqref="P83">
    <cfRule type="cellIs" dxfId="22881" priority="2807" operator="greaterThan">
      <formula>0</formula>
    </cfRule>
  </conditionalFormatting>
  <conditionalFormatting sqref="Q83">
    <cfRule type="cellIs" dxfId="22880" priority="2805" operator="lessThan">
      <formula>0</formula>
    </cfRule>
  </conditionalFormatting>
  <conditionalFormatting sqref="R83">
    <cfRule type="cellIs" dxfId="22879" priority="2803" operator="lessThan">
      <formula>0.8</formula>
    </cfRule>
    <cfRule type="cellIs" dxfId="22878" priority="2804" operator="greaterThan">
      <formula>1</formula>
    </cfRule>
  </conditionalFormatting>
  <conditionalFormatting sqref="R83">
    <cfRule type="cellIs" dxfId="22877" priority="2801" operator="greaterThan">
      <formula>1</formula>
    </cfRule>
    <cfRule type="cellIs" dxfId="22876" priority="2802" operator="lessThan">
      <formula>0.8</formula>
    </cfRule>
  </conditionalFormatting>
  <conditionalFormatting sqref="P83">
    <cfRule type="cellIs" dxfId="22875" priority="2800" operator="greaterThan">
      <formula>0</formula>
    </cfRule>
  </conditionalFormatting>
  <conditionalFormatting sqref="Q83">
    <cfRule type="cellIs" dxfId="22874" priority="2799" operator="lessThan">
      <formula>0</formula>
    </cfRule>
  </conditionalFormatting>
  <conditionalFormatting sqref="R83">
    <cfRule type="cellIs" dxfId="22873" priority="2797" operator="lessThan">
      <formula>0.8</formula>
    </cfRule>
    <cfRule type="cellIs" dxfId="22872" priority="2798" operator="greaterThan">
      <formula>1</formula>
    </cfRule>
  </conditionalFormatting>
  <conditionalFormatting sqref="R83">
    <cfRule type="cellIs" dxfId="22871" priority="2795" operator="greaterThan">
      <formula>1</formula>
    </cfRule>
    <cfRule type="cellIs" dxfId="22870" priority="2796" operator="lessThan">
      <formula>0.8</formula>
    </cfRule>
  </conditionalFormatting>
  <conditionalFormatting sqref="P83">
    <cfRule type="cellIs" dxfId="22869" priority="2794" operator="greaterThan">
      <formula>0</formula>
    </cfRule>
  </conditionalFormatting>
  <conditionalFormatting sqref="Q83">
    <cfRule type="cellIs" dxfId="22868" priority="2793" operator="lessThan">
      <formula>0</formula>
    </cfRule>
  </conditionalFormatting>
  <conditionalFormatting sqref="R83">
    <cfRule type="cellIs" dxfId="22867" priority="2791" operator="lessThan">
      <formula>0.8</formula>
    </cfRule>
    <cfRule type="cellIs" dxfId="22866" priority="2792" operator="greaterThan">
      <formula>1</formula>
    </cfRule>
  </conditionalFormatting>
  <conditionalFormatting sqref="R83">
    <cfRule type="cellIs" dxfId="22865" priority="2789" operator="greaterThan">
      <formula>1</formula>
    </cfRule>
    <cfRule type="cellIs" dxfId="22864" priority="2790" operator="lessThan">
      <formula>0.8</formula>
    </cfRule>
  </conditionalFormatting>
  <conditionalFormatting sqref="P83">
    <cfRule type="cellIs" dxfId="22863" priority="2788" operator="greaterThan">
      <formula>0</formula>
    </cfRule>
  </conditionalFormatting>
  <conditionalFormatting sqref="Q83">
    <cfRule type="cellIs" dxfId="22862" priority="2787" operator="lessThan">
      <formula>0</formula>
    </cfRule>
  </conditionalFormatting>
  <conditionalFormatting sqref="R83">
    <cfRule type="cellIs" dxfId="22861" priority="2785" operator="lessThan">
      <formula>0.8</formula>
    </cfRule>
    <cfRule type="cellIs" dxfId="22860" priority="2786" operator="greaterThan">
      <formula>1</formula>
    </cfRule>
  </conditionalFormatting>
  <conditionalFormatting sqref="R83">
    <cfRule type="cellIs" dxfId="22859" priority="2783" operator="greaterThan">
      <formula>1</formula>
    </cfRule>
    <cfRule type="cellIs" dxfId="22858" priority="2784" operator="lessThan">
      <formula>0.8</formula>
    </cfRule>
  </conditionalFormatting>
  <conditionalFormatting sqref="P83">
    <cfRule type="cellIs" dxfId="22857" priority="2782" operator="greaterThan">
      <formula>0</formula>
    </cfRule>
  </conditionalFormatting>
  <conditionalFormatting sqref="Q83">
    <cfRule type="cellIs" dxfId="22856" priority="2781" operator="lessThan">
      <formula>0</formula>
    </cfRule>
  </conditionalFormatting>
  <conditionalFormatting sqref="R83">
    <cfRule type="cellIs" dxfId="22855" priority="2779" operator="lessThan">
      <formula>0.8</formula>
    </cfRule>
    <cfRule type="cellIs" dxfId="22854" priority="2780" operator="greaterThan">
      <formula>1</formula>
    </cfRule>
  </conditionalFormatting>
  <conditionalFormatting sqref="R83">
    <cfRule type="cellIs" dxfId="22853" priority="2777" operator="greaterThan">
      <formula>1</formula>
    </cfRule>
    <cfRule type="cellIs" dxfId="22852" priority="2778" operator="lessThan">
      <formula>0.8</formula>
    </cfRule>
  </conditionalFormatting>
  <conditionalFormatting sqref="P83">
    <cfRule type="cellIs" dxfId="22851" priority="2776" operator="greaterThan">
      <formula>0</formula>
    </cfRule>
  </conditionalFormatting>
  <conditionalFormatting sqref="P83">
    <cfRule type="cellIs" dxfId="22850" priority="2770" operator="greaterThan">
      <formula>0</formula>
    </cfRule>
  </conditionalFormatting>
  <conditionalFormatting sqref="Q83">
    <cfRule type="cellIs" dxfId="22849" priority="2775" operator="lessThan">
      <formula>0</formula>
    </cfRule>
  </conditionalFormatting>
  <conditionalFormatting sqref="R83">
    <cfRule type="cellIs" dxfId="22848" priority="2773" operator="lessThan">
      <formula>0.8</formula>
    </cfRule>
    <cfRule type="cellIs" dxfId="22847" priority="2774" operator="greaterThan">
      <formula>1</formula>
    </cfRule>
  </conditionalFormatting>
  <conditionalFormatting sqref="R83">
    <cfRule type="cellIs" dxfId="22846" priority="2771" operator="greaterThan">
      <formula>1</formula>
    </cfRule>
    <cfRule type="cellIs" dxfId="22845" priority="2772" operator="lessThan">
      <formula>0.8</formula>
    </cfRule>
  </conditionalFormatting>
  <conditionalFormatting sqref="P83">
    <cfRule type="cellIs" dxfId="22844" priority="2764" operator="greaterThan">
      <formula>0</formula>
    </cfRule>
  </conditionalFormatting>
  <conditionalFormatting sqref="Q83">
    <cfRule type="cellIs" dxfId="22843" priority="2769" operator="lessThan">
      <formula>0</formula>
    </cfRule>
  </conditionalFormatting>
  <conditionalFormatting sqref="R83">
    <cfRule type="cellIs" dxfId="22842" priority="2767" operator="lessThan">
      <formula>0.8</formula>
    </cfRule>
    <cfRule type="cellIs" dxfId="22841" priority="2768" operator="greaterThan">
      <formula>1</formula>
    </cfRule>
  </conditionalFormatting>
  <conditionalFormatting sqref="R83">
    <cfRule type="cellIs" dxfId="22840" priority="2765" operator="greaterThan">
      <formula>1</formula>
    </cfRule>
    <cfRule type="cellIs" dxfId="22839" priority="2766" operator="lessThan">
      <formula>0.8</formula>
    </cfRule>
  </conditionalFormatting>
  <conditionalFormatting sqref="R83">
    <cfRule type="cellIs" dxfId="22838" priority="2761" operator="lessThan">
      <formula>0.8</formula>
    </cfRule>
    <cfRule type="cellIs" dxfId="22837" priority="2762" operator="greaterThan">
      <formula>1</formula>
    </cfRule>
  </conditionalFormatting>
  <conditionalFormatting sqref="R83">
    <cfRule type="cellIs" dxfId="22836" priority="2759" operator="greaterThan">
      <formula>1</formula>
    </cfRule>
    <cfRule type="cellIs" dxfId="22835" priority="2760" operator="lessThan">
      <formula>0.8</formula>
    </cfRule>
  </conditionalFormatting>
  <conditionalFormatting sqref="P83">
    <cfRule type="cellIs" dxfId="22834" priority="2758" operator="greaterThan">
      <formula>0</formula>
    </cfRule>
  </conditionalFormatting>
  <conditionalFormatting sqref="Q83">
    <cfRule type="cellIs" dxfId="22833" priority="2763" operator="lessThan">
      <formula>0</formula>
    </cfRule>
  </conditionalFormatting>
  <conditionalFormatting sqref="Q83">
    <cfRule type="cellIs" dxfId="22832" priority="2752" operator="lessThan">
      <formula>0</formula>
    </cfRule>
  </conditionalFormatting>
  <conditionalFormatting sqref="P83">
    <cfRule type="cellIs" dxfId="22831" priority="2753" operator="greaterThan">
      <formula>0</formula>
    </cfRule>
  </conditionalFormatting>
  <conditionalFormatting sqref="R83">
    <cfRule type="cellIs" dxfId="22830" priority="2756" operator="lessThan">
      <formula>0.8</formula>
    </cfRule>
    <cfRule type="cellIs" dxfId="22829" priority="2757" operator="greaterThan">
      <formula>1</formula>
    </cfRule>
  </conditionalFormatting>
  <conditionalFormatting sqref="R83">
    <cfRule type="cellIs" dxfId="22828" priority="2754" operator="greaterThan">
      <formula>1</formula>
    </cfRule>
    <cfRule type="cellIs" dxfId="22827" priority="2755" operator="lessThan">
      <formula>0.8</formula>
    </cfRule>
  </conditionalFormatting>
  <conditionalFormatting sqref="Q83">
    <cfRule type="cellIs" dxfId="22826" priority="2746" operator="lessThan">
      <formula>0</formula>
    </cfRule>
  </conditionalFormatting>
  <conditionalFormatting sqref="R83">
    <cfRule type="cellIs" dxfId="22825" priority="2750" operator="lessThan">
      <formula>0.8</formula>
    </cfRule>
    <cfRule type="cellIs" dxfId="22824" priority="2751" operator="greaterThan">
      <formula>1</formula>
    </cfRule>
  </conditionalFormatting>
  <conditionalFormatting sqref="R83">
    <cfRule type="cellIs" dxfId="22823" priority="2748" operator="greaterThan">
      <formula>1</formula>
    </cfRule>
    <cfRule type="cellIs" dxfId="22822" priority="2749" operator="lessThan">
      <formula>0.8</formula>
    </cfRule>
  </conditionalFormatting>
  <conditionalFormatting sqref="P83">
    <cfRule type="cellIs" dxfId="22821" priority="2747" operator="greaterThan">
      <formula>0</formula>
    </cfRule>
  </conditionalFormatting>
  <conditionalFormatting sqref="Q83">
    <cfRule type="cellIs" dxfId="22820" priority="2745" operator="lessThan">
      <formula>0</formula>
    </cfRule>
  </conditionalFormatting>
  <conditionalFormatting sqref="R83">
    <cfRule type="cellIs" dxfId="22819" priority="2743" operator="lessThan">
      <formula>0.8</formula>
    </cfRule>
    <cfRule type="cellIs" dxfId="22818" priority="2744" operator="greaterThan">
      <formula>1</formula>
    </cfRule>
  </conditionalFormatting>
  <conditionalFormatting sqref="R83">
    <cfRule type="cellIs" dxfId="22817" priority="2741" operator="greaterThan">
      <formula>1</formula>
    </cfRule>
    <cfRule type="cellIs" dxfId="22816" priority="2742" operator="lessThan">
      <formula>0.8</formula>
    </cfRule>
  </conditionalFormatting>
  <conditionalFormatting sqref="P83">
    <cfRule type="cellIs" dxfId="22815" priority="2740" operator="greaterThan">
      <formula>0</formula>
    </cfRule>
  </conditionalFormatting>
  <conditionalFormatting sqref="Q83">
    <cfRule type="cellIs" dxfId="22814" priority="2739" operator="lessThan">
      <formula>0</formula>
    </cfRule>
  </conditionalFormatting>
  <conditionalFormatting sqref="R83">
    <cfRule type="cellIs" dxfId="22813" priority="2737" operator="lessThan">
      <formula>0.8</formula>
    </cfRule>
    <cfRule type="cellIs" dxfId="22812" priority="2738" operator="greaterThan">
      <formula>1</formula>
    </cfRule>
  </conditionalFormatting>
  <conditionalFormatting sqref="R83">
    <cfRule type="cellIs" dxfId="22811" priority="2735" operator="greaterThan">
      <formula>1</formula>
    </cfRule>
    <cfRule type="cellIs" dxfId="22810" priority="2736" operator="lessThan">
      <formula>0.8</formula>
    </cfRule>
  </conditionalFormatting>
  <conditionalFormatting sqref="P83">
    <cfRule type="cellIs" dxfId="22809" priority="2734" operator="greaterThan">
      <formula>0</formula>
    </cfRule>
  </conditionalFormatting>
  <conditionalFormatting sqref="Q83">
    <cfRule type="cellIs" dxfId="22808" priority="2733" operator="lessThan">
      <formula>0</formula>
    </cfRule>
  </conditionalFormatting>
  <conditionalFormatting sqref="R83">
    <cfRule type="cellIs" dxfId="22807" priority="2731" operator="lessThan">
      <formula>0.8</formula>
    </cfRule>
    <cfRule type="cellIs" dxfId="22806" priority="2732" operator="greaterThan">
      <formula>1</formula>
    </cfRule>
  </conditionalFormatting>
  <conditionalFormatting sqref="R83">
    <cfRule type="cellIs" dxfId="22805" priority="2729" operator="greaterThan">
      <formula>1</formula>
    </cfRule>
    <cfRule type="cellIs" dxfId="22804" priority="2730" operator="lessThan">
      <formula>0.8</formula>
    </cfRule>
  </conditionalFormatting>
  <conditionalFormatting sqref="P83">
    <cfRule type="cellIs" dxfId="22803" priority="2728" operator="greaterThan">
      <formula>0</formula>
    </cfRule>
  </conditionalFormatting>
  <conditionalFormatting sqref="Q83">
    <cfRule type="cellIs" dxfId="22802" priority="2727" operator="lessThan">
      <formula>0</formula>
    </cfRule>
  </conditionalFormatting>
  <conditionalFormatting sqref="R83">
    <cfRule type="cellIs" dxfId="22801" priority="2725" operator="lessThan">
      <formula>0.8</formula>
    </cfRule>
    <cfRule type="cellIs" dxfId="22800" priority="2726" operator="greaterThan">
      <formula>1</formula>
    </cfRule>
  </conditionalFormatting>
  <conditionalFormatting sqref="R83">
    <cfRule type="cellIs" dxfId="22799" priority="2723" operator="greaterThan">
      <formula>1</formula>
    </cfRule>
    <cfRule type="cellIs" dxfId="22798" priority="2724" operator="lessThan">
      <formula>0.8</formula>
    </cfRule>
  </conditionalFormatting>
  <conditionalFormatting sqref="P83">
    <cfRule type="cellIs" dxfId="22797" priority="2722" operator="greaterThan">
      <formula>0</formula>
    </cfRule>
  </conditionalFormatting>
  <conditionalFormatting sqref="Q83">
    <cfRule type="cellIs" dxfId="22796" priority="2721" operator="lessThan">
      <formula>0</formula>
    </cfRule>
  </conditionalFormatting>
  <conditionalFormatting sqref="R83">
    <cfRule type="cellIs" dxfId="22795" priority="2719" operator="lessThan">
      <formula>0.8</formula>
    </cfRule>
    <cfRule type="cellIs" dxfId="22794" priority="2720" operator="greaterThan">
      <formula>1</formula>
    </cfRule>
  </conditionalFormatting>
  <conditionalFormatting sqref="R83">
    <cfRule type="cellIs" dxfId="22793" priority="2717" operator="greaterThan">
      <formula>1</formula>
    </cfRule>
    <cfRule type="cellIs" dxfId="22792" priority="2718" operator="lessThan">
      <formula>0.8</formula>
    </cfRule>
  </conditionalFormatting>
  <conditionalFormatting sqref="P83">
    <cfRule type="cellIs" dxfId="22791" priority="2716" operator="greaterThan">
      <formula>0</formula>
    </cfRule>
  </conditionalFormatting>
  <conditionalFormatting sqref="Q83">
    <cfRule type="cellIs" dxfId="22790" priority="2715" operator="lessThan">
      <formula>0</formula>
    </cfRule>
  </conditionalFormatting>
  <conditionalFormatting sqref="R83">
    <cfRule type="cellIs" dxfId="22789" priority="2713" operator="lessThan">
      <formula>0.8</formula>
    </cfRule>
    <cfRule type="cellIs" dxfId="22788" priority="2714" operator="greaterThan">
      <formula>1</formula>
    </cfRule>
  </conditionalFormatting>
  <conditionalFormatting sqref="R83">
    <cfRule type="cellIs" dxfId="22787" priority="2711" operator="greaterThan">
      <formula>1</formula>
    </cfRule>
    <cfRule type="cellIs" dxfId="22786" priority="2712" operator="lessThan">
      <formula>0.8</formula>
    </cfRule>
  </conditionalFormatting>
  <conditionalFormatting sqref="P83">
    <cfRule type="cellIs" dxfId="22785" priority="2710" operator="greaterThan">
      <formula>0</formula>
    </cfRule>
  </conditionalFormatting>
  <conditionalFormatting sqref="Q83">
    <cfRule type="cellIs" dxfId="22784" priority="2709" operator="lessThan">
      <formula>0</formula>
    </cfRule>
  </conditionalFormatting>
  <conditionalFormatting sqref="R83">
    <cfRule type="cellIs" dxfId="22783" priority="2707" operator="lessThan">
      <formula>0.8</formula>
    </cfRule>
    <cfRule type="cellIs" dxfId="22782" priority="2708" operator="greaterThan">
      <formula>1</formula>
    </cfRule>
  </conditionalFormatting>
  <conditionalFormatting sqref="R83">
    <cfRule type="cellIs" dxfId="22781" priority="2705" operator="greaterThan">
      <formula>1</formula>
    </cfRule>
    <cfRule type="cellIs" dxfId="22780" priority="2706" operator="lessThan">
      <formula>0.8</formula>
    </cfRule>
  </conditionalFormatting>
  <conditionalFormatting sqref="P83">
    <cfRule type="cellIs" dxfId="22779" priority="2704" operator="greaterThan">
      <formula>0</formula>
    </cfRule>
  </conditionalFormatting>
  <conditionalFormatting sqref="P83">
    <cfRule type="cellIs" dxfId="22778" priority="2698" operator="greaterThan">
      <formula>0</formula>
    </cfRule>
  </conditionalFormatting>
  <conditionalFormatting sqref="Q83">
    <cfRule type="cellIs" dxfId="22777" priority="2703" operator="lessThan">
      <formula>0</formula>
    </cfRule>
  </conditionalFormatting>
  <conditionalFormatting sqref="R83">
    <cfRule type="cellIs" dxfId="22776" priority="2701" operator="lessThan">
      <formula>0.8</formula>
    </cfRule>
    <cfRule type="cellIs" dxfId="22775" priority="2702" operator="greaterThan">
      <formula>1</formula>
    </cfRule>
  </conditionalFormatting>
  <conditionalFormatting sqref="R83">
    <cfRule type="cellIs" dxfId="22774" priority="2699" operator="greaterThan">
      <formula>1</formula>
    </cfRule>
    <cfRule type="cellIs" dxfId="22773" priority="2700" operator="lessThan">
      <formula>0.8</formula>
    </cfRule>
  </conditionalFormatting>
  <conditionalFormatting sqref="P83">
    <cfRule type="cellIs" dxfId="22772" priority="2692" operator="greaterThan">
      <formula>0</formula>
    </cfRule>
  </conditionalFormatting>
  <conditionalFormatting sqref="Q83">
    <cfRule type="cellIs" dxfId="22771" priority="2697" operator="lessThan">
      <formula>0</formula>
    </cfRule>
  </conditionalFormatting>
  <conditionalFormatting sqref="R83">
    <cfRule type="cellIs" dxfId="22770" priority="2695" operator="lessThan">
      <formula>0.8</formula>
    </cfRule>
    <cfRule type="cellIs" dxfId="22769" priority="2696" operator="greaterThan">
      <formula>1</formula>
    </cfRule>
  </conditionalFormatting>
  <conditionalFormatting sqref="R83">
    <cfRule type="cellIs" dxfId="22768" priority="2693" operator="greaterThan">
      <formula>1</formula>
    </cfRule>
    <cfRule type="cellIs" dxfId="22767" priority="2694" operator="lessThan">
      <formula>0.8</formula>
    </cfRule>
  </conditionalFormatting>
  <conditionalFormatting sqref="R83">
    <cfRule type="cellIs" dxfId="22766" priority="2689" operator="lessThan">
      <formula>0.8</formula>
    </cfRule>
    <cfRule type="cellIs" dxfId="22765" priority="2690" operator="greaterThan">
      <formula>1</formula>
    </cfRule>
  </conditionalFormatting>
  <conditionalFormatting sqref="R83">
    <cfRule type="cellIs" dxfId="22764" priority="2687" operator="greaterThan">
      <formula>1</formula>
    </cfRule>
    <cfRule type="cellIs" dxfId="22763" priority="2688" operator="lessThan">
      <formula>0.8</formula>
    </cfRule>
  </conditionalFormatting>
  <conditionalFormatting sqref="P83">
    <cfRule type="cellIs" dxfId="22762" priority="2686" operator="greaterThan">
      <formula>0</formula>
    </cfRule>
  </conditionalFormatting>
  <conditionalFormatting sqref="Q83">
    <cfRule type="cellIs" dxfId="22761" priority="2691" operator="lessThan">
      <formula>0</formula>
    </cfRule>
  </conditionalFormatting>
  <conditionalFormatting sqref="Q83">
    <cfRule type="cellIs" dxfId="22760" priority="2685" operator="lessThan">
      <formula>0</formula>
    </cfRule>
  </conditionalFormatting>
  <conditionalFormatting sqref="R83">
    <cfRule type="cellIs" dxfId="22759" priority="2683" operator="lessThan">
      <formula>0.8</formula>
    </cfRule>
    <cfRule type="cellIs" dxfId="22758" priority="2684" operator="greaterThan">
      <formula>1</formula>
    </cfRule>
  </conditionalFormatting>
  <conditionalFormatting sqref="R83">
    <cfRule type="cellIs" dxfId="22757" priority="2681" operator="greaterThan">
      <formula>1</formula>
    </cfRule>
    <cfRule type="cellIs" dxfId="22756" priority="2682" operator="lessThan">
      <formula>0.8</formula>
    </cfRule>
  </conditionalFormatting>
  <conditionalFormatting sqref="P83">
    <cfRule type="cellIs" dxfId="22755" priority="2680" operator="greaterThan">
      <formula>0</formula>
    </cfRule>
  </conditionalFormatting>
  <conditionalFormatting sqref="P83">
    <cfRule type="cellIs" dxfId="22754" priority="2674" operator="greaterThan">
      <formula>0</formula>
    </cfRule>
  </conditionalFormatting>
  <conditionalFormatting sqref="Q83">
    <cfRule type="cellIs" dxfId="22753" priority="2679" operator="lessThan">
      <formula>0</formula>
    </cfRule>
  </conditionalFormatting>
  <conditionalFormatting sqref="R83">
    <cfRule type="cellIs" dxfId="22752" priority="2677" operator="lessThan">
      <formula>0.8</formula>
    </cfRule>
    <cfRule type="cellIs" dxfId="22751" priority="2678" operator="greaterThan">
      <formula>1</formula>
    </cfRule>
  </conditionalFormatting>
  <conditionalFormatting sqref="R83">
    <cfRule type="cellIs" dxfId="22750" priority="2675" operator="greaterThan">
      <formula>1</formula>
    </cfRule>
    <cfRule type="cellIs" dxfId="22749" priority="2676" operator="lessThan">
      <formula>0.8</formula>
    </cfRule>
  </conditionalFormatting>
  <conditionalFormatting sqref="P83">
    <cfRule type="cellIs" dxfId="22748" priority="2668" operator="greaterThan">
      <formula>0</formula>
    </cfRule>
  </conditionalFormatting>
  <conditionalFormatting sqref="Q83">
    <cfRule type="cellIs" dxfId="22747" priority="2673" operator="lessThan">
      <formula>0</formula>
    </cfRule>
  </conditionalFormatting>
  <conditionalFormatting sqref="R83">
    <cfRule type="cellIs" dxfId="22746" priority="2671" operator="lessThan">
      <formula>0.8</formula>
    </cfRule>
    <cfRule type="cellIs" dxfId="22745" priority="2672" operator="greaterThan">
      <formula>1</formula>
    </cfRule>
  </conditionalFormatting>
  <conditionalFormatting sqref="R83">
    <cfRule type="cellIs" dxfId="22744" priority="2669" operator="greaterThan">
      <formula>1</formula>
    </cfRule>
    <cfRule type="cellIs" dxfId="22743" priority="2670" operator="lessThan">
      <formula>0.8</formula>
    </cfRule>
  </conditionalFormatting>
  <conditionalFormatting sqref="R83">
    <cfRule type="cellIs" dxfId="22742" priority="2665" operator="lessThan">
      <formula>0.8</formula>
    </cfRule>
    <cfRule type="cellIs" dxfId="22741" priority="2666" operator="greaterThan">
      <formula>1</formula>
    </cfRule>
  </conditionalFormatting>
  <conditionalFormatting sqref="R83">
    <cfRule type="cellIs" dxfId="22740" priority="2663" operator="greaterThan">
      <formula>1</formula>
    </cfRule>
    <cfRule type="cellIs" dxfId="22739" priority="2664" operator="lessThan">
      <formula>0.8</formula>
    </cfRule>
  </conditionalFormatting>
  <conditionalFormatting sqref="P83">
    <cfRule type="cellIs" dxfId="22738" priority="2662" operator="greaterThan">
      <formula>0</formula>
    </cfRule>
  </conditionalFormatting>
  <conditionalFormatting sqref="Q83">
    <cfRule type="cellIs" dxfId="22737" priority="2667" operator="lessThan">
      <formula>0</formula>
    </cfRule>
  </conditionalFormatting>
  <conditionalFormatting sqref="P83">
    <cfRule type="cellIs" dxfId="22736" priority="2656" operator="greaterThan">
      <formula>0</formula>
    </cfRule>
  </conditionalFormatting>
  <conditionalFormatting sqref="Q83">
    <cfRule type="cellIs" dxfId="22735" priority="2661" operator="lessThan">
      <formula>0</formula>
    </cfRule>
  </conditionalFormatting>
  <conditionalFormatting sqref="R83">
    <cfRule type="cellIs" dxfId="22734" priority="2659" operator="lessThan">
      <formula>0.8</formula>
    </cfRule>
    <cfRule type="cellIs" dxfId="22733" priority="2660" operator="greaterThan">
      <formula>1</formula>
    </cfRule>
  </conditionalFormatting>
  <conditionalFormatting sqref="R83">
    <cfRule type="cellIs" dxfId="22732" priority="2657" operator="greaterThan">
      <formula>1</formula>
    </cfRule>
    <cfRule type="cellIs" dxfId="22731" priority="2658" operator="lessThan">
      <formula>0.8</formula>
    </cfRule>
  </conditionalFormatting>
  <conditionalFormatting sqref="R83">
    <cfRule type="cellIs" dxfId="22730" priority="2653" operator="lessThan">
      <formula>0.8</formula>
    </cfRule>
    <cfRule type="cellIs" dxfId="22729" priority="2654" operator="greaterThan">
      <formula>1</formula>
    </cfRule>
  </conditionalFormatting>
  <conditionalFormatting sqref="R83">
    <cfRule type="cellIs" dxfId="22728" priority="2651" operator="greaterThan">
      <formula>1</formula>
    </cfRule>
    <cfRule type="cellIs" dxfId="22727" priority="2652" operator="lessThan">
      <formula>0.8</formula>
    </cfRule>
  </conditionalFormatting>
  <conditionalFormatting sqref="P83">
    <cfRule type="cellIs" dxfId="22726" priority="2650" operator="greaterThan">
      <formula>0</formula>
    </cfRule>
  </conditionalFormatting>
  <conditionalFormatting sqref="Q83">
    <cfRule type="cellIs" dxfId="22725" priority="2655" operator="lessThan">
      <formula>0</formula>
    </cfRule>
  </conditionalFormatting>
  <conditionalFormatting sqref="R83">
    <cfRule type="cellIs" dxfId="22724" priority="2647" operator="lessThan">
      <formula>0.8</formula>
    </cfRule>
    <cfRule type="cellIs" dxfId="22723" priority="2648" operator="greaterThan">
      <formula>1</formula>
    </cfRule>
  </conditionalFormatting>
  <conditionalFormatting sqref="R83">
    <cfRule type="cellIs" dxfId="22722" priority="2645" operator="greaterThan">
      <formula>1</formula>
    </cfRule>
    <cfRule type="cellIs" dxfId="22721" priority="2646" operator="lessThan">
      <formula>0.8</formula>
    </cfRule>
  </conditionalFormatting>
  <conditionalFormatting sqref="P83">
    <cfRule type="cellIs" dxfId="22720" priority="2644" operator="greaterThan">
      <formula>0</formula>
    </cfRule>
  </conditionalFormatting>
  <conditionalFormatting sqref="Q83">
    <cfRule type="cellIs" dxfId="22719" priority="2649" operator="lessThan">
      <formula>0</formula>
    </cfRule>
  </conditionalFormatting>
  <conditionalFormatting sqref="Q83">
    <cfRule type="cellIs" dxfId="22718" priority="2643" operator="lessThan">
      <formula>0</formula>
    </cfRule>
  </conditionalFormatting>
  <conditionalFormatting sqref="R83">
    <cfRule type="cellIs" dxfId="22717" priority="2641" operator="lessThan">
      <formula>0.8</formula>
    </cfRule>
    <cfRule type="cellIs" dxfId="22716" priority="2642" operator="greaterThan">
      <formula>1</formula>
    </cfRule>
  </conditionalFormatting>
  <conditionalFormatting sqref="R83">
    <cfRule type="cellIs" dxfId="22715" priority="2639" operator="greaterThan">
      <formula>1</formula>
    </cfRule>
    <cfRule type="cellIs" dxfId="22714" priority="2640" operator="lessThan">
      <formula>0.8</formula>
    </cfRule>
  </conditionalFormatting>
  <conditionalFormatting sqref="P83">
    <cfRule type="cellIs" dxfId="22713" priority="2638" operator="greaterThan">
      <formula>0</formula>
    </cfRule>
  </conditionalFormatting>
  <conditionalFormatting sqref="Q83">
    <cfRule type="cellIs" dxfId="22712" priority="2632" operator="lessThan">
      <formula>0</formula>
    </cfRule>
  </conditionalFormatting>
  <conditionalFormatting sqref="R83">
    <cfRule type="cellIs" dxfId="22711" priority="2636" operator="lessThan">
      <formula>0.8</formula>
    </cfRule>
    <cfRule type="cellIs" dxfId="22710" priority="2637" operator="greaterThan">
      <formula>1</formula>
    </cfRule>
  </conditionalFormatting>
  <conditionalFormatting sqref="R83">
    <cfRule type="cellIs" dxfId="22709" priority="2634" operator="greaterThan">
      <formula>1</formula>
    </cfRule>
    <cfRule type="cellIs" dxfId="22708" priority="2635" operator="lessThan">
      <formula>0.8</formula>
    </cfRule>
  </conditionalFormatting>
  <conditionalFormatting sqref="P83">
    <cfRule type="cellIs" dxfId="22707" priority="2633" operator="greaterThan">
      <formula>0</formula>
    </cfRule>
  </conditionalFormatting>
  <conditionalFormatting sqref="Q83">
    <cfRule type="cellIs" dxfId="22706" priority="2631" operator="lessThan">
      <formula>0</formula>
    </cfRule>
  </conditionalFormatting>
  <conditionalFormatting sqref="R83">
    <cfRule type="cellIs" dxfId="22705" priority="2629" operator="lessThan">
      <formula>0.8</formula>
    </cfRule>
    <cfRule type="cellIs" dxfId="22704" priority="2630" operator="greaterThan">
      <formula>1</formula>
    </cfRule>
  </conditionalFormatting>
  <conditionalFormatting sqref="R83">
    <cfRule type="cellIs" dxfId="22703" priority="2627" operator="greaterThan">
      <formula>1</formula>
    </cfRule>
    <cfRule type="cellIs" dxfId="22702" priority="2628" operator="lessThan">
      <formula>0.8</formula>
    </cfRule>
  </conditionalFormatting>
  <conditionalFormatting sqref="P83">
    <cfRule type="cellIs" dxfId="22701" priority="2626" operator="greaterThan">
      <formula>0</formula>
    </cfRule>
  </conditionalFormatting>
  <conditionalFormatting sqref="Q83">
    <cfRule type="cellIs" dxfId="22700" priority="2625" operator="lessThan">
      <formula>0</formula>
    </cfRule>
  </conditionalFormatting>
  <conditionalFormatting sqref="R83">
    <cfRule type="cellIs" dxfId="22699" priority="2623" operator="lessThan">
      <formula>0.8</formula>
    </cfRule>
    <cfRule type="cellIs" dxfId="22698" priority="2624" operator="greaterThan">
      <formula>1</formula>
    </cfRule>
  </conditionalFormatting>
  <conditionalFormatting sqref="R83">
    <cfRule type="cellIs" dxfId="22697" priority="2621" operator="greaterThan">
      <formula>1</formula>
    </cfRule>
    <cfRule type="cellIs" dxfId="22696" priority="2622" operator="lessThan">
      <formula>0.8</formula>
    </cfRule>
  </conditionalFormatting>
  <conditionalFormatting sqref="P83">
    <cfRule type="cellIs" dxfId="22695" priority="2620" operator="greaterThan">
      <formula>0</formula>
    </cfRule>
  </conditionalFormatting>
  <conditionalFormatting sqref="Q83">
    <cfRule type="cellIs" dxfId="22694" priority="2619" operator="lessThan">
      <formula>0</formula>
    </cfRule>
  </conditionalFormatting>
  <conditionalFormatting sqref="R83">
    <cfRule type="cellIs" dxfId="22693" priority="2617" operator="lessThan">
      <formula>0.8</formula>
    </cfRule>
    <cfRule type="cellIs" dxfId="22692" priority="2618" operator="greaterThan">
      <formula>1</formula>
    </cfRule>
  </conditionalFormatting>
  <conditionalFormatting sqref="R83">
    <cfRule type="cellIs" dxfId="22691" priority="2615" operator="greaterThan">
      <formula>1</formula>
    </cfRule>
    <cfRule type="cellIs" dxfId="22690" priority="2616" operator="lessThan">
      <formula>0.8</formula>
    </cfRule>
  </conditionalFormatting>
  <conditionalFormatting sqref="P83">
    <cfRule type="cellIs" dxfId="22689" priority="2614" operator="greaterThan">
      <formula>0</formula>
    </cfRule>
  </conditionalFormatting>
  <conditionalFormatting sqref="Q83">
    <cfRule type="cellIs" dxfId="22688" priority="2613" operator="lessThan">
      <formula>0</formula>
    </cfRule>
  </conditionalFormatting>
  <conditionalFormatting sqref="R83">
    <cfRule type="cellIs" dxfId="22687" priority="2611" operator="lessThan">
      <formula>0.8</formula>
    </cfRule>
    <cfRule type="cellIs" dxfId="22686" priority="2612" operator="greaterThan">
      <formula>1</formula>
    </cfRule>
  </conditionalFormatting>
  <conditionalFormatting sqref="R83">
    <cfRule type="cellIs" dxfId="22685" priority="2609" operator="greaterThan">
      <formula>1</formula>
    </cfRule>
    <cfRule type="cellIs" dxfId="22684" priority="2610" operator="lessThan">
      <formula>0.8</formula>
    </cfRule>
  </conditionalFormatting>
  <conditionalFormatting sqref="P83">
    <cfRule type="cellIs" dxfId="22683" priority="2608" operator="greaterThan">
      <formula>0</formula>
    </cfRule>
  </conditionalFormatting>
  <conditionalFormatting sqref="Q83">
    <cfRule type="cellIs" dxfId="22682" priority="2607" operator="lessThan">
      <formula>0</formula>
    </cfRule>
  </conditionalFormatting>
  <conditionalFormatting sqref="R83">
    <cfRule type="cellIs" dxfId="22681" priority="2605" operator="lessThan">
      <formula>0.8</formula>
    </cfRule>
    <cfRule type="cellIs" dxfId="22680" priority="2606" operator="greaterThan">
      <formula>1</formula>
    </cfRule>
  </conditionalFormatting>
  <conditionalFormatting sqref="R83">
    <cfRule type="cellIs" dxfId="22679" priority="2603" operator="greaterThan">
      <formula>1</formula>
    </cfRule>
    <cfRule type="cellIs" dxfId="22678" priority="2604" operator="lessThan">
      <formula>0.8</formula>
    </cfRule>
  </conditionalFormatting>
  <conditionalFormatting sqref="P83">
    <cfRule type="cellIs" dxfId="22677" priority="2602" operator="greaterThan">
      <formula>0</formula>
    </cfRule>
  </conditionalFormatting>
  <conditionalFormatting sqref="P83">
    <cfRule type="cellIs" dxfId="22676" priority="2596" operator="greaterThan">
      <formula>0</formula>
    </cfRule>
  </conditionalFormatting>
  <conditionalFormatting sqref="Q83">
    <cfRule type="cellIs" dxfId="22675" priority="2601" operator="lessThan">
      <formula>0</formula>
    </cfRule>
  </conditionalFormatting>
  <conditionalFormatting sqref="R83">
    <cfRule type="cellIs" dxfId="22674" priority="2599" operator="lessThan">
      <formula>0.8</formula>
    </cfRule>
    <cfRule type="cellIs" dxfId="22673" priority="2600" operator="greaterThan">
      <formula>1</formula>
    </cfRule>
  </conditionalFormatting>
  <conditionalFormatting sqref="R83">
    <cfRule type="cellIs" dxfId="22672" priority="2597" operator="greaterThan">
      <formula>1</formula>
    </cfRule>
    <cfRule type="cellIs" dxfId="22671" priority="2598" operator="lessThan">
      <formula>0.8</formula>
    </cfRule>
  </conditionalFormatting>
  <conditionalFormatting sqref="P83">
    <cfRule type="cellIs" dxfId="22670" priority="2590" operator="greaterThan">
      <formula>0</formula>
    </cfRule>
  </conditionalFormatting>
  <conditionalFormatting sqref="Q83">
    <cfRule type="cellIs" dxfId="22669" priority="2595" operator="lessThan">
      <formula>0</formula>
    </cfRule>
  </conditionalFormatting>
  <conditionalFormatting sqref="R83">
    <cfRule type="cellIs" dxfId="22668" priority="2593" operator="lessThan">
      <formula>0.8</formula>
    </cfRule>
    <cfRule type="cellIs" dxfId="22667" priority="2594" operator="greaterThan">
      <formula>1</formula>
    </cfRule>
  </conditionalFormatting>
  <conditionalFormatting sqref="R83">
    <cfRule type="cellIs" dxfId="22666" priority="2591" operator="greaterThan">
      <formula>1</formula>
    </cfRule>
    <cfRule type="cellIs" dxfId="22665" priority="2592" operator="lessThan">
      <formula>0.8</formula>
    </cfRule>
  </conditionalFormatting>
  <conditionalFormatting sqref="R83">
    <cfRule type="cellIs" dxfId="22664" priority="2587" operator="lessThan">
      <formula>0.8</formula>
    </cfRule>
    <cfRule type="cellIs" dxfId="22663" priority="2588" operator="greaterThan">
      <formula>1</formula>
    </cfRule>
  </conditionalFormatting>
  <conditionalFormatting sqref="R83">
    <cfRule type="cellIs" dxfId="22662" priority="2585" operator="greaterThan">
      <formula>1</formula>
    </cfRule>
    <cfRule type="cellIs" dxfId="22661" priority="2586" operator="lessThan">
      <formula>0.8</formula>
    </cfRule>
  </conditionalFormatting>
  <conditionalFormatting sqref="P83">
    <cfRule type="cellIs" dxfId="22660" priority="2584" operator="greaterThan">
      <formula>0</formula>
    </cfRule>
  </conditionalFormatting>
  <conditionalFormatting sqref="Q83">
    <cfRule type="cellIs" dxfId="22659" priority="2589" operator="lessThan">
      <formula>0</formula>
    </cfRule>
  </conditionalFormatting>
  <conditionalFormatting sqref="P123 P125:P126 P128:P130">
    <cfRule type="cellIs" dxfId="22658" priority="2578" operator="greaterThan">
      <formula>0</formula>
    </cfRule>
  </conditionalFormatting>
  <conditionalFormatting sqref="Q123 Q125:Q126 Q128:Q130">
    <cfRule type="cellIs" dxfId="22657" priority="2583" operator="lessThan">
      <formula>0</formula>
    </cfRule>
  </conditionalFormatting>
  <conditionalFormatting sqref="R123 R125:R126 R128:R130">
    <cfRule type="cellIs" dxfId="22656" priority="2581" operator="lessThan">
      <formula>0.8</formula>
    </cfRule>
    <cfRule type="cellIs" dxfId="22655" priority="2582" operator="greaterThan">
      <formula>1</formula>
    </cfRule>
  </conditionalFormatting>
  <conditionalFormatting sqref="R123 R125:R126 R128:R130">
    <cfRule type="cellIs" dxfId="22654" priority="2579" operator="greaterThan">
      <formula>1</formula>
    </cfRule>
    <cfRule type="cellIs" dxfId="22653" priority="2580" operator="lessThan">
      <formula>0.8</formula>
    </cfRule>
  </conditionalFormatting>
  <conditionalFormatting sqref="Q123 Q125:Q126 Q128:Q130">
    <cfRule type="cellIs" dxfId="22652" priority="2577" operator="lessThan">
      <formula>0</formula>
    </cfRule>
  </conditionalFormatting>
  <conditionalFormatting sqref="R123 R125:R126 R128:R130">
    <cfRule type="cellIs" dxfId="22651" priority="2575" operator="lessThan">
      <formula>0.8</formula>
    </cfRule>
    <cfRule type="cellIs" dxfId="22650" priority="2576" operator="greaterThan">
      <formula>1</formula>
    </cfRule>
  </conditionalFormatting>
  <conditionalFormatting sqref="R123 R125:R126 R128:R130">
    <cfRule type="cellIs" dxfId="22649" priority="2573" operator="greaterThan">
      <formula>1</formula>
    </cfRule>
    <cfRule type="cellIs" dxfId="22648" priority="2574" operator="lessThan">
      <formula>0.8</formula>
    </cfRule>
  </conditionalFormatting>
  <conditionalFormatting sqref="P123 P125:P126 P128:P130">
    <cfRule type="cellIs" dxfId="22647" priority="2572" operator="greaterThan">
      <formula>0</formula>
    </cfRule>
  </conditionalFormatting>
  <conditionalFormatting sqref="Q31">
    <cfRule type="cellIs" dxfId="22646" priority="2571" operator="lessThan">
      <formula>0</formula>
    </cfRule>
  </conditionalFormatting>
  <conditionalFormatting sqref="R31">
    <cfRule type="cellIs" dxfId="22645" priority="2569" operator="lessThan">
      <formula>0.8</formula>
    </cfRule>
    <cfRule type="cellIs" dxfId="22644" priority="2570" operator="greaterThan">
      <formula>1</formula>
    </cfRule>
  </conditionalFormatting>
  <conditionalFormatting sqref="R31">
    <cfRule type="cellIs" dxfId="22643" priority="2567" operator="greaterThan">
      <formula>1</formula>
    </cfRule>
    <cfRule type="cellIs" dxfId="22642" priority="2568" operator="lessThan">
      <formula>0.8</formula>
    </cfRule>
  </conditionalFormatting>
  <conditionalFormatting sqref="P31">
    <cfRule type="cellIs" dxfId="22641" priority="2566" operator="greaterThan">
      <formula>0</formula>
    </cfRule>
  </conditionalFormatting>
  <conditionalFormatting sqref="Q31">
    <cfRule type="cellIs" dxfId="22640" priority="2565" operator="lessThan">
      <formula>0</formula>
    </cfRule>
  </conditionalFormatting>
  <conditionalFormatting sqref="R31">
    <cfRule type="cellIs" dxfId="22639" priority="2563" operator="lessThan">
      <formula>0.8</formula>
    </cfRule>
    <cfRule type="cellIs" dxfId="22638" priority="2564" operator="greaterThan">
      <formula>1</formula>
    </cfRule>
  </conditionalFormatting>
  <conditionalFormatting sqref="R31">
    <cfRule type="cellIs" dxfId="22637" priority="2561" operator="greaterThan">
      <formula>1</formula>
    </cfRule>
    <cfRule type="cellIs" dxfId="22636" priority="2562" operator="lessThan">
      <formula>0.8</formula>
    </cfRule>
  </conditionalFormatting>
  <conditionalFormatting sqref="P31">
    <cfRule type="cellIs" dxfId="22635" priority="2560" operator="greaterThan">
      <formula>0</formula>
    </cfRule>
  </conditionalFormatting>
  <conditionalFormatting sqref="Q31">
    <cfRule type="cellIs" dxfId="22634" priority="2559" operator="lessThan">
      <formula>0</formula>
    </cfRule>
  </conditionalFormatting>
  <conditionalFormatting sqref="R31">
    <cfRule type="cellIs" dxfId="22633" priority="2557" operator="lessThan">
      <formula>0.8</formula>
    </cfRule>
    <cfRule type="cellIs" dxfId="22632" priority="2558" operator="greaterThan">
      <formula>1</formula>
    </cfRule>
  </conditionalFormatting>
  <conditionalFormatting sqref="R31">
    <cfRule type="cellIs" dxfId="22631" priority="2555" operator="greaterThan">
      <formula>1</formula>
    </cfRule>
    <cfRule type="cellIs" dxfId="22630" priority="2556" operator="lessThan">
      <formula>0.8</formula>
    </cfRule>
  </conditionalFormatting>
  <conditionalFormatting sqref="P31">
    <cfRule type="cellIs" dxfId="22629" priority="2554" operator="greaterThan">
      <formula>0</formula>
    </cfRule>
  </conditionalFormatting>
  <conditionalFormatting sqref="Q31">
    <cfRule type="cellIs" dxfId="22628" priority="2553" operator="lessThan">
      <formula>0</formula>
    </cfRule>
  </conditionalFormatting>
  <conditionalFormatting sqref="R31">
    <cfRule type="cellIs" dxfId="22627" priority="2551" operator="lessThan">
      <formula>0.8</formula>
    </cfRule>
    <cfRule type="cellIs" dxfId="22626" priority="2552" operator="greaterThan">
      <formula>1</formula>
    </cfRule>
  </conditionalFormatting>
  <conditionalFormatting sqref="R31">
    <cfRule type="cellIs" dxfId="22625" priority="2549" operator="greaterThan">
      <formula>1</formula>
    </cfRule>
    <cfRule type="cellIs" dxfId="22624" priority="2550" operator="lessThan">
      <formula>0.8</formula>
    </cfRule>
  </conditionalFormatting>
  <conditionalFormatting sqref="P31">
    <cfRule type="cellIs" dxfId="22623" priority="2548" operator="greaterThan">
      <formula>0</formula>
    </cfRule>
  </conditionalFormatting>
  <conditionalFormatting sqref="P31">
    <cfRule type="cellIs" dxfId="22622" priority="2542" operator="greaterThan">
      <formula>0</formula>
    </cfRule>
  </conditionalFormatting>
  <conditionalFormatting sqref="Q31">
    <cfRule type="cellIs" dxfId="22621" priority="2547" operator="lessThan">
      <formula>0</formula>
    </cfRule>
  </conditionalFormatting>
  <conditionalFormatting sqref="R31">
    <cfRule type="cellIs" dxfId="22620" priority="2545" operator="lessThan">
      <formula>0.8</formula>
    </cfRule>
    <cfRule type="cellIs" dxfId="22619" priority="2546" operator="greaterThan">
      <formula>1</formula>
    </cfRule>
  </conditionalFormatting>
  <conditionalFormatting sqref="R31">
    <cfRule type="cellIs" dxfId="22618" priority="2543" operator="greaterThan">
      <formula>1</formula>
    </cfRule>
    <cfRule type="cellIs" dxfId="22617" priority="2544" operator="lessThan">
      <formula>0.8</formula>
    </cfRule>
  </conditionalFormatting>
  <conditionalFormatting sqref="P31">
    <cfRule type="cellIs" dxfId="22616" priority="2536" operator="greaterThan">
      <formula>0</formula>
    </cfRule>
  </conditionalFormatting>
  <conditionalFormatting sqref="Q31">
    <cfRule type="cellIs" dxfId="22615" priority="2541" operator="lessThan">
      <formula>0</formula>
    </cfRule>
  </conditionalFormatting>
  <conditionalFormatting sqref="R31">
    <cfRule type="cellIs" dxfId="22614" priority="2539" operator="lessThan">
      <formula>0.8</formula>
    </cfRule>
    <cfRule type="cellIs" dxfId="22613" priority="2540" operator="greaterThan">
      <formula>1</formula>
    </cfRule>
  </conditionalFormatting>
  <conditionalFormatting sqref="R31">
    <cfRule type="cellIs" dxfId="22612" priority="2537" operator="greaterThan">
      <formula>1</formula>
    </cfRule>
    <cfRule type="cellIs" dxfId="22611" priority="2538" operator="lessThan">
      <formula>0.8</formula>
    </cfRule>
  </conditionalFormatting>
  <conditionalFormatting sqref="R31">
    <cfRule type="cellIs" dxfId="22610" priority="2533" operator="lessThan">
      <formula>0.8</formula>
    </cfRule>
    <cfRule type="cellIs" dxfId="22609" priority="2534" operator="greaterThan">
      <formula>1</formula>
    </cfRule>
  </conditionalFormatting>
  <conditionalFormatting sqref="R31">
    <cfRule type="cellIs" dxfId="22608" priority="2531" operator="greaterThan">
      <formula>1</formula>
    </cfRule>
    <cfRule type="cellIs" dxfId="22607" priority="2532" operator="lessThan">
      <formula>0.8</formula>
    </cfRule>
  </conditionalFormatting>
  <conditionalFormatting sqref="P31">
    <cfRule type="cellIs" dxfId="22606" priority="2530" operator="greaterThan">
      <formula>0</formula>
    </cfRule>
  </conditionalFormatting>
  <conditionalFormatting sqref="Q31">
    <cfRule type="cellIs" dxfId="22605" priority="2535" operator="lessThan">
      <formula>0</formula>
    </cfRule>
  </conditionalFormatting>
  <conditionalFormatting sqref="Q31">
    <cfRule type="cellIs" dxfId="22604" priority="2529" operator="lessThan">
      <formula>0</formula>
    </cfRule>
  </conditionalFormatting>
  <conditionalFormatting sqref="R31">
    <cfRule type="cellIs" dxfId="22603" priority="2527" operator="lessThan">
      <formula>0.8</formula>
    </cfRule>
    <cfRule type="cellIs" dxfId="22602" priority="2528" operator="greaterThan">
      <formula>1</formula>
    </cfRule>
  </conditionalFormatting>
  <conditionalFormatting sqref="R31">
    <cfRule type="cellIs" dxfId="22601" priority="2525" operator="greaterThan">
      <formula>1</formula>
    </cfRule>
    <cfRule type="cellIs" dxfId="22600" priority="2526" operator="lessThan">
      <formula>0.8</formula>
    </cfRule>
  </conditionalFormatting>
  <conditionalFormatting sqref="P31">
    <cfRule type="cellIs" dxfId="22599" priority="2524" operator="greaterThan">
      <formula>0</formula>
    </cfRule>
  </conditionalFormatting>
  <conditionalFormatting sqref="P31">
    <cfRule type="cellIs" dxfId="22598" priority="2518" operator="greaterThan">
      <formula>0</formula>
    </cfRule>
  </conditionalFormatting>
  <conditionalFormatting sqref="Q31">
    <cfRule type="cellIs" dxfId="22597" priority="2523" operator="lessThan">
      <formula>0</formula>
    </cfRule>
  </conditionalFormatting>
  <conditionalFormatting sqref="R31">
    <cfRule type="cellIs" dxfId="22596" priority="2521" operator="lessThan">
      <formula>0.8</formula>
    </cfRule>
    <cfRule type="cellIs" dxfId="22595" priority="2522" operator="greaterThan">
      <formula>1</formula>
    </cfRule>
  </conditionalFormatting>
  <conditionalFormatting sqref="R31">
    <cfRule type="cellIs" dxfId="22594" priority="2519" operator="greaterThan">
      <formula>1</formula>
    </cfRule>
    <cfRule type="cellIs" dxfId="22593" priority="2520" operator="lessThan">
      <formula>0.8</formula>
    </cfRule>
  </conditionalFormatting>
  <conditionalFormatting sqref="P31">
    <cfRule type="cellIs" dxfId="22592" priority="2512" operator="greaterThan">
      <formula>0</formula>
    </cfRule>
  </conditionalFormatting>
  <conditionalFormatting sqref="Q31">
    <cfRule type="cellIs" dxfId="22591" priority="2517" operator="lessThan">
      <formula>0</formula>
    </cfRule>
  </conditionalFormatting>
  <conditionalFormatting sqref="R31">
    <cfRule type="cellIs" dxfId="22590" priority="2515" operator="lessThan">
      <formula>0.8</formula>
    </cfRule>
    <cfRule type="cellIs" dxfId="22589" priority="2516" operator="greaterThan">
      <formula>1</formula>
    </cfRule>
  </conditionalFormatting>
  <conditionalFormatting sqref="R31">
    <cfRule type="cellIs" dxfId="22588" priority="2513" operator="greaterThan">
      <formula>1</formula>
    </cfRule>
    <cfRule type="cellIs" dxfId="22587" priority="2514" operator="lessThan">
      <formula>0.8</formula>
    </cfRule>
  </conditionalFormatting>
  <conditionalFormatting sqref="R31">
    <cfRule type="cellIs" dxfId="22586" priority="2509" operator="lessThan">
      <formula>0.8</formula>
    </cfRule>
    <cfRule type="cellIs" dxfId="22585" priority="2510" operator="greaterThan">
      <formula>1</formula>
    </cfRule>
  </conditionalFormatting>
  <conditionalFormatting sqref="R31">
    <cfRule type="cellIs" dxfId="22584" priority="2507" operator="greaterThan">
      <formula>1</formula>
    </cfRule>
    <cfRule type="cellIs" dxfId="22583" priority="2508" operator="lessThan">
      <formula>0.8</formula>
    </cfRule>
  </conditionalFormatting>
  <conditionalFormatting sqref="P31">
    <cfRule type="cellIs" dxfId="22582" priority="2506" operator="greaterThan">
      <formula>0</formula>
    </cfRule>
  </conditionalFormatting>
  <conditionalFormatting sqref="Q31">
    <cfRule type="cellIs" dxfId="22581" priority="2511" operator="lessThan">
      <formula>0</formula>
    </cfRule>
  </conditionalFormatting>
  <conditionalFormatting sqref="P31">
    <cfRule type="cellIs" dxfId="22580" priority="2500" operator="greaterThan">
      <formula>0</formula>
    </cfRule>
  </conditionalFormatting>
  <conditionalFormatting sqref="Q31">
    <cfRule type="cellIs" dxfId="22579" priority="2505" operator="lessThan">
      <formula>0</formula>
    </cfRule>
  </conditionalFormatting>
  <conditionalFormatting sqref="R31">
    <cfRule type="cellIs" dxfId="22578" priority="2503" operator="lessThan">
      <formula>0.8</formula>
    </cfRule>
    <cfRule type="cellIs" dxfId="22577" priority="2504" operator="greaterThan">
      <formula>1</formula>
    </cfRule>
  </conditionalFormatting>
  <conditionalFormatting sqref="R31">
    <cfRule type="cellIs" dxfId="22576" priority="2501" operator="greaterThan">
      <formula>1</formula>
    </cfRule>
    <cfRule type="cellIs" dxfId="22575" priority="2502" operator="lessThan">
      <formula>0.8</formula>
    </cfRule>
  </conditionalFormatting>
  <conditionalFormatting sqref="R31">
    <cfRule type="cellIs" dxfId="22574" priority="2497" operator="lessThan">
      <formula>0.8</formula>
    </cfRule>
    <cfRule type="cellIs" dxfId="22573" priority="2498" operator="greaterThan">
      <formula>1</formula>
    </cfRule>
  </conditionalFormatting>
  <conditionalFormatting sqref="R31">
    <cfRule type="cellIs" dxfId="22572" priority="2495" operator="greaterThan">
      <formula>1</formula>
    </cfRule>
    <cfRule type="cellIs" dxfId="22571" priority="2496" operator="lessThan">
      <formula>0.8</formula>
    </cfRule>
  </conditionalFormatting>
  <conditionalFormatting sqref="P31">
    <cfRule type="cellIs" dxfId="22570" priority="2494" operator="greaterThan">
      <formula>0</formula>
    </cfRule>
  </conditionalFormatting>
  <conditionalFormatting sqref="Q31">
    <cfRule type="cellIs" dxfId="22569" priority="2499" operator="lessThan">
      <formula>0</formula>
    </cfRule>
  </conditionalFormatting>
  <conditionalFormatting sqref="R31">
    <cfRule type="cellIs" dxfId="22568" priority="2491" operator="lessThan">
      <formula>0.8</formula>
    </cfRule>
    <cfRule type="cellIs" dxfId="22567" priority="2492" operator="greaterThan">
      <formula>1</formula>
    </cfRule>
  </conditionalFormatting>
  <conditionalFormatting sqref="R31">
    <cfRule type="cellIs" dxfId="22566" priority="2489" operator="greaterThan">
      <formula>1</formula>
    </cfRule>
    <cfRule type="cellIs" dxfId="22565" priority="2490" operator="lessThan">
      <formula>0.8</formula>
    </cfRule>
  </conditionalFormatting>
  <conditionalFormatting sqref="P31">
    <cfRule type="cellIs" dxfId="22564" priority="2488" operator="greaterThan">
      <formula>0</formula>
    </cfRule>
  </conditionalFormatting>
  <conditionalFormatting sqref="Q31">
    <cfRule type="cellIs" dxfId="22563" priority="2493" operator="lessThan">
      <formula>0</formula>
    </cfRule>
  </conditionalFormatting>
  <conditionalFormatting sqref="Q31">
    <cfRule type="cellIs" dxfId="22562" priority="2487" operator="lessThan">
      <formula>0</formula>
    </cfRule>
  </conditionalFormatting>
  <conditionalFormatting sqref="R31">
    <cfRule type="cellIs" dxfId="22561" priority="2485" operator="lessThan">
      <formula>0.8</formula>
    </cfRule>
    <cfRule type="cellIs" dxfId="22560" priority="2486" operator="greaterThan">
      <formula>1</formula>
    </cfRule>
  </conditionalFormatting>
  <conditionalFormatting sqref="R31">
    <cfRule type="cellIs" dxfId="22559" priority="2483" operator="greaterThan">
      <formula>1</formula>
    </cfRule>
    <cfRule type="cellIs" dxfId="22558" priority="2484" operator="lessThan">
      <formula>0.8</formula>
    </cfRule>
  </conditionalFormatting>
  <conditionalFormatting sqref="P31">
    <cfRule type="cellIs" dxfId="22557" priority="2482" operator="greaterThan">
      <formula>0</formula>
    </cfRule>
  </conditionalFormatting>
  <conditionalFormatting sqref="Q31">
    <cfRule type="cellIs" dxfId="22556" priority="2476" operator="lessThan">
      <formula>0</formula>
    </cfRule>
  </conditionalFormatting>
  <conditionalFormatting sqref="R31">
    <cfRule type="cellIs" dxfId="22555" priority="2480" operator="lessThan">
      <formula>0.8</formula>
    </cfRule>
    <cfRule type="cellIs" dxfId="22554" priority="2481" operator="greaterThan">
      <formula>1</formula>
    </cfRule>
  </conditionalFormatting>
  <conditionalFormatting sqref="R31">
    <cfRule type="cellIs" dxfId="22553" priority="2478" operator="greaterThan">
      <formula>1</formula>
    </cfRule>
    <cfRule type="cellIs" dxfId="22552" priority="2479" operator="lessThan">
      <formula>0.8</formula>
    </cfRule>
  </conditionalFormatting>
  <conditionalFormatting sqref="P31">
    <cfRule type="cellIs" dxfId="22551" priority="2477" operator="greaterThan">
      <formula>0</formula>
    </cfRule>
  </conditionalFormatting>
  <conditionalFormatting sqref="Q31">
    <cfRule type="cellIs" dxfId="22550" priority="2475" operator="lessThan">
      <formula>0</formula>
    </cfRule>
  </conditionalFormatting>
  <conditionalFormatting sqref="R31">
    <cfRule type="cellIs" dxfId="22549" priority="2473" operator="lessThan">
      <formula>0.8</formula>
    </cfRule>
    <cfRule type="cellIs" dxfId="22548" priority="2474" operator="greaterThan">
      <formula>1</formula>
    </cfRule>
  </conditionalFormatting>
  <conditionalFormatting sqref="R31">
    <cfRule type="cellIs" dxfId="22547" priority="2471" operator="greaterThan">
      <formula>1</formula>
    </cfRule>
    <cfRule type="cellIs" dxfId="22546" priority="2472" operator="lessThan">
      <formula>0.8</formula>
    </cfRule>
  </conditionalFormatting>
  <conditionalFormatting sqref="P31">
    <cfRule type="cellIs" dxfId="22545" priority="2470" operator="greaterThan">
      <formula>0</formula>
    </cfRule>
  </conditionalFormatting>
  <conditionalFormatting sqref="Q31">
    <cfRule type="cellIs" dxfId="22544" priority="2469" operator="lessThan">
      <formula>0</formula>
    </cfRule>
  </conditionalFormatting>
  <conditionalFormatting sqref="R31">
    <cfRule type="cellIs" dxfId="22543" priority="2467" operator="lessThan">
      <formula>0.8</formula>
    </cfRule>
    <cfRule type="cellIs" dxfId="22542" priority="2468" operator="greaterThan">
      <formula>1</formula>
    </cfRule>
  </conditionalFormatting>
  <conditionalFormatting sqref="R31">
    <cfRule type="cellIs" dxfId="22541" priority="2465" operator="greaterThan">
      <formula>1</formula>
    </cfRule>
    <cfRule type="cellIs" dxfId="22540" priority="2466" operator="lessThan">
      <formula>0.8</formula>
    </cfRule>
  </conditionalFormatting>
  <conditionalFormatting sqref="P31">
    <cfRule type="cellIs" dxfId="22539" priority="2464" operator="greaterThan">
      <formula>0</formula>
    </cfRule>
  </conditionalFormatting>
  <conditionalFormatting sqref="Q31">
    <cfRule type="cellIs" dxfId="22538" priority="2463" operator="lessThan">
      <formula>0</formula>
    </cfRule>
  </conditionalFormatting>
  <conditionalFormatting sqref="R31">
    <cfRule type="cellIs" dxfId="22537" priority="2461" operator="lessThan">
      <formula>0.8</formula>
    </cfRule>
    <cfRule type="cellIs" dxfId="22536" priority="2462" operator="greaterThan">
      <formula>1</formula>
    </cfRule>
  </conditionalFormatting>
  <conditionalFormatting sqref="R31">
    <cfRule type="cellIs" dxfId="22535" priority="2459" operator="greaterThan">
      <formula>1</formula>
    </cfRule>
    <cfRule type="cellIs" dxfId="22534" priority="2460" operator="lessThan">
      <formula>0.8</formula>
    </cfRule>
  </conditionalFormatting>
  <conditionalFormatting sqref="P31">
    <cfRule type="cellIs" dxfId="22533" priority="2458" operator="greaterThan">
      <formula>0</formula>
    </cfRule>
  </conditionalFormatting>
  <conditionalFormatting sqref="Q31">
    <cfRule type="cellIs" dxfId="22532" priority="2457" operator="lessThan">
      <formula>0</formula>
    </cfRule>
  </conditionalFormatting>
  <conditionalFormatting sqref="R31">
    <cfRule type="cellIs" dxfId="22531" priority="2455" operator="lessThan">
      <formula>0.8</formula>
    </cfRule>
    <cfRule type="cellIs" dxfId="22530" priority="2456" operator="greaterThan">
      <formula>1</formula>
    </cfRule>
  </conditionalFormatting>
  <conditionalFormatting sqref="R31">
    <cfRule type="cellIs" dxfId="22529" priority="2453" operator="greaterThan">
      <formula>1</formula>
    </cfRule>
    <cfRule type="cellIs" dxfId="22528" priority="2454" operator="lessThan">
      <formula>0.8</formula>
    </cfRule>
  </conditionalFormatting>
  <conditionalFormatting sqref="P31">
    <cfRule type="cellIs" dxfId="22527" priority="2452" operator="greaterThan">
      <formula>0</formula>
    </cfRule>
  </conditionalFormatting>
  <conditionalFormatting sqref="Q31">
    <cfRule type="cellIs" dxfId="22526" priority="2451" operator="lessThan">
      <formula>0</formula>
    </cfRule>
  </conditionalFormatting>
  <conditionalFormatting sqref="R31">
    <cfRule type="cellIs" dxfId="22525" priority="2449" operator="lessThan">
      <formula>0.8</formula>
    </cfRule>
    <cfRule type="cellIs" dxfId="22524" priority="2450" operator="greaterThan">
      <formula>1</formula>
    </cfRule>
  </conditionalFormatting>
  <conditionalFormatting sqref="R31">
    <cfRule type="cellIs" dxfId="22523" priority="2447" operator="greaterThan">
      <formula>1</formula>
    </cfRule>
    <cfRule type="cellIs" dxfId="22522" priority="2448" operator="lessThan">
      <formula>0.8</formula>
    </cfRule>
  </conditionalFormatting>
  <conditionalFormatting sqref="P31">
    <cfRule type="cellIs" dxfId="22521" priority="2446" operator="greaterThan">
      <formula>0</formula>
    </cfRule>
  </conditionalFormatting>
  <conditionalFormatting sqref="P31">
    <cfRule type="cellIs" dxfId="22520" priority="2440" operator="greaterThan">
      <formula>0</formula>
    </cfRule>
  </conditionalFormatting>
  <conditionalFormatting sqref="Q31">
    <cfRule type="cellIs" dxfId="22519" priority="2445" operator="lessThan">
      <formula>0</formula>
    </cfRule>
  </conditionalFormatting>
  <conditionalFormatting sqref="R31">
    <cfRule type="cellIs" dxfId="22518" priority="2443" operator="lessThan">
      <formula>0.8</formula>
    </cfRule>
    <cfRule type="cellIs" dxfId="22517" priority="2444" operator="greaterThan">
      <formula>1</formula>
    </cfRule>
  </conditionalFormatting>
  <conditionalFormatting sqref="R31">
    <cfRule type="cellIs" dxfId="22516" priority="2441" operator="greaterThan">
      <formula>1</formula>
    </cfRule>
    <cfRule type="cellIs" dxfId="22515" priority="2442" operator="lessThan">
      <formula>0.8</formula>
    </cfRule>
  </conditionalFormatting>
  <conditionalFormatting sqref="P31">
    <cfRule type="cellIs" dxfId="22514" priority="2434" operator="greaterThan">
      <formula>0</formula>
    </cfRule>
  </conditionalFormatting>
  <conditionalFormatting sqref="Q31">
    <cfRule type="cellIs" dxfId="22513" priority="2439" operator="lessThan">
      <formula>0</formula>
    </cfRule>
  </conditionalFormatting>
  <conditionalFormatting sqref="R31">
    <cfRule type="cellIs" dxfId="22512" priority="2437" operator="lessThan">
      <formula>0.8</formula>
    </cfRule>
    <cfRule type="cellIs" dxfId="22511" priority="2438" operator="greaterThan">
      <formula>1</formula>
    </cfRule>
  </conditionalFormatting>
  <conditionalFormatting sqref="R31">
    <cfRule type="cellIs" dxfId="22510" priority="2435" operator="greaterThan">
      <formula>1</formula>
    </cfRule>
    <cfRule type="cellIs" dxfId="22509" priority="2436" operator="lessThan">
      <formula>0.8</formula>
    </cfRule>
  </conditionalFormatting>
  <conditionalFormatting sqref="R31">
    <cfRule type="cellIs" dxfId="22508" priority="2431" operator="lessThan">
      <formula>0.8</formula>
    </cfRule>
    <cfRule type="cellIs" dxfId="22507" priority="2432" operator="greaterThan">
      <formula>1</formula>
    </cfRule>
  </conditionalFormatting>
  <conditionalFormatting sqref="R31">
    <cfRule type="cellIs" dxfId="22506" priority="2429" operator="greaterThan">
      <formula>1</formula>
    </cfRule>
    <cfRule type="cellIs" dxfId="22505" priority="2430" operator="lessThan">
      <formula>0.8</formula>
    </cfRule>
  </conditionalFormatting>
  <conditionalFormatting sqref="P31">
    <cfRule type="cellIs" dxfId="22504" priority="2428" operator="greaterThan">
      <formula>0</formula>
    </cfRule>
  </conditionalFormatting>
  <conditionalFormatting sqref="Q31">
    <cfRule type="cellIs" dxfId="22503" priority="2433" operator="lessThan">
      <formula>0</formula>
    </cfRule>
  </conditionalFormatting>
  <conditionalFormatting sqref="Q31">
    <cfRule type="cellIs" dxfId="22502" priority="2427" operator="lessThan">
      <formula>0</formula>
    </cfRule>
  </conditionalFormatting>
  <conditionalFormatting sqref="R31">
    <cfRule type="cellIs" dxfId="22501" priority="2425" operator="lessThan">
      <formula>0.8</formula>
    </cfRule>
    <cfRule type="cellIs" dxfId="22500" priority="2426" operator="greaterThan">
      <formula>1</formula>
    </cfRule>
  </conditionalFormatting>
  <conditionalFormatting sqref="R31">
    <cfRule type="cellIs" dxfId="22499" priority="2423" operator="greaterThan">
      <formula>1</formula>
    </cfRule>
    <cfRule type="cellIs" dxfId="22498" priority="2424" operator="lessThan">
      <formula>0.8</formula>
    </cfRule>
  </conditionalFormatting>
  <conditionalFormatting sqref="P31">
    <cfRule type="cellIs" dxfId="22497" priority="2422" operator="greaterThan">
      <formula>0</formula>
    </cfRule>
  </conditionalFormatting>
  <conditionalFormatting sqref="Q31">
    <cfRule type="cellIs" dxfId="22496" priority="2421" operator="lessThan">
      <formula>0</formula>
    </cfRule>
  </conditionalFormatting>
  <conditionalFormatting sqref="R31">
    <cfRule type="cellIs" dxfId="22495" priority="2419" operator="lessThan">
      <formula>0.8</formula>
    </cfRule>
    <cfRule type="cellIs" dxfId="22494" priority="2420" operator="greaterThan">
      <formula>1</formula>
    </cfRule>
  </conditionalFormatting>
  <conditionalFormatting sqref="R31">
    <cfRule type="cellIs" dxfId="22493" priority="2417" operator="greaterThan">
      <formula>1</formula>
    </cfRule>
    <cfRule type="cellIs" dxfId="22492" priority="2418" operator="lessThan">
      <formula>0.8</formula>
    </cfRule>
  </conditionalFormatting>
  <conditionalFormatting sqref="P31">
    <cfRule type="cellIs" dxfId="22491" priority="2416" operator="greaterThan">
      <formula>0</formula>
    </cfRule>
  </conditionalFormatting>
  <conditionalFormatting sqref="Q31">
    <cfRule type="cellIs" dxfId="22490" priority="2415" operator="lessThan">
      <formula>0</formula>
    </cfRule>
  </conditionalFormatting>
  <conditionalFormatting sqref="R31">
    <cfRule type="cellIs" dxfId="22489" priority="2413" operator="lessThan">
      <formula>0.8</formula>
    </cfRule>
    <cfRule type="cellIs" dxfId="22488" priority="2414" operator="greaterThan">
      <formula>1</formula>
    </cfRule>
  </conditionalFormatting>
  <conditionalFormatting sqref="R31">
    <cfRule type="cellIs" dxfId="22487" priority="2411" operator="greaterThan">
      <formula>1</formula>
    </cfRule>
    <cfRule type="cellIs" dxfId="22486" priority="2412" operator="lessThan">
      <formula>0.8</formula>
    </cfRule>
  </conditionalFormatting>
  <conditionalFormatting sqref="P31">
    <cfRule type="cellIs" dxfId="22485" priority="2410" operator="greaterThan">
      <formula>0</formula>
    </cfRule>
  </conditionalFormatting>
  <conditionalFormatting sqref="Q31">
    <cfRule type="cellIs" dxfId="22484" priority="2409" operator="lessThan">
      <formula>0</formula>
    </cfRule>
  </conditionalFormatting>
  <conditionalFormatting sqref="R31">
    <cfRule type="cellIs" dxfId="22483" priority="2407" operator="lessThan">
      <formula>0.8</formula>
    </cfRule>
    <cfRule type="cellIs" dxfId="22482" priority="2408" operator="greaterThan">
      <formula>1</formula>
    </cfRule>
  </conditionalFormatting>
  <conditionalFormatting sqref="R31">
    <cfRule type="cellIs" dxfId="22481" priority="2405" operator="greaterThan">
      <formula>1</formula>
    </cfRule>
    <cfRule type="cellIs" dxfId="22480" priority="2406" operator="lessThan">
      <formula>0.8</formula>
    </cfRule>
  </conditionalFormatting>
  <conditionalFormatting sqref="P31">
    <cfRule type="cellIs" dxfId="22479" priority="2404" operator="greaterThan">
      <formula>0</formula>
    </cfRule>
  </conditionalFormatting>
  <conditionalFormatting sqref="P31">
    <cfRule type="cellIs" dxfId="22478" priority="2398" operator="greaterThan">
      <formula>0</formula>
    </cfRule>
  </conditionalFormatting>
  <conditionalFormatting sqref="Q31">
    <cfRule type="cellIs" dxfId="22477" priority="2403" operator="lessThan">
      <formula>0</formula>
    </cfRule>
  </conditionalFormatting>
  <conditionalFormatting sqref="R31">
    <cfRule type="cellIs" dxfId="22476" priority="2401" operator="lessThan">
      <formula>0.8</formula>
    </cfRule>
    <cfRule type="cellIs" dxfId="22475" priority="2402" operator="greaterThan">
      <formula>1</formula>
    </cfRule>
  </conditionalFormatting>
  <conditionalFormatting sqref="R31">
    <cfRule type="cellIs" dxfId="22474" priority="2399" operator="greaterThan">
      <formula>1</formula>
    </cfRule>
    <cfRule type="cellIs" dxfId="22473" priority="2400" operator="lessThan">
      <formula>0.8</formula>
    </cfRule>
  </conditionalFormatting>
  <conditionalFormatting sqref="P31">
    <cfRule type="cellIs" dxfId="22472" priority="2392" operator="greaterThan">
      <formula>0</formula>
    </cfRule>
  </conditionalFormatting>
  <conditionalFormatting sqref="Q31">
    <cfRule type="cellIs" dxfId="22471" priority="2397" operator="lessThan">
      <formula>0</formula>
    </cfRule>
  </conditionalFormatting>
  <conditionalFormatting sqref="R31">
    <cfRule type="cellIs" dxfId="22470" priority="2395" operator="lessThan">
      <formula>0.8</formula>
    </cfRule>
    <cfRule type="cellIs" dxfId="22469" priority="2396" operator="greaterThan">
      <formula>1</formula>
    </cfRule>
  </conditionalFormatting>
  <conditionalFormatting sqref="R31">
    <cfRule type="cellIs" dxfId="22468" priority="2393" operator="greaterThan">
      <formula>1</formula>
    </cfRule>
    <cfRule type="cellIs" dxfId="22467" priority="2394" operator="lessThan">
      <formula>0.8</formula>
    </cfRule>
  </conditionalFormatting>
  <conditionalFormatting sqref="R31">
    <cfRule type="cellIs" dxfId="22466" priority="2389" operator="lessThan">
      <formula>0.8</formula>
    </cfRule>
    <cfRule type="cellIs" dxfId="22465" priority="2390" operator="greaterThan">
      <formula>1</formula>
    </cfRule>
  </conditionalFormatting>
  <conditionalFormatting sqref="R31">
    <cfRule type="cellIs" dxfId="22464" priority="2387" operator="greaterThan">
      <formula>1</formula>
    </cfRule>
    <cfRule type="cellIs" dxfId="22463" priority="2388" operator="lessThan">
      <formula>0.8</formula>
    </cfRule>
  </conditionalFormatting>
  <conditionalFormatting sqref="P31">
    <cfRule type="cellIs" dxfId="22462" priority="2386" operator="greaterThan">
      <formula>0</formula>
    </cfRule>
  </conditionalFormatting>
  <conditionalFormatting sqref="Q31">
    <cfRule type="cellIs" dxfId="22461" priority="2391" operator="lessThan">
      <formula>0</formula>
    </cfRule>
  </conditionalFormatting>
  <conditionalFormatting sqref="Q31">
    <cfRule type="cellIs" dxfId="22460" priority="2385" operator="lessThan">
      <formula>0</formula>
    </cfRule>
  </conditionalFormatting>
  <conditionalFormatting sqref="R31">
    <cfRule type="cellIs" dxfId="22459" priority="2383" operator="lessThan">
      <formula>0.8</formula>
    </cfRule>
    <cfRule type="cellIs" dxfId="22458" priority="2384" operator="greaterThan">
      <formula>1</formula>
    </cfRule>
  </conditionalFormatting>
  <conditionalFormatting sqref="R31">
    <cfRule type="cellIs" dxfId="22457" priority="2381" operator="greaterThan">
      <formula>1</formula>
    </cfRule>
    <cfRule type="cellIs" dxfId="22456" priority="2382" operator="lessThan">
      <formula>0.8</formula>
    </cfRule>
  </conditionalFormatting>
  <conditionalFormatting sqref="P31">
    <cfRule type="cellIs" dxfId="22455" priority="2380" operator="greaterThan">
      <formula>0</formula>
    </cfRule>
  </conditionalFormatting>
  <conditionalFormatting sqref="P31">
    <cfRule type="cellIs" dxfId="22454" priority="2374" operator="greaterThan">
      <formula>0</formula>
    </cfRule>
  </conditionalFormatting>
  <conditionalFormatting sqref="Q31">
    <cfRule type="cellIs" dxfId="22453" priority="2379" operator="lessThan">
      <formula>0</formula>
    </cfRule>
  </conditionalFormatting>
  <conditionalFormatting sqref="R31">
    <cfRule type="cellIs" dxfId="22452" priority="2377" operator="lessThan">
      <formula>0.8</formula>
    </cfRule>
    <cfRule type="cellIs" dxfId="22451" priority="2378" operator="greaterThan">
      <formula>1</formula>
    </cfRule>
  </conditionalFormatting>
  <conditionalFormatting sqref="R31">
    <cfRule type="cellIs" dxfId="22450" priority="2375" operator="greaterThan">
      <formula>1</formula>
    </cfRule>
    <cfRule type="cellIs" dxfId="22449" priority="2376" operator="lessThan">
      <formula>0.8</formula>
    </cfRule>
  </conditionalFormatting>
  <conditionalFormatting sqref="P31">
    <cfRule type="cellIs" dxfId="22448" priority="2368" operator="greaterThan">
      <formula>0</formula>
    </cfRule>
  </conditionalFormatting>
  <conditionalFormatting sqref="Q31">
    <cfRule type="cellIs" dxfId="22447" priority="2373" operator="lessThan">
      <formula>0</formula>
    </cfRule>
  </conditionalFormatting>
  <conditionalFormatting sqref="R31">
    <cfRule type="cellIs" dxfId="22446" priority="2371" operator="lessThan">
      <formula>0.8</formula>
    </cfRule>
    <cfRule type="cellIs" dxfId="22445" priority="2372" operator="greaterThan">
      <formula>1</formula>
    </cfRule>
  </conditionalFormatting>
  <conditionalFormatting sqref="R31">
    <cfRule type="cellIs" dxfId="22444" priority="2369" operator="greaterThan">
      <formula>1</formula>
    </cfRule>
    <cfRule type="cellIs" dxfId="22443" priority="2370" operator="lessThan">
      <formula>0.8</formula>
    </cfRule>
  </conditionalFormatting>
  <conditionalFormatting sqref="R31">
    <cfRule type="cellIs" dxfId="22442" priority="2365" operator="lessThan">
      <formula>0.8</formula>
    </cfRule>
    <cfRule type="cellIs" dxfId="22441" priority="2366" operator="greaterThan">
      <formula>1</formula>
    </cfRule>
  </conditionalFormatting>
  <conditionalFormatting sqref="R31">
    <cfRule type="cellIs" dxfId="22440" priority="2363" operator="greaterThan">
      <formula>1</formula>
    </cfRule>
    <cfRule type="cellIs" dxfId="22439" priority="2364" operator="lessThan">
      <formula>0.8</formula>
    </cfRule>
  </conditionalFormatting>
  <conditionalFormatting sqref="P31">
    <cfRule type="cellIs" dxfId="22438" priority="2362" operator="greaterThan">
      <formula>0</formula>
    </cfRule>
  </conditionalFormatting>
  <conditionalFormatting sqref="Q31">
    <cfRule type="cellIs" dxfId="22437" priority="2367" operator="lessThan">
      <formula>0</formula>
    </cfRule>
  </conditionalFormatting>
  <conditionalFormatting sqref="P31">
    <cfRule type="cellIs" dxfId="22436" priority="2356" operator="greaterThan">
      <formula>0</formula>
    </cfRule>
  </conditionalFormatting>
  <conditionalFormatting sqref="Q31">
    <cfRule type="cellIs" dxfId="22435" priority="2361" operator="lessThan">
      <formula>0</formula>
    </cfRule>
  </conditionalFormatting>
  <conditionalFormatting sqref="R31">
    <cfRule type="cellIs" dxfId="22434" priority="2359" operator="lessThan">
      <formula>0.8</formula>
    </cfRule>
    <cfRule type="cellIs" dxfId="22433" priority="2360" operator="greaterThan">
      <formula>1</formula>
    </cfRule>
  </conditionalFormatting>
  <conditionalFormatting sqref="R31">
    <cfRule type="cellIs" dxfId="22432" priority="2357" operator="greaterThan">
      <formula>1</formula>
    </cfRule>
    <cfRule type="cellIs" dxfId="22431" priority="2358" operator="lessThan">
      <formula>0.8</formula>
    </cfRule>
  </conditionalFormatting>
  <conditionalFormatting sqref="R31">
    <cfRule type="cellIs" dxfId="22430" priority="2353" operator="lessThan">
      <formula>0.8</formula>
    </cfRule>
    <cfRule type="cellIs" dxfId="22429" priority="2354" operator="greaterThan">
      <formula>1</formula>
    </cfRule>
  </conditionalFormatting>
  <conditionalFormatting sqref="R31">
    <cfRule type="cellIs" dxfId="22428" priority="2351" operator="greaterThan">
      <formula>1</formula>
    </cfRule>
    <cfRule type="cellIs" dxfId="22427" priority="2352" operator="lessThan">
      <formula>0.8</formula>
    </cfRule>
  </conditionalFormatting>
  <conditionalFormatting sqref="P31">
    <cfRule type="cellIs" dxfId="22426" priority="2350" operator="greaterThan">
      <formula>0</formula>
    </cfRule>
  </conditionalFormatting>
  <conditionalFormatting sqref="Q31">
    <cfRule type="cellIs" dxfId="22425" priority="2355" operator="lessThan">
      <formula>0</formula>
    </cfRule>
  </conditionalFormatting>
  <conditionalFormatting sqref="R31">
    <cfRule type="cellIs" dxfId="22424" priority="2347" operator="lessThan">
      <formula>0.8</formula>
    </cfRule>
    <cfRule type="cellIs" dxfId="22423" priority="2348" operator="greaterThan">
      <formula>1</formula>
    </cfRule>
  </conditionalFormatting>
  <conditionalFormatting sqref="R31">
    <cfRule type="cellIs" dxfId="22422" priority="2345" operator="greaterThan">
      <formula>1</formula>
    </cfRule>
    <cfRule type="cellIs" dxfId="22421" priority="2346" operator="lessThan">
      <formula>0.8</formula>
    </cfRule>
  </conditionalFormatting>
  <conditionalFormatting sqref="P31">
    <cfRule type="cellIs" dxfId="22420" priority="2344" operator="greaterThan">
      <formula>0</formula>
    </cfRule>
  </conditionalFormatting>
  <conditionalFormatting sqref="Q31">
    <cfRule type="cellIs" dxfId="22419" priority="2349" operator="lessThan">
      <formula>0</formula>
    </cfRule>
  </conditionalFormatting>
  <conditionalFormatting sqref="Q31">
    <cfRule type="cellIs" dxfId="22418" priority="2343" operator="lessThan">
      <formula>0</formula>
    </cfRule>
  </conditionalFormatting>
  <conditionalFormatting sqref="R31">
    <cfRule type="cellIs" dxfId="22417" priority="2341" operator="lessThan">
      <formula>0.8</formula>
    </cfRule>
    <cfRule type="cellIs" dxfId="22416" priority="2342" operator="greaterThan">
      <formula>1</formula>
    </cfRule>
  </conditionalFormatting>
  <conditionalFormatting sqref="R31">
    <cfRule type="cellIs" dxfId="22415" priority="2339" operator="greaterThan">
      <formula>1</formula>
    </cfRule>
    <cfRule type="cellIs" dxfId="22414" priority="2340" operator="lessThan">
      <formula>0.8</formula>
    </cfRule>
  </conditionalFormatting>
  <conditionalFormatting sqref="P31">
    <cfRule type="cellIs" dxfId="22413" priority="2338" operator="greaterThan">
      <formula>0</formula>
    </cfRule>
  </conditionalFormatting>
  <conditionalFormatting sqref="Q31">
    <cfRule type="cellIs" dxfId="22412" priority="2332" operator="lessThan">
      <formula>0</formula>
    </cfRule>
  </conditionalFormatting>
  <conditionalFormatting sqref="R31">
    <cfRule type="cellIs" dxfId="22411" priority="2336" operator="lessThan">
      <formula>0.8</formula>
    </cfRule>
    <cfRule type="cellIs" dxfId="22410" priority="2337" operator="greaterThan">
      <formula>1</formula>
    </cfRule>
  </conditionalFormatting>
  <conditionalFormatting sqref="R31">
    <cfRule type="cellIs" dxfId="22409" priority="2334" operator="greaterThan">
      <formula>1</formula>
    </cfRule>
    <cfRule type="cellIs" dxfId="22408" priority="2335" operator="lessThan">
      <formula>0.8</formula>
    </cfRule>
  </conditionalFormatting>
  <conditionalFormatting sqref="P31">
    <cfRule type="cellIs" dxfId="22407" priority="2333" operator="greaterThan">
      <formula>0</formula>
    </cfRule>
  </conditionalFormatting>
  <conditionalFormatting sqref="Q31">
    <cfRule type="cellIs" dxfId="22406" priority="2331" operator="lessThan">
      <formula>0</formula>
    </cfRule>
  </conditionalFormatting>
  <conditionalFormatting sqref="R31">
    <cfRule type="cellIs" dxfId="22405" priority="2329" operator="lessThan">
      <formula>0.8</formula>
    </cfRule>
    <cfRule type="cellIs" dxfId="22404" priority="2330" operator="greaterThan">
      <formula>1</formula>
    </cfRule>
  </conditionalFormatting>
  <conditionalFormatting sqref="R31">
    <cfRule type="cellIs" dxfId="22403" priority="2327" operator="greaterThan">
      <formula>1</formula>
    </cfRule>
    <cfRule type="cellIs" dxfId="22402" priority="2328" operator="lessThan">
      <formula>0.8</formula>
    </cfRule>
  </conditionalFormatting>
  <conditionalFormatting sqref="P31">
    <cfRule type="cellIs" dxfId="22401" priority="2326" operator="greaterThan">
      <formula>0</formula>
    </cfRule>
  </conditionalFormatting>
  <conditionalFormatting sqref="Q31">
    <cfRule type="cellIs" dxfId="22400" priority="2325" operator="lessThan">
      <formula>0</formula>
    </cfRule>
  </conditionalFormatting>
  <conditionalFormatting sqref="R31">
    <cfRule type="cellIs" dxfId="22399" priority="2323" operator="lessThan">
      <formula>0.8</formula>
    </cfRule>
    <cfRule type="cellIs" dxfId="22398" priority="2324" operator="greaterThan">
      <formula>1</formula>
    </cfRule>
  </conditionalFormatting>
  <conditionalFormatting sqref="R31">
    <cfRule type="cellIs" dxfId="22397" priority="2321" operator="greaterThan">
      <formula>1</formula>
    </cfRule>
    <cfRule type="cellIs" dxfId="22396" priority="2322" operator="lessThan">
      <formula>0.8</formula>
    </cfRule>
  </conditionalFormatting>
  <conditionalFormatting sqref="P31">
    <cfRule type="cellIs" dxfId="22395" priority="2320" operator="greaterThan">
      <formula>0</formula>
    </cfRule>
  </conditionalFormatting>
  <conditionalFormatting sqref="Q31">
    <cfRule type="cellIs" dxfId="22394" priority="2319" operator="lessThan">
      <formula>0</formula>
    </cfRule>
  </conditionalFormatting>
  <conditionalFormatting sqref="R31">
    <cfRule type="cellIs" dxfId="22393" priority="2317" operator="lessThan">
      <formula>0.8</formula>
    </cfRule>
    <cfRule type="cellIs" dxfId="22392" priority="2318" operator="greaterThan">
      <formula>1</formula>
    </cfRule>
  </conditionalFormatting>
  <conditionalFormatting sqref="R31">
    <cfRule type="cellIs" dxfId="22391" priority="2315" operator="greaterThan">
      <formula>1</formula>
    </cfRule>
    <cfRule type="cellIs" dxfId="22390" priority="2316" operator="lessThan">
      <formula>0.8</formula>
    </cfRule>
  </conditionalFormatting>
  <conditionalFormatting sqref="P31">
    <cfRule type="cellIs" dxfId="22389" priority="2314" operator="greaterThan">
      <formula>0</formula>
    </cfRule>
  </conditionalFormatting>
  <conditionalFormatting sqref="Q31">
    <cfRule type="cellIs" dxfId="22388" priority="2313" operator="lessThan">
      <formula>0</formula>
    </cfRule>
  </conditionalFormatting>
  <conditionalFormatting sqref="R31">
    <cfRule type="cellIs" dxfId="22387" priority="2311" operator="lessThan">
      <formula>0.8</formula>
    </cfRule>
    <cfRule type="cellIs" dxfId="22386" priority="2312" operator="greaterThan">
      <formula>1</formula>
    </cfRule>
  </conditionalFormatting>
  <conditionalFormatting sqref="R31">
    <cfRule type="cellIs" dxfId="22385" priority="2309" operator="greaterThan">
      <formula>1</formula>
    </cfRule>
    <cfRule type="cellIs" dxfId="22384" priority="2310" operator="lessThan">
      <formula>0.8</formula>
    </cfRule>
  </conditionalFormatting>
  <conditionalFormatting sqref="P31">
    <cfRule type="cellIs" dxfId="22383" priority="2308" operator="greaterThan">
      <formula>0</formula>
    </cfRule>
  </conditionalFormatting>
  <conditionalFormatting sqref="Q31">
    <cfRule type="cellIs" dxfId="22382" priority="2307" operator="lessThan">
      <formula>0</formula>
    </cfRule>
  </conditionalFormatting>
  <conditionalFormatting sqref="R31">
    <cfRule type="cellIs" dxfId="22381" priority="2305" operator="lessThan">
      <formula>0.8</formula>
    </cfRule>
    <cfRule type="cellIs" dxfId="22380" priority="2306" operator="greaterThan">
      <formula>1</formula>
    </cfRule>
  </conditionalFormatting>
  <conditionalFormatting sqref="R31">
    <cfRule type="cellIs" dxfId="22379" priority="2303" operator="greaterThan">
      <formula>1</formula>
    </cfRule>
    <cfRule type="cellIs" dxfId="22378" priority="2304" operator="lessThan">
      <formula>0.8</formula>
    </cfRule>
  </conditionalFormatting>
  <conditionalFormatting sqref="P31">
    <cfRule type="cellIs" dxfId="22377" priority="2302" operator="greaterThan">
      <formula>0</formula>
    </cfRule>
  </conditionalFormatting>
  <conditionalFormatting sqref="P31">
    <cfRule type="cellIs" dxfId="22376" priority="2296" operator="greaterThan">
      <formula>0</formula>
    </cfRule>
  </conditionalFormatting>
  <conditionalFormatting sqref="Q31">
    <cfRule type="cellIs" dxfId="22375" priority="2301" operator="lessThan">
      <formula>0</formula>
    </cfRule>
  </conditionalFormatting>
  <conditionalFormatting sqref="R31">
    <cfRule type="cellIs" dxfId="22374" priority="2299" operator="lessThan">
      <formula>0.8</formula>
    </cfRule>
    <cfRule type="cellIs" dxfId="22373" priority="2300" operator="greaterThan">
      <formula>1</formula>
    </cfRule>
  </conditionalFormatting>
  <conditionalFormatting sqref="R31">
    <cfRule type="cellIs" dxfId="22372" priority="2297" operator="greaterThan">
      <formula>1</formula>
    </cfRule>
    <cfRule type="cellIs" dxfId="22371" priority="2298" operator="lessThan">
      <formula>0.8</formula>
    </cfRule>
  </conditionalFormatting>
  <conditionalFormatting sqref="P31">
    <cfRule type="cellIs" dxfId="22370" priority="2290" operator="greaterThan">
      <formula>0</formula>
    </cfRule>
  </conditionalFormatting>
  <conditionalFormatting sqref="Q31">
    <cfRule type="cellIs" dxfId="22369" priority="2295" operator="lessThan">
      <formula>0</formula>
    </cfRule>
  </conditionalFormatting>
  <conditionalFormatting sqref="R31">
    <cfRule type="cellIs" dxfId="22368" priority="2293" operator="lessThan">
      <formula>0.8</formula>
    </cfRule>
    <cfRule type="cellIs" dxfId="22367" priority="2294" operator="greaterThan">
      <formula>1</formula>
    </cfRule>
  </conditionalFormatting>
  <conditionalFormatting sqref="R31">
    <cfRule type="cellIs" dxfId="22366" priority="2291" operator="greaterThan">
      <formula>1</formula>
    </cfRule>
    <cfRule type="cellIs" dxfId="22365" priority="2292" operator="lessThan">
      <formula>0.8</formula>
    </cfRule>
  </conditionalFormatting>
  <conditionalFormatting sqref="R31">
    <cfRule type="cellIs" dxfId="22364" priority="2287" operator="lessThan">
      <formula>0.8</formula>
    </cfRule>
    <cfRule type="cellIs" dxfId="22363" priority="2288" operator="greaterThan">
      <formula>1</formula>
    </cfRule>
  </conditionalFormatting>
  <conditionalFormatting sqref="R31">
    <cfRule type="cellIs" dxfId="22362" priority="2285" operator="greaterThan">
      <formula>1</formula>
    </cfRule>
    <cfRule type="cellIs" dxfId="22361" priority="2286" operator="lessThan">
      <formula>0.8</formula>
    </cfRule>
  </conditionalFormatting>
  <conditionalFormatting sqref="P31">
    <cfRule type="cellIs" dxfId="22360" priority="2284" operator="greaterThan">
      <formula>0</formula>
    </cfRule>
  </conditionalFormatting>
  <conditionalFormatting sqref="Q31">
    <cfRule type="cellIs" dxfId="22359" priority="2289" operator="lessThan">
      <formula>0</formula>
    </cfRule>
  </conditionalFormatting>
  <conditionalFormatting sqref="P79">
    <cfRule type="cellIs" dxfId="22358" priority="2278" operator="greaterThan">
      <formula>0</formula>
    </cfRule>
  </conditionalFormatting>
  <conditionalFormatting sqref="Q79">
    <cfRule type="cellIs" dxfId="22357" priority="2283" operator="lessThan">
      <formula>0</formula>
    </cfRule>
  </conditionalFormatting>
  <conditionalFormatting sqref="R79">
    <cfRule type="cellIs" dxfId="22356" priority="2281" operator="lessThan">
      <formula>0.8</formula>
    </cfRule>
    <cfRule type="cellIs" dxfId="22355" priority="2282" operator="greaterThan">
      <formula>1</formula>
    </cfRule>
  </conditionalFormatting>
  <conditionalFormatting sqref="R79">
    <cfRule type="cellIs" dxfId="22354" priority="2279" operator="greaterThan">
      <formula>1</formula>
    </cfRule>
    <cfRule type="cellIs" dxfId="22353" priority="2280" operator="lessThan">
      <formula>0.8</formula>
    </cfRule>
  </conditionalFormatting>
  <conditionalFormatting sqref="Q79">
    <cfRule type="cellIs" dxfId="22352" priority="2277" operator="lessThan">
      <formula>0</formula>
    </cfRule>
  </conditionalFormatting>
  <conditionalFormatting sqref="R79">
    <cfRule type="cellIs" dxfId="22351" priority="2275" operator="lessThan">
      <formula>0.8</formula>
    </cfRule>
    <cfRule type="cellIs" dxfId="22350" priority="2276" operator="greaterThan">
      <formula>1</formula>
    </cfRule>
  </conditionalFormatting>
  <conditionalFormatting sqref="R79">
    <cfRule type="cellIs" dxfId="22349" priority="2273" operator="greaterThan">
      <formula>1</formula>
    </cfRule>
    <cfRule type="cellIs" dxfId="22348" priority="2274" operator="lessThan">
      <formula>0.8</formula>
    </cfRule>
  </conditionalFormatting>
  <conditionalFormatting sqref="P79">
    <cfRule type="cellIs" dxfId="22347" priority="2272" operator="greaterThan">
      <formula>0</formula>
    </cfRule>
  </conditionalFormatting>
  <conditionalFormatting sqref="P79">
    <cfRule type="cellIs" dxfId="22346" priority="2266" operator="greaterThan">
      <formula>0</formula>
    </cfRule>
  </conditionalFormatting>
  <conditionalFormatting sqref="Q79">
    <cfRule type="cellIs" dxfId="22345" priority="2271" operator="lessThan">
      <formula>0</formula>
    </cfRule>
  </conditionalFormatting>
  <conditionalFormatting sqref="R79">
    <cfRule type="cellIs" dxfId="22344" priority="2269" operator="lessThan">
      <formula>0.8</formula>
    </cfRule>
    <cfRule type="cellIs" dxfId="22343" priority="2270" operator="greaterThan">
      <formula>1</formula>
    </cfRule>
  </conditionalFormatting>
  <conditionalFormatting sqref="R79">
    <cfRule type="cellIs" dxfId="22342" priority="2267" operator="greaterThan">
      <formula>1</formula>
    </cfRule>
    <cfRule type="cellIs" dxfId="22341" priority="2268" operator="lessThan">
      <formula>0.8</formula>
    </cfRule>
  </conditionalFormatting>
  <conditionalFormatting sqref="Q79">
    <cfRule type="cellIs" dxfId="22340" priority="2260" operator="lessThan">
      <formula>0</formula>
    </cfRule>
  </conditionalFormatting>
  <conditionalFormatting sqref="P79">
    <cfRule type="cellIs" dxfId="22339" priority="2261" operator="greaterThan">
      <formula>0</formula>
    </cfRule>
  </conditionalFormatting>
  <conditionalFormatting sqref="R79">
    <cfRule type="cellIs" dxfId="22338" priority="2264" operator="lessThan">
      <formula>0.8</formula>
    </cfRule>
    <cfRule type="cellIs" dxfId="22337" priority="2265" operator="greaterThan">
      <formula>1</formula>
    </cfRule>
  </conditionalFormatting>
  <conditionalFormatting sqref="R79">
    <cfRule type="cellIs" dxfId="22336" priority="2262" operator="greaterThan">
      <formula>1</formula>
    </cfRule>
    <cfRule type="cellIs" dxfId="22335" priority="2263" operator="lessThan">
      <formula>0.8</formula>
    </cfRule>
  </conditionalFormatting>
  <conditionalFormatting sqref="Q79">
    <cfRule type="cellIs" dxfId="22334" priority="2254" operator="lessThan">
      <formula>0</formula>
    </cfRule>
  </conditionalFormatting>
  <conditionalFormatting sqref="R79">
    <cfRule type="cellIs" dxfId="22333" priority="2258" operator="lessThan">
      <formula>0.8</formula>
    </cfRule>
    <cfRule type="cellIs" dxfId="22332" priority="2259" operator="greaterThan">
      <formula>1</formula>
    </cfRule>
  </conditionalFormatting>
  <conditionalFormatting sqref="R79">
    <cfRule type="cellIs" dxfId="22331" priority="2256" operator="greaterThan">
      <formula>1</formula>
    </cfRule>
    <cfRule type="cellIs" dxfId="22330" priority="2257" operator="lessThan">
      <formula>0.8</formula>
    </cfRule>
  </conditionalFormatting>
  <conditionalFormatting sqref="P79">
    <cfRule type="cellIs" dxfId="22329" priority="2255" operator="greaterThan">
      <formula>0</formula>
    </cfRule>
  </conditionalFormatting>
  <conditionalFormatting sqref="Q79">
    <cfRule type="cellIs" dxfId="22328" priority="2253" operator="lessThan">
      <formula>0</formula>
    </cfRule>
  </conditionalFormatting>
  <conditionalFormatting sqref="R79">
    <cfRule type="cellIs" dxfId="22327" priority="2251" operator="lessThan">
      <formula>0.8</formula>
    </cfRule>
    <cfRule type="cellIs" dxfId="22326" priority="2252" operator="greaterThan">
      <formula>1</formula>
    </cfRule>
  </conditionalFormatting>
  <conditionalFormatting sqref="R79">
    <cfRule type="cellIs" dxfId="22325" priority="2249" operator="greaterThan">
      <formula>1</formula>
    </cfRule>
    <cfRule type="cellIs" dxfId="22324" priority="2250" operator="lessThan">
      <formula>0.8</formula>
    </cfRule>
  </conditionalFormatting>
  <conditionalFormatting sqref="P79">
    <cfRule type="cellIs" dxfId="22323" priority="2248" operator="greaterThan">
      <formula>0</formula>
    </cfRule>
  </conditionalFormatting>
  <conditionalFormatting sqref="Q79">
    <cfRule type="cellIs" dxfId="22322" priority="2247" operator="lessThan">
      <formula>0</formula>
    </cfRule>
  </conditionalFormatting>
  <conditionalFormatting sqref="R79">
    <cfRule type="cellIs" dxfId="22321" priority="2245" operator="lessThan">
      <formula>0.8</formula>
    </cfRule>
    <cfRule type="cellIs" dxfId="22320" priority="2246" operator="greaterThan">
      <formula>1</formula>
    </cfRule>
  </conditionalFormatting>
  <conditionalFormatting sqref="R79">
    <cfRule type="cellIs" dxfId="22319" priority="2243" operator="greaterThan">
      <formula>1</formula>
    </cfRule>
    <cfRule type="cellIs" dxfId="22318" priority="2244" operator="lessThan">
      <formula>0.8</formula>
    </cfRule>
  </conditionalFormatting>
  <conditionalFormatting sqref="P79">
    <cfRule type="cellIs" dxfId="22317" priority="2242" operator="greaterThan">
      <formula>0</formula>
    </cfRule>
  </conditionalFormatting>
  <conditionalFormatting sqref="P79">
    <cfRule type="cellIs" dxfId="22316" priority="2236" operator="greaterThan">
      <formula>0</formula>
    </cfRule>
  </conditionalFormatting>
  <conditionalFormatting sqref="Q79">
    <cfRule type="cellIs" dxfId="22315" priority="2241" operator="lessThan">
      <formula>0</formula>
    </cfRule>
  </conditionalFormatting>
  <conditionalFormatting sqref="R79">
    <cfRule type="cellIs" dxfId="22314" priority="2239" operator="lessThan">
      <formula>0.8</formula>
    </cfRule>
    <cfRule type="cellIs" dxfId="22313" priority="2240" operator="greaterThan">
      <formula>1</formula>
    </cfRule>
  </conditionalFormatting>
  <conditionalFormatting sqref="R79">
    <cfRule type="cellIs" dxfId="22312" priority="2237" operator="greaterThan">
      <formula>1</formula>
    </cfRule>
    <cfRule type="cellIs" dxfId="22311" priority="2238" operator="lessThan">
      <formula>0.8</formula>
    </cfRule>
  </conditionalFormatting>
  <conditionalFormatting sqref="P71:P78">
    <cfRule type="cellIs" dxfId="22310" priority="2230" operator="greaterThan">
      <formula>0</formula>
    </cfRule>
  </conditionalFormatting>
  <conditionalFormatting sqref="Q71:Q78">
    <cfRule type="cellIs" dxfId="22309" priority="2235" operator="lessThan">
      <formula>0</formula>
    </cfRule>
  </conditionalFormatting>
  <conditionalFormatting sqref="R71:R78">
    <cfRule type="cellIs" dxfId="22308" priority="2233" operator="lessThan">
      <formula>0.8</formula>
    </cfRule>
    <cfRule type="cellIs" dxfId="22307" priority="2234" operator="greaterThan">
      <formula>1</formula>
    </cfRule>
  </conditionalFormatting>
  <conditionalFormatting sqref="R71:R78">
    <cfRule type="cellIs" dxfId="22306" priority="2231" operator="greaterThan">
      <formula>1</formula>
    </cfRule>
    <cfRule type="cellIs" dxfId="22305" priority="2232" operator="lessThan">
      <formula>0.8</formula>
    </cfRule>
  </conditionalFormatting>
  <conditionalFormatting sqref="Q148:Q153">
    <cfRule type="cellIs" dxfId="22304" priority="2229" operator="lessThan">
      <formula>0</formula>
    </cfRule>
  </conditionalFormatting>
  <conditionalFormatting sqref="R148:R153">
    <cfRule type="cellIs" dxfId="22303" priority="2227" operator="lessThan">
      <formula>0.8</formula>
    </cfRule>
    <cfRule type="cellIs" dxfId="22302" priority="2228" operator="greaterThan">
      <formula>1</formula>
    </cfRule>
  </conditionalFormatting>
  <conditionalFormatting sqref="R148:R153">
    <cfRule type="cellIs" dxfId="22301" priority="2225" operator="greaterThan">
      <formula>1</formula>
    </cfRule>
    <cfRule type="cellIs" dxfId="22300" priority="2226" operator="lessThan">
      <formula>0.8</formula>
    </cfRule>
  </conditionalFormatting>
  <conditionalFormatting sqref="P148:P153">
    <cfRule type="cellIs" dxfId="22299" priority="2224" operator="greaterThan">
      <formula>0</formula>
    </cfRule>
  </conditionalFormatting>
  <conditionalFormatting sqref="Q148:Q153">
    <cfRule type="cellIs" dxfId="22298" priority="2223" operator="lessThan">
      <formula>0</formula>
    </cfRule>
  </conditionalFormatting>
  <conditionalFormatting sqref="R148:R153">
    <cfRule type="cellIs" dxfId="22297" priority="2221" operator="lessThan">
      <formula>0.8</formula>
    </cfRule>
    <cfRule type="cellIs" dxfId="22296" priority="2222" operator="greaterThan">
      <formula>1</formula>
    </cfRule>
  </conditionalFormatting>
  <conditionalFormatting sqref="R148:R153">
    <cfRule type="cellIs" dxfId="22295" priority="2219" operator="greaterThan">
      <formula>1</formula>
    </cfRule>
    <cfRule type="cellIs" dxfId="22294" priority="2220" operator="lessThan">
      <formula>0.8</formula>
    </cfRule>
  </conditionalFormatting>
  <conditionalFormatting sqref="P148:P153">
    <cfRule type="cellIs" dxfId="22293" priority="2218" operator="greaterThan">
      <formula>0</formula>
    </cfRule>
  </conditionalFormatting>
  <conditionalFormatting sqref="Q148:Q153">
    <cfRule type="cellIs" dxfId="22292" priority="2217" operator="lessThan">
      <formula>0</formula>
    </cfRule>
  </conditionalFormatting>
  <conditionalFormatting sqref="R148:R153">
    <cfRule type="cellIs" dxfId="22291" priority="2215" operator="lessThan">
      <formula>0.8</formula>
    </cfRule>
    <cfRule type="cellIs" dxfId="22290" priority="2216" operator="greaterThan">
      <formula>1</formula>
    </cfRule>
  </conditionalFormatting>
  <conditionalFormatting sqref="R148:R153">
    <cfRule type="cellIs" dxfId="22289" priority="2213" operator="greaterThan">
      <formula>1</formula>
    </cfRule>
    <cfRule type="cellIs" dxfId="22288" priority="2214" operator="lessThan">
      <formula>0.8</formula>
    </cfRule>
  </conditionalFormatting>
  <conditionalFormatting sqref="P148:P153">
    <cfRule type="cellIs" dxfId="22287" priority="2212" operator="greaterThan">
      <formula>0</formula>
    </cfRule>
  </conditionalFormatting>
  <conditionalFormatting sqref="Q148:Q153">
    <cfRule type="cellIs" dxfId="22286" priority="2211" operator="lessThan">
      <formula>0</formula>
    </cfRule>
  </conditionalFormatting>
  <conditionalFormatting sqref="R148:R153">
    <cfRule type="cellIs" dxfId="22285" priority="2209" operator="lessThan">
      <formula>0.8</formula>
    </cfRule>
    <cfRule type="cellIs" dxfId="22284" priority="2210" operator="greaterThan">
      <formula>1</formula>
    </cfRule>
  </conditionalFormatting>
  <conditionalFormatting sqref="R148:R153">
    <cfRule type="cellIs" dxfId="22283" priority="2207" operator="greaterThan">
      <formula>1</formula>
    </cfRule>
    <cfRule type="cellIs" dxfId="22282" priority="2208" operator="lessThan">
      <formula>0.8</formula>
    </cfRule>
  </conditionalFormatting>
  <conditionalFormatting sqref="P148:P153">
    <cfRule type="cellIs" dxfId="22281" priority="2206" operator="greaterThan">
      <formula>0</formula>
    </cfRule>
  </conditionalFormatting>
  <conditionalFormatting sqref="P148:P153">
    <cfRule type="cellIs" dxfId="22280" priority="2200" operator="greaterThan">
      <formula>0</formula>
    </cfRule>
  </conditionalFormatting>
  <conditionalFormatting sqref="Q148:Q153">
    <cfRule type="cellIs" dxfId="22279" priority="2205" operator="lessThan">
      <formula>0</formula>
    </cfRule>
  </conditionalFormatting>
  <conditionalFormatting sqref="R148:R153">
    <cfRule type="cellIs" dxfId="22278" priority="2203" operator="lessThan">
      <formula>0.8</formula>
    </cfRule>
    <cfRule type="cellIs" dxfId="22277" priority="2204" operator="greaterThan">
      <formula>1</formula>
    </cfRule>
  </conditionalFormatting>
  <conditionalFormatting sqref="R148:R153">
    <cfRule type="cellIs" dxfId="22276" priority="2201" operator="greaterThan">
      <formula>1</formula>
    </cfRule>
    <cfRule type="cellIs" dxfId="22275" priority="2202" operator="lessThan">
      <formula>0.8</formula>
    </cfRule>
  </conditionalFormatting>
  <conditionalFormatting sqref="P148:P153">
    <cfRule type="cellIs" dxfId="22274" priority="2194" operator="greaterThan">
      <formula>0</formula>
    </cfRule>
  </conditionalFormatting>
  <conditionalFormatting sqref="Q148:Q153">
    <cfRule type="cellIs" dxfId="22273" priority="2199" operator="lessThan">
      <formula>0</formula>
    </cfRule>
  </conditionalFormatting>
  <conditionalFormatting sqref="R148:R153">
    <cfRule type="cellIs" dxfId="22272" priority="2197" operator="lessThan">
      <formula>0.8</formula>
    </cfRule>
    <cfRule type="cellIs" dxfId="22271" priority="2198" operator="greaterThan">
      <formula>1</formula>
    </cfRule>
  </conditionalFormatting>
  <conditionalFormatting sqref="R148:R153">
    <cfRule type="cellIs" dxfId="22270" priority="2195" operator="greaterThan">
      <formula>1</formula>
    </cfRule>
    <cfRule type="cellIs" dxfId="22269" priority="2196" operator="lessThan">
      <formula>0.8</formula>
    </cfRule>
  </conditionalFormatting>
  <conditionalFormatting sqref="R148:R153">
    <cfRule type="cellIs" dxfId="22268" priority="2191" operator="lessThan">
      <formula>0.8</formula>
    </cfRule>
    <cfRule type="cellIs" dxfId="22267" priority="2192" operator="greaterThan">
      <formula>1</formula>
    </cfRule>
  </conditionalFormatting>
  <conditionalFormatting sqref="R148:R153">
    <cfRule type="cellIs" dxfId="22266" priority="2189" operator="greaterThan">
      <formula>1</formula>
    </cfRule>
    <cfRule type="cellIs" dxfId="22265" priority="2190" operator="lessThan">
      <formula>0.8</formula>
    </cfRule>
  </conditionalFormatting>
  <conditionalFormatting sqref="P148:P153">
    <cfRule type="cellIs" dxfId="22264" priority="2188" operator="greaterThan">
      <formula>0</formula>
    </cfRule>
  </conditionalFormatting>
  <conditionalFormatting sqref="Q148:Q153">
    <cfRule type="cellIs" dxfId="22263" priority="2193" operator="lessThan">
      <formula>0</formula>
    </cfRule>
  </conditionalFormatting>
  <conditionalFormatting sqref="Q148:Q153">
    <cfRule type="cellIs" dxfId="22262" priority="2187" operator="lessThan">
      <formula>0</formula>
    </cfRule>
  </conditionalFormatting>
  <conditionalFormatting sqref="R148:R153">
    <cfRule type="cellIs" dxfId="22261" priority="2185" operator="lessThan">
      <formula>0.8</formula>
    </cfRule>
    <cfRule type="cellIs" dxfId="22260" priority="2186" operator="greaterThan">
      <formula>1</formula>
    </cfRule>
  </conditionalFormatting>
  <conditionalFormatting sqref="R148:R153">
    <cfRule type="cellIs" dxfId="22259" priority="2183" operator="greaterThan">
      <formula>1</formula>
    </cfRule>
    <cfRule type="cellIs" dxfId="22258" priority="2184" operator="lessThan">
      <formula>0.8</formula>
    </cfRule>
  </conditionalFormatting>
  <conditionalFormatting sqref="P148:P153">
    <cfRule type="cellIs" dxfId="22257" priority="2182" operator="greaterThan">
      <formula>0</formula>
    </cfRule>
  </conditionalFormatting>
  <conditionalFormatting sqref="P148:P153">
    <cfRule type="cellIs" dxfId="22256" priority="2176" operator="greaterThan">
      <formula>0</formula>
    </cfRule>
  </conditionalFormatting>
  <conditionalFormatting sqref="Q148:Q153">
    <cfRule type="cellIs" dxfId="22255" priority="2181" operator="lessThan">
      <formula>0</formula>
    </cfRule>
  </conditionalFormatting>
  <conditionalFormatting sqref="R148:R153">
    <cfRule type="cellIs" dxfId="22254" priority="2179" operator="lessThan">
      <formula>0.8</formula>
    </cfRule>
    <cfRule type="cellIs" dxfId="22253" priority="2180" operator="greaterThan">
      <formula>1</formula>
    </cfRule>
  </conditionalFormatting>
  <conditionalFormatting sqref="R148:R153">
    <cfRule type="cellIs" dxfId="22252" priority="2177" operator="greaterThan">
      <formula>1</formula>
    </cfRule>
    <cfRule type="cellIs" dxfId="22251" priority="2178" operator="lessThan">
      <formula>0.8</formula>
    </cfRule>
  </conditionalFormatting>
  <conditionalFormatting sqref="P148:P153">
    <cfRule type="cellIs" dxfId="22250" priority="2170" operator="greaterThan">
      <formula>0</formula>
    </cfRule>
  </conditionalFormatting>
  <conditionalFormatting sqref="Q148:Q153">
    <cfRule type="cellIs" dxfId="22249" priority="2175" operator="lessThan">
      <formula>0</formula>
    </cfRule>
  </conditionalFormatting>
  <conditionalFormatting sqref="R148:R153">
    <cfRule type="cellIs" dxfId="22248" priority="2173" operator="lessThan">
      <formula>0.8</formula>
    </cfRule>
    <cfRule type="cellIs" dxfId="22247" priority="2174" operator="greaterThan">
      <formula>1</formula>
    </cfRule>
  </conditionalFormatting>
  <conditionalFormatting sqref="R148:R153">
    <cfRule type="cellIs" dxfId="22246" priority="2171" operator="greaterThan">
      <formula>1</formula>
    </cfRule>
    <cfRule type="cellIs" dxfId="22245" priority="2172" operator="lessThan">
      <formula>0.8</formula>
    </cfRule>
  </conditionalFormatting>
  <conditionalFormatting sqref="R148:R153">
    <cfRule type="cellIs" dxfId="22244" priority="2167" operator="lessThan">
      <formula>0.8</formula>
    </cfRule>
    <cfRule type="cellIs" dxfId="22243" priority="2168" operator="greaterThan">
      <formula>1</formula>
    </cfRule>
  </conditionalFormatting>
  <conditionalFormatting sqref="R148:R153">
    <cfRule type="cellIs" dxfId="22242" priority="2165" operator="greaterThan">
      <formula>1</formula>
    </cfRule>
    <cfRule type="cellIs" dxfId="22241" priority="2166" operator="lessThan">
      <formula>0.8</formula>
    </cfRule>
  </conditionalFormatting>
  <conditionalFormatting sqref="P148:P153">
    <cfRule type="cellIs" dxfId="22240" priority="2164" operator="greaterThan">
      <formula>0</formula>
    </cfRule>
  </conditionalFormatting>
  <conditionalFormatting sqref="Q148:Q153">
    <cfRule type="cellIs" dxfId="22239" priority="2169" operator="lessThan">
      <formula>0</formula>
    </cfRule>
  </conditionalFormatting>
  <conditionalFormatting sqref="P148:P153">
    <cfRule type="cellIs" dxfId="22238" priority="2158" operator="greaterThan">
      <formula>0</formula>
    </cfRule>
  </conditionalFormatting>
  <conditionalFormatting sqref="Q148:Q153">
    <cfRule type="cellIs" dxfId="22237" priority="2163" operator="lessThan">
      <formula>0</formula>
    </cfRule>
  </conditionalFormatting>
  <conditionalFormatting sqref="R148:R153">
    <cfRule type="cellIs" dxfId="22236" priority="2161" operator="lessThan">
      <formula>0.8</formula>
    </cfRule>
    <cfRule type="cellIs" dxfId="22235" priority="2162" operator="greaterThan">
      <formula>1</formula>
    </cfRule>
  </conditionalFormatting>
  <conditionalFormatting sqref="R148:R153">
    <cfRule type="cellIs" dxfId="22234" priority="2159" operator="greaterThan">
      <formula>1</formula>
    </cfRule>
    <cfRule type="cellIs" dxfId="22233" priority="2160" operator="lessThan">
      <formula>0.8</formula>
    </cfRule>
  </conditionalFormatting>
  <conditionalFormatting sqref="R148:R153">
    <cfRule type="cellIs" dxfId="22232" priority="2155" operator="lessThan">
      <formula>0.8</formula>
    </cfRule>
    <cfRule type="cellIs" dxfId="22231" priority="2156" operator="greaterThan">
      <formula>1</formula>
    </cfRule>
  </conditionalFormatting>
  <conditionalFormatting sqref="R148:R153">
    <cfRule type="cellIs" dxfId="22230" priority="2153" operator="greaterThan">
      <formula>1</formula>
    </cfRule>
    <cfRule type="cellIs" dxfId="22229" priority="2154" operator="lessThan">
      <formula>0.8</formula>
    </cfRule>
  </conditionalFormatting>
  <conditionalFormatting sqref="P148:P153">
    <cfRule type="cellIs" dxfId="22228" priority="2152" operator="greaterThan">
      <formula>0</formula>
    </cfRule>
  </conditionalFormatting>
  <conditionalFormatting sqref="Q148:Q153">
    <cfRule type="cellIs" dxfId="22227" priority="2157" operator="lessThan">
      <formula>0</formula>
    </cfRule>
  </conditionalFormatting>
  <conditionalFormatting sqref="R148:R153">
    <cfRule type="cellIs" dxfId="22226" priority="2149" operator="lessThan">
      <formula>0.8</formula>
    </cfRule>
    <cfRule type="cellIs" dxfId="22225" priority="2150" operator="greaterThan">
      <formula>1</formula>
    </cfRule>
  </conditionalFormatting>
  <conditionalFormatting sqref="R148:R153">
    <cfRule type="cellIs" dxfId="22224" priority="2147" operator="greaterThan">
      <formula>1</formula>
    </cfRule>
    <cfRule type="cellIs" dxfId="22223" priority="2148" operator="lessThan">
      <formula>0.8</formula>
    </cfRule>
  </conditionalFormatting>
  <conditionalFormatting sqref="P148:P153">
    <cfRule type="cellIs" dxfId="22222" priority="2146" operator="greaterThan">
      <formula>0</formula>
    </cfRule>
  </conditionalFormatting>
  <conditionalFormatting sqref="Q148:Q153">
    <cfRule type="cellIs" dxfId="22221" priority="2151" operator="lessThan">
      <formula>0</formula>
    </cfRule>
  </conditionalFormatting>
  <conditionalFormatting sqref="Q148:Q153">
    <cfRule type="cellIs" dxfId="22220" priority="2145" operator="lessThan">
      <formula>0</formula>
    </cfRule>
  </conditionalFormatting>
  <conditionalFormatting sqref="R148:R153">
    <cfRule type="cellIs" dxfId="22219" priority="2143" operator="lessThan">
      <formula>0.8</formula>
    </cfRule>
    <cfRule type="cellIs" dxfId="22218" priority="2144" operator="greaterThan">
      <formula>1</formula>
    </cfRule>
  </conditionalFormatting>
  <conditionalFormatting sqref="R148:R153">
    <cfRule type="cellIs" dxfId="22217" priority="2141" operator="greaterThan">
      <formula>1</formula>
    </cfRule>
    <cfRule type="cellIs" dxfId="22216" priority="2142" operator="lessThan">
      <formula>0.8</formula>
    </cfRule>
  </conditionalFormatting>
  <conditionalFormatting sqref="P148:P153">
    <cfRule type="cellIs" dxfId="22215" priority="2140" operator="greaterThan">
      <formula>0</formula>
    </cfRule>
  </conditionalFormatting>
  <conditionalFormatting sqref="Q148:Q153">
    <cfRule type="cellIs" dxfId="22214" priority="2134" operator="lessThan">
      <formula>0</formula>
    </cfRule>
  </conditionalFormatting>
  <conditionalFormatting sqref="R148:R153">
    <cfRule type="cellIs" dxfId="22213" priority="2138" operator="lessThan">
      <formula>0.8</formula>
    </cfRule>
    <cfRule type="cellIs" dxfId="22212" priority="2139" operator="greaterThan">
      <formula>1</formula>
    </cfRule>
  </conditionalFormatting>
  <conditionalFormatting sqref="R148:R153">
    <cfRule type="cellIs" dxfId="22211" priority="2136" operator="greaterThan">
      <formula>1</formula>
    </cfRule>
    <cfRule type="cellIs" dxfId="22210" priority="2137" operator="lessThan">
      <formula>0.8</formula>
    </cfRule>
  </conditionalFormatting>
  <conditionalFormatting sqref="P148:P153">
    <cfRule type="cellIs" dxfId="22209" priority="2135" operator="greaterThan">
      <formula>0</formula>
    </cfRule>
  </conditionalFormatting>
  <conditionalFormatting sqref="Q148:Q153">
    <cfRule type="cellIs" dxfId="22208" priority="2133" operator="lessThan">
      <formula>0</formula>
    </cfRule>
  </conditionalFormatting>
  <conditionalFormatting sqref="R148:R153">
    <cfRule type="cellIs" dxfId="22207" priority="2131" operator="lessThan">
      <formula>0.8</formula>
    </cfRule>
    <cfRule type="cellIs" dxfId="22206" priority="2132" operator="greaterThan">
      <formula>1</formula>
    </cfRule>
  </conditionalFormatting>
  <conditionalFormatting sqref="R148:R153">
    <cfRule type="cellIs" dxfId="22205" priority="2129" operator="greaterThan">
      <formula>1</formula>
    </cfRule>
    <cfRule type="cellIs" dxfId="22204" priority="2130" operator="lessThan">
      <formula>0.8</formula>
    </cfRule>
  </conditionalFormatting>
  <conditionalFormatting sqref="P148:P153">
    <cfRule type="cellIs" dxfId="22203" priority="2128" operator="greaterThan">
      <formula>0</formula>
    </cfRule>
  </conditionalFormatting>
  <conditionalFormatting sqref="Q148:Q153">
    <cfRule type="cellIs" dxfId="22202" priority="2127" operator="lessThan">
      <formula>0</formula>
    </cfRule>
  </conditionalFormatting>
  <conditionalFormatting sqref="R148:R153">
    <cfRule type="cellIs" dxfId="22201" priority="2125" operator="lessThan">
      <formula>0.8</formula>
    </cfRule>
    <cfRule type="cellIs" dxfId="22200" priority="2126" operator="greaterThan">
      <formula>1</formula>
    </cfRule>
  </conditionalFormatting>
  <conditionalFormatting sqref="R148:R153">
    <cfRule type="cellIs" dxfId="22199" priority="2123" operator="greaterThan">
      <formula>1</formula>
    </cfRule>
    <cfRule type="cellIs" dxfId="22198" priority="2124" operator="lessThan">
      <formula>0.8</formula>
    </cfRule>
  </conditionalFormatting>
  <conditionalFormatting sqref="P148:P153">
    <cfRule type="cellIs" dxfId="22197" priority="2122" operator="greaterThan">
      <formula>0</formula>
    </cfRule>
  </conditionalFormatting>
  <conditionalFormatting sqref="Q148:Q153">
    <cfRule type="cellIs" dxfId="22196" priority="2121" operator="lessThan">
      <formula>0</formula>
    </cfRule>
  </conditionalFormatting>
  <conditionalFormatting sqref="R148:R153">
    <cfRule type="cellIs" dxfId="22195" priority="2119" operator="lessThan">
      <formula>0.8</formula>
    </cfRule>
    <cfRule type="cellIs" dxfId="22194" priority="2120" operator="greaterThan">
      <formula>1</formula>
    </cfRule>
  </conditionalFormatting>
  <conditionalFormatting sqref="R148:R153">
    <cfRule type="cellIs" dxfId="22193" priority="2117" operator="greaterThan">
      <formula>1</formula>
    </cfRule>
    <cfRule type="cellIs" dxfId="22192" priority="2118" operator="lessThan">
      <formula>0.8</formula>
    </cfRule>
  </conditionalFormatting>
  <conditionalFormatting sqref="P148:P153">
    <cfRule type="cellIs" dxfId="22191" priority="2116" operator="greaterThan">
      <formula>0</formula>
    </cfRule>
  </conditionalFormatting>
  <conditionalFormatting sqref="Q148:Q153">
    <cfRule type="cellIs" dxfId="22190" priority="2115" operator="lessThan">
      <formula>0</formula>
    </cfRule>
  </conditionalFormatting>
  <conditionalFormatting sqref="R148:R153">
    <cfRule type="cellIs" dxfId="22189" priority="2113" operator="lessThan">
      <formula>0.8</formula>
    </cfRule>
    <cfRule type="cellIs" dxfId="22188" priority="2114" operator="greaterThan">
      <formula>1</formula>
    </cfRule>
  </conditionalFormatting>
  <conditionalFormatting sqref="R148:R153">
    <cfRule type="cellIs" dxfId="22187" priority="2111" operator="greaterThan">
      <formula>1</formula>
    </cfRule>
    <cfRule type="cellIs" dxfId="22186" priority="2112" operator="lessThan">
      <formula>0.8</formula>
    </cfRule>
  </conditionalFormatting>
  <conditionalFormatting sqref="P148:P153">
    <cfRule type="cellIs" dxfId="22185" priority="2110" operator="greaterThan">
      <formula>0</formula>
    </cfRule>
  </conditionalFormatting>
  <conditionalFormatting sqref="Q148:Q153">
    <cfRule type="cellIs" dxfId="22184" priority="2109" operator="lessThan">
      <formula>0</formula>
    </cfRule>
  </conditionalFormatting>
  <conditionalFormatting sqref="R148:R153">
    <cfRule type="cellIs" dxfId="22183" priority="2107" operator="lessThan">
      <formula>0.8</formula>
    </cfRule>
    <cfRule type="cellIs" dxfId="22182" priority="2108" operator="greaterThan">
      <formula>1</formula>
    </cfRule>
  </conditionalFormatting>
  <conditionalFormatting sqref="R148:R153">
    <cfRule type="cellIs" dxfId="22181" priority="2105" operator="greaterThan">
      <formula>1</formula>
    </cfRule>
    <cfRule type="cellIs" dxfId="22180" priority="2106" operator="lessThan">
      <formula>0.8</formula>
    </cfRule>
  </conditionalFormatting>
  <conditionalFormatting sqref="P148:P153">
    <cfRule type="cellIs" dxfId="22179" priority="2104" operator="greaterThan">
      <formula>0</formula>
    </cfRule>
  </conditionalFormatting>
  <conditionalFormatting sqref="P148:P153">
    <cfRule type="cellIs" dxfId="22178" priority="2098" operator="greaterThan">
      <formula>0</formula>
    </cfRule>
  </conditionalFormatting>
  <conditionalFormatting sqref="Q148:Q153">
    <cfRule type="cellIs" dxfId="22177" priority="2103" operator="lessThan">
      <formula>0</formula>
    </cfRule>
  </conditionalFormatting>
  <conditionalFormatting sqref="R148:R153">
    <cfRule type="cellIs" dxfId="22176" priority="2101" operator="lessThan">
      <formula>0.8</formula>
    </cfRule>
    <cfRule type="cellIs" dxfId="22175" priority="2102" operator="greaterThan">
      <formula>1</formula>
    </cfRule>
  </conditionalFormatting>
  <conditionalFormatting sqref="R148:R153">
    <cfRule type="cellIs" dxfId="22174" priority="2099" operator="greaterThan">
      <formula>1</formula>
    </cfRule>
    <cfRule type="cellIs" dxfId="22173" priority="2100" operator="lessThan">
      <formula>0.8</formula>
    </cfRule>
  </conditionalFormatting>
  <conditionalFormatting sqref="P148:P153">
    <cfRule type="cellIs" dxfId="22172" priority="2092" operator="greaterThan">
      <formula>0</formula>
    </cfRule>
  </conditionalFormatting>
  <conditionalFormatting sqref="Q148:Q153">
    <cfRule type="cellIs" dxfId="22171" priority="2097" operator="lessThan">
      <formula>0</formula>
    </cfRule>
  </conditionalFormatting>
  <conditionalFormatting sqref="R148:R153">
    <cfRule type="cellIs" dxfId="22170" priority="2095" operator="lessThan">
      <formula>0.8</formula>
    </cfRule>
    <cfRule type="cellIs" dxfId="22169" priority="2096" operator="greaterThan">
      <formula>1</formula>
    </cfRule>
  </conditionalFormatting>
  <conditionalFormatting sqref="R148:R153">
    <cfRule type="cellIs" dxfId="22168" priority="2093" operator="greaterThan">
      <formula>1</formula>
    </cfRule>
    <cfRule type="cellIs" dxfId="22167" priority="2094" operator="lessThan">
      <formula>0.8</formula>
    </cfRule>
  </conditionalFormatting>
  <conditionalFormatting sqref="R148:R153">
    <cfRule type="cellIs" dxfId="22166" priority="2089" operator="lessThan">
      <formula>0.8</formula>
    </cfRule>
    <cfRule type="cellIs" dxfId="22165" priority="2090" operator="greaterThan">
      <formula>1</formula>
    </cfRule>
  </conditionalFormatting>
  <conditionalFormatting sqref="R148:R153">
    <cfRule type="cellIs" dxfId="22164" priority="2087" operator="greaterThan">
      <formula>1</formula>
    </cfRule>
    <cfRule type="cellIs" dxfId="22163" priority="2088" operator="lessThan">
      <formula>0.8</formula>
    </cfRule>
  </conditionalFormatting>
  <conditionalFormatting sqref="P148:P153">
    <cfRule type="cellIs" dxfId="22162" priority="2086" operator="greaterThan">
      <formula>0</formula>
    </cfRule>
  </conditionalFormatting>
  <conditionalFormatting sqref="Q148:Q153">
    <cfRule type="cellIs" dxfId="22161" priority="2091" operator="lessThan">
      <formula>0</formula>
    </cfRule>
  </conditionalFormatting>
  <conditionalFormatting sqref="Q148:Q153">
    <cfRule type="cellIs" dxfId="22160" priority="2080" operator="lessThan">
      <formula>0</formula>
    </cfRule>
  </conditionalFormatting>
  <conditionalFormatting sqref="P148:P153">
    <cfRule type="cellIs" dxfId="22159" priority="2081" operator="greaterThan">
      <formula>0</formula>
    </cfRule>
  </conditionalFormatting>
  <conditionalFormatting sqref="R148:R153">
    <cfRule type="cellIs" dxfId="22158" priority="2084" operator="lessThan">
      <formula>0.8</formula>
    </cfRule>
    <cfRule type="cellIs" dxfId="22157" priority="2085" operator="greaterThan">
      <formula>1</formula>
    </cfRule>
  </conditionalFormatting>
  <conditionalFormatting sqref="R148:R153">
    <cfRule type="cellIs" dxfId="22156" priority="2082" operator="greaterThan">
      <formula>1</formula>
    </cfRule>
    <cfRule type="cellIs" dxfId="22155" priority="2083" operator="lessThan">
      <formula>0.8</formula>
    </cfRule>
  </conditionalFormatting>
  <conditionalFormatting sqref="Q148:Q153">
    <cfRule type="cellIs" dxfId="22154" priority="2074" operator="lessThan">
      <formula>0</formula>
    </cfRule>
  </conditionalFormatting>
  <conditionalFormatting sqref="R148:R153">
    <cfRule type="cellIs" dxfId="22153" priority="2078" operator="lessThan">
      <formula>0.8</formula>
    </cfRule>
    <cfRule type="cellIs" dxfId="22152" priority="2079" operator="greaterThan">
      <formula>1</formula>
    </cfRule>
  </conditionalFormatting>
  <conditionalFormatting sqref="R148:R153">
    <cfRule type="cellIs" dxfId="22151" priority="2076" operator="greaterThan">
      <formula>1</formula>
    </cfRule>
    <cfRule type="cellIs" dxfId="22150" priority="2077" operator="lessThan">
      <formula>0.8</formula>
    </cfRule>
  </conditionalFormatting>
  <conditionalFormatting sqref="P148:P153">
    <cfRule type="cellIs" dxfId="22149" priority="2075" operator="greaterThan">
      <formula>0</formula>
    </cfRule>
  </conditionalFormatting>
  <conditionalFormatting sqref="Q148:Q153">
    <cfRule type="cellIs" dxfId="22148" priority="2073" operator="lessThan">
      <formula>0</formula>
    </cfRule>
  </conditionalFormatting>
  <conditionalFormatting sqref="R148:R153">
    <cfRule type="cellIs" dxfId="22147" priority="2071" operator="lessThan">
      <formula>0.8</formula>
    </cfRule>
    <cfRule type="cellIs" dxfId="22146" priority="2072" operator="greaterThan">
      <formula>1</formula>
    </cfRule>
  </conditionalFormatting>
  <conditionalFormatting sqref="R148:R153">
    <cfRule type="cellIs" dxfId="22145" priority="2069" operator="greaterThan">
      <formula>1</formula>
    </cfRule>
    <cfRule type="cellIs" dxfId="22144" priority="2070" operator="lessThan">
      <formula>0.8</formula>
    </cfRule>
  </conditionalFormatting>
  <conditionalFormatting sqref="P148:P153">
    <cfRule type="cellIs" dxfId="22143" priority="2068" operator="greaterThan">
      <formula>0</formula>
    </cfRule>
  </conditionalFormatting>
  <conditionalFormatting sqref="Q148:Q153">
    <cfRule type="cellIs" dxfId="22142" priority="2067" operator="lessThan">
      <formula>0</formula>
    </cfRule>
  </conditionalFormatting>
  <conditionalFormatting sqref="R148:R153">
    <cfRule type="cellIs" dxfId="22141" priority="2065" operator="lessThan">
      <formula>0.8</formula>
    </cfRule>
    <cfRule type="cellIs" dxfId="22140" priority="2066" operator="greaterThan">
      <formula>1</formula>
    </cfRule>
  </conditionalFormatting>
  <conditionalFormatting sqref="R148:R153">
    <cfRule type="cellIs" dxfId="22139" priority="2063" operator="greaterThan">
      <formula>1</formula>
    </cfRule>
    <cfRule type="cellIs" dxfId="22138" priority="2064" operator="lessThan">
      <formula>0.8</formula>
    </cfRule>
  </conditionalFormatting>
  <conditionalFormatting sqref="P148:P153">
    <cfRule type="cellIs" dxfId="22137" priority="2062" operator="greaterThan">
      <formula>0</formula>
    </cfRule>
  </conditionalFormatting>
  <conditionalFormatting sqref="Q148:Q153">
    <cfRule type="cellIs" dxfId="22136" priority="2061" operator="lessThan">
      <formula>0</formula>
    </cfRule>
  </conditionalFormatting>
  <conditionalFormatting sqref="R148:R153">
    <cfRule type="cellIs" dxfId="22135" priority="2059" operator="lessThan">
      <formula>0.8</formula>
    </cfRule>
    <cfRule type="cellIs" dxfId="22134" priority="2060" operator="greaterThan">
      <formula>1</formula>
    </cfRule>
  </conditionalFormatting>
  <conditionalFormatting sqref="R148:R153">
    <cfRule type="cellIs" dxfId="22133" priority="2057" operator="greaterThan">
      <formula>1</formula>
    </cfRule>
    <cfRule type="cellIs" dxfId="22132" priority="2058" operator="lessThan">
      <formula>0.8</formula>
    </cfRule>
  </conditionalFormatting>
  <conditionalFormatting sqref="P148:P153">
    <cfRule type="cellIs" dxfId="22131" priority="2056" operator="greaterThan">
      <formula>0</formula>
    </cfRule>
  </conditionalFormatting>
  <conditionalFormatting sqref="Q148:Q153">
    <cfRule type="cellIs" dxfId="22130" priority="2055" operator="lessThan">
      <formula>0</formula>
    </cfRule>
  </conditionalFormatting>
  <conditionalFormatting sqref="R148:R153">
    <cfRule type="cellIs" dxfId="22129" priority="2053" operator="lessThan">
      <formula>0.8</formula>
    </cfRule>
    <cfRule type="cellIs" dxfId="22128" priority="2054" operator="greaterThan">
      <formula>1</formula>
    </cfRule>
  </conditionalFormatting>
  <conditionalFormatting sqref="R148:R153">
    <cfRule type="cellIs" dxfId="22127" priority="2051" operator="greaterThan">
      <formula>1</formula>
    </cfRule>
    <cfRule type="cellIs" dxfId="22126" priority="2052" operator="lessThan">
      <formula>0.8</formula>
    </cfRule>
  </conditionalFormatting>
  <conditionalFormatting sqref="P148:P153">
    <cfRule type="cellIs" dxfId="22125" priority="2050" operator="greaterThan">
      <formula>0</formula>
    </cfRule>
  </conditionalFormatting>
  <conditionalFormatting sqref="Q124 Q131 Q127">
    <cfRule type="cellIs" dxfId="22124" priority="2044" operator="lessThan">
      <formula>0</formula>
    </cfRule>
  </conditionalFormatting>
  <conditionalFormatting sqref="P124 P131 P127">
    <cfRule type="cellIs" dxfId="22123" priority="2045" operator="greaterThan">
      <formula>0</formula>
    </cfRule>
  </conditionalFormatting>
  <conditionalFormatting sqref="R124 R131 R127">
    <cfRule type="cellIs" dxfId="22122" priority="2048" operator="lessThan">
      <formula>0.8</formula>
    </cfRule>
    <cfRule type="cellIs" dxfId="22121" priority="2049" operator="greaterThan">
      <formula>1</formula>
    </cfRule>
  </conditionalFormatting>
  <conditionalFormatting sqref="R124 R131 R127">
    <cfRule type="cellIs" dxfId="22120" priority="2046" operator="greaterThan">
      <formula>1</formula>
    </cfRule>
    <cfRule type="cellIs" dxfId="22119" priority="2047" operator="lessThan">
      <formula>0.8</formula>
    </cfRule>
  </conditionalFormatting>
  <conditionalFormatting sqref="Q124 Q131 Q127">
    <cfRule type="cellIs" dxfId="22118" priority="2038" operator="lessThan">
      <formula>0</formula>
    </cfRule>
  </conditionalFormatting>
  <conditionalFormatting sqref="R124 R131 R127">
    <cfRule type="cellIs" dxfId="22117" priority="2042" operator="lessThan">
      <formula>0.8</formula>
    </cfRule>
    <cfRule type="cellIs" dxfId="22116" priority="2043" operator="greaterThan">
      <formula>1</formula>
    </cfRule>
  </conditionalFormatting>
  <conditionalFormatting sqref="R124 R131 R127">
    <cfRule type="cellIs" dxfId="22115" priority="2040" operator="greaterThan">
      <formula>1</formula>
    </cfRule>
    <cfRule type="cellIs" dxfId="22114" priority="2041" operator="lessThan">
      <formula>0.8</formula>
    </cfRule>
  </conditionalFormatting>
  <conditionalFormatting sqref="P124 P131 P127">
    <cfRule type="cellIs" dxfId="22113" priority="2039" operator="greaterThan">
      <formula>0</formula>
    </cfRule>
  </conditionalFormatting>
  <conditionalFormatting sqref="Q124 Q131 Q127">
    <cfRule type="cellIs" dxfId="22112" priority="2037" operator="lessThan">
      <formula>0</formula>
    </cfRule>
  </conditionalFormatting>
  <conditionalFormatting sqref="R124 R131 R127">
    <cfRule type="cellIs" dxfId="22111" priority="2035" operator="lessThan">
      <formula>0.8</formula>
    </cfRule>
    <cfRule type="cellIs" dxfId="22110" priority="2036" operator="greaterThan">
      <formula>1</formula>
    </cfRule>
  </conditionalFormatting>
  <conditionalFormatting sqref="R124 R131 R127">
    <cfRule type="cellIs" dxfId="22109" priority="2033" operator="greaterThan">
      <formula>1</formula>
    </cfRule>
    <cfRule type="cellIs" dxfId="22108" priority="2034" operator="lessThan">
      <formula>0.8</formula>
    </cfRule>
  </conditionalFormatting>
  <conditionalFormatting sqref="P124 P131 P127">
    <cfRule type="cellIs" dxfId="22107" priority="2032" operator="greaterThan">
      <formula>0</formula>
    </cfRule>
  </conditionalFormatting>
  <conditionalFormatting sqref="Q124 Q131 Q127">
    <cfRule type="cellIs" dxfId="22106" priority="2031" operator="lessThan">
      <formula>0</formula>
    </cfRule>
  </conditionalFormatting>
  <conditionalFormatting sqref="R124 R131 R127">
    <cfRule type="cellIs" dxfId="22105" priority="2029" operator="lessThan">
      <formula>0.8</formula>
    </cfRule>
    <cfRule type="cellIs" dxfId="22104" priority="2030" operator="greaterThan">
      <formula>1</formula>
    </cfRule>
  </conditionalFormatting>
  <conditionalFormatting sqref="R124 R131 R127">
    <cfRule type="cellIs" dxfId="22103" priority="2027" operator="greaterThan">
      <formula>1</formula>
    </cfRule>
    <cfRule type="cellIs" dxfId="22102" priority="2028" operator="lessThan">
      <formula>0.8</formula>
    </cfRule>
  </conditionalFormatting>
  <conditionalFormatting sqref="P124 P131 P127">
    <cfRule type="cellIs" dxfId="22101" priority="2026" operator="greaterThan">
      <formula>0</formula>
    </cfRule>
  </conditionalFormatting>
  <conditionalFormatting sqref="Q124 Q131 Q127">
    <cfRule type="cellIs" dxfId="22100" priority="2025" operator="lessThan">
      <formula>0</formula>
    </cfRule>
  </conditionalFormatting>
  <conditionalFormatting sqref="R124 R131 R127">
    <cfRule type="cellIs" dxfId="22099" priority="2023" operator="lessThan">
      <formula>0.8</formula>
    </cfRule>
    <cfRule type="cellIs" dxfId="22098" priority="2024" operator="greaterThan">
      <formula>1</formula>
    </cfRule>
  </conditionalFormatting>
  <conditionalFormatting sqref="R124 R131 R127">
    <cfRule type="cellIs" dxfId="22097" priority="2021" operator="greaterThan">
      <formula>1</formula>
    </cfRule>
    <cfRule type="cellIs" dxfId="22096" priority="2022" operator="lessThan">
      <formula>0.8</formula>
    </cfRule>
  </conditionalFormatting>
  <conditionalFormatting sqref="P124 P131 P127">
    <cfRule type="cellIs" dxfId="22095" priority="2020" operator="greaterThan">
      <formula>0</formula>
    </cfRule>
  </conditionalFormatting>
  <conditionalFormatting sqref="Q124 Q131 Q127">
    <cfRule type="cellIs" dxfId="22094" priority="2019" operator="lessThan">
      <formula>0</formula>
    </cfRule>
  </conditionalFormatting>
  <conditionalFormatting sqref="R124 R131 R127">
    <cfRule type="cellIs" dxfId="22093" priority="2017" operator="lessThan">
      <formula>0.8</formula>
    </cfRule>
    <cfRule type="cellIs" dxfId="22092" priority="2018" operator="greaterThan">
      <formula>1</formula>
    </cfRule>
  </conditionalFormatting>
  <conditionalFormatting sqref="R124 R131 R127">
    <cfRule type="cellIs" dxfId="22091" priority="2015" operator="greaterThan">
      <formula>1</formula>
    </cfRule>
    <cfRule type="cellIs" dxfId="22090" priority="2016" operator="lessThan">
      <formula>0.8</formula>
    </cfRule>
  </conditionalFormatting>
  <conditionalFormatting sqref="P124 P131 P127">
    <cfRule type="cellIs" dxfId="22089" priority="2014" operator="greaterThan">
      <formula>0</formula>
    </cfRule>
  </conditionalFormatting>
  <conditionalFormatting sqref="Q124 Q131 Q127">
    <cfRule type="cellIs" dxfId="22088" priority="2013" operator="lessThan">
      <formula>0</formula>
    </cfRule>
  </conditionalFormatting>
  <conditionalFormatting sqref="R124 R131 R127">
    <cfRule type="cellIs" dxfId="22087" priority="2011" operator="lessThan">
      <formula>0.8</formula>
    </cfRule>
    <cfRule type="cellIs" dxfId="22086" priority="2012" operator="greaterThan">
      <formula>1</formula>
    </cfRule>
  </conditionalFormatting>
  <conditionalFormatting sqref="R124 R131 R127">
    <cfRule type="cellIs" dxfId="22085" priority="2009" operator="greaterThan">
      <formula>1</formula>
    </cfRule>
    <cfRule type="cellIs" dxfId="22084" priority="2010" operator="lessThan">
      <formula>0.8</formula>
    </cfRule>
  </conditionalFormatting>
  <conditionalFormatting sqref="P124 P131 P127">
    <cfRule type="cellIs" dxfId="22083" priority="2008" operator="greaterThan">
      <formula>0</formula>
    </cfRule>
  </conditionalFormatting>
  <conditionalFormatting sqref="Q124 Q131 Q127">
    <cfRule type="cellIs" dxfId="22082" priority="2007" operator="lessThan">
      <formula>0</formula>
    </cfRule>
  </conditionalFormatting>
  <conditionalFormatting sqref="R124 R131 R127">
    <cfRule type="cellIs" dxfId="22081" priority="2005" operator="lessThan">
      <formula>0.8</formula>
    </cfRule>
    <cfRule type="cellIs" dxfId="22080" priority="2006" operator="greaterThan">
      <formula>1</formula>
    </cfRule>
  </conditionalFormatting>
  <conditionalFormatting sqref="R124 R131 R127">
    <cfRule type="cellIs" dxfId="22079" priority="2003" operator="greaterThan">
      <formula>1</formula>
    </cfRule>
    <cfRule type="cellIs" dxfId="22078" priority="2004" operator="lessThan">
      <formula>0.8</formula>
    </cfRule>
  </conditionalFormatting>
  <conditionalFormatting sqref="P124 P131 P127">
    <cfRule type="cellIs" dxfId="22077" priority="2002" operator="greaterThan">
      <formula>0</formula>
    </cfRule>
  </conditionalFormatting>
  <conditionalFormatting sqref="Q124 Q131 Q127">
    <cfRule type="cellIs" dxfId="22076" priority="2001" operator="lessThan">
      <formula>0</formula>
    </cfRule>
  </conditionalFormatting>
  <conditionalFormatting sqref="R124 R131 R127">
    <cfRule type="cellIs" dxfId="22075" priority="1999" operator="lessThan">
      <formula>0.8</formula>
    </cfRule>
    <cfRule type="cellIs" dxfId="22074" priority="2000" operator="greaterThan">
      <formula>1</formula>
    </cfRule>
  </conditionalFormatting>
  <conditionalFormatting sqref="R124 R131 R127">
    <cfRule type="cellIs" dxfId="22073" priority="1997" operator="greaterThan">
      <formula>1</formula>
    </cfRule>
    <cfRule type="cellIs" dxfId="22072" priority="1998" operator="lessThan">
      <formula>0.8</formula>
    </cfRule>
  </conditionalFormatting>
  <conditionalFormatting sqref="P124 P131 P127">
    <cfRule type="cellIs" dxfId="22071" priority="1996" operator="greaterThan">
      <formula>0</formula>
    </cfRule>
  </conditionalFormatting>
  <conditionalFormatting sqref="P124 P131 P127">
    <cfRule type="cellIs" dxfId="22070" priority="1990" operator="greaterThan">
      <formula>0</formula>
    </cfRule>
  </conditionalFormatting>
  <conditionalFormatting sqref="Q124 Q131 Q127">
    <cfRule type="cellIs" dxfId="22069" priority="1995" operator="lessThan">
      <formula>0</formula>
    </cfRule>
  </conditionalFormatting>
  <conditionalFormatting sqref="R124 R131 R127">
    <cfRule type="cellIs" dxfId="22068" priority="1993" operator="lessThan">
      <formula>0.8</formula>
    </cfRule>
    <cfRule type="cellIs" dxfId="22067" priority="1994" operator="greaterThan">
      <formula>1</formula>
    </cfRule>
  </conditionalFormatting>
  <conditionalFormatting sqref="R124 R131 R127">
    <cfRule type="cellIs" dxfId="22066" priority="1991" operator="greaterThan">
      <formula>1</formula>
    </cfRule>
    <cfRule type="cellIs" dxfId="22065" priority="1992" operator="lessThan">
      <formula>0.8</formula>
    </cfRule>
  </conditionalFormatting>
  <conditionalFormatting sqref="P124 P131 P127">
    <cfRule type="cellIs" dxfId="22064" priority="1984" operator="greaterThan">
      <formula>0</formula>
    </cfRule>
  </conditionalFormatting>
  <conditionalFormatting sqref="Q124 Q131 Q127">
    <cfRule type="cellIs" dxfId="22063" priority="1989" operator="lessThan">
      <formula>0</formula>
    </cfRule>
  </conditionalFormatting>
  <conditionalFormatting sqref="R124 R131 R127">
    <cfRule type="cellIs" dxfId="22062" priority="1987" operator="lessThan">
      <formula>0.8</formula>
    </cfRule>
    <cfRule type="cellIs" dxfId="22061" priority="1988" operator="greaterThan">
      <formula>1</formula>
    </cfRule>
  </conditionalFormatting>
  <conditionalFormatting sqref="R124 R131 R127">
    <cfRule type="cellIs" dxfId="22060" priority="1985" operator="greaterThan">
      <formula>1</formula>
    </cfRule>
    <cfRule type="cellIs" dxfId="22059" priority="1986" operator="lessThan">
      <formula>0.8</formula>
    </cfRule>
  </conditionalFormatting>
  <conditionalFormatting sqref="R124 R131 R127">
    <cfRule type="cellIs" dxfId="22058" priority="1981" operator="lessThan">
      <formula>0.8</formula>
    </cfRule>
    <cfRule type="cellIs" dxfId="22057" priority="1982" operator="greaterThan">
      <formula>1</formula>
    </cfRule>
  </conditionalFormatting>
  <conditionalFormatting sqref="R124 R131 R127">
    <cfRule type="cellIs" dxfId="22056" priority="1979" operator="greaterThan">
      <formula>1</formula>
    </cfRule>
    <cfRule type="cellIs" dxfId="22055" priority="1980" operator="lessThan">
      <formula>0.8</formula>
    </cfRule>
  </conditionalFormatting>
  <conditionalFormatting sqref="P124 P131 P127">
    <cfRule type="cellIs" dxfId="22054" priority="1978" operator="greaterThan">
      <formula>0</formula>
    </cfRule>
  </conditionalFormatting>
  <conditionalFormatting sqref="Q124 Q131 Q127">
    <cfRule type="cellIs" dxfId="22053" priority="1983" operator="lessThan">
      <formula>0</formula>
    </cfRule>
  </conditionalFormatting>
  <conditionalFormatting sqref="Q124 Q131 Q127">
    <cfRule type="cellIs" dxfId="22052" priority="1977" operator="lessThan">
      <formula>0</formula>
    </cfRule>
  </conditionalFormatting>
  <conditionalFormatting sqref="R124 R131 R127">
    <cfRule type="cellIs" dxfId="22051" priority="1975" operator="lessThan">
      <formula>0.8</formula>
    </cfRule>
    <cfRule type="cellIs" dxfId="22050" priority="1976" operator="greaterThan">
      <formula>1</formula>
    </cfRule>
  </conditionalFormatting>
  <conditionalFormatting sqref="R124 R131 R127">
    <cfRule type="cellIs" dxfId="22049" priority="1973" operator="greaterThan">
      <formula>1</formula>
    </cfRule>
    <cfRule type="cellIs" dxfId="22048" priority="1974" operator="lessThan">
      <formula>0.8</formula>
    </cfRule>
  </conditionalFormatting>
  <conditionalFormatting sqref="P124 P131 P127">
    <cfRule type="cellIs" dxfId="22047" priority="1972" operator="greaterThan">
      <formula>0</formula>
    </cfRule>
  </conditionalFormatting>
  <conditionalFormatting sqref="P124 P131 P127">
    <cfRule type="cellIs" dxfId="22046" priority="1966" operator="greaterThan">
      <formula>0</formula>
    </cfRule>
  </conditionalFormatting>
  <conditionalFormatting sqref="Q124 Q131 Q127">
    <cfRule type="cellIs" dxfId="22045" priority="1971" operator="lessThan">
      <formula>0</formula>
    </cfRule>
  </conditionalFormatting>
  <conditionalFormatting sqref="R124 R131 R127">
    <cfRule type="cellIs" dxfId="22044" priority="1969" operator="lessThan">
      <formula>0.8</formula>
    </cfRule>
    <cfRule type="cellIs" dxfId="22043" priority="1970" operator="greaterThan">
      <formula>1</formula>
    </cfRule>
  </conditionalFormatting>
  <conditionalFormatting sqref="R124 R131 R127">
    <cfRule type="cellIs" dxfId="22042" priority="1967" operator="greaterThan">
      <formula>1</formula>
    </cfRule>
    <cfRule type="cellIs" dxfId="22041" priority="1968" operator="lessThan">
      <formula>0.8</formula>
    </cfRule>
  </conditionalFormatting>
  <conditionalFormatting sqref="P124 P131 P127">
    <cfRule type="cellIs" dxfId="22040" priority="1960" operator="greaterThan">
      <formula>0</formula>
    </cfRule>
  </conditionalFormatting>
  <conditionalFormatting sqref="Q124 Q131 Q127">
    <cfRule type="cellIs" dxfId="22039" priority="1965" operator="lessThan">
      <formula>0</formula>
    </cfRule>
  </conditionalFormatting>
  <conditionalFormatting sqref="R124 R131 R127">
    <cfRule type="cellIs" dxfId="22038" priority="1963" operator="lessThan">
      <formula>0.8</formula>
    </cfRule>
    <cfRule type="cellIs" dxfId="22037" priority="1964" operator="greaterThan">
      <formula>1</formula>
    </cfRule>
  </conditionalFormatting>
  <conditionalFormatting sqref="R124 R131 R127">
    <cfRule type="cellIs" dxfId="22036" priority="1961" operator="greaterThan">
      <formula>1</formula>
    </cfRule>
    <cfRule type="cellIs" dxfId="22035" priority="1962" operator="lessThan">
      <formula>0.8</formula>
    </cfRule>
  </conditionalFormatting>
  <conditionalFormatting sqref="R124 R131 R127">
    <cfRule type="cellIs" dxfId="22034" priority="1957" operator="lessThan">
      <formula>0.8</formula>
    </cfRule>
    <cfRule type="cellIs" dxfId="22033" priority="1958" operator="greaterThan">
      <formula>1</formula>
    </cfRule>
  </conditionalFormatting>
  <conditionalFormatting sqref="R124 R131 R127">
    <cfRule type="cellIs" dxfId="22032" priority="1955" operator="greaterThan">
      <formula>1</formula>
    </cfRule>
    <cfRule type="cellIs" dxfId="22031" priority="1956" operator="lessThan">
      <formula>0.8</formula>
    </cfRule>
  </conditionalFormatting>
  <conditionalFormatting sqref="P124 P131 P127">
    <cfRule type="cellIs" dxfId="22030" priority="1954" operator="greaterThan">
      <formula>0</formula>
    </cfRule>
  </conditionalFormatting>
  <conditionalFormatting sqref="Q124 Q131 Q127">
    <cfRule type="cellIs" dxfId="22029" priority="1959" operator="lessThan">
      <formula>0</formula>
    </cfRule>
  </conditionalFormatting>
  <conditionalFormatting sqref="P124 P131 P127">
    <cfRule type="cellIs" dxfId="22028" priority="1948" operator="greaterThan">
      <formula>0</formula>
    </cfRule>
  </conditionalFormatting>
  <conditionalFormatting sqref="Q124 Q131 Q127">
    <cfRule type="cellIs" dxfId="22027" priority="1953" operator="lessThan">
      <formula>0</formula>
    </cfRule>
  </conditionalFormatting>
  <conditionalFormatting sqref="R124 R131 R127">
    <cfRule type="cellIs" dxfId="22026" priority="1951" operator="lessThan">
      <formula>0.8</formula>
    </cfRule>
    <cfRule type="cellIs" dxfId="22025" priority="1952" operator="greaterThan">
      <formula>1</formula>
    </cfRule>
  </conditionalFormatting>
  <conditionalFormatting sqref="R124 R131 R127">
    <cfRule type="cellIs" dxfId="22024" priority="1949" operator="greaterThan">
      <formula>1</formula>
    </cfRule>
    <cfRule type="cellIs" dxfId="22023" priority="1950" operator="lessThan">
      <formula>0.8</formula>
    </cfRule>
  </conditionalFormatting>
  <conditionalFormatting sqref="R124 R131 R127">
    <cfRule type="cellIs" dxfId="22022" priority="1945" operator="lessThan">
      <formula>0.8</formula>
    </cfRule>
    <cfRule type="cellIs" dxfId="22021" priority="1946" operator="greaterThan">
      <formula>1</formula>
    </cfRule>
  </conditionalFormatting>
  <conditionalFormatting sqref="R124 R131 R127">
    <cfRule type="cellIs" dxfId="22020" priority="1943" operator="greaterThan">
      <formula>1</formula>
    </cfRule>
    <cfRule type="cellIs" dxfId="22019" priority="1944" operator="lessThan">
      <formula>0.8</formula>
    </cfRule>
  </conditionalFormatting>
  <conditionalFormatting sqref="P124 P131 P127">
    <cfRule type="cellIs" dxfId="22018" priority="1942" operator="greaterThan">
      <formula>0</formula>
    </cfRule>
  </conditionalFormatting>
  <conditionalFormatting sqref="Q124 Q131 Q127">
    <cfRule type="cellIs" dxfId="22017" priority="1947" operator="lessThan">
      <formula>0</formula>
    </cfRule>
  </conditionalFormatting>
  <conditionalFormatting sqref="R124 R131 R127">
    <cfRule type="cellIs" dxfId="22016" priority="1939" operator="lessThan">
      <formula>0.8</formula>
    </cfRule>
    <cfRule type="cellIs" dxfId="22015" priority="1940" operator="greaterThan">
      <formula>1</formula>
    </cfRule>
  </conditionalFormatting>
  <conditionalFormatting sqref="R124 R131 R127">
    <cfRule type="cellIs" dxfId="22014" priority="1937" operator="greaterThan">
      <formula>1</formula>
    </cfRule>
    <cfRule type="cellIs" dxfId="22013" priority="1938" operator="lessThan">
      <formula>0.8</formula>
    </cfRule>
  </conditionalFormatting>
  <conditionalFormatting sqref="P124 P131 P127">
    <cfRule type="cellIs" dxfId="22012" priority="1936" operator="greaterThan">
      <formula>0</formula>
    </cfRule>
  </conditionalFormatting>
  <conditionalFormatting sqref="Q124 Q131 Q127">
    <cfRule type="cellIs" dxfId="22011" priority="1941" operator="lessThan">
      <formula>0</formula>
    </cfRule>
  </conditionalFormatting>
  <conditionalFormatting sqref="Q124 Q131 Q127">
    <cfRule type="cellIs" dxfId="22010" priority="1935" operator="lessThan">
      <formula>0</formula>
    </cfRule>
  </conditionalFormatting>
  <conditionalFormatting sqref="R124 R131 R127">
    <cfRule type="cellIs" dxfId="22009" priority="1933" operator="lessThan">
      <formula>0.8</formula>
    </cfRule>
    <cfRule type="cellIs" dxfId="22008" priority="1934" operator="greaterThan">
      <formula>1</formula>
    </cfRule>
  </conditionalFormatting>
  <conditionalFormatting sqref="R124 R131 R127">
    <cfRule type="cellIs" dxfId="22007" priority="1931" operator="greaterThan">
      <formula>1</formula>
    </cfRule>
    <cfRule type="cellIs" dxfId="22006" priority="1932" operator="lessThan">
      <formula>0.8</formula>
    </cfRule>
  </conditionalFormatting>
  <conditionalFormatting sqref="P124 P131 P127">
    <cfRule type="cellIs" dxfId="22005" priority="1930" operator="greaterThan">
      <formula>0</formula>
    </cfRule>
  </conditionalFormatting>
  <conditionalFormatting sqref="Q124 Q131 Q127">
    <cfRule type="cellIs" dxfId="22004" priority="1924" operator="lessThan">
      <formula>0</formula>
    </cfRule>
  </conditionalFormatting>
  <conditionalFormatting sqref="R124 R131 R127">
    <cfRule type="cellIs" dxfId="22003" priority="1928" operator="lessThan">
      <formula>0.8</formula>
    </cfRule>
    <cfRule type="cellIs" dxfId="22002" priority="1929" operator="greaterThan">
      <formula>1</formula>
    </cfRule>
  </conditionalFormatting>
  <conditionalFormatting sqref="R124 R131 R127">
    <cfRule type="cellIs" dxfId="22001" priority="1926" operator="greaterThan">
      <formula>1</formula>
    </cfRule>
    <cfRule type="cellIs" dxfId="22000" priority="1927" operator="lessThan">
      <formula>0.8</formula>
    </cfRule>
  </conditionalFormatting>
  <conditionalFormatting sqref="P124 P131 P127">
    <cfRule type="cellIs" dxfId="21999" priority="1925" operator="greaterThan">
      <formula>0</formula>
    </cfRule>
  </conditionalFormatting>
  <conditionalFormatting sqref="Q124 Q131 Q127">
    <cfRule type="cellIs" dxfId="21998" priority="1923" operator="lessThan">
      <formula>0</formula>
    </cfRule>
  </conditionalFormatting>
  <conditionalFormatting sqref="R124 R131 R127">
    <cfRule type="cellIs" dxfId="21997" priority="1921" operator="lessThan">
      <formula>0.8</formula>
    </cfRule>
    <cfRule type="cellIs" dxfId="21996" priority="1922" operator="greaterThan">
      <formula>1</formula>
    </cfRule>
  </conditionalFormatting>
  <conditionalFormatting sqref="R124 R131 R127">
    <cfRule type="cellIs" dxfId="21995" priority="1919" operator="greaterThan">
      <formula>1</formula>
    </cfRule>
    <cfRule type="cellIs" dxfId="21994" priority="1920" operator="lessThan">
      <formula>0.8</formula>
    </cfRule>
  </conditionalFormatting>
  <conditionalFormatting sqref="P124 P131 P127">
    <cfRule type="cellIs" dxfId="21993" priority="1918" operator="greaterThan">
      <formula>0</formula>
    </cfRule>
  </conditionalFormatting>
  <conditionalFormatting sqref="Q124 Q131 Q127">
    <cfRule type="cellIs" dxfId="21992" priority="1917" operator="lessThan">
      <formula>0</formula>
    </cfRule>
  </conditionalFormatting>
  <conditionalFormatting sqref="R124 R131 R127">
    <cfRule type="cellIs" dxfId="21991" priority="1915" operator="lessThan">
      <formula>0.8</formula>
    </cfRule>
    <cfRule type="cellIs" dxfId="21990" priority="1916" operator="greaterThan">
      <formula>1</formula>
    </cfRule>
  </conditionalFormatting>
  <conditionalFormatting sqref="R124 R131 R127">
    <cfRule type="cellIs" dxfId="21989" priority="1913" operator="greaterThan">
      <formula>1</formula>
    </cfRule>
    <cfRule type="cellIs" dxfId="21988" priority="1914" operator="lessThan">
      <formula>0.8</formula>
    </cfRule>
  </conditionalFormatting>
  <conditionalFormatting sqref="P124 P131 P127">
    <cfRule type="cellIs" dxfId="21987" priority="1912" operator="greaterThan">
      <formula>0</formula>
    </cfRule>
  </conditionalFormatting>
  <conditionalFormatting sqref="Q124 Q131 Q127">
    <cfRule type="cellIs" dxfId="21986" priority="1911" operator="lessThan">
      <formula>0</formula>
    </cfRule>
  </conditionalFormatting>
  <conditionalFormatting sqref="R124 R131 R127">
    <cfRule type="cellIs" dxfId="21985" priority="1909" operator="lessThan">
      <formula>0.8</formula>
    </cfRule>
    <cfRule type="cellIs" dxfId="21984" priority="1910" operator="greaterThan">
      <formula>1</formula>
    </cfRule>
  </conditionalFormatting>
  <conditionalFormatting sqref="R124 R131 R127">
    <cfRule type="cellIs" dxfId="21983" priority="1907" operator="greaterThan">
      <formula>1</formula>
    </cfRule>
    <cfRule type="cellIs" dxfId="21982" priority="1908" operator="lessThan">
      <formula>0.8</formula>
    </cfRule>
  </conditionalFormatting>
  <conditionalFormatting sqref="P124 P131 P127">
    <cfRule type="cellIs" dxfId="21981" priority="1906" operator="greaterThan">
      <formula>0</formula>
    </cfRule>
  </conditionalFormatting>
  <conditionalFormatting sqref="Q124 Q131 Q127">
    <cfRule type="cellIs" dxfId="21980" priority="1905" operator="lessThan">
      <formula>0</formula>
    </cfRule>
  </conditionalFormatting>
  <conditionalFormatting sqref="R124 R131 R127">
    <cfRule type="cellIs" dxfId="21979" priority="1903" operator="lessThan">
      <formula>0.8</formula>
    </cfRule>
    <cfRule type="cellIs" dxfId="21978" priority="1904" operator="greaterThan">
      <formula>1</formula>
    </cfRule>
  </conditionalFormatting>
  <conditionalFormatting sqref="R124 R131 R127">
    <cfRule type="cellIs" dxfId="21977" priority="1901" operator="greaterThan">
      <formula>1</formula>
    </cfRule>
    <cfRule type="cellIs" dxfId="21976" priority="1902" operator="lessThan">
      <formula>0.8</formula>
    </cfRule>
  </conditionalFormatting>
  <conditionalFormatting sqref="P124 P131 P127">
    <cfRule type="cellIs" dxfId="21975" priority="1900" operator="greaterThan">
      <formula>0</formula>
    </cfRule>
  </conditionalFormatting>
  <conditionalFormatting sqref="Q124 Q131 Q127">
    <cfRule type="cellIs" dxfId="21974" priority="1899" operator="lessThan">
      <formula>0</formula>
    </cfRule>
  </conditionalFormatting>
  <conditionalFormatting sqref="R124 R131 R127">
    <cfRule type="cellIs" dxfId="21973" priority="1897" operator="lessThan">
      <formula>0.8</formula>
    </cfRule>
    <cfRule type="cellIs" dxfId="21972" priority="1898" operator="greaterThan">
      <formula>1</formula>
    </cfRule>
  </conditionalFormatting>
  <conditionalFormatting sqref="R124 R131 R127">
    <cfRule type="cellIs" dxfId="21971" priority="1895" operator="greaterThan">
      <formula>1</formula>
    </cfRule>
    <cfRule type="cellIs" dxfId="21970" priority="1896" operator="lessThan">
      <formula>0.8</formula>
    </cfRule>
  </conditionalFormatting>
  <conditionalFormatting sqref="P124 P131 P127">
    <cfRule type="cellIs" dxfId="21969" priority="1894" operator="greaterThan">
      <formula>0</formula>
    </cfRule>
  </conditionalFormatting>
  <conditionalFormatting sqref="P124 P131 P127">
    <cfRule type="cellIs" dxfId="21968" priority="1888" operator="greaterThan">
      <formula>0</formula>
    </cfRule>
  </conditionalFormatting>
  <conditionalFormatting sqref="Q124 Q131 Q127">
    <cfRule type="cellIs" dxfId="21967" priority="1893" operator="lessThan">
      <formula>0</formula>
    </cfRule>
  </conditionalFormatting>
  <conditionalFormatting sqref="R124 R131 R127">
    <cfRule type="cellIs" dxfId="21966" priority="1891" operator="lessThan">
      <formula>0.8</formula>
    </cfRule>
    <cfRule type="cellIs" dxfId="21965" priority="1892" operator="greaterThan">
      <formula>1</formula>
    </cfRule>
  </conditionalFormatting>
  <conditionalFormatting sqref="R124 R131 R127">
    <cfRule type="cellIs" dxfId="21964" priority="1889" operator="greaterThan">
      <formula>1</formula>
    </cfRule>
    <cfRule type="cellIs" dxfId="21963" priority="1890" operator="lessThan">
      <formula>0.8</formula>
    </cfRule>
  </conditionalFormatting>
  <conditionalFormatting sqref="P124 P131 P127">
    <cfRule type="cellIs" dxfId="21962" priority="1882" operator="greaterThan">
      <formula>0</formula>
    </cfRule>
  </conditionalFormatting>
  <conditionalFormatting sqref="Q124 Q131 Q127">
    <cfRule type="cellIs" dxfId="21961" priority="1887" operator="lessThan">
      <formula>0</formula>
    </cfRule>
  </conditionalFormatting>
  <conditionalFormatting sqref="R124 R131 R127">
    <cfRule type="cellIs" dxfId="21960" priority="1885" operator="lessThan">
      <formula>0.8</formula>
    </cfRule>
    <cfRule type="cellIs" dxfId="21959" priority="1886" operator="greaterThan">
      <formula>1</formula>
    </cfRule>
  </conditionalFormatting>
  <conditionalFormatting sqref="R124 R131 R127">
    <cfRule type="cellIs" dxfId="21958" priority="1883" operator="greaterThan">
      <formula>1</formula>
    </cfRule>
    <cfRule type="cellIs" dxfId="21957" priority="1884" operator="lessThan">
      <formula>0.8</formula>
    </cfRule>
  </conditionalFormatting>
  <conditionalFormatting sqref="R124 R131 R127">
    <cfRule type="cellIs" dxfId="21956" priority="1879" operator="lessThan">
      <formula>0.8</formula>
    </cfRule>
    <cfRule type="cellIs" dxfId="21955" priority="1880" operator="greaterThan">
      <formula>1</formula>
    </cfRule>
  </conditionalFormatting>
  <conditionalFormatting sqref="R124 R131 R127">
    <cfRule type="cellIs" dxfId="21954" priority="1877" operator="greaterThan">
      <formula>1</formula>
    </cfRule>
    <cfRule type="cellIs" dxfId="21953" priority="1878" operator="lessThan">
      <formula>0.8</formula>
    </cfRule>
  </conditionalFormatting>
  <conditionalFormatting sqref="P124 P131 P127">
    <cfRule type="cellIs" dxfId="21952" priority="1876" operator="greaterThan">
      <formula>0</formula>
    </cfRule>
  </conditionalFormatting>
  <conditionalFormatting sqref="Q124 Q131 Q127">
    <cfRule type="cellIs" dxfId="21951" priority="1881" operator="lessThan">
      <formula>0</formula>
    </cfRule>
  </conditionalFormatting>
  <conditionalFormatting sqref="Q5:Q14">
    <cfRule type="cellIs" dxfId="21950" priority="1875" operator="lessThan">
      <formula>0</formula>
    </cfRule>
  </conditionalFormatting>
  <conditionalFormatting sqref="R5:R14">
    <cfRule type="cellIs" dxfId="21949" priority="1873" operator="lessThan">
      <formula>0.8</formula>
    </cfRule>
    <cfRule type="cellIs" dxfId="21948" priority="1874" operator="greaterThan">
      <formula>1</formula>
    </cfRule>
  </conditionalFormatting>
  <conditionalFormatting sqref="R5:R14">
    <cfRule type="cellIs" dxfId="21947" priority="1871" operator="greaterThan">
      <formula>1</formula>
    </cfRule>
    <cfRule type="cellIs" dxfId="21946" priority="1872" operator="lessThan">
      <formula>0.8</formula>
    </cfRule>
  </conditionalFormatting>
  <conditionalFormatting sqref="P5:P14">
    <cfRule type="cellIs" dxfId="21945" priority="1870" operator="greaterThan">
      <formula>0</formula>
    </cfRule>
  </conditionalFormatting>
  <conditionalFormatting sqref="Q83">
    <cfRule type="cellIs" dxfId="21944" priority="1869" operator="lessThan">
      <formula>0</formula>
    </cfRule>
  </conditionalFormatting>
  <conditionalFormatting sqref="R83">
    <cfRule type="cellIs" dxfId="21943" priority="1867" operator="lessThan">
      <formula>0.8</formula>
    </cfRule>
    <cfRule type="cellIs" dxfId="21942" priority="1868" operator="greaterThan">
      <formula>1</formula>
    </cfRule>
  </conditionalFormatting>
  <conditionalFormatting sqref="R83">
    <cfRule type="cellIs" dxfId="21941" priority="1865" operator="greaterThan">
      <formula>1</formula>
    </cfRule>
    <cfRule type="cellIs" dxfId="21940" priority="1866" operator="lessThan">
      <formula>0.8</formula>
    </cfRule>
  </conditionalFormatting>
  <conditionalFormatting sqref="P83">
    <cfRule type="cellIs" dxfId="21939" priority="1864" operator="greaterThan">
      <formula>0</formula>
    </cfRule>
  </conditionalFormatting>
  <conditionalFormatting sqref="Q83">
    <cfRule type="cellIs" dxfId="21938" priority="1863" operator="lessThan">
      <formula>0</formula>
    </cfRule>
  </conditionalFormatting>
  <conditionalFormatting sqref="R83">
    <cfRule type="cellIs" dxfId="21937" priority="1861" operator="lessThan">
      <formula>0.8</formula>
    </cfRule>
    <cfRule type="cellIs" dxfId="21936" priority="1862" operator="greaterThan">
      <formula>1</formula>
    </cfRule>
  </conditionalFormatting>
  <conditionalFormatting sqref="R83">
    <cfRule type="cellIs" dxfId="21935" priority="1859" operator="greaterThan">
      <formula>1</formula>
    </cfRule>
    <cfRule type="cellIs" dxfId="21934" priority="1860" operator="lessThan">
      <formula>0.8</formula>
    </cfRule>
  </conditionalFormatting>
  <conditionalFormatting sqref="P83">
    <cfRule type="cellIs" dxfId="21933" priority="1858" operator="greaterThan">
      <formula>0</formula>
    </cfRule>
  </conditionalFormatting>
  <conditionalFormatting sqref="Q83">
    <cfRule type="cellIs" dxfId="21932" priority="1857" operator="lessThan">
      <formula>0</formula>
    </cfRule>
  </conditionalFormatting>
  <conditionalFormatting sqref="R83">
    <cfRule type="cellIs" dxfId="21931" priority="1855" operator="lessThan">
      <formula>0.8</formula>
    </cfRule>
    <cfRule type="cellIs" dxfId="21930" priority="1856" operator="greaterThan">
      <formula>1</formula>
    </cfRule>
  </conditionalFormatting>
  <conditionalFormatting sqref="R83">
    <cfRule type="cellIs" dxfId="21929" priority="1853" operator="greaterThan">
      <formula>1</formula>
    </cfRule>
    <cfRule type="cellIs" dxfId="21928" priority="1854" operator="lessThan">
      <formula>0.8</formula>
    </cfRule>
  </conditionalFormatting>
  <conditionalFormatting sqref="P83">
    <cfRule type="cellIs" dxfId="21927" priority="1852" operator="greaterThan">
      <formula>0</formula>
    </cfRule>
  </conditionalFormatting>
  <conditionalFormatting sqref="Q83">
    <cfRule type="cellIs" dxfId="21926" priority="1851" operator="lessThan">
      <formula>0</formula>
    </cfRule>
  </conditionalFormatting>
  <conditionalFormatting sqref="R83">
    <cfRule type="cellIs" dxfId="21925" priority="1849" operator="lessThan">
      <formula>0.8</formula>
    </cfRule>
    <cfRule type="cellIs" dxfId="21924" priority="1850" operator="greaterThan">
      <formula>1</formula>
    </cfRule>
  </conditionalFormatting>
  <conditionalFormatting sqref="R83">
    <cfRule type="cellIs" dxfId="21923" priority="1847" operator="greaterThan">
      <formula>1</formula>
    </cfRule>
    <cfRule type="cellIs" dxfId="21922" priority="1848" operator="lessThan">
      <formula>0.8</formula>
    </cfRule>
  </conditionalFormatting>
  <conditionalFormatting sqref="P83">
    <cfRule type="cellIs" dxfId="21921" priority="1846" operator="greaterThan">
      <formula>0</formula>
    </cfRule>
  </conditionalFormatting>
  <conditionalFormatting sqref="P83">
    <cfRule type="cellIs" dxfId="21920" priority="1840" operator="greaterThan">
      <formula>0</formula>
    </cfRule>
  </conditionalFormatting>
  <conditionalFormatting sqref="Q83">
    <cfRule type="cellIs" dxfId="21919" priority="1845" operator="lessThan">
      <formula>0</formula>
    </cfRule>
  </conditionalFormatting>
  <conditionalFormatting sqref="R83">
    <cfRule type="cellIs" dxfId="21918" priority="1843" operator="lessThan">
      <formula>0.8</formula>
    </cfRule>
    <cfRule type="cellIs" dxfId="21917" priority="1844" operator="greaterThan">
      <formula>1</formula>
    </cfRule>
  </conditionalFormatting>
  <conditionalFormatting sqref="R83">
    <cfRule type="cellIs" dxfId="21916" priority="1841" operator="greaterThan">
      <formula>1</formula>
    </cfRule>
    <cfRule type="cellIs" dxfId="21915" priority="1842" operator="lessThan">
      <formula>0.8</formula>
    </cfRule>
  </conditionalFormatting>
  <conditionalFormatting sqref="P83">
    <cfRule type="cellIs" dxfId="21914" priority="1834" operator="greaterThan">
      <formula>0</formula>
    </cfRule>
  </conditionalFormatting>
  <conditionalFormatting sqref="Q83">
    <cfRule type="cellIs" dxfId="21913" priority="1839" operator="lessThan">
      <formula>0</formula>
    </cfRule>
  </conditionalFormatting>
  <conditionalFormatting sqref="R83">
    <cfRule type="cellIs" dxfId="21912" priority="1837" operator="lessThan">
      <formula>0.8</formula>
    </cfRule>
    <cfRule type="cellIs" dxfId="21911" priority="1838" operator="greaterThan">
      <formula>1</formula>
    </cfRule>
  </conditionalFormatting>
  <conditionalFormatting sqref="R83">
    <cfRule type="cellIs" dxfId="21910" priority="1835" operator="greaterThan">
      <formula>1</formula>
    </cfRule>
    <cfRule type="cellIs" dxfId="21909" priority="1836" operator="lessThan">
      <formula>0.8</formula>
    </cfRule>
  </conditionalFormatting>
  <conditionalFormatting sqref="R83">
    <cfRule type="cellIs" dxfId="21908" priority="1831" operator="lessThan">
      <formula>0.8</formula>
    </cfRule>
    <cfRule type="cellIs" dxfId="21907" priority="1832" operator="greaterThan">
      <formula>1</formula>
    </cfRule>
  </conditionalFormatting>
  <conditionalFormatting sqref="R83">
    <cfRule type="cellIs" dxfId="21906" priority="1829" operator="greaterThan">
      <formula>1</formula>
    </cfRule>
    <cfRule type="cellIs" dxfId="21905" priority="1830" operator="lessThan">
      <formula>0.8</formula>
    </cfRule>
  </conditionalFormatting>
  <conditionalFormatting sqref="P83">
    <cfRule type="cellIs" dxfId="21904" priority="1828" operator="greaterThan">
      <formula>0</formula>
    </cfRule>
  </conditionalFormatting>
  <conditionalFormatting sqref="Q83">
    <cfRule type="cellIs" dxfId="21903" priority="1833" operator="lessThan">
      <formula>0</formula>
    </cfRule>
  </conditionalFormatting>
  <conditionalFormatting sqref="Q83">
    <cfRule type="cellIs" dxfId="21902" priority="1827" operator="lessThan">
      <formula>0</formula>
    </cfRule>
  </conditionalFormatting>
  <conditionalFormatting sqref="R83">
    <cfRule type="cellIs" dxfId="21901" priority="1825" operator="lessThan">
      <formula>0.8</formula>
    </cfRule>
    <cfRule type="cellIs" dxfId="21900" priority="1826" operator="greaterThan">
      <formula>1</formula>
    </cfRule>
  </conditionalFormatting>
  <conditionalFormatting sqref="R83">
    <cfRule type="cellIs" dxfId="21899" priority="1823" operator="greaterThan">
      <formula>1</formula>
    </cfRule>
    <cfRule type="cellIs" dxfId="21898" priority="1824" operator="lessThan">
      <formula>0.8</formula>
    </cfRule>
  </conditionalFormatting>
  <conditionalFormatting sqref="P83">
    <cfRule type="cellIs" dxfId="21897" priority="1822" operator="greaterThan">
      <formula>0</formula>
    </cfRule>
  </conditionalFormatting>
  <conditionalFormatting sqref="P83">
    <cfRule type="cellIs" dxfId="21896" priority="1816" operator="greaterThan">
      <formula>0</formula>
    </cfRule>
  </conditionalFormatting>
  <conditionalFormatting sqref="Q83">
    <cfRule type="cellIs" dxfId="21895" priority="1821" operator="lessThan">
      <formula>0</formula>
    </cfRule>
  </conditionalFormatting>
  <conditionalFormatting sqref="R83">
    <cfRule type="cellIs" dxfId="21894" priority="1819" operator="lessThan">
      <formula>0.8</formula>
    </cfRule>
    <cfRule type="cellIs" dxfId="21893" priority="1820" operator="greaterThan">
      <formula>1</formula>
    </cfRule>
  </conditionalFormatting>
  <conditionalFormatting sqref="R83">
    <cfRule type="cellIs" dxfId="21892" priority="1817" operator="greaterThan">
      <formula>1</formula>
    </cfRule>
    <cfRule type="cellIs" dxfId="21891" priority="1818" operator="lessThan">
      <formula>0.8</formula>
    </cfRule>
  </conditionalFormatting>
  <conditionalFormatting sqref="P83">
    <cfRule type="cellIs" dxfId="21890" priority="1810" operator="greaterThan">
      <formula>0</formula>
    </cfRule>
  </conditionalFormatting>
  <conditionalFormatting sqref="Q83">
    <cfRule type="cellIs" dxfId="21889" priority="1815" operator="lessThan">
      <formula>0</formula>
    </cfRule>
  </conditionalFormatting>
  <conditionalFormatting sqref="R83">
    <cfRule type="cellIs" dxfId="21888" priority="1813" operator="lessThan">
      <formula>0.8</formula>
    </cfRule>
    <cfRule type="cellIs" dxfId="21887" priority="1814" operator="greaterThan">
      <formula>1</formula>
    </cfRule>
  </conditionalFormatting>
  <conditionalFormatting sqref="R83">
    <cfRule type="cellIs" dxfId="21886" priority="1811" operator="greaterThan">
      <formula>1</formula>
    </cfRule>
    <cfRule type="cellIs" dxfId="21885" priority="1812" operator="lessThan">
      <formula>0.8</formula>
    </cfRule>
  </conditionalFormatting>
  <conditionalFormatting sqref="R83">
    <cfRule type="cellIs" dxfId="21884" priority="1807" operator="lessThan">
      <formula>0.8</formula>
    </cfRule>
    <cfRule type="cellIs" dxfId="21883" priority="1808" operator="greaterThan">
      <formula>1</formula>
    </cfRule>
  </conditionalFormatting>
  <conditionalFormatting sqref="R83">
    <cfRule type="cellIs" dxfId="21882" priority="1805" operator="greaterThan">
      <formula>1</formula>
    </cfRule>
    <cfRule type="cellIs" dxfId="21881" priority="1806" operator="lessThan">
      <formula>0.8</formula>
    </cfRule>
  </conditionalFormatting>
  <conditionalFormatting sqref="P83">
    <cfRule type="cellIs" dxfId="21880" priority="1804" operator="greaterThan">
      <formula>0</formula>
    </cfRule>
  </conditionalFormatting>
  <conditionalFormatting sqref="Q83">
    <cfRule type="cellIs" dxfId="21879" priority="1809" operator="lessThan">
      <formula>0</formula>
    </cfRule>
  </conditionalFormatting>
  <conditionalFormatting sqref="P83">
    <cfRule type="cellIs" dxfId="21878" priority="1798" operator="greaterThan">
      <formula>0</formula>
    </cfRule>
  </conditionalFormatting>
  <conditionalFormatting sqref="Q83">
    <cfRule type="cellIs" dxfId="21877" priority="1803" operator="lessThan">
      <formula>0</formula>
    </cfRule>
  </conditionalFormatting>
  <conditionalFormatting sqref="R83">
    <cfRule type="cellIs" dxfId="21876" priority="1801" operator="lessThan">
      <formula>0.8</formula>
    </cfRule>
    <cfRule type="cellIs" dxfId="21875" priority="1802" operator="greaterThan">
      <formula>1</formula>
    </cfRule>
  </conditionalFormatting>
  <conditionalFormatting sqref="R83">
    <cfRule type="cellIs" dxfId="21874" priority="1799" operator="greaterThan">
      <formula>1</formula>
    </cfRule>
    <cfRule type="cellIs" dxfId="21873" priority="1800" operator="lessThan">
      <formula>0.8</formula>
    </cfRule>
  </conditionalFormatting>
  <conditionalFormatting sqref="R83">
    <cfRule type="cellIs" dxfId="21872" priority="1795" operator="lessThan">
      <formula>0.8</formula>
    </cfRule>
    <cfRule type="cellIs" dxfId="21871" priority="1796" operator="greaterThan">
      <formula>1</formula>
    </cfRule>
  </conditionalFormatting>
  <conditionalFormatting sqref="R83">
    <cfRule type="cellIs" dxfId="21870" priority="1793" operator="greaterThan">
      <formula>1</formula>
    </cfRule>
    <cfRule type="cellIs" dxfId="21869" priority="1794" operator="lessThan">
      <formula>0.8</formula>
    </cfRule>
  </conditionalFormatting>
  <conditionalFormatting sqref="P83">
    <cfRule type="cellIs" dxfId="21868" priority="1792" operator="greaterThan">
      <formula>0</formula>
    </cfRule>
  </conditionalFormatting>
  <conditionalFormatting sqref="Q83">
    <cfRule type="cellIs" dxfId="21867" priority="1797" operator="lessThan">
      <formula>0</formula>
    </cfRule>
  </conditionalFormatting>
  <conditionalFormatting sqref="R83">
    <cfRule type="cellIs" dxfId="21866" priority="1789" operator="lessThan">
      <formula>0.8</formula>
    </cfRule>
    <cfRule type="cellIs" dxfId="21865" priority="1790" operator="greaterThan">
      <formula>1</formula>
    </cfRule>
  </conditionalFormatting>
  <conditionalFormatting sqref="R83">
    <cfRule type="cellIs" dxfId="21864" priority="1787" operator="greaterThan">
      <formula>1</formula>
    </cfRule>
    <cfRule type="cellIs" dxfId="21863" priority="1788" operator="lessThan">
      <formula>0.8</formula>
    </cfRule>
  </conditionalFormatting>
  <conditionalFormatting sqref="P83">
    <cfRule type="cellIs" dxfId="21862" priority="1786" operator="greaterThan">
      <formula>0</formula>
    </cfRule>
  </conditionalFormatting>
  <conditionalFormatting sqref="Q83">
    <cfRule type="cellIs" dxfId="21861" priority="1791" operator="lessThan">
      <formula>0</formula>
    </cfRule>
  </conditionalFormatting>
  <conditionalFormatting sqref="Q83">
    <cfRule type="cellIs" dxfId="21860" priority="1785" operator="lessThan">
      <formula>0</formula>
    </cfRule>
  </conditionalFormatting>
  <conditionalFormatting sqref="R83">
    <cfRule type="cellIs" dxfId="21859" priority="1783" operator="lessThan">
      <formula>0.8</formula>
    </cfRule>
    <cfRule type="cellIs" dxfId="21858" priority="1784" operator="greaterThan">
      <formula>1</formula>
    </cfRule>
  </conditionalFormatting>
  <conditionalFormatting sqref="R83">
    <cfRule type="cellIs" dxfId="21857" priority="1781" operator="greaterThan">
      <formula>1</formula>
    </cfRule>
    <cfRule type="cellIs" dxfId="21856" priority="1782" operator="lessThan">
      <formula>0.8</formula>
    </cfRule>
  </conditionalFormatting>
  <conditionalFormatting sqref="P83">
    <cfRule type="cellIs" dxfId="21855" priority="1780" operator="greaterThan">
      <formula>0</formula>
    </cfRule>
  </conditionalFormatting>
  <conditionalFormatting sqref="Q83">
    <cfRule type="cellIs" dxfId="21854" priority="1774" operator="lessThan">
      <formula>0</formula>
    </cfRule>
  </conditionalFormatting>
  <conditionalFormatting sqref="R83">
    <cfRule type="cellIs" dxfId="21853" priority="1778" operator="lessThan">
      <formula>0.8</formula>
    </cfRule>
    <cfRule type="cellIs" dxfId="21852" priority="1779" operator="greaterThan">
      <formula>1</formula>
    </cfRule>
  </conditionalFormatting>
  <conditionalFormatting sqref="R83">
    <cfRule type="cellIs" dxfId="21851" priority="1776" operator="greaterThan">
      <formula>1</formula>
    </cfRule>
    <cfRule type="cellIs" dxfId="21850" priority="1777" operator="lessThan">
      <formula>0.8</formula>
    </cfRule>
  </conditionalFormatting>
  <conditionalFormatting sqref="P83">
    <cfRule type="cellIs" dxfId="21849" priority="1775" operator="greaterThan">
      <formula>0</formula>
    </cfRule>
  </conditionalFormatting>
  <conditionalFormatting sqref="Q83">
    <cfRule type="cellIs" dxfId="21848" priority="1773" operator="lessThan">
      <formula>0</formula>
    </cfRule>
  </conditionalFormatting>
  <conditionalFormatting sqref="R83">
    <cfRule type="cellIs" dxfId="21847" priority="1771" operator="lessThan">
      <formula>0.8</formula>
    </cfRule>
    <cfRule type="cellIs" dxfId="21846" priority="1772" operator="greaterThan">
      <formula>1</formula>
    </cfRule>
  </conditionalFormatting>
  <conditionalFormatting sqref="R83">
    <cfRule type="cellIs" dxfId="21845" priority="1769" operator="greaterThan">
      <formula>1</formula>
    </cfRule>
    <cfRule type="cellIs" dxfId="21844" priority="1770" operator="lessThan">
      <formula>0.8</formula>
    </cfRule>
  </conditionalFormatting>
  <conditionalFormatting sqref="P83">
    <cfRule type="cellIs" dxfId="21843" priority="1768" operator="greaterThan">
      <formula>0</formula>
    </cfRule>
  </conditionalFormatting>
  <conditionalFormatting sqref="Q83">
    <cfRule type="cellIs" dxfId="21842" priority="1767" operator="lessThan">
      <formula>0</formula>
    </cfRule>
  </conditionalFormatting>
  <conditionalFormatting sqref="R83">
    <cfRule type="cellIs" dxfId="21841" priority="1765" operator="lessThan">
      <formula>0.8</formula>
    </cfRule>
    <cfRule type="cellIs" dxfId="21840" priority="1766" operator="greaterThan">
      <formula>1</formula>
    </cfRule>
  </conditionalFormatting>
  <conditionalFormatting sqref="R83">
    <cfRule type="cellIs" dxfId="21839" priority="1763" operator="greaterThan">
      <formula>1</formula>
    </cfRule>
    <cfRule type="cellIs" dxfId="21838" priority="1764" operator="lessThan">
      <formula>0.8</formula>
    </cfRule>
  </conditionalFormatting>
  <conditionalFormatting sqref="P83">
    <cfRule type="cellIs" dxfId="21837" priority="1762" operator="greaterThan">
      <formula>0</formula>
    </cfRule>
  </conditionalFormatting>
  <conditionalFormatting sqref="Q83">
    <cfRule type="cellIs" dxfId="21836" priority="1761" operator="lessThan">
      <formula>0</formula>
    </cfRule>
  </conditionalFormatting>
  <conditionalFormatting sqref="R83">
    <cfRule type="cellIs" dxfId="21835" priority="1759" operator="lessThan">
      <formula>0.8</formula>
    </cfRule>
    <cfRule type="cellIs" dxfId="21834" priority="1760" operator="greaterThan">
      <formula>1</formula>
    </cfRule>
  </conditionalFormatting>
  <conditionalFormatting sqref="R83">
    <cfRule type="cellIs" dxfId="21833" priority="1757" operator="greaterThan">
      <formula>1</formula>
    </cfRule>
    <cfRule type="cellIs" dxfId="21832" priority="1758" operator="lessThan">
      <formula>0.8</formula>
    </cfRule>
  </conditionalFormatting>
  <conditionalFormatting sqref="P83">
    <cfRule type="cellIs" dxfId="21831" priority="1756" operator="greaterThan">
      <formula>0</formula>
    </cfRule>
  </conditionalFormatting>
  <conditionalFormatting sqref="Q83">
    <cfRule type="cellIs" dxfId="21830" priority="1755" operator="lessThan">
      <formula>0</formula>
    </cfRule>
  </conditionalFormatting>
  <conditionalFormatting sqref="R83">
    <cfRule type="cellIs" dxfId="21829" priority="1753" operator="lessThan">
      <formula>0.8</formula>
    </cfRule>
    <cfRule type="cellIs" dxfId="21828" priority="1754" operator="greaterThan">
      <formula>1</formula>
    </cfRule>
  </conditionalFormatting>
  <conditionalFormatting sqref="R83">
    <cfRule type="cellIs" dxfId="21827" priority="1751" operator="greaterThan">
      <formula>1</formula>
    </cfRule>
    <cfRule type="cellIs" dxfId="21826" priority="1752" operator="lessThan">
      <formula>0.8</formula>
    </cfRule>
  </conditionalFormatting>
  <conditionalFormatting sqref="P83">
    <cfRule type="cellIs" dxfId="21825" priority="1750" operator="greaterThan">
      <formula>0</formula>
    </cfRule>
  </conditionalFormatting>
  <conditionalFormatting sqref="Q83">
    <cfRule type="cellIs" dxfId="21824" priority="1749" operator="lessThan">
      <formula>0</formula>
    </cfRule>
  </conditionalFormatting>
  <conditionalFormatting sqref="R83">
    <cfRule type="cellIs" dxfId="21823" priority="1747" operator="lessThan">
      <formula>0.8</formula>
    </cfRule>
    <cfRule type="cellIs" dxfId="21822" priority="1748" operator="greaterThan">
      <formula>1</formula>
    </cfRule>
  </conditionalFormatting>
  <conditionalFormatting sqref="R83">
    <cfRule type="cellIs" dxfId="21821" priority="1745" operator="greaterThan">
      <formula>1</formula>
    </cfRule>
    <cfRule type="cellIs" dxfId="21820" priority="1746" operator="lessThan">
      <formula>0.8</formula>
    </cfRule>
  </conditionalFormatting>
  <conditionalFormatting sqref="P83">
    <cfRule type="cellIs" dxfId="21819" priority="1744" operator="greaterThan">
      <formula>0</formula>
    </cfRule>
  </conditionalFormatting>
  <conditionalFormatting sqref="P83">
    <cfRule type="cellIs" dxfId="21818" priority="1738" operator="greaterThan">
      <formula>0</formula>
    </cfRule>
  </conditionalFormatting>
  <conditionalFormatting sqref="Q83">
    <cfRule type="cellIs" dxfId="21817" priority="1743" operator="lessThan">
      <formula>0</formula>
    </cfRule>
  </conditionalFormatting>
  <conditionalFormatting sqref="R83">
    <cfRule type="cellIs" dxfId="21816" priority="1741" operator="lessThan">
      <formula>0.8</formula>
    </cfRule>
    <cfRule type="cellIs" dxfId="21815" priority="1742" operator="greaterThan">
      <formula>1</formula>
    </cfRule>
  </conditionalFormatting>
  <conditionalFormatting sqref="R83">
    <cfRule type="cellIs" dxfId="21814" priority="1739" operator="greaterThan">
      <formula>1</formula>
    </cfRule>
    <cfRule type="cellIs" dxfId="21813" priority="1740" operator="lessThan">
      <formula>0.8</formula>
    </cfRule>
  </conditionalFormatting>
  <conditionalFormatting sqref="P83">
    <cfRule type="cellIs" dxfId="21812" priority="1732" operator="greaterThan">
      <formula>0</formula>
    </cfRule>
  </conditionalFormatting>
  <conditionalFormatting sqref="Q83">
    <cfRule type="cellIs" dxfId="21811" priority="1737" operator="lessThan">
      <formula>0</formula>
    </cfRule>
  </conditionalFormatting>
  <conditionalFormatting sqref="R83">
    <cfRule type="cellIs" dxfId="21810" priority="1735" operator="lessThan">
      <formula>0.8</formula>
    </cfRule>
    <cfRule type="cellIs" dxfId="21809" priority="1736" operator="greaterThan">
      <formula>1</formula>
    </cfRule>
  </conditionalFormatting>
  <conditionalFormatting sqref="R83">
    <cfRule type="cellIs" dxfId="21808" priority="1733" operator="greaterThan">
      <formula>1</formula>
    </cfRule>
    <cfRule type="cellIs" dxfId="21807" priority="1734" operator="lessThan">
      <formula>0.8</formula>
    </cfRule>
  </conditionalFormatting>
  <conditionalFormatting sqref="R83">
    <cfRule type="cellIs" dxfId="21806" priority="1729" operator="lessThan">
      <formula>0.8</formula>
    </cfRule>
    <cfRule type="cellIs" dxfId="21805" priority="1730" operator="greaterThan">
      <formula>1</formula>
    </cfRule>
  </conditionalFormatting>
  <conditionalFormatting sqref="R83">
    <cfRule type="cellIs" dxfId="21804" priority="1727" operator="greaterThan">
      <formula>1</formula>
    </cfRule>
    <cfRule type="cellIs" dxfId="21803" priority="1728" operator="lessThan">
      <formula>0.8</formula>
    </cfRule>
  </conditionalFormatting>
  <conditionalFormatting sqref="P83">
    <cfRule type="cellIs" dxfId="21802" priority="1726" operator="greaterThan">
      <formula>0</formula>
    </cfRule>
  </conditionalFormatting>
  <conditionalFormatting sqref="Q83">
    <cfRule type="cellIs" dxfId="21801" priority="1731" operator="lessThan">
      <formula>0</formula>
    </cfRule>
  </conditionalFormatting>
  <conditionalFormatting sqref="Q83">
    <cfRule type="cellIs" dxfId="21800" priority="1720" operator="lessThan">
      <formula>0</formula>
    </cfRule>
  </conditionalFormatting>
  <conditionalFormatting sqref="P83">
    <cfRule type="cellIs" dxfId="21799" priority="1721" operator="greaterThan">
      <formula>0</formula>
    </cfRule>
  </conditionalFormatting>
  <conditionalFormatting sqref="R83">
    <cfRule type="cellIs" dxfId="21798" priority="1724" operator="lessThan">
      <formula>0.8</formula>
    </cfRule>
    <cfRule type="cellIs" dxfId="21797" priority="1725" operator="greaterThan">
      <formula>1</formula>
    </cfRule>
  </conditionalFormatting>
  <conditionalFormatting sqref="R83">
    <cfRule type="cellIs" dxfId="21796" priority="1722" operator="greaterThan">
      <formula>1</formula>
    </cfRule>
    <cfRule type="cellIs" dxfId="21795" priority="1723" operator="lessThan">
      <formula>0.8</formula>
    </cfRule>
  </conditionalFormatting>
  <conditionalFormatting sqref="Q83">
    <cfRule type="cellIs" dxfId="21794" priority="1714" operator="lessThan">
      <formula>0</formula>
    </cfRule>
  </conditionalFormatting>
  <conditionalFormatting sqref="R83">
    <cfRule type="cellIs" dxfId="21793" priority="1718" operator="lessThan">
      <formula>0.8</formula>
    </cfRule>
    <cfRule type="cellIs" dxfId="21792" priority="1719" operator="greaterThan">
      <formula>1</formula>
    </cfRule>
  </conditionalFormatting>
  <conditionalFormatting sqref="R83">
    <cfRule type="cellIs" dxfId="21791" priority="1716" operator="greaterThan">
      <formula>1</formula>
    </cfRule>
    <cfRule type="cellIs" dxfId="21790" priority="1717" operator="lessThan">
      <formula>0.8</formula>
    </cfRule>
  </conditionalFormatting>
  <conditionalFormatting sqref="P83">
    <cfRule type="cellIs" dxfId="21789" priority="1715" operator="greaterThan">
      <formula>0</formula>
    </cfRule>
  </conditionalFormatting>
  <conditionalFormatting sqref="Q83">
    <cfRule type="cellIs" dxfId="21788" priority="1713" operator="lessThan">
      <formula>0</formula>
    </cfRule>
  </conditionalFormatting>
  <conditionalFormatting sqref="R83">
    <cfRule type="cellIs" dxfId="21787" priority="1711" operator="lessThan">
      <formula>0.8</formula>
    </cfRule>
    <cfRule type="cellIs" dxfId="21786" priority="1712" operator="greaterThan">
      <formula>1</formula>
    </cfRule>
  </conditionalFormatting>
  <conditionalFormatting sqref="R83">
    <cfRule type="cellIs" dxfId="21785" priority="1709" operator="greaterThan">
      <formula>1</formula>
    </cfRule>
    <cfRule type="cellIs" dxfId="21784" priority="1710" operator="lessThan">
      <formula>0.8</formula>
    </cfRule>
  </conditionalFormatting>
  <conditionalFormatting sqref="P83">
    <cfRule type="cellIs" dxfId="21783" priority="1708" operator="greaterThan">
      <formula>0</formula>
    </cfRule>
  </conditionalFormatting>
  <conditionalFormatting sqref="Q83">
    <cfRule type="cellIs" dxfId="21782" priority="1707" operator="lessThan">
      <formula>0</formula>
    </cfRule>
  </conditionalFormatting>
  <conditionalFormatting sqref="R83">
    <cfRule type="cellIs" dxfId="21781" priority="1705" operator="lessThan">
      <formula>0.8</formula>
    </cfRule>
    <cfRule type="cellIs" dxfId="21780" priority="1706" operator="greaterThan">
      <formula>1</formula>
    </cfRule>
  </conditionalFormatting>
  <conditionalFormatting sqref="R83">
    <cfRule type="cellIs" dxfId="21779" priority="1703" operator="greaterThan">
      <formula>1</formula>
    </cfRule>
    <cfRule type="cellIs" dxfId="21778" priority="1704" operator="lessThan">
      <formula>0.8</formula>
    </cfRule>
  </conditionalFormatting>
  <conditionalFormatting sqref="P83">
    <cfRule type="cellIs" dxfId="21777" priority="1702" operator="greaterThan">
      <formula>0</formula>
    </cfRule>
  </conditionalFormatting>
  <conditionalFormatting sqref="Q83">
    <cfRule type="cellIs" dxfId="21776" priority="1701" operator="lessThan">
      <formula>0</formula>
    </cfRule>
  </conditionalFormatting>
  <conditionalFormatting sqref="R83">
    <cfRule type="cellIs" dxfId="21775" priority="1699" operator="lessThan">
      <formula>0.8</formula>
    </cfRule>
    <cfRule type="cellIs" dxfId="21774" priority="1700" operator="greaterThan">
      <formula>1</formula>
    </cfRule>
  </conditionalFormatting>
  <conditionalFormatting sqref="R83">
    <cfRule type="cellIs" dxfId="21773" priority="1697" operator="greaterThan">
      <formula>1</formula>
    </cfRule>
    <cfRule type="cellIs" dxfId="21772" priority="1698" operator="lessThan">
      <formula>0.8</formula>
    </cfRule>
  </conditionalFormatting>
  <conditionalFormatting sqref="P83">
    <cfRule type="cellIs" dxfId="21771" priority="1696" operator="greaterThan">
      <formula>0</formula>
    </cfRule>
  </conditionalFormatting>
  <conditionalFormatting sqref="Q32:Q39">
    <cfRule type="cellIs" dxfId="21770" priority="1690" operator="lessThan">
      <formula>0</formula>
    </cfRule>
  </conditionalFormatting>
  <conditionalFormatting sqref="P32:P39">
    <cfRule type="cellIs" dxfId="21769" priority="1691" operator="greaterThan">
      <formula>0</formula>
    </cfRule>
  </conditionalFormatting>
  <conditionalFormatting sqref="R32:R39">
    <cfRule type="cellIs" dxfId="21768" priority="1694" operator="lessThan">
      <formula>0.8</formula>
    </cfRule>
    <cfRule type="cellIs" dxfId="21767" priority="1695" operator="greaterThan">
      <formula>1</formula>
    </cfRule>
  </conditionalFormatting>
  <conditionalFormatting sqref="R32:R39">
    <cfRule type="cellIs" dxfId="21766" priority="1692" operator="greaterThan">
      <formula>1</formula>
    </cfRule>
    <cfRule type="cellIs" dxfId="21765" priority="1693" operator="lessThan">
      <formula>0.8</formula>
    </cfRule>
  </conditionalFormatting>
  <conditionalFormatting sqref="Q32:Q39">
    <cfRule type="cellIs" dxfId="21764" priority="1684" operator="lessThan">
      <formula>0</formula>
    </cfRule>
  </conditionalFormatting>
  <conditionalFormatting sqref="R32:R39">
    <cfRule type="cellIs" dxfId="21763" priority="1688" operator="lessThan">
      <formula>0.8</formula>
    </cfRule>
    <cfRule type="cellIs" dxfId="21762" priority="1689" operator="greaterThan">
      <formula>1</formula>
    </cfRule>
  </conditionalFormatting>
  <conditionalFormatting sqref="R32:R39">
    <cfRule type="cellIs" dxfId="21761" priority="1686" operator="greaterThan">
      <formula>1</formula>
    </cfRule>
    <cfRule type="cellIs" dxfId="21760" priority="1687" operator="lessThan">
      <formula>0.8</formula>
    </cfRule>
  </conditionalFormatting>
  <conditionalFormatting sqref="P32:P39">
    <cfRule type="cellIs" dxfId="21759" priority="1685" operator="greaterThan">
      <formula>0</formula>
    </cfRule>
  </conditionalFormatting>
  <conditionalFormatting sqref="Q32:Q39">
    <cfRule type="cellIs" dxfId="21758" priority="1683" operator="lessThan">
      <formula>0</formula>
    </cfRule>
  </conditionalFormatting>
  <conditionalFormatting sqref="R32:R39">
    <cfRule type="cellIs" dxfId="21757" priority="1681" operator="lessThan">
      <formula>0.8</formula>
    </cfRule>
    <cfRule type="cellIs" dxfId="21756" priority="1682" operator="greaterThan">
      <formula>1</formula>
    </cfRule>
  </conditionalFormatting>
  <conditionalFormatting sqref="R32:R39">
    <cfRule type="cellIs" dxfId="21755" priority="1679" operator="greaterThan">
      <formula>1</formula>
    </cfRule>
    <cfRule type="cellIs" dxfId="21754" priority="1680" operator="lessThan">
      <formula>0.8</formula>
    </cfRule>
  </conditionalFormatting>
  <conditionalFormatting sqref="P32:P39">
    <cfRule type="cellIs" dxfId="21753" priority="1678" operator="greaterThan">
      <formula>0</formula>
    </cfRule>
  </conditionalFormatting>
  <conditionalFormatting sqref="Q32:Q39">
    <cfRule type="cellIs" dxfId="21752" priority="1677" operator="lessThan">
      <formula>0</formula>
    </cfRule>
  </conditionalFormatting>
  <conditionalFormatting sqref="R32:R39">
    <cfRule type="cellIs" dxfId="21751" priority="1675" operator="lessThan">
      <formula>0.8</formula>
    </cfRule>
    <cfRule type="cellIs" dxfId="21750" priority="1676" operator="greaterThan">
      <formula>1</formula>
    </cfRule>
  </conditionalFormatting>
  <conditionalFormatting sqref="R32:R39">
    <cfRule type="cellIs" dxfId="21749" priority="1673" operator="greaterThan">
      <formula>1</formula>
    </cfRule>
    <cfRule type="cellIs" dxfId="21748" priority="1674" operator="lessThan">
      <formula>0.8</formula>
    </cfRule>
  </conditionalFormatting>
  <conditionalFormatting sqref="P32:P39">
    <cfRule type="cellIs" dxfId="21747" priority="1672" operator="greaterThan">
      <formula>0</formula>
    </cfRule>
  </conditionalFormatting>
  <conditionalFormatting sqref="Q32:Q39">
    <cfRule type="cellIs" dxfId="21746" priority="1666" operator="lessThan">
      <formula>0</formula>
    </cfRule>
  </conditionalFormatting>
  <conditionalFormatting sqref="R32:R39">
    <cfRule type="cellIs" dxfId="21745" priority="1670" operator="lessThan">
      <formula>0.8</formula>
    </cfRule>
    <cfRule type="cellIs" dxfId="21744" priority="1671" operator="greaterThan">
      <formula>1</formula>
    </cfRule>
  </conditionalFormatting>
  <conditionalFormatting sqref="R32:R39">
    <cfRule type="cellIs" dxfId="21743" priority="1668" operator="greaterThan">
      <formula>1</formula>
    </cfRule>
    <cfRule type="cellIs" dxfId="21742" priority="1669" operator="lessThan">
      <formula>0.8</formula>
    </cfRule>
  </conditionalFormatting>
  <conditionalFormatting sqref="P32:P39">
    <cfRule type="cellIs" dxfId="21741" priority="1667" operator="greaterThan">
      <formula>0</formula>
    </cfRule>
  </conditionalFormatting>
  <conditionalFormatting sqref="Q32:Q39">
    <cfRule type="cellIs" dxfId="21740" priority="1665" operator="lessThan">
      <formula>0</formula>
    </cfRule>
  </conditionalFormatting>
  <conditionalFormatting sqref="R32:R39">
    <cfRule type="cellIs" dxfId="21739" priority="1663" operator="lessThan">
      <formula>0.8</formula>
    </cfRule>
    <cfRule type="cellIs" dxfId="21738" priority="1664" operator="greaterThan">
      <formula>1</formula>
    </cfRule>
  </conditionalFormatting>
  <conditionalFormatting sqref="R32:R39">
    <cfRule type="cellIs" dxfId="21737" priority="1661" operator="greaterThan">
      <formula>1</formula>
    </cfRule>
    <cfRule type="cellIs" dxfId="21736" priority="1662" operator="lessThan">
      <formula>0.8</formula>
    </cfRule>
  </conditionalFormatting>
  <conditionalFormatting sqref="P32:P39">
    <cfRule type="cellIs" dxfId="21735" priority="1660" operator="greaterThan">
      <formula>0</formula>
    </cfRule>
  </conditionalFormatting>
  <conditionalFormatting sqref="Q32:Q39">
    <cfRule type="cellIs" dxfId="21734" priority="1659" operator="lessThan">
      <formula>0</formula>
    </cfRule>
  </conditionalFormatting>
  <conditionalFormatting sqref="R32:R39">
    <cfRule type="cellIs" dxfId="21733" priority="1657" operator="lessThan">
      <formula>0.8</formula>
    </cfRule>
    <cfRule type="cellIs" dxfId="21732" priority="1658" operator="greaterThan">
      <formula>1</formula>
    </cfRule>
  </conditionalFormatting>
  <conditionalFormatting sqref="R32:R39">
    <cfRule type="cellIs" dxfId="21731" priority="1655" operator="greaterThan">
      <formula>1</formula>
    </cfRule>
    <cfRule type="cellIs" dxfId="21730" priority="1656" operator="lessThan">
      <formula>0.8</formula>
    </cfRule>
  </conditionalFormatting>
  <conditionalFormatting sqref="P32:P39">
    <cfRule type="cellIs" dxfId="21729" priority="1654" operator="greaterThan">
      <formula>0</formula>
    </cfRule>
  </conditionalFormatting>
  <conditionalFormatting sqref="Q32:Q39">
    <cfRule type="cellIs" dxfId="21728" priority="1653" operator="lessThan">
      <formula>0</formula>
    </cfRule>
  </conditionalFormatting>
  <conditionalFormatting sqref="R32:R39">
    <cfRule type="cellIs" dxfId="21727" priority="1651" operator="lessThan">
      <formula>0.8</formula>
    </cfRule>
    <cfRule type="cellIs" dxfId="21726" priority="1652" operator="greaterThan">
      <formula>1</formula>
    </cfRule>
  </conditionalFormatting>
  <conditionalFormatting sqref="R32:R39">
    <cfRule type="cellIs" dxfId="21725" priority="1649" operator="greaterThan">
      <formula>1</formula>
    </cfRule>
    <cfRule type="cellIs" dxfId="21724" priority="1650" operator="lessThan">
      <formula>0.8</formula>
    </cfRule>
  </conditionalFormatting>
  <conditionalFormatting sqref="P32:P39">
    <cfRule type="cellIs" dxfId="21723" priority="1648" operator="greaterThan">
      <formula>0</formula>
    </cfRule>
  </conditionalFormatting>
  <conditionalFormatting sqref="Q32:Q39">
    <cfRule type="cellIs" dxfId="21722" priority="1647" operator="lessThan">
      <formula>0</formula>
    </cfRule>
  </conditionalFormatting>
  <conditionalFormatting sqref="R32:R39">
    <cfRule type="cellIs" dxfId="21721" priority="1645" operator="lessThan">
      <formula>0.8</formula>
    </cfRule>
    <cfRule type="cellIs" dxfId="21720" priority="1646" operator="greaterThan">
      <formula>1</formula>
    </cfRule>
  </conditionalFormatting>
  <conditionalFormatting sqref="R32:R39">
    <cfRule type="cellIs" dxfId="21719" priority="1643" operator="greaterThan">
      <formula>1</formula>
    </cfRule>
    <cfRule type="cellIs" dxfId="21718" priority="1644" operator="lessThan">
      <formula>0.8</formula>
    </cfRule>
  </conditionalFormatting>
  <conditionalFormatting sqref="P32:P39">
    <cfRule type="cellIs" dxfId="21717" priority="1642" operator="greaterThan">
      <formula>0</formula>
    </cfRule>
  </conditionalFormatting>
  <conditionalFormatting sqref="Q32:Q39">
    <cfRule type="cellIs" dxfId="21716" priority="1641" operator="lessThan">
      <formula>0</formula>
    </cfRule>
  </conditionalFormatting>
  <conditionalFormatting sqref="R32:R39">
    <cfRule type="cellIs" dxfId="21715" priority="1639" operator="lessThan">
      <formula>0.8</formula>
    </cfRule>
    <cfRule type="cellIs" dxfId="21714" priority="1640" operator="greaterThan">
      <formula>1</formula>
    </cfRule>
  </conditionalFormatting>
  <conditionalFormatting sqref="R32:R39">
    <cfRule type="cellIs" dxfId="21713" priority="1637" operator="greaterThan">
      <formula>1</formula>
    </cfRule>
    <cfRule type="cellIs" dxfId="21712" priority="1638" operator="lessThan">
      <formula>0.8</formula>
    </cfRule>
  </conditionalFormatting>
  <conditionalFormatting sqref="P32:P39">
    <cfRule type="cellIs" dxfId="21711" priority="1636" operator="greaterThan">
      <formula>0</formula>
    </cfRule>
  </conditionalFormatting>
  <conditionalFormatting sqref="P32:P39">
    <cfRule type="cellIs" dxfId="21710" priority="1630" operator="greaterThan">
      <formula>0</formula>
    </cfRule>
  </conditionalFormatting>
  <conditionalFormatting sqref="Q32:Q39">
    <cfRule type="cellIs" dxfId="21709" priority="1635" operator="lessThan">
      <formula>0</formula>
    </cfRule>
  </conditionalFormatting>
  <conditionalFormatting sqref="R32:R39">
    <cfRule type="cellIs" dxfId="21708" priority="1633" operator="lessThan">
      <formula>0.8</formula>
    </cfRule>
    <cfRule type="cellIs" dxfId="21707" priority="1634" operator="greaterThan">
      <formula>1</formula>
    </cfRule>
  </conditionalFormatting>
  <conditionalFormatting sqref="R32:R39">
    <cfRule type="cellIs" dxfId="21706" priority="1631" operator="greaterThan">
      <formula>1</formula>
    </cfRule>
    <cfRule type="cellIs" dxfId="21705" priority="1632" operator="lessThan">
      <formula>0.8</formula>
    </cfRule>
  </conditionalFormatting>
  <conditionalFormatting sqref="P32:P39">
    <cfRule type="cellIs" dxfId="21704" priority="1624" operator="greaterThan">
      <formula>0</formula>
    </cfRule>
  </conditionalFormatting>
  <conditionalFormatting sqref="Q32:Q39">
    <cfRule type="cellIs" dxfId="21703" priority="1629" operator="lessThan">
      <formula>0</formula>
    </cfRule>
  </conditionalFormatting>
  <conditionalFormatting sqref="R32:R39">
    <cfRule type="cellIs" dxfId="21702" priority="1627" operator="lessThan">
      <formula>0.8</formula>
    </cfRule>
    <cfRule type="cellIs" dxfId="21701" priority="1628" operator="greaterThan">
      <formula>1</formula>
    </cfRule>
  </conditionalFormatting>
  <conditionalFormatting sqref="R32:R39">
    <cfRule type="cellIs" dxfId="21700" priority="1625" operator="greaterThan">
      <formula>1</formula>
    </cfRule>
    <cfRule type="cellIs" dxfId="21699" priority="1626" operator="lessThan">
      <formula>0.8</formula>
    </cfRule>
  </conditionalFormatting>
  <conditionalFormatting sqref="R32:R39">
    <cfRule type="cellIs" dxfId="21698" priority="1621" operator="lessThan">
      <formula>0.8</formula>
    </cfRule>
    <cfRule type="cellIs" dxfId="21697" priority="1622" operator="greaterThan">
      <formula>1</formula>
    </cfRule>
  </conditionalFormatting>
  <conditionalFormatting sqref="R32:R39">
    <cfRule type="cellIs" dxfId="21696" priority="1619" operator="greaterThan">
      <formula>1</formula>
    </cfRule>
    <cfRule type="cellIs" dxfId="21695" priority="1620" operator="lessThan">
      <formula>0.8</formula>
    </cfRule>
  </conditionalFormatting>
  <conditionalFormatting sqref="P32:P39">
    <cfRule type="cellIs" dxfId="21694" priority="1618" operator="greaterThan">
      <formula>0</formula>
    </cfRule>
  </conditionalFormatting>
  <conditionalFormatting sqref="Q32:Q39">
    <cfRule type="cellIs" dxfId="21693" priority="1623" operator="lessThan">
      <formula>0</formula>
    </cfRule>
  </conditionalFormatting>
  <conditionalFormatting sqref="Q32:Q39">
    <cfRule type="cellIs" dxfId="21692" priority="1612" operator="lessThan">
      <formula>0</formula>
    </cfRule>
  </conditionalFormatting>
  <conditionalFormatting sqref="P32:P39">
    <cfRule type="cellIs" dxfId="21691" priority="1613" operator="greaterThan">
      <formula>0</formula>
    </cfRule>
  </conditionalFormatting>
  <conditionalFormatting sqref="R32:R39">
    <cfRule type="cellIs" dxfId="21690" priority="1616" operator="lessThan">
      <formula>0.8</formula>
    </cfRule>
    <cfRule type="cellIs" dxfId="21689" priority="1617" operator="greaterThan">
      <formula>1</formula>
    </cfRule>
  </conditionalFormatting>
  <conditionalFormatting sqref="R32:R39">
    <cfRule type="cellIs" dxfId="21688" priority="1614" operator="greaterThan">
      <formula>1</formula>
    </cfRule>
    <cfRule type="cellIs" dxfId="21687" priority="1615" operator="lessThan">
      <formula>0.8</formula>
    </cfRule>
  </conditionalFormatting>
  <conditionalFormatting sqref="Q32:Q39">
    <cfRule type="cellIs" dxfId="21686" priority="1606" operator="lessThan">
      <formula>0</formula>
    </cfRule>
  </conditionalFormatting>
  <conditionalFormatting sqref="R32:R39">
    <cfRule type="cellIs" dxfId="21685" priority="1610" operator="lessThan">
      <formula>0.8</formula>
    </cfRule>
    <cfRule type="cellIs" dxfId="21684" priority="1611" operator="greaterThan">
      <formula>1</formula>
    </cfRule>
  </conditionalFormatting>
  <conditionalFormatting sqref="R32:R39">
    <cfRule type="cellIs" dxfId="21683" priority="1608" operator="greaterThan">
      <formula>1</formula>
    </cfRule>
    <cfRule type="cellIs" dxfId="21682" priority="1609" operator="lessThan">
      <formula>0.8</formula>
    </cfRule>
  </conditionalFormatting>
  <conditionalFormatting sqref="P32:P39">
    <cfRule type="cellIs" dxfId="21681" priority="1607" operator="greaterThan">
      <formula>0</formula>
    </cfRule>
  </conditionalFormatting>
  <conditionalFormatting sqref="Q32:Q39">
    <cfRule type="cellIs" dxfId="21680" priority="1605" operator="lessThan">
      <formula>0</formula>
    </cfRule>
  </conditionalFormatting>
  <conditionalFormatting sqref="R32:R39">
    <cfRule type="cellIs" dxfId="21679" priority="1603" operator="lessThan">
      <formula>0.8</formula>
    </cfRule>
    <cfRule type="cellIs" dxfId="21678" priority="1604" operator="greaterThan">
      <formula>1</formula>
    </cfRule>
  </conditionalFormatting>
  <conditionalFormatting sqref="R32:R39">
    <cfRule type="cellIs" dxfId="21677" priority="1601" operator="greaterThan">
      <formula>1</formula>
    </cfRule>
    <cfRule type="cellIs" dxfId="21676" priority="1602" operator="lessThan">
      <formula>0.8</formula>
    </cfRule>
  </conditionalFormatting>
  <conditionalFormatting sqref="P32:P39">
    <cfRule type="cellIs" dxfId="21675" priority="1600" operator="greaterThan">
      <formula>0</formula>
    </cfRule>
  </conditionalFormatting>
  <conditionalFormatting sqref="Q32:Q39">
    <cfRule type="cellIs" dxfId="21674" priority="1599" operator="lessThan">
      <formula>0</formula>
    </cfRule>
  </conditionalFormatting>
  <conditionalFormatting sqref="R32:R39">
    <cfRule type="cellIs" dxfId="21673" priority="1597" operator="lessThan">
      <formula>0.8</formula>
    </cfRule>
    <cfRule type="cellIs" dxfId="21672" priority="1598" operator="greaterThan">
      <formula>1</formula>
    </cfRule>
  </conditionalFormatting>
  <conditionalFormatting sqref="R32:R39">
    <cfRule type="cellIs" dxfId="21671" priority="1595" operator="greaterThan">
      <formula>1</formula>
    </cfRule>
    <cfRule type="cellIs" dxfId="21670" priority="1596" operator="lessThan">
      <formula>0.8</formula>
    </cfRule>
  </conditionalFormatting>
  <conditionalFormatting sqref="P32:P39">
    <cfRule type="cellIs" dxfId="21669" priority="1594" operator="greaterThan">
      <formula>0</formula>
    </cfRule>
  </conditionalFormatting>
  <conditionalFormatting sqref="Q32:Q39">
    <cfRule type="cellIs" dxfId="21668" priority="1588" operator="lessThan">
      <formula>0</formula>
    </cfRule>
  </conditionalFormatting>
  <conditionalFormatting sqref="P32:P39">
    <cfRule type="cellIs" dxfId="21667" priority="1589" operator="greaterThan">
      <formula>0</formula>
    </cfRule>
  </conditionalFormatting>
  <conditionalFormatting sqref="R32:R39">
    <cfRule type="cellIs" dxfId="21666" priority="1592" operator="lessThan">
      <formula>0.8</formula>
    </cfRule>
    <cfRule type="cellIs" dxfId="21665" priority="1593" operator="greaterThan">
      <formula>1</formula>
    </cfRule>
  </conditionalFormatting>
  <conditionalFormatting sqref="R32:R39">
    <cfRule type="cellIs" dxfId="21664" priority="1590" operator="greaterThan">
      <formula>1</formula>
    </cfRule>
    <cfRule type="cellIs" dxfId="21663" priority="1591" operator="lessThan">
      <formula>0.8</formula>
    </cfRule>
  </conditionalFormatting>
  <conditionalFormatting sqref="Q32:Q39">
    <cfRule type="cellIs" dxfId="21662" priority="1582" operator="lessThan">
      <formula>0</formula>
    </cfRule>
  </conditionalFormatting>
  <conditionalFormatting sqref="R32:R39">
    <cfRule type="cellIs" dxfId="21661" priority="1586" operator="lessThan">
      <formula>0.8</formula>
    </cfRule>
    <cfRule type="cellIs" dxfId="21660" priority="1587" operator="greaterThan">
      <formula>1</formula>
    </cfRule>
  </conditionalFormatting>
  <conditionalFormatting sqref="R32:R39">
    <cfRule type="cellIs" dxfId="21659" priority="1584" operator="greaterThan">
      <formula>1</formula>
    </cfRule>
    <cfRule type="cellIs" dxfId="21658" priority="1585" operator="lessThan">
      <formula>0.8</formula>
    </cfRule>
  </conditionalFormatting>
  <conditionalFormatting sqref="P32:P39">
    <cfRule type="cellIs" dxfId="21657" priority="1583" operator="greaterThan">
      <formula>0</formula>
    </cfRule>
  </conditionalFormatting>
  <conditionalFormatting sqref="Q32:Q39">
    <cfRule type="cellIs" dxfId="21656" priority="1581" operator="lessThan">
      <formula>0</formula>
    </cfRule>
  </conditionalFormatting>
  <conditionalFormatting sqref="R32:R39">
    <cfRule type="cellIs" dxfId="21655" priority="1579" operator="lessThan">
      <formula>0.8</formula>
    </cfRule>
    <cfRule type="cellIs" dxfId="21654" priority="1580" operator="greaterThan">
      <formula>1</formula>
    </cfRule>
  </conditionalFormatting>
  <conditionalFormatting sqref="R32:R39">
    <cfRule type="cellIs" dxfId="21653" priority="1577" operator="greaterThan">
      <formula>1</formula>
    </cfRule>
    <cfRule type="cellIs" dxfId="21652" priority="1578" operator="lessThan">
      <formula>0.8</formula>
    </cfRule>
  </conditionalFormatting>
  <conditionalFormatting sqref="P32:P39">
    <cfRule type="cellIs" dxfId="21651" priority="1576" operator="greaterThan">
      <formula>0</formula>
    </cfRule>
  </conditionalFormatting>
  <conditionalFormatting sqref="Q32:Q39">
    <cfRule type="cellIs" dxfId="21650" priority="1575" operator="lessThan">
      <formula>0</formula>
    </cfRule>
  </conditionalFormatting>
  <conditionalFormatting sqref="R32:R39">
    <cfRule type="cellIs" dxfId="21649" priority="1573" operator="lessThan">
      <formula>0.8</formula>
    </cfRule>
    <cfRule type="cellIs" dxfId="21648" priority="1574" operator="greaterThan">
      <formula>1</formula>
    </cfRule>
  </conditionalFormatting>
  <conditionalFormatting sqref="R32:R39">
    <cfRule type="cellIs" dxfId="21647" priority="1571" operator="greaterThan">
      <formula>1</formula>
    </cfRule>
    <cfRule type="cellIs" dxfId="21646" priority="1572" operator="lessThan">
      <formula>0.8</formula>
    </cfRule>
  </conditionalFormatting>
  <conditionalFormatting sqref="P32:P39">
    <cfRule type="cellIs" dxfId="21645" priority="1570" operator="greaterThan">
      <formula>0</formula>
    </cfRule>
  </conditionalFormatting>
  <conditionalFormatting sqref="Q19:Q25">
    <cfRule type="cellIs" dxfId="21644" priority="1569" operator="lessThan">
      <formula>0</formula>
    </cfRule>
  </conditionalFormatting>
  <conditionalFormatting sqref="R19:R25">
    <cfRule type="cellIs" dxfId="21643" priority="1567" operator="lessThan">
      <formula>0.8</formula>
    </cfRule>
    <cfRule type="cellIs" dxfId="21642" priority="1568" operator="greaterThan">
      <formula>1</formula>
    </cfRule>
  </conditionalFormatting>
  <conditionalFormatting sqref="R19:R25">
    <cfRule type="cellIs" dxfId="21641" priority="1565" operator="greaterThan">
      <formula>1</formula>
    </cfRule>
    <cfRule type="cellIs" dxfId="21640" priority="1566" operator="lessThan">
      <formula>0.8</formula>
    </cfRule>
  </conditionalFormatting>
  <conditionalFormatting sqref="P19:P25">
    <cfRule type="cellIs" dxfId="21639" priority="1564" operator="greaterThan">
      <formula>0</formula>
    </cfRule>
  </conditionalFormatting>
  <conditionalFormatting sqref="R19:R25">
    <cfRule type="cellIs" dxfId="21638" priority="1561" operator="lessThan">
      <formula>0.8</formula>
    </cfRule>
    <cfRule type="cellIs" dxfId="21637" priority="1562" operator="greaterThan">
      <formula>1</formula>
    </cfRule>
  </conditionalFormatting>
  <conditionalFormatting sqref="R19:R25">
    <cfRule type="cellIs" dxfId="21636" priority="1559" operator="greaterThan">
      <formula>1</formula>
    </cfRule>
    <cfRule type="cellIs" dxfId="21635" priority="1560" operator="lessThan">
      <formula>0.8</formula>
    </cfRule>
  </conditionalFormatting>
  <conditionalFormatting sqref="P19:P25">
    <cfRule type="cellIs" dxfId="21634" priority="1558" operator="greaterThan">
      <formula>0</formula>
    </cfRule>
  </conditionalFormatting>
  <conditionalFormatting sqref="Q19:Q25">
    <cfRule type="cellIs" dxfId="21633" priority="1563" operator="lessThan">
      <formula>0</formula>
    </cfRule>
  </conditionalFormatting>
  <conditionalFormatting sqref="R19:R25">
    <cfRule type="cellIs" dxfId="21632" priority="1555" operator="lessThan">
      <formula>0.8</formula>
    </cfRule>
    <cfRule type="cellIs" dxfId="21631" priority="1556" operator="greaterThan">
      <formula>1</formula>
    </cfRule>
  </conditionalFormatting>
  <conditionalFormatting sqref="R19:R25">
    <cfRule type="cellIs" dxfId="21630" priority="1553" operator="greaterThan">
      <formula>1</formula>
    </cfRule>
    <cfRule type="cellIs" dxfId="21629" priority="1554" operator="lessThan">
      <formula>0.8</formula>
    </cfRule>
  </conditionalFormatting>
  <conditionalFormatting sqref="P19:P25">
    <cfRule type="cellIs" dxfId="21628" priority="1552" operator="greaterThan">
      <formula>0</formula>
    </cfRule>
  </conditionalFormatting>
  <conditionalFormatting sqref="Q19:Q25">
    <cfRule type="cellIs" dxfId="21627" priority="1557" operator="lessThan">
      <formula>0</formula>
    </cfRule>
  </conditionalFormatting>
  <conditionalFormatting sqref="Q19:Q25">
    <cfRule type="cellIs" dxfId="21626" priority="1551" operator="lessThan">
      <formula>0</formula>
    </cfRule>
  </conditionalFormatting>
  <conditionalFormatting sqref="R19:R25">
    <cfRule type="cellIs" dxfId="21625" priority="1549" operator="lessThan">
      <formula>0.8</formula>
    </cfRule>
    <cfRule type="cellIs" dxfId="21624" priority="1550" operator="greaterThan">
      <formula>1</formula>
    </cfRule>
  </conditionalFormatting>
  <conditionalFormatting sqref="R19:R25">
    <cfRule type="cellIs" dxfId="21623" priority="1547" operator="greaterThan">
      <formula>1</formula>
    </cfRule>
    <cfRule type="cellIs" dxfId="21622" priority="1548" operator="lessThan">
      <formula>0.8</formula>
    </cfRule>
  </conditionalFormatting>
  <conditionalFormatting sqref="P19:P25">
    <cfRule type="cellIs" dxfId="21621" priority="1546" operator="greaterThan">
      <formula>0</formula>
    </cfRule>
  </conditionalFormatting>
  <conditionalFormatting sqref="Q135:Q136 Q139 Q142">
    <cfRule type="cellIs" dxfId="21620" priority="1545" operator="lessThan">
      <formula>0</formula>
    </cfRule>
  </conditionalFormatting>
  <conditionalFormatting sqref="R135:R136 R139 R142">
    <cfRule type="cellIs" dxfId="21619" priority="1543" operator="lessThan">
      <formula>0.8</formula>
    </cfRule>
    <cfRule type="cellIs" dxfId="21618" priority="1544" operator="greaterThan">
      <formula>1</formula>
    </cfRule>
  </conditionalFormatting>
  <conditionalFormatting sqref="R135:R136 R139 R142">
    <cfRule type="cellIs" dxfId="21617" priority="1541" operator="greaterThan">
      <formula>1</formula>
    </cfRule>
    <cfRule type="cellIs" dxfId="21616" priority="1542" operator="lessThan">
      <formula>0.8</formula>
    </cfRule>
  </conditionalFormatting>
  <conditionalFormatting sqref="P135:P136 P139 P142">
    <cfRule type="cellIs" dxfId="21615" priority="1540" operator="greaterThan">
      <formula>0</formula>
    </cfRule>
  </conditionalFormatting>
  <conditionalFormatting sqref="P135:P136 P139 P142">
    <cfRule type="cellIs" dxfId="21614" priority="1534" operator="greaterThan">
      <formula>0</formula>
    </cfRule>
  </conditionalFormatting>
  <conditionalFormatting sqref="Q135:Q136 Q139 Q142">
    <cfRule type="cellIs" dxfId="21613" priority="1539" operator="lessThan">
      <formula>0</formula>
    </cfRule>
  </conditionalFormatting>
  <conditionalFormatting sqref="R135:R136 R139 R142">
    <cfRule type="cellIs" dxfId="21612" priority="1537" operator="lessThan">
      <formula>0.8</formula>
    </cfRule>
    <cfRule type="cellIs" dxfId="21611" priority="1538" operator="greaterThan">
      <formula>1</formula>
    </cfRule>
  </conditionalFormatting>
  <conditionalFormatting sqref="R135:R136 R139 R142">
    <cfRule type="cellIs" dxfId="21610" priority="1535" operator="greaterThan">
      <formula>1</formula>
    </cfRule>
    <cfRule type="cellIs" dxfId="21609" priority="1536" operator="lessThan">
      <formula>0.8</formula>
    </cfRule>
  </conditionalFormatting>
  <conditionalFormatting sqref="P19:P25">
    <cfRule type="cellIs" dxfId="21608" priority="1528" operator="greaterThan">
      <formula>0</formula>
    </cfRule>
  </conditionalFormatting>
  <conditionalFormatting sqref="Q19:Q25">
    <cfRule type="cellIs" dxfId="21607" priority="1533" operator="lessThan">
      <formula>0</formula>
    </cfRule>
  </conditionalFormatting>
  <conditionalFormatting sqref="R19:R25">
    <cfRule type="cellIs" dxfId="21606" priority="1531" operator="lessThan">
      <formula>0.8</formula>
    </cfRule>
    <cfRule type="cellIs" dxfId="21605" priority="1532" operator="greaterThan">
      <formula>1</formula>
    </cfRule>
  </conditionalFormatting>
  <conditionalFormatting sqref="R19:R25">
    <cfRule type="cellIs" dxfId="21604" priority="1529" operator="greaterThan">
      <formula>1</formula>
    </cfRule>
    <cfRule type="cellIs" dxfId="21603" priority="1530" operator="lessThan">
      <formula>0.8</formula>
    </cfRule>
  </conditionalFormatting>
  <conditionalFormatting sqref="Q19:Q25">
    <cfRule type="cellIs" dxfId="21602" priority="1527" operator="lessThan">
      <formula>0</formula>
    </cfRule>
  </conditionalFormatting>
  <conditionalFormatting sqref="R19:R25">
    <cfRule type="cellIs" dxfId="21601" priority="1525" operator="lessThan">
      <formula>0.8</formula>
    </cfRule>
    <cfRule type="cellIs" dxfId="21600" priority="1526" operator="greaterThan">
      <formula>1</formula>
    </cfRule>
  </conditionalFormatting>
  <conditionalFormatting sqref="R19:R25">
    <cfRule type="cellIs" dxfId="21599" priority="1523" operator="greaterThan">
      <formula>1</formula>
    </cfRule>
    <cfRule type="cellIs" dxfId="21598" priority="1524" operator="lessThan">
      <formula>0.8</formula>
    </cfRule>
  </conditionalFormatting>
  <conditionalFormatting sqref="P19:P25">
    <cfRule type="cellIs" dxfId="21597" priority="1522" operator="greaterThan">
      <formula>0</formula>
    </cfRule>
  </conditionalFormatting>
  <conditionalFormatting sqref="Q19:Q25">
    <cfRule type="cellIs" dxfId="21596" priority="1521" operator="lessThan">
      <formula>0</formula>
    </cfRule>
  </conditionalFormatting>
  <conditionalFormatting sqref="R19:R25">
    <cfRule type="cellIs" dxfId="21595" priority="1519" operator="lessThan">
      <formula>0.8</formula>
    </cfRule>
    <cfRule type="cellIs" dxfId="21594" priority="1520" operator="greaterThan">
      <formula>1</formula>
    </cfRule>
  </conditionalFormatting>
  <conditionalFormatting sqref="R19:R25">
    <cfRule type="cellIs" dxfId="21593" priority="1517" operator="greaterThan">
      <formula>1</formula>
    </cfRule>
    <cfRule type="cellIs" dxfId="21592" priority="1518" operator="lessThan">
      <formula>0.8</formula>
    </cfRule>
  </conditionalFormatting>
  <conditionalFormatting sqref="P19:P25">
    <cfRule type="cellIs" dxfId="21591" priority="1516" operator="greaterThan">
      <formula>0</formula>
    </cfRule>
  </conditionalFormatting>
  <conditionalFormatting sqref="Q19:Q25">
    <cfRule type="cellIs" dxfId="21590" priority="1515" operator="lessThan">
      <formula>0</formula>
    </cfRule>
  </conditionalFormatting>
  <conditionalFormatting sqref="R19:R25">
    <cfRule type="cellIs" dxfId="21589" priority="1513" operator="lessThan">
      <formula>0.8</formula>
    </cfRule>
    <cfRule type="cellIs" dxfId="21588" priority="1514" operator="greaterThan">
      <formula>1</formula>
    </cfRule>
  </conditionalFormatting>
  <conditionalFormatting sqref="R19:R25">
    <cfRule type="cellIs" dxfId="21587" priority="1511" operator="greaterThan">
      <formula>1</formula>
    </cfRule>
    <cfRule type="cellIs" dxfId="21586" priority="1512" operator="lessThan">
      <formula>0.8</formula>
    </cfRule>
  </conditionalFormatting>
  <conditionalFormatting sqref="P19:P25">
    <cfRule type="cellIs" dxfId="21585" priority="1510" operator="greaterThan">
      <formula>0</formula>
    </cfRule>
  </conditionalFormatting>
  <conditionalFormatting sqref="R19:R25">
    <cfRule type="cellIs" dxfId="21584" priority="1507" operator="lessThan">
      <formula>0.8</formula>
    </cfRule>
    <cfRule type="cellIs" dxfId="21583" priority="1508" operator="greaterThan">
      <formula>1</formula>
    </cfRule>
  </conditionalFormatting>
  <conditionalFormatting sqref="R19:R25">
    <cfRule type="cellIs" dxfId="21582" priority="1505" operator="greaterThan">
      <formula>1</formula>
    </cfRule>
    <cfRule type="cellIs" dxfId="21581" priority="1506" operator="lessThan">
      <formula>0.8</formula>
    </cfRule>
  </conditionalFormatting>
  <conditionalFormatting sqref="P19:P25">
    <cfRule type="cellIs" dxfId="21580" priority="1504" operator="greaterThan">
      <formula>0</formula>
    </cfRule>
  </conditionalFormatting>
  <conditionalFormatting sqref="Q19:Q25">
    <cfRule type="cellIs" dxfId="21579" priority="1509" operator="lessThan">
      <formula>0</formula>
    </cfRule>
  </conditionalFormatting>
  <conditionalFormatting sqref="Q19:Q25">
    <cfRule type="cellIs" dxfId="21578" priority="1503" operator="lessThan">
      <formula>0</formula>
    </cfRule>
  </conditionalFormatting>
  <conditionalFormatting sqref="R19:R25">
    <cfRule type="cellIs" dxfId="21577" priority="1501" operator="lessThan">
      <formula>0.8</formula>
    </cfRule>
    <cfRule type="cellIs" dxfId="21576" priority="1502" operator="greaterThan">
      <formula>1</formula>
    </cfRule>
  </conditionalFormatting>
  <conditionalFormatting sqref="R19:R25">
    <cfRule type="cellIs" dxfId="21575" priority="1499" operator="greaterThan">
      <formula>1</formula>
    </cfRule>
    <cfRule type="cellIs" dxfId="21574" priority="1500" operator="lessThan">
      <formula>0.8</formula>
    </cfRule>
  </conditionalFormatting>
  <conditionalFormatting sqref="P19:P25">
    <cfRule type="cellIs" dxfId="21573" priority="1498" operator="greaterThan">
      <formula>0</formula>
    </cfRule>
  </conditionalFormatting>
  <conditionalFormatting sqref="P19:P25">
    <cfRule type="cellIs" dxfId="21572" priority="1492" operator="greaterThan">
      <formula>0</formula>
    </cfRule>
  </conditionalFormatting>
  <conditionalFormatting sqref="Q19:Q25">
    <cfRule type="cellIs" dxfId="21571" priority="1497" operator="lessThan">
      <formula>0</formula>
    </cfRule>
  </conditionalFormatting>
  <conditionalFormatting sqref="R19:R25">
    <cfRule type="cellIs" dxfId="21570" priority="1495" operator="lessThan">
      <formula>0.8</formula>
    </cfRule>
    <cfRule type="cellIs" dxfId="21569" priority="1496" operator="greaterThan">
      <formula>1</formula>
    </cfRule>
  </conditionalFormatting>
  <conditionalFormatting sqref="R19:R25">
    <cfRule type="cellIs" dxfId="21568" priority="1493" operator="greaterThan">
      <formula>1</formula>
    </cfRule>
    <cfRule type="cellIs" dxfId="21567" priority="1494" operator="lessThan">
      <formula>0.8</formula>
    </cfRule>
  </conditionalFormatting>
  <conditionalFormatting sqref="P19:P25">
    <cfRule type="cellIs" dxfId="21566" priority="1486" operator="greaterThan">
      <formula>0</formula>
    </cfRule>
  </conditionalFormatting>
  <conditionalFormatting sqref="Q19:Q25">
    <cfRule type="cellIs" dxfId="21565" priority="1491" operator="lessThan">
      <formula>0</formula>
    </cfRule>
  </conditionalFormatting>
  <conditionalFormatting sqref="R19:R25">
    <cfRule type="cellIs" dxfId="21564" priority="1489" operator="lessThan">
      <formula>0.8</formula>
    </cfRule>
    <cfRule type="cellIs" dxfId="21563" priority="1490" operator="greaterThan">
      <formula>1</formula>
    </cfRule>
  </conditionalFormatting>
  <conditionalFormatting sqref="R19:R25">
    <cfRule type="cellIs" dxfId="21562" priority="1487" operator="greaterThan">
      <formula>1</formula>
    </cfRule>
    <cfRule type="cellIs" dxfId="21561" priority="1488" operator="lessThan">
      <formula>0.8</formula>
    </cfRule>
  </conditionalFormatting>
  <conditionalFormatting sqref="Q19:Q25">
    <cfRule type="cellIs" dxfId="21560" priority="1485" operator="lessThan">
      <formula>0</formula>
    </cfRule>
  </conditionalFormatting>
  <conditionalFormatting sqref="R19:R25">
    <cfRule type="cellIs" dxfId="21559" priority="1483" operator="lessThan">
      <formula>0.8</formula>
    </cfRule>
    <cfRule type="cellIs" dxfId="21558" priority="1484" operator="greaterThan">
      <formula>1</formula>
    </cfRule>
  </conditionalFormatting>
  <conditionalFormatting sqref="R19:R25">
    <cfRule type="cellIs" dxfId="21557" priority="1481" operator="greaterThan">
      <formula>1</formula>
    </cfRule>
    <cfRule type="cellIs" dxfId="21556" priority="1482" operator="lessThan">
      <formula>0.8</formula>
    </cfRule>
  </conditionalFormatting>
  <conditionalFormatting sqref="P19:P25">
    <cfRule type="cellIs" dxfId="21555" priority="1480" operator="greaterThan">
      <formula>0</formula>
    </cfRule>
  </conditionalFormatting>
  <conditionalFormatting sqref="Q19:Q25">
    <cfRule type="cellIs" dxfId="21554" priority="1479" operator="lessThan">
      <formula>0</formula>
    </cfRule>
  </conditionalFormatting>
  <conditionalFormatting sqref="R19:R25">
    <cfRule type="cellIs" dxfId="21553" priority="1477" operator="lessThan">
      <formula>0.8</formula>
    </cfRule>
    <cfRule type="cellIs" dxfId="21552" priority="1478" operator="greaterThan">
      <formula>1</formula>
    </cfRule>
  </conditionalFormatting>
  <conditionalFormatting sqref="R19:R25">
    <cfRule type="cellIs" dxfId="21551" priority="1475" operator="greaterThan">
      <formula>1</formula>
    </cfRule>
    <cfRule type="cellIs" dxfId="21550" priority="1476" operator="lessThan">
      <formula>0.8</formula>
    </cfRule>
  </conditionalFormatting>
  <conditionalFormatting sqref="P19:P25">
    <cfRule type="cellIs" dxfId="21549" priority="1474" operator="greaterThan">
      <formula>0</formula>
    </cfRule>
  </conditionalFormatting>
  <conditionalFormatting sqref="P19:P25">
    <cfRule type="cellIs" dxfId="21548" priority="1468" operator="greaterThan">
      <formula>0</formula>
    </cfRule>
  </conditionalFormatting>
  <conditionalFormatting sqref="Q19:Q25">
    <cfRule type="cellIs" dxfId="21547" priority="1473" operator="lessThan">
      <formula>0</formula>
    </cfRule>
  </conditionalFormatting>
  <conditionalFormatting sqref="R19:R25">
    <cfRule type="cellIs" dxfId="21546" priority="1471" operator="lessThan">
      <formula>0.8</formula>
    </cfRule>
    <cfRule type="cellIs" dxfId="21545" priority="1472" operator="greaterThan">
      <formula>1</formula>
    </cfRule>
  </conditionalFormatting>
  <conditionalFormatting sqref="R19:R25">
    <cfRule type="cellIs" dxfId="21544" priority="1469" operator="greaterThan">
      <formula>1</formula>
    </cfRule>
    <cfRule type="cellIs" dxfId="21543" priority="1470" operator="lessThan">
      <formula>0.8</formula>
    </cfRule>
  </conditionalFormatting>
  <conditionalFormatting sqref="Q19:Q25">
    <cfRule type="cellIs" dxfId="21542" priority="1467" operator="lessThan">
      <formula>0</formula>
    </cfRule>
  </conditionalFormatting>
  <conditionalFormatting sqref="R19:R25">
    <cfRule type="cellIs" dxfId="21541" priority="1465" operator="lessThan">
      <formula>0.8</formula>
    </cfRule>
    <cfRule type="cellIs" dxfId="21540" priority="1466" operator="greaterThan">
      <formula>1</formula>
    </cfRule>
  </conditionalFormatting>
  <conditionalFormatting sqref="R19:R25">
    <cfRule type="cellIs" dxfId="21539" priority="1463" operator="greaterThan">
      <formula>1</formula>
    </cfRule>
    <cfRule type="cellIs" dxfId="21538" priority="1464" operator="lessThan">
      <formula>0.8</formula>
    </cfRule>
  </conditionalFormatting>
  <conditionalFormatting sqref="P19:P25">
    <cfRule type="cellIs" dxfId="21537" priority="1462" operator="greaterThan">
      <formula>0</formula>
    </cfRule>
  </conditionalFormatting>
  <conditionalFormatting sqref="Q19:Q25">
    <cfRule type="cellIs" dxfId="21536" priority="1461" operator="lessThan">
      <formula>0</formula>
    </cfRule>
  </conditionalFormatting>
  <conditionalFormatting sqref="R19:R25">
    <cfRule type="cellIs" dxfId="21535" priority="1459" operator="lessThan">
      <formula>0.8</formula>
    </cfRule>
    <cfRule type="cellIs" dxfId="21534" priority="1460" operator="greaterThan">
      <formula>1</formula>
    </cfRule>
  </conditionalFormatting>
  <conditionalFormatting sqref="R19:R25">
    <cfRule type="cellIs" dxfId="21533" priority="1457" operator="greaterThan">
      <formula>1</formula>
    </cfRule>
    <cfRule type="cellIs" dxfId="21532" priority="1458" operator="lessThan">
      <formula>0.8</formula>
    </cfRule>
  </conditionalFormatting>
  <conditionalFormatting sqref="P19:P25">
    <cfRule type="cellIs" dxfId="21531" priority="1456" operator="greaterThan">
      <formula>0</formula>
    </cfRule>
  </conditionalFormatting>
  <conditionalFormatting sqref="Q19:Q25">
    <cfRule type="cellIs" dxfId="21530" priority="1455" operator="lessThan">
      <formula>0</formula>
    </cfRule>
  </conditionalFormatting>
  <conditionalFormatting sqref="R19:R25">
    <cfRule type="cellIs" dxfId="21529" priority="1453" operator="lessThan">
      <formula>0.8</formula>
    </cfRule>
    <cfRule type="cellIs" dxfId="21528" priority="1454" operator="greaterThan">
      <formula>1</formula>
    </cfRule>
  </conditionalFormatting>
  <conditionalFormatting sqref="R19:R25">
    <cfRule type="cellIs" dxfId="21527" priority="1451" operator="greaterThan">
      <formula>1</formula>
    </cfRule>
    <cfRule type="cellIs" dxfId="21526" priority="1452" operator="lessThan">
      <formula>0.8</formula>
    </cfRule>
  </conditionalFormatting>
  <conditionalFormatting sqref="P19:P25">
    <cfRule type="cellIs" dxfId="21525" priority="1450" operator="greaterThan">
      <formula>0</formula>
    </cfRule>
  </conditionalFormatting>
  <conditionalFormatting sqref="R19:R25">
    <cfRule type="cellIs" dxfId="21524" priority="1447" operator="lessThan">
      <formula>0.8</formula>
    </cfRule>
    <cfRule type="cellIs" dxfId="21523" priority="1448" operator="greaterThan">
      <formula>1</formula>
    </cfRule>
  </conditionalFormatting>
  <conditionalFormatting sqref="R19:R25">
    <cfRule type="cellIs" dxfId="21522" priority="1445" operator="greaterThan">
      <formula>1</formula>
    </cfRule>
    <cfRule type="cellIs" dxfId="21521" priority="1446" operator="lessThan">
      <formula>0.8</formula>
    </cfRule>
  </conditionalFormatting>
  <conditionalFormatting sqref="P19:P25">
    <cfRule type="cellIs" dxfId="21520" priority="1444" operator="greaterThan">
      <formula>0</formula>
    </cfRule>
  </conditionalFormatting>
  <conditionalFormatting sqref="Q19:Q25">
    <cfRule type="cellIs" dxfId="21519" priority="1449" operator="lessThan">
      <formula>0</formula>
    </cfRule>
  </conditionalFormatting>
  <conditionalFormatting sqref="Q40">
    <cfRule type="cellIs" dxfId="21518" priority="1443" operator="lessThan">
      <formula>0</formula>
    </cfRule>
  </conditionalFormatting>
  <conditionalFormatting sqref="R40">
    <cfRule type="cellIs" dxfId="21517" priority="1441" operator="lessThan">
      <formula>0.8</formula>
    </cfRule>
    <cfRule type="cellIs" dxfId="21516" priority="1442" operator="greaterThan">
      <formula>1</formula>
    </cfRule>
  </conditionalFormatting>
  <conditionalFormatting sqref="R40">
    <cfRule type="cellIs" dxfId="21515" priority="1439" operator="greaterThan">
      <formula>1</formula>
    </cfRule>
    <cfRule type="cellIs" dxfId="21514" priority="1440" operator="lessThan">
      <formula>0.8</formula>
    </cfRule>
  </conditionalFormatting>
  <conditionalFormatting sqref="P40">
    <cfRule type="cellIs" dxfId="21513" priority="1438" operator="greaterThan">
      <formula>0</formula>
    </cfRule>
  </conditionalFormatting>
  <conditionalFormatting sqref="P40">
    <cfRule type="cellIs" dxfId="21512" priority="1432" operator="greaterThan">
      <formula>0</formula>
    </cfRule>
  </conditionalFormatting>
  <conditionalFormatting sqref="Q40">
    <cfRule type="cellIs" dxfId="21511" priority="1437" operator="lessThan">
      <formula>0</formula>
    </cfRule>
  </conditionalFormatting>
  <conditionalFormatting sqref="R40">
    <cfRule type="cellIs" dxfId="21510" priority="1435" operator="lessThan">
      <formula>0.8</formula>
    </cfRule>
    <cfRule type="cellIs" dxfId="21509" priority="1436" operator="greaterThan">
      <formula>1</formula>
    </cfRule>
  </conditionalFormatting>
  <conditionalFormatting sqref="R40">
    <cfRule type="cellIs" dxfId="21508" priority="1433" operator="greaterThan">
      <formula>1</formula>
    </cfRule>
    <cfRule type="cellIs" dxfId="21507" priority="1434" operator="lessThan">
      <formula>0.8</formula>
    </cfRule>
  </conditionalFormatting>
  <conditionalFormatting sqref="P40">
    <cfRule type="cellIs" dxfId="21506" priority="1426" operator="greaterThan">
      <formula>0</formula>
    </cfRule>
  </conditionalFormatting>
  <conditionalFormatting sqref="Q40">
    <cfRule type="cellIs" dxfId="21505" priority="1431" operator="lessThan">
      <formula>0</formula>
    </cfRule>
  </conditionalFormatting>
  <conditionalFormatting sqref="R40">
    <cfRule type="cellIs" dxfId="21504" priority="1429" operator="lessThan">
      <formula>0.8</formula>
    </cfRule>
    <cfRule type="cellIs" dxfId="21503" priority="1430" operator="greaterThan">
      <formula>1</formula>
    </cfRule>
  </conditionalFormatting>
  <conditionalFormatting sqref="R40">
    <cfRule type="cellIs" dxfId="21502" priority="1427" operator="greaterThan">
      <formula>1</formula>
    </cfRule>
    <cfRule type="cellIs" dxfId="21501" priority="1428" operator="lessThan">
      <formula>0.8</formula>
    </cfRule>
  </conditionalFormatting>
  <conditionalFormatting sqref="Q40">
    <cfRule type="cellIs" dxfId="21500" priority="1425" operator="lessThan">
      <formula>0</formula>
    </cfRule>
  </conditionalFormatting>
  <conditionalFormatting sqref="R40">
    <cfRule type="cellIs" dxfId="21499" priority="1423" operator="lessThan">
      <formula>0.8</formula>
    </cfRule>
    <cfRule type="cellIs" dxfId="21498" priority="1424" operator="greaterThan">
      <formula>1</formula>
    </cfRule>
  </conditionalFormatting>
  <conditionalFormatting sqref="R40">
    <cfRule type="cellIs" dxfId="21497" priority="1421" operator="greaterThan">
      <formula>1</formula>
    </cfRule>
    <cfRule type="cellIs" dxfId="21496" priority="1422" operator="lessThan">
      <formula>0.8</formula>
    </cfRule>
  </conditionalFormatting>
  <conditionalFormatting sqref="P40">
    <cfRule type="cellIs" dxfId="21495" priority="1420" operator="greaterThan">
      <formula>0</formula>
    </cfRule>
  </conditionalFormatting>
  <conditionalFormatting sqref="P40">
    <cfRule type="cellIs" dxfId="21494" priority="1414" operator="greaterThan">
      <formula>0</formula>
    </cfRule>
  </conditionalFormatting>
  <conditionalFormatting sqref="Q40">
    <cfRule type="cellIs" dxfId="21493" priority="1419" operator="lessThan">
      <formula>0</formula>
    </cfRule>
  </conditionalFormatting>
  <conditionalFormatting sqref="R40">
    <cfRule type="cellIs" dxfId="21492" priority="1417" operator="lessThan">
      <formula>0.8</formula>
    </cfRule>
    <cfRule type="cellIs" dxfId="21491" priority="1418" operator="greaterThan">
      <formula>1</formula>
    </cfRule>
  </conditionalFormatting>
  <conditionalFormatting sqref="R40">
    <cfRule type="cellIs" dxfId="21490" priority="1415" operator="greaterThan">
      <formula>1</formula>
    </cfRule>
    <cfRule type="cellIs" dxfId="21489" priority="1416" operator="lessThan">
      <formula>0.8</formula>
    </cfRule>
  </conditionalFormatting>
  <conditionalFormatting sqref="P40">
    <cfRule type="cellIs" dxfId="21488" priority="1408" operator="greaterThan">
      <formula>0</formula>
    </cfRule>
  </conditionalFormatting>
  <conditionalFormatting sqref="Q40">
    <cfRule type="cellIs" dxfId="21487" priority="1413" operator="lessThan">
      <formula>0</formula>
    </cfRule>
  </conditionalFormatting>
  <conditionalFormatting sqref="R40">
    <cfRule type="cellIs" dxfId="21486" priority="1411" operator="lessThan">
      <formula>0.8</formula>
    </cfRule>
    <cfRule type="cellIs" dxfId="21485" priority="1412" operator="greaterThan">
      <formula>1</formula>
    </cfRule>
  </conditionalFormatting>
  <conditionalFormatting sqref="R40">
    <cfRule type="cellIs" dxfId="21484" priority="1409" operator="greaterThan">
      <formula>1</formula>
    </cfRule>
    <cfRule type="cellIs" dxfId="21483" priority="1410" operator="lessThan">
      <formula>0.8</formula>
    </cfRule>
  </conditionalFormatting>
  <conditionalFormatting sqref="P40">
    <cfRule type="cellIs" dxfId="21482" priority="1402" operator="greaterThan">
      <formula>0</formula>
    </cfRule>
  </conditionalFormatting>
  <conditionalFormatting sqref="Q40">
    <cfRule type="cellIs" dxfId="21481" priority="1407" operator="lessThan">
      <formula>0</formula>
    </cfRule>
  </conditionalFormatting>
  <conditionalFormatting sqref="R40">
    <cfRule type="cellIs" dxfId="21480" priority="1405" operator="lessThan">
      <formula>0.8</formula>
    </cfRule>
    <cfRule type="cellIs" dxfId="21479" priority="1406" operator="greaterThan">
      <formula>1</formula>
    </cfRule>
  </conditionalFormatting>
  <conditionalFormatting sqref="R40">
    <cfRule type="cellIs" dxfId="21478" priority="1403" operator="greaterThan">
      <formula>1</formula>
    </cfRule>
    <cfRule type="cellIs" dxfId="21477" priority="1404" operator="lessThan">
      <formula>0.8</formula>
    </cfRule>
  </conditionalFormatting>
  <conditionalFormatting sqref="Q40">
    <cfRule type="cellIs" dxfId="21476" priority="1396" operator="lessThan">
      <formula>0</formula>
    </cfRule>
  </conditionalFormatting>
  <conditionalFormatting sqref="P40">
    <cfRule type="cellIs" dxfId="21475" priority="1397" operator="greaterThan">
      <formula>0</formula>
    </cfRule>
  </conditionalFormatting>
  <conditionalFormatting sqref="R40">
    <cfRule type="cellIs" dxfId="21474" priority="1400" operator="lessThan">
      <formula>0.8</formula>
    </cfRule>
    <cfRule type="cellIs" dxfId="21473" priority="1401" operator="greaterThan">
      <formula>1</formula>
    </cfRule>
  </conditionalFormatting>
  <conditionalFormatting sqref="R40">
    <cfRule type="cellIs" dxfId="21472" priority="1398" operator="greaterThan">
      <formula>1</formula>
    </cfRule>
    <cfRule type="cellIs" dxfId="21471" priority="1399" operator="lessThan">
      <formula>0.8</formula>
    </cfRule>
  </conditionalFormatting>
  <conditionalFormatting sqref="Q40">
    <cfRule type="cellIs" dxfId="21470" priority="1390" operator="lessThan">
      <formula>0</formula>
    </cfRule>
  </conditionalFormatting>
  <conditionalFormatting sqref="R40">
    <cfRule type="cellIs" dxfId="21469" priority="1394" operator="lessThan">
      <formula>0.8</formula>
    </cfRule>
    <cfRule type="cellIs" dxfId="21468" priority="1395" operator="greaterThan">
      <formula>1</formula>
    </cfRule>
  </conditionalFormatting>
  <conditionalFormatting sqref="R40">
    <cfRule type="cellIs" dxfId="21467" priority="1392" operator="greaterThan">
      <formula>1</formula>
    </cfRule>
    <cfRule type="cellIs" dxfId="21466" priority="1393" operator="lessThan">
      <formula>0.8</formula>
    </cfRule>
  </conditionalFormatting>
  <conditionalFormatting sqref="P40">
    <cfRule type="cellIs" dxfId="21465" priority="1391" operator="greaterThan">
      <formula>0</formula>
    </cfRule>
  </conditionalFormatting>
  <conditionalFormatting sqref="Q40">
    <cfRule type="cellIs" dxfId="21464" priority="1389" operator="lessThan">
      <formula>0</formula>
    </cfRule>
  </conditionalFormatting>
  <conditionalFormatting sqref="R40">
    <cfRule type="cellIs" dxfId="21463" priority="1387" operator="lessThan">
      <formula>0.8</formula>
    </cfRule>
    <cfRule type="cellIs" dxfId="21462" priority="1388" operator="greaterThan">
      <formula>1</formula>
    </cfRule>
  </conditionalFormatting>
  <conditionalFormatting sqref="R40">
    <cfRule type="cellIs" dxfId="21461" priority="1385" operator="greaterThan">
      <formula>1</formula>
    </cfRule>
    <cfRule type="cellIs" dxfId="21460" priority="1386" operator="lessThan">
      <formula>0.8</formula>
    </cfRule>
  </conditionalFormatting>
  <conditionalFormatting sqref="P40">
    <cfRule type="cellIs" dxfId="21459" priority="1384" operator="greaterThan">
      <formula>0</formula>
    </cfRule>
  </conditionalFormatting>
  <conditionalFormatting sqref="Q40">
    <cfRule type="cellIs" dxfId="21458" priority="1383" operator="lessThan">
      <formula>0</formula>
    </cfRule>
  </conditionalFormatting>
  <conditionalFormatting sqref="R40">
    <cfRule type="cellIs" dxfId="21457" priority="1381" operator="lessThan">
      <formula>0.8</formula>
    </cfRule>
    <cfRule type="cellIs" dxfId="21456" priority="1382" operator="greaterThan">
      <formula>1</formula>
    </cfRule>
  </conditionalFormatting>
  <conditionalFormatting sqref="R40">
    <cfRule type="cellIs" dxfId="21455" priority="1379" operator="greaterThan">
      <formula>1</formula>
    </cfRule>
    <cfRule type="cellIs" dxfId="21454" priority="1380" operator="lessThan">
      <formula>0.8</formula>
    </cfRule>
  </conditionalFormatting>
  <conditionalFormatting sqref="P40">
    <cfRule type="cellIs" dxfId="21453" priority="1378" operator="greaterThan">
      <formula>0</formula>
    </cfRule>
  </conditionalFormatting>
  <conditionalFormatting sqref="Q32:Q39">
    <cfRule type="cellIs" dxfId="21452" priority="1377" operator="lessThan">
      <formula>0</formula>
    </cfRule>
  </conditionalFormatting>
  <conditionalFormatting sqref="R32:R39">
    <cfRule type="cellIs" dxfId="21451" priority="1375" operator="lessThan">
      <formula>0.8</formula>
    </cfRule>
    <cfRule type="cellIs" dxfId="21450" priority="1376" operator="greaterThan">
      <formula>1</formula>
    </cfRule>
  </conditionalFormatting>
  <conditionalFormatting sqref="R32:R39">
    <cfRule type="cellIs" dxfId="21449" priority="1373" operator="greaterThan">
      <formula>1</formula>
    </cfRule>
    <cfRule type="cellIs" dxfId="21448" priority="1374" operator="lessThan">
      <formula>0.8</formula>
    </cfRule>
  </conditionalFormatting>
  <conditionalFormatting sqref="P32:P39">
    <cfRule type="cellIs" dxfId="21447" priority="1372" operator="greaterThan">
      <formula>0</formula>
    </cfRule>
  </conditionalFormatting>
  <conditionalFormatting sqref="Q32:Q39">
    <cfRule type="cellIs" dxfId="21446" priority="1371" operator="lessThan">
      <formula>0</formula>
    </cfRule>
  </conditionalFormatting>
  <conditionalFormatting sqref="R32:R39">
    <cfRule type="cellIs" dxfId="21445" priority="1369" operator="lessThan">
      <formula>0.8</formula>
    </cfRule>
    <cfRule type="cellIs" dxfId="21444" priority="1370" operator="greaterThan">
      <formula>1</formula>
    </cfRule>
  </conditionalFormatting>
  <conditionalFormatting sqref="R32:R39">
    <cfRule type="cellIs" dxfId="21443" priority="1367" operator="greaterThan">
      <formula>1</formula>
    </cfRule>
    <cfRule type="cellIs" dxfId="21442" priority="1368" operator="lessThan">
      <formula>0.8</formula>
    </cfRule>
  </conditionalFormatting>
  <conditionalFormatting sqref="P32:P39">
    <cfRule type="cellIs" dxfId="21441" priority="1366" operator="greaterThan">
      <formula>0</formula>
    </cfRule>
  </conditionalFormatting>
  <conditionalFormatting sqref="Q32:Q39">
    <cfRule type="cellIs" dxfId="21440" priority="1365" operator="lessThan">
      <formula>0</formula>
    </cfRule>
  </conditionalFormatting>
  <conditionalFormatting sqref="R32:R39">
    <cfRule type="cellIs" dxfId="21439" priority="1363" operator="lessThan">
      <formula>0.8</formula>
    </cfRule>
    <cfRule type="cellIs" dxfId="21438" priority="1364" operator="greaterThan">
      <formula>1</formula>
    </cfRule>
  </conditionalFormatting>
  <conditionalFormatting sqref="R32:R39">
    <cfRule type="cellIs" dxfId="21437" priority="1361" operator="greaterThan">
      <formula>1</formula>
    </cfRule>
    <cfRule type="cellIs" dxfId="21436" priority="1362" operator="lessThan">
      <formula>0.8</formula>
    </cfRule>
  </conditionalFormatting>
  <conditionalFormatting sqref="P32:P39">
    <cfRule type="cellIs" dxfId="21435" priority="1360" operator="greaterThan">
      <formula>0</formula>
    </cfRule>
  </conditionalFormatting>
  <conditionalFormatting sqref="Q32:Q39">
    <cfRule type="cellIs" dxfId="21434" priority="1359" operator="lessThan">
      <formula>0</formula>
    </cfRule>
  </conditionalFormatting>
  <conditionalFormatting sqref="R32:R39">
    <cfRule type="cellIs" dxfId="21433" priority="1357" operator="lessThan">
      <formula>0.8</formula>
    </cfRule>
    <cfRule type="cellIs" dxfId="21432" priority="1358" operator="greaterThan">
      <formula>1</formula>
    </cfRule>
  </conditionalFormatting>
  <conditionalFormatting sqref="R32:R39">
    <cfRule type="cellIs" dxfId="21431" priority="1355" operator="greaterThan">
      <formula>1</formula>
    </cfRule>
    <cfRule type="cellIs" dxfId="21430" priority="1356" operator="lessThan">
      <formula>0.8</formula>
    </cfRule>
  </conditionalFormatting>
  <conditionalFormatting sqref="P32:P39">
    <cfRule type="cellIs" dxfId="21429" priority="1354" operator="greaterThan">
      <formula>0</formula>
    </cfRule>
  </conditionalFormatting>
  <conditionalFormatting sqref="P32:P39">
    <cfRule type="cellIs" dxfId="21428" priority="1348" operator="greaterThan">
      <formula>0</formula>
    </cfRule>
  </conditionalFormatting>
  <conditionalFormatting sqref="Q32:Q39">
    <cfRule type="cellIs" dxfId="21427" priority="1353" operator="lessThan">
      <formula>0</formula>
    </cfRule>
  </conditionalFormatting>
  <conditionalFormatting sqref="R32:R39">
    <cfRule type="cellIs" dxfId="21426" priority="1351" operator="lessThan">
      <formula>0.8</formula>
    </cfRule>
    <cfRule type="cellIs" dxfId="21425" priority="1352" operator="greaterThan">
      <formula>1</formula>
    </cfRule>
  </conditionalFormatting>
  <conditionalFormatting sqref="R32:R39">
    <cfRule type="cellIs" dxfId="21424" priority="1349" operator="greaterThan">
      <formula>1</formula>
    </cfRule>
    <cfRule type="cellIs" dxfId="21423" priority="1350" operator="lessThan">
      <formula>0.8</formula>
    </cfRule>
  </conditionalFormatting>
  <conditionalFormatting sqref="P32:P39">
    <cfRule type="cellIs" dxfId="21422" priority="1342" operator="greaterThan">
      <formula>0</formula>
    </cfRule>
  </conditionalFormatting>
  <conditionalFormatting sqref="Q32:Q39">
    <cfRule type="cellIs" dxfId="21421" priority="1347" operator="lessThan">
      <formula>0</formula>
    </cfRule>
  </conditionalFormatting>
  <conditionalFormatting sqref="R32:R39">
    <cfRule type="cellIs" dxfId="21420" priority="1345" operator="lessThan">
      <formula>0.8</formula>
    </cfRule>
    <cfRule type="cellIs" dxfId="21419" priority="1346" operator="greaterThan">
      <formula>1</formula>
    </cfRule>
  </conditionalFormatting>
  <conditionalFormatting sqref="R32:R39">
    <cfRule type="cellIs" dxfId="21418" priority="1343" operator="greaterThan">
      <formula>1</formula>
    </cfRule>
    <cfRule type="cellIs" dxfId="21417" priority="1344" operator="lessThan">
      <formula>0.8</formula>
    </cfRule>
  </conditionalFormatting>
  <conditionalFormatting sqref="R32:R39">
    <cfRule type="cellIs" dxfId="21416" priority="1339" operator="lessThan">
      <formula>0.8</formula>
    </cfRule>
    <cfRule type="cellIs" dxfId="21415" priority="1340" operator="greaterThan">
      <formula>1</formula>
    </cfRule>
  </conditionalFormatting>
  <conditionalFormatting sqref="R32:R39">
    <cfRule type="cellIs" dxfId="21414" priority="1337" operator="greaterThan">
      <formula>1</formula>
    </cfRule>
    <cfRule type="cellIs" dxfId="21413" priority="1338" operator="lessThan">
      <formula>0.8</formula>
    </cfRule>
  </conditionalFormatting>
  <conditionalFormatting sqref="P32:P39">
    <cfRule type="cellIs" dxfId="21412" priority="1336" operator="greaterThan">
      <formula>0</formula>
    </cfRule>
  </conditionalFormatting>
  <conditionalFormatting sqref="Q32:Q39">
    <cfRule type="cellIs" dxfId="21411" priority="1341" operator="lessThan">
      <formula>0</formula>
    </cfRule>
  </conditionalFormatting>
  <conditionalFormatting sqref="Q32:Q39">
    <cfRule type="cellIs" dxfId="21410" priority="1335" operator="lessThan">
      <formula>0</formula>
    </cfRule>
  </conditionalFormatting>
  <conditionalFormatting sqref="R32:R39">
    <cfRule type="cellIs" dxfId="21409" priority="1333" operator="lessThan">
      <formula>0.8</formula>
    </cfRule>
    <cfRule type="cellIs" dxfId="21408" priority="1334" operator="greaterThan">
      <formula>1</formula>
    </cfRule>
  </conditionalFormatting>
  <conditionalFormatting sqref="R32:R39">
    <cfRule type="cellIs" dxfId="21407" priority="1331" operator="greaterThan">
      <formula>1</formula>
    </cfRule>
    <cfRule type="cellIs" dxfId="21406" priority="1332" operator="lessThan">
      <formula>0.8</formula>
    </cfRule>
  </conditionalFormatting>
  <conditionalFormatting sqref="P32:P39">
    <cfRule type="cellIs" dxfId="21405" priority="1330" operator="greaterThan">
      <formula>0</formula>
    </cfRule>
  </conditionalFormatting>
  <conditionalFormatting sqref="P32:P39">
    <cfRule type="cellIs" dxfId="21404" priority="1324" operator="greaterThan">
      <formula>0</formula>
    </cfRule>
  </conditionalFormatting>
  <conditionalFormatting sqref="Q32:Q39">
    <cfRule type="cellIs" dxfId="21403" priority="1329" operator="lessThan">
      <formula>0</formula>
    </cfRule>
  </conditionalFormatting>
  <conditionalFormatting sqref="R32:R39">
    <cfRule type="cellIs" dxfId="21402" priority="1327" operator="lessThan">
      <formula>0.8</formula>
    </cfRule>
    <cfRule type="cellIs" dxfId="21401" priority="1328" operator="greaterThan">
      <formula>1</formula>
    </cfRule>
  </conditionalFormatting>
  <conditionalFormatting sqref="R32:R39">
    <cfRule type="cellIs" dxfId="21400" priority="1325" operator="greaterThan">
      <formula>1</formula>
    </cfRule>
    <cfRule type="cellIs" dxfId="21399" priority="1326" operator="lessThan">
      <formula>0.8</formula>
    </cfRule>
  </conditionalFormatting>
  <conditionalFormatting sqref="P32:P39">
    <cfRule type="cellIs" dxfId="21398" priority="1318" operator="greaterThan">
      <formula>0</formula>
    </cfRule>
  </conditionalFormatting>
  <conditionalFormatting sqref="Q32:Q39">
    <cfRule type="cellIs" dxfId="21397" priority="1323" operator="lessThan">
      <formula>0</formula>
    </cfRule>
  </conditionalFormatting>
  <conditionalFormatting sqref="R32:R39">
    <cfRule type="cellIs" dxfId="21396" priority="1321" operator="lessThan">
      <formula>0.8</formula>
    </cfRule>
    <cfRule type="cellIs" dxfId="21395" priority="1322" operator="greaterThan">
      <formula>1</formula>
    </cfRule>
  </conditionalFormatting>
  <conditionalFormatting sqref="R32:R39">
    <cfRule type="cellIs" dxfId="21394" priority="1319" operator="greaterThan">
      <formula>1</formula>
    </cfRule>
    <cfRule type="cellIs" dxfId="21393" priority="1320" operator="lessThan">
      <formula>0.8</formula>
    </cfRule>
  </conditionalFormatting>
  <conditionalFormatting sqref="R32:R39">
    <cfRule type="cellIs" dxfId="21392" priority="1315" operator="lessThan">
      <formula>0.8</formula>
    </cfRule>
    <cfRule type="cellIs" dxfId="21391" priority="1316" operator="greaterThan">
      <formula>1</formula>
    </cfRule>
  </conditionalFormatting>
  <conditionalFormatting sqref="R32:R39">
    <cfRule type="cellIs" dxfId="21390" priority="1313" operator="greaterThan">
      <formula>1</formula>
    </cfRule>
    <cfRule type="cellIs" dxfId="21389" priority="1314" operator="lessThan">
      <formula>0.8</formula>
    </cfRule>
  </conditionalFormatting>
  <conditionalFormatting sqref="P32:P39">
    <cfRule type="cellIs" dxfId="21388" priority="1312" operator="greaterThan">
      <formula>0</formula>
    </cfRule>
  </conditionalFormatting>
  <conditionalFormatting sqref="Q32:Q39">
    <cfRule type="cellIs" dxfId="21387" priority="1317" operator="lessThan">
      <formula>0</formula>
    </cfRule>
  </conditionalFormatting>
  <conditionalFormatting sqref="P32:P39">
    <cfRule type="cellIs" dxfId="21386" priority="1306" operator="greaterThan">
      <formula>0</formula>
    </cfRule>
  </conditionalFormatting>
  <conditionalFormatting sqref="Q32:Q39">
    <cfRule type="cellIs" dxfId="21385" priority="1311" operator="lessThan">
      <formula>0</formula>
    </cfRule>
  </conditionalFormatting>
  <conditionalFormatting sqref="R32:R39">
    <cfRule type="cellIs" dxfId="21384" priority="1309" operator="lessThan">
      <formula>0.8</formula>
    </cfRule>
    <cfRule type="cellIs" dxfId="21383" priority="1310" operator="greaterThan">
      <formula>1</formula>
    </cfRule>
  </conditionalFormatting>
  <conditionalFormatting sqref="R32:R39">
    <cfRule type="cellIs" dxfId="21382" priority="1307" operator="greaterThan">
      <formula>1</formula>
    </cfRule>
    <cfRule type="cellIs" dxfId="21381" priority="1308" operator="lessThan">
      <formula>0.8</formula>
    </cfRule>
  </conditionalFormatting>
  <conditionalFormatting sqref="R32:R39">
    <cfRule type="cellIs" dxfId="21380" priority="1303" operator="lessThan">
      <formula>0.8</formula>
    </cfRule>
    <cfRule type="cellIs" dxfId="21379" priority="1304" operator="greaterThan">
      <formula>1</formula>
    </cfRule>
  </conditionalFormatting>
  <conditionalFormatting sqref="R32:R39">
    <cfRule type="cellIs" dxfId="21378" priority="1301" operator="greaterThan">
      <formula>1</formula>
    </cfRule>
    <cfRule type="cellIs" dxfId="21377" priority="1302" operator="lessThan">
      <formula>0.8</formula>
    </cfRule>
  </conditionalFormatting>
  <conditionalFormatting sqref="P32:P39">
    <cfRule type="cellIs" dxfId="21376" priority="1300" operator="greaterThan">
      <formula>0</formula>
    </cfRule>
  </conditionalFormatting>
  <conditionalFormatting sqref="Q32:Q39">
    <cfRule type="cellIs" dxfId="21375" priority="1305" operator="lessThan">
      <formula>0</formula>
    </cfRule>
  </conditionalFormatting>
  <conditionalFormatting sqref="R32:R39">
    <cfRule type="cellIs" dxfId="21374" priority="1297" operator="lessThan">
      <formula>0.8</formula>
    </cfRule>
    <cfRule type="cellIs" dxfId="21373" priority="1298" operator="greaterThan">
      <formula>1</formula>
    </cfRule>
  </conditionalFormatting>
  <conditionalFormatting sqref="R32:R39">
    <cfRule type="cellIs" dxfId="21372" priority="1295" operator="greaterThan">
      <formula>1</formula>
    </cfRule>
    <cfRule type="cellIs" dxfId="21371" priority="1296" operator="lessThan">
      <formula>0.8</formula>
    </cfRule>
  </conditionalFormatting>
  <conditionalFormatting sqref="P32:P39">
    <cfRule type="cellIs" dxfId="21370" priority="1294" operator="greaterThan">
      <formula>0</formula>
    </cfRule>
  </conditionalFormatting>
  <conditionalFormatting sqref="Q32:Q39">
    <cfRule type="cellIs" dxfId="21369" priority="1299" operator="lessThan">
      <formula>0</formula>
    </cfRule>
  </conditionalFormatting>
  <conditionalFormatting sqref="Q32:Q39">
    <cfRule type="cellIs" dxfId="21368" priority="1293" operator="lessThan">
      <formula>0</formula>
    </cfRule>
  </conditionalFormatting>
  <conditionalFormatting sqref="R32:R39">
    <cfRule type="cellIs" dxfId="21367" priority="1291" operator="lessThan">
      <formula>0.8</formula>
    </cfRule>
    <cfRule type="cellIs" dxfId="21366" priority="1292" operator="greaterThan">
      <formula>1</formula>
    </cfRule>
  </conditionalFormatting>
  <conditionalFormatting sqref="R32:R39">
    <cfRule type="cellIs" dxfId="21365" priority="1289" operator="greaterThan">
      <formula>1</formula>
    </cfRule>
    <cfRule type="cellIs" dxfId="21364" priority="1290" operator="lessThan">
      <formula>0.8</formula>
    </cfRule>
  </conditionalFormatting>
  <conditionalFormatting sqref="P32:P39">
    <cfRule type="cellIs" dxfId="21363" priority="1288" operator="greaterThan">
      <formula>0</formula>
    </cfRule>
  </conditionalFormatting>
  <conditionalFormatting sqref="Q32:Q39">
    <cfRule type="cellIs" dxfId="21362" priority="1282" operator="lessThan">
      <formula>0</formula>
    </cfRule>
  </conditionalFormatting>
  <conditionalFormatting sqref="R32:R39">
    <cfRule type="cellIs" dxfId="21361" priority="1286" operator="lessThan">
      <formula>0.8</formula>
    </cfRule>
    <cfRule type="cellIs" dxfId="21360" priority="1287" operator="greaterThan">
      <formula>1</formula>
    </cfRule>
  </conditionalFormatting>
  <conditionalFormatting sqref="R32:R39">
    <cfRule type="cellIs" dxfId="21359" priority="1284" operator="greaterThan">
      <formula>1</formula>
    </cfRule>
    <cfRule type="cellIs" dxfId="21358" priority="1285" operator="lessThan">
      <formula>0.8</formula>
    </cfRule>
  </conditionalFormatting>
  <conditionalFormatting sqref="P32:P39">
    <cfRule type="cellIs" dxfId="21357" priority="1283" operator="greaterThan">
      <formula>0</formula>
    </cfRule>
  </conditionalFormatting>
  <conditionalFormatting sqref="Q32:Q39">
    <cfRule type="cellIs" dxfId="21356" priority="1281" operator="lessThan">
      <formula>0</formula>
    </cfRule>
  </conditionalFormatting>
  <conditionalFormatting sqref="R32:R39">
    <cfRule type="cellIs" dxfId="21355" priority="1279" operator="lessThan">
      <formula>0.8</formula>
    </cfRule>
    <cfRule type="cellIs" dxfId="21354" priority="1280" operator="greaterThan">
      <formula>1</formula>
    </cfRule>
  </conditionalFormatting>
  <conditionalFormatting sqref="R32:R39">
    <cfRule type="cellIs" dxfId="21353" priority="1277" operator="greaterThan">
      <formula>1</formula>
    </cfRule>
    <cfRule type="cellIs" dxfId="21352" priority="1278" operator="lessThan">
      <formula>0.8</formula>
    </cfRule>
  </conditionalFormatting>
  <conditionalFormatting sqref="P32:P39">
    <cfRule type="cellIs" dxfId="21351" priority="1276" operator="greaterThan">
      <formula>0</formula>
    </cfRule>
  </conditionalFormatting>
  <conditionalFormatting sqref="Q32:Q39">
    <cfRule type="cellIs" dxfId="21350" priority="1275" operator="lessThan">
      <formula>0</formula>
    </cfRule>
  </conditionalFormatting>
  <conditionalFormatting sqref="R32:R39">
    <cfRule type="cellIs" dxfId="21349" priority="1273" operator="lessThan">
      <formula>0.8</formula>
    </cfRule>
    <cfRule type="cellIs" dxfId="21348" priority="1274" operator="greaterThan">
      <formula>1</formula>
    </cfRule>
  </conditionalFormatting>
  <conditionalFormatting sqref="R32:R39">
    <cfRule type="cellIs" dxfId="21347" priority="1271" operator="greaterThan">
      <formula>1</formula>
    </cfRule>
    <cfRule type="cellIs" dxfId="21346" priority="1272" operator="lessThan">
      <formula>0.8</formula>
    </cfRule>
  </conditionalFormatting>
  <conditionalFormatting sqref="P32:P39">
    <cfRule type="cellIs" dxfId="21345" priority="1270" operator="greaterThan">
      <formula>0</formula>
    </cfRule>
  </conditionalFormatting>
  <conditionalFormatting sqref="Q32:Q39">
    <cfRule type="cellIs" dxfId="21344" priority="1269" operator="lessThan">
      <formula>0</formula>
    </cfRule>
  </conditionalFormatting>
  <conditionalFormatting sqref="R32:R39">
    <cfRule type="cellIs" dxfId="21343" priority="1267" operator="lessThan">
      <formula>0.8</formula>
    </cfRule>
    <cfRule type="cellIs" dxfId="21342" priority="1268" operator="greaterThan">
      <formula>1</formula>
    </cfRule>
  </conditionalFormatting>
  <conditionalFormatting sqref="R32:R39">
    <cfRule type="cellIs" dxfId="21341" priority="1265" operator="greaterThan">
      <formula>1</formula>
    </cfRule>
    <cfRule type="cellIs" dxfId="21340" priority="1266" operator="lessThan">
      <formula>0.8</formula>
    </cfRule>
  </conditionalFormatting>
  <conditionalFormatting sqref="P32:P39">
    <cfRule type="cellIs" dxfId="21339" priority="1264" operator="greaterThan">
      <formula>0</formula>
    </cfRule>
  </conditionalFormatting>
  <conditionalFormatting sqref="Q32:Q39">
    <cfRule type="cellIs" dxfId="21338" priority="1263" operator="lessThan">
      <formula>0</formula>
    </cfRule>
  </conditionalFormatting>
  <conditionalFormatting sqref="R32:R39">
    <cfRule type="cellIs" dxfId="21337" priority="1261" operator="lessThan">
      <formula>0.8</formula>
    </cfRule>
    <cfRule type="cellIs" dxfId="21336" priority="1262" operator="greaterThan">
      <formula>1</formula>
    </cfRule>
  </conditionalFormatting>
  <conditionalFormatting sqref="R32:R39">
    <cfRule type="cellIs" dxfId="21335" priority="1259" operator="greaterThan">
      <formula>1</formula>
    </cfRule>
    <cfRule type="cellIs" dxfId="21334" priority="1260" operator="lessThan">
      <formula>0.8</formula>
    </cfRule>
  </conditionalFormatting>
  <conditionalFormatting sqref="P32:P39">
    <cfRule type="cellIs" dxfId="21333" priority="1258" operator="greaterThan">
      <formula>0</formula>
    </cfRule>
  </conditionalFormatting>
  <conditionalFormatting sqref="Q32:Q39">
    <cfRule type="cellIs" dxfId="21332" priority="1257" operator="lessThan">
      <formula>0</formula>
    </cfRule>
  </conditionalFormatting>
  <conditionalFormatting sqref="R32:R39">
    <cfRule type="cellIs" dxfId="21331" priority="1255" operator="lessThan">
      <formula>0.8</formula>
    </cfRule>
    <cfRule type="cellIs" dxfId="21330" priority="1256" operator="greaterThan">
      <formula>1</formula>
    </cfRule>
  </conditionalFormatting>
  <conditionalFormatting sqref="R32:R39">
    <cfRule type="cellIs" dxfId="21329" priority="1253" operator="greaterThan">
      <formula>1</formula>
    </cfRule>
    <cfRule type="cellIs" dxfId="21328" priority="1254" operator="lessThan">
      <formula>0.8</formula>
    </cfRule>
  </conditionalFormatting>
  <conditionalFormatting sqref="P32:P39">
    <cfRule type="cellIs" dxfId="21327" priority="1252" operator="greaterThan">
      <formula>0</formula>
    </cfRule>
  </conditionalFormatting>
  <conditionalFormatting sqref="P32:P39">
    <cfRule type="cellIs" dxfId="21326" priority="1246" operator="greaterThan">
      <formula>0</formula>
    </cfRule>
  </conditionalFormatting>
  <conditionalFormatting sqref="Q32:Q39">
    <cfRule type="cellIs" dxfId="21325" priority="1251" operator="lessThan">
      <formula>0</formula>
    </cfRule>
  </conditionalFormatting>
  <conditionalFormatting sqref="R32:R39">
    <cfRule type="cellIs" dxfId="21324" priority="1249" operator="lessThan">
      <formula>0.8</formula>
    </cfRule>
    <cfRule type="cellIs" dxfId="21323" priority="1250" operator="greaterThan">
      <formula>1</formula>
    </cfRule>
  </conditionalFormatting>
  <conditionalFormatting sqref="R32:R39">
    <cfRule type="cellIs" dxfId="21322" priority="1247" operator="greaterThan">
      <formula>1</formula>
    </cfRule>
    <cfRule type="cellIs" dxfId="21321" priority="1248" operator="lessThan">
      <formula>0.8</formula>
    </cfRule>
  </conditionalFormatting>
  <conditionalFormatting sqref="P32:P39">
    <cfRule type="cellIs" dxfId="21320" priority="1240" operator="greaterThan">
      <formula>0</formula>
    </cfRule>
  </conditionalFormatting>
  <conditionalFormatting sqref="Q32:Q39">
    <cfRule type="cellIs" dxfId="21319" priority="1245" operator="lessThan">
      <formula>0</formula>
    </cfRule>
  </conditionalFormatting>
  <conditionalFormatting sqref="R32:R39">
    <cfRule type="cellIs" dxfId="21318" priority="1243" operator="lessThan">
      <formula>0.8</formula>
    </cfRule>
    <cfRule type="cellIs" dxfId="21317" priority="1244" operator="greaterThan">
      <formula>1</formula>
    </cfRule>
  </conditionalFormatting>
  <conditionalFormatting sqref="R32:R39">
    <cfRule type="cellIs" dxfId="21316" priority="1241" operator="greaterThan">
      <formula>1</formula>
    </cfRule>
    <cfRule type="cellIs" dxfId="21315" priority="1242" operator="lessThan">
      <formula>0.8</formula>
    </cfRule>
  </conditionalFormatting>
  <conditionalFormatting sqref="R32:R39">
    <cfRule type="cellIs" dxfId="21314" priority="1237" operator="lessThan">
      <formula>0.8</formula>
    </cfRule>
    <cfRule type="cellIs" dxfId="21313" priority="1238" operator="greaterThan">
      <formula>1</formula>
    </cfRule>
  </conditionalFormatting>
  <conditionalFormatting sqref="R32:R39">
    <cfRule type="cellIs" dxfId="21312" priority="1235" operator="greaterThan">
      <formula>1</formula>
    </cfRule>
    <cfRule type="cellIs" dxfId="21311" priority="1236" operator="lessThan">
      <formula>0.8</formula>
    </cfRule>
  </conditionalFormatting>
  <conditionalFormatting sqref="P32:P39">
    <cfRule type="cellIs" dxfId="21310" priority="1234" operator="greaterThan">
      <formula>0</formula>
    </cfRule>
  </conditionalFormatting>
  <conditionalFormatting sqref="Q32:Q39">
    <cfRule type="cellIs" dxfId="21309" priority="1239" operator="lessThan">
      <formula>0</formula>
    </cfRule>
  </conditionalFormatting>
  <conditionalFormatting sqref="Q32:Q39">
    <cfRule type="cellIs" dxfId="21308" priority="1228" operator="lessThan">
      <formula>0</formula>
    </cfRule>
  </conditionalFormatting>
  <conditionalFormatting sqref="P32:P39">
    <cfRule type="cellIs" dxfId="21307" priority="1229" operator="greaterThan">
      <formula>0</formula>
    </cfRule>
  </conditionalFormatting>
  <conditionalFormatting sqref="R32:R39">
    <cfRule type="cellIs" dxfId="21306" priority="1232" operator="lessThan">
      <formula>0.8</formula>
    </cfRule>
    <cfRule type="cellIs" dxfId="21305" priority="1233" operator="greaterThan">
      <formula>1</formula>
    </cfRule>
  </conditionalFormatting>
  <conditionalFormatting sqref="R32:R39">
    <cfRule type="cellIs" dxfId="21304" priority="1230" operator="greaterThan">
      <formula>1</formula>
    </cfRule>
    <cfRule type="cellIs" dxfId="21303" priority="1231" operator="lessThan">
      <formula>0.8</formula>
    </cfRule>
  </conditionalFormatting>
  <conditionalFormatting sqref="Q32:Q39">
    <cfRule type="cellIs" dxfId="21302" priority="1222" operator="lessThan">
      <formula>0</formula>
    </cfRule>
  </conditionalFormatting>
  <conditionalFormatting sqref="R32:R39">
    <cfRule type="cellIs" dxfId="21301" priority="1226" operator="lessThan">
      <formula>0.8</formula>
    </cfRule>
    <cfRule type="cellIs" dxfId="21300" priority="1227" operator="greaterThan">
      <formula>1</formula>
    </cfRule>
  </conditionalFormatting>
  <conditionalFormatting sqref="R32:R39">
    <cfRule type="cellIs" dxfId="21299" priority="1224" operator="greaterThan">
      <formula>1</formula>
    </cfRule>
    <cfRule type="cellIs" dxfId="21298" priority="1225" operator="lessThan">
      <formula>0.8</formula>
    </cfRule>
  </conditionalFormatting>
  <conditionalFormatting sqref="P32:P39">
    <cfRule type="cellIs" dxfId="21297" priority="1223" operator="greaterThan">
      <formula>0</formula>
    </cfRule>
  </conditionalFormatting>
  <conditionalFormatting sqref="Q32:Q39">
    <cfRule type="cellIs" dxfId="21296" priority="1221" operator="lessThan">
      <formula>0</formula>
    </cfRule>
  </conditionalFormatting>
  <conditionalFormatting sqref="R32:R39">
    <cfRule type="cellIs" dxfId="21295" priority="1219" operator="lessThan">
      <formula>0.8</formula>
    </cfRule>
    <cfRule type="cellIs" dxfId="21294" priority="1220" operator="greaterThan">
      <formula>1</formula>
    </cfRule>
  </conditionalFormatting>
  <conditionalFormatting sqref="R32:R39">
    <cfRule type="cellIs" dxfId="21293" priority="1217" operator="greaterThan">
      <formula>1</formula>
    </cfRule>
    <cfRule type="cellIs" dxfId="21292" priority="1218" operator="lessThan">
      <formula>0.8</formula>
    </cfRule>
  </conditionalFormatting>
  <conditionalFormatting sqref="P32:P39">
    <cfRule type="cellIs" dxfId="21291" priority="1216" operator="greaterThan">
      <formula>0</formula>
    </cfRule>
  </conditionalFormatting>
  <conditionalFormatting sqref="Q32:Q39">
    <cfRule type="cellIs" dxfId="21290" priority="1215" operator="lessThan">
      <formula>0</formula>
    </cfRule>
  </conditionalFormatting>
  <conditionalFormatting sqref="R32:R39">
    <cfRule type="cellIs" dxfId="21289" priority="1213" operator="lessThan">
      <formula>0.8</formula>
    </cfRule>
    <cfRule type="cellIs" dxfId="21288" priority="1214" operator="greaterThan">
      <formula>1</formula>
    </cfRule>
  </conditionalFormatting>
  <conditionalFormatting sqref="R32:R39">
    <cfRule type="cellIs" dxfId="21287" priority="1211" operator="greaterThan">
      <formula>1</formula>
    </cfRule>
    <cfRule type="cellIs" dxfId="21286" priority="1212" operator="lessThan">
      <formula>0.8</formula>
    </cfRule>
  </conditionalFormatting>
  <conditionalFormatting sqref="P32:P39">
    <cfRule type="cellIs" dxfId="21285" priority="1210" operator="greaterThan">
      <formula>0</formula>
    </cfRule>
  </conditionalFormatting>
  <conditionalFormatting sqref="Q32:Q39">
    <cfRule type="cellIs" dxfId="21284" priority="1209" operator="lessThan">
      <formula>0</formula>
    </cfRule>
  </conditionalFormatting>
  <conditionalFormatting sqref="R32:R39">
    <cfRule type="cellIs" dxfId="21283" priority="1207" operator="lessThan">
      <formula>0.8</formula>
    </cfRule>
    <cfRule type="cellIs" dxfId="21282" priority="1208" operator="greaterThan">
      <formula>1</formula>
    </cfRule>
  </conditionalFormatting>
  <conditionalFormatting sqref="R32:R39">
    <cfRule type="cellIs" dxfId="21281" priority="1205" operator="greaterThan">
      <formula>1</formula>
    </cfRule>
    <cfRule type="cellIs" dxfId="21280" priority="1206" operator="lessThan">
      <formula>0.8</formula>
    </cfRule>
  </conditionalFormatting>
  <conditionalFormatting sqref="P32:P39">
    <cfRule type="cellIs" dxfId="21279" priority="1204" operator="greaterThan">
      <formula>0</formula>
    </cfRule>
  </conditionalFormatting>
  <conditionalFormatting sqref="Q32:Q39">
    <cfRule type="cellIs" dxfId="21278" priority="1203" operator="lessThan">
      <formula>0</formula>
    </cfRule>
  </conditionalFormatting>
  <conditionalFormatting sqref="R32:R39">
    <cfRule type="cellIs" dxfId="21277" priority="1201" operator="lessThan">
      <formula>0.8</formula>
    </cfRule>
    <cfRule type="cellIs" dxfId="21276" priority="1202" operator="greaterThan">
      <formula>1</formula>
    </cfRule>
  </conditionalFormatting>
  <conditionalFormatting sqref="R32:R39">
    <cfRule type="cellIs" dxfId="21275" priority="1199" operator="greaterThan">
      <formula>1</formula>
    </cfRule>
    <cfRule type="cellIs" dxfId="21274" priority="1200" operator="lessThan">
      <formula>0.8</formula>
    </cfRule>
  </conditionalFormatting>
  <conditionalFormatting sqref="P32:P39">
    <cfRule type="cellIs" dxfId="21273" priority="1198" operator="greaterThan">
      <formula>0</formula>
    </cfRule>
  </conditionalFormatting>
  <conditionalFormatting sqref="Q96:Q105">
    <cfRule type="cellIs" dxfId="21272" priority="1192" operator="lessThan">
      <formula>0</formula>
    </cfRule>
  </conditionalFormatting>
  <conditionalFormatting sqref="P96:P105">
    <cfRule type="cellIs" dxfId="21271" priority="1193" operator="greaterThan">
      <formula>0</formula>
    </cfRule>
  </conditionalFormatting>
  <conditionalFormatting sqref="R96:R105">
    <cfRule type="cellIs" dxfId="21270" priority="1196" operator="lessThan">
      <formula>0.8</formula>
    </cfRule>
    <cfRule type="cellIs" dxfId="21269" priority="1197" operator="greaterThan">
      <formula>1</formula>
    </cfRule>
  </conditionalFormatting>
  <conditionalFormatting sqref="R96:R105">
    <cfRule type="cellIs" dxfId="21268" priority="1194" operator="greaterThan">
      <formula>1</formula>
    </cfRule>
    <cfRule type="cellIs" dxfId="21267" priority="1195" operator="lessThan">
      <formula>0.8</formula>
    </cfRule>
  </conditionalFormatting>
  <conditionalFormatting sqref="Q96:Q105">
    <cfRule type="cellIs" dxfId="21266" priority="1186" operator="lessThan">
      <formula>0</formula>
    </cfRule>
  </conditionalFormatting>
  <conditionalFormatting sqref="R96:R105">
    <cfRule type="cellIs" dxfId="21265" priority="1190" operator="lessThan">
      <formula>0.8</formula>
    </cfRule>
    <cfRule type="cellIs" dxfId="21264" priority="1191" operator="greaterThan">
      <formula>1</formula>
    </cfRule>
  </conditionalFormatting>
  <conditionalFormatting sqref="R96:R105">
    <cfRule type="cellIs" dxfId="21263" priority="1188" operator="greaterThan">
      <formula>1</formula>
    </cfRule>
    <cfRule type="cellIs" dxfId="21262" priority="1189" operator="lessThan">
      <formula>0.8</formula>
    </cfRule>
  </conditionalFormatting>
  <conditionalFormatting sqref="P96:P105">
    <cfRule type="cellIs" dxfId="21261" priority="1187" operator="greaterThan">
      <formula>0</formula>
    </cfRule>
  </conditionalFormatting>
  <conditionalFormatting sqref="Q96:Q105">
    <cfRule type="cellIs" dxfId="21260" priority="1185" operator="lessThan">
      <formula>0</formula>
    </cfRule>
  </conditionalFormatting>
  <conditionalFormatting sqref="R96:R105">
    <cfRule type="cellIs" dxfId="21259" priority="1183" operator="lessThan">
      <formula>0.8</formula>
    </cfRule>
    <cfRule type="cellIs" dxfId="21258" priority="1184" operator="greaterThan">
      <formula>1</formula>
    </cfRule>
  </conditionalFormatting>
  <conditionalFormatting sqref="R96:R105">
    <cfRule type="cellIs" dxfId="21257" priority="1181" operator="greaterThan">
      <formula>1</formula>
    </cfRule>
    <cfRule type="cellIs" dxfId="21256" priority="1182" operator="lessThan">
      <formula>0.8</formula>
    </cfRule>
  </conditionalFormatting>
  <conditionalFormatting sqref="P96:P105">
    <cfRule type="cellIs" dxfId="21255" priority="1180" operator="greaterThan">
      <formula>0</formula>
    </cfRule>
  </conditionalFormatting>
  <conditionalFormatting sqref="Q96:Q105">
    <cfRule type="cellIs" dxfId="21254" priority="1179" operator="lessThan">
      <formula>0</formula>
    </cfRule>
  </conditionalFormatting>
  <conditionalFormatting sqref="R96:R105">
    <cfRule type="cellIs" dxfId="21253" priority="1177" operator="lessThan">
      <formula>0.8</formula>
    </cfRule>
    <cfRule type="cellIs" dxfId="21252" priority="1178" operator="greaterThan">
      <formula>1</formula>
    </cfRule>
  </conditionalFormatting>
  <conditionalFormatting sqref="R96:R105">
    <cfRule type="cellIs" dxfId="21251" priority="1175" operator="greaterThan">
      <formula>1</formula>
    </cfRule>
    <cfRule type="cellIs" dxfId="21250" priority="1176" operator="lessThan">
      <formula>0.8</formula>
    </cfRule>
  </conditionalFormatting>
  <conditionalFormatting sqref="P96:P105">
    <cfRule type="cellIs" dxfId="21249" priority="1174" operator="greaterThan">
      <formula>0</formula>
    </cfRule>
  </conditionalFormatting>
  <conditionalFormatting sqref="Q96:Q105">
    <cfRule type="cellIs" dxfId="21248" priority="1168" operator="lessThan">
      <formula>0</formula>
    </cfRule>
  </conditionalFormatting>
  <conditionalFormatting sqref="R96:R105">
    <cfRule type="cellIs" dxfId="21247" priority="1172" operator="lessThan">
      <formula>0.8</formula>
    </cfRule>
    <cfRule type="cellIs" dxfId="21246" priority="1173" operator="greaterThan">
      <formula>1</formula>
    </cfRule>
  </conditionalFormatting>
  <conditionalFormatting sqref="R96:R105">
    <cfRule type="cellIs" dxfId="21245" priority="1170" operator="greaterThan">
      <formula>1</formula>
    </cfRule>
    <cfRule type="cellIs" dxfId="21244" priority="1171" operator="lessThan">
      <formula>0.8</formula>
    </cfRule>
  </conditionalFormatting>
  <conditionalFormatting sqref="P96:P105">
    <cfRule type="cellIs" dxfId="21243" priority="1169" operator="greaterThan">
      <formula>0</formula>
    </cfRule>
  </conditionalFormatting>
  <conditionalFormatting sqref="Q96:Q105">
    <cfRule type="cellIs" dxfId="21242" priority="1167" operator="lessThan">
      <formula>0</formula>
    </cfRule>
  </conditionalFormatting>
  <conditionalFormatting sqref="R96:R105">
    <cfRule type="cellIs" dxfId="21241" priority="1165" operator="lessThan">
      <formula>0.8</formula>
    </cfRule>
    <cfRule type="cellIs" dxfId="21240" priority="1166" operator="greaterThan">
      <formula>1</formula>
    </cfRule>
  </conditionalFormatting>
  <conditionalFormatting sqref="R96:R105">
    <cfRule type="cellIs" dxfId="21239" priority="1163" operator="greaterThan">
      <formula>1</formula>
    </cfRule>
    <cfRule type="cellIs" dxfId="21238" priority="1164" operator="lessThan">
      <formula>0.8</formula>
    </cfRule>
  </conditionalFormatting>
  <conditionalFormatting sqref="P96:P105">
    <cfRule type="cellIs" dxfId="21237" priority="1162" operator="greaterThan">
      <formula>0</formula>
    </cfRule>
  </conditionalFormatting>
  <conditionalFormatting sqref="Q96:Q105">
    <cfRule type="cellIs" dxfId="21236" priority="1161" operator="lessThan">
      <formula>0</formula>
    </cfRule>
  </conditionalFormatting>
  <conditionalFormatting sqref="R96:R105">
    <cfRule type="cellIs" dxfId="21235" priority="1159" operator="lessThan">
      <formula>0.8</formula>
    </cfRule>
    <cfRule type="cellIs" dxfId="21234" priority="1160" operator="greaterThan">
      <formula>1</formula>
    </cfRule>
  </conditionalFormatting>
  <conditionalFormatting sqref="R96:R105">
    <cfRule type="cellIs" dxfId="21233" priority="1157" operator="greaterThan">
      <formula>1</formula>
    </cfRule>
    <cfRule type="cellIs" dxfId="21232" priority="1158" operator="lessThan">
      <formula>0.8</formula>
    </cfRule>
  </conditionalFormatting>
  <conditionalFormatting sqref="P96:P105">
    <cfRule type="cellIs" dxfId="21231" priority="1156" operator="greaterThan">
      <formula>0</formula>
    </cfRule>
  </conditionalFormatting>
  <conditionalFormatting sqref="Q96:Q105">
    <cfRule type="cellIs" dxfId="21230" priority="1155" operator="lessThan">
      <formula>0</formula>
    </cfRule>
  </conditionalFormatting>
  <conditionalFormatting sqref="R96:R105">
    <cfRule type="cellIs" dxfId="21229" priority="1153" operator="lessThan">
      <formula>0.8</formula>
    </cfRule>
    <cfRule type="cellIs" dxfId="21228" priority="1154" operator="greaterThan">
      <formula>1</formula>
    </cfRule>
  </conditionalFormatting>
  <conditionalFormatting sqref="R96:R105">
    <cfRule type="cellIs" dxfId="21227" priority="1151" operator="greaterThan">
      <formula>1</formula>
    </cfRule>
    <cfRule type="cellIs" dxfId="21226" priority="1152" operator="lessThan">
      <formula>0.8</formula>
    </cfRule>
  </conditionalFormatting>
  <conditionalFormatting sqref="P96:P105">
    <cfRule type="cellIs" dxfId="21225" priority="1150" operator="greaterThan">
      <formula>0</formula>
    </cfRule>
  </conditionalFormatting>
  <conditionalFormatting sqref="Q96:Q105">
    <cfRule type="cellIs" dxfId="21224" priority="1149" operator="lessThan">
      <formula>0</formula>
    </cfRule>
  </conditionalFormatting>
  <conditionalFormatting sqref="R96:R105">
    <cfRule type="cellIs" dxfId="21223" priority="1147" operator="lessThan">
      <formula>0.8</formula>
    </cfRule>
    <cfRule type="cellIs" dxfId="21222" priority="1148" operator="greaterThan">
      <formula>1</formula>
    </cfRule>
  </conditionalFormatting>
  <conditionalFormatting sqref="R96:R105">
    <cfRule type="cellIs" dxfId="21221" priority="1145" operator="greaterThan">
      <formula>1</formula>
    </cfRule>
    <cfRule type="cellIs" dxfId="21220" priority="1146" operator="lessThan">
      <formula>0.8</formula>
    </cfRule>
  </conditionalFormatting>
  <conditionalFormatting sqref="P96:P105">
    <cfRule type="cellIs" dxfId="21219" priority="1144" operator="greaterThan">
      <formula>0</formula>
    </cfRule>
  </conditionalFormatting>
  <conditionalFormatting sqref="Q96:Q105">
    <cfRule type="cellIs" dxfId="21218" priority="1143" operator="lessThan">
      <formula>0</formula>
    </cfRule>
  </conditionalFormatting>
  <conditionalFormatting sqref="R96:R105">
    <cfRule type="cellIs" dxfId="21217" priority="1141" operator="lessThan">
      <formula>0.8</formula>
    </cfRule>
    <cfRule type="cellIs" dxfId="21216" priority="1142" operator="greaterThan">
      <formula>1</formula>
    </cfRule>
  </conditionalFormatting>
  <conditionalFormatting sqref="R96:R105">
    <cfRule type="cellIs" dxfId="21215" priority="1139" operator="greaterThan">
      <formula>1</formula>
    </cfRule>
    <cfRule type="cellIs" dxfId="21214" priority="1140" operator="lessThan">
      <formula>0.8</formula>
    </cfRule>
  </conditionalFormatting>
  <conditionalFormatting sqref="P96:P105">
    <cfRule type="cellIs" dxfId="21213" priority="1138" operator="greaterThan">
      <formula>0</formula>
    </cfRule>
  </conditionalFormatting>
  <conditionalFormatting sqref="P96:P105">
    <cfRule type="cellIs" dxfId="21212" priority="1132" operator="greaterThan">
      <formula>0</formula>
    </cfRule>
  </conditionalFormatting>
  <conditionalFormatting sqref="Q96:Q105">
    <cfRule type="cellIs" dxfId="21211" priority="1137" operator="lessThan">
      <formula>0</formula>
    </cfRule>
  </conditionalFormatting>
  <conditionalFormatting sqref="R96:R105">
    <cfRule type="cellIs" dxfId="21210" priority="1135" operator="lessThan">
      <formula>0.8</formula>
    </cfRule>
    <cfRule type="cellIs" dxfId="21209" priority="1136" operator="greaterThan">
      <formula>1</formula>
    </cfRule>
  </conditionalFormatting>
  <conditionalFormatting sqref="R96:R105">
    <cfRule type="cellIs" dxfId="21208" priority="1133" operator="greaterThan">
      <formula>1</formula>
    </cfRule>
    <cfRule type="cellIs" dxfId="21207" priority="1134" operator="lessThan">
      <formula>0.8</formula>
    </cfRule>
  </conditionalFormatting>
  <conditionalFormatting sqref="P96:P105">
    <cfRule type="cellIs" dxfId="21206" priority="1126" operator="greaterThan">
      <formula>0</formula>
    </cfRule>
  </conditionalFormatting>
  <conditionalFormatting sqref="Q96:Q105">
    <cfRule type="cellIs" dxfId="21205" priority="1131" operator="lessThan">
      <formula>0</formula>
    </cfRule>
  </conditionalFormatting>
  <conditionalFormatting sqref="R96:R105">
    <cfRule type="cellIs" dxfId="21204" priority="1129" operator="lessThan">
      <formula>0.8</formula>
    </cfRule>
    <cfRule type="cellIs" dxfId="21203" priority="1130" operator="greaterThan">
      <formula>1</formula>
    </cfRule>
  </conditionalFormatting>
  <conditionalFormatting sqref="R96:R105">
    <cfRule type="cellIs" dxfId="21202" priority="1127" operator="greaterThan">
      <formula>1</formula>
    </cfRule>
    <cfRule type="cellIs" dxfId="21201" priority="1128" operator="lessThan">
      <formula>0.8</formula>
    </cfRule>
  </conditionalFormatting>
  <conditionalFormatting sqref="R96:R105">
    <cfRule type="cellIs" dxfId="21200" priority="1123" operator="lessThan">
      <formula>0.8</formula>
    </cfRule>
    <cfRule type="cellIs" dxfId="21199" priority="1124" operator="greaterThan">
      <formula>1</formula>
    </cfRule>
  </conditionalFormatting>
  <conditionalFormatting sqref="R96:R105">
    <cfRule type="cellIs" dxfId="21198" priority="1121" operator="greaterThan">
      <formula>1</formula>
    </cfRule>
    <cfRule type="cellIs" dxfId="21197" priority="1122" operator="lessThan">
      <formula>0.8</formula>
    </cfRule>
  </conditionalFormatting>
  <conditionalFormatting sqref="P96:P105">
    <cfRule type="cellIs" dxfId="21196" priority="1120" operator="greaterThan">
      <formula>0</formula>
    </cfRule>
  </conditionalFormatting>
  <conditionalFormatting sqref="Q96:Q105">
    <cfRule type="cellIs" dxfId="21195" priority="1125" operator="lessThan">
      <formula>0</formula>
    </cfRule>
  </conditionalFormatting>
  <conditionalFormatting sqref="Q96:Q105">
    <cfRule type="cellIs" dxfId="21194" priority="1114" operator="lessThan">
      <formula>0</formula>
    </cfRule>
  </conditionalFormatting>
  <conditionalFormatting sqref="P96:P105">
    <cfRule type="cellIs" dxfId="21193" priority="1115" operator="greaterThan">
      <formula>0</formula>
    </cfRule>
  </conditionalFormatting>
  <conditionalFormatting sqref="R96:R105">
    <cfRule type="cellIs" dxfId="21192" priority="1118" operator="lessThan">
      <formula>0.8</formula>
    </cfRule>
    <cfRule type="cellIs" dxfId="21191" priority="1119" operator="greaterThan">
      <formula>1</formula>
    </cfRule>
  </conditionalFormatting>
  <conditionalFormatting sqref="R96:R105">
    <cfRule type="cellIs" dxfId="21190" priority="1116" operator="greaterThan">
      <formula>1</formula>
    </cfRule>
    <cfRule type="cellIs" dxfId="21189" priority="1117" operator="lessThan">
      <formula>0.8</formula>
    </cfRule>
  </conditionalFormatting>
  <conditionalFormatting sqref="Q96:Q105">
    <cfRule type="cellIs" dxfId="21188" priority="1108" operator="lessThan">
      <formula>0</formula>
    </cfRule>
  </conditionalFormatting>
  <conditionalFormatting sqref="R96:R105">
    <cfRule type="cellIs" dxfId="21187" priority="1112" operator="lessThan">
      <formula>0.8</formula>
    </cfRule>
    <cfRule type="cellIs" dxfId="21186" priority="1113" operator="greaterThan">
      <formula>1</formula>
    </cfRule>
  </conditionalFormatting>
  <conditionalFormatting sqref="R96:R105">
    <cfRule type="cellIs" dxfId="21185" priority="1110" operator="greaterThan">
      <formula>1</formula>
    </cfRule>
    <cfRule type="cellIs" dxfId="21184" priority="1111" operator="lessThan">
      <formula>0.8</formula>
    </cfRule>
  </conditionalFormatting>
  <conditionalFormatting sqref="P96:P105">
    <cfRule type="cellIs" dxfId="21183" priority="1109" operator="greaterThan">
      <formula>0</formula>
    </cfRule>
  </conditionalFormatting>
  <conditionalFormatting sqref="Q96:Q105">
    <cfRule type="cellIs" dxfId="21182" priority="1107" operator="lessThan">
      <formula>0</formula>
    </cfRule>
  </conditionalFormatting>
  <conditionalFormatting sqref="R96:R105">
    <cfRule type="cellIs" dxfId="21181" priority="1105" operator="lessThan">
      <formula>0.8</formula>
    </cfRule>
    <cfRule type="cellIs" dxfId="21180" priority="1106" operator="greaterThan">
      <formula>1</formula>
    </cfRule>
  </conditionalFormatting>
  <conditionalFormatting sqref="R96:R105">
    <cfRule type="cellIs" dxfId="21179" priority="1103" operator="greaterThan">
      <formula>1</formula>
    </cfRule>
    <cfRule type="cellIs" dxfId="21178" priority="1104" operator="lessThan">
      <formula>0.8</formula>
    </cfRule>
  </conditionalFormatting>
  <conditionalFormatting sqref="P96:P105">
    <cfRule type="cellIs" dxfId="21177" priority="1102" operator="greaterThan">
      <formula>0</formula>
    </cfRule>
  </conditionalFormatting>
  <conditionalFormatting sqref="Q96:Q105">
    <cfRule type="cellIs" dxfId="21176" priority="1101" operator="lessThan">
      <formula>0</formula>
    </cfRule>
  </conditionalFormatting>
  <conditionalFormatting sqref="R96:R105">
    <cfRule type="cellIs" dxfId="21175" priority="1099" operator="lessThan">
      <formula>0.8</formula>
    </cfRule>
    <cfRule type="cellIs" dxfId="21174" priority="1100" operator="greaterThan">
      <formula>1</formula>
    </cfRule>
  </conditionalFormatting>
  <conditionalFormatting sqref="R96:R105">
    <cfRule type="cellIs" dxfId="21173" priority="1097" operator="greaterThan">
      <formula>1</formula>
    </cfRule>
    <cfRule type="cellIs" dxfId="21172" priority="1098" operator="lessThan">
      <formula>0.8</formula>
    </cfRule>
  </conditionalFormatting>
  <conditionalFormatting sqref="P96:P105">
    <cfRule type="cellIs" dxfId="21171" priority="1096" operator="greaterThan">
      <formula>0</formula>
    </cfRule>
  </conditionalFormatting>
  <conditionalFormatting sqref="Q96:Q105">
    <cfRule type="cellIs" dxfId="21170" priority="1090" operator="lessThan">
      <formula>0</formula>
    </cfRule>
  </conditionalFormatting>
  <conditionalFormatting sqref="P96:P105">
    <cfRule type="cellIs" dxfId="21169" priority="1091" operator="greaterThan">
      <formula>0</formula>
    </cfRule>
  </conditionalFormatting>
  <conditionalFormatting sqref="R96:R105">
    <cfRule type="cellIs" dxfId="21168" priority="1094" operator="lessThan">
      <formula>0.8</formula>
    </cfRule>
    <cfRule type="cellIs" dxfId="21167" priority="1095" operator="greaterThan">
      <formula>1</formula>
    </cfRule>
  </conditionalFormatting>
  <conditionalFormatting sqref="R96:R105">
    <cfRule type="cellIs" dxfId="21166" priority="1092" operator="greaterThan">
      <formula>1</formula>
    </cfRule>
    <cfRule type="cellIs" dxfId="21165" priority="1093" operator="lessThan">
      <formula>0.8</formula>
    </cfRule>
  </conditionalFormatting>
  <conditionalFormatting sqref="Q96:Q105">
    <cfRule type="cellIs" dxfId="21164" priority="1084" operator="lessThan">
      <formula>0</formula>
    </cfRule>
  </conditionalFormatting>
  <conditionalFormatting sqref="R96:R105">
    <cfRule type="cellIs" dxfId="21163" priority="1088" operator="lessThan">
      <formula>0.8</formula>
    </cfRule>
    <cfRule type="cellIs" dxfId="21162" priority="1089" operator="greaterThan">
      <formula>1</formula>
    </cfRule>
  </conditionalFormatting>
  <conditionalFormatting sqref="R96:R105">
    <cfRule type="cellIs" dxfId="21161" priority="1086" operator="greaterThan">
      <formula>1</formula>
    </cfRule>
    <cfRule type="cellIs" dxfId="21160" priority="1087" operator="lessThan">
      <formula>0.8</formula>
    </cfRule>
  </conditionalFormatting>
  <conditionalFormatting sqref="P96:P105">
    <cfRule type="cellIs" dxfId="21159" priority="1085" operator="greaterThan">
      <formula>0</formula>
    </cfRule>
  </conditionalFormatting>
  <conditionalFormatting sqref="Q96:Q105">
    <cfRule type="cellIs" dxfId="21158" priority="1083" operator="lessThan">
      <formula>0</formula>
    </cfRule>
  </conditionalFormatting>
  <conditionalFormatting sqref="R96:R105">
    <cfRule type="cellIs" dxfId="21157" priority="1081" operator="lessThan">
      <formula>0.8</formula>
    </cfRule>
    <cfRule type="cellIs" dxfId="21156" priority="1082" operator="greaterThan">
      <formula>1</formula>
    </cfRule>
  </conditionalFormatting>
  <conditionalFormatting sqref="R96:R105">
    <cfRule type="cellIs" dxfId="21155" priority="1079" operator="greaterThan">
      <formula>1</formula>
    </cfRule>
    <cfRule type="cellIs" dxfId="21154" priority="1080" operator="lessThan">
      <formula>0.8</formula>
    </cfRule>
  </conditionalFormatting>
  <conditionalFormatting sqref="P96:P105">
    <cfRule type="cellIs" dxfId="21153" priority="1078" operator="greaterThan">
      <formula>0</formula>
    </cfRule>
  </conditionalFormatting>
  <conditionalFormatting sqref="Q96:Q105">
    <cfRule type="cellIs" dxfId="21152" priority="1077" operator="lessThan">
      <formula>0</formula>
    </cfRule>
  </conditionalFormatting>
  <conditionalFormatting sqref="R96:R105">
    <cfRule type="cellIs" dxfId="21151" priority="1075" operator="lessThan">
      <formula>0.8</formula>
    </cfRule>
    <cfRule type="cellIs" dxfId="21150" priority="1076" operator="greaterThan">
      <formula>1</formula>
    </cfRule>
  </conditionalFormatting>
  <conditionalFormatting sqref="R96:R105">
    <cfRule type="cellIs" dxfId="21149" priority="1073" operator="greaterThan">
      <formula>1</formula>
    </cfRule>
    <cfRule type="cellIs" dxfId="21148" priority="1074" operator="lessThan">
      <formula>0.8</formula>
    </cfRule>
  </conditionalFormatting>
  <conditionalFormatting sqref="P96:P105">
    <cfRule type="cellIs" dxfId="21147" priority="1072" operator="greaterThan">
      <formula>0</formula>
    </cfRule>
  </conditionalFormatting>
  <conditionalFormatting sqref="P124 P131 P127">
    <cfRule type="cellIs" dxfId="21146" priority="1066" operator="greaterThan">
      <formula>0</formula>
    </cfRule>
  </conditionalFormatting>
  <conditionalFormatting sqref="Q124 Q131 Q127">
    <cfRule type="cellIs" dxfId="21145" priority="1071" operator="lessThan">
      <formula>0</formula>
    </cfRule>
  </conditionalFormatting>
  <conditionalFormatting sqref="R124 R131 R127">
    <cfRule type="cellIs" dxfId="21144" priority="1069" operator="lessThan">
      <formula>0.8</formula>
    </cfRule>
    <cfRule type="cellIs" dxfId="21143" priority="1070" operator="greaterThan">
      <formula>1</formula>
    </cfRule>
  </conditionalFormatting>
  <conditionalFormatting sqref="R124 R131 R127">
    <cfRule type="cellIs" dxfId="21142" priority="1067" operator="greaterThan">
      <formula>1</formula>
    </cfRule>
    <cfRule type="cellIs" dxfId="21141" priority="1068" operator="lessThan">
      <formula>0.8</formula>
    </cfRule>
  </conditionalFormatting>
  <conditionalFormatting sqref="Q124 Q131 Q127">
    <cfRule type="cellIs" dxfId="21140" priority="1065" operator="lessThan">
      <formula>0</formula>
    </cfRule>
  </conditionalFormatting>
  <conditionalFormatting sqref="R124 R131 R127">
    <cfRule type="cellIs" dxfId="21139" priority="1063" operator="lessThan">
      <formula>0.8</formula>
    </cfRule>
    <cfRule type="cellIs" dxfId="21138" priority="1064" operator="greaterThan">
      <formula>1</formula>
    </cfRule>
  </conditionalFormatting>
  <conditionalFormatting sqref="R124 R131 R127">
    <cfRule type="cellIs" dxfId="21137" priority="1061" operator="greaterThan">
      <formula>1</formula>
    </cfRule>
    <cfRule type="cellIs" dxfId="21136" priority="1062" operator="lessThan">
      <formula>0.8</formula>
    </cfRule>
  </conditionalFormatting>
  <conditionalFormatting sqref="P124 P131 P127">
    <cfRule type="cellIs" dxfId="21135" priority="1060" operator="greaterThan">
      <formula>0</formula>
    </cfRule>
  </conditionalFormatting>
  <conditionalFormatting sqref="Q123 Q125:Q126 Q128:Q130">
    <cfRule type="cellIs" dxfId="21134" priority="1059" operator="lessThan">
      <formula>0</formula>
    </cfRule>
  </conditionalFormatting>
  <conditionalFormatting sqref="R123 R125:R126 R128:R130">
    <cfRule type="cellIs" dxfId="21133" priority="1057" operator="lessThan">
      <formula>0.8</formula>
    </cfRule>
    <cfRule type="cellIs" dxfId="21132" priority="1058" operator="greaterThan">
      <formula>1</formula>
    </cfRule>
  </conditionalFormatting>
  <conditionalFormatting sqref="R123 R125:R126 R128:R130">
    <cfRule type="cellIs" dxfId="21131" priority="1055" operator="greaterThan">
      <formula>1</formula>
    </cfRule>
    <cfRule type="cellIs" dxfId="21130" priority="1056" operator="lessThan">
      <formula>0.8</formula>
    </cfRule>
  </conditionalFormatting>
  <conditionalFormatting sqref="P123 P125:P126 P128:P130">
    <cfRule type="cellIs" dxfId="21129" priority="1054" operator="greaterThan">
      <formula>0</formula>
    </cfRule>
  </conditionalFormatting>
  <conditionalFormatting sqref="P123 P125:P126 P128:P130">
    <cfRule type="cellIs" dxfId="21128" priority="1048" operator="greaterThan">
      <formula>0</formula>
    </cfRule>
  </conditionalFormatting>
  <conditionalFormatting sqref="Q123 Q125:Q126 Q128:Q130">
    <cfRule type="cellIs" dxfId="21127" priority="1053" operator="lessThan">
      <formula>0</formula>
    </cfRule>
  </conditionalFormatting>
  <conditionalFormatting sqref="R123 R125:R126 R128:R130">
    <cfRule type="cellIs" dxfId="21126" priority="1051" operator="lessThan">
      <formula>0.8</formula>
    </cfRule>
    <cfRule type="cellIs" dxfId="21125" priority="1052" operator="greaterThan">
      <formula>1</formula>
    </cfRule>
  </conditionalFormatting>
  <conditionalFormatting sqref="R123 R125:R126 R128:R130">
    <cfRule type="cellIs" dxfId="21124" priority="1049" operator="greaterThan">
      <formula>1</formula>
    </cfRule>
    <cfRule type="cellIs" dxfId="21123" priority="1050" operator="lessThan">
      <formula>0.8</formula>
    </cfRule>
  </conditionalFormatting>
  <conditionalFormatting sqref="P122">
    <cfRule type="cellIs" dxfId="21122" priority="1042" operator="greaterThan">
      <formula>0</formula>
    </cfRule>
  </conditionalFormatting>
  <conditionalFormatting sqref="Q122">
    <cfRule type="cellIs" dxfId="21121" priority="1047" operator="lessThan">
      <formula>0</formula>
    </cfRule>
  </conditionalFormatting>
  <conditionalFormatting sqref="R122">
    <cfRule type="cellIs" dxfId="21120" priority="1045" operator="lessThan">
      <formula>0.8</formula>
    </cfRule>
    <cfRule type="cellIs" dxfId="21119" priority="1046" operator="greaterThan">
      <formula>1</formula>
    </cfRule>
  </conditionalFormatting>
  <conditionalFormatting sqref="R122">
    <cfRule type="cellIs" dxfId="21118" priority="1043" operator="greaterThan">
      <formula>1</formula>
    </cfRule>
    <cfRule type="cellIs" dxfId="21117" priority="1044" operator="lessThan">
      <formula>0.8</formula>
    </cfRule>
  </conditionalFormatting>
  <conditionalFormatting sqref="Q109:Q116">
    <cfRule type="cellIs" dxfId="21116" priority="1041" operator="lessThan">
      <formula>0</formula>
    </cfRule>
  </conditionalFormatting>
  <conditionalFormatting sqref="R109:R116">
    <cfRule type="cellIs" dxfId="21115" priority="1039" operator="lessThan">
      <formula>0.8</formula>
    </cfRule>
    <cfRule type="cellIs" dxfId="21114" priority="1040" operator="greaterThan">
      <formula>1</formula>
    </cfRule>
  </conditionalFormatting>
  <conditionalFormatting sqref="R109:R116">
    <cfRule type="cellIs" dxfId="21113" priority="1037" operator="greaterThan">
      <formula>1</formula>
    </cfRule>
    <cfRule type="cellIs" dxfId="21112" priority="1038" operator="lessThan">
      <formula>0.8</formula>
    </cfRule>
  </conditionalFormatting>
  <conditionalFormatting sqref="P109:P116">
    <cfRule type="cellIs" dxfId="21111" priority="1036" operator="greaterThan">
      <formula>0</formula>
    </cfRule>
  </conditionalFormatting>
  <conditionalFormatting sqref="P137 P140 P143">
    <cfRule type="cellIs" dxfId="21110" priority="1035" operator="greaterThan">
      <formula>0</formula>
    </cfRule>
  </conditionalFormatting>
  <conditionalFormatting sqref="Q137 Q140 Q143">
    <cfRule type="cellIs" dxfId="21109" priority="1034" operator="lessThan">
      <formula>0</formula>
    </cfRule>
  </conditionalFormatting>
  <conditionalFormatting sqref="R137 R140 R143">
    <cfRule type="cellIs" dxfId="21108" priority="1032" operator="lessThan">
      <formula>0.8</formula>
    </cfRule>
    <cfRule type="cellIs" dxfId="21107" priority="1033" operator="greaterThan">
      <formula>1</formula>
    </cfRule>
  </conditionalFormatting>
  <conditionalFormatting sqref="R137 R140 R143">
    <cfRule type="cellIs" dxfId="21106" priority="1030" operator="greaterThan">
      <formula>1</formula>
    </cfRule>
    <cfRule type="cellIs" dxfId="21105" priority="1031" operator="lessThan">
      <formula>0.8</formula>
    </cfRule>
  </conditionalFormatting>
  <conditionalFormatting sqref="P137 P140 P143">
    <cfRule type="cellIs" dxfId="21104" priority="1029" operator="greaterThan">
      <formula>0</formula>
    </cfRule>
  </conditionalFormatting>
  <conditionalFormatting sqref="Q137 Q140 Q143">
    <cfRule type="cellIs" dxfId="21103" priority="1028" operator="lessThan">
      <formula>0</formula>
    </cfRule>
  </conditionalFormatting>
  <conditionalFormatting sqref="R137 R140 R143">
    <cfRule type="cellIs" dxfId="21102" priority="1026" operator="lessThan">
      <formula>0.8</formula>
    </cfRule>
    <cfRule type="cellIs" dxfId="21101" priority="1027" operator="greaterThan">
      <formula>1</formula>
    </cfRule>
  </conditionalFormatting>
  <conditionalFormatting sqref="R137 R140 R143">
    <cfRule type="cellIs" dxfId="21100" priority="1024" operator="greaterThan">
      <formula>1</formula>
    </cfRule>
    <cfRule type="cellIs" dxfId="21099" priority="1025" operator="lessThan">
      <formula>0.8</formula>
    </cfRule>
  </conditionalFormatting>
  <conditionalFormatting sqref="P137 P140 P143">
    <cfRule type="cellIs" dxfId="21098" priority="1023" operator="greaterThan">
      <formula>0</formula>
    </cfRule>
  </conditionalFormatting>
  <conditionalFormatting sqref="P137 P140 P143">
    <cfRule type="cellIs" dxfId="21097" priority="1017" operator="greaterThan">
      <formula>0</formula>
    </cfRule>
  </conditionalFormatting>
  <conditionalFormatting sqref="Q137 Q140 Q143">
    <cfRule type="cellIs" dxfId="21096" priority="1022" operator="lessThan">
      <formula>0</formula>
    </cfRule>
  </conditionalFormatting>
  <conditionalFormatting sqref="R137 R140 R143">
    <cfRule type="cellIs" dxfId="21095" priority="1020" operator="lessThan">
      <formula>0.8</formula>
    </cfRule>
    <cfRule type="cellIs" dxfId="21094" priority="1021" operator="greaterThan">
      <formula>1</formula>
    </cfRule>
  </conditionalFormatting>
  <conditionalFormatting sqref="R137 R140 R143">
    <cfRule type="cellIs" dxfId="21093" priority="1018" operator="greaterThan">
      <formula>1</formula>
    </cfRule>
    <cfRule type="cellIs" dxfId="21092" priority="1019" operator="lessThan">
      <formula>0.8</formula>
    </cfRule>
  </conditionalFormatting>
  <conditionalFormatting sqref="Q137 Q140 Q143">
    <cfRule type="cellIs" dxfId="21091" priority="1016" operator="lessThan">
      <formula>0</formula>
    </cfRule>
  </conditionalFormatting>
  <conditionalFormatting sqref="R137 R140 R143">
    <cfRule type="cellIs" dxfId="21090" priority="1014" operator="lessThan">
      <formula>0.8</formula>
    </cfRule>
    <cfRule type="cellIs" dxfId="21089" priority="1015" operator="greaterThan">
      <formula>1</formula>
    </cfRule>
  </conditionalFormatting>
  <conditionalFormatting sqref="R137 R140 R143">
    <cfRule type="cellIs" dxfId="21088" priority="1012" operator="greaterThan">
      <formula>1</formula>
    </cfRule>
    <cfRule type="cellIs" dxfId="21087" priority="1013" operator="lessThan">
      <formula>0.8</formula>
    </cfRule>
  </conditionalFormatting>
  <conditionalFormatting sqref="P137 P140 P143">
    <cfRule type="cellIs" dxfId="21086" priority="1011" operator="greaterThan">
      <formula>0</formula>
    </cfRule>
  </conditionalFormatting>
  <conditionalFormatting sqref="Q137 Q140 Q143">
    <cfRule type="cellIs" dxfId="21085" priority="1010" operator="lessThan">
      <formula>0</formula>
    </cfRule>
  </conditionalFormatting>
  <conditionalFormatting sqref="R137 R140 R143">
    <cfRule type="cellIs" dxfId="21084" priority="1008" operator="lessThan">
      <formula>0.8</formula>
    </cfRule>
    <cfRule type="cellIs" dxfId="21083" priority="1009" operator="greaterThan">
      <formula>1</formula>
    </cfRule>
  </conditionalFormatting>
  <conditionalFormatting sqref="R137 R140 R143">
    <cfRule type="cellIs" dxfId="21082" priority="1006" operator="greaterThan">
      <formula>1</formula>
    </cfRule>
    <cfRule type="cellIs" dxfId="21081" priority="1007" operator="lessThan">
      <formula>0.8</formula>
    </cfRule>
  </conditionalFormatting>
  <conditionalFormatting sqref="P137 P140 P143">
    <cfRule type="cellIs" dxfId="21080" priority="1005" operator="greaterThan">
      <formula>0</formula>
    </cfRule>
  </conditionalFormatting>
  <conditionalFormatting sqref="P137 P140 P143">
    <cfRule type="cellIs" dxfId="21079" priority="999" operator="greaterThan">
      <formula>0</formula>
    </cfRule>
  </conditionalFormatting>
  <conditionalFormatting sqref="Q137 Q140 Q143">
    <cfRule type="cellIs" dxfId="21078" priority="1004" operator="lessThan">
      <formula>0</formula>
    </cfRule>
  </conditionalFormatting>
  <conditionalFormatting sqref="R137 R140 R143">
    <cfRule type="cellIs" dxfId="21077" priority="1002" operator="lessThan">
      <formula>0.8</formula>
    </cfRule>
    <cfRule type="cellIs" dxfId="21076" priority="1003" operator="greaterThan">
      <formula>1</formula>
    </cfRule>
  </conditionalFormatting>
  <conditionalFormatting sqref="R137 R140 R143">
    <cfRule type="cellIs" dxfId="21075" priority="1000" operator="greaterThan">
      <formula>1</formula>
    </cfRule>
    <cfRule type="cellIs" dxfId="21074" priority="1001" operator="lessThan">
      <formula>0.8</formula>
    </cfRule>
  </conditionalFormatting>
  <conditionalFormatting sqref="Q137 Q140 Q143">
    <cfRule type="cellIs" dxfId="21073" priority="998" operator="lessThan">
      <formula>0</formula>
    </cfRule>
  </conditionalFormatting>
  <conditionalFormatting sqref="R137 R140 R143">
    <cfRule type="cellIs" dxfId="21072" priority="996" operator="lessThan">
      <formula>0.8</formula>
    </cfRule>
    <cfRule type="cellIs" dxfId="21071" priority="997" operator="greaterThan">
      <formula>1</formula>
    </cfRule>
  </conditionalFormatting>
  <conditionalFormatting sqref="R137 R140 R143">
    <cfRule type="cellIs" dxfId="21070" priority="994" operator="greaterThan">
      <formula>1</formula>
    </cfRule>
    <cfRule type="cellIs" dxfId="21069" priority="995" operator="lessThan">
      <formula>0.8</formula>
    </cfRule>
  </conditionalFormatting>
  <conditionalFormatting sqref="P137 P140 P143">
    <cfRule type="cellIs" dxfId="21068" priority="993" operator="greaterThan">
      <formula>0</formula>
    </cfRule>
  </conditionalFormatting>
  <conditionalFormatting sqref="Q137 Q140 Q143">
    <cfRule type="cellIs" dxfId="21067" priority="992" operator="lessThan">
      <formula>0</formula>
    </cfRule>
  </conditionalFormatting>
  <conditionalFormatting sqref="R137 R140 R143">
    <cfRule type="cellIs" dxfId="21066" priority="990" operator="lessThan">
      <formula>0.8</formula>
    </cfRule>
    <cfRule type="cellIs" dxfId="21065" priority="991" operator="greaterThan">
      <formula>1</formula>
    </cfRule>
  </conditionalFormatting>
  <conditionalFormatting sqref="R137 R140 R143">
    <cfRule type="cellIs" dxfId="21064" priority="988" operator="greaterThan">
      <formula>1</formula>
    </cfRule>
    <cfRule type="cellIs" dxfId="21063" priority="989" operator="lessThan">
      <formula>0.8</formula>
    </cfRule>
  </conditionalFormatting>
  <conditionalFormatting sqref="P137 P140 P143">
    <cfRule type="cellIs" dxfId="21062" priority="987" operator="greaterThan">
      <formula>0</formula>
    </cfRule>
  </conditionalFormatting>
  <conditionalFormatting sqref="P137 P140 P143">
    <cfRule type="cellIs" dxfId="21061" priority="981" operator="greaterThan">
      <formula>0</formula>
    </cfRule>
  </conditionalFormatting>
  <conditionalFormatting sqref="Q137 Q140 Q143">
    <cfRule type="cellIs" dxfId="21060" priority="986" operator="lessThan">
      <formula>0</formula>
    </cfRule>
  </conditionalFormatting>
  <conditionalFormatting sqref="R137 R140 R143">
    <cfRule type="cellIs" dxfId="21059" priority="984" operator="lessThan">
      <formula>0.8</formula>
    </cfRule>
    <cfRule type="cellIs" dxfId="21058" priority="985" operator="greaterThan">
      <formula>1</formula>
    </cfRule>
  </conditionalFormatting>
  <conditionalFormatting sqref="R137 R140 R143">
    <cfRule type="cellIs" dxfId="21057" priority="982" operator="greaterThan">
      <formula>1</formula>
    </cfRule>
    <cfRule type="cellIs" dxfId="21056" priority="983" operator="lessThan">
      <formula>0.8</formula>
    </cfRule>
  </conditionalFormatting>
  <conditionalFormatting sqref="Q137 Q140 Q143">
    <cfRule type="cellIs" dxfId="21055" priority="980" operator="lessThan">
      <formula>0</formula>
    </cfRule>
  </conditionalFormatting>
  <conditionalFormatting sqref="R137 R140 R143">
    <cfRule type="cellIs" dxfId="21054" priority="978" operator="lessThan">
      <formula>0.8</formula>
    </cfRule>
    <cfRule type="cellIs" dxfId="21053" priority="979" operator="greaterThan">
      <formula>1</formula>
    </cfRule>
  </conditionalFormatting>
  <conditionalFormatting sqref="R137 R140 R143">
    <cfRule type="cellIs" dxfId="21052" priority="976" operator="greaterThan">
      <formula>1</formula>
    </cfRule>
    <cfRule type="cellIs" dxfId="21051" priority="977" operator="lessThan">
      <formula>0.8</formula>
    </cfRule>
  </conditionalFormatting>
  <conditionalFormatting sqref="P137 P140 P143">
    <cfRule type="cellIs" dxfId="21050" priority="975" operator="greaterThan">
      <formula>0</formula>
    </cfRule>
  </conditionalFormatting>
  <conditionalFormatting sqref="P138 P144 P141">
    <cfRule type="cellIs" dxfId="21049" priority="969" operator="greaterThan">
      <formula>0</formula>
    </cfRule>
  </conditionalFormatting>
  <conditionalFormatting sqref="Q138 Q144 Q141">
    <cfRule type="cellIs" dxfId="21048" priority="974" operator="lessThan">
      <formula>0</formula>
    </cfRule>
  </conditionalFormatting>
  <conditionalFormatting sqref="R138 R144 R141">
    <cfRule type="cellIs" dxfId="21047" priority="972" operator="lessThan">
      <formula>0.8</formula>
    </cfRule>
    <cfRule type="cellIs" dxfId="21046" priority="973" operator="greaterThan">
      <formula>1</formula>
    </cfRule>
  </conditionalFormatting>
  <conditionalFormatting sqref="R138 R144 R141">
    <cfRule type="cellIs" dxfId="21045" priority="970" operator="greaterThan">
      <formula>1</formula>
    </cfRule>
    <cfRule type="cellIs" dxfId="21044" priority="971" operator="lessThan">
      <formula>0.8</formula>
    </cfRule>
  </conditionalFormatting>
  <conditionalFormatting sqref="Q138 Q144 Q141">
    <cfRule type="cellIs" dxfId="21043" priority="968" operator="lessThan">
      <formula>0</formula>
    </cfRule>
  </conditionalFormatting>
  <conditionalFormatting sqref="R138 R144 R141">
    <cfRule type="cellIs" dxfId="21042" priority="966" operator="lessThan">
      <formula>0.8</formula>
    </cfRule>
    <cfRule type="cellIs" dxfId="21041" priority="967" operator="greaterThan">
      <formula>1</formula>
    </cfRule>
  </conditionalFormatting>
  <conditionalFormatting sqref="R138 R144 R141">
    <cfRule type="cellIs" dxfId="21040" priority="964" operator="greaterThan">
      <formula>1</formula>
    </cfRule>
    <cfRule type="cellIs" dxfId="21039" priority="965" operator="lessThan">
      <formula>0.8</formula>
    </cfRule>
  </conditionalFormatting>
  <conditionalFormatting sqref="P138 P144 P141">
    <cfRule type="cellIs" dxfId="21038" priority="963" operator="greaterThan">
      <formula>0</formula>
    </cfRule>
  </conditionalFormatting>
  <conditionalFormatting sqref="Q138 Q144 Q141">
    <cfRule type="cellIs" dxfId="21037" priority="962" operator="lessThan">
      <formula>0</formula>
    </cfRule>
  </conditionalFormatting>
  <conditionalFormatting sqref="R138 R144 R141">
    <cfRule type="cellIs" dxfId="21036" priority="960" operator="lessThan">
      <formula>0.8</formula>
    </cfRule>
    <cfRule type="cellIs" dxfId="21035" priority="961" operator="greaterThan">
      <formula>1</formula>
    </cfRule>
  </conditionalFormatting>
  <conditionalFormatting sqref="R138 R144 R141">
    <cfRule type="cellIs" dxfId="21034" priority="958" operator="greaterThan">
      <formula>1</formula>
    </cfRule>
    <cfRule type="cellIs" dxfId="21033" priority="959" operator="lessThan">
      <formula>0.8</formula>
    </cfRule>
  </conditionalFormatting>
  <conditionalFormatting sqref="P138 P144 P141">
    <cfRule type="cellIs" dxfId="21032" priority="957" operator="greaterThan">
      <formula>0</formula>
    </cfRule>
  </conditionalFormatting>
  <conditionalFormatting sqref="Q138 Q144 Q141">
    <cfRule type="cellIs" dxfId="21031" priority="956" operator="lessThan">
      <formula>0</formula>
    </cfRule>
  </conditionalFormatting>
  <conditionalFormatting sqref="R138 R144 R141">
    <cfRule type="cellIs" dxfId="21030" priority="954" operator="lessThan">
      <formula>0.8</formula>
    </cfRule>
    <cfRule type="cellIs" dxfId="21029" priority="955" operator="greaterThan">
      <formula>1</formula>
    </cfRule>
  </conditionalFormatting>
  <conditionalFormatting sqref="R138 R144 R141">
    <cfRule type="cellIs" dxfId="21028" priority="952" operator="greaterThan">
      <formula>1</formula>
    </cfRule>
    <cfRule type="cellIs" dxfId="21027" priority="953" operator="lessThan">
      <formula>0.8</formula>
    </cfRule>
  </conditionalFormatting>
  <conditionalFormatting sqref="P138 P144 P141">
    <cfRule type="cellIs" dxfId="21026" priority="951" operator="greaterThan">
      <formula>0</formula>
    </cfRule>
  </conditionalFormatting>
  <conditionalFormatting sqref="Q138 Q144 Q141">
    <cfRule type="cellIs" dxfId="21025" priority="950" operator="lessThan">
      <formula>0</formula>
    </cfRule>
  </conditionalFormatting>
  <conditionalFormatting sqref="R138 R144 R141">
    <cfRule type="cellIs" dxfId="21024" priority="948" operator="lessThan">
      <formula>0.8</formula>
    </cfRule>
    <cfRule type="cellIs" dxfId="21023" priority="949" operator="greaterThan">
      <formula>1</formula>
    </cfRule>
  </conditionalFormatting>
  <conditionalFormatting sqref="R138 R144 R141">
    <cfRule type="cellIs" dxfId="21022" priority="946" operator="greaterThan">
      <formula>1</formula>
    </cfRule>
    <cfRule type="cellIs" dxfId="21021" priority="947" operator="lessThan">
      <formula>0.8</formula>
    </cfRule>
  </conditionalFormatting>
  <conditionalFormatting sqref="Q138 Q144 Q141">
    <cfRule type="cellIs" dxfId="21020" priority="945" operator="lessThan">
      <formula>0</formula>
    </cfRule>
  </conditionalFormatting>
  <conditionalFormatting sqref="R138 R144 R141">
    <cfRule type="cellIs" dxfId="21019" priority="943" operator="lessThan">
      <formula>0.8</formula>
    </cfRule>
    <cfRule type="cellIs" dxfId="21018" priority="944" operator="greaterThan">
      <formula>1</formula>
    </cfRule>
  </conditionalFormatting>
  <conditionalFormatting sqref="R138 R144 R141">
    <cfRule type="cellIs" dxfId="21017" priority="941" operator="greaterThan">
      <formula>1</formula>
    </cfRule>
    <cfRule type="cellIs" dxfId="21016" priority="942" operator="lessThan">
      <formula>0.8</formula>
    </cfRule>
  </conditionalFormatting>
  <conditionalFormatting sqref="P138 P144 P141">
    <cfRule type="cellIs" dxfId="21015" priority="940" operator="greaterThan">
      <formula>0</formula>
    </cfRule>
  </conditionalFormatting>
  <conditionalFormatting sqref="P138 P144 P141">
    <cfRule type="cellIs" dxfId="21014" priority="934" operator="greaterThan">
      <formula>0</formula>
    </cfRule>
  </conditionalFormatting>
  <conditionalFormatting sqref="Q138 Q144 Q141">
    <cfRule type="cellIs" dxfId="21013" priority="939" operator="lessThan">
      <formula>0</formula>
    </cfRule>
  </conditionalFormatting>
  <conditionalFormatting sqref="R138 R144 R141">
    <cfRule type="cellIs" dxfId="21012" priority="937" operator="lessThan">
      <formula>0.8</formula>
    </cfRule>
    <cfRule type="cellIs" dxfId="21011" priority="938" operator="greaterThan">
      <formula>1</formula>
    </cfRule>
  </conditionalFormatting>
  <conditionalFormatting sqref="R138 R144 R141">
    <cfRule type="cellIs" dxfId="21010" priority="935" operator="greaterThan">
      <formula>1</formula>
    </cfRule>
    <cfRule type="cellIs" dxfId="21009" priority="936" operator="lessThan">
      <formula>0.8</formula>
    </cfRule>
  </conditionalFormatting>
  <conditionalFormatting sqref="Q138 Q144 Q141">
    <cfRule type="cellIs" dxfId="21008" priority="933" operator="lessThan">
      <formula>0</formula>
    </cfRule>
  </conditionalFormatting>
  <conditionalFormatting sqref="R138 R144 R141">
    <cfRule type="cellIs" dxfId="21007" priority="931" operator="lessThan">
      <formula>0.8</formula>
    </cfRule>
    <cfRule type="cellIs" dxfId="21006" priority="932" operator="greaterThan">
      <formula>1</formula>
    </cfRule>
  </conditionalFormatting>
  <conditionalFormatting sqref="R138 R144 R141">
    <cfRule type="cellIs" dxfId="21005" priority="929" operator="greaterThan">
      <formula>1</formula>
    </cfRule>
    <cfRule type="cellIs" dxfId="21004" priority="930" operator="lessThan">
      <formula>0.8</formula>
    </cfRule>
  </conditionalFormatting>
  <conditionalFormatting sqref="P138 P144 P141">
    <cfRule type="cellIs" dxfId="21003" priority="928" operator="greaterThan">
      <formula>0</formula>
    </cfRule>
  </conditionalFormatting>
  <conditionalFormatting sqref="Q148:Q153">
    <cfRule type="cellIs" dxfId="21002" priority="927" operator="lessThan">
      <formula>0</formula>
    </cfRule>
  </conditionalFormatting>
  <conditionalFormatting sqref="R148:R153">
    <cfRule type="cellIs" dxfId="21001" priority="925" operator="lessThan">
      <formula>0.8</formula>
    </cfRule>
    <cfRule type="cellIs" dxfId="21000" priority="926" operator="greaterThan">
      <formula>1</formula>
    </cfRule>
  </conditionalFormatting>
  <conditionalFormatting sqref="R148:R153">
    <cfRule type="cellIs" dxfId="20999" priority="923" operator="greaterThan">
      <formula>1</formula>
    </cfRule>
    <cfRule type="cellIs" dxfId="20998" priority="924" operator="lessThan">
      <formula>0.8</formula>
    </cfRule>
  </conditionalFormatting>
  <conditionalFormatting sqref="P148:P153">
    <cfRule type="cellIs" dxfId="20997" priority="922" operator="greaterThan">
      <formula>0</formula>
    </cfRule>
  </conditionalFormatting>
  <conditionalFormatting sqref="P148:P153">
    <cfRule type="cellIs" dxfId="20996" priority="916" operator="greaterThan">
      <formula>0</formula>
    </cfRule>
  </conditionalFormatting>
  <conditionalFormatting sqref="Q148:Q153">
    <cfRule type="cellIs" dxfId="20995" priority="921" operator="lessThan">
      <formula>0</formula>
    </cfRule>
  </conditionalFormatting>
  <conditionalFormatting sqref="R148:R153">
    <cfRule type="cellIs" dxfId="20994" priority="919" operator="lessThan">
      <formula>0.8</formula>
    </cfRule>
    <cfRule type="cellIs" dxfId="20993" priority="920" operator="greaterThan">
      <formula>1</formula>
    </cfRule>
  </conditionalFormatting>
  <conditionalFormatting sqref="R148:R153">
    <cfRule type="cellIs" dxfId="20992" priority="917" operator="greaterThan">
      <formula>1</formula>
    </cfRule>
    <cfRule type="cellIs" dxfId="20991" priority="918" operator="lessThan">
      <formula>0.8</formula>
    </cfRule>
  </conditionalFormatting>
  <conditionalFormatting sqref="Q148:Q153">
    <cfRule type="cellIs" dxfId="20990" priority="915" operator="lessThan">
      <formula>0</formula>
    </cfRule>
  </conditionalFormatting>
  <conditionalFormatting sqref="R148:R153">
    <cfRule type="cellIs" dxfId="20989" priority="913" operator="lessThan">
      <formula>0.8</formula>
    </cfRule>
    <cfRule type="cellIs" dxfId="20988" priority="914" operator="greaterThan">
      <formula>1</formula>
    </cfRule>
  </conditionalFormatting>
  <conditionalFormatting sqref="R148:R153">
    <cfRule type="cellIs" dxfId="20987" priority="911" operator="greaterThan">
      <formula>1</formula>
    </cfRule>
    <cfRule type="cellIs" dxfId="20986" priority="912" operator="lessThan">
      <formula>0.8</formula>
    </cfRule>
  </conditionalFormatting>
  <conditionalFormatting sqref="P148:P153">
    <cfRule type="cellIs" dxfId="20985" priority="910" operator="greaterThan">
      <formula>0</formula>
    </cfRule>
  </conditionalFormatting>
  <conditionalFormatting sqref="Q148:Q153">
    <cfRule type="cellIs" dxfId="20984" priority="909" operator="lessThan">
      <formula>0</formula>
    </cfRule>
  </conditionalFormatting>
  <conditionalFormatting sqref="R148:R153">
    <cfRule type="cellIs" dxfId="20983" priority="907" operator="lessThan">
      <formula>0.8</formula>
    </cfRule>
    <cfRule type="cellIs" dxfId="20982" priority="908" operator="greaterThan">
      <formula>1</formula>
    </cfRule>
  </conditionalFormatting>
  <conditionalFormatting sqref="R148:R153">
    <cfRule type="cellIs" dxfId="20981" priority="905" operator="greaterThan">
      <formula>1</formula>
    </cfRule>
    <cfRule type="cellIs" dxfId="20980" priority="906" operator="lessThan">
      <formula>0.8</formula>
    </cfRule>
  </conditionalFormatting>
  <conditionalFormatting sqref="P148:P153">
    <cfRule type="cellIs" dxfId="20979" priority="904" operator="greaterThan">
      <formula>0</formula>
    </cfRule>
  </conditionalFormatting>
  <conditionalFormatting sqref="P148:P153">
    <cfRule type="cellIs" dxfId="20978" priority="898" operator="greaterThan">
      <formula>0</formula>
    </cfRule>
  </conditionalFormatting>
  <conditionalFormatting sqref="Q148:Q153">
    <cfRule type="cellIs" dxfId="20977" priority="903" operator="lessThan">
      <formula>0</formula>
    </cfRule>
  </conditionalFormatting>
  <conditionalFormatting sqref="R148:R153">
    <cfRule type="cellIs" dxfId="20976" priority="901" operator="lessThan">
      <formula>0.8</formula>
    </cfRule>
    <cfRule type="cellIs" dxfId="20975" priority="902" operator="greaterThan">
      <formula>1</formula>
    </cfRule>
  </conditionalFormatting>
  <conditionalFormatting sqref="R148:R153">
    <cfRule type="cellIs" dxfId="20974" priority="899" operator="greaterThan">
      <formula>1</formula>
    </cfRule>
    <cfRule type="cellIs" dxfId="20973" priority="900" operator="lessThan">
      <formula>0.8</formula>
    </cfRule>
  </conditionalFormatting>
  <conditionalFormatting sqref="Q148:Q153">
    <cfRule type="cellIs" dxfId="20972" priority="897" operator="lessThan">
      <formula>0</formula>
    </cfRule>
  </conditionalFormatting>
  <conditionalFormatting sqref="R148:R153">
    <cfRule type="cellIs" dxfId="20971" priority="895" operator="lessThan">
      <formula>0.8</formula>
    </cfRule>
    <cfRule type="cellIs" dxfId="20970" priority="896" operator="greaterThan">
      <formula>1</formula>
    </cfRule>
  </conditionalFormatting>
  <conditionalFormatting sqref="R148:R153">
    <cfRule type="cellIs" dxfId="20969" priority="893" operator="greaterThan">
      <formula>1</formula>
    </cfRule>
    <cfRule type="cellIs" dxfId="20968" priority="894" operator="lessThan">
      <formula>0.8</formula>
    </cfRule>
  </conditionalFormatting>
  <conditionalFormatting sqref="P148:P153">
    <cfRule type="cellIs" dxfId="20967" priority="892" operator="greaterThan">
      <formula>0</formula>
    </cfRule>
  </conditionalFormatting>
  <conditionalFormatting sqref="Q148:Q153">
    <cfRule type="cellIs" dxfId="20966" priority="886" operator="lessThan">
      <formula>0</formula>
    </cfRule>
  </conditionalFormatting>
  <conditionalFormatting sqref="P148:P153">
    <cfRule type="cellIs" dxfId="20965" priority="887" operator="greaterThan">
      <formula>0</formula>
    </cfRule>
  </conditionalFormatting>
  <conditionalFormatting sqref="R148:R153">
    <cfRule type="cellIs" dxfId="20964" priority="890" operator="lessThan">
      <formula>0.8</formula>
    </cfRule>
    <cfRule type="cellIs" dxfId="20963" priority="891" operator="greaterThan">
      <formula>1</formula>
    </cfRule>
  </conditionalFormatting>
  <conditionalFormatting sqref="R148:R153">
    <cfRule type="cellIs" dxfId="20962" priority="888" operator="greaterThan">
      <formula>1</formula>
    </cfRule>
    <cfRule type="cellIs" dxfId="20961" priority="889" operator="lessThan">
      <formula>0.8</formula>
    </cfRule>
  </conditionalFormatting>
  <conditionalFormatting sqref="Q148:Q153">
    <cfRule type="cellIs" dxfId="20960" priority="880" operator="lessThan">
      <formula>0</formula>
    </cfRule>
  </conditionalFormatting>
  <conditionalFormatting sqref="R148:R153">
    <cfRule type="cellIs" dxfId="20959" priority="884" operator="lessThan">
      <formula>0.8</formula>
    </cfRule>
    <cfRule type="cellIs" dxfId="20958" priority="885" operator="greaterThan">
      <formula>1</formula>
    </cfRule>
  </conditionalFormatting>
  <conditionalFormatting sqref="R148:R153">
    <cfRule type="cellIs" dxfId="20957" priority="882" operator="greaterThan">
      <formula>1</formula>
    </cfRule>
    <cfRule type="cellIs" dxfId="20956" priority="883" operator="lessThan">
      <formula>0.8</formula>
    </cfRule>
  </conditionalFormatting>
  <conditionalFormatting sqref="P148:P153">
    <cfRule type="cellIs" dxfId="20955" priority="881" operator="greaterThan">
      <formula>0</formula>
    </cfRule>
  </conditionalFormatting>
  <conditionalFormatting sqref="Q148:Q153">
    <cfRule type="cellIs" dxfId="20954" priority="879" operator="lessThan">
      <formula>0</formula>
    </cfRule>
  </conditionalFormatting>
  <conditionalFormatting sqref="R148:R153">
    <cfRule type="cellIs" dxfId="20953" priority="877" operator="lessThan">
      <formula>0.8</formula>
    </cfRule>
    <cfRule type="cellIs" dxfId="20952" priority="878" operator="greaterThan">
      <formula>1</formula>
    </cfRule>
  </conditionalFormatting>
  <conditionalFormatting sqref="R148:R153">
    <cfRule type="cellIs" dxfId="20951" priority="875" operator="greaterThan">
      <formula>1</formula>
    </cfRule>
    <cfRule type="cellIs" dxfId="20950" priority="876" operator="lessThan">
      <formula>0.8</formula>
    </cfRule>
  </conditionalFormatting>
  <conditionalFormatting sqref="P148:P153">
    <cfRule type="cellIs" dxfId="20949" priority="874" operator="greaterThan">
      <formula>0</formula>
    </cfRule>
  </conditionalFormatting>
  <conditionalFormatting sqref="Q148:Q153">
    <cfRule type="cellIs" dxfId="20948" priority="873" operator="lessThan">
      <formula>0</formula>
    </cfRule>
  </conditionalFormatting>
  <conditionalFormatting sqref="R148:R153">
    <cfRule type="cellIs" dxfId="20947" priority="871" operator="lessThan">
      <formula>0.8</formula>
    </cfRule>
    <cfRule type="cellIs" dxfId="20946" priority="872" operator="greaterThan">
      <formula>1</formula>
    </cfRule>
  </conditionalFormatting>
  <conditionalFormatting sqref="R148:R153">
    <cfRule type="cellIs" dxfId="20945" priority="869" operator="greaterThan">
      <formula>1</formula>
    </cfRule>
    <cfRule type="cellIs" dxfId="20944" priority="870" operator="lessThan">
      <formula>0.8</formula>
    </cfRule>
  </conditionalFormatting>
  <conditionalFormatting sqref="P148:P153">
    <cfRule type="cellIs" dxfId="20943" priority="868" operator="greaterThan">
      <formula>0</formula>
    </cfRule>
  </conditionalFormatting>
  <conditionalFormatting sqref="Q148:Q153">
    <cfRule type="cellIs" dxfId="20942" priority="867" operator="lessThan">
      <formula>0</formula>
    </cfRule>
  </conditionalFormatting>
  <conditionalFormatting sqref="R148:R153">
    <cfRule type="cellIs" dxfId="20941" priority="865" operator="lessThan">
      <formula>0.8</formula>
    </cfRule>
    <cfRule type="cellIs" dxfId="20940" priority="866" operator="greaterThan">
      <formula>1</formula>
    </cfRule>
  </conditionalFormatting>
  <conditionalFormatting sqref="R148:R153">
    <cfRule type="cellIs" dxfId="20939" priority="863" operator="greaterThan">
      <formula>1</formula>
    </cfRule>
    <cfRule type="cellIs" dxfId="20938" priority="864" operator="lessThan">
      <formula>0.8</formula>
    </cfRule>
  </conditionalFormatting>
  <conditionalFormatting sqref="P148:P153">
    <cfRule type="cellIs" dxfId="20937" priority="862" operator="greaterThan">
      <formula>0</formula>
    </cfRule>
  </conditionalFormatting>
  <conditionalFormatting sqref="Q148:Q153">
    <cfRule type="cellIs" dxfId="20936" priority="861" operator="lessThan">
      <formula>0</formula>
    </cfRule>
  </conditionalFormatting>
  <conditionalFormatting sqref="R148:R153">
    <cfRule type="cellIs" dxfId="20935" priority="859" operator="lessThan">
      <formula>0.8</formula>
    </cfRule>
    <cfRule type="cellIs" dxfId="20934" priority="860" operator="greaterThan">
      <formula>1</formula>
    </cfRule>
  </conditionalFormatting>
  <conditionalFormatting sqref="R148:R153">
    <cfRule type="cellIs" dxfId="20933" priority="857" operator="greaterThan">
      <formula>1</formula>
    </cfRule>
    <cfRule type="cellIs" dxfId="20932" priority="858" operator="lessThan">
      <formula>0.8</formula>
    </cfRule>
  </conditionalFormatting>
  <conditionalFormatting sqref="P148:P153">
    <cfRule type="cellIs" dxfId="20931" priority="856" operator="greaterThan">
      <formula>0</formula>
    </cfRule>
  </conditionalFormatting>
  <conditionalFormatting sqref="Q148:Q153">
    <cfRule type="cellIs" dxfId="20930" priority="855" operator="lessThan">
      <formula>0</formula>
    </cfRule>
  </conditionalFormatting>
  <conditionalFormatting sqref="R148:R153">
    <cfRule type="cellIs" dxfId="20929" priority="853" operator="lessThan">
      <formula>0.8</formula>
    </cfRule>
    <cfRule type="cellIs" dxfId="20928" priority="854" operator="greaterThan">
      <formula>1</formula>
    </cfRule>
  </conditionalFormatting>
  <conditionalFormatting sqref="R148:R153">
    <cfRule type="cellIs" dxfId="20927" priority="851" operator="greaterThan">
      <formula>1</formula>
    </cfRule>
    <cfRule type="cellIs" dxfId="20926" priority="852" operator="lessThan">
      <formula>0.8</formula>
    </cfRule>
  </conditionalFormatting>
  <conditionalFormatting sqref="P148:P153">
    <cfRule type="cellIs" dxfId="20925" priority="850" operator="greaterThan">
      <formula>0</formula>
    </cfRule>
  </conditionalFormatting>
  <conditionalFormatting sqref="Q148:Q153">
    <cfRule type="cellIs" dxfId="20924" priority="849" operator="lessThan">
      <formula>0</formula>
    </cfRule>
  </conditionalFormatting>
  <conditionalFormatting sqref="R148:R153">
    <cfRule type="cellIs" dxfId="20923" priority="847" operator="lessThan">
      <formula>0.8</formula>
    </cfRule>
    <cfRule type="cellIs" dxfId="20922" priority="848" operator="greaterThan">
      <formula>1</formula>
    </cfRule>
  </conditionalFormatting>
  <conditionalFormatting sqref="R148:R153">
    <cfRule type="cellIs" dxfId="20921" priority="845" operator="greaterThan">
      <formula>1</formula>
    </cfRule>
    <cfRule type="cellIs" dxfId="20920" priority="846" operator="lessThan">
      <formula>0.8</formula>
    </cfRule>
  </conditionalFormatting>
  <conditionalFormatting sqref="P148:P153">
    <cfRule type="cellIs" dxfId="20919" priority="844" operator="greaterThan">
      <formula>0</formula>
    </cfRule>
  </conditionalFormatting>
  <conditionalFormatting sqref="Q148:Q153">
    <cfRule type="cellIs" dxfId="20918" priority="843" operator="lessThan">
      <formula>0</formula>
    </cfRule>
  </conditionalFormatting>
  <conditionalFormatting sqref="R148:R153">
    <cfRule type="cellIs" dxfId="20917" priority="841" operator="lessThan">
      <formula>0.8</formula>
    </cfRule>
    <cfRule type="cellIs" dxfId="20916" priority="842" operator="greaterThan">
      <formula>1</formula>
    </cfRule>
  </conditionalFormatting>
  <conditionalFormatting sqref="R148:R153">
    <cfRule type="cellIs" dxfId="20915" priority="839" operator="greaterThan">
      <formula>1</formula>
    </cfRule>
    <cfRule type="cellIs" dxfId="20914" priority="840" operator="lessThan">
      <formula>0.8</formula>
    </cfRule>
  </conditionalFormatting>
  <conditionalFormatting sqref="P148:P153">
    <cfRule type="cellIs" dxfId="20913" priority="838" operator="greaterThan">
      <formula>0</formula>
    </cfRule>
  </conditionalFormatting>
  <conditionalFormatting sqref="P148:P153">
    <cfRule type="cellIs" dxfId="20912" priority="832" operator="greaterThan">
      <formula>0</formula>
    </cfRule>
  </conditionalFormatting>
  <conditionalFormatting sqref="Q148:Q153">
    <cfRule type="cellIs" dxfId="20911" priority="837" operator="lessThan">
      <formula>0</formula>
    </cfRule>
  </conditionalFormatting>
  <conditionalFormatting sqref="R148:R153">
    <cfRule type="cellIs" dxfId="20910" priority="835" operator="lessThan">
      <formula>0.8</formula>
    </cfRule>
    <cfRule type="cellIs" dxfId="20909" priority="836" operator="greaterThan">
      <formula>1</formula>
    </cfRule>
  </conditionalFormatting>
  <conditionalFormatting sqref="R148:R153">
    <cfRule type="cellIs" dxfId="20908" priority="833" operator="greaterThan">
      <formula>1</formula>
    </cfRule>
    <cfRule type="cellIs" dxfId="20907" priority="834" operator="lessThan">
      <formula>0.8</formula>
    </cfRule>
  </conditionalFormatting>
  <conditionalFormatting sqref="P148:P153">
    <cfRule type="cellIs" dxfId="20906" priority="826" operator="greaterThan">
      <formula>0</formula>
    </cfRule>
  </conditionalFormatting>
  <conditionalFormatting sqref="Q148:Q153">
    <cfRule type="cellIs" dxfId="20905" priority="831" operator="lessThan">
      <formula>0</formula>
    </cfRule>
  </conditionalFormatting>
  <conditionalFormatting sqref="R148:R153">
    <cfRule type="cellIs" dxfId="20904" priority="829" operator="lessThan">
      <formula>0.8</formula>
    </cfRule>
    <cfRule type="cellIs" dxfId="20903" priority="830" operator="greaterThan">
      <formula>1</formula>
    </cfRule>
  </conditionalFormatting>
  <conditionalFormatting sqref="R148:R153">
    <cfRule type="cellIs" dxfId="20902" priority="827" operator="greaterThan">
      <formula>1</formula>
    </cfRule>
    <cfRule type="cellIs" dxfId="20901" priority="828" operator="lessThan">
      <formula>0.8</formula>
    </cfRule>
  </conditionalFormatting>
  <conditionalFormatting sqref="R148:R153">
    <cfRule type="cellIs" dxfId="20900" priority="823" operator="lessThan">
      <formula>0.8</formula>
    </cfRule>
    <cfRule type="cellIs" dxfId="20899" priority="824" operator="greaterThan">
      <formula>1</formula>
    </cfRule>
  </conditionalFormatting>
  <conditionalFormatting sqref="R148:R153">
    <cfRule type="cellIs" dxfId="20898" priority="821" operator="greaterThan">
      <formula>1</formula>
    </cfRule>
    <cfRule type="cellIs" dxfId="20897" priority="822" operator="lessThan">
      <formula>0.8</formula>
    </cfRule>
  </conditionalFormatting>
  <conditionalFormatting sqref="P148:P153">
    <cfRule type="cellIs" dxfId="20896" priority="820" operator="greaterThan">
      <formula>0</formula>
    </cfRule>
  </conditionalFormatting>
  <conditionalFormatting sqref="Q148:Q153">
    <cfRule type="cellIs" dxfId="20895" priority="825" operator="lessThan">
      <formula>0</formula>
    </cfRule>
  </conditionalFormatting>
  <conditionalFormatting sqref="Q148:Q153">
    <cfRule type="cellIs" dxfId="20894" priority="819" operator="lessThan">
      <formula>0</formula>
    </cfRule>
  </conditionalFormatting>
  <conditionalFormatting sqref="R148:R153">
    <cfRule type="cellIs" dxfId="20893" priority="817" operator="lessThan">
      <formula>0.8</formula>
    </cfRule>
    <cfRule type="cellIs" dxfId="20892" priority="818" operator="greaterThan">
      <formula>1</formula>
    </cfRule>
  </conditionalFormatting>
  <conditionalFormatting sqref="R148:R153">
    <cfRule type="cellIs" dxfId="20891" priority="815" operator="greaterThan">
      <formula>1</formula>
    </cfRule>
    <cfRule type="cellIs" dxfId="20890" priority="816" operator="lessThan">
      <formula>0.8</formula>
    </cfRule>
  </conditionalFormatting>
  <conditionalFormatting sqref="P148:P153">
    <cfRule type="cellIs" dxfId="20889" priority="814" operator="greaterThan">
      <formula>0</formula>
    </cfRule>
  </conditionalFormatting>
  <conditionalFormatting sqref="P148:P153">
    <cfRule type="cellIs" dxfId="20888" priority="808" operator="greaterThan">
      <formula>0</formula>
    </cfRule>
  </conditionalFormatting>
  <conditionalFormatting sqref="Q148:Q153">
    <cfRule type="cellIs" dxfId="20887" priority="813" operator="lessThan">
      <formula>0</formula>
    </cfRule>
  </conditionalFormatting>
  <conditionalFormatting sqref="R148:R153">
    <cfRule type="cellIs" dxfId="20886" priority="811" operator="lessThan">
      <formula>0.8</formula>
    </cfRule>
    <cfRule type="cellIs" dxfId="20885" priority="812" operator="greaterThan">
      <formula>1</formula>
    </cfRule>
  </conditionalFormatting>
  <conditionalFormatting sqref="R148:R153">
    <cfRule type="cellIs" dxfId="20884" priority="809" operator="greaterThan">
      <formula>1</formula>
    </cfRule>
    <cfRule type="cellIs" dxfId="20883" priority="810" operator="lessThan">
      <formula>0.8</formula>
    </cfRule>
  </conditionalFormatting>
  <conditionalFormatting sqref="P148:P153">
    <cfRule type="cellIs" dxfId="20882" priority="802" operator="greaterThan">
      <formula>0</formula>
    </cfRule>
  </conditionalFormatting>
  <conditionalFormatting sqref="Q148:Q153">
    <cfRule type="cellIs" dxfId="20881" priority="807" operator="lessThan">
      <formula>0</formula>
    </cfRule>
  </conditionalFormatting>
  <conditionalFormatting sqref="R148:R153">
    <cfRule type="cellIs" dxfId="20880" priority="805" operator="lessThan">
      <formula>0.8</formula>
    </cfRule>
    <cfRule type="cellIs" dxfId="20879" priority="806" operator="greaterThan">
      <formula>1</formula>
    </cfRule>
  </conditionalFormatting>
  <conditionalFormatting sqref="R148:R153">
    <cfRule type="cellIs" dxfId="20878" priority="803" operator="greaterThan">
      <formula>1</formula>
    </cfRule>
    <cfRule type="cellIs" dxfId="20877" priority="804" operator="lessThan">
      <formula>0.8</formula>
    </cfRule>
  </conditionalFormatting>
  <conditionalFormatting sqref="R148:R153">
    <cfRule type="cellIs" dxfId="20876" priority="799" operator="lessThan">
      <formula>0.8</formula>
    </cfRule>
    <cfRule type="cellIs" dxfId="20875" priority="800" operator="greaterThan">
      <formula>1</formula>
    </cfRule>
  </conditionalFormatting>
  <conditionalFormatting sqref="R148:R153">
    <cfRule type="cellIs" dxfId="20874" priority="797" operator="greaterThan">
      <formula>1</formula>
    </cfRule>
    <cfRule type="cellIs" dxfId="20873" priority="798" operator="lessThan">
      <formula>0.8</formula>
    </cfRule>
  </conditionalFormatting>
  <conditionalFormatting sqref="P148:P153">
    <cfRule type="cellIs" dxfId="20872" priority="796" operator="greaterThan">
      <formula>0</formula>
    </cfRule>
  </conditionalFormatting>
  <conditionalFormatting sqref="Q148:Q153">
    <cfRule type="cellIs" dxfId="20871" priority="801" operator="lessThan">
      <formula>0</formula>
    </cfRule>
  </conditionalFormatting>
  <conditionalFormatting sqref="P148:P153">
    <cfRule type="cellIs" dxfId="20870" priority="790" operator="greaterThan">
      <formula>0</formula>
    </cfRule>
  </conditionalFormatting>
  <conditionalFormatting sqref="Q148:Q153">
    <cfRule type="cellIs" dxfId="20869" priority="795" operator="lessThan">
      <formula>0</formula>
    </cfRule>
  </conditionalFormatting>
  <conditionalFormatting sqref="R148:R153">
    <cfRule type="cellIs" dxfId="20868" priority="793" operator="lessThan">
      <formula>0.8</formula>
    </cfRule>
    <cfRule type="cellIs" dxfId="20867" priority="794" operator="greaterThan">
      <formula>1</formula>
    </cfRule>
  </conditionalFormatting>
  <conditionalFormatting sqref="R148:R153">
    <cfRule type="cellIs" dxfId="20866" priority="791" operator="greaterThan">
      <formula>1</formula>
    </cfRule>
    <cfRule type="cellIs" dxfId="20865" priority="792" operator="lessThan">
      <formula>0.8</formula>
    </cfRule>
  </conditionalFormatting>
  <conditionalFormatting sqref="R148:R153">
    <cfRule type="cellIs" dxfId="20864" priority="787" operator="lessThan">
      <formula>0.8</formula>
    </cfRule>
    <cfRule type="cellIs" dxfId="20863" priority="788" operator="greaterThan">
      <formula>1</formula>
    </cfRule>
  </conditionalFormatting>
  <conditionalFormatting sqref="R148:R153">
    <cfRule type="cellIs" dxfId="20862" priority="785" operator="greaterThan">
      <formula>1</formula>
    </cfRule>
    <cfRule type="cellIs" dxfId="20861" priority="786" operator="lessThan">
      <formula>0.8</formula>
    </cfRule>
  </conditionalFormatting>
  <conditionalFormatting sqref="P148:P153">
    <cfRule type="cellIs" dxfId="20860" priority="784" operator="greaterThan">
      <formula>0</formula>
    </cfRule>
  </conditionalFormatting>
  <conditionalFormatting sqref="Q148:Q153">
    <cfRule type="cellIs" dxfId="20859" priority="789" operator="lessThan">
      <formula>0</formula>
    </cfRule>
  </conditionalFormatting>
  <conditionalFormatting sqref="R148:R153">
    <cfRule type="cellIs" dxfId="20858" priority="781" operator="lessThan">
      <formula>0.8</formula>
    </cfRule>
    <cfRule type="cellIs" dxfId="20857" priority="782" operator="greaterThan">
      <formula>1</formula>
    </cfRule>
  </conditionalFormatting>
  <conditionalFormatting sqref="R148:R153">
    <cfRule type="cellIs" dxfId="20856" priority="779" operator="greaterThan">
      <formula>1</formula>
    </cfRule>
    <cfRule type="cellIs" dxfId="20855" priority="780" operator="lessThan">
      <formula>0.8</formula>
    </cfRule>
  </conditionalFormatting>
  <conditionalFormatting sqref="P148:P153">
    <cfRule type="cellIs" dxfId="20854" priority="778" operator="greaterThan">
      <formula>0</formula>
    </cfRule>
  </conditionalFormatting>
  <conditionalFormatting sqref="Q148:Q153">
    <cfRule type="cellIs" dxfId="20853" priority="783" operator="lessThan">
      <formula>0</formula>
    </cfRule>
  </conditionalFormatting>
  <conditionalFormatting sqref="Q148:Q153">
    <cfRule type="cellIs" dxfId="20852" priority="777" operator="lessThan">
      <formula>0</formula>
    </cfRule>
  </conditionalFormatting>
  <conditionalFormatting sqref="R148:R153">
    <cfRule type="cellIs" dxfId="20851" priority="775" operator="lessThan">
      <formula>0.8</formula>
    </cfRule>
    <cfRule type="cellIs" dxfId="20850" priority="776" operator="greaterThan">
      <formula>1</formula>
    </cfRule>
  </conditionalFormatting>
  <conditionalFormatting sqref="R148:R153">
    <cfRule type="cellIs" dxfId="20849" priority="773" operator="greaterThan">
      <formula>1</formula>
    </cfRule>
    <cfRule type="cellIs" dxfId="20848" priority="774" operator="lessThan">
      <formula>0.8</formula>
    </cfRule>
  </conditionalFormatting>
  <conditionalFormatting sqref="P148:P153">
    <cfRule type="cellIs" dxfId="20847" priority="772" operator="greaterThan">
      <formula>0</formula>
    </cfRule>
  </conditionalFormatting>
  <conditionalFormatting sqref="Q148:Q153">
    <cfRule type="cellIs" dxfId="20846" priority="766" operator="lessThan">
      <formula>0</formula>
    </cfRule>
  </conditionalFormatting>
  <conditionalFormatting sqref="R148:R153">
    <cfRule type="cellIs" dxfId="20845" priority="770" operator="lessThan">
      <formula>0.8</formula>
    </cfRule>
    <cfRule type="cellIs" dxfId="20844" priority="771" operator="greaterThan">
      <formula>1</formula>
    </cfRule>
  </conditionalFormatting>
  <conditionalFormatting sqref="R148:R153">
    <cfRule type="cellIs" dxfId="20843" priority="768" operator="greaterThan">
      <formula>1</formula>
    </cfRule>
    <cfRule type="cellIs" dxfId="20842" priority="769" operator="lessThan">
      <formula>0.8</formula>
    </cfRule>
  </conditionalFormatting>
  <conditionalFormatting sqref="P148:P153">
    <cfRule type="cellIs" dxfId="20841" priority="767" operator="greaterThan">
      <formula>0</formula>
    </cfRule>
  </conditionalFormatting>
  <conditionalFormatting sqref="Q148:Q153">
    <cfRule type="cellIs" dxfId="20840" priority="765" operator="lessThan">
      <formula>0</formula>
    </cfRule>
  </conditionalFormatting>
  <conditionalFormatting sqref="R148:R153">
    <cfRule type="cellIs" dxfId="20839" priority="763" operator="lessThan">
      <formula>0.8</formula>
    </cfRule>
    <cfRule type="cellIs" dxfId="20838" priority="764" operator="greaterThan">
      <formula>1</formula>
    </cfRule>
  </conditionalFormatting>
  <conditionalFormatting sqref="R148:R153">
    <cfRule type="cellIs" dxfId="20837" priority="761" operator="greaterThan">
      <formula>1</formula>
    </cfRule>
    <cfRule type="cellIs" dxfId="20836" priority="762" operator="lessThan">
      <formula>0.8</formula>
    </cfRule>
  </conditionalFormatting>
  <conditionalFormatting sqref="P148:P153">
    <cfRule type="cellIs" dxfId="20835" priority="760" operator="greaterThan">
      <formula>0</formula>
    </cfRule>
  </conditionalFormatting>
  <conditionalFormatting sqref="Q148:Q153">
    <cfRule type="cellIs" dxfId="20834" priority="759" operator="lessThan">
      <formula>0</formula>
    </cfRule>
  </conditionalFormatting>
  <conditionalFormatting sqref="R148:R153">
    <cfRule type="cellIs" dxfId="20833" priority="757" operator="lessThan">
      <formula>0.8</formula>
    </cfRule>
    <cfRule type="cellIs" dxfId="20832" priority="758" operator="greaterThan">
      <formula>1</formula>
    </cfRule>
  </conditionalFormatting>
  <conditionalFormatting sqref="R148:R153">
    <cfRule type="cellIs" dxfId="20831" priority="755" operator="greaterThan">
      <formula>1</formula>
    </cfRule>
    <cfRule type="cellIs" dxfId="20830" priority="756" operator="lessThan">
      <formula>0.8</formula>
    </cfRule>
  </conditionalFormatting>
  <conditionalFormatting sqref="P148:P153">
    <cfRule type="cellIs" dxfId="20829" priority="754" operator="greaterThan">
      <formula>0</formula>
    </cfRule>
  </conditionalFormatting>
  <conditionalFormatting sqref="Q148:Q153">
    <cfRule type="cellIs" dxfId="20828" priority="753" operator="lessThan">
      <formula>0</formula>
    </cfRule>
  </conditionalFormatting>
  <conditionalFormatting sqref="R148:R153">
    <cfRule type="cellIs" dxfId="20827" priority="751" operator="lessThan">
      <formula>0.8</formula>
    </cfRule>
    <cfRule type="cellIs" dxfId="20826" priority="752" operator="greaterThan">
      <formula>1</formula>
    </cfRule>
  </conditionalFormatting>
  <conditionalFormatting sqref="R148:R153">
    <cfRule type="cellIs" dxfId="20825" priority="749" operator="greaterThan">
      <formula>1</formula>
    </cfRule>
    <cfRule type="cellIs" dxfId="20824" priority="750" operator="lessThan">
      <formula>0.8</formula>
    </cfRule>
  </conditionalFormatting>
  <conditionalFormatting sqref="P148:P153">
    <cfRule type="cellIs" dxfId="20823" priority="748" operator="greaterThan">
      <formula>0</formula>
    </cfRule>
  </conditionalFormatting>
  <conditionalFormatting sqref="Q148:Q153">
    <cfRule type="cellIs" dxfId="20822" priority="747" operator="lessThan">
      <formula>0</formula>
    </cfRule>
  </conditionalFormatting>
  <conditionalFormatting sqref="R148:R153">
    <cfRule type="cellIs" dxfId="20821" priority="745" operator="lessThan">
      <formula>0.8</formula>
    </cfRule>
    <cfRule type="cellIs" dxfId="20820" priority="746" operator="greaterThan">
      <formula>1</formula>
    </cfRule>
  </conditionalFormatting>
  <conditionalFormatting sqref="R148:R153">
    <cfRule type="cellIs" dxfId="20819" priority="743" operator="greaterThan">
      <formula>1</formula>
    </cfRule>
    <cfRule type="cellIs" dxfId="20818" priority="744" operator="lessThan">
      <formula>0.8</formula>
    </cfRule>
  </conditionalFormatting>
  <conditionalFormatting sqref="P148:P153">
    <cfRule type="cellIs" dxfId="20817" priority="742" operator="greaterThan">
      <formula>0</formula>
    </cfRule>
  </conditionalFormatting>
  <conditionalFormatting sqref="Q148:Q153">
    <cfRule type="cellIs" dxfId="20816" priority="741" operator="lessThan">
      <formula>0</formula>
    </cfRule>
  </conditionalFormatting>
  <conditionalFormatting sqref="R148:R153">
    <cfRule type="cellIs" dxfId="20815" priority="739" operator="lessThan">
      <formula>0.8</formula>
    </cfRule>
    <cfRule type="cellIs" dxfId="20814" priority="740" operator="greaterThan">
      <formula>1</formula>
    </cfRule>
  </conditionalFormatting>
  <conditionalFormatting sqref="R148:R153">
    <cfRule type="cellIs" dxfId="20813" priority="737" operator="greaterThan">
      <formula>1</formula>
    </cfRule>
    <cfRule type="cellIs" dxfId="20812" priority="738" operator="lessThan">
      <formula>0.8</formula>
    </cfRule>
  </conditionalFormatting>
  <conditionalFormatting sqref="P148:P153">
    <cfRule type="cellIs" dxfId="20811" priority="736" operator="greaterThan">
      <formula>0</formula>
    </cfRule>
  </conditionalFormatting>
  <conditionalFormatting sqref="P148:P153">
    <cfRule type="cellIs" dxfId="20810" priority="730" operator="greaterThan">
      <formula>0</formula>
    </cfRule>
  </conditionalFormatting>
  <conditionalFormatting sqref="Q148:Q153">
    <cfRule type="cellIs" dxfId="20809" priority="735" operator="lessThan">
      <formula>0</formula>
    </cfRule>
  </conditionalFormatting>
  <conditionalFormatting sqref="R148:R153">
    <cfRule type="cellIs" dxfId="20808" priority="733" operator="lessThan">
      <formula>0.8</formula>
    </cfRule>
    <cfRule type="cellIs" dxfId="20807" priority="734" operator="greaterThan">
      <formula>1</formula>
    </cfRule>
  </conditionalFormatting>
  <conditionalFormatting sqref="R148:R153">
    <cfRule type="cellIs" dxfId="20806" priority="731" operator="greaterThan">
      <formula>1</formula>
    </cfRule>
    <cfRule type="cellIs" dxfId="20805" priority="732" operator="lessThan">
      <formula>0.8</formula>
    </cfRule>
  </conditionalFormatting>
  <conditionalFormatting sqref="P148:P153">
    <cfRule type="cellIs" dxfId="20804" priority="724" operator="greaterThan">
      <formula>0</formula>
    </cfRule>
  </conditionalFormatting>
  <conditionalFormatting sqref="Q148:Q153">
    <cfRule type="cellIs" dxfId="20803" priority="729" operator="lessThan">
      <formula>0</formula>
    </cfRule>
  </conditionalFormatting>
  <conditionalFormatting sqref="R148:R153">
    <cfRule type="cellIs" dxfId="20802" priority="727" operator="lessThan">
      <formula>0.8</formula>
    </cfRule>
    <cfRule type="cellIs" dxfId="20801" priority="728" operator="greaterThan">
      <formula>1</formula>
    </cfRule>
  </conditionalFormatting>
  <conditionalFormatting sqref="R148:R153">
    <cfRule type="cellIs" dxfId="20800" priority="725" operator="greaterThan">
      <formula>1</formula>
    </cfRule>
    <cfRule type="cellIs" dxfId="20799" priority="726" operator="lessThan">
      <formula>0.8</formula>
    </cfRule>
  </conditionalFormatting>
  <conditionalFormatting sqref="R148:R153">
    <cfRule type="cellIs" dxfId="20798" priority="721" operator="lessThan">
      <formula>0.8</formula>
    </cfRule>
    <cfRule type="cellIs" dxfId="20797" priority="722" operator="greaterThan">
      <formula>1</formula>
    </cfRule>
  </conditionalFormatting>
  <conditionalFormatting sqref="R148:R153">
    <cfRule type="cellIs" dxfId="20796" priority="719" operator="greaterThan">
      <formula>1</formula>
    </cfRule>
    <cfRule type="cellIs" dxfId="20795" priority="720" operator="lessThan">
      <formula>0.8</formula>
    </cfRule>
  </conditionalFormatting>
  <conditionalFormatting sqref="P148:P153">
    <cfRule type="cellIs" dxfId="20794" priority="718" operator="greaterThan">
      <formula>0</formula>
    </cfRule>
  </conditionalFormatting>
  <conditionalFormatting sqref="Q148:Q153">
    <cfRule type="cellIs" dxfId="20793" priority="723" operator="lessThan">
      <formula>0</formula>
    </cfRule>
  </conditionalFormatting>
  <conditionalFormatting sqref="P44:P51">
    <cfRule type="cellIs" dxfId="20792" priority="712" operator="greaterThan">
      <formula>0</formula>
    </cfRule>
  </conditionalFormatting>
  <conditionalFormatting sqref="Q44:Q51">
    <cfRule type="cellIs" dxfId="20791" priority="717" operator="lessThan">
      <formula>0</formula>
    </cfRule>
  </conditionalFormatting>
  <conditionalFormatting sqref="R44:R51">
    <cfRule type="cellIs" dxfId="20790" priority="715" operator="lessThan">
      <formula>0.8</formula>
    </cfRule>
    <cfRule type="cellIs" dxfId="20789" priority="716" operator="greaterThan">
      <formula>1</formula>
    </cfRule>
  </conditionalFormatting>
  <conditionalFormatting sqref="R44:R51">
    <cfRule type="cellIs" dxfId="20788" priority="713" operator="greaterThan">
      <formula>1</formula>
    </cfRule>
    <cfRule type="cellIs" dxfId="20787" priority="714" operator="lessThan">
      <formula>0.8</formula>
    </cfRule>
  </conditionalFormatting>
  <conditionalFormatting sqref="Q84:Q91">
    <cfRule type="cellIs" dxfId="20786" priority="711" operator="lessThan">
      <formula>0</formula>
    </cfRule>
  </conditionalFormatting>
  <conditionalFormatting sqref="R84:R91">
    <cfRule type="cellIs" dxfId="20785" priority="709" operator="lessThan">
      <formula>0.8</formula>
    </cfRule>
    <cfRule type="cellIs" dxfId="20784" priority="710" operator="greaterThan">
      <formula>1</formula>
    </cfRule>
  </conditionalFormatting>
  <conditionalFormatting sqref="R84:R91">
    <cfRule type="cellIs" dxfId="20783" priority="707" operator="greaterThan">
      <formula>1</formula>
    </cfRule>
    <cfRule type="cellIs" dxfId="20782" priority="708" operator="lessThan">
      <formula>0.8</formula>
    </cfRule>
  </conditionalFormatting>
  <conditionalFormatting sqref="P84:P91">
    <cfRule type="cellIs" dxfId="20781" priority="706" operator="greaterThan">
      <formula>0</formula>
    </cfRule>
  </conditionalFormatting>
  <conditionalFormatting sqref="Q84:Q91">
    <cfRule type="cellIs" dxfId="20780" priority="705" operator="lessThan">
      <formula>0</formula>
    </cfRule>
  </conditionalFormatting>
  <conditionalFormatting sqref="R84:R91">
    <cfRule type="cellIs" dxfId="20779" priority="703" operator="lessThan">
      <formula>0.8</formula>
    </cfRule>
    <cfRule type="cellIs" dxfId="20778" priority="704" operator="greaterThan">
      <formula>1</formula>
    </cfRule>
  </conditionalFormatting>
  <conditionalFormatting sqref="R84:R91">
    <cfRule type="cellIs" dxfId="20777" priority="701" operator="greaterThan">
      <formula>1</formula>
    </cfRule>
    <cfRule type="cellIs" dxfId="20776" priority="702" operator="lessThan">
      <formula>0.8</formula>
    </cfRule>
  </conditionalFormatting>
  <conditionalFormatting sqref="P84:P91">
    <cfRule type="cellIs" dxfId="20775" priority="700" operator="greaterThan">
      <formula>0</formula>
    </cfRule>
  </conditionalFormatting>
  <conditionalFormatting sqref="Q84:Q91">
    <cfRule type="cellIs" dxfId="20774" priority="699" operator="lessThan">
      <formula>0</formula>
    </cfRule>
  </conditionalFormatting>
  <conditionalFormatting sqref="R84:R91">
    <cfRule type="cellIs" dxfId="20773" priority="697" operator="lessThan">
      <formula>0.8</formula>
    </cfRule>
    <cfRule type="cellIs" dxfId="20772" priority="698" operator="greaterThan">
      <formula>1</formula>
    </cfRule>
  </conditionalFormatting>
  <conditionalFormatting sqref="R84:R91">
    <cfRule type="cellIs" dxfId="20771" priority="695" operator="greaterThan">
      <formula>1</formula>
    </cfRule>
    <cfRule type="cellIs" dxfId="20770" priority="696" operator="lessThan">
      <formula>0.8</formula>
    </cfRule>
  </conditionalFormatting>
  <conditionalFormatting sqref="P84:P91">
    <cfRule type="cellIs" dxfId="20769" priority="694" operator="greaterThan">
      <formula>0</formula>
    </cfRule>
  </conditionalFormatting>
  <conditionalFormatting sqref="Q84:Q91">
    <cfRule type="cellIs" dxfId="20768" priority="693" operator="lessThan">
      <formula>0</formula>
    </cfRule>
  </conditionalFormatting>
  <conditionalFormatting sqref="R84:R91">
    <cfRule type="cellIs" dxfId="20767" priority="691" operator="lessThan">
      <formula>0.8</formula>
    </cfRule>
    <cfRule type="cellIs" dxfId="20766" priority="692" operator="greaterThan">
      <formula>1</formula>
    </cfRule>
  </conditionalFormatting>
  <conditionalFormatting sqref="R84:R91">
    <cfRule type="cellIs" dxfId="20765" priority="689" operator="greaterThan">
      <formula>1</formula>
    </cfRule>
    <cfRule type="cellIs" dxfId="20764" priority="690" operator="lessThan">
      <formula>0.8</formula>
    </cfRule>
  </conditionalFormatting>
  <conditionalFormatting sqref="P84:P91">
    <cfRule type="cellIs" dxfId="20763" priority="688" operator="greaterThan">
      <formula>0</formula>
    </cfRule>
  </conditionalFormatting>
  <conditionalFormatting sqref="P84:P91">
    <cfRule type="cellIs" dxfId="20762" priority="682" operator="greaterThan">
      <formula>0</formula>
    </cfRule>
  </conditionalFormatting>
  <conditionalFormatting sqref="Q84:Q91">
    <cfRule type="cellIs" dxfId="20761" priority="687" operator="lessThan">
      <formula>0</formula>
    </cfRule>
  </conditionalFormatting>
  <conditionalFormatting sqref="R84:R91">
    <cfRule type="cellIs" dxfId="20760" priority="685" operator="lessThan">
      <formula>0.8</formula>
    </cfRule>
    <cfRule type="cellIs" dxfId="20759" priority="686" operator="greaterThan">
      <formula>1</formula>
    </cfRule>
  </conditionalFormatting>
  <conditionalFormatting sqref="R84:R91">
    <cfRule type="cellIs" dxfId="20758" priority="683" operator="greaterThan">
      <formula>1</formula>
    </cfRule>
    <cfRule type="cellIs" dxfId="20757" priority="684" operator="lessThan">
      <formula>0.8</formula>
    </cfRule>
  </conditionalFormatting>
  <conditionalFormatting sqref="P84:P91">
    <cfRule type="cellIs" dxfId="20756" priority="676" operator="greaterThan">
      <formula>0</formula>
    </cfRule>
  </conditionalFormatting>
  <conditionalFormatting sqref="Q84:Q91">
    <cfRule type="cellIs" dxfId="20755" priority="681" operator="lessThan">
      <formula>0</formula>
    </cfRule>
  </conditionalFormatting>
  <conditionalFormatting sqref="R84:R91">
    <cfRule type="cellIs" dxfId="20754" priority="679" operator="lessThan">
      <formula>0.8</formula>
    </cfRule>
    <cfRule type="cellIs" dxfId="20753" priority="680" operator="greaterThan">
      <formula>1</formula>
    </cfRule>
  </conditionalFormatting>
  <conditionalFormatting sqref="R84:R91">
    <cfRule type="cellIs" dxfId="20752" priority="677" operator="greaterThan">
      <formula>1</formula>
    </cfRule>
    <cfRule type="cellIs" dxfId="20751" priority="678" operator="lessThan">
      <formula>0.8</formula>
    </cfRule>
  </conditionalFormatting>
  <conditionalFormatting sqref="R84:R91">
    <cfRule type="cellIs" dxfId="20750" priority="673" operator="lessThan">
      <formula>0.8</formula>
    </cfRule>
    <cfRule type="cellIs" dxfId="20749" priority="674" operator="greaterThan">
      <formula>1</formula>
    </cfRule>
  </conditionalFormatting>
  <conditionalFormatting sqref="R84:R91">
    <cfRule type="cellIs" dxfId="20748" priority="671" operator="greaterThan">
      <formula>1</formula>
    </cfRule>
    <cfRule type="cellIs" dxfId="20747" priority="672" operator="lessThan">
      <formula>0.8</formula>
    </cfRule>
  </conditionalFormatting>
  <conditionalFormatting sqref="P84:P91">
    <cfRule type="cellIs" dxfId="20746" priority="670" operator="greaterThan">
      <formula>0</formula>
    </cfRule>
  </conditionalFormatting>
  <conditionalFormatting sqref="Q84:Q91">
    <cfRule type="cellIs" dxfId="20745" priority="675" operator="lessThan">
      <formula>0</formula>
    </cfRule>
  </conditionalFormatting>
  <conditionalFormatting sqref="Q84:Q91">
    <cfRule type="cellIs" dxfId="20744" priority="669" operator="lessThan">
      <formula>0</formula>
    </cfRule>
  </conditionalFormatting>
  <conditionalFormatting sqref="R84:R91">
    <cfRule type="cellIs" dxfId="20743" priority="667" operator="lessThan">
      <formula>0.8</formula>
    </cfRule>
    <cfRule type="cellIs" dxfId="20742" priority="668" operator="greaterThan">
      <formula>1</formula>
    </cfRule>
  </conditionalFormatting>
  <conditionalFormatting sqref="R84:R91">
    <cfRule type="cellIs" dxfId="20741" priority="665" operator="greaterThan">
      <formula>1</formula>
    </cfRule>
    <cfRule type="cellIs" dxfId="20740" priority="666" operator="lessThan">
      <formula>0.8</formula>
    </cfRule>
  </conditionalFormatting>
  <conditionalFormatting sqref="P84:P91">
    <cfRule type="cellIs" dxfId="20739" priority="664" operator="greaterThan">
      <formula>0</formula>
    </cfRule>
  </conditionalFormatting>
  <conditionalFormatting sqref="P84:P91">
    <cfRule type="cellIs" dxfId="20738" priority="658" operator="greaterThan">
      <formula>0</formula>
    </cfRule>
  </conditionalFormatting>
  <conditionalFormatting sqref="Q84:Q91">
    <cfRule type="cellIs" dxfId="20737" priority="663" operator="lessThan">
      <formula>0</formula>
    </cfRule>
  </conditionalFormatting>
  <conditionalFormatting sqref="R84:R91">
    <cfRule type="cellIs" dxfId="20736" priority="661" operator="lessThan">
      <formula>0.8</formula>
    </cfRule>
    <cfRule type="cellIs" dxfId="20735" priority="662" operator="greaterThan">
      <formula>1</formula>
    </cfRule>
  </conditionalFormatting>
  <conditionalFormatting sqref="R84:R91">
    <cfRule type="cellIs" dxfId="20734" priority="659" operator="greaterThan">
      <formula>1</formula>
    </cfRule>
    <cfRule type="cellIs" dxfId="20733" priority="660" operator="lessThan">
      <formula>0.8</formula>
    </cfRule>
  </conditionalFormatting>
  <conditionalFormatting sqref="P84:P91">
    <cfRule type="cellIs" dxfId="20732" priority="652" operator="greaterThan">
      <formula>0</formula>
    </cfRule>
  </conditionalFormatting>
  <conditionalFormatting sqref="Q84:Q91">
    <cfRule type="cellIs" dxfId="20731" priority="657" operator="lessThan">
      <formula>0</formula>
    </cfRule>
  </conditionalFormatting>
  <conditionalFormatting sqref="R84:R91">
    <cfRule type="cellIs" dxfId="20730" priority="655" operator="lessThan">
      <formula>0.8</formula>
    </cfRule>
    <cfRule type="cellIs" dxfId="20729" priority="656" operator="greaterThan">
      <formula>1</formula>
    </cfRule>
  </conditionalFormatting>
  <conditionalFormatting sqref="R84:R91">
    <cfRule type="cellIs" dxfId="20728" priority="653" operator="greaterThan">
      <formula>1</formula>
    </cfRule>
    <cfRule type="cellIs" dxfId="20727" priority="654" operator="lessThan">
      <formula>0.8</formula>
    </cfRule>
  </conditionalFormatting>
  <conditionalFormatting sqref="R84:R91">
    <cfRule type="cellIs" dxfId="20726" priority="649" operator="lessThan">
      <formula>0.8</formula>
    </cfRule>
    <cfRule type="cellIs" dxfId="20725" priority="650" operator="greaterThan">
      <formula>1</formula>
    </cfRule>
  </conditionalFormatting>
  <conditionalFormatting sqref="R84:R91">
    <cfRule type="cellIs" dxfId="20724" priority="647" operator="greaterThan">
      <formula>1</formula>
    </cfRule>
    <cfRule type="cellIs" dxfId="20723" priority="648" operator="lessThan">
      <formula>0.8</formula>
    </cfRule>
  </conditionalFormatting>
  <conditionalFormatting sqref="P84:P91">
    <cfRule type="cellIs" dxfId="20722" priority="646" operator="greaterThan">
      <formula>0</formula>
    </cfRule>
  </conditionalFormatting>
  <conditionalFormatting sqref="Q84:Q91">
    <cfRule type="cellIs" dxfId="20721" priority="651" operator="lessThan">
      <formula>0</formula>
    </cfRule>
  </conditionalFormatting>
  <conditionalFormatting sqref="P84:P91">
    <cfRule type="cellIs" dxfId="20720" priority="640" operator="greaterThan">
      <formula>0</formula>
    </cfRule>
  </conditionalFormatting>
  <conditionalFormatting sqref="Q84:Q91">
    <cfRule type="cellIs" dxfId="20719" priority="645" operator="lessThan">
      <formula>0</formula>
    </cfRule>
  </conditionalFormatting>
  <conditionalFormatting sqref="R84:R91">
    <cfRule type="cellIs" dxfId="20718" priority="643" operator="lessThan">
      <formula>0.8</formula>
    </cfRule>
    <cfRule type="cellIs" dxfId="20717" priority="644" operator="greaterThan">
      <formula>1</formula>
    </cfRule>
  </conditionalFormatting>
  <conditionalFormatting sqref="R84:R91">
    <cfRule type="cellIs" dxfId="20716" priority="641" operator="greaterThan">
      <formula>1</formula>
    </cfRule>
    <cfRule type="cellIs" dxfId="20715" priority="642" operator="lessThan">
      <formula>0.8</formula>
    </cfRule>
  </conditionalFormatting>
  <conditionalFormatting sqref="R84:R91">
    <cfRule type="cellIs" dxfId="20714" priority="637" operator="lessThan">
      <formula>0.8</formula>
    </cfRule>
    <cfRule type="cellIs" dxfId="20713" priority="638" operator="greaterThan">
      <formula>1</formula>
    </cfRule>
  </conditionalFormatting>
  <conditionalFormatting sqref="R84:R91">
    <cfRule type="cellIs" dxfId="20712" priority="635" operator="greaterThan">
      <formula>1</formula>
    </cfRule>
    <cfRule type="cellIs" dxfId="20711" priority="636" operator="lessThan">
      <formula>0.8</formula>
    </cfRule>
  </conditionalFormatting>
  <conditionalFormatting sqref="P84:P91">
    <cfRule type="cellIs" dxfId="20710" priority="634" operator="greaterThan">
      <formula>0</formula>
    </cfRule>
  </conditionalFormatting>
  <conditionalFormatting sqref="Q84:Q91">
    <cfRule type="cellIs" dxfId="20709" priority="639" operator="lessThan">
      <formula>0</formula>
    </cfRule>
  </conditionalFormatting>
  <conditionalFormatting sqref="R84:R91">
    <cfRule type="cellIs" dxfId="20708" priority="631" operator="lessThan">
      <formula>0.8</formula>
    </cfRule>
    <cfRule type="cellIs" dxfId="20707" priority="632" operator="greaterThan">
      <formula>1</formula>
    </cfRule>
  </conditionalFormatting>
  <conditionalFormatting sqref="R84:R91">
    <cfRule type="cellIs" dxfId="20706" priority="629" operator="greaterThan">
      <formula>1</formula>
    </cfRule>
    <cfRule type="cellIs" dxfId="20705" priority="630" operator="lessThan">
      <formula>0.8</formula>
    </cfRule>
  </conditionalFormatting>
  <conditionalFormatting sqref="P84:P91">
    <cfRule type="cellIs" dxfId="20704" priority="628" operator="greaterThan">
      <formula>0</formula>
    </cfRule>
  </conditionalFormatting>
  <conditionalFormatting sqref="Q84:Q91">
    <cfRule type="cellIs" dxfId="20703" priority="633" operator="lessThan">
      <formula>0</formula>
    </cfRule>
  </conditionalFormatting>
  <conditionalFormatting sqref="Q84:Q91">
    <cfRule type="cellIs" dxfId="20702" priority="627" operator="lessThan">
      <formula>0</formula>
    </cfRule>
  </conditionalFormatting>
  <conditionalFormatting sqref="R84:R91">
    <cfRule type="cellIs" dxfId="20701" priority="625" operator="lessThan">
      <formula>0.8</formula>
    </cfRule>
    <cfRule type="cellIs" dxfId="20700" priority="626" operator="greaterThan">
      <formula>1</formula>
    </cfRule>
  </conditionalFormatting>
  <conditionalFormatting sqref="R84:R91">
    <cfRule type="cellIs" dxfId="20699" priority="623" operator="greaterThan">
      <formula>1</formula>
    </cfRule>
    <cfRule type="cellIs" dxfId="20698" priority="624" operator="lessThan">
      <formula>0.8</formula>
    </cfRule>
  </conditionalFormatting>
  <conditionalFormatting sqref="P84:P91">
    <cfRule type="cellIs" dxfId="20697" priority="622" operator="greaterThan">
      <formula>0</formula>
    </cfRule>
  </conditionalFormatting>
  <conditionalFormatting sqref="Q84:Q91">
    <cfRule type="cellIs" dxfId="20696" priority="616" operator="lessThan">
      <formula>0</formula>
    </cfRule>
  </conditionalFormatting>
  <conditionalFormatting sqref="R84:R91">
    <cfRule type="cellIs" dxfId="20695" priority="620" operator="lessThan">
      <formula>0.8</formula>
    </cfRule>
    <cfRule type="cellIs" dxfId="20694" priority="621" operator="greaterThan">
      <formula>1</formula>
    </cfRule>
  </conditionalFormatting>
  <conditionalFormatting sqref="R84:R91">
    <cfRule type="cellIs" dxfId="20693" priority="618" operator="greaterThan">
      <formula>1</formula>
    </cfRule>
    <cfRule type="cellIs" dxfId="20692" priority="619" operator="lessThan">
      <formula>0.8</formula>
    </cfRule>
  </conditionalFormatting>
  <conditionalFormatting sqref="P84:P91">
    <cfRule type="cellIs" dxfId="20691" priority="617" operator="greaterThan">
      <formula>0</formula>
    </cfRule>
  </conditionalFormatting>
  <conditionalFormatting sqref="Q84:Q91">
    <cfRule type="cellIs" dxfId="20690" priority="615" operator="lessThan">
      <formula>0</formula>
    </cfRule>
  </conditionalFormatting>
  <conditionalFormatting sqref="R84:R91">
    <cfRule type="cellIs" dxfId="20689" priority="613" operator="lessThan">
      <formula>0.8</formula>
    </cfRule>
    <cfRule type="cellIs" dxfId="20688" priority="614" operator="greaterThan">
      <formula>1</formula>
    </cfRule>
  </conditionalFormatting>
  <conditionalFormatting sqref="R84:R91">
    <cfRule type="cellIs" dxfId="20687" priority="611" operator="greaterThan">
      <formula>1</formula>
    </cfRule>
    <cfRule type="cellIs" dxfId="20686" priority="612" operator="lessThan">
      <formula>0.8</formula>
    </cfRule>
  </conditionalFormatting>
  <conditionalFormatting sqref="P84:P91">
    <cfRule type="cellIs" dxfId="20685" priority="610" operator="greaterThan">
      <formula>0</formula>
    </cfRule>
  </conditionalFormatting>
  <conditionalFormatting sqref="Q84:Q91">
    <cfRule type="cellIs" dxfId="20684" priority="609" operator="lessThan">
      <formula>0</formula>
    </cfRule>
  </conditionalFormatting>
  <conditionalFormatting sqref="R84:R91">
    <cfRule type="cellIs" dxfId="20683" priority="607" operator="lessThan">
      <formula>0.8</formula>
    </cfRule>
    <cfRule type="cellIs" dxfId="20682" priority="608" operator="greaterThan">
      <formula>1</formula>
    </cfRule>
  </conditionalFormatting>
  <conditionalFormatting sqref="R84:R91">
    <cfRule type="cellIs" dxfId="20681" priority="605" operator="greaterThan">
      <formula>1</formula>
    </cfRule>
    <cfRule type="cellIs" dxfId="20680" priority="606" operator="lessThan">
      <formula>0.8</formula>
    </cfRule>
  </conditionalFormatting>
  <conditionalFormatting sqref="P84:P91">
    <cfRule type="cellIs" dxfId="20679" priority="604" operator="greaterThan">
      <formula>0</formula>
    </cfRule>
  </conditionalFormatting>
  <conditionalFormatting sqref="Q84:Q91">
    <cfRule type="cellIs" dxfId="20678" priority="603" operator="lessThan">
      <formula>0</formula>
    </cfRule>
  </conditionalFormatting>
  <conditionalFormatting sqref="R84:R91">
    <cfRule type="cellIs" dxfId="20677" priority="601" operator="lessThan">
      <formula>0.8</formula>
    </cfRule>
    <cfRule type="cellIs" dxfId="20676" priority="602" operator="greaterThan">
      <formula>1</formula>
    </cfRule>
  </conditionalFormatting>
  <conditionalFormatting sqref="R84:R91">
    <cfRule type="cellIs" dxfId="20675" priority="599" operator="greaterThan">
      <formula>1</formula>
    </cfRule>
    <cfRule type="cellIs" dxfId="20674" priority="600" operator="lessThan">
      <formula>0.8</formula>
    </cfRule>
  </conditionalFormatting>
  <conditionalFormatting sqref="P84:P91">
    <cfRule type="cellIs" dxfId="20673" priority="598" operator="greaterThan">
      <formula>0</formula>
    </cfRule>
  </conditionalFormatting>
  <conditionalFormatting sqref="Q84:Q91">
    <cfRule type="cellIs" dxfId="20672" priority="597" operator="lessThan">
      <formula>0</formula>
    </cfRule>
  </conditionalFormatting>
  <conditionalFormatting sqref="R84:R91">
    <cfRule type="cellIs" dxfId="20671" priority="595" operator="lessThan">
      <formula>0.8</formula>
    </cfRule>
    <cfRule type="cellIs" dxfId="20670" priority="596" operator="greaterThan">
      <formula>1</formula>
    </cfRule>
  </conditionalFormatting>
  <conditionalFormatting sqref="R84:R91">
    <cfRule type="cellIs" dxfId="20669" priority="593" operator="greaterThan">
      <formula>1</formula>
    </cfRule>
    <cfRule type="cellIs" dxfId="20668" priority="594" operator="lessThan">
      <formula>0.8</formula>
    </cfRule>
  </conditionalFormatting>
  <conditionalFormatting sqref="P84:P91">
    <cfRule type="cellIs" dxfId="20667" priority="592" operator="greaterThan">
      <formula>0</formula>
    </cfRule>
  </conditionalFormatting>
  <conditionalFormatting sqref="Q84:Q91">
    <cfRule type="cellIs" dxfId="20666" priority="591" operator="lessThan">
      <formula>0</formula>
    </cfRule>
  </conditionalFormatting>
  <conditionalFormatting sqref="R84:R91">
    <cfRule type="cellIs" dxfId="20665" priority="589" operator="lessThan">
      <formula>0.8</formula>
    </cfRule>
    <cfRule type="cellIs" dxfId="20664" priority="590" operator="greaterThan">
      <formula>1</formula>
    </cfRule>
  </conditionalFormatting>
  <conditionalFormatting sqref="R84:R91">
    <cfRule type="cellIs" dxfId="20663" priority="587" operator="greaterThan">
      <formula>1</formula>
    </cfRule>
    <cfRule type="cellIs" dxfId="20662" priority="588" operator="lessThan">
      <formula>0.8</formula>
    </cfRule>
  </conditionalFormatting>
  <conditionalFormatting sqref="P84:P91">
    <cfRule type="cellIs" dxfId="20661" priority="586" operator="greaterThan">
      <formula>0</formula>
    </cfRule>
  </conditionalFormatting>
  <conditionalFormatting sqref="P84:P91">
    <cfRule type="cellIs" dxfId="20660" priority="580" operator="greaterThan">
      <formula>0</formula>
    </cfRule>
  </conditionalFormatting>
  <conditionalFormatting sqref="Q84:Q91">
    <cfRule type="cellIs" dxfId="20659" priority="585" operator="lessThan">
      <formula>0</formula>
    </cfRule>
  </conditionalFormatting>
  <conditionalFormatting sqref="R84:R91">
    <cfRule type="cellIs" dxfId="20658" priority="583" operator="lessThan">
      <formula>0.8</formula>
    </cfRule>
    <cfRule type="cellIs" dxfId="20657" priority="584" operator="greaterThan">
      <formula>1</formula>
    </cfRule>
  </conditionalFormatting>
  <conditionalFormatting sqref="R84:R91">
    <cfRule type="cellIs" dxfId="20656" priority="581" operator="greaterThan">
      <formula>1</formula>
    </cfRule>
    <cfRule type="cellIs" dxfId="20655" priority="582" operator="lessThan">
      <formula>0.8</formula>
    </cfRule>
  </conditionalFormatting>
  <conditionalFormatting sqref="P84:P91">
    <cfRule type="cellIs" dxfId="20654" priority="574" operator="greaterThan">
      <formula>0</formula>
    </cfRule>
  </conditionalFormatting>
  <conditionalFormatting sqref="Q84:Q91">
    <cfRule type="cellIs" dxfId="20653" priority="579" operator="lessThan">
      <formula>0</formula>
    </cfRule>
  </conditionalFormatting>
  <conditionalFormatting sqref="R84:R91">
    <cfRule type="cellIs" dxfId="20652" priority="577" operator="lessThan">
      <formula>0.8</formula>
    </cfRule>
    <cfRule type="cellIs" dxfId="20651" priority="578" operator="greaterThan">
      <formula>1</formula>
    </cfRule>
  </conditionalFormatting>
  <conditionalFormatting sqref="R84:R91">
    <cfRule type="cellIs" dxfId="20650" priority="575" operator="greaterThan">
      <formula>1</formula>
    </cfRule>
    <cfRule type="cellIs" dxfId="20649" priority="576" operator="lessThan">
      <formula>0.8</formula>
    </cfRule>
  </conditionalFormatting>
  <conditionalFormatting sqref="R84:R91">
    <cfRule type="cellIs" dxfId="20648" priority="571" operator="lessThan">
      <formula>0.8</formula>
    </cfRule>
    <cfRule type="cellIs" dxfId="20647" priority="572" operator="greaterThan">
      <formula>1</formula>
    </cfRule>
  </conditionalFormatting>
  <conditionalFormatting sqref="R84:R91">
    <cfRule type="cellIs" dxfId="20646" priority="569" operator="greaterThan">
      <formula>1</formula>
    </cfRule>
    <cfRule type="cellIs" dxfId="20645" priority="570" operator="lessThan">
      <formula>0.8</formula>
    </cfRule>
  </conditionalFormatting>
  <conditionalFormatting sqref="P84:P91">
    <cfRule type="cellIs" dxfId="20644" priority="568" operator="greaterThan">
      <formula>0</formula>
    </cfRule>
  </conditionalFormatting>
  <conditionalFormatting sqref="Q84:Q91">
    <cfRule type="cellIs" dxfId="20643" priority="573" operator="lessThan">
      <formula>0</formula>
    </cfRule>
  </conditionalFormatting>
  <conditionalFormatting sqref="Q84:Q91">
    <cfRule type="cellIs" dxfId="20642" priority="567" operator="lessThan">
      <formula>0</formula>
    </cfRule>
  </conditionalFormatting>
  <conditionalFormatting sqref="R84:R91">
    <cfRule type="cellIs" dxfId="20641" priority="565" operator="lessThan">
      <formula>0.8</formula>
    </cfRule>
    <cfRule type="cellIs" dxfId="20640" priority="566" operator="greaterThan">
      <formula>1</formula>
    </cfRule>
  </conditionalFormatting>
  <conditionalFormatting sqref="R84:R91">
    <cfRule type="cellIs" dxfId="20639" priority="563" operator="greaterThan">
      <formula>1</formula>
    </cfRule>
    <cfRule type="cellIs" dxfId="20638" priority="564" operator="lessThan">
      <formula>0.8</formula>
    </cfRule>
  </conditionalFormatting>
  <conditionalFormatting sqref="P84:P91">
    <cfRule type="cellIs" dxfId="20637" priority="562" operator="greaterThan">
      <formula>0</formula>
    </cfRule>
  </conditionalFormatting>
  <conditionalFormatting sqref="Q84:Q91">
    <cfRule type="cellIs" dxfId="20636" priority="561" operator="lessThan">
      <formula>0</formula>
    </cfRule>
  </conditionalFormatting>
  <conditionalFormatting sqref="R84:R91">
    <cfRule type="cellIs" dxfId="20635" priority="559" operator="lessThan">
      <formula>0.8</formula>
    </cfRule>
    <cfRule type="cellIs" dxfId="20634" priority="560" operator="greaterThan">
      <formula>1</formula>
    </cfRule>
  </conditionalFormatting>
  <conditionalFormatting sqref="R84:R91">
    <cfRule type="cellIs" dxfId="20633" priority="557" operator="greaterThan">
      <formula>1</formula>
    </cfRule>
    <cfRule type="cellIs" dxfId="20632" priority="558" operator="lessThan">
      <formula>0.8</formula>
    </cfRule>
  </conditionalFormatting>
  <conditionalFormatting sqref="P84:P91">
    <cfRule type="cellIs" dxfId="20631" priority="556" operator="greaterThan">
      <formula>0</formula>
    </cfRule>
  </conditionalFormatting>
  <conditionalFormatting sqref="Q84:Q91">
    <cfRule type="cellIs" dxfId="20630" priority="555" operator="lessThan">
      <formula>0</formula>
    </cfRule>
  </conditionalFormatting>
  <conditionalFormatting sqref="R84:R91">
    <cfRule type="cellIs" dxfId="20629" priority="553" operator="lessThan">
      <formula>0.8</formula>
    </cfRule>
    <cfRule type="cellIs" dxfId="20628" priority="554" operator="greaterThan">
      <formula>1</formula>
    </cfRule>
  </conditionalFormatting>
  <conditionalFormatting sqref="R84:R91">
    <cfRule type="cellIs" dxfId="20627" priority="551" operator="greaterThan">
      <formula>1</formula>
    </cfRule>
    <cfRule type="cellIs" dxfId="20626" priority="552" operator="lessThan">
      <formula>0.8</formula>
    </cfRule>
  </conditionalFormatting>
  <conditionalFormatting sqref="P84:P91">
    <cfRule type="cellIs" dxfId="20625" priority="550" operator="greaterThan">
      <formula>0</formula>
    </cfRule>
  </conditionalFormatting>
  <conditionalFormatting sqref="Q84:Q91">
    <cfRule type="cellIs" dxfId="20624" priority="549" operator="lessThan">
      <formula>0</formula>
    </cfRule>
  </conditionalFormatting>
  <conditionalFormatting sqref="R84:R91">
    <cfRule type="cellIs" dxfId="20623" priority="547" operator="lessThan">
      <formula>0.8</formula>
    </cfRule>
    <cfRule type="cellIs" dxfId="20622" priority="548" operator="greaterThan">
      <formula>1</formula>
    </cfRule>
  </conditionalFormatting>
  <conditionalFormatting sqref="R84:R91">
    <cfRule type="cellIs" dxfId="20621" priority="545" operator="greaterThan">
      <formula>1</formula>
    </cfRule>
    <cfRule type="cellIs" dxfId="20620" priority="546" operator="lessThan">
      <formula>0.8</formula>
    </cfRule>
  </conditionalFormatting>
  <conditionalFormatting sqref="P84:P91">
    <cfRule type="cellIs" dxfId="20619" priority="544" operator="greaterThan">
      <formula>0</formula>
    </cfRule>
  </conditionalFormatting>
  <conditionalFormatting sqref="P84:P91">
    <cfRule type="cellIs" dxfId="20618" priority="538" operator="greaterThan">
      <formula>0</formula>
    </cfRule>
  </conditionalFormatting>
  <conditionalFormatting sqref="Q84:Q91">
    <cfRule type="cellIs" dxfId="20617" priority="543" operator="lessThan">
      <formula>0</formula>
    </cfRule>
  </conditionalFormatting>
  <conditionalFormatting sqref="R84:R91">
    <cfRule type="cellIs" dxfId="20616" priority="541" operator="lessThan">
      <formula>0.8</formula>
    </cfRule>
    <cfRule type="cellIs" dxfId="20615" priority="542" operator="greaterThan">
      <formula>1</formula>
    </cfRule>
  </conditionalFormatting>
  <conditionalFormatting sqref="R84:R91">
    <cfRule type="cellIs" dxfId="20614" priority="539" operator="greaterThan">
      <formula>1</formula>
    </cfRule>
    <cfRule type="cellIs" dxfId="20613" priority="540" operator="lessThan">
      <formula>0.8</formula>
    </cfRule>
  </conditionalFormatting>
  <conditionalFormatting sqref="P84:P91">
    <cfRule type="cellIs" dxfId="20612" priority="532" operator="greaterThan">
      <formula>0</formula>
    </cfRule>
  </conditionalFormatting>
  <conditionalFormatting sqref="Q84:Q91">
    <cfRule type="cellIs" dxfId="20611" priority="537" operator="lessThan">
      <formula>0</formula>
    </cfRule>
  </conditionalFormatting>
  <conditionalFormatting sqref="R84:R91">
    <cfRule type="cellIs" dxfId="20610" priority="535" operator="lessThan">
      <formula>0.8</formula>
    </cfRule>
    <cfRule type="cellIs" dxfId="20609" priority="536" operator="greaterThan">
      <formula>1</formula>
    </cfRule>
  </conditionalFormatting>
  <conditionalFormatting sqref="R84:R91">
    <cfRule type="cellIs" dxfId="20608" priority="533" operator="greaterThan">
      <formula>1</formula>
    </cfRule>
    <cfRule type="cellIs" dxfId="20607" priority="534" operator="lessThan">
      <formula>0.8</formula>
    </cfRule>
  </conditionalFormatting>
  <conditionalFormatting sqref="R84:R91">
    <cfRule type="cellIs" dxfId="20606" priority="529" operator="lessThan">
      <formula>0.8</formula>
    </cfRule>
    <cfRule type="cellIs" dxfId="20605" priority="530" operator="greaterThan">
      <formula>1</formula>
    </cfRule>
  </conditionalFormatting>
  <conditionalFormatting sqref="R84:R91">
    <cfRule type="cellIs" dxfId="20604" priority="527" operator="greaterThan">
      <formula>1</formula>
    </cfRule>
    <cfRule type="cellIs" dxfId="20603" priority="528" operator="lessThan">
      <formula>0.8</formula>
    </cfRule>
  </conditionalFormatting>
  <conditionalFormatting sqref="P84:P91">
    <cfRule type="cellIs" dxfId="20602" priority="526" operator="greaterThan">
      <formula>0</formula>
    </cfRule>
  </conditionalFormatting>
  <conditionalFormatting sqref="Q84:Q91">
    <cfRule type="cellIs" dxfId="20601" priority="531" operator="lessThan">
      <formula>0</formula>
    </cfRule>
  </conditionalFormatting>
  <conditionalFormatting sqref="Q84:Q91">
    <cfRule type="cellIs" dxfId="20600" priority="525" operator="lessThan">
      <formula>0</formula>
    </cfRule>
  </conditionalFormatting>
  <conditionalFormatting sqref="R84:R91">
    <cfRule type="cellIs" dxfId="20599" priority="523" operator="lessThan">
      <formula>0.8</formula>
    </cfRule>
    <cfRule type="cellIs" dxfId="20598" priority="524" operator="greaterThan">
      <formula>1</formula>
    </cfRule>
  </conditionalFormatting>
  <conditionalFormatting sqref="R84:R91">
    <cfRule type="cellIs" dxfId="20597" priority="521" operator="greaterThan">
      <formula>1</formula>
    </cfRule>
    <cfRule type="cellIs" dxfId="20596" priority="522" operator="lessThan">
      <formula>0.8</formula>
    </cfRule>
  </conditionalFormatting>
  <conditionalFormatting sqref="P84:P91">
    <cfRule type="cellIs" dxfId="20595" priority="520" operator="greaterThan">
      <formula>0</formula>
    </cfRule>
  </conditionalFormatting>
  <conditionalFormatting sqref="P84:P91">
    <cfRule type="cellIs" dxfId="20594" priority="514" operator="greaterThan">
      <formula>0</formula>
    </cfRule>
  </conditionalFormatting>
  <conditionalFormatting sqref="Q84:Q91">
    <cfRule type="cellIs" dxfId="20593" priority="519" operator="lessThan">
      <formula>0</formula>
    </cfRule>
  </conditionalFormatting>
  <conditionalFormatting sqref="R84:R91">
    <cfRule type="cellIs" dxfId="20592" priority="517" operator="lessThan">
      <formula>0.8</formula>
    </cfRule>
    <cfRule type="cellIs" dxfId="20591" priority="518" operator="greaterThan">
      <formula>1</formula>
    </cfRule>
  </conditionalFormatting>
  <conditionalFormatting sqref="R84:R91">
    <cfRule type="cellIs" dxfId="20590" priority="515" operator="greaterThan">
      <formula>1</formula>
    </cfRule>
    <cfRule type="cellIs" dxfId="20589" priority="516" operator="lessThan">
      <formula>0.8</formula>
    </cfRule>
  </conditionalFormatting>
  <conditionalFormatting sqref="P84:P91">
    <cfRule type="cellIs" dxfId="20588" priority="508" operator="greaterThan">
      <formula>0</formula>
    </cfRule>
  </conditionalFormatting>
  <conditionalFormatting sqref="Q84:Q91">
    <cfRule type="cellIs" dxfId="20587" priority="513" operator="lessThan">
      <formula>0</formula>
    </cfRule>
  </conditionalFormatting>
  <conditionalFormatting sqref="R84:R91">
    <cfRule type="cellIs" dxfId="20586" priority="511" operator="lessThan">
      <formula>0.8</formula>
    </cfRule>
    <cfRule type="cellIs" dxfId="20585" priority="512" operator="greaterThan">
      <formula>1</formula>
    </cfRule>
  </conditionalFormatting>
  <conditionalFormatting sqref="R84:R91">
    <cfRule type="cellIs" dxfId="20584" priority="509" operator="greaterThan">
      <formula>1</formula>
    </cfRule>
    <cfRule type="cellIs" dxfId="20583" priority="510" operator="lessThan">
      <formula>0.8</formula>
    </cfRule>
  </conditionalFormatting>
  <conditionalFormatting sqref="R84:R91">
    <cfRule type="cellIs" dxfId="20582" priority="505" operator="lessThan">
      <formula>0.8</formula>
    </cfRule>
    <cfRule type="cellIs" dxfId="20581" priority="506" operator="greaterThan">
      <formula>1</formula>
    </cfRule>
  </conditionalFormatting>
  <conditionalFormatting sqref="R84:R91">
    <cfRule type="cellIs" dxfId="20580" priority="503" operator="greaterThan">
      <formula>1</formula>
    </cfRule>
    <cfRule type="cellIs" dxfId="20579" priority="504" operator="lessThan">
      <formula>0.8</formula>
    </cfRule>
  </conditionalFormatting>
  <conditionalFormatting sqref="P84:P91">
    <cfRule type="cellIs" dxfId="20578" priority="502" operator="greaterThan">
      <formula>0</formula>
    </cfRule>
  </conditionalFormatting>
  <conditionalFormatting sqref="Q84:Q91">
    <cfRule type="cellIs" dxfId="20577" priority="507" operator="lessThan">
      <formula>0</formula>
    </cfRule>
  </conditionalFormatting>
  <conditionalFormatting sqref="P84:P91">
    <cfRule type="cellIs" dxfId="20576" priority="496" operator="greaterThan">
      <formula>0</formula>
    </cfRule>
  </conditionalFormatting>
  <conditionalFormatting sqref="Q84:Q91">
    <cfRule type="cellIs" dxfId="20575" priority="501" operator="lessThan">
      <formula>0</formula>
    </cfRule>
  </conditionalFormatting>
  <conditionalFormatting sqref="R84:R91">
    <cfRule type="cellIs" dxfId="20574" priority="499" operator="lessThan">
      <formula>0.8</formula>
    </cfRule>
    <cfRule type="cellIs" dxfId="20573" priority="500" operator="greaterThan">
      <formula>1</formula>
    </cfRule>
  </conditionalFormatting>
  <conditionalFormatting sqref="R84:R91">
    <cfRule type="cellIs" dxfId="20572" priority="497" operator="greaterThan">
      <formula>1</formula>
    </cfRule>
    <cfRule type="cellIs" dxfId="20571" priority="498" operator="lessThan">
      <formula>0.8</formula>
    </cfRule>
  </conditionalFormatting>
  <conditionalFormatting sqref="R84:R91">
    <cfRule type="cellIs" dxfId="20570" priority="493" operator="lessThan">
      <formula>0.8</formula>
    </cfRule>
    <cfRule type="cellIs" dxfId="20569" priority="494" operator="greaterThan">
      <formula>1</formula>
    </cfRule>
  </conditionalFormatting>
  <conditionalFormatting sqref="R84:R91">
    <cfRule type="cellIs" dxfId="20568" priority="491" operator="greaterThan">
      <formula>1</formula>
    </cfRule>
    <cfRule type="cellIs" dxfId="20567" priority="492" operator="lessThan">
      <formula>0.8</formula>
    </cfRule>
  </conditionalFormatting>
  <conditionalFormatting sqref="P84:P91">
    <cfRule type="cellIs" dxfId="20566" priority="490" operator="greaterThan">
      <formula>0</formula>
    </cfRule>
  </conditionalFormatting>
  <conditionalFormatting sqref="Q84:Q91">
    <cfRule type="cellIs" dxfId="20565" priority="495" operator="lessThan">
      <formula>0</formula>
    </cfRule>
  </conditionalFormatting>
  <conditionalFormatting sqref="R84:R91">
    <cfRule type="cellIs" dxfId="20564" priority="487" operator="lessThan">
      <formula>0.8</formula>
    </cfRule>
    <cfRule type="cellIs" dxfId="20563" priority="488" operator="greaterThan">
      <formula>1</formula>
    </cfRule>
  </conditionalFormatting>
  <conditionalFormatting sqref="R84:R91">
    <cfRule type="cellIs" dxfId="20562" priority="485" operator="greaterThan">
      <formula>1</formula>
    </cfRule>
    <cfRule type="cellIs" dxfId="20561" priority="486" operator="lessThan">
      <formula>0.8</formula>
    </cfRule>
  </conditionalFormatting>
  <conditionalFormatting sqref="P84:P91">
    <cfRule type="cellIs" dxfId="20560" priority="484" operator="greaterThan">
      <formula>0</formula>
    </cfRule>
  </conditionalFormatting>
  <conditionalFormatting sqref="Q84:Q91">
    <cfRule type="cellIs" dxfId="20559" priority="489" operator="lessThan">
      <formula>0</formula>
    </cfRule>
  </conditionalFormatting>
  <conditionalFormatting sqref="Q84:Q91">
    <cfRule type="cellIs" dxfId="20558" priority="483" operator="lessThan">
      <formula>0</formula>
    </cfRule>
  </conditionalFormatting>
  <conditionalFormatting sqref="R84:R91">
    <cfRule type="cellIs" dxfId="20557" priority="481" operator="lessThan">
      <formula>0.8</formula>
    </cfRule>
    <cfRule type="cellIs" dxfId="20556" priority="482" operator="greaterThan">
      <formula>1</formula>
    </cfRule>
  </conditionalFormatting>
  <conditionalFormatting sqref="R84:R91">
    <cfRule type="cellIs" dxfId="20555" priority="479" operator="greaterThan">
      <formula>1</formula>
    </cfRule>
    <cfRule type="cellIs" dxfId="20554" priority="480" operator="lessThan">
      <formula>0.8</formula>
    </cfRule>
  </conditionalFormatting>
  <conditionalFormatting sqref="P84:P91">
    <cfRule type="cellIs" dxfId="20553" priority="478" operator="greaterThan">
      <formula>0</formula>
    </cfRule>
  </conditionalFormatting>
  <conditionalFormatting sqref="Q84:Q91">
    <cfRule type="cellIs" dxfId="20552" priority="472" operator="lessThan">
      <formula>0</formula>
    </cfRule>
  </conditionalFormatting>
  <conditionalFormatting sqref="R84:R91">
    <cfRule type="cellIs" dxfId="20551" priority="476" operator="lessThan">
      <formula>0.8</formula>
    </cfRule>
    <cfRule type="cellIs" dxfId="20550" priority="477" operator="greaterThan">
      <formula>1</formula>
    </cfRule>
  </conditionalFormatting>
  <conditionalFormatting sqref="R84:R91">
    <cfRule type="cellIs" dxfId="20549" priority="474" operator="greaterThan">
      <formula>1</formula>
    </cfRule>
    <cfRule type="cellIs" dxfId="20548" priority="475" operator="lessThan">
      <formula>0.8</formula>
    </cfRule>
  </conditionalFormatting>
  <conditionalFormatting sqref="P84:P91">
    <cfRule type="cellIs" dxfId="20547" priority="473" operator="greaterThan">
      <formula>0</formula>
    </cfRule>
  </conditionalFormatting>
  <conditionalFormatting sqref="Q84:Q91">
    <cfRule type="cellIs" dxfId="20546" priority="471" operator="lessThan">
      <formula>0</formula>
    </cfRule>
  </conditionalFormatting>
  <conditionalFormatting sqref="R84:R91">
    <cfRule type="cellIs" dxfId="20545" priority="469" operator="lessThan">
      <formula>0.8</formula>
    </cfRule>
    <cfRule type="cellIs" dxfId="20544" priority="470" operator="greaterThan">
      <formula>1</formula>
    </cfRule>
  </conditionalFormatting>
  <conditionalFormatting sqref="R84:R91">
    <cfRule type="cellIs" dxfId="20543" priority="467" operator="greaterThan">
      <formula>1</formula>
    </cfRule>
    <cfRule type="cellIs" dxfId="20542" priority="468" operator="lessThan">
      <formula>0.8</formula>
    </cfRule>
  </conditionalFormatting>
  <conditionalFormatting sqref="P84:P91">
    <cfRule type="cellIs" dxfId="20541" priority="466" operator="greaterThan">
      <formula>0</formula>
    </cfRule>
  </conditionalFormatting>
  <conditionalFormatting sqref="Q84:Q91">
    <cfRule type="cellIs" dxfId="20540" priority="465" operator="lessThan">
      <formula>0</formula>
    </cfRule>
  </conditionalFormatting>
  <conditionalFormatting sqref="R84:R91">
    <cfRule type="cellIs" dxfId="20539" priority="463" operator="lessThan">
      <formula>0.8</formula>
    </cfRule>
    <cfRule type="cellIs" dxfId="20538" priority="464" operator="greaterThan">
      <formula>1</formula>
    </cfRule>
  </conditionalFormatting>
  <conditionalFormatting sqref="R84:R91">
    <cfRule type="cellIs" dxfId="20537" priority="461" operator="greaterThan">
      <formula>1</formula>
    </cfRule>
    <cfRule type="cellIs" dxfId="20536" priority="462" operator="lessThan">
      <formula>0.8</formula>
    </cfRule>
  </conditionalFormatting>
  <conditionalFormatting sqref="P84:P91">
    <cfRule type="cellIs" dxfId="20535" priority="460" operator="greaterThan">
      <formula>0</formula>
    </cfRule>
  </conditionalFormatting>
  <conditionalFormatting sqref="Q84:Q91">
    <cfRule type="cellIs" dxfId="20534" priority="459" operator="lessThan">
      <formula>0</formula>
    </cfRule>
  </conditionalFormatting>
  <conditionalFormatting sqref="R84:R91">
    <cfRule type="cellIs" dxfId="20533" priority="457" operator="lessThan">
      <formula>0.8</formula>
    </cfRule>
    <cfRule type="cellIs" dxfId="20532" priority="458" operator="greaterThan">
      <formula>1</formula>
    </cfRule>
  </conditionalFormatting>
  <conditionalFormatting sqref="R84:R91">
    <cfRule type="cellIs" dxfId="20531" priority="455" operator="greaterThan">
      <formula>1</formula>
    </cfRule>
    <cfRule type="cellIs" dxfId="20530" priority="456" operator="lessThan">
      <formula>0.8</formula>
    </cfRule>
  </conditionalFormatting>
  <conditionalFormatting sqref="P84:P91">
    <cfRule type="cellIs" dxfId="20529" priority="454" operator="greaterThan">
      <formula>0</formula>
    </cfRule>
  </conditionalFormatting>
  <conditionalFormatting sqref="Q84:Q91">
    <cfRule type="cellIs" dxfId="20528" priority="453" operator="lessThan">
      <formula>0</formula>
    </cfRule>
  </conditionalFormatting>
  <conditionalFormatting sqref="R84:R91">
    <cfRule type="cellIs" dxfId="20527" priority="451" operator="lessThan">
      <formula>0.8</formula>
    </cfRule>
    <cfRule type="cellIs" dxfId="20526" priority="452" operator="greaterThan">
      <formula>1</formula>
    </cfRule>
  </conditionalFormatting>
  <conditionalFormatting sqref="R84:R91">
    <cfRule type="cellIs" dxfId="20525" priority="449" operator="greaterThan">
      <formula>1</formula>
    </cfRule>
    <cfRule type="cellIs" dxfId="20524" priority="450" operator="lessThan">
      <formula>0.8</formula>
    </cfRule>
  </conditionalFormatting>
  <conditionalFormatting sqref="P84:P91">
    <cfRule type="cellIs" dxfId="20523" priority="448" operator="greaterThan">
      <formula>0</formula>
    </cfRule>
  </conditionalFormatting>
  <conditionalFormatting sqref="Q84:Q91">
    <cfRule type="cellIs" dxfId="20522" priority="447" operator="lessThan">
      <formula>0</formula>
    </cfRule>
  </conditionalFormatting>
  <conditionalFormatting sqref="R84:R91">
    <cfRule type="cellIs" dxfId="20521" priority="445" operator="lessThan">
      <formula>0.8</formula>
    </cfRule>
    <cfRule type="cellIs" dxfId="20520" priority="446" operator="greaterThan">
      <formula>1</formula>
    </cfRule>
  </conditionalFormatting>
  <conditionalFormatting sqref="R84:R91">
    <cfRule type="cellIs" dxfId="20519" priority="443" operator="greaterThan">
      <formula>1</formula>
    </cfRule>
    <cfRule type="cellIs" dxfId="20518" priority="444" operator="lessThan">
      <formula>0.8</formula>
    </cfRule>
  </conditionalFormatting>
  <conditionalFormatting sqref="P84:P91">
    <cfRule type="cellIs" dxfId="20517" priority="442" operator="greaterThan">
      <formula>0</formula>
    </cfRule>
  </conditionalFormatting>
  <conditionalFormatting sqref="P84:P91">
    <cfRule type="cellIs" dxfId="20516" priority="436" operator="greaterThan">
      <formula>0</formula>
    </cfRule>
  </conditionalFormatting>
  <conditionalFormatting sqref="Q84:Q91">
    <cfRule type="cellIs" dxfId="20515" priority="441" operator="lessThan">
      <formula>0</formula>
    </cfRule>
  </conditionalFormatting>
  <conditionalFormatting sqref="R84:R91">
    <cfRule type="cellIs" dxfId="20514" priority="439" operator="lessThan">
      <formula>0.8</formula>
    </cfRule>
    <cfRule type="cellIs" dxfId="20513" priority="440" operator="greaterThan">
      <formula>1</formula>
    </cfRule>
  </conditionalFormatting>
  <conditionalFormatting sqref="R84:R91">
    <cfRule type="cellIs" dxfId="20512" priority="437" operator="greaterThan">
      <formula>1</formula>
    </cfRule>
    <cfRule type="cellIs" dxfId="20511" priority="438" operator="lessThan">
      <formula>0.8</formula>
    </cfRule>
  </conditionalFormatting>
  <conditionalFormatting sqref="P84:P91">
    <cfRule type="cellIs" dxfId="20510" priority="430" operator="greaterThan">
      <formula>0</formula>
    </cfRule>
  </conditionalFormatting>
  <conditionalFormatting sqref="Q84:Q91">
    <cfRule type="cellIs" dxfId="20509" priority="435" operator="lessThan">
      <formula>0</formula>
    </cfRule>
  </conditionalFormatting>
  <conditionalFormatting sqref="R84:R91">
    <cfRule type="cellIs" dxfId="20508" priority="433" operator="lessThan">
      <formula>0.8</formula>
    </cfRule>
    <cfRule type="cellIs" dxfId="20507" priority="434" operator="greaterThan">
      <formula>1</formula>
    </cfRule>
  </conditionalFormatting>
  <conditionalFormatting sqref="R84:R91">
    <cfRule type="cellIs" dxfId="20506" priority="431" operator="greaterThan">
      <formula>1</formula>
    </cfRule>
    <cfRule type="cellIs" dxfId="20505" priority="432" operator="lessThan">
      <formula>0.8</formula>
    </cfRule>
  </conditionalFormatting>
  <conditionalFormatting sqref="R84:R91">
    <cfRule type="cellIs" dxfId="20504" priority="427" operator="lessThan">
      <formula>0.8</formula>
    </cfRule>
    <cfRule type="cellIs" dxfId="20503" priority="428" operator="greaterThan">
      <formula>1</formula>
    </cfRule>
  </conditionalFormatting>
  <conditionalFormatting sqref="R84:R91">
    <cfRule type="cellIs" dxfId="20502" priority="425" operator="greaterThan">
      <formula>1</formula>
    </cfRule>
    <cfRule type="cellIs" dxfId="20501" priority="426" operator="lessThan">
      <formula>0.8</formula>
    </cfRule>
  </conditionalFormatting>
  <conditionalFormatting sqref="P84:P91">
    <cfRule type="cellIs" dxfId="20500" priority="424" operator="greaterThan">
      <formula>0</formula>
    </cfRule>
  </conditionalFormatting>
  <conditionalFormatting sqref="Q84:Q91">
    <cfRule type="cellIs" dxfId="20499" priority="429" operator="lessThan">
      <formula>0</formula>
    </cfRule>
  </conditionalFormatting>
  <conditionalFormatting sqref="Q84:Q91">
    <cfRule type="cellIs" dxfId="20498" priority="418" operator="lessThan">
      <formula>0</formula>
    </cfRule>
  </conditionalFormatting>
  <conditionalFormatting sqref="P84:P91">
    <cfRule type="cellIs" dxfId="20497" priority="419" operator="greaterThan">
      <formula>0</formula>
    </cfRule>
  </conditionalFormatting>
  <conditionalFormatting sqref="R84:R91">
    <cfRule type="cellIs" dxfId="20496" priority="422" operator="lessThan">
      <formula>0.8</formula>
    </cfRule>
    <cfRule type="cellIs" dxfId="20495" priority="423" operator="greaterThan">
      <formula>1</formula>
    </cfRule>
  </conditionalFormatting>
  <conditionalFormatting sqref="R84:R91">
    <cfRule type="cellIs" dxfId="20494" priority="420" operator="greaterThan">
      <formula>1</formula>
    </cfRule>
    <cfRule type="cellIs" dxfId="20493" priority="421" operator="lessThan">
      <formula>0.8</formula>
    </cfRule>
  </conditionalFormatting>
  <conditionalFormatting sqref="Q84:Q91">
    <cfRule type="cellIs" dxfId="20492" priority="412" operator="lessThan">
      <formula>0</formula>
    </cfRule>
  </conditionalFormatting>
  <conditionalFormatting sqref="R84:R91">
    <cfRule type="cellIs" dxfId="20491" priority="416" operator="lessThan">
      <formula>0.8</formula>
    </cfRule>
    <cfRule type="cellIs" dxfId="20490" priority="417" operator="greaterThan">
      <formula>1</formula>
    </cfRule>
  </conditionalFormatting>
  <conditionalFormatting sqref="R84:R91">
    <cfRule type="cellIs" dxfId="20489" priority="414" operator="greaterThan">
      <formula>1</formula>
    </cfRule>
    <cfRule type="cellIs" dxfId="20488" priority="415" operator="lessThan">
      <formula>0.8</formula>
    </cfRule>
  </conditionalFormatting>
  <conditionalFormatting sqref="P84:P91">
    <cfRule type="cellIs" dxfId="20487" priority="413" operator="greaterThan">
      <formula>0</formula>
    </cfRule>
  </conditionalFormatting>
  <conditionalFormatting sqref="Q84:Q91">
    <cfRule type="cellIs" dxfId="20486" priority="411" operator="lessThan">
      <formula>0</formula>
    </cfRule>
  </conditionalFormatting>
  <conditionalFormatting sqref="R84:R91">
    <cfRule type="cellIs" dxfId="20485" priority="409" operator="lessThan">
      <formula>0.8</formula>
    </cfRule>
    <cfRule type="cellIs" dxfId="20484" priority="410" operator="greaterThan">
      <formula>1</formula>
    </cfRule>
  </conditionalFormatting>
  <conditionalFormatting sqref="R84:R91">
    <cfRule type="cellIs" dxfId="20483" priority="407" operator="greaterThan">
      <formula>1</formula>
    </cfRule>
    <cfRule type="cellIs" dxfId="20482" priority="408" operator="lessThan">
      <formula>0.8</formula>
    </cfRule>
  </conditionalFormatting>
  <conditionalFormatting sqref="P84:P91">
    <cfRule type="cellIs" dxfId="20481" priority="406" operator="greaterThan">
      <formula>0</formula>
    </cfRule>
  </conditionalFormatting>
  <conditionalFormatting sqref="Q84:Q91">
    <cfRule type="cellIs" dxfId="20480" priority="405" operator="lessThan">
      <formula>0</formula>
    </cfRule>
  </conditionalFormatting>
  <conditionalFormatting sqref="R84:R91">
    <cfRule type="cellIs" dxfId="20479" priority="403" operator="lessThan">
      <formula>0.8</formula>
    </cfRule>
    <cfRule type="cellIs" dxfId="20478" priority="404" operator="greaterThan">
      <formula>1</formula>
    </cfRule>
  </conditionalFormatting>
  <conditionalFormatting sqref="R84:R91">
    <cfRule type="cellIs" dxfId="20477" priority="401" operator="greaterThan">
      <formula>1</formula>
    </cfRule>
    <cfRule type="cellIs" dxfId="20476" priority="402" operator="lessThan">
      <formula>0.8</formula>
    </cfRule>
  </conditionalFormatting>
  <conditionalFormatting sqref="P84:P91">
    <cfRule type="cellIs" dxfId="20475" priority="400" operator="greaterThan">
      <formula>0</formula>
    </cfRule>
  </conditionalFormatting>
  <conditionalFormatting sqref="Q84:Q91">
    <cfRule type="cellIs" dxfId="20474" priority="399" operator="lessThan">
      <formula>0</formula>
    </cfRule>
  </conditionalFormatting>
  <conditionalFormatting sqref="R84:R91">
    <cfRule type="cellIs" dxfId="20473" priority="397" operator="lessThan">
      <formula>0.8</formula>
    </cfRule>
    <cfRule type="cellIs" dxfId="20472" priority="398" operator="greaterThan">
      <formula>1</formula>
    </cfRule>
  </conditionalFormatting>
  <conditionalFormatting sqref="R84:R91">
    <cfRule type="cellIs" dxfId="20471" priority="395" operator="greaterThan">
      <formula>1</formula>
    </cfRule>
    <cfRule type="cellIs" dxfId="20470" priority="396" operator="lessThan">
      <formula>0.8</formula>
    </cfRule>
  </conditionalFormatting>
  <conditionalFormatting sqref="P84:P91">
    <cfRule type="cellIs" dxfId="20469" priority="394" operator="greaterThan">
      <formula>0</formula>
    </cfRule>
  </conditionalFormatting>
  <conditionalFormatting sqref="Q84:Q91">
    <cfRule type="cellIs" dxfId="20468" priority="393" operator="lessThan">
      <formula>0</formula>
    </cfRule>
  </conditionalFormatting>
  <conditionalFormatting sqref="R84:R91">
    <cfRule type="cellIs" dxfId="20467" priority="391" operator="lessThan">
      <formula>0.8</formula>
    </cfRule>
    <cfRule type="cellIs" dxfId="20466" priority="392" operator="greaterThan">
      <formula>1</formula>
    </cfRule>
  </conditionalFormatting>
  <conditionalFormatting sqref="R84:R91">
    <cfRule type="cellIs" dxfId="20465" priority="389" operator="greaterThan">
      <formula>1</formula>
    </cfRule>
    <cfRule type="cellIs" dxfId="20464" priority="390" operator="lessThan">
      <formula>0.8</formula>
    </cfRule>
  </conditionalFormatting>
  <conditionalFormatting sqref="P84:P91">
    <cfRule type="cellIs" dxfId="20463" priority="388" operator="greaterThan">
      <formula>0</formula>
    </cfRule>
  </conditionalFormatting>
  <conditionalFormatting sqref="Q84:Q91">
    <cfRule type="cellIs" dxfId="20462" priority="387" operator="lessThan">
      <formula>0</formula>
    </cfRule>
  </conditionalFormatting>
  <conditionalFormatting sqref="R84:R91">
    <cfRule type="cellIs" dxfId="20461" priority="385" operator="lessThan">
      <formula>0.8</formula>
    </cfRule>
    <cfRule type="cellIs" dxfId="20460" priority="386" operator="greaterThan">
      <formula>1</formula>
    </cfRule>
  </conditionalFormatting>
  <conditionalFormatting sqref="R84:R91">
    <cfRule type="cellIs" dxfId="20459" priority="383" operator="greaterThan">
      <formula>1</formula>
    </cfRule>
    <cfRule type="cellIs" dxfId="20458" priority="384" operator="lessThan">
      <formula>0.8</formula>
    </cfRule>
  </conditionalFormatting>
  <conditionalFormatting sqref="P84:P91">
    <cfRule type="cellIs" dxfId="20457" priority="382" operator="greaterThan">
      <formula>0</formula>
    </cfRule>
  </conditionalFormatting>
  <conditionalFormatting sqref="Q84:Q91">
    <cfRule type="cellIs" dxfId="20456" priority="381" operator="lessThan">
      <formula>0</formula>
    </cfRule>
  </conditionalFormatting>
  <conditionalFormatting sqref="R84:R91">
    <cfRule type="cellIs" dxfId="20455" priority="379" operator="lessThan">
      <formula>0.8</formula>
    </cfRule>
    <cfRule type="cellIs" dxfId="20454" priority="380" operator="greaterThan">
      <formula>1</formula>
    </cfRule>
  </conditionalFormatting>
  <conditionalFormatting sqref="R84:R91">
    <cfRule type="cellIs" dxfId="20453" priority="377" operator="greaterThan">
      <formula>1</formula>
    </cfRule>
    <cfRule type="cellIs" dxfId="20452" priority="378" operator="lessThan">
      <formula>0.8</formula>
    </cfRule>
  </conditionalFormatting>
  <conditionalFormatting sqref="P84:P91">
    <cfRule type="cellIs" dxfId="20451" priority="376" operator="greaterThan">
      <formula>0</formula>
    </cfRule>
  </conditionalFormatting>
  <conditionalFormatting sqref="Q84:Q91">
    <cfRule type="cellIs" dxfId="20450" priority="375" operator="lessThan">
      <formula>0</formula>
    </cfRule>
  </conditionalFormatting>
  <conditionalFormatting sqref="R84:R91">
    <cfRule type="cellIs" dxfId="20449" priority="373" operator="lessThan">
      <formula>0.8</formula>
    </cfRule>
    <cfRule type="cellIs" dxfId="20448" priority="374" operator="greaterThan">
      <formula>1</formula>
    </cfRule>
  </conditionalFormatting>
  <conditionalFormatting sqref="R84:R91">
    <cfRule type="cellIs" dxfId="20447" priority="371" operator="greaterThan">
      <formula>1</formula>
    </cfRule>
    <cfRule type="cellIs" dxfId="20446" priority="372" operator="lessThan">
      <formula>0.8</formula>
    </cfRule>
  </conditionalFormatting>
  <conditionalFormatting sqref="P84:P91">
    <cfRule type="cellIs" dxfId="20445" priority="370" operator="greaterThan">
      <formula>0</formula>
    </cfRule>
  </conditionalFormatting>
  <conditionalFormatting sqref="P84:P91">
    <cfRule type="cellIs" dxfId="20444" priority="364" operator="greaterThan">
      <formula>0</formula>
    </cfRule>
  </conditionalFormatting>
  <conditionalFormatting sqref="Q84:Q91">
    <cfRule type="cellIs" dxfId="20443" priority="369" operator="lessThan">
      <formula>0</formula>
    </cfRule>
  </conditionalFormatting>
  <conditionalFormatting sqref="R84:R91">
    <cfRule type="cellIs" dxfId="20442" priority="367" operator="lessThan">
      <formula>0.8</formula>
    </cfRule>
    <cfRule type="cellIs" dxfId="20441" priority="368" operator="greaterThan">
      <formula>1</formula>
    </cfRule>
  </conditionalFormatting>
  <conditionalFormatting sqref="R84:R91">
    <cfRule type="cellIs" dxfId="20440" priority="365" operator="greaterThan">
      <formula>1</formula>
    </cfRule>
    <cfRule type="cellIs" dxfId="20439" priority="366" operator="lessThan">
      <formula>0.8</formula>
    </cfRule>
  </conditionalFormatting>
  <conditionalFormatting sqref="P84:P91">
    <cfRule type="cellIs" dxfId="20438" priority="358" operator="greaterThan">
      <formula>0</formula>
    </cfRule>
  </conditionalFormatting>
  <conditionalFormatting sqref="Q84:Q91">
    <cfRule type="cellIs" dxfId="20437" priority="363" operator="lessThan">
      <formula>0</formula>
    </cfRule>
  </conditionalFormatting>
  <conditionalFormatting sqref="R84:R91">
    <cfRule type="cellIs" dxfId="20436" priority="361" operator="lessThan">
      <formula>0.8</formula>
    </cfRule>
    <cfRule type="cellIs" dxfId="20435" priority="362" operator="greaterThan">
      <formula>1</formula>
    </cfRule>
  </conditionalFormatting>
  <conditionalFormatting sqref="R84:R91">
    <cfRule type="cellIs" dxfId="20434" priority="359" operator="greaterThan">
      <formula>1</formula>
    </cfRule>
    <cfRule type="cellIs" dxfId="20433" priority="360" operator="lessThan">
      <formula>0.8</formula>
    </cfRule>
  </conditionalFormatting>
  <conditionalFormatting sqref="R84:R91">
    <cfRule type="cellIs" dxfId="20432" priority="355" operator="lessThan">
      <formula>0.8</formula>
    </cfRule>
    <cfRule type="cellIs" dxfId="20431" priority="356" operator="greaterThan">
      <formula>1</formula>
    </cfRule>
  </conditionalFormatting>
  <conditionalFormatting sqref="R84:R91">
    <cfRule type="cellIs" dxfId="20430" priority="353" operator="greaterThan">
      <formula>1</formula>
    </cfRule>
    <cfRule type="cellIs" dxfId="20429" priority="354" operator="lessThan">
      <formula>0.8</formula>
    </cfRule>
  </conditionalFormatting>
  <conditionalFormatting sqref="P84:P91">
    <cfRule type="cellIs" dxfId="20428" priority="352" operator="greaterThan">
      <formula>0</formula>
    </cfRule>
  </conditionalFormatting>
  <conditionalFormatting sqref="Q84:Q91">
    <cfRule type="cellIs" dxfId="20427" priority="357" operator="lessThan">
      <formula>0</formula>
    </cfRule>
  </conditionalFormatting>
  <conditionalFormatting sqref="Q84:Q91">
    <cfRule type="cellIs" dxfId="20426" priority="351" operator="lessThan">
      <formula>0</formula>
    </cfRule>
  </conditionalFormatting>
  <conditionalFormatting sqref="R84:R91">
    <cfRule type="cellIs" dxfId="20425" priority="349" operator="lessThan">
      <formula>0.8</formula>
    </cfRule>
    <cfRule type="cellIs" dxfId="20424" priority="350" operator="greaterThan">
      <formula>1</formula>
    </cfRule>
  </conditionalFormatting>
  <conditionalFormatting sqref="R84:R91">
    <cfRule type="cellIs" dxfId="20423" priority="347" operator="greaterThan">
      <formula>1</formula>
    </cfRule>
    <cfRule type="cellIs" dxfId="20422" priority="348" operator="lessThan">
      <formula>0.8</formula>
    </cfRule>
  </conditionalFormatting>
  <conditionalFormatting sqref="P84:P91">
    <cfRule type="cellIs" dxfId="20421" priority="346" operator="greaterThan">
      <formula>0</formula>
    </cfRule>
  </conditionalFormatting>
  <conditionalFormatting sqref="P84:P91">
    <cfRule type="cellIs" dxfId="20420" priority="340" operator="greaterThan">
      <formula>0</formula>
    </cfRule>
  </conditionalFormatting>
  <conditionalFormatting sqref="Q84:Q91">
    <cfRule type="cellIs" dxfId="20419" priority="345" operator="lessThan">
      <formula>0</formula>
    </cfRule>
  </conditionalFormatting>
  <conditionalFormatting sqref="R84:R91">
    <cfRule type="cellIs" dxfId="20418" priority="343" operator="lessThan">
      <formula>0.8</formula>
    </cfRule>
    <cfRule type="cellIs" dxfId="20417" priority="344" operator="greaterThan">
      <formula>1</formula>
    </cfRule>
  </conditionalFormatting>
  <conditionalFormatting sqref="R84:R91">
    <cfRule type="cellIs" dxfId="20416" priority="341" operator="greaterThan">
      <formula>1</formula>
    </cfRule>
    <cfRule type="cellIs" dxfId="20415" priority="342" operator="lessThan">
      <formula>0.8</formula>
    </cfRule>
  </conditionalFormatting>
  <conditionalFormatting sqref="P84:P91">
    <cfRule type="cellIs" dxfId="20414" priority="334" operator="greaterThan">
      <formula>0</formula>
    </cfRule>
  </conditionalFormatting>
  <conditionalFormatting sqref="Q84:Q91">
    <cfRule type="cellIs" dxfId="20413" priority="339" operator="lessThan">
      <formula>0</formula>
    </cfRule>
  </conditionalFormatting>
  <conditionalFormatting sqref="R84:R91">
    <cfRule type="cellIs" dxfId="20412" priority="337" operator="lessThan">
      <formula>0.8</formula>
    </cfRule>
    <cfRule type="cellIs" dxfId="20411" priority="338" operator="greaterThan">
      <formula>1</formula>
    </cfRule>
  </conditionalFormatting>
  <conditionalFormatting sqref="R84:R91">
    <cfRule type="cellIs" dxfId="20410" priority="335" operator="greaterThan">
      <formula>1</formula>
    </cfRule>
    <cfRule type="cellIs" dxfId="20409" priority="336" operator="lessThan">
      <formula>0.8</formula>
    </cfRule>
  </conditionalFormatting>
  <conditionalFormatting sqref="R84:R91">
    <cfRule type="cellIs" dxfId="20408" priority="331" operator="lessThan">
      <formula>0.8</formula>
    </cfRule>
    <cfRule type="cellIs" dxfId="20407" priority="332" operator="greaterThan">
      <formula>1</formula>
    </cfRule>
  </conditionalFormatting>
  <conditionalFormatting sqref="R84:R91">
    <cfRule type="cellIs" dxfId="20406" priority="329" operator="greaterThan">
      <formula>1</formula>
    </cfRule>
    <cfRule type="cellIs" dxfId="20405" priority="330" operator="lessThan">
      <formula>0.8</formula>
    </cfRule>
  </conditionalFormatting>
  <conditionalFormatting sqref="P84:P91">
    <cfRule type="cellIs" dxfId="20404" priority="328" operator="greaterThan">
      <formula>0</formula>
    </cfRule>
  </conditionalFormatting>
  <conditionalFormatting sqref="Q84:Q91">
    <cfRule type="cellIs" dxfId="20403" priority="333" operator="lessThan">
      <formula>0</formula>
    </cfRule>
  </conditionalFormatting>
  <conditionalFormatting sqref="P84:P91">
    <cfRule type="cellIs" dxfId="20402" priority="322" operator="greaterThan">
      <formula>0</formula>
    </cfRule>
  </conditionalFormatting>
  <conditionalFormatting sqref="Q84:Q91">
    <cfRule type="cellIs" dxfId="20401" priority="327" operator="lessThan">
      <formula>0</formula>
    </cfRule>
  </conditionalFormatting>
  <conditionalFormatting sqref="R84:R91">
    <cfRule type="cellIs" dxfId="20400" priority="325" operator="lessThan">
      <formula>0.8</formula>
    </cfRule>
    <cfRule type="cellIs" dxfId="20399" priority="326" operator="greaterThan">
      <formula>1</formula>
    </cfRule>
  </conditionalFormatting>
  <conditionalFormatting sqref="R84:R91">
    <cfRule type="cellIs" dxfId="20398" priority="323" operator="greaterThan">
      <formula>1</formula>
    </cfRule>
    <cfRule type="cellIs" dxfId="20397" priority="324" operator="lessThan">
      <formula>0.8</formula>
    </cfRule>
  </conditionalFormatting>
  <conditionalFormatting sqref="R84:R91">
    <cfRule type="cellIs" dxfId="20396" priority="319" operator="lessThan">
      <formula>0.8</formula>
    </cfRule>
    <cfRule type="cellIs" dxfId="20395" priority="320" operator="greaterThan">
      <formula>1</formula>
    </cfRule>
  </conditionalFormatting>
  <conditionalFormatting sqref="R84:R91">
    <cfRule type="cellIs" dxfId="20394" priority="317" operator="greaterThan">
      <formula>1</formula>
    </cfRule>
    <cfRule type="cellIs" dxfId="20393" priority="318" operator="lessThan">
      <formula>0.8</formula>
    </cfRule>
  </conditionalFormatting>
  <conditionalFormatting sqref="P84:P91">
    <cfRule type="cellIs" dxfId="20392" priority="316" operator="greaterThan">
      <formula>0</formula>
    </cfRule>
  </conditionalFormatting>
  <conditionalFormatting sqref="Q84:Q91">
    <cfRule type="cellIs" dxfId="20391" priority="321" operator="lessThan">
      <formula>0</formula>
    </cfRule>
  </conditionalFormatting>
  <conditionalFormatting sqref="R84:R91">
    <cfRule type="cellIs" dxfId="20390" priority="313" operator="lessThan">
      <formula>0.8</formula>
    </cfRule>
    <cfRule type="cellIs" dxfId="20389" priority="314" operator="greaterThan">
      <formula>1</formula>
    </cfRule>
  </conditionalFormatting>
  <conditionalFormatting sqref="R84:R91">
    <cfRule type="cellIs" dxfId="20388" priority="311" operator="greaterThan">
      <formula>1</formula>
    </cfRule>
    <cfRule type="cellIs" dxfId="20387" priority="312" operator="lessThan">
      <formula>0.8</formula>
    </cfRule>
  </conditionalFormatting>
  <conditionalFormatting sqref="P84:P91">
    <cfRule type="cellIs" dxfId="20386" priority="310" operator="greaterThan">
      <formula>0</formula>
    </cfRule>
  </conditionalFormatting>
  <conditionalFormatting sqref="Q84:Q91">
    <cfRule type="cellIs" dxfId="20385" priority="315" operator="lessThan">
      <formula>0</formula>
    </cfRule>
  </conditionalFormatting>
  <conditionalFormatting sqref="Q84:Q91">
    <cfRule type="cellIs" dxfId="20384" priority="309" operator="lessThan">
      <formula>0</formula>
    </cfRule>
  </conditionalFormatting>
  <conditionalFormatting sqref="R84:R91">
    <cfRule type="cellIs" dxfId="20383" priority="307" operator="lessThan">
      <formula>0.8</formula>
    </cfRule>
    <cfRule type="cellIs" dxfId="20382" priority="308" operator="greaterThan">
      <formula>1</formula>
    </cfRule>
  </conditionalFormatting>
  <conditionalFormatting sqref="R84:R91">
    <cfRule type="cellIs" dxfId="20381" priority="305" operator="greaterThan">
      <formula>1</formula>
    </cfRule>
    <cfRule type="cellIs" dxfId="20380" priority="306" operator="lessThan">
      <formula>0.8</formula>
    </cfRule>
  </conditionalFormatting>
  <conditionalFormatting sqref="P84:P91">
    <cfRule type="cellIs" dxfId="20379" priority="304" operator="greaterThan">
      <formula>0</formula>
    </cfRule>
  </conditionalFormatting>
  <conditionalFormatting sqref="Q84:Q91">
    <cfRule type="cellIs" dxfId="20378" priority="298" operator="lessThan">
      <formula>0</formula>
    </cfRule>
  </conditionalFormatting>
  <conditionalFormatting sqref="R84:R91">
    <cfRule type="cellIs" dxfId="20377" priority="302" operator="lessThan">
      <formula>0.8</formula>
    </cfRule>
    <cfRule type="cellIs" dxfId="20376" priority="303" operator="greaterThan">
      <formula>1</formula>
    </cfRule>
  </conditionalFormatting>
  <conditionalFormatting sqref="R84:R91">
    <cfRule type="cellIs" dxfId="20375" priority="300" operator="greaterThan">
      <formula>1</formula>
    </cfRule>
    <cfRule type="cellIs" dxfId="20374" priority="301" operator="lessThan">
      <formula>0.8</formula>
    </cfRule>
  </conditionalFormatting>
  <conditionalFormatting sqref="P84:P91">
    <cfRule type="cellIs" dxfId="20373" priority="299" operator="greaterThan">
      <formula>0</formula>
    </cfRule>
  </conditionalFormatting>
  <conditionalFormatting sqref="Q84:Q91">
    <cfRule type="cellIs" dxfId="20372" priority="297" operator="lessThan">
      <formula>0</formula>
    </cfRule>
  </conditionalFormatting>
  <conditionalFormatting sqref="R84:R91">
    <cfRule type="cellIs" dxfId="20371" priority="295" operator="lessThan">
      <formula>0.8</formula>
    </cfRule>
    <cfRule type="cellIs" dxfId="20370" priority="296" operator="greaterThan">
      <formula>1</formula>
    </cfRule>
  </conditionalFormatting>
  <conditionalFormatting sqref="R84:R91">
    <cfRule type="cellIs" dxfId="20369" priority="293" operator="greaterThan">
      <formula>1</formula>
    </cfRule>
    <cfRule type="cellIs" dxfId="20368" priority="294" operator="lessThan">
      <formula>0.8</formula>
    </cfRule>
  </conditionalFormatting>
  <conditionalFormatting sqref="P84:P91">
    <cfRule type="cellIs" dxfId="20367" priority="292" operator="greaterThan">
      <formula>0</formula>
    </cfRule>
  </conditionalFormatting>
  <conditionalFormatting sqref="Q84:Q91">
    <cfRule type="cellIs" dxfId="20366" priority="291" operator="lessThan">
      <formula>0</formula>
    </cfRule>
  </conditionalFormatting>
  <conditionalFormatting sqref="R84:R91">
    <cfRule type="cellIs" dxfId="20365" priority="289" operator="lessThan">
      <formula>0.8</formula>
    </cfRule>
    <cfRule type="cellIs" dxfId="20364" priority="290" operator="greaterThan">
      <formula>1</formula>
    </cfRule>
  </conditionalFormatting>
  <conditionalFormatting sqref="R84:R91">
    <cfRule type="cellIs" dxfId="20363" priority="287" operator="greaterThan">
      <formula>1</formula>
    </cfRule>
    <cfRule type="cellIs" dxfId="20362" priority="288" operator="lessThan">
      <formula>0.8</formula>
    </cfRule>
  </conditionalFormatting>
  <conditionalFormatting sqref="P84:P91">
    <cfRule type="cellIs" dxfId="20361" priority="286" operator="greaterThan">
      <formula>0</formula>
    </cfRule>
  </conditionalFormatting>
  <conditionalFormatting sqref="Q84:Q91">
    <cfRule type="cellIs" dxfId="20360" priority="285" operator="lessThan">
      <formula>0</formula>
    </cfRule>
  </conditionalFormatting>
  <conditionalFormatting sqref="R84:R91">
    <cfRule type="cellIs" dxfId="20359" priority="283" operator="lessThan">
      <formula>0.8</formula>
    </cfRule>
    <cfRule type="cellIs" dxfId="20358" priority="284" operator="greaterThan">
      <formula>1</formula>
    </cfRule>
  </conditionalFormatting>
  <conditionalFormatting sqref="R84:R91">
    <cfRule type="cellIs" dxfId="20357" priority="281" operator="greaterThan">
      <formula>1</formula>
    </cfRule>
    <cfRule type="cellIs" dxfId="20356" priority="282" operator="lessThan">
      <formula>0.8</formula>
    </cfRule>
  </conditionalFormatting>
  <conditionalFormatting sqref="P84:P91">
    <cfRule type="cellIs" dxfId="20355" priority="280" operator="greaterThan">
      <formula>0</formula>
    </cfRule>
  </conditionalFormatting>
  <conditionalFormatting sqref="Q84:Q91">
    <cfRule type="cellIs" dxfId="20354" priority="279" operator="lessThan">
      <formula>0</formula>
    </cfRule>
  </conditionalFormatting>
  <conditionalFormatting sqref="R84:R91">
    <cfRule type="cellIs" dxfId="20353" priority="277" operator="lessThan">
      <formula>0.8</formula>
    </cfRule>
    <cfRule type="cellIs" dxfId="20352" priority="278" operator="greaterThan">
      <formula>1</formula>
    </cfRule>
  </conditionalFormatting>
  <conditionalFormatting sqref="R84:R91">
    <cfRule type="cellIs" dxfId="20351" priority="275" operator="greaterThan">
      <formula>1</formula>
    </cfRule>
    <cfRule type="cellIs" dxfId="20350" priority="276" operator="lessThan">
      <formula>0.8</formula>
    </cfRule>
  </conditionalFormatting>
  <conditionalFormatting sqref="P84:P91">
    <cfRule type="cellIs" dxfId="20349" priority="274" operator="greaterThan">
      <formula>0</formula>
    </cfRule>
  </conditionalFormatting>
  <conditionalFormatting sqref="Q84:Q91">
    <cfRule type="cellIs" dxfId="20348" priority="273" operator="lessThan">
      <formula>0</formula>
    </cfRule>
  </conditionalFormatting>
  <conditionalFormatting sqref="R84:R91">
    <cfRule type="cellIs" dxfId="20347" priority="271" operator="lessThan">
      <formula>0.8</formula>
    </cfRule>
    <cfRule type="cellIs" dxfId="20346" priority="272" operator="greaterThan">
      <formula>1</formula>
    </cfRule>
  </conditionalFormatting>
  <conditionalFormatting sqref="R84:R91">
    <cfRule type="cellIs" dxfId="20345" priority="269" operator="greaterThan">
      <formula>1</formula>
    </cfRule>
    <cfRule type="cellIs" dxfId="20344" priority="270" operator="lessThan">
      <formula>0.8</formula>
    </cfRule>
  </conditionalFormatting>
  <conditionalFormatting sqref="P84:P91">
    <cfRule type="cellIs" dxfId="20343" priority="268" operator="greaterThan">
      <formula>0</formula>
    </cfRule>
  </conditionalFormatting>
  <conditionalFormatting sqref="P84:P91">
    <cfRule type="cellIs" dxfId="20342" priority="262" operator="greaterThan">
      <formula>0</formula>
    </cfRule>
  </conditionalFormatting>
  <conditionalFormatting sqref="Q84:Q91">
    <cfRule type="cellIs" dxfId="20341" priority="267" operator="lessThan">
      <formula>0</formula>
    </cfRule>
  </conditionalFormatting>
  <conditionalFormatting sqref="R84:R91">
    <cfRule type="cellIs" dxfId="20340" priority="265" operator="lessThan">
      <formula>0.8</formula>
    </cfRule>
    <cfRule type="cellIs" dxfId="20339" priority="266" operator="greaterThan">
      <formula>1</formula>
    </cfRule>
  </conditionalFormatting>
  <conditionalFormatting sqref="R84:R91">
    <cfRule type="cellIs" dxfId="20338" priority="263" operator="greaterThan">
      <formula>1</formula>
    </cfRule>
    <cfRule type="cellIs" dxfId="20337" priority="264" operator="lessThan">
      <formula>0.8</formula>
    </cfRule>
  </conditionalFormatting>
  <conditionalFormatting sqref="P84:P91">
    <cfRule type="cellIs" dxfId="20336" priority="256" operator="greaterThan">
      <formula>0</formula>
    </cfRule>
  </conditionalFormatting>
  <conditionalFormatting sqref="Q84:Q91">
    <cfRule type="cellIs" dxfId="20335" priority="261" operator="lessThan">
      <formula>0</formula>
    </cfRule>
  </conditionalFormatting>
  <conditionalFormatting sqref="R84:R91">
    <cfRule type="cellIs" dxfId="20334" priority="259" operator="lessThan">
      <formula>0.8</formula>
    </cfRule>
    <cfRule type="cellIs" dxfId="20333" priority="260" operator="greaterThan">
      <formula>1</formula>
    </cfRule>
  </conditionalFormatting>
  <conditionalFormatting sqref="R84:R91">
    <cfRule type="cellIs" dxfId="20332" priority="257" operator="greaterThan">
      <formula>1</formula>
    </cfRule>
    <cfRule type="cellIs" dxfId="20331" priority="258" operator="lessThan">
      <formula>0.8</formula>
    </cfRule>
  </conditionalFormatting>
  <conditionalFormatting sqref="R84:R91">
    <cfRule type="cellIs" dxfId="20330" priority="253" operator="lessThan">
      <formula>0.8</formula>
    </cfRule>
    <cfRule type="cellIs" dxfId="20329" priority="254" operator="greaterThan">
      <formula>1</formula>
    </cfRule>
  </conditionalFormatting>
  <conditionalFormatting sqref="R84:R91">
    <cfRule type="cellIs" dxfId="20328" priority="251" operator="greaterThan">
      <formula>1</formula>
    </cfRule>
    <cfRule type="cellIs" dxfId="20327" priority="252" operator="lessThan">
      <formula>0.8</formula>
    </cfRule>
  </conditionalFormatting>
  <conditionalFormatting sqref="P84:P91">
    <cfRule type="cellIs" dxfId="20326" priority="250" operator="greaterThan">
      <formula>0</formula>
    </cfRule>
  </conditionalFormatting>
  <conditionalFormatting sqref="Q84:Q91">
    <cfRule type="cellIs" dxfId="20325" priority="255" operator="lessThan">
      <formula>0</formula>
    </cfRule>
  </conditionalFormatting>
  <conditionalFormatting sqref="Q84:Q91">
    <cfRule type="cellIs" dxfId="20324" priority="249" operator="lessThan">
      <formula>0</formula>
    </cfRule>
  </conditionalFormatting>
  <conditionalFormatting sqref="R84:R91">
    <cfRule type="cellIs" dxfId="20323" priority="247" operator="lessThan">
      <formula>0.8</formula>
    </cfRule>
    <cfRule type="cellIs" dxfId="20322" priority="248" operator="greaterThan">
      <formula>1</formula>
    </cfRule>
  </conditionalFormatting>
  <conditionalFormatting sqref="R84:R91">
    <cfRule type="cellIs" dxfId="20321" priority="245" operator="greaterThan">
      <formula>1</formula>
    </cfRule>
    <cfRule type="cellIs" dxfId="20320" priority="246" operator="lessThan">
      <formula>0.8</formula>
    </cfRule>
  </conditionalFormatting>
  <conditionalFormatting sqref="P84:P91">
    <cfRule type="cellIs" dxfId="20319" priority="244" operator="greaterThan">
      <formula>0</formula>
    </cfRule>
  </conditionalFormatting>
  <conditionalFormatting sqref="Q84:Q91">
    <cfRule type="cellIs" dxfId="20318" priority="243" operator="lessThan">
      <formula>0</formula>
    </cfRule>
  </conditionalFormatting>
  <conditionalFormatting sqref="R84:R91">
    <cfRule type="cellIs" dxfId="20317" priority="241" operator="lessThan">
      <formula>0.8</formula>
    </cfRule>
    <cfRule type="cellIs" dxfId="20316" priority="242" operator="greaterThan">
      <formula>1</formula>
    </cfRule>
  </conditionalFormatting>
  <conditionalFormatting sqref="R84:R91">
    <cfRule type="cellIs" dxfId="20315" priority="239" operator="greaterThan">
      <formula>1</formula>
    </cfRule>
    <cfRule type="cellIs" dxfId="20314" priority="240" operator="lessThan">
      <formula>0.8</formula>
    </cfRule>
  </conditionalFormatting>
  <conditionalFormatting sqref="P84:P91">
    <cfRule type="cellIs" dxfId="20313" priority="238" operator="greaterThan">
      <formula>0</formula>
    </cfRule>
  </conditionalFormatting>
  <conditionalFormatting sqref="Q84:Q91">
    <cfRule type="cellIs" dxfId="20312" priority="237" operator="lessThan">
      <formula>0</formula>
    </cfRule>
  </conditionalFormatting>
  <conditionalFormatting sqref="R84:R91">
    <cfRule type="cellIs" dxfId="20311" priority="235" operator="lessThan">
      <formula>0.8</formula>
    </cfRule>
    <cfRule type="cellIs" dxfId="20310" priority="236" operator="greaterThan">
      <formula>1</formula>
    </cfRule>
  </conditionalFormatting>
  <conditionalFormatting sqref="R84:R91">
    <cfRule type="cellIs" dxfId="20309" priority="233" operator="greaterThan">
      <formula>1</formula>
    </cfRule>
    <cfRule type="cellIs" dxfId="20308" priority="234" operator="lessThan">
      <formula>0.8</formula>
    </cfRule>
  </conditionalFormatting>
  <conditionalFormatting sqref="P84:P91">
    <cfRule type="cellIs" dxfId="20307" priority="232" operator="greaterThan">
      <formula>0</formula>
    </cfRule>
  </conditionalFormatting>
  <conditionalFormatting sqref="Q84:Q91">
    <cfRule type="cellIs" dxfId="20306" priority="231" operator="lessThan">
      <formula>0</formula>
    </cfRule>
  </conditionalFormatting>
  <conditionalFormatting sqref="R84:R91">
    <cfRule type="cellIs" dxfId="20305" priority="229" operator="lessThan">
      <formula>0.8</formula>
    </cfRule>
    <cfRule type="cellIs" dxfId="20304" priority="230" operator="greaterThan">
      <formula>1</formula>
    </cfRule>
  </conditionalFormatting>
  <conditionalFormatting sqref="R84:R91">
    <cfRule type="cellIs" dxfId="20303" priority="227" operator="greaterThan">
      <formula>1</formula>
    </cfRule>
    <cfRule type="cellIs" dxfId="20302" priority="228" operator="lessThan">
      <formula>0.8</formula>
    </cfRule>
  </conditionalFormatting>
  <conditionalFormatting sqref="P84:P91">
    <cfRule type="cellIs" dxfId="20301" priority="226" operator="greaterThan">
      <formula>0</formula>
    </cfRule>
  </conditionalFormatting>
  <conditionalFormatting sqref="P84:P91">
    <cfRule type="cellIs" dxfId="20300" priority="220" operator="greaterThan">
      <formula>0</formula>
    </cfRule>
  </conditionalFormatting>
  <conditionalFormatting sqref="Q84:Q91">
    <cfRule type="cellIs" dxfId="20299" priority="225" operator="lessThan">
      <formula>0</formula>
    </cfRule>
  </conditionalFormatting>
  <conditionalFormatting sqref="R84:R91">
    <cfRule type="cellIs" dxfId="20298" priority="223" operator="lessThan">
      <formula>0.8</formula>
    </cfRule>
    <cfRule type="cellIs" dxfId="20297" priority="224" operator="greaterThan">
      <formula>1</formula>
    </cfRule>
  </conditionalFormatting>
  <conditionalFormatting sqref="R84:R91">
    <cfRule type="cellIs" dxfId="20296" priority="221" operator="greaterThan">
      <formula>1</formula>
    </cfRule>
    <cfRule type="cellIs" dxfId="20295" priority="222" operator="lessThan">
      <formula>0.8</formula>
    </cfRule>
  </conditionalFormatting>
  <conditionalFormatting sqref="P84:P91">
    <cfRule type="cellIs" dxfId="20294" priority="214" operator="greaterThan">
      <formula>0</formula>
    </cfRule>
  </conditionalFormatting>
  <conditionalFormatting sqref="Q84:Q91">
    <cfRule type="cellIs" dxfId="20293" priority="219" operator="lessThan">
      <formula>0</formula>
    </cfRule>
  </conditionalFormatting>
  <conditionalFormatting sqref="R84:R91">
    <cfRule type="cellIs" dxfId="20292" priority="217" operator="lessThan">
      <formula>0.8</formula>
    </cfRule>
    <cfRule type="cellIs" dxfId="20291" priority="218" operator="greaterThan">
      <formula>1</formula>
    </cfRule>
  </conditionalFormatting>
  <conditionalFormatting sqref="R84:R91">
    <cfRule type="cellIs" dxfId="20290" priority="215" operator="greaterThan">
      <formula>1</formula>
    </cfRule>
    <cfRule type="cellIs" dxfId="20289" priority="216" operator="lessThan">
      <formula>0.8</formula>
    </cfRule>
  </conditionalFormatting>
  <conditionalFormatting sqref="R84:R91">
    <cfRule type="cellIs" dxfId="20288" priority="211" operator="lessThan">
      <formula>0.8</formula>
    </cfRule>
    <cfRule type="cellIs" dxfId="20287" priority="212" operator="greaterThan">
      <formula>1</formula>
    </cfRule>
  </conditionalFormatting>
  <conditionalFormatting sqref="R84:R91">
    <cfRule type="cellIs" dxfId="20286" priority="209" operator="greaterThan">
      <formula>1</formula>
    </cfRule>
    <cfRule type="cellIs" dxfId="20285" priority="210" operator="lessThan">
      <formula>0.8</formula>
    </cfRule>
  </conditionalFormatting>
  <conditionalFormatting sqref="P84:P91">
    <cfRule type="cellIs" dxfId="20284" priority="208" operator="greaterThan">
      <formula>0</formula>
    </cfRule>
  </conditionalFormatting>
  <conditionalFormatting sqref="Q84:Q91">
    <cfRule type="cellIs" dxfId="20283" priority="213" operator="lessThan">
      <formula>0</formula>
    </cfRule>
  </conditionalFormatting>
  <conditionalFormatting sqref="Q84:Q91">
    <cfRule type="cellIs" dxfId="20282" priority="207" operator="lessThan">
      <formula>0</formula>
    </cfRule>
  </conditionalFormatting>
  <conditionalFormatting sqref="R84:R91">
    <cfRule type="cellIs" dxfId="20281" priority="205" operator="lessThan">
      <formula>0.8</formula>
    </cfRule>
    <cfRule type="cellIs" dxfId="20280" priority="206" operator="greaterThan">
      <formula>1</formula>
    </cfRule>
  </conditionalFormatting>
  <conditionalFormatting sqref="R84:R91">
    <cfRule type="cellIs" dxfId="20279" priority="203" operator="greaterThan">
      <formula>1</formula>
    </cfRule>
    <cfRule type="cellIs" dxfId="20278" priority="204" operator="lessThan">
      <formula>0.8</formula>
    </cfRule>
  </conditionalFormatting>
  <conditionalFormatting sqref="P84:P91">
    <cfRule type="cellIs" dxfId="20277" priority="202" operator="greaterThan">
      <formula>0</formula>
    </cfRule>
  </conditionalFormatting>
  <conditionalFormatting sqref="P84:P91">
    <cfRule type="cellIs" dxfId="20276" priority="196" operator="greaterThan">
      <formula>0</formula>
    </cfRule>
  </conditionalFormatting>
  <conditionalFormatting sqref="Q84:Q91">
    <cfRule type="cellIs" dxfId="20275" priority="201" operator="lessThan">
      <formula>0</formula>
    </cfRule>
  </conditionalFormatting>
  <conditionalFormatting sqref="R84:R91">
    <cfRule type="cellIs" dxfId="20274" priority="199" operator="lessThan">
      <formula>0.8</formula>
    </cfRule>
    <cfRule type="cellIs" dxfId="20273" priority="200" operator="greaterThan">
      <formula>1</formula>
    </cfRule>
  </conditionalFormatting>
  <conditionalFormatting sqref="R84:R91">
    <cfRule type="cellIs" dxfId="20272" priority="197" operator="greaterThan">
      <formula>1</formula>
    </cfRule>
    <cfRule type="cellIs" dxfId="20271" priority="198" operator="lessThan">
      <formula>0.8</formula>
    </cfRule>
  </conditionalFormatting>
  <conditionalFormatting sqref="P84:P91">
    <cfRule type="cellIs" dxfId="20270" priority="190" operator="greaterThan">
      <formula>0</formula>
    </cfRule>
  </conditionalFormatting>
  <conditionalFormatting sqref="Q84:Q91">
    <cfRule type="cellIs" dxfId="20269" priority="195" operator="lessThan">
      <formula>0</formula>
    </cfRule>
  </conditionalFormatting>
  <conditionalFormatting sqref="R84:R91">
    <cfRule type="cellIs" dxfId="20268" priority="193" operator="lessThan">
      <formula>0.8</formula>
    </cfRule>
    <cfRule type="cellIs" dxfId="20267" priority="194" operator="greaterThan">
      <formula>1</formula>
    </cfRule>
  </conditionalFormatting>
  <conditionalFormatting sqref="R84:R91">
    <cfRule type="cellIs" dxfId="20266" priority="191" operator="greaterThan">
      <formula>1</formula>
    </cfRule>
    <cfRule type="cellIs" dxfId="20265" priority="192" operator="lessThan">
      <formula>0.8</formula>
    </cfRule>
  </conditionalFormatting>
  <conditionalFormatting sqref="R84:R91">
    <cfRule type="cellIs" dxfId="20264" priority="187" operator="lessThan">
      <formula>0.8</formula>
    </cfRule>
    <cfRule type="cellIs" dxfId="20263" priority="188" operator="greaterThan">
      <formula>1</formula>
    </cfRule>
  </conditionalFormatting>
  <conditionalFormatting sqref="R84:R91">
    <cfRule type="cellIs" dxfId="20262" priority="185" operator="greaterThan">
      <formula>1</formula>
    </cfRule>
    <cfRule type="cellIs" dxfId="20261" priority="186" operator="lessThan">
      <formula>0.8</formula>
    </cfRule>
  </conditionalFormatting>
  <conditionalFormatting sqref="P84:P91">
    <cfRule type="cellIs" dxfId="20260" priority="184" operator="greaterThan">
      <formula>0</formula>
    </cfRule>
  </conditionalFormatting>
  <conditionalFormatting sqref="Q84:Q91">
    <cfRule type="cellIs" dxfId="20259" priority="189" operator="lessThan">
      <formula>0</formula>
    </cfRule>
  </conditionalFormatting>
  <conditionalFormatting sqref="P84:P91">
    <cfRule type="cellIs" dxfId="20258" priority="178" operator="greaterThan">
      <formula>0</formula>
    </cfRule>
  </conditionalFormatting>
  <conditionalFormatting sqref="Q84:Q91">
    <cfRule type="cellIs" dxfId="20257" priority="183" operator="lessThan">
      <formula>0</formula>
    </cfRule>
  </conditionalFormatting>
  <conditionalFormatting sqref="R84:R91">
    <cfRule type="cellIs" dxfId="20256" priority="181" operator="lessThan">
      <formula>0.8</formula>
    </cfRule>
    <cfRule type="cellIs" dxfId="20255" priority="182" operator="greaterThan">
      <formula>1</formula>
    </cfRule>
  </conditionalFormatting>
  <conditionalFormatting sqref="R84:R91">
    <cfRule type="cellIs" dxfId="20254" priority="179" operator="greaterThan">
      <formula>1</formula>
    </cfRule>
    <cfRule type="cellIs" dxfId="20253" priority="180" operator="lessThan">
      <formula>0.8</formula>
    </cfRule>
  </conditionalFormatting>
  <conditionalFormatting sqref="R84:R91">
    <cfRule type="cellIs" dxfId="20252" priority="175" operator="lessThan">
      <formula>0.8</formula>
    </cfRule>
    <cfRule type="cellIs" dxfId="20251" priority="176" operator="greaterThan">
      <formula>1</formula>
    </cfRule>
  </conditionalFormatting>
  <conditionalFormatting sqref="R84:R91">
    <cfRule type="cellIs" dxfId="20250" priority="173" operator="greaterThan">
      <formula>1</formula>
    </cfRule>
    <cfRule type="cellIs" dxfId="20249" priority="174" operator="lessThan">
      <formula>0.8</formula>
    </cfRule>
  </conditionalFormatting>
  <conditionalFormatting sqref="P84:P91">
    <cfRule type="cellIs" dxfId="20248" priority="172" operator="greaterThan">
      <formula>0</formula>
    </cfRule>
  </conditionalFormatting>
  <conditionalFormatting sqref="Q84:Q91">
    <cfRule type="cellIs" dxfId="20247" priority="177" operator="lessThan">
      <formula>0</formula>
    </cfRule>
  </conditionalFormatting>
  <conditionalFormatting sqref="R84:R91">
    <cfRule type="cellIs" dxfId="20246" priority="169" operator="lessThan">
      <formula>0.8</formula>
    </cfRule>
    <cfRule type="cellIs" dxfId="20245" priority="170" operator="greaterThan">
      <formula>1</formula>
    </cfRule>
  </conditionalFormatting>
  <conditionalFormatting sqref="R84:R91">
    <cfRule type="cellIs" dxfId="20244" priority="167" operator="greaterThan">
      <formula>1</formula>
    </cfRule>
    <cfRule type="cellIs" dxfId="20243" priority="168" operator="lessThan">
      <formula>0.8</formula>
    </cfRule>
  </conditionalFormatting>
  <conditionalFormatting sqref="P84:P91">
    <cfRule type="cellIs" dxfId="20242" priority="166" operator="greaterThan">
      <formula>0</formula>
    </cfRule>
  </conditionalFormatting>
  <conditionalFormatting sqref="Q84:Q91">
    <cfRule type="cellIs" dxfId="20241" priority="171" operator="lessThan">
      <formula>0</formula>
    </cfRule>
  </conditionalFormatting>
  <conditionalFormatting sqref="Q84:Q91">
    <cfRule type="cellIs" dxfId="20240" priority="165" operator="lessThan">
      <formula>0</formula>
    </cfRule>
  </conditionalFormatting>
  <conditionalFormatting sqref="R84:R91">
    <cfRule type="cellIs" dxfId="20239" priority="163" operator="lessThan">
      <formula>0.8</formula>
    </cfRule>
    <cfRule type="cellIs" dxfId="20238" priority="164" operator="greaterThan">
      <formula>1</formula>
    </cfRule>
  </conditionalFormatting>
  <conditionalFormatting sqref="R84:R91">
    <cfRule type="cellIs" dxfId="20237" priority="161" operator="greaterThan">
      <formula>1</formula>
    </cfRule>
    <cfRule type="cellIs" dxfId="20236" priority="162" operator="lessThan">
      <formula>0.8</formula>
    </cfRule>
  </conditionalFormatting>
  <conditionalFormatting sqref="P84:P91">
    <cfRule type="cellIs" dxfId="20235" priority="160" operator="greaterThan">
      <formula>0</formula>
    </cfRule>
  </conditionalFormatting>
  <conditionalFormatting sqref="Q84:Q91">
    <cfRule type="cellIs" dxfId="20234" priority="154" operator="lessThan">
      <formula>0</formula>
    </cfRule>
  </conditionalFormatting>
  <conditionalFormatting sqref="R84:R91">
    <cfRule type="cellIs" dxfId="20233" priority="158" operator="lessThan">
      <formula>0.8</formula>
    </cfRule>
    <cfRule type="cellIs" dxfId="20232" priority="159" operator="greaterThan">
      <formula>1</formula>
    </cfRule>
  </conditionalFormatting>
  <conditionalFormatting sqref="R84:R91">
    <cfRule type="cellIs" dxfId="20231" priority="156" operator="greaterThan">
      <formula>1</formula>
    </cfRule>
    <cfRule type="cellIs" dxfId="20230" priority="157" operator="lessThan">
      <formula>0.8</formula>
    </cfRule>
  </conditionalFormatting>
  <conditionalFormatting sqref="P84:P91">
    <cfRule type="cellIs" dxfId="20229" priority="155" operator="greaterThan">
      <formula>0</formula>
    </cfRule>
  </conditionalFormatting>
  <conditionalFormatting sqref="Q84:Q91">
    <cfRule type="cellIs" dxfId="20228" priority="153" operator="lessThan">
      <formula>0</formula>
    </cfRule>
  </conditionalFormatting>
  <conditionalFormatting sqref="R84:R91">
    <cfRule type="cellIs" dxfId="20227" priority="151" operator="lessThan">
      <formula>0.8</formula>
    </cfRule>
    <cfRule type="cellIs" dxfId="20226" priority="152" operator="greaterThan">
      <formula>1</formula>
    </cfRule>
  </conditionalFormatting>
  <conditionalFormatting sqref="R84:R91">
    <cfRule type="cellIs" dxfId="20225" priority="149" operator="greaterThan">
      <formula>1</formula>
    </cfRule>
    <cfRule type="cellIs" dxfId="20224" priority="150" operator="lessThan">
      <formula>0.8</formula>
    </cfRule>
  </conditionalFormatting>
  <conditionalFormatting sqref="P84:P91">
    <cfRule type="cellIs" dxfId="20223" priority="148" operator="greaterThan">
      <formula>0</formula>
    </cfRule>
  </conditionalFormatting>
  <conditionalFormatting sqref="Q84:Q91">
    <cfRule type="cellIs" dxfId="20222" priority="147" operator="lessThan">
      <formula>0</formula>
    </cfRule>
  </conditionalFormatting>
  <conditionalFormatting sqref="R84:R91">
    <cfRule type="cellIs" dxfId="20221" priority="145" operator="lessThan">
      <formula>0.8</formula>
    </cfRule>
    <cfRule type="cellIs" dxfId="20220" priority="146" operator="greaterThan">
      <formula>1</formula>
    </cfRule>
  </conditionalFormatting>
  <conditionalFormatting sqref="R84:R91">
    <cfRule type="cellIs" dxfId="20219" priority="143" operator="greaterThan">
      <formula>1</formula>
    </cfRule>
    <cfRule type="cellIs" dxfId="20218" priority="144" operator="lessThan">
      <formula>0.8</formula>
    </cfRule>
  </conditionalFormatting>
  <conditionalFormatting sqref="P84:P91">
    <cfRule type="cellIs" dxfId="20217" priority="142" operator="greaterThan">
      <formula>0</formula>
    </cfRule>
  </conditionalFormatting>
  <conditionalFormatting sqref="Q84:Q91">
    <cfRule type="cellIs" dxfId="20216" priority="141" operator="lessThan">
      <formula>0</formula>
    </cfRule>
  </conditionalFormatting>
  <conditionalFormatting sqref="R84:R91">
    <cfRule type="cellIs" dxfId="20215" priority="139" operator="lessThan">
      <formula>0.8</formula>
    </cfRule>
    <cfRule type="cellIs" dxfId="20214" priority="140" operator="greaterThan">
      <formula>1</formula>
    </cfRule>
  </conditionalFormatting>
  <conditionalFormatting sqref="R84:R91">
    <cfRule type="cellIs" dxfId="20213" priority="137" operator="greaterThan">
      <formula>1</formula>
    </cfRule>
    <cfRule type="cellIs" dxfId="20212" priority="138" operator="lessThan">
      <formula>0.8</formula>
    </cfRule>
  </conditionalFormatting>
  <conditionalFormatting sqref="P84:P91">
    <cfRule type="cellIs" dxfId="20211" priority="136" operator="greaterThan">
      <formula>0</formula>
    </cfRule>
  </conditionalFormatting>
  <conditionalFormatting sqref="Q84:Q91">
    <cfRule type="cellIs" dxfId="20210" priority="135" operator="lessThan">
      <formula>0</formula>
    </cfRule>
  </conditionalFormatting>
  <conditionalFormatting sqref="R84:R91">
    <cfRule type="cellIs" dxfId="20209" priority="133" operator="lessThan">
      <formula>0.8</formula>
    </cfRule>
    <cfRule type="cellIs" dxfId="20208" priority="134" operator="greaterThan">
      <formula>1</formula>
    </cfRule>
  </conditionalFormatting>
  <conditionalFormatting sqref="R84:R91">
    <cfRule type="cellIs" dxfId="20207" priority="131" operator="greaterThan">
      <formula>1</formula>
    </cfRule>
    <cfRule type="cellIs" dxfId="20206" priority="132" operator="lessThan">
      <formula>0.8</formula>
    </cfRule>
  </conditionalFormatting>
  <conditionalFormatting sqref="P84:P91">
    <cfRule type="cellIs" dxfId="20205" priority="130" operator="greaterThan">
      <formula>0</formula>
    </cfRule>
  </conditionalFormatting>
  <conditionalFormatting sqref="Q84:Q91">
    <cfRule type="cellIs" dxfId="20204" priority="129" operator="lessThan">
      <formula>0</formula>
    </cfRule>
  </conditionalFormatting>
  <conditionalFormatting sqref="R84:R91">
    <cfRule type="cellIs" dxfId="20203" priority="127" operator="lessThan">
      <formula>0.8</formula>
    </cfRule>
    <cfRule type="cellIs" dxfId="20202" priority="128" operator="greaterThan">
      <formula>1</formula>
    </cfRule>
  </conditionalFormatting>
  <conditionalFormatting sqref="R84:R91">
    <cfRule type="cellIs" dxfId="20201" priority="125" operator="greaterThan">
      <formula>1</formula>
    </cfRule>
    <cfRule type="cellIs" dxfId="20200" priority="126" operator="lessThan">
      <formula>0.8</formula>
    </cfRule>
  </conditionalFormatting>
  <conditionalFormatting sqref="P84:P91">
    <cfRule type="cellIs" dxfId="20199" priority="124" operator="greaterThan">
      <formula>0</formula>
    </cfRule>
  </conditionalFormatting>
  <conditionalFormatting sqref="P84:P91">
    <cfRule type="cellIs" dxfId="20198" priority="118" operator="greaterThan">
      <formula>0</formula>
    </cfRule>
  </conditionalFormatting>
  <conditionalFormatting sqref="Q84:Q91">
    <cfRule type="cellIs" dxfId="20197" priority="123" operator="lessThan">
      <formula>0</formula>
    </cfRule>
  </conditionalFormatting>
  <conditionalFormatting sqref="R84:R91">
    <cfRule type="cellIs" dxfId="20196" priority="121" operator="lessThan">
      <formula>0.8</formula>
    </cfRule>
    <cfRule type="cellIs" dxfId="20195" priority="122" operator="greaterThan">
      <formula>1</formula>
    </cfRule>
  </conditionalFormatting>
  <conditionalFormatting sqref="R84:R91">
    <cfRule type="cellIs" dxfId="20194" priority="119" operator="greaterThan">
      <formula>1</formula>
    </cfRule>
    <cfRule type="cellIs" dxfId="20193" priority="120" operator="lessThan">
      <formula>0.8</formula>
    </cfRule>
  </conditionalFormatting>
  <conditionalFormatting sqref="P84:P91">
    <cfRule type="cellIs" dxfId="20192" priority="112" operator="greaterThan">
      <formula>0</formula>
    </cfRule>
  </conditionalFormatting>
  <conditionalFormatting sqref="Q84:Q91">
    <cfRule type="cellIs" dxfId="20191" priority="117" operator="lessThan">
      <formula>0</formula>
    </cfRule>
  </conditionalFormatting>
  <conditionalFormatting sqref="R84:R91">
    <cfRule type="cellIs" dxfId="20190" priority="115" operator="lessThan">
      <formula>0.8</formula>
    </cfRule>
    <cfRule type="cellIs" dxfId="20189" priority="116" operator="greaterThan">
      <formula>1</formula>
    </cfRule>
  </conditionalFormatting>
  <conditionalFormatting sqref="R84:R91">
    <cfRule type="cellIs" dxfId="20188" priority="113" operator="greaterThan">
      <formula>1</formula>
    </cfRule>
    <cfRule type="cellIs" dxfId="20187" priority="114" operator="lessThan">
      <formula>0.8</formula>
    </cfRule>
  </conditionalFormatting>
  <conditionalFormatting sqref="R84:R91">
    <cfRule type="cellIs" dxfId="20186" priority="109" operator="lessThan">
      <formula>0.8</formula>
    </cfRule>
    <cfRule type="cellIs" dxfId="20185" priority="110" operator="greaterThan">
      <formula>1</formula>
    </cfRule>
  </conditionalFormatting>
  <conditionalFormatting sqref="R84:R91">
    <cfRule type="cellIs" dxfId="20184" priority="107" operator="greaterThan">
      <formula>1</formula>
    </cfRule>
    <cfRule type="cellIs" dxfId="20183" priority="108" operator="lessThan">
      <formula>0.8</formula>
    </cfRule>
  </conditionalFormatting>
  <conditionalFormatting sqref="P84:P91">
    <cfRule type="cellIs" dxfId="20182" priority="106" operator="greaterThan">
      <formula>0</formula>
    </cfRule>
  </conditionalFormatting>
  <conditionalFormatting sqref="Q84:Q91">
    <cfRule type="cellIs" dxfId="20181" priority="111" operator="lessThan">
      <formula>0</formula>
    </cfRule>
  </conditionalFormatting>
  <conditionalFormatting sqref="Q84:Q91">
    <cfRule type="cellIs" dxfId="20180" priority="100" operator="lessThan">
      <formula>0</formula>
    </cfRule>
  </conditionalFormatting>
  <conditionalFormatting sqref="P84:P91">
    <cfRule type="cellIs" dxfId="20179" priority="101" operator="greaterThan">
      <formula>0</formula>
    </cfRule>
  </conditionalFormatting>
  <conditionalFormatting sqref="R84:R91">
    <cfRule type="cellIs" dxfId="20178" priority="104" operator="lessThan">
      <formula>0.8</formula>
    </cfRule>
    <cfRule type="cellIs" dxfId="20177" priority="105" operator="greaterThan">
      <formula>1</formula>
    </cfRule>
  </conditionalFormatting>
  <conditionalFormatting sqref="R84:R91">
    <cfRule type="cellIs" dxfId="20176" priority="102" operator="greaterThan">
      <formula>1</formula>
    </cfRule>
    <cfRule type="cellIs" dxfId="20175" priority="103" operator="lessThan">
      <formula>0.8</formula>
    </cfRule>
  </conditionalFormatting>
  <conditionalFormatting sqref="Q84:Q91">
    <cfRule type="cellIs" dxfId="20174" priority="94" operator="lessThan">
      <formula>0</formula>
    </cfRule>
  </conditionalFormatting>
  <conditionalFormatting sqref="R84:R91">
    <cfRule type="cellIs" dxfId="20173" priority="98" operator="lessThan">
      <formula>0.8</formula>
    </cfRule>
    <cfRule type="cellIs" dxfId="20172" priority="99" operator="greaterThan">
      <formula>1</formula>
    </cfRule>
  </conditionalFormatting>
  <conditionalFormatting sqref="R84:R91">
    <cfRule type="cellIs" dxfId="20171" priority="96" operator="greaterThan">
      <formula>1</formula>
    </cfRule>
    <cfRule type="cellIs" dxfId="20170" priority="97" operator="lessThan">
      <formula>0.8</formula>
    </cfRule>
  </conditionalFormatting>
  <conditionalFormatting sqref="P84:P91">
    <cfRule type="cellIs" dxfId="20169" priority="95" operator="greaterThan">
      <formula>0</formula>
    </cfRule>
  </conditionalFormatting>
  <conditionalFormatting sqref="Q84:Q91">
    <cfRule type="cellIs" dxfId="20168" priority="93" operator="lessThan">
      <formula>0</formula>
    </cfRule>
  </conditionalFormatting>
  <conditionalFormatting sqref="R84:R91">
    <cfRule type="cellIs" dxfId="20167" priority="91" operator="lessThan">
      <formula>0.8</formula>
    </cfRule>
    <cfRule type="cellIs" dxfId="20166" priority="92" operator="greaterThan">
      <formula>1</formula>
    </cfRule>
  </conditionalFormatting>
  <conditionalFormatting sqref="R84:R91">
    <cfRule type="cellIs" dxfId="20165" priority="89" operator="greaterThan">
      <formula>1</formula>
    </cfRule>
    <cfRule type="cellIs" dxfId="20164" priority="90" operator="lessThan">
      <formula>0.8</formula>
    </cfRule>
  </conditionalFormatting>
  <conditionalFormatting sqref="P84:P91">
    <cfRule type="cellIs" dxfId="20163" priority="88" operator="greaterThan">
      <formula>0</formula>
    </cfRule>
  </conditionalFormatting>
  <conditionalFormatting sqref="Q84:Q91">
    <cfRule type="cellIs" dxfId="20162" priority="87" operator="lessThan">
      <formula>0</formula>
    </cfRule>
  </conditionalFormatting>
  <conditionalFormatting sqref="R84:R91">
    <cfRule type="cellIs" dxfId="20161" priority="85" operator="lessThan">
      <formula>0.8</formula>
    </cfRule>
    <cfRule type="cellIs" dxfId="20160" priority="86" operator="greaterThan">
      <formula>1</formula>
    </cfRule>
  </conditionalFormatting>
  <conditionalFormatting sqref="R84:R91">
    <cfRule type="cellIs" dxfId="20159" priority="83" operator="greaterThan">
      <formula>1</formula>
    </cfRule>
    <cfRule type="cellIs" dxfId="20158" priority="84" operator="lessThan">
      <formula>0.8</formula>
    </cfRule>
  </conditionalFormatting>
  <conditionalFormatting sqref="P84:P91">
    <cfRule type="cellIs" dxfId="20157" priority="82" operator="greaterThan">
      <formula>0</formula>
    </cfRule>
  </conditionalFormatting>
  <conditionalFormatting sqref="Q84:Q91">
    <cfRule type="cellIs" dxfId="20156" priority="81" operator="lessThan">
      <formula>0</formula>
    </cfRule>
  </conditionalFormatting>
  <conditionalFormatting sqref="R84:R91">
    <cfRule type="cellIs" dxfId="20155" priority="79" operator="lessThan">
      <formula>0.8</formula>
    </cfRule>
    <cfRule type="cellIs" dxfId="20154" priority="80" operator="greaterThan">
      <formula>1</formula>
    </cfRule>
  </conditionalFormatting>
  <conditionalFormatting sqref="R84:R91">
    <cfRule type="cellIs" dxfId="20153" priority="77" operator="greaterThan">
      <formula>1</formula>
    </cfRule>
    <cfRule type="cellIs" dxfId="20152" priority="78" operator="lessThan">
      <formula>0.8</formula>
    </cfRule>
  </conditionalFormatting>
  <conditionalFormatting sqref="P84:P91">
    <cfRule type="cellIs" dxfId="20151" priority="76" operator="greaterThan">
      <formula>0</formula>
    </cfRule>
  </conditionalFormatting>
  <conditionalFormatting sqref="Q162:Q166">
    <cfRule type="cellIs" dxfId="20150" priority="75" operator="lessThan">
      <formula>0</formula>
    </cfRule>
  </conditionalFormatting>
  <conditionalFormatting sqref="R162:R166">
    <cfRule type="cellIs" dxfId="20149" priority="73" operator="lessThan">
      <formula>0.8</formula>
    </cfRule>
    <cfRule type="cellIs" dxfId="20148" priority="74" operator="greaterThan">
      <formula>1</formula>
    </cfRule>
  </conditionalFormatting>
  <conditionalFormatting sqref="R162:R166">
    <cfRule type="cellIs" dxfId="20147" priority="71" operator="greaterThan">
      <formula>1</formula>
    </cfRule>
    <cfRule type="cellIs" dxfId="20146" priority="72" operator="lessThan">
      <formula>0.8</formula>
    </cfRule>
  </conditionalFormatting>
  <conditionalFormatting sqref="P162:P166">
    <cfRule type="cellIs" dxfId="20145" priority="70" operator="greaterThan">
      <formula>0</formula>
    </cfRule>
  </conditionalFormatting>
  <conditionalFormatting sqref="P167:P168">
    <cfRule type="cellIs" dxfId="20144" priority="64" operator="greaterThan">
      <formula>0</formula>
    </cfRule>
  </conditionalFormatting>
  <conditionalFormatting sqref="R167:R168">
    <cfRule type="cellIs" dxfId="20143" priority="67" operator="lessThan">
      <formula>0.8</formula>
    </cfRule>
    <cfRule type="cellIs" dxfId="20142" priority="68" operator="greaterThan">
      <formula>1</formula>
    </cfRule>
  </conditionalFormatting>
  <conditionalFormatting sqref="R167:R168">
    <cfRule type="cellIs" dxfId="20141" priority="65" operator="greaterThan">
      <formula>1</formula>
    </cfRule>
    <cfRule type="cellIs" dxfId="20140" priority="66" operator="lessThan">
      <formula>0.8</formula>
    </cfRule>
  </conditionalFormatting>
  <conditionalFormatting sqref="Q167:Q168">
    <cfRule type="cellIs" dxfId="20139" priority="69" operator="lessThan">
      <formula>0</formula>
    </cfRule>
  </conditionalFormatting>
  <conditionalFormatting sqref="Q161">
    <cfRule type="cellIs" dxfId="20138" priority="63" operator="lessThan">
      <formula>0</formula>
    </cfRule>
  </conditionalFormatting>
  <conditionalFormatting sqref="R161">
    <cfRule type="cellIs" dxfId="20137" priority="61" operator="lessThan">
      <formula>0.8</formula>
    </cfRule>
    <cfRule type="cellIs" dxfId="20136" priority="62" operator="greaterThan">
      <formula>1</formula>
    </cfRule>
  </conditionalFormatting>
  <conditionalFormatting sqref="R161">
    <cfRule type="cellIs" dxfId="20135" priority="59" operator="greaterThan">
      <formula>1</formula>
    </cfRule>
    <cfRule type="cellIs" dxfId="20134" priority="60" operator="lessThan">
      <formula>0.8</formula>
    </cfRule>
  </conditionalFormatting>
  <conditionalFormatting sqref="P161">
    <cfRule type="cellIs" dxfId="20133" priority="58" operator="greaterThan">
      <formula>0</formula>
    </cfRule>
  </conditionalFormatting>
  <conditionalFormatting sqref="Q162:Q166">
    <cfRule type="cellIs" dxfId="20132" priority="57" operator="lessThan">
      <formula>0</formula>
    </cfRule>
  </conditionalFormatting>
  <conditionalFormatting sqref="R162:R166">
    <cfRule type="cellIs" dxfId="20131" priority="55" operator="lessThan">
      <formula>0.8</formula>
    </cfRule>
    <cfRule type="cellIs" dxfId="20130" priority="56" operator="greaterThan">
      <formula>1</formula>
    </cfRule>
  </conditionalFormatting>
  <conditionalFormatting sqref="R162:R166">
    <cfRule type="cellIs" dxfId="20129" priority="53" operator="greaterThan">
      <formula>1</formula>
    </cfRule>
    <cfRule type="cellIs" dxfId="20128" priority="54" operator="lessThan">
      <formula>0.8</formula>
    </cfRule>
  </conditionalFormatting>
  <conditionalFormatting sqref="P162:P166">
    <cfRule type="cellIs" dxfId="20127" priority="52" operator="greaterThan">
      <formula>0</formula>
    </cfRule>
  </conditionalFormatting>
  <conditionalFormatting sqref="Q162:Q166">
    <cfRule type="cellIs" dxfId="20126" priority="51" operator="lessThan">
      <formula>0</formula>
    </cfRule>
  </conditionalFormatting>
  <conditionalFormatting sqref="R162:R166">
    <cfRule type="cellIs" dxfId="20125" priority="49" operator="lessThan">
      <formula>0.8</formula>
    </cfRule>
    <cfRule type="cellIs" dxfId="20124" priority="50" operator="greaterThan">
      <formula>1</formula>
    </cfRule>
  </conditionalFormatting>
  <conditionalFormatting sqref="R162:R166">
    <cfRule type="cellIs" dxfId="20123" priority="47" operator="greaterThan">
      <formula>1</formula>
    </cfRule>
    <cfRule type="cellIs" dxfId="20122" priority="48" operator="lessThan">
      <formula>0.8</formula>
    </cfRule>
  </conditionalFormatting>
  <conditionalFormatting sqref="P162:P166">
    <cfRule type="cellIs" dxfId="20121" priority="46" operator="greaterThan">
      <formula>0</formula>
    </cfRule>
  </conditionalFormatting>
  <conditionalFormatting sqref="Q167:Q168">
    <cfRule type="cellIs" dxfId="20120" priority="45" operator="lessThan">
      <formula>0</formula>
    </cfRule>
  </conditionalFormatting>
  <conditionalFormatting sqref="R167:R168">
    <cfRule type="cellIs" dxfId="20119" priority="43" operator="lessThan">
      <formula>0.8</formula>
    </cfRule>
    <cfRule type="cellIs" dxfId="20118" priority="44" operator="greaterThan">
      <formula>1</formula>
    </cfRule>
  </conditionalFormatting>
  <conditionalFormatting sqref="R167:R168">
    <cfRule type="cellIs" dxfId="20117" priority="41" operator="greaterThan">
      <formula>1</formula>
    </cfRule>
    <cfRule type="cellIs" dxfId="20116" priority="42" operator="lessThan">
      <formula>0.8</formula>
    </cfRule>
  </conditionalFormatting>
  <conditionalFormatting sqref="P167:P168">
    <cfRule type="cellIs" dxfId="20115" priority="40" operator="greaterThan">
      <formula>0</formula>
    </cfRule>
  </conditionalFormatting>
  <conditionalFormatting sqref="Q161">
    <cfRule type="cellIs" dxfId="20114" priority="39" operator="lessThan">
      <formula>0</formula>
    </cfRule>
  </conditionalFormatting>
  <conditionalFormatting sqref="R161">
    <cfRule type="cellIs" dxfId="20113" priority="37" operator="lessThan">
      <formula>0.8</formula>
    </cfRule>
    <cfRule type="cellIs" dxfId="20112" priority="38" operator="greaterThan">
      <formula>1</formula>
    </cfRule>
  </conditionalFormatting>
  <conditionalFormatting sqref="R161">
    <cfRule type="cellIs" dxfId="20111" priority="35" operator="greaterThan">
      <formula>1</formula>
    </cfRule>
    <cfRule type="cellIs" dxfId="20110" priority="36" operator="lessThan">
      <formula>0.8</formula>
    </cfRule>
  </conditionalFormatting>
  <conditionalFormatting sqref="P161">
    <cfRule type="cellIs" dxfId="20109" priority="34" operator="greaterThan">
      <formula>0</formula>
    </cfRule>
  </conditionalFormatting>
  <conditionalFormatting sqref="Q162:Q166">
    <cfRule type="cellIs" dxfId="20108" priority="33" operator="lessThan">
      <formula>0</formula>
    </cfRule>
  </conditionalFormatting>
  <conditionalFormatting sqref="R162:R166">
    <cfRule type="cellIs" dxfId="20107" priority="31" operator="lessThan">
      <formula>0.8</formula>
    </cfRule>
    <cfRule type="cellIs" dxfId="20106" priority="32" operator="greaterThan">
      <formula>1</formula>
    </cfRule>
  </conditionalFormatting>
  <conditionalFormatting sqref="R162:R166">
    <cfRule type="cellIs" dxfId="20105" priority="29" operator="greaterThan">
      <formula>1</formula>
    </cfRule>
    <cfRule type="cellIs" dxfId="20104" priority="30" operator="lessThan">
      <formula>0.8</formula>
    </cfRule>
  </conditionalFormatting>
  <conditionalFormatting sqref="P162:P166">
    <cfRule type="cellIs" dxfId="20103" priority="28" operator="greaterThan">
      <formula>0</formula>
    </cfRule>
  </conditionalFormatting>
  <conditionalFormatting sqref="Q161">
    <cfRule type="cellIs" dxfId="20102" priority="27" operator="lessThan">
      <formula>0</formula>
    </cfRule>
  </conditionalFormatting>
  <conditionalFormatting sqref="R161">
    <cfRule type="cellIs" dxfId="20101" priority="25" operator="lessThan">
      <formula>0.8</formula>
    </cfRule>
    <cfRule type="cellIs" dxfId="20100" priority="26" operator="greaterThan">
      <formula>1</formula>
    </cfRule>
  </conditionalFormatting>
  <conditionalFormatting sqref="R161">
    <cfRule type="cellIs" dxfId="20099" priority="23" operator="greaterThan">
      <formula>1</formula>
    </cfRule>
    <cfRule type="cellIs" dxfId="20098" priority="24" operator="lessThan">
      <formula>0.8</formula>
    </cfRule>
  </conditionalFormatting>
  <conditionalFormatting sqref="P161">
    <cfRule type="cellIs" dxfId="20097" priority="22" operator="greaterThan">
      <formula>0</formula>
    </cfRule>
  </conditionalFormatting>
  <conditionalFormatting sqref="Q162:Q166">
    <cfRule type="cellIs" dxfId="20096" priority="21" operator="lessThan">
      <formula>0</formula>
    </cfRule>
  </conditionalFormatting>
  <conditionalFormatting sqref="R162:R166">
    <cfRule type="cellIs" dxfId="20095" priority="19" operator="lessThan">
      <formula>0.8</formula>
    </cfRule>
    <cfRule type="cellIs" dxfId="20094" priority="20" operator="greaterThan">
      <formula>1</formula>
    </cfRule>
  </conditionalFormatting>
  <conditionalFormatting sqref="R162:R166">
    <cfRule type="cellIs" dxfId="20093" priority="17" operator="greaterThan">
      <formula>1</formula>
    </cfRule>
    <cfRule type="cellIs" dxfId="20092" priority="18" operator="lessThan">
      <formula>0.8</formula>
    </cfRule>
  </conditionalFormatting>
  <conditionalFormatting sqref="P162:P166">
    <cfRule type="cellIs" dxfId="20091" priority="16" operator="greaterThan">
      <formula>0</formula>
    </cfRule>
  </conditionalFormatting>
  <conditionalFormatting sqref="Q161">
    <cfRule type="cellIs" dxfId="20090" priority="15" operator="lessThan">
      <formula>0</formula>
    </cfRule>
  </conditionalFormatting>
  <conditionalFormatting sqref="R161">
    <cfRule type="cellIs" dxfId="20089" priority="13" operator="lessThan">
      <formula>0.8</formula>
    </cfRule>
    <cfRule type="cellIs" dxfId="20088" priority="14" operator="greaterThan">
      <formula>1</formula>
    </cfRule>
  </conditionalFormatting>
  <conditionalFormatting sqref="R161">
    <cfRule type="cellIs" dxfId="20087" priority="11" operator="greaterThan">
      <formula>1</formula>
    </cfRule>
    <cfRule type="cellIs" dxfId="20086" priority="12" operator="lessThan">
      <formula>0.8</formula>
    </cfRule>
  </conditionalFormatting>
  <conditionalFormatting sqref="P161">
    <cfRule type="cellIs" dxfId="20085" priority="10" operator="greaterThan">
      <formula>0</formula>
    </cfRule>
  </conditionalFormatting>
  <conditionalFormatting sqref="P167:P168">
    <cfRule type="cellIs" dxfId="20084" priority="4" operator="greaterThan">
      <formula>0</formula>
    </cfRule>
  </conditionalFormatting>
  <conditionalFormatting sqref="R167:R168">
    <cfRule type="cellIs" dxfId="20083" priority="7" operator="lessThan">
      <formula>0.8</formula>
    </cfRule>
    <cfRule type="cellIs" dxfId="20082" priority="8" operator="greaterThan">
      <formula>1</formula>
    </cfRule>
  </conditionalFormatting>
  <conditionalFormatting sqref="R167:R168">
    <cfRule type="cellIs" dxfId="20081" priority="5" operator="greaterThan">
      <formula>1</formula>
    </cfRule>
    <cfRule type="cellIs" dxfId="20080" priority="6" operator="lessThan">
      <formula>0.8</formula>
    </cfRule>
  </conditionalFormatting>
  <conditionalFormatting sqref="Q167:Q168">
    <cfRule type="cellIs" dxfId="20079" priority="9" operator="lessThan">
      <formula>0</formula>
    </cfRule>
  </conditionalFormatting>
  <conditionalFormatting sqref="AF30">
    <cfRule type="cellIs" dxfId="20078" priority="3" operator="lessThan">
      <formula>0</formula>
    </cfRule>
  </conditionalFormatting>
  <conditionalFormatting sqref="AG30">
    <cfRule type="cellIs" dxfId="20077" priority="1" operator="greaterThan">
      <formula>1</formula>
    </cfRule>
    <cfRule type="cellIs" dxfId="2007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251</v>
      </c>
      <c r="E3" s="501"/>
      <c r="F3" s="491" t="s">
        <v>2</v>
      </c>
      <c r="G3" s="492"/>
      <c r="H3" s="502">
        <v>239059.4</v>
      </c>
      <c r="I3" s="503"/>
      <c r="J3" s="491" t="s">
        <v>3</v>
      </c>
      <c r="K3" s="492"/>
      <c r="L3" s="504">
        <v>7786045.7950767763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13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378.22011631617949</v>
      </c>
      <c r="G6" s="494"/>
      <c r="H6" s="469">
        <f>AVERAGE(D13:P13,Q13)</f>
        <v>137.56018278256767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v>0</v>
      </c>
      <c r="O6" s="458">
        <v>0</v>
      </c>
      <c r="P6" s="474">
        <v>2</v>
      </c>
      <c r="Q6" s="458">
        <v>2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350.63524768390965</v>
      </c>
      <c r="G7" s="462"/>
      <c r="H7" s="463">
        <f>AVERAGE(D14:P14,Q14)</f>
        <v>123.30821899313582</v>
      </c>
      <c r="I7" s="464"/>
      <c r="J7" s="463">
        <f>AVERAGE(D31:H31)</f>
        <v>768.51367273340998</v>
      </c>
      <c r="K7" s="464"/>
      <c r="L7" s="465">
        <f>AVERAGE(J31:M31)</f>
        <v>759.37571789215929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0.90507216685877911</v>
      </c>
      <c r="G8" s="468"/>
      <c r="H8" s="467">
        <f>AVERAGE(D15:O15,P15:Q15)</f>
        <v>0.88952599454506764</v>
      </c>
      <c r="I8" s="468"/>
      <c r="J8" s="467">
        <f>AVERAGE(D32:H32)</f>
        <v>1.002047465512711</v>
      </c>
      <c r="K8" s="468"/>
      <c r="L8" s="467">
        <f>AVERAGE(J32:M32)</f>
        <v>0.8621368807107046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126.3030615755074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92.599128540305003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119.65111452995693</v>
      </c>
      <c r="E14" s="15">
        <v>89.654529526111105</v>
      </c>
      <c r="F14" s="15">
        <v>115.43888986458164</v>
      </c>
      <c r="G14" s="15">
        <v>326.43781624903062</v>
      </c>
      <c r="H14" s="15">
        <v>209.81148530454658</v>
      </c>
      <c r="I14" s="15">
        <v>79.991836985454384</v>
      </c>
      <c r="J14" s="15">
        <v>64.176253089865071</v>
      </c>
      <c r="K14" s="15">
        <v>96.89288217692409</v>
      </c>
      <c r="L14" s="15">
        <v>74.411994668851719</v>
      </c>
      <c r="M14" s="15">
        <v>72.926083573019369</v>
      </c>
      <c r="N14" s="15">
        <v>76.422787354800519</v>
      </c>
      <c r="O14" s="15">
        <v>70.97905400063253</v>
      </c>
      <c r="P14" s="15">
        <v>190.69367622287623</v>
      </c>
      <c r="Q14" s="16">
        <v>138.82666235725048</v>
      </c>
    </row>
    <row r="15" spans="2:17" ht="39.9" customHeight="1">
      <c r="B15" s="446"/>
      <c r="C15" s="10" t="s">
        <v>44</v>
      </c>
      <c r="D15" s="17">
        <f t="shared" ref="D15:P15" si="0">D14/D13</f>
        <v>0.94733344574095102</v>
      </c>
      <c r="E15" s="17">
        <f t="shared" si="0"/>
        <v>0.89462448386927407</v>
      </c>
      <c r="F15" s="17">
        <f t="shared" si="0"/>
        <v>0.87928690019916245</v>
      </c>
      <c r="G15" s="17">
        <f t="shared" si="0"/>
        <v>0.8858556750312907</v>
      </c>
      <c r="H15" s="17">
        <f t="shared" si="0"/>
        <v>0.91792524820739119</v>
      </c>
      <c r="I15" s="17">
        <f t="shared" si="0"/>
        <v>0.86385086173502024</v>
      </c>
      <c r="J15" s="17">
        <f t="shared" si="0"/>
        <v>0.84538161587137173</v>
      </c>
      <c r="K15" s="17">
        <f t="shared" si="0"/>
        <v>0.85386090042610396</v>
      </c>
      <c r="L15" s="17">
        <f t="shared" si="0"/>
        <v>0.87264209003358073</v>
      </c>
      <c r="M15" s="17">
        <f t="shared" si="0"/>
        <v>0.89652661306330572</v>
      </c>
      <c r="N15" s="17">
        <f t="shared" si="0"/>
        <v>0.91244704713053659</v>
      </c>
      <c r="O15" s="17">
        <f t="shared" si="0"/>
        <v>0.80854217550409058</v>
      </c>
      <c r="P15" s="17">
        <f t="shared" si="0"/>
        <v>0.94957578443719881</v>
      </c>
      <c r="Q15" s="18">
        <f>Q14/Q13</f>
        <v>0.9255110823816699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0.77499999999999991</v>
      </c>
      <c r="E17" s="19">
        <v>0.5541666666666667</v>
      </c>
      <c r="F17" s="19">
        <v>0.59722222222222221</v>
      </c>
      <c r="G17" s="19">
        <v>0.65486111111111101</v>
      </c>
      <c r="H17" s="19">
        <v>0.62152777777777768</v>
      </c>
      <c r="I17" s="19">
        <v>0.72777777777777786</v>
      </c>
      <c r="J17" s="19">
        <v>0.79236111111111085</v>
      </c>
      <c r="K17" s="19">
        <v>0.77013888888888893</v>
      </c>
      <c r="L17" s="19">
        <v>0.90069444444444435</v>
      </c>
      <c r="M17" s="19">
        <v>0.93888888888888888</v>
      </c>
      <c r="N17" s="19">
        <v>0.97291666666666665</v>
      </c>
      <c r="O17" s="19">
        <v>0.82291666666666674</v>
      </c>
      <c r="P17" s="19">
        <v>0.59583333333333321</v>
      </c>
      <c r="Q17" s="20">
        <v>0.66319444444444442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>
        <v>1</v>
      </c>
      <c r="O20" s="21" t="s">
        <v>49</v>
      </c>
      <c r="P20" s="21" t="s">
        <v>49</v>
      </c>
      <c r="Q20" s="22"/>
    </row>
    <row r="21" spans="2:17" ht="22.8" customHeight="1">
      <c r="B21" s="451"/>
      <c r="C21" s="45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2</v>
      </c>
      <c r="P21" s="21" t="s">
        <v>49</v>
      </c>
      <c r="Q21" s="22"/>
    </row>
    <row r="22" spans="2:17" ht="22.8" customHeight="1">
      <c r="B22" s="428" t="s">
        <v>51</v>
      </c>
      <c r="C22" s="429"/>
      <c r="D22" s="23">
        <v>19</v>
      </c>
      <c r="E22" s="23">
        <v>17</v>
      </c>
      <c r="F22" s="23">
        <v>15.875</v>
      </c>
      <c r="G22" s="23">
        <v>5.75</v>
      </c>
      <c r="H22" s="23">
        <v>7</v>
      </c>
      <c r="I22" s="23">
        <v>16.333333333333332</v>
      </c>
      <c r="J22" s="23">
        <v>19.285714285714285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11.3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284.59503105590079</v>
      </c>
      <c r="E31" s="15">
        <v>720.18859265734284</v>
      </c>
      <c r="F31" s="15">
        <v>938.79551820728329</v>
      </c>
      <c r="G31" s="15">
        <v>892.4108520935772</v>
      </c>
      <c r="H31" s="41">
        <v>1006.5783696529459</v>
      </c>
      <c r="I31" s="42">
        <v>0</v>
      </c>
      <c r="J31" s="15">
        <v>728.08888888888862</v>
      </c>
      <c r="K31" s="15">
        <v>598.06666666666649</v>
      </c>
      <c r="L31" s="15">
        <v>888.68822510399264</v>
      </c>
      <c r="M31" s="16">
        <v>822.65909090908951</v>
      </c>
    </row>
    <row r="32" spans="2:17" ht="39.9" customHeight="1">
      <c r="B32" s="446"/>
      <c r="C32" s="43" t="s">
        <v>44</v>
      </c>
      <c r="D32" s="17">
        <f t="shared" ref="D32:M32" si="1">D31/D30</f>
        <v>0.88935947204969001</v>
      </c>
      <c r="E32" s="17">
        <f t="shared" si="1"/>
        <v>0.87295586988768825</v>
      </c>
      <c r="F32" s="17">
        <f t="shared" si="1"/>
        <v>1.1379339614633737</v>
      </c>
      <c r="G32" s="17">
        <f t="shared" si="1"/>
        <v>0.99156761343730804</v>
      </c>
      <c r="H32" s="44">
        <f t="shared" si="1"/>
        <v>1.1184204107254954</v>
      </c>
      <c r="I32" s="45">
        <f t="shared" si="1"/>
        <v>0</v>
      </c>
      <c r="J32" s="17">
        <f t="shared" si="1"/>
        <v>0.88253198653198617</v>
      </c>
      <c r="K32" s="17">
        <f t="shared" si="1"/>
        <v>0.66451851851851829</v>
      </c>
      <c r="L32" s="17">
        <f t="shared" si="1"/>
        <v>0.98743136122665853</v>
      </c>
      <c r="M32" s="18">
        <f t="shared" si="1"/>
        <v>0.91406565656565497</v>
      </c>
    </row>
    <row r="33" spans="2:13" ht="25.8" customHeight="1">
      <c r="B33" s="44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3229.0909090909113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0.23472222222222219</v>
      </c>
      <c r="E34" s="19">
        <v>0.33124999999999999</v>
      </c>
      <c r="F34" s="19">
        <v>0.23750000000000002</v>
      </c>
      <c r="G34" s="19">
        <v>1076.3636363636372</v>
      </c>
      <c r="H34" s="46">
        <v>0.43055555555555558</v>
      </c>
      <c r="I34" s="47">
        <v>0</v>
      </c>
      <c r="J34" s="19">
        <v>0.84027777777777779</v>
      </c>
      <c r="K34" s="19">
        <v>0.875</v>
      </c>
      <c r="L34" s="19">
        <v>46086.100694444445</v>
      </c>
      <c r="M34" s="20">
        <v>0.92708333333333337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57" priority="6" operator="lessThan">
      <formula>0.8</formula>
    </cfRule>
  </conditionalFormatting>
  <conditionalFormatting sqref="M32">
    <cfRule type="cellIs" dxfId="23456" priority="5" operator="lessThan">
      <formula>0.8</formula>
    </cfRule>
  </conditionalFormatting>
  <conditionalFormatting sqref="K32">
    <cfRule type="cellIs" dxfId="23455" priority="4" operator="lessThan">
      <formula>0.8</formula>
    </cfRule>
  </conditionalFormatting>
  <conditionalFormatting sqref="E32">
    <cfRule type="cellIs" dxfId="23454" priority="3" operator="lessThan">
      <formula>0.8</formula>
    </cfRule>
  </conditionalFormatting>
  <conditionalFormatting sqref="D15:P15">
    <cfRule type="cellIs" dxfId="23453" priority="2" operator="lessThan">
      <formula>0.8</formula>
    </cfRule>
  </conditionalFormatting>
  <conditionalFormatting sqref="Q15">
    <cfRule type="cellIs" dxfId="2345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85989</v>
      </c>
      <c r="F1" s="340" t="s">
        <v>3</v>
      </c>
      <c r="G1" s="341">
        <f>SUM(H5:H124)</f>
        <v>1649621.1671710904</v>
      </c>
      <c r="H1" s="342" t="s">
        <v>390</v>
      </c>
      <c r="I1" s="343">
        <f>+J16+J64+J24+J38+J51+J81+J100+J91+J57+J124+J111</f>
        <v>41.783333333333331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392</v>
      </c>
      <c r="B2" s="561"/>
      <c r="C2" s="345"/>
      <c r="D2" s="346" t="s">
        <v>278</v>
      </c>
      <c r="E2" s="347">
        <f>AVERAGE(L16,L24,L38,L51,L100,L111,L91)</f>
        <v>613.89279784818939</v>
      </c>
      <c r="F2" s="348" t="s">
        <v>80</v>
      </c>
      <c r="G2" s="349">
        <f>G1/E1</f>
        <v>19.18409525835968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1827</v>
      </c>
      <c r="H5" s="358">
        <f>F5*G5</f>
        <v>54746.956521739121</v>
      </c>
      <c r="I5" s="359"/>
      <c r="J5" s="360">
        <v>13</v>
      </c>
      <c r="K5" s="361">
        <f t="shared" ref="K5:K12" si="0">G5/P5*60</f>
        <v>1289.6470588235304</v>
      </c>
      <c r="L5" s="362">
        <f t="shared" ref="L5:L12" si="1">K5/J5</f>
        <v>99.203619909502336</v>
      </c>
      <c r="M5" s="363">
        <v>0.17361111111111113</v>
      </c>
      <c r="N5" s="363">
        <v>0.23263888888888887</v>
      </c>
      <c r="O5" s="354">
        <v>10</v>
      </c>
      <c r="P5" s="364">
        <f t="shared" ref="P5:P14" si="2">(N5-M5)*24*60</f>
        <v>84.999999999999943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1416</v>
      </c>
      <c r="H6" s="358">
        <f t="shared" ref="H6:H113" si="3">F6*G6</f>
        <v>0</v>
      </c>
      <c r="I6" s="359"/>
      <c r="J6" s="360">
        <v>9</v>
      </c>
      <c r="K6" s="361">
        <f t="shared" si="0"/>
        <v>1544.7272727272725</v>
      </c>
      <c r="L6" s="362">
        <f t="shared" si="1"/>
        <v>171.63636363636363</v>
      </c>
      <c r="M6" s="363">
        <v>0.23958333333333334</v>
      </c>
      <c r="N6" s="363">
        <v>0.27777777777777779</v>
      </c>
      <c r="O6" s="354">
        <v>10</v>
      </c>
      <c r="P6" s="364">
        <f t="shared" si="2"/>
        <v>55.000000000000007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1510</v>
      </c>
      <c r="H7" s="358">
        <f t="shared" si="3"/>
        <v>0</v>
      </c>
      <c r="I7" s="359"/>
      <c r="J7" s="360">
        <v>9</v>
      </c>
      <c r="K7" s="361">
        <f t="shared" si="0"/>
        <v>1647.2727272727259</v>
      </c>
      <c r="L7" s="362">
        <f t="shared" si="1"/>
        <v>183.03030303030289</v>
      </c>
      <c r="M7" s="363">
        <v>0.28125</v>
      </c>
      <c r="N7" s="363">
        <v>0.31944444444444448</v>
      </c>
      <c r="O7" s="354">
        <v>5</v>
      </c>
      <c r="P7" s="364">
        <f t="shared" si="2"/>
        <v>55.000000000000043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2074</v>
      </c>
      <c r="H8" s="358">
        <f t="shared" si="3"/>
        <v>75597.3</v>
      </c>
      <c r="I8" s="359"/>
      <c r="J8" s="360">
        <v>13</v>
      </c>
      <c r="K8" s="361">
        <f t="shared" si="0"/>
        <v>1464.0000000000009</v>
      </c>
      <c r="L8" s="362">
        <f t="shared" si="1"/>
        <v>112.61538461538468</v>
      </c>
      <c r="M8" s="363">
        <v>0.32291666666666669</v>
      </c>
      <c r="N8" s="363">
        <v>0.38194444444444442</v>
      </c>
      <c r="O8" s="354">
        <v>5</v>
      </c>
      <c r="P8" s="364">
        <f t="shared" si="2"/>
        <v>84.999999999999943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536</v>
      </c>
      <c r="H9" s="358">
        <f t="shared" si="3"/>
        <v>14498.800000000001</v>
      </c>
      <c r="I9" s="359"/>
      <c r="J9" s="360">
        <v>13</v>
      </c>
      <c r="K9" s="361">
        <f t="shared" si="0"/>
        <v>1607.9999999999993</v>
      </c>
      <c r="L9" s="362">
        <f t="shared" si="1"/>
        <v>123.69230769230764</v>
      </c>
      <c r="M9" s="363">
        <v>0.38541666666666669</v>
      </c>
      <c r="N9" s="363">
        <v>0.39930555555555558</v>
      </c>
      <c r="O9" s="354">
        <v>5</v>
      </c>
      <c r="P9" s="364">
        <f t="shared" si="2"/>
        <v>20.000000000000007</v>
      </c>
      <c r="Q9" s="365">
        <v>0.39930555555555558</v>
      </c>
      <c r="R9" s="365">
        <v>0.44097222222222227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2087</v>
      </c>
      <c r="H10" s="358">
        <f t="shared" si="3"/>
        <v>37294.69</v>
      </c>
      <c r="I10" s="359"/>
      <c r="J10" s="360">
        <v>12</v>
      </c>
      <c r="K10" s="361">
        <f t="shared" si="0"/>
        <v>1192.5714285714282</v>
      </c>
      <c r="L10" s="362">
        <f t="shared" si="1"/>
        <v>99.380952380952351</v>
      </c>
      <c r="M10" s="363">
        <v>0.44097222222222227</v>
      </c>
      <c r="N10" s="363">
        <v>0.51388888888888895</v>
      </c>
      <c r="O10" s="354">
        <v>5</v>
      </c>
      <c r="P10" s="364">
        <f t="shared" si="2"/>
        <v>105.00000000000003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769</v>
      </c>
      <c r="H11" s="358">
        <f t="shared" si="3"/>
        <v>19717.16</v>
      </c>
      <c r="I11" s="359"/>
      <c r="J11" s="360">
        <v>10</v>
      </c>
      <c r="K11" s="361">
        <f t="shared" si="0"/>
        <v>1537.9999999999973</v>
      </c>
      <c r="L11" s="362">
        <f t="shared" si="1"/>
        <v>153.79999999999973</v>
      </c>
      <c r="M11" s="363">
        <v>0.51736111111111105</v>
      </c>
      <c r="N11" s="363">
        <v>0.53819444444444442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1416</v>
      </c>
      <c r="H12" s="358">
        <f t="shared" si="3"/>
        <v>41800.32</v>
      </c>
      <c r="I12" s="359"/>
      <c r="J12" s="360">
        <v>12</v>
      </c>
      <c r="K12" s="361">
        <f t="shared" si="0"/>
        <v>1699.199999999995</v>
      </c>
      <c r="L12" s="362">
        <f t="shared" si="1"/>
        <v>141.5999999999996</v>
      </c>
      <c r="M12" s="363">
        <v>0.54166666666666663</v>
      </c>
      <c r="N12" s="363">
        <v>0.57638888888888895</v>
      </c>
      <c r="O12" s="354">
        <v>5</v>
      </c>
      <c r="P12" s="364">
        <f t="shared" si="2"/>
        <v>50.000000000000142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1510</v>
      </c>
      <c r="H13" s="358">
        <f t="shared" si="3"/>
        <v>45084.07</v>
      </c>
      <c r="I13" s="359"/>
      <c r="J13" s="360">
        <v>12</v>
      </c>
      <c r="K13" s="361">
        <f>G13/P13*60</f>
        <v>1811.9999999999948</v>
      </c>
      <c r="L13" s="362">
        <f>K13/J13</f>
        <v>150.99999999999957</v>
      </c>
      <c r="M13" s="363">
        <v>0.57986111111111105</v>
      </c>
      <c r="N13" s="363">
        <v>0.61458333333333337</v>
      </c>
      <c r="O13" s="354">
        <v>5</v>
      </c>
      <c r="P13" s="364">
        <f t="shared" si="2"/>
        <v>50.000000000000142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1650</v>
      </c>
      <c r="H14" s="358">
        <f t="shared" si="3"/>
        <v>47140.5</v>
      </c>
      <c r="I14" s="359"/>
      <c r="J14" s="360">
        <v>10</v>
      </c>
      <c r="K14" s="361">
        <f>G14/P14*60</f>
        <v>1523.0769230769247</v>
      </c>
      <c r="L14" s="362">
        <f>K14/J14</f>
        <v>152.30769230769246</v>
      </c>
      <c r="M14" s="363">
        <v>0.61805555555555558</v>
      </c>
      <c r="N14" s="363">
        <v>0.66319444444444442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11.3</v>
      </c>
      <c r="K16" s="375">
        <f>AVERAGE(K5:K15)</f>
        <v>1531.8495410471871</v>
      </c>
      <c r="L16" s="376">
        <f>AVERAGE(L5:L15)</f>
        <v>138.82666235725048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601</v>
      </c>
      <c r="H17" s="377">
        <f t="shared" ref="H17:H23" si="4">F17*G17</f>
        <v>8432.0299999999988</v>
      </c>
      <c r="I17" s="378"/>
      <c r="J17" s="360">
        <v>6</v>
      </c>
      <c r="K17" s="361">
        <f>G17/P17*60</f>
        <v>1567.8260869565217</v>
      </c>
      <c r="L17" s="362">
        <f>K17/J17</f>
        <v>261.30434782608694</v>
      </c>
      <c r="M17" s="363">
        <v>0.18055555555555555</v>
      </c>
      <c r="N17" s="363">
        <v>0.19652777777777777</v>
      </c>
      <c r="O17" s="354">
        <v>20</v>
      </c>
      <c r="P17" s="364">
        <f>(N17-M17)*24*60</f>
        <v>23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898</v>
      </c>
      <c r="H18" s="358">
        <f t="shared" si="4"/>
        <v>13012.02</v>
      </c>
      <c r="I18" s="359"/>
      <c r="J18" s="360">
        <v>5</v>
      </c>
      <c r="K18" s="361">
        <f>G18/P18*60</f>
        <v>1539.4285714285732</v>
      </c>
      <c r="L18" s="362">
        <f>K18/J18</f>
        <v>307.88571428571464</v>
      </c>
      <c r="M18" s="363">
        <v>0.21041666666666667</v>
      </c>
      <c r="N18" s="363">
        <v>0.23472222222222219</v>
      </c>
      <c r="O18" s="354">
        <v>20</v>
      </c>
      <c r="P18" s="364">
        <f t="shared" ref="P18" si="5">(N18-M18)*24*60</f>
        <v>34.999999999999957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1553.6273291925474</v>
      </c>
      <c r="L24" s="376">
        <f>AVERAGE(L17:L23)</f>
        <v>284.59503105590079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642</v>
      </c>
      <c r="H25" s="358">
        <f t="shared" ref="H25:H37" si="6">F25*G25</f>
        <v>14304.927272727273</v>
      </c>
      <c r="I25" s="359"/>
      <c r="J25" s="360">
        <v>4</v>
      </c>
      <c r="K25" s="361">
        <f t="shared" ref="K25:K28" si="7">G25/P25*60</f>
        <v>2963.0769230769247</v>
      </c>
      <c r="L25" s="362">
        <f t="shared" ref="L25:L28" si="8">K25/J25</f>
        <v>740.76923076923117</v>
      </c>
      <c r="M25" s="363">
        <v>0.18055555555555555</v>
      </c>
      <c r="N25" s="363">
        <v>0.18958333333333333</v>
      </c>
      <c r="O25" s="354">
        <v>20</v>
      </c>
      <c r="P25" s="364">
        <f t="shared" ref="P25:P28" si="9">(N25-M25)*24*60</f>
        <v>12.999999999999993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3041</v>
      </c>
      <c r="H26" s="358">
        <f t="shared" si="6"/>
        <v>55285.38</v>
      </c>
      <c r="I26" s="359"/>
      <c r="J26" s="360">
        <v>4</v>
      </c>
      <c r="K26" s="361">
        <f t="shared" si="7"/>
        <v>2807.0769230769215</v>
      </c>
      <c r="L26" s="362">
        <f t="shared" si="8"/>
        <v>701.76923076923038</v>
      </c>
      <c r="M26" s="363">
        <v>0.20347222222222219</v>
      </c>
      <c r="N26" s="363">
        <v>0.24861111111111112</v>
      </c>
      <c r="O26" s="354">
        <v>20</v>
      </c>
      <c r="P26" s="364">
        <f t="shared" si="9"/>
        <v>65.000000000000043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1157</v>
      </c>
      <c r="H27" s="358">
        <f t="shared" si="6"/>
        <v>31551.39</v>
      </c>
      <c r="I27" s="359"/>
      <c r="J27" s="360">
        <v>4</v>
      </c>
      <c r="K27" s="361">
        <f t="shared" si="7"/>
        <v>2892.5000000000009</v>
      </c>
      <c r="L27" s="362">
        <f t="shared" si="8"/>
        <v>723.12500000000023</v>
      </c>
      <c r="M27" s="363">
        <v>0.26250000000000001</v>
      </c>
      <c r="N27" s="363">
        <v>0.27916666666666667</v>
      </c>
      <c r="O27" s="354">
        <v>20</v>
      </c>
      <c r="P27" s="364">
        <f t="shared" si="9"/>
        <v>23.999999999999993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2622</v>
      </c>
      <c r="H28" s="358">
        <f t="shared" si="6"/>
        <v>39408.659999999996</v>
      </c>
      <c r="I28" s="359"/>
      <c r="J28" s="360">
        <v>4</v>
      </c>
      <c r="K28" s="361">
        <f t="shared" si="7"/>
        <v>2860.3636363636379</v>
      </c>
      <c r="L28" s="362">
        <f t="shared" si="8"/>
        <v>715.09090909090946</v>
      </c>
      <c r="M28" s="363">
        <v>0.29305555555555557</v>
      </c>
      <c r="N28" s="363">
        <v>0.33124999999999999</v>
      </c>
      <c r="O28" s="354">
        <v>20</v>
      </c>
      <c r="P28" s="364">
        <f t="shared" si="9"/>
        <v>54.999999999999964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2880.7543706293714</v>
      </c>
      <c r="L38" s="376">
        <f>AVERAGE(L25:L37)</f>
        <v>720.18859265734284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982</v>
      </c>
      <c r="H39" s="358">
        <f t="shared" ref="H39:H47" si="10">F39*G39</f>
        <v>21063.899999999998</v>
      </c>
      <c r="I39" s="359"/>
      <c r="J39" s="360">
        <v>3</v>
      </c>
      <c r="K39" s="361">
        <f>G39/P39*60</f>
        <v>2805.7142857142908</v>
      </c>
      <c r="L39" s="362">
        <f>K39/J39</f>
        <v>935.23809523809689</v>
      </c>
      <c r="M39" s="363">
        <v>0.17361111111111113</v>
      </c>
      <c r="N39" s="363">
        <v>0.18819444444444444</v>
      </c>
      <c r="O39" s="354">
        <v>10</v>
      </c>
      <c r="P39" s="391">
        <f t="shared" ref="P39:P40" si="11">(N39-M39)*24*60</f>
        <v>20.999999999999964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2403</v>
      </c>
      <c r="H40" s="358">
        <f t="shared" si="10"/>
        <v>44527.590000000004</v>
      </c>
      <c r="I40" s="359"/>
      <c r="J40" s="360">
        <v>3</v>
      </c>
      <c r="K40" s="361">
        <f>G40/P40*60</f>
        <v>2827.058823529409</v>
      </c>
      <c r="L40" s="362">
        <f>K40/J40</f>
        <v>942.3529411764697</v>
      </c>
      <c r="M40" s="363">
        <v>0.20208333333333331</v>
      </c>
      <c r="N40" s="363">
        <v>0.23750000000000002</v>
      </c>
      <c r="O40" s="354">
        <v>20</v>
      </c>
      <c r="P40" s="391">
        <f t="shared" si="11"/>
        <v>51.000000000000057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2816.3865546218499</v>
      </c>
      <c r="L51" s="376">
        <f>AVERAGE(L39:L50)</f>
        <v>938.79551820728329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795</v>
      </c>
      <c r="H52" s="358">
        <f>F52*G52</f>
        <v>19898.850000000002</v>
      </c>
      <c r="I52" s="359"/>
      <c r="J52" s="360">
        <v>4</v>
      </c>
      <c r="K52" s="361">
        <f>G52/P52*60</f>
        <v>3407.1428571428596</v>
      </c>
      <c r="L52" s="362">
        <f>K52/J52</f>
        <v>851.7857142857149</v>
      </c>
      <c r="M52" s="363">
        <v>0.17361111111111113</v>
      </c>
      <c r="N52" s="363">
        <v>0.18333333333333335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1033</v>
      </c>
      <c r="H53" s="358">
        <f t="shared" ref="H53:H62" si="12">F53*G53</f>
        <v>25639.06</v>
      </c>
      <c r="I53" s="359"/>
      <c r="J53" s="360">
        <v>4</v>
      </c>
      <c r="K53" s="361">
        <f t="shared" ref="K53:K55" si="13">G53/P53*60</f>
        <v>3262.1052631578923</v>
      </c>
      <c r="L53" s="362">
        <f t="shared" ref="L53:L55" si="14">K53/J53</f>
        <v>815.52631578947307</v>
      </c>
      <c r="M53" s="363">
        <v>0.19722222222222222</v>
      </c>
      <c r="N53" s="363">
        <v>0.21041666666666667</v>
      </c>
      <c r="O53" s="361">
        <v>20</v>
      </c>
      <c r="P53" s="364">
        <f t="shared" ref="P53:P63" si="15">(N53-M53)*24*60</f>
        <v>19.000000000000014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1707</v>
      </c>
      <c r="H54" s="358">
        <f t="shared" si="12"/>
        <v>51210</v>
      </c>
      <c r="I54" s="359"/>
      <c r="J54" s="360">
        <v>4</v>
      </c>
      <c r="K54" s="361">
        <f t="shared" si="13"/>
        <v>3303.8709677419347</v>
      </c>
      <c r="L54" s="362">
        <f t="shared" si="14"/>
        <v>825.96774193548367</v>
      </c>
      <c r="M54" s="363">
        <v>0.22430555555555556</v>
      </c>
      <c r="N54" s="363">
        <v>0.24583333333333335</v>
      </c>
      <c r="O54" s="361">
        <v>20</v>
      </c>
      <c r="P54" s="364">
        <f t="shared" si="15"/>
        <v>31.000000000000011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2960</v>
      </c>
      <c r="H55" s="358">
        <f t="shared" si="12"/>
        <v>41528.799999999996</v>
      </c>
      <c r="I55" s="359"/>
      <c r="J55" s="360">
        <v>3</v>
      </c>
      <c r="K55" s="361">
        <f t="shared" si="13"/>
        <v>3229.0909090909113</v>
      </c>
      <c r="L55" s="362">
        <f t="shared" si="14"/>
        <v>1076.3636363636372</v>
      </c>
      <c r="M55" s="363">
        <v>0.25972222222222224</v>
      </c>
      <c r="N55" s="363">
        <v>0.29791666666666666</v>
      </c>
      <c r="O55" s="361">
        <v>20</v>
      </c>
      <c r="P55" s="364">
        <f t="shared" si="15"/>
        <v>54.999999999999964</v>
      </c>
      <c r="Q55" s="365">
        <v>0.29791666666666666</v>
      </c>
      <c r="R55" s="365">
        <v>0.33958333333333335</v>
      </c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3300.5524992833998</v>
      </c>
      <c r="L64" s="376">
        <f>AVERAGE(L52:L63)</f>
        <v>892.4108520935772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868</v>
      </c>
      <c r="H65" s="358">
        <f>F65*G65</f>
        <v>15780.24</v>
      </c>
      <c r="I65" s="359"/>
      <c r="J65" s="360">
        <v>3</v>
      </c>
      <c r="K65" s="361">
        <f t="shared" ref="K65:K69" si="16">G65/P65*60</f>
        <v>3255.0000000000036</v>
      </c>
      <c r="L65" s="362">
        <f t="shared" ref="L65:L69" si="17">K65/J65</f>
        <v>1085.0000000000011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2961</v>
      </c>
      <c r="H66" s="358">
        <f t="shared" ref="H66:H74" si="18">F66*G66</f>
        <v>49330.26</v>
      </c>
      <c r="I66" s="359"/>
      <c r="J66" s="360">
        <v>4</v>
      </c>
      <c r="K66" s="361">
        <f t="shared" si="16"/>
        <v>3011.1864406779669</v>
      </c>
      <c r="L66" s="362">
        <f t="shared" si="17"/>
        <v>752.79661016949171</v>
      </c>
      <c r="M66" s="363">
        <v>0.20555555555555557</v>
      </c>
      <c r="N66" s="363">
        <v>0.24652777777777779</v>
      </c>
      <c r="O66" s="361">
        <v>20</v>
      </c>
      <c r="P66" s="364">
        <f t="shared" ref="P66:P69" si="19">(N66-M66)*24*60</f>
        <v>58.999999999999993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1791</v>
      </c>
      <c r="H67" s="358">
        <f t="shared" si="18"/>
        <v>32042.618181818183</v>
      </c>
      <c r="I67" s="359"/>
      <c r="J67" s="360">
        <v>3</v>
      </c>
      <c r="K67" s="361">
        <f t="shared" si="16"/>
        <v>3070.2857142857183</v>
      </c>
      <c r="L67" s="362">
        <f t="shared" si="17"/>
        <v>1023.4285714285728</v>
      </c>
      <c r="M67" s="363">
        <v>0.26041666666666669</v>
      </c>
      <c r="N67" s="363">
        <v>0.28472222222222221</v>
      </c>
      <c r="O67" s="361">
        <v>20</v>
      </c>
      <c r="P67" s="364">
        <f t="shared" si="19"/>
        <v>34.999999999999957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1615</v>
      </c>
      <c r="H68" s="358">
        <f t="shared" si="18"/>
        <v>29360.7</v>
      </c>
      <c r="I68" s="359"/>
      <c r="J68" s="360">
        <v>3</v>
      </c>
      <c r="K68" s="361">
        <f t="shared" si="16"/>
        <v>3229.9999999999941</v>
      </c>
      <c r="L68" s="362">
        <f t="shared" si="17"/>
        <v>1076.6666666666647</v>
      </c>
      <c r="M68" s="363">
        <v>0.2986111111111111</v>
      </c>
      <c r="N68" s="363">
        <v>0.31944444444444448</v>
      </c>
      <c r="O68" s="361">
        <v>20</v>
      </c>
      <c r="P68" s="364">
        <f t="shared" si="19"/>
        <v>30.000000000000053</v>
      </c>
      <c r="Q68" s="365">
        <v>0.31944444444444448</v>
      </c>
      <c r="R68" s="365">
        <v>0.3611111111111111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4380</v>
      </c>
      <c r="H69" s="358">
        <f t="shared" si="18"/>
        <v>62571.428571428558</v>
      </c>
      <c r="I69" s="359"/>
      <c r="J69" s="360">
        <v>3</v>
      </c>
      <c r="K69" s="361">
        <f t="shared" si="16"/>
        <v>3284.9999999999986</v>
      </c>
      <c r="L69" s="362">
        <f t="shared" si="17"/>
        <v>1094.9999999999995</v>
      </c>
      <c r="M69" s="363">
        <v>0.375</v>
      </c>
      <c r="N69" s="363">
        <v>0.43055555555555558</v>
      </c>
      <c r="O69" s="361">
        <v>20</v>
      </c>
      <c r="P69" s="364">
        <f t="shared" si="19"/>
        <v>80.000000000000028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3170.2944309927361</v>
      </c>
      <c r="L75" s="376">
        <f>AVERAGE(L65:L74)</f>
        <v>1006.5783696529459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474</v>
      </c>
      <c r="H82" s="414">
        <f t="shared" ref="H82:H90" si="20">F82*G82</f>
        <v>8617.32</v>
      </c>
      <c r="I82" s="359"/>
      <c r="J82" s="360">
        <v>4</v>
      </c>
      <c r="K82" s="361">
        <f t="shared" ref="K82:K84" si="21">G82/P82*60</f>
        <v>2844.00000000001</v>
      </c>
      <c r="L82" s="362">
        <f t="shared" ref="L82:L84" si="22">K82/J82</f>
        <v>711.0000000000025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1237</v>
      </c>
      <c r="H83" s="414">
        <f t="shared" si="20"/>
        <v>20657.899999999998</v>
      </c>
      <c r="I83" s="359"/>
      <c r="J83" s="360">
        <v>3</v>
      </c>
      <c r="K83" s="361">
        <f t="shared" si="21"/>
        <v>2473.9999999999959</v>
      </c>
      <c r="L83" s="362">
        <f t="shared" si="22"/>
        <v>824.66666666666526</v>
      </c>
      <c r="M83" s="363">
        <v>0.74305555555555547</v>
      </c>
      <c r="N83" s="363">
        <v>0.76388888888888884</v>
      </c>
      <c r="O83" s="361">
        <v>20</v>
      </c>
      <c r="P83" s="364">
        <f>(N83-M83)*24*60</f>
        <v>30.000000000000053</v>
      </c>
      <c r="Q83" s="365">
        <v>0.76388888888888884</v>
      </c>
      <c r="R83" s="365">
        <v>0.80555555555555547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1081</v>
      </c>
      <c r="H84" s="414">
        <f t="shared" si="20"/>
        <v>24086.645454545454</v>
      </c>
      <c r="I84" s="359"/>
      <c r="J84" s="360">
        <v>4</v>
      </c>
      <c r="K84" s="361">
        <f t="shared" si="21"/>
        <v>2594.3999999999924</v>
      </c>
      <c r="L84" s="362">
        <f t="shared" si="22"/>
        <v>648.59999999999809</v>
      </c>
      <c r="M84" s="363">
        <v>0.82291666666666663</v>
      </c>
      <c r="N84" s="363">
        <v>0.84027777777777779</v>
      </c>
      <c r="O84" s="361">
        <v>20</v>
      </c>
      <c r="P84" s="391">
        <f t="shared" ref="P84" si="23">(N84-M84)*24*60</f>
        <v>25.000000000000071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2637.4666666666658</v>
      </c>
      <c r="L91" s="376">
        <f>AVERAGE(L82:L90)</f>
        <v>728.08888888888862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1762</v>
      </c>
      <c r="H92" s="358">
        <f t="shared" ref="H92:H97" si="24">F92*G92</f>
        <v>43239.479999999996</v>
      </c>
      <c r="I92" s="359"/>
      <c r="J92" s="360">
        <v>3</v>
      </c>
      <c r="K92" s="361">
        <f>G92/P92*60</f>
        <v>2114.3999999999942</v>
      </c>
      <c r="L92" s="362">
        <f t="shared" ref="L92:L94" si="25">K92/J92</f>
        <v>704.79999999999802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1091</v>
      </c>
      <c r="H93" s="358">
        <f t="shared" si="24"/>
        <v>24525.68</v>
      </c>
      <c r="I93" s="359"/>
      <c r="J93" s="360">
        <v>4</v>
      </c>
      <c r="K93" s="361">
        <f t="shared" ref="K93:K94" si="26">G93/P93*60</f>
        <v>2182.0000000000077</v>
      </c>
      <c r="L93" s="362">
        <f t="shared" si="25"/>
        <v>545.50000000000193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3626</v>
      </c>
      <c r="H94" s="358">
        <f t="shared" si="24"/>
        <v>80533.460000000006</v>
      </c>
      <c r="I94" s="359"/>
      <c r="J94" s="360">
        <v>4</v>
      </c>
      <c r="K94" s="361">
        <f t="shared" si="26"/>
        <v>2175.5999999999972</v>
      </c>
      <c r="L94" s="362">
        <f t="shared" si="25"/>
        <v>543.8999999999993</v>
      </c>
      <c r="M94" s="363">
        <v>0.80555555555555547</v>
      </c>
      <c r="N94" s="363">
        <v>0.875</v>
      </c>
      <c r="O94" s="354">
        <v>20</v>
      </c>
      <c r="P94" s="364">
        <f>(N94-M94)*24*60</f>
        <v>100.00000000000013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2157.3333333333326</v>
      </c>
      <c r="L100" s="376">
        <f>AVERAGE(L92:L99)</f>
        <v>598.06666666666649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1159</v>
      </c>
      <c r="H101" s="358">
        <f t="shared" ref="H101:H110" si="27">F101*G101</f>
        <v>29009.77</v>
      </c>
      <c r="I101" s="359"/>
      <c r="J101" s="360">
        <v>4</v>
      </c>
      <c r="K101" s="361">
        <f>G101/P101*60</f>
        <v>2781.5999999999922</v>
      </c>
      <c r="L101" s="362">
        <f t="shared" ref="L101:L105" si="28">K101/J101</f>
        <v>695.39999999999804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1798</v>
      </c>
      <c r="H102" s="358">
        <f t="shared" si="27"/>
        <v>44626.36</v>
      </c>
      <c r="I102" s="359"/>
      <c r="J102" s="360">
        <v>4</v>
      </c>
      <c r="K102" s="361">
        <f t="shared" ref="K102:K105" si="30">G102/P102*60</f>
        <v>3082.285714285711</v>
      </c>
      <c r="L102" s="362">
        <f t="shared" si="28"/>
        <v>770.57142857142776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2990</v>
      </c>
      <c r="H103" s="358">
        <f t="shared" si="27"/>
        <v>85424.3</v>
      </c>
      <c r="I103" s="359"/>
      <c r="J103" s="360">
        <v>3</v>
      </c>
      <c r="K103" s="361">
        <f t="shared" si="30"/>
        <v>2989.9999999999945</v>
      </c>
      <c r="L103" s="362">
        <f t="shared" si="28"/>
        <v>996.66666666666481</v>
      </c>
      <c r="M103" s="363">
        <v>0.79166666666666663</v>
      </c>
      <c r="N103" s="363">
        <v>0.83333333333333337</v>
      </c>
      <c r="O103" s="354">
        <v>20</v>
      </c>
      <c r="P103" s="361">
        <f t="shared" si="29"/>
        <v>60.000000000000107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5887</v>
      </c>
      <c r="H104" s="358">
        <f t="shared" si="27"/>
        <v>82594.61</v>
      </c>
      <c r="I104" s="359"/>
      <c r="J104" s="360">
        <v>3</v>
      </c>
      <c r="K104" s="361">
        <f t="shared" si="30"/>
        <v>2943.5000000000027</v>
      </c>
      <c r="L104" s="362">
        <f t="shared" si="28"/>
        <v>981.16666666666754</v>
      </c>
      <c r="M104" s="363">
        <v>0.84722222222222221</v>
      </c>
      <c r="N104" s="363">
        <v>0.93055555555555547</v>
      </c>
      <c r="O104" s="354">
        <v>20</v>
      </c>
      <c r="P104" s="361">
        <f>(N104-M104)*24*60</f>
        <v>119.99999999999989</v>
      </c>
      <c r="Q104" s="365">
        <v>0.93055555555555547</v>
      </c>
      <c r="R104" s="365">
        <v>0.97222222222222221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8247</v>
      </c>
      <c r="H105" s="358">
        <f t="shared" si="27"/>
        <v>117814.2857142857</v>
      </c>
      <c r="I105" s="359"/>
      <c r="J105" s="360">
        <v>3</v>
      </c>
      <c r="K105" s="361">
        <f t="shared" si="30"/>
        <v>2998.9090908456146</v>
      </c>
      <c r="L105" s="362">
        <f t="shared" si="28"/>
        <v>999.63636361520491</v>
      </c>
      <c r="M105" s="363">
        <v>46085.986111111109</v>
      </c>
      <c r="N105" s="363">
        <v>46086.100694444445</v>
      </c>
      <c r="O105" s="354">
        <v>20</v>
      </c>
      <c r="P105" s="361">
        <f>(N105-M105)*24*60</f>
        <v>165.00000000349246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2959.258961026263</v>
      </c>
      <c r="L111" s="376">
        <f>AVERAGE(L101:L110)</f>
        <v>888.68822510399264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1045</v>
      </c>
      <c r="H112" s="414">
        <f t="shared" si="3"/>
        <v>18998.099999999999</v>
      </c>
      <c r="I112" s="359"/>
      <c r="J112" s="360">
        <v>4</v>
      </c>
      <c r="K112" s="361">
        <f t="shared" ref="K112:K115" si="31">G112/P112*60</f>
        <v>2507.9999999999932</v>
      </c>
      <c r="L112" s="362">
        <f t="shared" ref="L112:L115" si="32">K112/J112</f>
        <v>626.99999999999829</v>
      </c>
      <c r="M112" s="363">
        <v>0.72222222222222221</v>
      </c>
      <c r="N112" s="363">
        <v>0.73958333333333337</v>
      </c>
      <c r="O112" s="354">
        <v>20</v>
      </c>
      <c r="P112" s="364">
        <f t="shared" ref="P112:P115" si="33">(N112-M112)*24*60</f>
        <v>25.000000000000071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1149</v>
      </c>
      <c r="H113" s="414">
        <f t="shared" si="3"/>
        <v>20888.82</v>
      </c>
      <c r="I113" s="359"/>
      <c r="J113" s="360">
        <v>3</v>
      </c>
      <c r="K113" s="361">
        <f t="shared" si="31"/>
        <v>2757.5999999999922</v>
      </c>
      <c r="L113" s="362">
        <f t="shared" si="32"/>
        <v>919.19999999999743</v>
      </c>
      <c r="M113" s="363">
        <v>0.75347222222222221</v>
      </c>
      <c r="N113" s="363">
        <v>0.77083333333333337</v>
      </c>
      <c r="O113" s="354">
        <v>20</v>
      </c>
      <c r="P113" s="364">
        <f t="shared" si="33"/>
        <v>25.000000000000071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5424</v>
      </c>
      <c r="H114" s="414">
        <f>F114*G114</f>
        <v>90363.839999999997</v>
      </c>
      <c r="I114" s="359"/>
      <c r="J114" s="360">
        <v>4</v>
      </c>
      <c r="K114" s="361">
        <f t="shared" si="31"/>
        <v>2958.5454545454522</v>
      </c>
      <c r="L114" s="362">
        <f t="shared" si="32"/>
        <v>739.63636363636306</v>
      </c>
      <c r="M114" s="363">
        <v>0.78472222222222221</v>
      </c>
      <c r="N114" s="363">
        <v>0.86111111111111116</v>
      </c>
      <c r="O114" s="354">
        <v>20</v>
      </c>
      <c r="P114" s="364">
        <f t="shared" si="33"/>
        <v>110.00000000000009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3768</v>
      </c>
      <c r="H115" s="414">
        <f t="shared" ref="H115:H123" si="34">F115*G115</f>
        <v>67412.94545454545</v>
      </c>
      <c r="I115" s="359"/>
      <c r="J115" s="360">
        <v>3</v>
      </c>
      <c r="K115" s="361">
        <f t="shared" si="31"/>
        <v>3014.3999999999974</v>
      </c>
      <c r="L115" s="362">
        <f t="shared" si="32"/>
        <v>1004.7999999999992</v>
      </c>
      <c r="M115" s="363">
        <v>0.875</v>
      </c>
      <c r="N115" s="363">
        <v>0.92708333333333337</v>
      </c>
      <c r="O115" s="354">
        <v>20</v>
      </c>
      <c r="P115" s="364">
        <f t="shared" si="33"/>
        <v>75.000000000000057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2809.636363636359</v>
      </c>
      <c r="L124" s="376">
        <f>AVERAGE(L112:L123)</f>
        <v>822.65909090908951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6" activePane="bottomLeft" state="frozen"/>
      <selection activeCell="J5" sqref="J1:L1048576"/>
      <selection pane="bottomLeft" activeCell="K115" sqref="K115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153070.39999999999</v>
      </c>
      <c r="F1" s="75" t="s">
        <v>3</v>
      </c>
      <c r="G1" s="64">
        <f>SUM(H5:H173)</f>
        <v>6136424.6279056864</v>
      </c>
      <c r="H1" s="67" t="s">
        <v>77</v>
      </c>
      <c r="I1" s="65">
        <f>M17+M30+M43+M56+M69+M82+M95+M108+M121+M134+M147+M160+M173</f>
        <v>199.57380952380956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337</v>
      </c>
      <c r="B2" s="637"/>
      <c r="C2" s="69"/>
      <c r="D2" s="69" t="s">
        <v>181</v>
      </c>
      <c r="E2" s="70">
        <f>AVERAGE(O17,O30,O43,O56,O69,O82,O95,O108,O121,O134,O147,O160,O173)</f>
        <v>122.11449258051161</v>
      </c>
      <c r="F2" s="71" t="s">
        <v>80</v>
      </c>
      <c r="G2" s="72">
        <f>G1/E1</f>
        <v>40.08890437279635</v>
      </c>
      <c r="H2" s="67" t="s">
        <v>81</v>
      </c>
      <c r="I2" s="67">
        <f>COUNT(I5:I173)</f>
        <v>3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2</v>
      </c>
      <c r="AE2" s="74">
        <f>AE17+AE30+AE43+AE56+AE69+AE82+AE95+AE108+AE121+AE134+AE147+AE160+AE173</f>
        <v>2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3207.1</v>
      </c>
      <c r="H5" s="83">
        <f t="shared" ref="H5:H16" si="0">F5*G5</f>
        <v>121677.374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4" si="1">G5/W5*60</f>
        <v>2237.5116279069762</v>
      </c>
      <c r="O5" s="86">
        <f t="shared" ref="O5:O14" si="2">N5/M5</f>
        <v>111.8755813953488</v>
      </c>
      <c r="P5" s="88">
        <f t="shared" ref="P5:P14" si="3">M5-J5</f>
        <v>0</v>
      </c>
      <c r="Q5" s="89">
        <f t="shared" ref="Q5:Q14" si="4">O5-L5</f>
        <v>-8.124418604651197</v>
      </c>
      <c r="R5" s="90">
        <f t="shared" ref="R5:R14" si="5">O5/L5</f>
        <v>0.93229651162790672</v>
      </c>
      <c r="S5" s="590">
        <f>R17</f>
        <v>0.94733344574095102</v>
      </c>
      <c r="T5" s="91">
        <v>0.29166666666666669</v>
      </c>
      <c r="U5" s="91">
        <v>0.35138888888888892</v>
      </c>
      <c r="V5" s="75">
        <v>5</v>
      </c>
      <c r="W5" s="84">
        <f>(U5-T5)*24*60</f>
        <v>86.000000000000014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-162.48837209302383</v>
      </c>
      <c r="AG5" s="90">
        <f t="shared" ref="AG5:AG70" si="7">N5/K5</f>
        <v>0.93229651162790672</v>
      </c>
      <c r="AH5" s="590">
        <f>AG17</f>
        <v>0.97861656561848009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1899.95</v>
      </c>
      <c r="H6" s="83">
        <f t="shared" si="0"/>
        <v>59404.087141994489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2590.840909090909</v>
      </c>
      <c r="O6" s="86">
        <f t="shared" si="2"/>
        <v>136.36004784688996</v>
      </c>
      <c r="P6" s="88">
        <f t="shared" si="3"/>
        <v>1</v>
      </c>
      <c r="Q6" s="89">
        <f t="shared" si="4"/>
        <v>-8.0843965975545018</v>
      </c>
      <c r="R6" s="90">
        <f t="shared" si="5"/>
        <v>0.94403110047846883</v>
      </c>
      <c r="S6" s="590"/>
      <c r="T6" s="91">
        <v>0.35625000000000001</v>
      </c>
      <c r="U6" s="91">
        <v>0.38680555555555557</v>
      </c>
      <c r="V6" s="75">
        <v>7</v>
      </c>
      <c r="W6" s="84">
        <f t="shared" ref="W6:W17" si="8">(U6-T6)*24*60</f>
        <v>44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-9.1590909090909918</v>
      </c>
      <c r="AG6" s="90">
        <f t="shared" si="7"/>
        <v>0.99647727272727271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2269.8000000000002</v>
      </c>
      <c r="H7" s="83">
        <f t="shared" si="0"/>
        <v>87684.535714285696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2619.0000000000018</v>
      </c>
      <c r="O7" s="86">
        <f t="shared" si="2"/>
        <v>137.842105263158</v>
      </c>
      <c r="P7" s="88">
        <f t="shared" si="3"/>
        <v>1</v>
      </c>
      <c r="Q7" s="89">
        <f t="shared" si="4"/>
        <v>-6.6023391812864531</v>
      </c>
      <c r="R7" s="90">
        <f t="shared" si="5"/>
        <v>0.95429149797570922</v>
      </c>
      <c r="S7" s="590"/>
      <c r="T7" s="91">
        <v>0.40277777777777779</v>
      </c>
      <c r="U7" s="91">
        <v>0.43888888888888888</v>
      </c>
      <c r="V7" s="75">
        <v>23</v>
      </c>
      <c r="W7" s="84">
        <f t="shared" si="8"/>
        <v>51.999999999999972</v>
      </c>
      <c r="X7" s="94">
        <v>0.39027777777777778</v>
      </c>
      <c r="Y7" s="94">
        <v>0.39999999999999997</v>
      </c>
      <c r="Z7" s="95"/>
      <c r="AA7" s="95"/>
      <c r="AB7" s="571"/>
      <c r="AC7" s="571"/>
      <c r="AD7" s="332"/>
      <c r="AE7" s="332"/>
      <c r="AF7" s="88">
        <f t="shared" si="6"/>
        <v>19.000000000001819</v>
      </c>
      <c r="AG7" s="90">
        <f t="shared" si="7"/>
        <v>1.0073076923076929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4720.7999999999993</v>
      </c>
      <c r="H8" s="83">
        <f t="shared" si="0"/>
        <v>179390.39999999997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2672.1509433962274</v>
      </c>
      <c r="O8" s="86">
        <f t="shared" si="2"/>
        <v>133.60754716981137</v>
      </c>
      <c r="P8" s="88">
        <f t="shared" si="3"/>
        <v>1</v>
      </c>
      <c r="Q8" s="89">
        <f t="shared" si="4"/>
        <v>-3.2345580933465214</v>
      </c>
      <c r="R8" s="90">
        <f t="shared" si="5"/>
        <v>0.9763628447024677</v>
      </c>
      <c r="S8" s="590"/>
      <c r="T8" s="91">
        <v>0.44374999999999998</v>
      </c>
      <c r="U8" s="91">
        <v>0.51736111111111105</v>
      </c>
      <c r="V8" s="75">
        <v>7</v>
      </c>
      <c r="W8" s="84">
        <f t="shared" si="8"/>
        <v>105.99999999999994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72.150943396227376</v>
      </c>
      <c r="AG8" s="90">
        <f t="shared" si="7"/>
        <v>1.0277503628447029</v>
      </c>
      <c r="AH8" s="590"/>
    </row>
    <row r="9" spans="1:34" ht="19.2" customHeight="1">
      <c r="A9" s="627"/>
      <c r="B9" s="78" t="s">
        <v>244</v>
      </c>
      <c r="C9" s="96"/>
      <c r="D9" s="80" t="s">
        <v>302</v>
      </c>
      <c r="E9" s="97"/>
      <c r="F9" s="650">
        <v>38.1</v>
      </c>
      <c r="G9" s="98">
        <v>832.65</v>
      </c>
      <c r="H9" s="83">
        <f t="shared" si="0"/>
        <v>31723.965</v>
      </c>
      <c r="I9" s="332"/>
      <c r="J9" s="85">
        <v>17</v>
      </c>
      <c r="K9" s="82">
        <v>1500</v>
      </c>
      <c r="L9" s="86">
        <v>88.235294117647058</v>
      </c>
      <c r="M9" s="87">
        <v>16</v>
      </c>
      <c r="N9" s="82">
        <f t="shared" si="1"/>
        <v>1314.7105263157885</v>
      </c>
      <c r="O9" s="86">
        <f t="shared" si="2"/>
        <v>82.169407894736779</v>
      </c>
      <c r="P9" s="88">
        <f t="shared" si="3"/>
        <v>-1</v>
      </c>
      <c r="Q9" s="89">
        <f t="shared" si="4"/>
        <v>-6.0658862229102795</v>
      </c>
      <c r="R9" s="90">
        <f t="shared" si="5"/>
        <v>0.93125328947368347</v>
      </c>
      <c r="S9" s="590"/>
      <c r="T9" s="91">
        <v>0.55833333333333324</v>
      </c>
      <c r="U9" s="91">
        <v>0.58472222222222214</v>
      </c>
      <c r="V9" s="75">
        <v>6</v>
      </c>
      <c r="W9" s="84">
        <f t="shared" si="8"/>
        <v>38.000000000000028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-185.28947368421154</v>
      </c>
      <c r="AG9" s="90">
        <f t="shared" si="7"/>
        <v>0.87647368421052563</v>
      </c>
      <c r="AH9" s="590"/>
    </row>
    <row r="10" spans="1:34" ht="19.2" customHeight="1">
      <c r="A10" s="628"/>
      <c r="B10" s="78" t="s">
        <v>242</v>
      </c>
      <c r="C10" s="79"/>
      <c r="D10" s="80" t="s">
        <v>98</v>
      </c>
      <c r="E10" s="81"/>
      <c r="F10" s="650">
        <v>38</v>
      </c>
      <c r="G10" s="82">
        <v>2023.1999999999998</v>
      </c>
      <c r="H10" s="83">
        <f t="shared" si="0"/>
        <v>76881.599999999991</v>
      </c>
      <c r="I10" s="84"/>
      <c r="J10" s="85">
        <v>19</v>
      </c>
      <c r="K10" s="82">
        <v>2600</v>
      </c>
      <c r="L10" s="86">
        <v>136.84210526315789</v>
      </c>
      <c r="M10" s="87">
        <v>20</v>
      </c>
      <c r="N10" s="82">
        <f t="shared" si="1"/>
        <v>2638.95652173913</v>
      </c>
      <c r="O10" s="86">
        <f t="shared" si="2"/>
        <v>131.9478260869565</v>
      </c>
      <c r="P10" s="88">
        <f t="shared" si="3"/>
        <v>1</v>
      </c>
      <c r="Q10" s="89">
        <f t="shared" si="4"/>
        <v>-4.894279176201394</v>
      </c>
      <c r="R10" s="90">
        <f t="shared" si="5"/>
        <v>0.96423411371237444</v>
      </c>
      <c r="S10" s="593"/>
      <c r="T10" s="91">
        <v>0.58958333333333324</v>
      </c>
      <c r="U10" s="91">
        <v>0.62152777777777768</v>
      </c>
      <c r="V10" s="75">
        <v>7</v>
      </c>
      <c r="W10" s="84">
        <f t="shared" si="8"/>
        <v>46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38.956521739130039</v>
      </c>
      <c r="AG10" s="90">
        <f t="shared" si="7"/>
        <v>1.0149832775919732</v>
      </c>
      <c r="AH10" s="593"/>
    </row>
    <row r="11" spans="1:34" ht="19.2" customHeight="1">
      <c r="A11" s="628"/>
      <c r="B11" s="78" t="s">
        <v>242</v>
      </c>
      <c r="C11" s="79"/>
      <c r="D11" s="80" t="s">
        <v>97</v>
      </c>
      <c r="E11" s="81"/>
      <c r="F11" s="650">
        <v>38.630952380952372</v>
      </c>
      <c r="G11" s="82">
        <v>1222.1999999999998</v>
      </c>
      <c r="H11" s="83">
        <f t="shared" si="0"/>
        <v>47214.749999999985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2618.9999999999941</v>
      </c>
      <c r="O11" s="86">
        <f t="shared" si="2"/>
        <v>137.84210526315758</v>
      </c>
      <c r="P11" s="88">
        <f t="shared" si="3"/>
        <v>1</v>
      </c>
      <c r="Q11" s="89">
        <f t="shared" si="4"/>
        <v>-6.6023391812868795</v>
      </c>
      <c r="R11" s="90">
        <f t="shared" si="5"/>
        <v>0.95429149797570623</v>
      </c>
      <c r="S11" s="593"/>
      <c r="T11" s="91">
        <v>0.62569444444444433</v>
      </c>
      <c r="U11" s="91">
        <v>0.64513888888888882</v>
      </c>
      <c r="V11" s="75">
        <v>6</v>
      </c>
      <c r="W11" s="84">
        <f t="shared" si="8"/>
        <v>28.00000000000006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18.999999999994088</v>
      </c>
      <c r="AG11" s="90">
        <f t="shared" si="7"/>
        <v>1.00730769230769</v>
      </c>
      <c r="AH11" s="593"/>
    </row>
    <row r="12" spans="1:34" ht="19.2" customHeight="1">
      <c r="A12" s="628"/>
      <c r="B12" s="78" t="s">
        <v>242</v>
      </c>
      <c r="C12" s="79"/>
      <c r="D12" s="80" t="s">
        <v>96</v>
      </c>
      <c r="E12" s="81"/>
      <c r="F12" s="650">
        <v>31.266131815044861</v>
      </c>
      <c r="G12" s="82">
        <v>1023.05</v>
      </c>
      <c r="H12" s="83">
        <f t="shared" si="0"/>
        <v>31986.816153381646</v>
      </c>
      <c r="I12" s="84"/>
      <c r="J12" s="85">
        <v>18</v>
      </c>
      <c r="K12" s="82">
        <v>2600</v>
      </c>
      <c r="L12" s="86">
        <v>144.44444444444446</v>
      </c>
      <c r="M12" s="87">
        <v>19</v>
      </c>
      <c r="N12" s="82">
        <f t="shared" si="1"/>
        <v>2557.6249999999918</v>
      </c>
      <c r="O12" s="86">
        <f t="shared" si="2"/>
        <v>134.61184210526272</v>
      </c>
      <c r="P12" s="88">
        <f t="shared" si="3"/>
        <v>1</v>
      </c>
      <c r="Q12" s="89">
        <f t="shared" si="4"/>
        <v>-9.832602339181733</v>
      </c>
      <c r="R12" s="90">
        <f t="shared" si="5"/>
        <v>0.93192813765181881</v>
      </c>
      <c r="S12" s="593"/>
      <c r="T12" s="91">
        <v>0.66041666666666654</v>
      </c>
      <c r="U12" s="91">
        <v>0.67708333333333326</v>
      </c>
      <c r="V12" s="75">
        <v>22</v>
      </c>
      <c r="W12" s="84">
        <f t="shared" si="8"/>
        <v>24.000000000000075</v>
      </c>
      <c r="X12" s="94">
        <v>0.64861111111111114</v>
      </c>
      <c r="Y12" s="94">
        <v>0.65763888888888888</v>
      </c>
      <c r="Z12" s="95"/>
      <c r="AA12" s="95"/>
      <c r="AB12" s="571"/>
      <c r="AC12" s="571"/>
      <c r="AD12" s="332"/>
      <c r="AE12" s="332"/>
      <c r="AF12" s="88">
        <f t="shared" si="6"/>
        <v>-42.375000000008185</v>
      </c>
      <c r="AG12" s="90">
        <f t="shared" si="7"/>
        <v>0.98370192307691995</v>
      </c>
      <c r="AH12" s="593"/>
    </row>
    <row r="13" spans="1:34" ht="19.2" customHeight="1">
      <c r="A13" s="628"/>
      <c r="B13" s="78" t="s">
        <v>242</v>
      </c>
      <c r="C13" s="99"/>
      <c r="D13" s="100" t="s">
        <v>95</v>
      </c>
      <c r="E13" s="101"/>
      <c r="F13" s="650">
        <v>37.94</v>
      </c>
      <c r="G13" s="102">
        <v>1726.8999999999999</v>
      </c>
      <c r="H13" s="83">
        <f t="shared" si="0"/>
        <v>65518.585999999988</v>
      </c>
      <c r="I13" s="103"/>
      <c r="J13" s="85">
        <v>20</v>
      </c>
      <c r="K13" s="82">
        <v>2400</v>
      </c>
      <c r="L13" s="86">
        <v>120</v>
      </c>
      <c r="M13" s="104">
        <v>20</v>
      </c>
      <c r="N13" s="82">
        <f t="shared" si="1"/>
        <v>2252.478260869565</v>
      </c>
      <c r="O13" s="86">
        <f t="shared" si="2"/>
        <v>112.62391304347825</v>
      </c>
      <c r="P13" s="88">
        <f t="shared" si="3"/>
        <v>0</v>
      </c>
      <c r="Q13" s="89">
        <f t="shared" si="4"/>
        <v>-7.3760869565217462</v>
      </c>
      <c r="R13" s="90">
        <f t="shared" si="5"/>
        <v>0.93853260869565214</v>
      </c>
      <c r="S13" s="593"/>
      <c r="T13" s="105">
        <v>0.68194444444444435</v>
      </c>
      <c r="U13" s="105">
        <v>0.7138888888888888</v>
      </c>
      <c r="V13" s="103">
        <v>7</v>
      </c>
      <c r="W13" s="84">
        <f t="shared" si="8"/>
        <v>46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-147.52173913043498</v>
      </c>
      <c r="AG13" s="90">
        <f t="shared" si="7"/>
        <v>0.93853260869565214</v>
      </c>
      <c r="AH13" s="593"/>
    </row>
    <row r="14" spans="1:34" ht="19.2" customHeight="1">
      <c r="A14" s="628"/>
      <c r="B14" s="78" t="s">
        <v>247</v>
      </c>
      <c r="C14" s="109"/>
      <c r="D14" s="80" t="s">
        <v>298</v>
      </c>
      <c r="E14" s="81"/>
      <c r="F14" s="650">
        <v>50.67</v>
      </c>
      <c r="G14" s="102">
        <v>1513.8</v>
      </c>
      <c r="H14" s="83">
        <f t="shared" si="0"/>
        <v>76704.245999999999</v>
      </c>
      <c r="I14" s="103"/>
      <c r="J14" s="85">
        <v>18</v>
      </c>
      <c r="K14" s="82">
        <v>1500</v>
      </c>
      <c r="L14" s="86">
        <v>83.333333333333329</v>
      </c>
      <c r="M14" s="104">
        <v>18</v>
      </c>
      <c r="N14" s="82">
        <f t="shared" si="1"/>
        <v>1397.3538461538476</v>
      </c>
      <c r="O14" s="86">
        <f t="shared" si="2"/>
        <v>77.630769230769317</v>
      </c>
      <c r="P14" s="88">
        <f t="shared" si="3"/>
        <v>0</v>
      </c>
      <c r="Q14" s="89">
        <f t="shared" si="4"/>
        <v>-5.7025641025640113</v>
      </c>
      <c r="R14" s="90">
        <f t="shared" si="5"/>
        <v>0.93156923076923182</v>
      </c>
      <c r="S14" s="593"/>
      <c r="T14" s="105">
        <v>0.72986111111111107</v>
      </c>
      <c r="U14" s="105">
        <v>0.77499999999999991</v>
      </c>
      <c r="V14" s="103">
        <v>23</v>
      </c>
      <c r="W14" s="84">
        <f t="shared" si="8"/>
        <v>64.999999999999929</v>
      </c>
      <c r="X14" s="106">
        <v>0.71736111111111101</v>
      </c>
      <c r="Y14" s="106">
        <v>0.7270833333333333</v>
      </c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82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18.5</v>
      </c>
      <c r="K17" s="113">
        <v>2340</v>
      </c>
      <c r="L17" s="116">
        <v>126.3030615755074</v>
      </c>
      <c r="M17" s="113">
        <f t="shared" ref="J17:O17" si="9">AVERAGE(M5:M16)</f>
        <v>19</v>
      </c>
      <c r="N17" s="113">
        <f t="shared" si="9"/>
        <v>2289.9627635472434</v>
      </c>
      <c r="O17" s="116">
        <f t="shared" si="9"/>
        <v>119.65111452995693</v>
      </c>
      <c r="P17" s="107">
        <f t="shared" ref="P17:P22" si="10">M17-J17</f>
        <v>0.5</v>
      </c>
      <c r="Q17" s="117">
        <f t="shared" ref="Q17:Q22" si="11">O17-L17</f>
        <v>-6.6519470455504717</v>
      </c>
      <c r="R17" s="118">
        <f>O17/L17</f>
        <v>0.94733344574095102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0</v>
      </c>
      <c r="AE17" s="122">
        <f>SUM(AE5:AE16)</f>
        <v>0</v>
      </c>
      <c r="AF17" s="107">
        <f t="shared" si="6"/>
        <v>-50.037236452756588</v>
      </c>
      <c r="AG17" s="108">
        <f t="shared" si="7"/>
        <v>0.97861656561848009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2845</v>
      </c>
      <c r="H18" s="127">
        <f t="shared" ref="H18:H29" si="12">F18*G18</f>
        <v>104866.7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2188.4615384615381</v>
      </c>
      <c r="O18" s="129">
        <f t="shared" ref="O18:O22" si="14">N18/M18</f>
        <v>121.58119658119656</v>
      </c>
      <c r="P18" s="95">
        <f t="shared" si="10"/>
        <v>1</v>
      </c>
      <c r="Q18" s="131">
        <f t="shared" si="11"/>
        <v>-10.771744595274015</v>
      </c>
      <c r="R18" s="132">
        <f t="shared" ref="R18:R22" si="15">O18/L18</f>
        <v>0.91861348528015185</v>
      </c>
      <c r="S18" s="575">
        <f>R30</f>
        <v>0.89462448386927407</v>
      </c>
      <c r="T18" s="133">
        <v>0.16666666666666666</v>
      </c>
      <c r="U18" s="133">
        <v>0.22083333333333333</v>
      </c>
      <c r="V18" s="332">
        <v>5</v>
      </c>
      <c r="W18" s="134">
        <f>(U18-T18)*24*60</f>
        <v>78</v>
      </c>
      <c r="X18" s="129"/>
      <c r="Y18" s="129"/>
      <c r="Z18" s="95"/>
      <c r="AA18" s="95"/>
      <c r="AB18" s="571"/>
      <c r="AC18" s="571"/>
      <c r="AD18" s="332"/>
      <c r="AE18" s="332"/>
      <c r="AF18" s="135">
        <f t="shared" si="6"/>
        <v>-61.538461538461888</v>
      </c>
      <c r="AG18" s="136">
        <f t="shared" si="7"/>
        <v>0.97264957264957252</v>
      </c>
      <c r="AH18" s="616">
        <f>AG30</f>
        <v>0.91935306534121752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1937.6</v>
      </c>
      <c r="H19" s="127">
        <f t="shared" si="12"/>
        <v>74384.463999999993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1417.7560975609758</v>
      </c>
      <c r="O19" s="139">
        <f t="shared" si="14"/>
        <v>83.397417503586809</v>
      </c>
      <c r="P19" s="95">
        <f t="shared" si="10"/>
        <v>1</v>
      </c>
      <c r="Q19" s="131">
        <f t="shared" si="11"/>
        <v>-18.852582496413191</v>
      </c>
      <c r="R19" s="132">
        <f t="shared" si="15"/>
        <v>0.81562266507175363</v>
      </c>
      <c r="S19" s="575"/>
      <c r="T19" s="133">
        <v>0.22500000000000001</v>
      </c>
      <c r="U19" s="133">
        <v>0.28194444444444444</v>
      </c>
      <c r="V19" s="332">
        <v>6</v>
      </c>
      <c r="W19" s="134">
        <f>(U19-T19)*24*60</f>
        <v>81.999999999999986</v>
      </c>
      <c r="X19" s="140"/>
      <c r="Y19" s="140"/>
      <c r="Z19" s="95"/>
      <c r="AA19" s="95"/>
      <c r="AB19" s="571"/>
      <c r="AC19" s="571"/>
      <c r="AD19" s="332"/>
      <c r="AE19" s="332"/>
      <c r="AF19" s="88">
        <f t="shared" si="6"/>
        <v>-218.24390243902417</v>
      </c>
      <c r="AG19" s="90">
        <f t="shared" si="7"/>
        <v>0.86659908163873833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2081</v>
      </c>
      <c r="H20" s="127">
        <f t="shared" si="12"/>
        <v>89774.34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1402.9213483146068</v>
      </c>
      <c r="O20" s="139">
        <f t="shared" si="14"/>
        <v>87.682584269662925</v>
      </c>
      <c r="P20" s="95">
        <f t="shared" si="10"/>
        <v>0</v>
      </c>
      <c r="Q20" s="131">
        <f t="shared" si="11"/>
        <v>-2.3174157303370748</v>
      </c>
      <c r="R20" s="132">
        <f t="shared" si="15"/>
        <v>0.97425093632958804</v>
      </c>
      <c r="S20" s="575"/>
      <c r="T20" s="133">
        <v>0.29791666666666666</v>
      </c>
      <c r="U20" s="133">
        <v>0.35972222222222222</v>
      </c>
      <c r="V20" s="332">
        <v>23</v>
      </c>
      <c r="W20" s="134">
        <f t="shared" ref="W20:W29" si="16">(U20-T20)*24*60</f>
        <v>89</v>
      </c>
      <c r="X20" s="140">
        <v>0.28541666666666665</v>
      </c>
      <c r="Y20" s="140">
        <v>0.2951388888888889</v>
      </c>
      <c r="Z20" s="95"/>
      <c r="AA20" s="95"/>
      <c r="AB20" s="571"/>
      <c r="AC20" s="571"/>
      <c r="AD20" s="332"/>
      <c r="AE20" s="332"/>
      <c r="AF20" s="135">
        <f t="shared" si="6"/>
        <v>-37.078651685393197</v>
      </c>
      <c r="AG20" s="136">
        <f t="shared" si="7"/>
        <v>0.97425093632958804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2220.4</v>
      </c>
      <c r="H21" s="127">
        <f t="shared" si="12"/>
        <v>84597.24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1319.0495049504946</v>
      </c>
      <c r="O21" s="139">
        <f t="shared" si="14"/>
        <v>77.59114735002909</v>
      </c>
      <c r="P21" s="95">
        <f t="shared" si="10"/>
        <v>0</v>
      </c>
      <c r="Q21" s="131">
        <f t="shared" si="11"/>
        <v>-10.644146767617968</v>
      </c>
      <c r="R21" s="132">
        <f t="shared" si="15"/>
        <v>0.87936633663366304</v>
      </c>
      <c r="S21" s="575"/>
      <c r="T21" s="133">
        <v>0.36527777777777776</v>
      </c>
      <c r="U21" s="133">
        <v>0.43541666666666667</v>
      </c>
      <c r="V21" s="332">
        <v>8</v>
      </c>
      <c r="W21" s="134">
        <f t="shared" si="16"/>
        <v>101.00000000000004</v>
      </c>
      <c r="X21" s="140"/>
      <c r="Y21" s="140"/>
      <c r="Z21" s="95"/>
      <c r="AA21" s="95"/>
      <c r="AB21" s="571"/>
      <c r="AC21" s="571"/>
      <c r="AD21" s="332"/>
      <c r="AE21" s="332"/>
      <c r="AF21" s="88">
        <f t="shared" si="6"/>
        <v>-180.95049504950543</v>
      </c>
      <c r="AG21" s="90">
        <f t="shared" si="7"/>
        <v>0.87936633663366304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2497.9500000000003</v>
      </c>
      <c r="H22" s="127">
        <f t="shared" si="12"/>
        <v>95171.895000000019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1326.345132743362</v>
      </c>
      <c r="O22" s="139">
        <f t="shared" si="14"/>
        <v>78.020301926080123</v>
      </c>
      <c r="P22" s="95">
        <f t="shared" si="10"/>
        <v>0</v>
      </c>
      <c r="Q22" s="131">
        <f t="shared" si="11"/>
        <v>-10.214992191566935</v>
      </c>
      <c r="R22" s="132">
        <f t="shared" si="15"/>
        <v>0.88423008849557472</v>
      </c>
      <c r="S22" s="575"/>
      <c r="T22" s="133">
        <v>0.47569444444444442</v>
      </c>
      <c r="U22" s="133">
        <v>0.5541666666666667</v>
      </c>
      <c r="V22" s="332">
        <v>5</v>
      </c>
      <c r="W22" s="134">
        <f t="shared" si="16"/>
        <v>113.00000000000009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-173.654867256638</v>
      </c>
      <c r="AG22" s="136">
        <f t="shared" si="7"/>
        <v>0.88423008849557472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1530.9067244061955</v>
      </c>
      <c r="O30" s="148">
        <f t="shared" si="17"/>
        <v>89.654529526111105</v>
      </c>
      <c r="P30" s="95">
        <f t="shared" ref="P30:P38" si="18">M30-J30</f>
        <v>0.39999999999999858</v>
      </c>
      <c r="Q30" s="131">
        <f t="shared" ref="Q30:Q38" si="19">O30-L30</f>
        <v>-10.56017635624184</v>
      </c>
      <c r="R30" s="149">
        <f t="shared" ref="R30:R38" si="20">O30/L30</f>
        <v>0.89462448386927407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0</v>
      </c>
      <c r="AF30" s="152">
        <f t="shared" si="6"/>
        <v>-134.29327559380454</v>
      </c>
      <c r="AG30" s="153">
        <f t="shared" ref="AG30" si="21">N30/K30</f>
        <v>0.91935306534121752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2136</v>
      </c>
      <c r="H31" s="157">
        <f t="shared" ref="H31:H40" si="22">F31*G31</f>
        <v>73115.28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2067.0967741935488</v>
      </c>
      <c r="O31" s="160">
        <f t="shared" ref="O31:O38" si="24">N31/M31</f>
        <v>159.00744416873451</v>
      </c>
      <c r="P31" s="161">
        <f t="shared" si="18"/>
        <v>0</v>
      </c>
      <c r="Q31" s="162">
        <f t="shared" si="19"/>
        <v>-14.069478908188557</v>
      </c>
      <c r="R31" s="166">
        <f t="shared" si="20"/>
        <v>0.91870967741935494</v>
      </c>
      <c r="S31" s="614">
        <f>R43</f>
        <v>0.87928690019916245</v>
      </c>
      <c r="T31" s="163">
        <v>0.16666666666666666</v>
      </c>
      <c r="U31" s="163">
        <v>0.2097222222222222</v>
      </c>
      <c r="V31" s="93">
        <v>5</v>
      </c>
      <c r="W31" s="164">
        <f t="shared" ref="W31:W42" si="25">(U31-T31)*24*60</f>
        <v>61.999999999999979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-182.90322580645125</v>
      </c>
      <c r="AG31" s="165">
        <f t="shared" si="7"/>
        <v>0.91870967741935505</v>
      </c>
      <c r="AH31" s="592">
        <f>AG43</f>
        <v>0.88453794762934934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2243</v>
      </c>
      <c r="H32" s="127">
        <f t="shared" si="22"/>
        <v>79245.19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2070.4615384615372</v>
      </c>
      <c r="O32" s="86">
        <f t="shared" si="24"/>
        <v>172.53846153846143</v>
      </c>
      <c r="P32" s="88">
        <f t="shared" si="18"/>
        <v>0</v>
      </c>
      <c r="Q32" s="89">
        <f t="shared" si="19"/>
        <v>-3.9615384615385665</v>
      </c>
      <c r="R32" s="90">
        <f t="shared" si="20"/>
        <v>0.97755502288080132</v>
      </c>
      <c r="S32" s="575"/>
      <c r="T32" s="133">
        <v>0.21527777777777776</v>
      </c>
      <c r="U32" s="133">
        <v>0.26041666666666669</v>
      </c>
      <c r="V32" s="332">
        <v>8</v>
      </c>
      <c r="W32" s="134">
        <f t="shared" si="25"/>
        <v>65.000000000000043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-47.538461538462798</v>
      </c>
      <c r="AG32" s="90">
        <f t="shared" si="7"/>
        <v>0.97755502288080132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2445.1</v>
      </c>
      <c r="H33" s="127">
        <f t="shared" si="22"/>
        <v>89026.090999999986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2292.2812499999995</v>
      </c>
      <c r="O33" s="86">
        <f t="shared" si="24"/>
        <v>229.22812499999995</v>
      </c>
      <c r="P33" s="88">
        <f t="shared" si="18"/>
        <v>0</v>
      </c>
      <c r="Q33" s="89">
        <f t="shared" si="19"/>
        <v>-47.671875000000028</v>
      </c>
      <c r="R33" s="90">
        <f t="shared" si="20"/>
        <v>0.82783721560129997</v>
      </c>
      <c r="S33" s="575"/>
      <c r="T33" s="133">
        <v>0.27569444444444446</v>
      </c>
      <c r="U33" s="133">
        <v>0.32013888888888892</v>
      </c>
      <c r="V33" s="332">
        <v>22</v>
      </c>
      <c r="W33" s="134">
        <f t="shared" si="25"/>
        <v>64.000000000000014</v>
      </c>
      <c r="X33" s="169">
        <v>0.2638888888888889</v>
      </c>
      <c r="Y33" s="169">
        <v>0.27291666666666664</v>
      </c>
      <c r="Z33" s="170"/>
      <c r="AA33" s="170"/>
      <c r="AB33" s="571"/>
      <c r="AC33" s="571"/>
      <c r="AD33" s="332"/>
      <c r="AE33" s="332"/>
      <c r="AF33" s="88">
        <f t="shared" si="6"/>
        <v>-476.71875000000045</v>
      </c>
      <c r="AG33" s="171">
        <f t="shared" si="7"/>
        <v>0.82783721560129997</v>
      </c>
      <c r="AH33" s="590"/>
    </row>
    <row r="34" spans="1:34" ht="19.2" customHeight="1">
      <c r="A34" s="613"/>
      <c r="B34" s="167" t="s">
        <v>247</v>
      </c>
      <c r="C34" s="172"/>
      <c r="D34" s="125" t="s">
        <v>109</v>
      </c>
      <c r="E34" s="126"/>
      <c r="F34" s="650">
        <v>49.91</v>
      </c>
      <c r="G34" s="98">
        <v>724</v>
      </c>
      <c r="H34" s="127">
        <f t="shared" si="22"/>
        <v>36134.839999999997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1316.3636363636379</v>
      </c>
      <c r="O34" s="86">
        <f t="shared" si="24"/>
        <v>77.433155080213993</v>
      </c>
      <c r="P34" s="88">
        <f t="shared" si="18"/>
        <v>0</v>
      </c>
      <c r="Q34" s="89">
        <f t="shared" si="19"/>
        <v>-10.802139037433065</v>
      </c>
      <c r="R34" s="90">
        <f t="shared" si="20"/>
        <v>0.87757575757575856</v>
      </c>
      <c r="S34" s="575"/>
      <c r="T34" s="133">
        <v>0.32500000000000001</v>
      </c>
      <c r="U34" s="133">
        <v>0.34791666666666665</v>
      </c>
      <c r="V34" s="332">
        <v>7</v>
      </c>
      <c r="W34" s="134">
        <f t="shared" si="25"/>
        <v>32.999999999999964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-183.63636363636215</v>
      </c>
      <c r="AG34" s="171">
        <f t="shared" si="7"/>
        <v>0.87757575757575856</v>
      </c>
      <c r="AH34" s="590"/>
    </row>
    <row r="35" spans="1:34" ht="19.2" customHeight="1">
      <c r="A35" s="613"/>
      <c r="B35" s="167" t="s">
        <v>247</v>
      </c>
      <c r="C35" s="79"/>
      <c r="D35" s="80" t="s">
        <v>110</v>
      </c>
      <c r="E35" s="81"/>
      <c r="F35" s="650">
        <v>53.27</v>
      </c>
      <c r="G35" s="173">
        <v>1260</v>
      </c>
      <c r="H35" s="127">
        <f t="shared" si="22"/>
        <v>67120.2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1326.3157894736833</v>
      </c>
      <c r="O35" s="86">
        <f t="shared" si="24"/>
        <v>73.684210526315738</v>
      </c>
      <c r="P35" s="88">
        <f t="shared" si="18"/>
        <v>0</v>
      </c>
      <c r="Q35" s="89">
        <f t="shared" si="19"/>
        <v>-9.6491228070175907</v>
      </c>
      <c r="R35" s="90">
        <f t="shared" si="20"/>
        <v>0.88421052631578889</v>
      </c>
      <c r="S35" s="575"/>
      <c r="T35" s="133">
        <v>0.36249999999999999</v>
      </c>
      <c r="U35" s="133">
        <v>0.40208333333333335</v>
      </c>
      <c r="V35" s="332">
        <v>21</v>
      </c>
      <c r="W35" s="134">
        <f t="shared" si="25"/>
        <v>57.000000000000036</v>
      </c>
      <c r="X35" s="169">
        <v>0.35138888888888892</v>
      </c>
      <c r="Y35" s="169">
        <v>0.35972222222222222</v>
      </c>
      <c r="Z35" s="170"/>
      <c r="AA35" s="170"/>
      <c r="AB35" s="571"/>
      <c r="AC35" s="571"/>
      <c r="AD35" s="332"/>
      <c r="AE35" s="332"/>
      <c r="AF35" s="161">
        <f t="shared" si="6"/>
        <v>-173.68421052631675</v>
      </c>
      <c r="AG35" s="165">
        <f t="shared" si="7"/>
        <v>0.88421052631578878</v>
      </c>
      <c r="AH35" s="593"/>
    </row>
    <row r="36" spans="1:34" ht="19.2" customHeight="1">
      <c r="A36" s="613"/>
      <c r="B36" s="167" t="s">
        <v>245</v>
      </c>
      <c r="C36" s="175"/>
      <c r="D36" s="80" t="s">
        <v>111</v>
      </c>
      <c r="E36" s="126"/>
      <c r="F36" s="650">
        <v>29.113149847094796</v>
      </c>
      <c r="G36" s="98">
        <v>2570.88</v>
      </c>
      <c r="H36" s="127">
        <f t="shared" si="22"/>
        <v>74846.414678899077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1329.7655172413795</v>
      </c>
      <c r="O36" s="86">
        <f t="shared" si="24"/>
        <v>66.488275862068974</v>
      </c>
      <c r="P36" s="88">
        <f t="shared" si="18"/>
        <v>0</v>
      </c>
      <c r="Q36" s="89">
        <f t="shared" si="19"/>
        <v>-8.5117241379310258</v>
      </c>
      <c r="R36" s="90">
        <f t="shared" si="20"/>
        <v>0.88651034482758628</v>
      </c>
      <c r="S36" s="575"/>
      <c r="T36" s="133">
        <v>0.41805555555555557</v>
      </c>
      <c r="U36" s="133">
        <v>0.49861111111111112</v>
      </c>
      <c r="V36" s="332">
        <v>23</v>
      </c>
      <c r="W36" s="134">
        <f t="shared" si="25"/>
        <v>115.99999999999999</v>
      </c>
      <c r="X36" s="169">
        <v>0.4055555555555555</v>
      </c>
      <c r="Y36" s="169">
        <v>0.4152777777777778</v>
      </c>
      <c r="Z36" s="170"/>
      <c r="AA36" s="170"/>
      <c r="AB36" s="571"/>
      <c r="AC36" s="571"/>
      <c r="AD36" s="332"/>
      <c r="AE36" s="332"/>
      <c r="AF36" s="88">
        <f t="shared" si="6"/>
        <v>-170.23448275862052</v>
      </c>
      <c r="AG36" s="90">
        <f t="shared" si="7"/>
        <v>0.88651034482758628</v>
      </c>
      <c r="AH36" s="593"/>
    </row>
    <row r="37" spans="1:34" ht="19.2" customHeight="1">
      <c r="A37" s="613"/>
      <c r="B37" s="167" t="s">
        <v>244</v>
      </c>
      <c r="C37" s="175"/>
      <c r="D37" s="125" t="s">
        <v>105</v>
      </c>
      <c r="E37" s="126"/>
      <c r="F37" s="650">
        <v>38.39</v>
      </c>
      <c r="G37" s="98">
        <v>830.4</v>
      </c>
      <c r="H37" s="127">
        <f t="shared" si="22"/>
        <v>31879.056</v>
      </c>
      <c r="I37" s="332">
        <v>2</v>
      </c>
      <c r="J37" s="85">
        <v>16</v>
      </c>
      <c r="K37" s="82">
        <v>1636</v>
      </c>
      <c r="L37" s="86">
        <v>102.25</v>
      </c>
      <c r="M37" s="85">
        <v>17</v>
      </c>
      <c r="N37" s="82">
        <f t="shared" si="23"/>
        <v>1346.5945945945934</v>
      </c>
      <c r="O37" s="86">
        <f t="shared" si="24"/>
        <v>79.211446740858435</v>
      </c>
      <c r="P37" s="88">
        <f t="shared" si="18"/>
        <v>1</v>
      </c>
      <c r="Q37" s="89">
        <f t="shared" si="19"/>
        <v>-23.038553259141565</v>
      </c>
      <c r="R37" s="90">
        <f t="shared" si="20"/>
        <v>0.77468407570521691</v>
      </c>
      <c r="S37" s="575"/>
      <c r="T37" s="133">
        <v>0.54305555555555551</v>
      </c>
      <c r="U37" s="133">
        <v>0.56874999999999998</v>
      </c>
      <c r="V37" s="332">
        <v>7</v>
      </c>
      <c r="W37" s="134">
        <f t="shared" si="25"/>
        <v>37.000000000000028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-289.40540540540655</v>
      </c>
      <c r="AG37" s="171">
        <f t="shared" si="7"/>
        <v>0.82310183043679308</v>
      </c>
      <c r="AH37" s="593"/>
    </row>
    <row r="38" spans="1:34" ht="19.2" customHeight="1">
      <c r="A38" s="613"/>
      <c r="B38" s="167" t="s">
        <v>245</v>
      </c>
      <c r="C38" s="175"/>
      <c r="D38" s="125" t="s">
        <v>111</v>
      </c>
      <c r="E38" s="126"/>
      <c r="F38" s="650">
        <v>29.113149847094796</v>
      </c>
      <c r="G38" s="98">
        <v>725.12</v>
      </c>
      <c r="H38" s="127">
        <f t="shared" si="22"/>
        <v>21110.527217125378</v>
      </c>
      <c r="I38" s="332">
        <v>2</v>
      </c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1318.3999999999983</v>
      </c>
      <c r="O38" s="86">
        <f t="shared" si="24"/>
        <v>65.919999999999916</v>
      </c>
      <c r="P38" s="88">
        <f t="shared" si="18"/>
        <v>0</v>
      </c>
      <c r="Q38" s="89">
        <f t="shared" si="19"/>
        <v>-9.0800000000000836</v>
      </c>
      <c r="R38" s="90">
        <f t="shared" si="20"/>
        <v>0.87893333333333223</v>
      </c>
      <c r="S38" s="575"/>
      <c r="T38" s="133">
        <v>0.57430555555555551</v>
      </c>
      <c r="U38" s="133">
        <v>0.59722222222222221</v>
      </c>
      <c r="V38" s="332">
        <v>8</v>
      </c>
      <c r="W38" s="134">
        <f t="shared" si="25"/>
        <v>33.000000000000043</v>
      </c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-181.60000000000173</v>
      </c>
      <c r="AG38" s="171">
        <f t="shared" si="7"/>
        <v>0.87893333333333223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J43:O43" si="26">AVERAGE(M31:M42)</f>
        <v>15.875</v>
      </c>
      <c r="N43" s="145">
        <f t="shared" si="26"/>
        <v>1633.4098875410473</v>
      </c>
      <c r="O43" s="148">
        <f t="shared" si="26"/>
        <v>115.43888986458164</v>
      </c>
      <c r="P43" s="95">
        <f>M43-J43</f>
        <v>0.125</v>
      </c>
      <c r="Q43" s="131">
        <f>N43-K43</f>
        <v>-213.21511245895272</v>
      </c>
      <c r="R43" s="149">
        <f t="shared" ref="R43:R51" si="27">O43/L43</f>
        <v>0.87928690019916245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0</v>
      </c>
      <c r="AE43" s="151">
        <f>SUM(AE31:AE42)</f>
        <v>0</v>
      </c>
      <c r="AF43" s="88">
        <f t="shared" ref="AF43:AF54" si="28">N43-K43</f>
        <v>-213.21511245895272</v>
      </c>
      <c r="AG43" s="108">
        <f t="shared" si="7"/>
        <v>0.88453794762934934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643</v>
      </c>
      <c r="H44" s="83">
        <f>F44*G44</f>
        <v>14319.61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2143.3333333333317</v>
      </c>
      <c r="O44" s="187">
        <f>N44/M44</f>
        <v>428.66666666666634</v>
      </c>
      <c r="P44" s="92">
        <f t="shared" ref="P44:P51" si="29">M44-J44</f>
        <v>1</v>
      </c>
      <c r="Q44" s="188">
        <f t="shared" ref="Q44:Q51" si="30">O44-L44</f>
        <v>-71.333333333333655</v>
      </c>
      <c r="R44" s="189">
        <f t="shared" si="27"/>
        <v>0.85733333333333273</v>
      </c>
      <c r="S44" s="590">
        <f>R56</f>
        <v>0.8858556750312907</v>
      </c>
      <c r="T44" s="190">
        <v>0.16666666666666666</v>
      </c>
      <c r="U44" s="190">
        <v>0.17916666666666667</v>
      </c>
      <c r="V44" s="191">
        <v>5</v>
      </c>
      <c r="W44" s="192">
        <f t="shared" ref="W44:W56" si="31">(U44-T44)*24*60</f>
        <v>18.000000000000014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143.33333333333167</v>
      </c>
      <c r="AG44" s="194">
        <f t="shared" si="7"/>
        <v>1.0716666666666659</v>
      </c>
      <c r="AH44" s="611">
        <f>AG56</f>
        <v>1.0177991049609836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2309</v>
      </c>
      <c r="H45" s="83">
        <f>F45*G45</f>
        <v>57101.57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2131.3846153846148</v>
      </c>
      <c r="O45" s="187">
        <f>N45/M45</f>
        <v>426.27692307692297</v>
      </c>
      <c r="P45" s="92">
        <f t="shared" si="29"/>
        <v>1</v>
      </c>
      <c r="Q45" s="188">
        <f t="shared" si="30"/>
        <v>-73.723076923077031</v>
      </c>
      <c r="R45" s="189">
        <f t="shared" si="27"/>
        <v>0.85255384615384588</v>
      </c>
      <c r="S45" s="590"/>
      <c r="T45" s="190">
        <v>0.18263888888888888</v>
      </c>
      <c r="U45" s="190">
        <v>0.22777777777777777</v>
      </c>
      <c r="V45" s="191">
        <v>5</v>
      </c>
      <c r="W45" s="192">
        <f t="shared" si="31"/>
        <v>65.000000000000014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131.38461538461479</v>
      </c>
      <c r="AG45" s="194">
        <f t="shared" si="7"/>
        <v>1.0656923076923075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2187</v>
      </c>
      <c r="H46" s="83">
        <f t="shared" ref="H46:H51" si="32">F46*G46</f>
        <v>54084.51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2151.1475409836071</v>
      </c>
      <c r="O46" s="187">
        <f>N46/M46</f>
        <v>430.22950819672144</v>
      </c>
      <c r="P46" s="92">
        <f t="shared" si="29"/>
        <v>1</v>
      </c>
      <c r="Q46" s="188">
        <f t="shared" si="30"/>
        <v>-69.77049180327856</v>
      </c>
      <c r="R46" s="189">
        <f t="shared" si="27"/>
        <v>0.86045901639344291</v>
      </c>
      <c r="S46" s="590"/>
      <c r="T46" s="190">
        <v>0.23124999999999998</v>
      </c>
      <c r="U46" s="190">
        <v>0.27361111111111108</v>
      </c>
      <c r="V46" s="191">
        <v>5</v>
      </c>
      <c r="W46" s="192">
        <f t="shared" si="31"/>
        <v>60.999999999999986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151.14754098360709</v>
      </c>
      <c r="AG46" s="194">
        <f t="shared" si="7"/>
        <v>1.0755737704918036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2858</v>
      </c>
      <c r="H47" s="83">
        <f t="shared" si="32"/>
        <v>89826.94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1478.2758620689656</v>
      </c>
      <c r="O47" s="187">
        <f>N47/M47</f>
        <v>211.18226600985221</v>
      </c>
      <c r="P47" s="92">
        <f t="shared" si="29"/>
        <v>0</v>
      </c>
      <c r="Q47" s="188">
        <f t="shared" si="30"/>
        <v>-3.1034482758620641</v>
      </c>
      <c r="R47" s="189">
        <f t="shared" si="27"/>
        <v>0.9855172413793104</v>
      </c>
      <c r="S47" s="590"/>
      <c r="T47" s="190">
        <v>0.29097222222222219</v>
      </c>
      <c r="U47" s="190">
        <v>0.37152777777777773</v>
      </c>
      <c r="V47" s="186">
        <v>25</v>
      </c>
      <c r="W47" s="192">
        <f t="shared" si="31"/>
        <v>115.99999999999999</v>
      </c>
      <c r="X47" s="169">
        <v>0.27708333333333335</v>
      </c>
      <c r="Y47" s="169">
        <v>0.28819444444444448</v>
      </c>
      <c r="Z47" s="170"/>
      <c r="AA47" s="170"/>
      <c r="AB47" s="571"/>
      <c r="AC47" s="571"/>
      <c r="AD47" s="332"/>
      <c r="AE47" s="332"/>
      <c r="AF47" s="193">
        <f t="shared" si="28"/>
        <v>-21.72413793103442</v>
      </c>
      <c r="AG47" s="194">
        <f t="shared" si="7"/>
        <v>0.9855172413793104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2365</v>
      </c>
      <c r="H48" s="83">
        <f t="shared" si="32"/>
        <v>27434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1462.8865979381446</v>
      </c>
      <c r="O48" s="187">
        <f t="shared" ref="O48:O51" si="34">N48/M48</f>
        <v>208.98379970544923</v>
      </c>
      <c r="P48" s="92">
        <f t="shared" si="29"/>
        <v>0</v>
      </c>
      <c r="Q48" s="188">
        <f t="shared" si="30"/>
        <v>-24.730486008836493</v>
      </c>
      <c r="R48" s="189">
        <f t="shared" si="27"/>
        <v>0.89418496206488052</v>
      </c>
      <c r="S48" s="590"/>
      <c r="T48" s="201">
        <v>0.38888888888888884</v>
      </c>
      <c r="U48" s="201">
        <v>0.45624999999999993</v>
      </c>
      <c r="V48" s="183">
        <v>25</v>
      </c>
      <c r="W48" s="192">
        <f t="shared" si="31"/>
        <v>96.999999999999972</v>
      </c>
      <c r="X48" s="169">
        <v>0.375</v>
      </c>
      <c r="Y48" s="169">
        <v>0.38611111111111113</v>
      </c>
      <c r="Z48" s="170"/>
      <c r="AA48" s="170"/>
      <c r="AB48" s="571"/>
      <c r="AC48" s="571"/>
      <c r="AD48" s="332"/>
      <c r="AE48" s="332"/>
      <c r="AF48" s="193">
        <f t="shared" si="28"/>
        <v>-173.11340206185537</v>
      </c>
      <c r="AG48" s="194">
        <f t="shared" si="7"/>
        <v>0.89418496206488063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2461</v>
      </c>
      <c r="H49" s="83">
        <f t="shared" si="32"/>
        <v>24831.489999999998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1461.9801980198026</v>
      </c>
      <c r="O49" s="187">
        <f t="shared" si="34"/>
        <v>243.66336633663377</v>
      </c>
      <c r="P49" s="92">
        <f t="shared" si="29"/>
        <v>0</v>
      </c>
      <c r="Q49" s="188">
        <f t="shared" si="30"/>
        <v>-6.3366336633662286</v>
      </c>
      <c r="R49" s="189">
        <f t="shared" si="27"/>
        <v>0.97465346534653508</v>
      </c>
      <c r="S49" s="590"/>
      <c r="T49" s="201">
        <v>0.46319444444444435</v>
      </c>
      <c r="U49" s="201">
        <v>0.53333333333333321</v>
      </c>
      <c r="V49" s="183">
        <v>10</v>
      </c>
      <c r="W49" s="192">
        <f t="shared" si="31"/>
        <v>100.99999999999996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-38.019801980197371</v>
      </c>
      <c r="AG49" s="194">
        <f t="shared" si="7"/>
        <v>0.97465346534653508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2584.0499999999997</v>
      </c>
      <c r="H50" s="83">
        <f t="shared" si="32"/>
        <v>26073.064499999997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1476.6000000000006</v>
      </c>
      <c r="O50" s="187">
        <f t="shared" si="34"/>
        <v>246.10000000000011</v>
      </c>
      <c r="P50" s="92">
        <f t="shared" si="29"/>
        <v>0</v>
      </c>
      <c r="Q50" s="188">
        <f t="shared" si="30"/>
        <v>-3.899999999999892</v>
      </c>
      <c r="R50" s="189">
        <f t="shared" si="27"/>
        <v>0.98440000000000039</v>
      </c>
      <c r="S50" s="590"/>
      <c r="T50" s="201">
        <v>0.55416666666666659</v>
      </c>
      <c r="U50" s="201">
        <v>0.62708333333333321</v>
      </c>
      <c r="V50" s="183">
        <v>30</v>
      </c>
      <c r="W50" s="192">
        <f t="shared" si="31"/>
        <v>104.99999999999994</v>
      </c>
      <c r="X50" s="202">
        <v>0.53680555555555554</v>
      </c>
      <c r="Y50" s="202">
        <v>0.55138888888888882</v>
      </c>
      <c r="Z50" s="203"/>
      <c r="AA50" s="203"/>
      <c r="AB50" s="571"/>
      <c r="AC50" s="571"/>
      <c r="AD50" s="332"/>
      <c r="AE50" s="332"/>
      <c r="AF50" s="193">
        <f t="shared" si="28"/>
        <v>-23.399999999999409</v>
      </c>
      <c r="AG50" s="194">
        <f t="shared" si="7"/>
        <v>0.98440000000000039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1041</v>
      </c>
      <c r="H51" s="83">
        <f t="shared" si="32"/>
        <v>22818.720000000001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2081.9999999999964</v>
      </c>
      <c r="O51" s="187">
        <f t="shared" si="34"/>
        <v>416.3999999999993</v>
      </c>
      <c r="P51" s="92">
        <f t="shared" si="29"/>
        <v>1</v>
      </c>
      <c r="Q51" s="188">
        <f t="shared" si="30"/>
        <v>-83.600000000000705</v>
      </c>
      <c r="R51" s="189">
        <f t="shared" si="27"/>
        <v>0.83279999999999854</v>
      </c>
      <c r="S51" s="590"/>
      <c r="T51" s="201">
        <v>0.63402777777777763</v>
      </c>
      <c r="U51" s="201">
        <v>0.65486111111111101</v>
      </c>
      <c r="V51" s="183">
        <v>10</v>
      </c>
      <c r="W51" s="192">
        <f t="shared" si="31"/>
        <v>30.000000000000053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81.999999999996362</v>
      </c>
      <c r="AG51" s="194">
        <f t="shared" si="7"/>
        <v>1.0409999999999981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1798.4510184660578</v>
      </c>
      <c r="O56" s="148">
        <f t="shared" si="35"/>
        <v>326.43781624903062</v>
      </c>
      <c r="P56" s="208">
        <f>M56-J56</f>
        <v>0.5</v>
      </c>
      <c r="Q56" s="162">
        <f>N56-K56</f>
        <v>31.451018466057803</v>
      </c>
      <c r="R56" s="209">
        <f t="shared" ref="R56:R61" si="36">O56/L56</f>
        <v>0.8858556750312907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31.451018466057803</v>
      </c>
      <c r="AG56" s="132">
        <f>N56/K56</f>
        <v>1.0177991049609836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1586</v>
      </c>
      <c r="H57" s="127">
        <f t="shared" ref="H57:H66" si="37">F57*G57</f>
        <v>44820.36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1463.9999999999998</v>
      </c>
      <c r="O57" s="129">
        <f t="shared" ref="O57:O61" si="39">N57/M57</f>
        <v>209.14285714285711</v>
      </c>
      <c r="P57" s="216">
        <f t="shared" ref="P57:P61" si="40">M57-J57</f>
        <v>0</v>
      </c>
      <c r="Q57" s="89">
        <f t="shared" ref="Q57:Q61" si="41">O57-L57</f>
        <v>-5.1428571428571672</v>
      </c>
      <c r="R57" s="90">
        <f t="shared" si="36"/>
        <v>0.97599999999999987</v>
      </c>
      <c r="S57" s="590">
        <f>R69</f>
        <v>0.91792524820739119</v>
      </c>
      <c r="T57" s="190">
        <v>0.16666666666666666</v>
      </c>
      <c r="U57" s="190">
        <v>0.21180555555555555</v>
      </c>
      <c r="V57" s="75">
        <v>5</v>
      </c>
      <c r="W57" s="84">
        <f>(U57-T57)*24*60</f>
        <v>65.000000000000014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-36.000000000000227</v>
      </c>
      <c r="AG57" s="166">
        <f t="shared" si="7"/>
        <v>0.97599999999999987</v>
      </c>
      <c r="AH57" s="592">
        <f>AG69</f>
        <v>0.97912026475455061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2365</v>
      </c>
      <c r="H58" s="83">
        <f t="shared" si="37"/>
        <v>65936.2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1447.9591836734696</v>
      </c>
      <c r="O58" s="86">
        <f t="shared" si="39"/>
        <v>206.85131195335279</v>
      </c>
      <c r="P58" s="216">
        <f t="shared" si="40"/>
        <v>0</v>
      </c>
      <c r="Q58" s="89">
        <f t="shared" si="41"/>
        <v>-7.4344023323614863</v>
      </c>
      <c r="R58" s="90">
        <f t="shared" si="36"/>
        <v>0.96530612244897973</v>
      </c>
      <c r="S58" s="590"/>
      <c r="T58" s="217">
        <v>0.21875</v>
      </c>
      <c r="U58" s="217">
        <v>0.28680555555555554</v>
      </c>
      <c r="V58" s="75">
        <v>10</v>
      </c>
      <c r="W58" s="84">
        <f>(U58-T58)*24*60</f>
        <v>97.999999999999972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-52.040816326530376</v>
      </c>
      <c r="AG58" s="90">
        <f t="shared" si="7"/>
        <v>0.96530612244897973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2679</v>
      </c>
      <c r="H59" s="83">
        <f t="shared" si="37"/>
        <v>75012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1448.1081081081081</v>
      </c>
      <c r="O59" s="86">
        <f t="shared" si="39"/>
        <v>206.87258687258688</v>
      </c>
      <c r="P59" s="216">
        <f t="shared" si="40"/>
        <v>0</v>
      </c>
      <c r="Q59" s="89">
        <f t="shared" si="41"/>
        <v>-7.4131274131273983</v>
      </c>
      <c r="R59" s="90">
        <f t="shared" si="36"/>
        <v>0.96540540540540543</v>
      </c>
      <c r="S59" s="590"/>
      <c r="T59" s="217">
        <v>0.30416666666666664</v>
      </c>
      <c r="U59" s="217">
        <v>0.38124999999999998</v>
      </c>
      <c r="V59" s="191">
        <v>25</v>
      </c>
      <c r="W59" s="84">
        <f>(U59-T59)*24*60</f>
        <v>111</v>
      </c>
      <c r="X59" s="94">
        <v>0.2902777777777778</v>
      </c>
      <c r="Y59" s="94">
        <v>0.30138888888888887</v>
      </c>
      <c r="Z59" s="95"/>
      <c r="AA59" s="95"/>
      <c r="AB59" s="571"/>
      <c r="AC59" s="571"/>
      <c r="AD59" s="332"/>
      <c r="AE59" s="332"/>
      <c r="AF59" s="88">
        <f t="shared" si="6"/>
        <v>-51.891891891891873</v>
      </c>
      <c r="AG59" s="90">
        <f t="shared" si="7"/>
        <v>0.96540540540540543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2337.9499999999998</v>
      </c>
      <c r="H60" s="83">
        <f t="shared" si="37"/>
        <v>23589.915499999999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1476.6000000000001</v>
      </c>
      <c r="O60" s="86">
        <f t="shared" si="39"/>
        <v>210.94285714285715</v>
      </c>
      <c r="P60" s="216">
        <f t="shared" si="40"/>
        <v>1</v>
      </c>
      <c r="Q60" s="89">
        <f t="shared" si="41"/>
        <v>-39.05714285714285</v>
      </c>
      <c r="R60" s="90">
        <f t="shared" si="36"/>
        <v>0.84377142857142862</v>
      </c>
      <c r="S60" s="590"/>
      <c r="T60" s="217">
        <v>0.39861111111111108</v>
      </c>
      <c r="U60" s="217">
        <v>0.46458333333333329</v>
      </c>
      <c r="V60" s="191">
        <v>25</v>
      </c>
      <c r="W60" s="84">
        <f>(U60-T60)*24*60</f>
        <v>94.999999999999986</v>
      </c>
      <c r="X60" s="94">
        <v>0.38472222222222219</v>
      </c>
      <c r="Y60" s="94">
        <v>0.39583333333333331</v>
      </c>
      <c r="Z60" s="95"/>
      <c r="AA60" s="95"/>
      <c r="AB60" s="571"/>
      <c r="AC60" s="571"/>
      <c r="AD60" s="332"/>
      <c r="AE60" s="332"/>
      <c r="AF60" s="88">
        <f t="shared" si="6"/>
        <v>-23.399999999999864</v>
      </c>
      <c r="AG60" s="166">
        <f t="shared" si="7"/>
        <v>0.98440000000000005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4922</v>
      </c>
      <c r="H61" s="83">
        <f t="shared" si="37"/>
        <v>49662.979999999996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1506.7346938775513</v>
      </c>
      <c r="O61" s="86">
        <f t="shared" si="39"/>
        <v>215.24781341107877</v>
      </c>
      <c r="P61" s="216">
        <f t="shared" si="40"/>
        <v>1</v>
      </c>
      <c r="Q61" s="89">
        <f t="shared" si="41"/>
        <v>-34.752186588921234</v>
      </c>
      <c r="R61" s="90">
        <f t="shared" si="36"/>
        <v>0.86099125364431506</v>
      </c>
      <c r="S61" s="590"/>
      <c r="T61" s="217">
        <v>0.48541666666666661</v>
      </c>
      <c r="U61" s="217">
        <v>0.62152777777777768</v>
      </c>
      <c r="V61" s="191">
        <v>30</v>
      </c>
      <c r="W61" s="84">
        <f>(U61-T61)*24*60</f>
        <v>195.99999999999994</v>
      </c>
      <c r="X61" s="94">
        <v>0.4680555555555555</v>
      </c>
      <c r="Y61" s="94">
        <v>0.4826388888888889</v>
      </c>
      <c r="Z61" s="95"/>
      <c r="AA61" s="95"/>
      <c r="AB61" s="571"/>
      <c r="AC61" s="571"/>
      <c r="AD61" s="332"/>
      <c r="AE61" s="332"/>
      <c r="AF61" s="88">
        <f t="shared" si="6"/>
        <v>6.7346938775513081</v>
      </c>
      <c r="AG61" s="90">
        <f t="shared" si="7"/>
        <v>1.0044897959183676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1468.6803971318259</v>
      </c>
      <c r="O69" s="116">
        <f t="shared" si="43"/>
        <v>209.81148530454658</v>
      </c>
      <c r="P69" s="88">
        <f>M69-J69</f>
        <v>0.40000000000000036</v>
      </c>
      <c r="Q69" s="89">
        <f>N69-K69</f>
        <v>-31.319602868174115</v>
      </c>
      <c r="R69" s="225">
        <f t="shared" ref="R69:R70" si="44">O69/L69</f>
        <v>0.91792524820739119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-31.319602868174115</v>
      </c>
      <c r="AG69" s="90">
        <f t="shared" si="7"/>
        <v>0.97912026475455061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442</v>
      </c>
      <c r="H70" s="83">
        <f>F70*G70</f>
        <v>27461.460000000003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1262.8571428571424</v>
      </c>
      <c r="O70" s="86">
        <f t="shared" ref="O70:O75" si="46">N70/M70</f>
        <v>90.204081632653029</v>
      </c>
      <c r="P70" s="88">
        <f t="shared" ref="P70:P75" si="47">M70-J70</f>
        <v>0</v>
      </c>
      <c r="Q70" s="89">
        <f t="shared" ref="Q70" si="48">O70-L70</f>
        <v>-16.93877551020411</v>
      </c>
      <c r="R70" s="90">
        <f t="shared" si="44"/>
        <v>0.8419047619047616</v>
      </c>
      <c r="S70" s="590">
        <f>R82</f>
        <v>0.86385086173502024</v>
      </c>
      <c r="T70" s="91">
        <v>0.29166666666666669</v>
      </c>
      <c r="U70" s="91">
        <v>0.30625000000000002</v>
      </c>
      <c r="V70" s="75">
        <v>5</v>
      </c>
      <c r="W70" s="84">
        <f>(U70-T70)*24*60</f>
        <v>21.000000000000007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-237.14285714285757</v>
      </c>
      <c r="AG70" s="90">
        <f t="shared" si="7"/>
        <v>0.8419047619047616</v>
      </c>
      <c r="AH70" s="590">
        <f>AG82</f>
        <v>0.8770851494488614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2284</v>
      </c>
      <c r="H71" s="83">
        <f>F71*G71</f>
        <v>108832.59999999999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1330.4854368932045</v>
      </c>
      <c r="O71" s="86">
        <f t="shared" si="46"/>
        <v>73.915857605178019</v>
      </c>
      <c r="P71" s="88">
        <f t="shared" si="47"/>
        <v>0</v>
      </c>
      <c r="Q71" s="89">
        <f>O71-L71</f>
        <v>-6.0841423948219813</v>
      </c>
      <c r="R71" s="90">
        <f>O71/L71</f>
        <v>0.92394822006472521</v>
      </c>
      <c r="S71" s="590"/>
      <c r="T71" s="91">
        <v>0.31111111111111112</v>
      </c>
      <c r="U71" s="91">
        <v>0.38263888888888886</v>
      </c>
      <c r="V71" s="75">
        <v>7</v>
      </c>
      <c r="W71" s="84">
        <f t="shared" ref="W71:W81" si="49">(U71-T71)*24*60</f>
        <v>102.99999999999996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-109.51456310679555</v>
      </c>
      <c r="AG71" s="90">
        <f>N71/K71</f>
        <v>0.92394822006472532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1502.7600000000002</v>
      </c>
      <c r="H72" s="83">
        <f t="shared" ref="H72:H80" si="50">F72*G72</f>
        <v>85431.906000000017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1387.1630769230769</v>
      </c>
      <c r="O72" s="86">
        <f t="shared" si="46"/>
        <v>77.064615384615379</v>
      </c>
      <c r="P72" s="88">
        <f t="shared" si="47"/>
        <v>0</v>
      </c>
      <c r="Q72" s="89">
        <f>O72-L72</f>
        <v>-13.824273504273506</v>
      </c>
      <c r="R72" s="90">
        <f>O72/L72</f>
        <v>0.8478991912732744</v>
      </c>
      <c r="S72" s="590"/>
      <c r="T72" s="91">
        <v>0.39861111111111108</v>
      </c>
      <c r="U72" s="91">
        <v>0.44374999999999998</v>
      </c>
      <c r="V72" s="75">
        <v>23</v>
      </c>
      <c r="W72" s="84">
        <f t="shared" si="49"/>
        <v>65.000000000000014</v>
      </c>
      <c r="X72" s="94">
        <v>0.38611111111111113</v>
      </c>
      <c r="Y72" s="94">
        <v>0.39583333333333331</v>
      </c>
      <c r="Z72" s="95"/>
      <c r="AA72" s="95"/>
      <c r="AB72" s="571"/>
      <c r="AC72" s="571"/>
      <c r="AD72" s="332"/>
      <c r="AE72" s="332"/>
      <c r="AF72" s="88">
        <f>N72-K72</f>
        <v>-248.83692307692309</v>
      </c>
      <c r="AG72" s="90">
        <f>N72/K72</f>
        <v>0.8478991912732744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2390</v>
      </c>
      <c r="H73" s="83">
        <f t="shared" si="50"/>
        <v>128486.39999999999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1327.7777777777785</v>
      </c>
      <c r="O73" s="86">
        <f t="shared" si="46"/>
        <v>82.986111111111157</v>
      </c>
      <c r="P73" s="88">
        <f t="shared" si="47"/>
        <v>0</v>
      </c>
      <c r="Q73" s="89">
        <f>O73-L73</f>
        <v>-7.0138888888888431</v>
      </c>
      <c r="R73" s="90">
        <f>O73/L73</f>
        <v>0.92206790123456839</v>
      </c>
      <c r="S73" s="590"/>
      <c r="T73" s="91">
        <v>0.48402777777777772</v>
      </c>
      <c r="U73" s="91">
        <v>0.55902777777777768</v>
      </c>
      <c r="V73" s="75">
        <v>5</v>
      </c>
      <c r="W73" s="84">
        <f t="shared" si="49"/>
        <v>107.99999999999994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-112.22222222222149</v>
      </c>
      <c r="AG73" s="90">
        <f>N73/K73</f>
        <v>0.92206790123456839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2433</v>
      </c>
      <c r="H74" s="83">
        <f t="shared" si="50"/>
        <v>115591.83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1339.2660550458725</v>
      </c>
      <c r="O74" s="86">
        <f t="shared" si="46"/>
        <v>78.780356179168962</v>
      </c>
      <c r="P74" s="88">
        <f t="shared" si="47"/>
        <v>0</v>
      </c>
      <c r="Q74" s="89">
        <f>O74-L74</f>
        <v>-5.9255261737722122</v>
      </c>
      <c r="R74" s="90">
        <f>O74/L74</f>
        <v>0.93004587155963359</v>
      </c>
      <c r="S74" s="590"/>
      <c r="T74" s="91">
        <v>0.5743055555555554</v>
      </c>
      <c r="U74" s="91">
        <v>0.6499999999999998</v>
      </c>
      <c r="V74" s="75">
        <v>22</v>
      </c>
      <c r="W74" s="84">
        <f t="shared" si="49"/>
        <v>108.99999999999993</v>
      </c>
      <c r="X74" s="233">
        <v>0.5625</v>
      </c>
      <c r="Y74" s="233">
        <v>0.57152777777777775</v>
      </c>
      <c r="Z74" s="170"/>
      <c r="AA74" s="170"/>
      <c r="AB74" s="571"/>
      <c r="AC74" s="571"/>
      <c r="AD74" s="332"/>
      <c r="AE74" s="332"/>
      <c r="AF74" s="88">
        <f t="shared" ref="AF74:AF80" si="51">N74-K74</f>
        <v>-100.73394495412754</v>
      </c>
      <c r="AG74" s="90">
        <f t="shared" ref="AG74:AG80" si="52">N74/K74</f>
        <v>0.9300458715596337</v>
      </c>
      <c r="AH74" s="590"/>
    </row>
    <row r="75" spans="1:34" ht="19.2" customHeight="1">
      <c r="A75" s="602"/>
      <c r="B75" s="75" t="s">
        <v>247</v>
      </c>
      <c r="C75" s="109"/>
      <c r="D75" s="226" t="s">
        <v>136</v>
      </c>
      <c r="E75" s="81"/>
      <c r="F75" s="650">
        <v>55.32</v>
      </c>
      <c r="G75" s="98">
        <v>539</v>
      </c>
      <c r="H75" s="83">
        <f t="shared" si="50"/>
        <v>29817.48</v>
      </c>
      <c r="I75" s="75"/>
      <c r="J75" s="231">
        <v>14</v>
      </c>
      <c r="K75" s="232">
        <v>1440</v>
      </c>
      <c r="L75" s="129">
        <v>102.85714285714286</v>
      </c>
      <c r="M75" s="87">
        <v>15</v>
      </c>
      <c r="N75" s="82">
        <f t="shared" si="45"/>
        <v>1154.9999999999975</v>
      </c>
      <c r="O75" s="86">
        <f t="shared" si="46"/>
        <v>76.999999999999829</v>
      </c>
      <c r="P75" s="88">
        <f t="shared" si="47"/>
        <v>1</v>
      </c>
      <c r="Q75" s="89">
        <f t="shared" ref="Q75" si="53">O75-L75</f>
        <v>-25.857142857143032</v>
      </c>
      <c r="R75" s="90">
        <f t="shared" ref="R75" si="54">O75/L75</f>
        <v>0.74861111111110945</v>
      </c>
      <c r="S75" s="590"/>
      <c r="T75" s="91">
        <v>0.70833333333333337</v>
      </c>
      <c r="U75" s="91">
        <v>0.72777777777777786</v>
      </c>
      <c r="V75" s="75">
        <v>5</v>
      </c>
      <c r="W75" s="84">
        <f t="shared" si="49"/>
        <v>28.00000000000006</v>
      </c>
      <c r="X75" s="233"/>
      <c r="Y75" s="233"/>
      <c r="Z75" s="170"/>
      <c r="AA75" s="170"/>
      <c r="AB75" s="571"/>
      <c r="AC75" s="571"/>
      <c r="AD75" s="332"/>
      <c r="AE75" s="332"/>
      <c r="AF75" s="88">
        <f t="shared" si="51"/>
        <v>-285.0000000000025</v>
      </c>
      <c r="AG75" s="90">
        <f t="shared" si="52"/>
        <v>0.80208333333333159</v>
      </c>
      <c r="AH75" s="590"/>
    </row>
    <row r="76" spans="1:34" ht="19.2" customHeight="1">
      <c r="A76" s="602"/>
      <c r="B76" s="75">
        <v>0</v>
      </c>
      <c r="C76" s="228"/>
      <c r="D76" s="229"/>
      <c r="E76" s="230"/>
      <c r="F76" s="650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590"/>
      <c r="T76" s="91"/>
      <c r="U76" s="91"/>
      <c r="V76" s="75"/>
      <c r="W76" s="84"/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0</v>
      </c>
      <c r="AG76" s="90" t="e">
        <f t="shared" si="52"/>
        <v>#DIV/0!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/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J82:O82" si="55">AVERAGE(M70:M81)</f>
        <v>16.333333333333332</v>
      </c>
      <c r="N82" s="145">
        <f t="shared" si="55"/>
        <v>1300.4249149161785</v>
      </c>
      <c r="O82" s="237">
        <f t="shared" si="55"/>
        <v>79.991836985454384</v>
      </c>
      <c r="P82" s="161">
        <f>M82-J82</f>
        <v>0.1666666666666643</v>
      </c>
      <c r="Q82" s="162">
        <f>N82-K82</f>
        <v>-182.24175175048822</v>
      </c>
      <c r="R82" s="225">
        <f>O82/L82</f>
        <v>0.86385086173502024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-182.24175175048822</v>
      </c>
      <c r="AG82" s="90">
        <f>N82/K82</f>
        <v>0.8770851494488614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2093.7399999999998</v>
      </c>
      <c r="H83" s="127">
        <f t="shared" ref="H83:H94" si="56">F83*G83</f>
        <v>111721.96639999999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1243.8059405940587</v>
      </c>
      <c r="O83" s="236">
        <f t="shared" ref="O83:O89" si="58">N83/M83</f>
        <v>65.463470557582042</v>
      </c>
      <c r="P83" s="95">
        <f t="shared" ref="P83:P89" si="59">M83-J83</f>
        <v>0</v>
      </c>
      <c r="Q83" s="131">
        <f t="shared" ref="Q83:Q89" si="60">O83-L83</f>
        <v>-10.326003126628478</v>
      </c>
      <c r="R83" s="239">
        <f t="shared" ref="R83:R89" si="61">O83/L83</f>
        <v>0.86375412541254093</v>
      </c>
      <c r="S83" s="590">
        <f>R95</f>
        <v>0.84538161587137173</v>
      </c>
      <c r="T83" s="91">
        <v>0.33333333333333331</v>
      </c>
      <c r="U83" s="91">
        <v>0.40347222222222223</v>
      </c>
      <c r="V83" s="75">
        <v>5</v>
      </c>
      <c r="W83" s="84">
        <f t="shared" ref="W83:W93" si="62">(U83-T83)*24*60</f>
        <v>101.00000000000004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-196.19405940594129</v>
      </c>
      <c r="AG83" s="90">
        <f t="shared" ref="AG83:AG173" si="64">N83/K83</f>
        <v>0.86375412541254082</v>
      </c>
      <c r="AH83" s="590">
        <f>AG95</f>
        <v>0.85032030700870864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2566.52</v>
      </c>
      <c r="H84" s="127">
        <f t="shared" si="56"/>
        <v>136949.50719999999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1222.1523809523812</v>
      </c>
      <c r="O84" s="236">
        <f t="shared" si="58"/>
        <v>64.323809523809544</v>
      </c>
      <c r="P84" s="95">
        <f t="shared" si="59"/>
        <v>0</v>
      </c>
      <c r="Q84" s="131">
        <f t="shared" si="60"/>
        <v>-11.465664160400976</v>
      </c>
      <c r="R84" s="239">
        <f t="shared" si="61"/>
        <v>0.84871693121693159</v>
      </c>
      <c r="S84" s="590"/>
      <c r="T84" s="91">
        <v>0.41875000000000001</v>
      </c>
      <c r="U84" s="91">
        <v>0.50624999999999998</v>
      </c>
      <c r="V84" s="75">
        <v>22</v>
      </c>
      <c r="W84" s="84">
        <f t="shared" si="62"/>
        <v>125.99999999999996</v>
      </c>
      <c r="X84" s="94">
        <v>0.4069444444444445</v>
      </c>
      <c r="Y84" s="94">
        <v>0.41666666666666669</v>
      </c>
      <c r="Z84" s="95"/>
      <c r="AA84" s="95"/>
      <c r="AB84" s="571"/>
      <c r="AC84" s="571"/>
      <c r="AD84" s="332"/>
      <c r="AE84" s="332"/>
      <c r="AF84" s="88">
        <f t="shared" si="63"/>
        <v>-217.84761904761876</v>
      </c>
      <c r="AG84" s="90">
        <f t="shared" si="64"/>
        <v>0.84871693121693137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1032</v>
      </c>
      <c r="H85" s="127">
        <f t="shared" si="56"/>
        <v>53406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1317.4468085106384</v>
      </c>
      <c r="O85" s="236">
        <f t="shared" si="58"/>
        <v>62.735562310030403</v>
      </c>
      <c r="P85" s="95">
        <f t="shared" si="59"/>
        <v>0</v>
      </c>
      <c r="Q85" s="131">
        <f t="shared" si="60"/>
        <v>-8.6930091185410276</v>
      </c>
      <c r="R85" s="239">
        <f t="shared" si="61"/>
        <v>0.87829787234042567</v>
      </c>
      <c r="S85" s="590"/>
      <c r="T85" s="91">
        <v>0.54791666666666661</v>
      </c>
      <c r="U85" s="91">
        <v>0.58055555555555549</v>
      </c>
      <c r="V85" s="75">
        <v>7</v>
      </c>
      <c r="W85" s="84">
        <f t="shared" si="62"/>
        <v>46.999999999999993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-182.55319148936155</v>
      </c>
      <c r="AG85" s="90">
        <f t="shared" si="64"/>
        <v>0.87829787234042567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678</v>
      </c>
      <c r="H86" s="127">
        <f t="shared" si="56"/>
        <v>40232.520000000004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1271.2499999999982</v>
      </c>
      <c r="O86" s="236">
        <f t="shared" si="58"/>
        <v>74.77941176470577</v>
      </c>
      <c r="P86" s="95">
        <f t="shared" si="59"/>
        <v>0</v>
      </c>
      <c r="Q86" s="131">
        <f t="shared" si="60"/>
        <v>-9.9264705882354036</v>
      </c>
      <c r="R86" s="239">
        <f t="shared" si="61"/>
        <v>0.88281249999999867</v>
      </c>
      <c r="S86" s="590"/>
      <c r="T86" s="91">
        <v>0.58472222222222214</v>
      </c>
      <c r="U86" s="91">
        <v>0.6069444444444444</v>
      </c>
      <c r="V86" s="75">
        <v>6</v>
      </c>
      <c r="W86" s="84">
        <f t="shared" si="62"/>
        <v>32.000000000000043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-168.75000000000182</v>
      </c>
      <c r="AG86" s="90">
        <f t="shared" si="64"/>
        <v>0.88281249999999878</v>
      </c>
      <c r="AH86" s="590"/>
    </row>
    <row r="87" spans="1:34" ht="19.2" customHeight="1">
      <c r="A87" s="601"/>
      <c r="B87" s="154" t="s">
        <v>243</v>
      </c>
      <c r="C87" s="141"/>
      <c r="D87" s="240" t="s">
        <v>122</v>
      </c>
      <c r="E87" s="81"/>
      <c r="F87" s="657">
        <v>53.36</v>
      </c>
      <c r="G87" s="82">
        <v>2093.7399999999998</v>
      </c>
      <c r="H87" s="127">
        <f t="shared" si="56"/>
        <v>111721.96639999999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1268.9333333333336</v>
      </c>
      <c r="O87" s="236">
        <f t="shared" si="58"/>
        <v>66.785964912280718</v>
      </c>
      <c r="P87" s="95">
        <f t="shared" si="59"/>
        <v>0</v>
      </c>
      <c r="Q87" s="131">
        <f t="shared" si="60"/>
        <v>-9.0035087719298019</v>
      </c>
      <c r="R87" s="239">
        <f t="shared" si="61"/>
        <v>0.88120370370370404</v>
      </c>
      <c r="S87" s="590"/>
      <c r="T87" s="91">
        <v>0.62291666666666656</v>
      </c>
      <c r="U87" s="91">
        <v>0.69166666666666654</v>
      </c>
      <c r="V87" s="75">
        <v>23</v>
      </c>
      <c r="W87" s="84">
        <f t="shared" si="62"/>
        <v>98.999999999999972</v>
      </c>
      <c r="X87" s="94">
        <v>0.61041666666666672</v>
      </c>
      <c r="Y87" s="94">
        <v>0.62013888888888891</v>
      </c>
      <c r="Z87" s="95"/>
      <c r="AA87" s="95"/>
      <c r="AB87" s="571"/>
      <c r="AC87" s="571"/>
      <c r="AD87" s="332"/>
      <c r="AE87" s="332"/>
      <c r="AF87" s="88">
        <f t="shared" si="63"/>
        <v>-171.06666666666638</v>
      </c>
      <c r="AG87" s="90">
        <f t="shared" si="64"/>
        <v>0.88120370370370393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1002</v>
      </c>
      <c r="H88" s="127">
        <f t="shared" si="56"/>
        <v>58286.340000000004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1134.33962264151</v>
      </c>
      <c r="O88" s="236">
        <f t="shared" si="58"/>
        <v>56.716981132075503</v>
      </c>
      <c r="P88" s="95">
        <f t="shared" si="59"/>
        <v>1</v>
      </c>
      <c r="Q88" s="131">
        <f t="shared" si="60"/>
        <v>-16.177755710029757</v>
      </c>
      <c r="R88" s="239">
        <f t="shared" si="61"/>
        <v>0.77806688917648703</v>
      </c>
      <c r="S88" s="590"/>
      <c r="T88" s="91">
        <v>0.70694444444444426</v>
      </c>
      <c r="U88" s="91">
        <v>0.7437499999999998</v>
      </c>
      <c r="V88" s="75">
        <v>22</v>
      </c>
      <c r="W88" s="84">
        <f t="shared" si="62"/>
        <v>52.999999999999972</v>
      </c>
      <c r="X88" s="94">
        <v>0.69513888888888886</v>
      </c>
      <c r="Y88" s="94">
        <v>0.70416666666666661</v>
      </c>
      <c r="Z88" s="95"/>
      <c r="AA88" s="95"/>
      <c r="AB88" s="571"/>
      <c r="AC88" s="571"/>
      <c r="AD88" s="332"/>
      <c r="AE88" s="332"/>
      <c r="AF88" s="88">
        <f t="shared" si="63"/>
        <v>-250.66037735849</v>
      </c>
      <c r="AG88" s="90">
        <f t="shared" si="64"/>
        <v>0.81901777808051268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1227</v>
      </c>
      <c r="H89" s="127">
        <f t="shared" si="56"/>
        <v>65865.36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1168.5714285714298</v>
      </c>
      <c r="O89" s="236">
        <f t="shared" si="58"/>
        <v>58.428571428571487</v>
      </c>
      <c r="P89" s="95">
        <f t="shared" si="59"/>
        <v>0</v>
      </c>
      <c r="Q89" s="131">
        <f t="shared" si="60"/>
        <v>-16.571428571428513</v>
      </c>
      <c r="R89" s="239">
        <f t="shared" si="61"/>
        <v>0.77904761904761988</v>
      </c>
      <c r="S89" s="590"/>
      <c r="T89" s="91">
        <v>0.74861111111111089</v>
      </c>
      <c r="U89" s="91">
        <v>0.79236111111111085</v>
      </c>
      <c r="V89" s="75">
        <v>7</v>
      </c>
      <c r="W89" s="84">
        <f t="shared" si="62"/>
        <v>62.999999999999936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-331.42857142857019</v>
      </c>
      <c r="AG89" s="90">
        <f t="shared" si="64"/>
        <v>0.77904761904761988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J95:O95" si="65">AVERAGE(M83:M94)</f>
        <v>19.285714285714285</v>
      </c>
      <c r="N95" s="257">
        <f t="shared" si="65"/>
        <v>1232.3570735147641</v>
      </c>
      <c r="O95" s="258">
        <f t="shared" si="65"/>
        <v>64.176253089865071</v>
      </c>
      <c r="P95" s="259">
        <f>M95-J95</f>
        <v>0.14285714285714235</v>
      </c>
      <c r="Q95" s="260">
        <f t="shared" ref="Q95:Q102" si="66">O95-L95</f>
        <v>-11.737691435313423</v>
      </c>
      <c r="R95" s="261">
        <f>O95/L95</f>
        <v>0.84538161587137173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-216.9286407709501</v>
      </c>
      <c r="AG95" s="108">
        <f t="shared" si="64"/>
        <v>0.85032030700870864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353</v>
      </c>
      <c r="H96" s="83">
        <f t="shared" ref="H96:H106" si="67">F96*G96</f>
        <v>13032.76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1323.7499999999982</v>
      </c>
      <c r="O96" s="86">
        <f t="shared" ref="O96:O102" si="69">N96/M96</f>
        <v>220.62499999999969</v>
      </c>
      <c r="P96" s="88">
        <f t="shared" ref="P96:P102" si="70">M96-J96</f>
        <v>0</v>
      </c>
      <c r="Q96" s="89">
        <f t="shared" si="66"/>
        <v>-52.041666666666998</v>
      </c>
      <c r="R96" s="90">
        <f t="shared" ref="R96:R102" si="71">O96/L96</f>
        <v>0.80913814180928978</v>
      </c>
      <c r="S96" s="590">
        <f>R108</f>
        <v>0.85386090042610396</v>
      </c>
      <c r="T96" s="133">
        <v>0.33333333333333331</v>
      </c>
      <c r="U96" s="133">
        <v>0.34444444444444444</v>
      </c>
      <c r="V96" s="332">
        <v>5</v>
      </c>
      <c r="W96" s="134">
        <f t="shared" ref="W96:W122" si="72">(U96-T96)*24*60</f>
        <v>16.000000000000021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-312.25000000000182</v>
      </c>
      <c r="AG96" s="132">
        <f t="shared" si="64"/>
        <v>0.80913814180928989</v>
      </c>
      <c r="AH96" s="575">
        <f>AG108</f>
        <v>0.86470894790705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2146.8000000000002</v>
      </c>
      <c r="H97" s="265">
        <f t="shared" si="67"/>
        <v>122045.58000000002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1301.0909090909097</v>
      </c>
      <c r="O97" s="86">
        <f t="shared" si="69"/>
        <v>72.282828282828319</v>
      </c>
      <c r="P97" s="88">
        <f t="shared" si="70"/>
        <v>0</v>
      </c>
      <c r="Q97" s="89">
        <f t="shared" si="66"/>
        <v>-18.606060606060566</v>
      </c>
      <c r="R97" s="90">
        <f t="shared" si="71"/>
        <v>0.79528784174260991</v>
      </c>
      <c r="S97" s="590"/>
      <c r="T97" s="266">
        <v>0.35</v>
      </c>
      <c r="U97" s="266">
        <v>0.41874999999999996</v>
      </c>
      <c r="V97" s="267">
        <v>8</v>
      </c>
      <c r="W97" s="134">
        <f t="shared" si="72"/>
        <v>98.999999999999972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-334.90909090909031</v>
      </c>
      <c r="AG97" s="269">
        <f t="shared" si="64"/>
        <v>0.7952878417426098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1231</v>
      </c>
      <c r="H98" s="265">
        <f t="shared" si="67"/>
        <v>88078.05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1273.44827586207</v>
      </c>
      <c r="O98" s="86">
        <f t="shared" si="69"/>
        <v>70.74712643678167</v>
      </c>
      <c r="P98" s="88">
        <f t="shared" si="70"/>
        <v>0</v>
      </c>
      <c r="Q98" s="89">
        <f t="shared" si="66"/>
        <v>-6.1973180076627727</v>
      </c>
      <c r="R98" s="90">
        <f t="shared" si="71"/>
        <v>0.91945723888958131</v>
      </c>
      <c r="S98" s="590"/>
      <c r="T98" s="133">
        <v>0.46041666666666659</v>
      </c>
      <c r="U98" s="133">
        <v>0.50069444444444433</v>
      </c>
      <c r="V98" s="332">
        <v>7</v>
      </c>
      <c r="W98" s="134">
        <f t="shared" si="72"/>
        <v>57.999999999999957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-111.55172413793002</v>
      </c>
      <c r="AG98" s="132">
        <f t="shared" si="64"/>
        <v>0.9194572388895812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1829</v>
      </c>
      <c r="H99" s="265">
        <f t="shared" si="67"/>
        <v>108898.66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1276.0465116279067</v>
      </c>
      <c r="O99" s="86">
        <f t="shared" si="69"/>
        <v>70.891472868217036</v>
      </c>
      <c r="P99" s="88">
        <f t="shared" si="70"/>
        <v>0</v>
      </c>
      <c r="Q99" s="89">
        <f t="shared" si="66"/>
        <v>-6.0529715762274066</v>
      </c>
      <c r="R99" s="90">
        <f t="shared" si="71"/>
        <v>0.92133322139199036</v>
      </c>
      <c r="S99" s="590"/>
      <c r="T99" s="133">
        <v>0.50486111111111098</v>
      </c>
      <c r="U99" s="133">
        <v>0.56458333333333321</v>
      </c>
      <c r="V99" s="332">
        <v>6</v>
      </c>
      <c r="W99" s="134">
        <f t="shared" si="72"/>
        <v>86.000000000000014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-108.95348837209326</v>
      </c>
      <c r="AG99" s="269">
        <f t="shared" si="64"/>
        <v>0.92133322139199048</v>
      </c>
      <c r="AH99" s="575"/>
    </row>
    <row r="100" spans="1:34" s="274" customFormat="1" ht="19.2" customHeight="1">
      <c r="A100" s="598"/>
      <c r="B100" s="75" t="s">
        <v>247</v>
      </c>
      <c r="C100" s="96"/>
      <c r="D100" s="80" t="s">
        <v>314</v>
      </c>
      <c r="E100" s="126"/>
      <c r="F100" s="661">
        <v>56.85</v>
      </c>
      <c r="G100" s="98">
        <v>1717.44</v>
      </c>
      <c r="H100" s="265">
        <f t="shared" si="67"/>
        <v>97636.464000000007</v>
      </c>
      <c r="I100" s="332"/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1304.3848101265814</v>
      </c>
      <c r="O100" s="86">
        <f t="shared" si="69"/>
        <v>72.465822784810086</v>
      </c>
      <c r="P100" s="88">
        <f t="shared" si="70"/>
        <v>0</v>
      </c>
      <c r="Q100" s="89">
        <f t="shared" si="66"/>
        <v>-18.423066104078799</v>
      </c>
      <c r="R100" s="90">
        <f t="shared" si="71"/>
        <v>0.79730122868372955</v>
      </c>
      <c r="S100" s="590"/>
      <c r="T100" s="266">
        <v>0.58055555555555549</v>
      </c>
      <c r="U100" s="266">
        <v>0.63541666666666663</v>
      </c>
      <c r="V100" s="267">
        <v>23</v>
      </c>
      <c r="W100" s="134">
        <f t="shared" si="72"/>
        <v>79.000000000000043</v>
      </c>
      <c r="X100" s="275">
        <v>0.56805555555555554</v>
      </c>
      <c r="Y100" s="275">
        <v>0.57777777777777783</v>
      </c>
      <c r="Z100" s="272"/>
      <c r="AA100" s="272"/>
      <c r="AB100" s="571"/>
      <c r="AC100" s="571"/>
      <c r="AD100" s="332"/>
      <c r="AE100" s="332"/>
      <c r="AF100" s="95">
        <f t="shared" si="63"/>
        <v>-331.61518987341856</v>
      </c>
      <c r="AG100" s="132">
        <f t="shared" si="64"/>
        <v>0.79730122868372943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956</v>
      </c>
      <c r="H101" s="265">
        <f t="shared" si="67"/>
        <v>51901.24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1333.9534883720928</v>
      </c>
      <c r="O101" s="86">
        <f t="shared" si="69"/>
        <v>88.930232558139522</v>
      </c>
      <c r="P101" s="88">
        <f t="shared" si="70"/>
        <v>0</v>
      </c>
      <c r="Q101" s="89">
        <f t="shared" si="66"/>
        <v>-7.0697674418604777</v>
      </c>
      <c r="R101" s="90">
        <f t="shared" si="71"/>
        <v>0.92635658914728669</v>
      </c>
      <c r="S101" s="590"/>
      <c r="T101" s="266">
        <v>0.70833333333333337</v>
      </c>
      <c r="U101" s="133">
        <v>0.73819444444444449</v>
      </c>
      <c r="V101" s="267">
        <v>5</v>
      </c>
      <c r="W101" s="134">
        <f t="shared" si="72"/>
        <v>43.000000000000007</v>
      </c>
      <c r="X101" s="276"/>
      <c r="Y101" s="276"/>
      <c r="Z101" s="272"/>
      <c r="AA101" s="272"/>
      <c r="AB101" s="571"/>
      <c r="AC101" s="571"/>
      <c r="AD101" s="332"/>
      <c r="AE101" s="332"/>
      <c r="AF101" s="268">
        <f t="shared" si="63"/>
        <v>-106.04651162790719</v>
      </c>
      <c r="AG101" s="269">
        <f t="shared" si="64"/>
        <v>0.92635658914728669</v>
      </c>
      <c r="AH101" s="575"/>
    </row>
    <row r="102" spans="1:34" s="274" customFormat="1" ht="19.2" customHeight="1">
      <c r="A102" s="598"/>
      <c r="B102" s="75" t="s">
        <v>247</v>
      </c>
      <c r="C102" s="228"/>
      <c r="D102" s="229" t="s">
        <v>137</v>
      </c>
      <c r="E102" s="230"/>
      <c r="F102" s="661">
        <v>55.56</v>
      </c>
      <c r="G102" s="98">
        <v>856</v>
      </c>
      <c r="H102" s="265">
        <f t="shared" si="67"/>
        <v>47559.360000000001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1316.9230769230762</v>
      </c>
      <c r="O102" s="86">
        <f t="shared" si="69"/>
        <v>82.307692307692264</v>
      </c>
      <c r="P102" s="88">
        <f t="shared" si="70"/>
        <v>0</v>
      </c>
      <c r="Q102" s="89">
        <f t="shared" si="66"/>
        <v>-7.692307692307736</v>
      </c>
      <c r="R102" s="90">
        <f t="shared" si="71"/>
        <v>0.91452991452991406</v>
      </c>
      <c r="S102" s="590"/>
      <c r="T102" s="266">
        <v>0.74305555555555558</v>
      </c>
      <c r="U102" s="266">
        <v>0.77013888888888893</v>
      </c>
      <c r="V102" s="267">
        <v>7</v>
      </c>
      <c r="W102" s="134">
        <f t="shared" si="72"/>
        <v>39.000000000000021</v>
      </c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-123.07692307692378</v>
      </c>
      <c r="AG102" s="132">
        <f t="shared" si="64"/>
        <v>0.91452991452991406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J108:O108" si="73">AVERAGE(M96:M107)</f>
        <v>15.571428571428571</v>
      </c>
      <c r="N108" s="145">
        <f t="shared" si="73"/>
        <v>1304.2281531432334</v>
      </c>
      <c r="O108" s="148">
        <f t="shared" si="73"/>
        <v>96.89288217692409</v>
      </c>
      <c r="P108" s="95">
        <f t="shared" ref="P108:P116" si="74">M108-J108</f>
        <v>0</v>
      </c>
      <c r="Q108" s="131">
        <f t="shared" ref="Q108:Q116" si="75">O108-L108</f>
        <v>-16.583308299266392</v>
      </c>
      <c r="R108" s="149">
        <f t="shared" ref="R108:R116" si="76">O108/L108</f>
        <v>0.85386090042610396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-204.05756114248084</v>
      </c>
      <c r="AG108" s="132">
        <f t="shared" si="64"/>
        <v>0.86470894790705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819</v>
      </c>
      <c r="H109" s="83">
        <f t="shared" ref="H109:H118" si="77">F109*G109</f>
        <v>63341.460000000006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1328.1081081081072</v>
      </c>
      <c r="O109" s="86">
        <f t="shared" ref="O109:O116" si="79">N109/M109</f>
        <v>73.783783783783733</v>
      </c>
      <c r="P109" s="88">
        <f t="shared" si="74"/>
        <v>0</v>
      </c>
      <c r="Q109" s="89">
        <f t="shared" si="75"/>
        <v>-6.2162162162162673</v>
      </c>
      <c r="R109" s="90">
        <f t="shared" si="76"/>
        <v>0.9222972972972967</v>
      </c>
      <c r="S109" s="597">
        <f>R121</f>
        <v>0.87264209003358073</v>
      </c>
      <c r="T109" s="283">
        <v>0.5</v>
      </c>
      <c r="U109" s="283">
        <v>0.52569444444444446</v>
      </c>
      <c r="V109" s="284">
        <v>5</v>
      </c>
      <c r="W109" s="84">
        <f t="shared" si="72"/>
        <v>37.000000000000028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-111.89189189189278</v>
      </c>
      <c r="AG109" s="171">
        <f t="shared" si="64"/>
        <v>0.9222972972972967</v>
      </c>
      <c r="AH109" s="575">
        <f>AG121</f>
        <v>0.87702302954678413</v>
      </c>
    </row>
    <row r="110" spans="1:34" ht="19.2" customHeight="1">
      <c r="A110" s="595"/>
      <c r="B110" s="75" t="s">
        <v>247</v>
      </c>
      <c r="C110" s="228"/>
      <c r="D110" s="80" t="s">
        <v>133</v>
      </c>
      <c r="E110" s="230"/>
      <c r="F110" s="650">
        <v>56.43</v>
      </c>
      <c r="G110" s="227">
        <v>934</v>
      </c>
      <c r="H110" s="83">
        <f t="shared" si="77"/>
        <v>52705.62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1366.8292682926826</v>
      </c>
      <c r="O110" s="86">
        <f t="shared" si="79"/>
        <v>75.934959349593484</v>
      </c>
      <c r="P110" s="88">
        <f t="shared" si="74"/>
        <v>0</v>
      </c>
      <c r="Q110" s="89">
        <f t="shared" si="75"/>
        <v>-7.3983739837398446</v>
      </c>
      <c r="R110" s="90">
        <f t="shared" si="76"/>
        <v>0.91121951219512187</v>
      </c>
      <c r="S110" s="586"/>
      <c r="T110" s="283">
        <v>0.53055555555555556</v>
      </c>
      <c r="U110" s="283">
        <v>0.55902777777777779</v>
      </c>
      <c r="V110" s="284">
        <v>7</v>
      </c>
      <c r="W110" s="84">
        <f t="shared" si="72"/>
        <v>41.000000000000014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-133.17073170731737</v>
      </c>
      <c r="AG110" s="171">
        <f t="shared" si="64"/>
        <v>0.91121951219512176</v>
      </c>
      <c r="AH110" s="575"/>
    </row>
    <row r="111" spans="1:34" ht="19.2" customHeight="1">
      <c r="A111" s="595"/>
      <c r="B111" s="75" t="s">
        <v>247</v>
      </c>
      <c r="C111" s="228"/>
      <c r="D111" s="80" t="s">
        <v>131</v>
      </c>
      <c r="E111" s="230"/>
      <c r="F111" s="650">
        <v>53.68</v>
      </c>
      <c r="G111" s="98">
        <v>865</v>
      </c>
      <c r="H111" s="83">
        <f t="shared" si="77"/>
        <v>46433.2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1402.7027027027016</v>
      </c>
      <c r="O111" s="86">
        <f t="shared" si="79"/>
        <v>87.668918918918848</v>
      </c>
      <c r="P111" s="88">
        <f t="shared" si="74"/>
        <v>0</v>
      </c>
      <c r="Q111" s="89">
        <f t="shared" si="75"/>
        <v>-6.0810810810811518</v>
      </c>
      <c r="R111" s="90">
        <f t="shared" si="76"/>
        <v>0.93513513513513435</v>
      </c>
      <c r="S111" s="586"/>
      <c r="T111" s="283">
        <v>0.57499999999999996</v>
      </c>
      <c r="U111" s="283">
        <v>0.60069444444444442</v>
      </c>
      <c r="V111" s="284">
        <v>23</v>
      </c>
      <c r="W111" s="84">
        <f t="shared" si="72"/>
        <v>37.000000000000028</v>
      </c>
      <c r="X111" s="94">
        <v>0.5625</v>
      </c>
      <c r="Y111" s="94">
        <v>0.57222222222222219</v>
      </c>
      <c r="Z111" s="95"/>
      <c r="AA111" s="95"/>
      <c r="AB111" s="571"/>
      <c r="AC111" s="571"/>
      <c r="AD111" s="332">
        <v>1</v>
      </c>
      <c r="AE111" s="332"/>
      <c r="AF111" s="88">
        <f t="shared" si="63"/>
        <v>-97.297297297298428</v>
      </c>
      <c r="AG111" s="171">
        <f t="shared" si="64"/>
        <v>0.93513513513513435</v>
      </c>
      <c r="AH111" s="575"/>
    </row>
    <row r="112" spans="1:34" ht="19.2" customHeight="1">
      <c r="A112" s="595"/>
      <c r="B112" s="75" t="s">
        <v>247</v>
      </c>
      <c r="C112" s="228"/>
      <c r="D112" s="229" t="s">
        <v>132</v>
      </c>
      <c r="E112" s="230"/>
      <c r="F112" s="650">
        <v>57.734999999999999</v>
      </c>
      <c r="G112" s="98">
        <v>1109.25</v>
      </c>
      <c r="H112" s="83">
        <f t="shared" si="77"/>
        <v>64042.548750000002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1386.5625000000005</v>
      </c>
      <c r="O112" s="86">
        <f t="shared" si="79"/>
        <v>86.660156250000028</v>
      </c>
      <c r="P112" s="88">
        <f t="shared" si="74"/>
        <v>0</v>
      </c>
      <c r="Q112" s="89">
        <f t="shared" si="75"/>
        <v>-11.152343749999972</v>
      </c>
      <c r="R112" s="90">
        <f t="shared" si="76"/>
        <v>0.88598242811501626</v>
      </c>
      <c r="S112" s="586"/>
      <c r="T112" s="283">
        <v>0.60416666666666663</v>
      </c>
      <c r="U112" s="283">
        <v>0.63749999999999996</v>
      </c>
      <c r="V112" s="284">
        <v>5</v>
      </c>
      <c r="W112" s="84">
        <f t="shared" si="72"/>
        <v>47.999999999999986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-178.43749999999955</v>
      </c>
      <c r="AG112" s="171">
        <f t="shared" si="64"/>
        <v>0.88598242811501626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322</v>
      </c>
      <c r="E113" s="230"/>
      <c r="F113" s="650">
        <v>44.98</v>
      </c>
      <c r="G113" s="98">
        <v>2895</v>
      </c>
      <c r="H113" s="83">
        <f t="shared" si="77"/>
        <v>130217.09999999999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1258.695652173913</v>
      </c>
      <c r="O113" s="86">
        <f t="shared" si="79"/>
        <v>66.24713958810068</v>
      </c>
      <c r="P113" s="88">
        <f t="shared" si="74"/>
        <v>0</v>
      </c>
      <c r="Q113" s="89">
        <f t="shared" si="75"/>
        <v>-12.70022883295195</v>
      </c>
      <c r="R113" s="90">
        <f t="shared" si="76"/>
        <v>0.83913043478260863</v>
      </c>
      <c r="S113" s="586"/>
      <c r="T113" s="283">
        <v>0.70833333333333337</v>
      </c>
      <c r="U113" s="283">
        <v>0.8041666666666667</v>
      </c>
      <c r="V113" s="284">
        <v>5</v>
      </c>
      <c r="W113" s="84">
        <f t="shared" si="72"/>
        <v>138</v>
      </c>
      <c r="X113" s="271"/>
      <c r="Y113" s="271"/>
      <c r="Z113" s="272"/>
      <c r="AA113" s="272"/>
      <c r="AB113" s="571"/>
      <c r="AC113" s="571"/>
      <c r="AD113" s="277"/>
      <c r="AE113" s="277"/>
      <c r="AF113" s="152">
        <f t="shared" si="63"/>
        <v>-241.304347826087</v>
      </c>
      <c r="AG113" s="171">
        <f t="shared" si="64"/>
        <v>0.83913043478260863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298</v>
      </c>
      <c r="E114" s="230"/>
      <c r="F114" s="650">
        <v>50.67</v>
      </c>
      <c r="G114" s="98">
        <v>1009.2</v>
      </c>
      <c r="H114" s="83">
        <f t="shared" si="77"/>
        <v>51136.164000000004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1408.1860465116276</v>
      </c>
      <c r="O114" s="86">
        <f t="shared" si="79"/>
        <v>78.232558139534873</v>
      </c>
      <c r="P114" s="88">
        <f t="shared" si="74"/>
        <v>0</v>
      </c>
      <c r="Q114" s="89">
        <f t="shared" si="75"/>
        <v>-5.1007751937984551</v>
      </c>
      <c r="R114" s="90">
        <f t="shared" si="76"/>
        <v>0.93879069767441858</v>
      </c>
      <c r="S114" s="586"/>
      <c r="T114" s="283">
        <v>0.81944444444444442</v>
      </c>
      <c r="U114" s="283">
        <v>0.84930555555555554</v>
      </c>
      <c r="V114" s="284">
        <v>22</v>
      </c>
      <c r="W114" s="84">
        <f t="shared" si="72"/>
        <v>43.000000000000007</v>
      </c>
      <c r="X114" s="271">
        <v>0.80763888888888891</v>
      </c>
      <c r="Y114" s="271">
        <v>0.81666666666666676</v>
      </c>
      <c r="Z114" s="272"/>
      <c r="AA114" s="272"/>
      <c r="AB114" s="571"/>
      <c r="AC114" s="571"/>
      <c r="AD114" s="277"/>
      <c r="AE114" s="277"/>
      <c r="AF114" s="88">
        <f t="shared" si="63"/>
        <v>-91.813953488372363</v>
      </c>
      <c r="AG114" s="171">
        <f t="shared" si="64"/>
        <v>0.93879069767441847</v>
      </c>
      <c r="AH114" s="575"/>
    </row>
    <row r="115" spans="1:34" s="274" customFormat="1" ht="19.2" customHeight="1">
      <c r="A115" s="595"/>
      <c r="B115" s="75" t="s">
        <v>247</v>
      </c>
      <c r="C115" s="228"/>
      <c r="D115" s="229" t="s">
        <v>138</v>
      </c>
      <c r="E115" s="230"/>
      <c r="F115" s="650">
        <v>57.73</v>
      </c>
      <c r="G115" s="227">
        <v>934</v>
      </c>
      <c r="H115" s="83">
        <f t="shared" si="77"/>
        <v>53919.82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1192.3404255319151</v>
      </c>
      <c r="O115" s="86">
        <f t="shared" si="79"/>
        <v>70.137672090112659</v>
      </c>
      <c r="P115" s="88">
        <f t="shared" si="74"/>
        <v>1</v>
      </c>
      <c r="Q115" s="89">
        <f t="shared" si="75"/>
        <v>-19.862327909887341</v>
      </c>
      <c r="R115" s="90">
        <f t="shared" si="76"/>
        <v>0.77930746766791847</v>
      </c>
      <c r="S115" s="586"/>
      <c r="T115" s="283">
        <v>0.85347222222222219</v>
      </c>
      <c r="U115" s="283">
        <v>0.88611111111111107</v>
      </c>
      <c r="V115" s="284">
        <v>6</v>
      </c>
      <c r="W115" s="84">
        <f t="shared" si="72"/>
        <v>46.999999999999993</v>
      </c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-247.65957446808488</v>
      </c>
      <c r="AG115" s="171">
        <f t="shared" si="64"/>
        <v>0.82801418439716323</v>
      </c>
      <c r="AH115" s="575"/>
    </row>
    <row r="116" spans="1:34" s="274" customFormat="1" ht="19.2" customHeight="1">
      <c r="A116" s="595"/>
      <c r="B116" s="75" t="s">
        <v>247</v>
      </c>
      <c r="C116" s="96"/>
      <c r="D116" s="125" t="s">
        <v>126</v>
      </c>
      <c r="E116" s="126"/>
      <c r="F116" s="650">
        <v>53.68</v>
      </c>
      <c r="G116" s="98">
        <v>245.4</v>
      </c>
      <c r="H116" s="83">
        <f t="shared" si="77"/>
        <v>13173.072</v>
      </c>
      <c r="I116" s="332"/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1132.6153846153886</v>
      </c>
      <c r="O116" s="86">
        <f t="shared" si="79"/>
        <v>56.630769230769431</v>
      </c>
      <c r="P116" s="88">
        <f t="shared" si="74"/>
        <v>0</v>
      </c>
      <c r="Q116" s="89">
        <f t="shared" si="75"/>
        <v>-18.369230769230569</v>
      </c>
      <c r="R116" s="90">
        <f t="shared" si="76"/>
        <v>0.75507692307692575</v>
      </c>
      <c r="S116" s="586"/>
      <c r="T116" s="283">
        <v>0.89166666666666661</v>
      </c>
      <c r="U116" s="283">
        <v>0.90069444444444435</v>
      </c>
      <c r="V116" s="284">
        <v>8</v>
      </c>
      <c r="W116" s="84">
        <f t="shared" si="72"/>
        <v>12.999999999999954</v>
      </c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-367.38461538461138</v>
      </c>
      <c r="AG116" s="171">
        <f t="shared" si="64"/>
        <v>0.75507692307692575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J121:O121" si="80">AVERAGE(M109:M120)</f>
        <v>17.75</v>
      </c>
      <c r="N121" s="257">
        <f t="shared" si="80"/>
        <v>1309.5050109920421</v>
      </c>
      <c r="O121" s="258">
        <f t="shared" si="80"/>
        <v>74.411994668851719</v>
      </c>
      <c r="P121" s="88">
        <f t="shared" ref="P121:P129" si="81">M121-J121</f>
        <v>0.125</v>
      </c>
      <c r="Q121" s="89">
        <f t="shared" ref="Q121:Q129" si="82">O121-L121</f>
        <v>-10.860072217113199</v>
      </c>
      <c r="R121" s="225">
        <f t="shared" ref="R121:R129" si="83">O121/L121</f>
        <v>0.87264209003358073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1</v>
      </c>
      <c r="AE121" s="151">
        <f>SUM(AE109:AE120)</f>
        <v>0</v>
      </c>
      <c r="AF121" s="88">
        <f>N121-K121</f>
        <v>-183.61998900795788</v>
      </c>
      <c r="AG121" s="171">
        <f>N121/K121</f>
        <v>0.87702302954678413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1820</v>
      </c>
      <c r="H122" s="83">
        <f t="shared" ref="H122:H132" si="84">F122*G122</f>
        <v>106779.40000000001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1331.7073170731703</v>
      </c>
      <c r="O122" s="294">
        <f t="shared" ref="O122:O129" si="86">N122/M122</f>
        <v>70.089858793324751</v>
      </c>
      <c r="P122" s="152">
        <f t="shared" si="81"/>
        <v>0</v>
      </c>
      <c r="Q122" s="235">
        <f t="shared" si="82"/>
        <v>-5.6996148908857691</v>
      </c>
      <c r="R122" s="153">
        <f t="shared" si="83"/>
        <v>0.92479674796747946</v>
      </c>
      <c r="S122" s="590">
        <f>R134</f>
        <v>0.89652661306330572</v>
      </c>
      <c r="T122" s="91">
        <v>0.5</v>
      </c>
      <c r="U122" s="91">
        <v>0.55694444444444446</v>
      </c>
      <c r="V122" s="284">
        <v>5</v>
      </c>
      <c r="W122" s="84">
        <f t="shared" si="72"/>
        <v>82.000000000000028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-108.29268292682968</v>
      </c>
      <c r="AG122" s="90">
        <f t="shared" si="64"/>
        <v>0.92479674796747935</v>
      </c>
      <c r="AH122" s="592">
        <f>AG134</f>
        <v>0.91530496491639035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2203</v>
      </c>
      <c r="H123" s="83">
        <f t="shared" si="84"/>
        <v>131122.56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1295.882352941177</v>
      </c>
      <c r="O123" s="129">
        <f t="shared" si="86"/>
        <v>61.708683473389385</v>
      </c>
      <c r="P123" s="95">
        <f t="shared" si="81"/>
        <v>0</v>
      </c>
      <c r="Q123" s="131">
        <f t="shared" si="82"/>
        <v>-4.2436974789915638</v>
      </c>
      <c r="R123" s="132">
        <f t="shared" si="83"/>
        <v>0.93565512847738419</v>
      </c>
      <c r="S123" s="590"/>
      <c r="T123" s="91">
        <v>0.56180555555555556</v>
      </c>
      <c r="U123" s="91">
        <v>0.63263888888888886</v>
      </c>
      <c r="V123" s="284">
        <v>7</v>
      </c>
      <c r="W123" s="84">
        <f>(U123-T123)*24*60</f>
        <v>101.99999999999996</v>
      </c>
      <c r="X123" s="94"/>
      <c r="Y123" s="94"/>
      <c r="Z123" s="95"/>
      <c r="AA123" s="95"/>
      <c r="AB123" s="571"/>
      <c r="AC123" s="571"/>
      <c r="AD123" s="332"/>
      <c r="AE123" s="332"/>
      <c r="AF123" s="88">
        <f t="shared" si="63"/>
        <v>-89.117647058822968</v>
      </c>
      <c r="AG123" s="90">
        <f t="shared" si="64"/>
        <v>0.93565512847738419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1355</v>
      </c>
      <c r="H124" s="83">
        <f t="shared" si="84"/>
        <v>76950.45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1505.5555555555563</v>
      </c>
      <c r="O124" s="294">
        <f t="shared" si="86"/>
        <v>83.641975308642017</v>
      </c>
      <c r="P124" s="152">
        <f t="shared" si="81"/>
        <v>0</v>
      </c>
      <c r="Q124" s="235">
        <f t="shared" si="82"/>
        <v>-7.2469135802468685</v>
      </c>
      <c r="R124" s="153">
        <f t="shared" si="83"/>
        <v>0.92026623200217383</v>
      </c>
      <c r="S124" s="591"/>
      <c r="T124" s="91">
        <v>0.70833333333333337</v>
      </c>
      <c r="U124" s="91">
        <v>0.74583333333333335</v>
      </c>
      <c r="V124" s="284">
        <v>5</v>
      </c>
      <c r="W124" s="297">
        <f>(U124-T124)*24*60</f>
        <v>53.999999999999972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-130.44444444444366</v>
      </c>
      <c r="AG124" s="153">
        <f t="shared" si="64"/>
        <v>0.92026623200217383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1045</v>
      </c>
      <c r="H125" s="83">
        <f t="shared" si="84"/>
        <v>59429.149999999994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1529.2682926829261</v>
      </c>
      <c r="O125" s="129">
        <f t="shared" si="86"/>
        <v>84.959349593495901</v>
      </c>
      <c r="P125" s="95">
        <f t="shared" si="81"/>
        <v>0</v>
      </c>
      <c r="Q125" s="131">
        <f t="shared" si="82"/>
        <v>-5.9295392953929849</v>
      </c>
      <c r="R125" s="132">
        <f t="shared" si="83"/>
        <v>0.93476057009958824</v>
      </c>
      <c r="S125" s="591"/>
      <c r="T125" s="91">
        <v>0.75069444444444444</v>
      </c>
      <c r="U125" s="91">
        <v>0.77916666666666667</v>
      </c>
      <c r="V125" s="284">
        <v>7</v>
      </c>
      <c r="W125" s="297">
        <f t="shared" ref="W125:W133" si="87">(U125-T125)*24*60</f>
        <v>41.000000000000014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-106.73170731707387</v>
      </c>
      <c r="AG125" s="90">
        <f t="shared" si="64"/>
        <v>0.93476057009958813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1370</v>
      </c>
      <c r="H126" s="83">
        <f t="shared" si="84"/>
        <v>74103.3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1370.0000000000011</v>
      </c>
      <c r="O126" s="129">
        <f t="shared" si="86"/>
        <v>68.500000000000057</v>
      </c>
      <c r="P126" s="95">
        <f t="shared" si="81"/>
        <v>3</v>
      </c>
      <c r="Q126" s="131">
        <f t="shared" si="82"/>
        <v>-23.558823529411711</v>
      </c>
      <c r="R126" s="132">
        <f t="shared" si="83"/>
        <v>0.74408945686901018</v>
      </c>
      <c r="S126" s="591"/>
      <c r="T126" s="91">
        <v>0.78333333333333333</v>
      </c>
      <c r="U126" s="91">
        <v>0.82499999999999996</v>
      </c>
      <c r="V126" s="284">
        <v>6</v>
      </c>
      <c r="W126" s="297">
        <f t="shared" si="87"/>
        <v>59.999999999999943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-194.99999999999886</v>
      </c>
      <c r="AG126" s="153">
        <f t="shared" si="64"/>
        <v>0.87539936102236493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1398</v>
      </c>
      <c r="H127" s="83">
        <f t="shared" si="84"/>
        <v>66544.800000000003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1331.4285714285729</v>
      </c>
      <c r="O127" s="294">
        <f t="shared" si="86"/>
        <v>70.075187969924897</v>
      </c>
      <c r="P127" s="152">
        <f t="shared" si="81"/>
        <v>0</v>
      </c>
      <c r="Q127" s="235">
        <f t="shared" si="82"/>
        <v>-5.7142857142856229</v>
      </c>
      <c r="R127" s="153">
        <f t="shared" si="83"/>
        <v>0.92460317460317576</v>
      </c>
      <c r="S127" s="591"/>
      <c r="T127" s="91">
        <v>0.84097222222222223</v>
      </c>
      <c r="U127" s="91">
        <v>0.88472222222222219</v>
      </c>
      <c r="V127" s="75">
        <v>23</v>
      </c>
      <c r="W127" s="297">
        <f t="shared" si="87"/>
        <v>62.999999999999936</v>
      </c>
      <c r="X127" s="106">
        <v>0.82847222222222217</v>
      </c>
      <c r="Y127" s="106">
        <v>0.83819444444444446</v>
      </c>
      <c r="Z127" s="95"/>
      <c r="AA127" s="95"/>
      <c r="AB127" s="571"/>
      <c r="AC127" s="571"/>
      <c r="AD127" s="332"/>
      <c r="AE127" s="332"/>
      <c r="AF127" s="152">
        <f t="shared" si="63"/>
        <v>-108.57142857142708</v>
      </c>
      <c r="AG127" s="153">
        <f t="shared" si="64"/>
        <v>0.92460317460317565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852</v>
      </c>
      <c r="H128" s="83">
        <f t="shared" si="84"/>
        <v>48819.6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1277.9999999999995</v>
      </c>
      <c r="O128" s="129">
        <f t="shared" si="86"/>
        <v>75.176470588235262</v>
      </c>
      <c r="P128" s="95">
        <f t="shared" si="81"/>
        <v>0</v>
      </c>
      <c r="Q128" s="131">
        <f t="shared" si="82"/>
        <v>-6.2941176470588545</v>
      </c>
      <c r="R128" s="132">
        <f t="shared" si="83"/>
        <v>0.92274368231046888</v>
      </c>
      <c r="S128" s="591"/>
      <c r="T128" s="91">
        <v>0.88958333333333328</v>
      </c>
      <c r="U128" s="91">
        <v>0.91736111111111107</v>
      </c>
      <c r="V128" s="75">
        <v>7</v>
      </c>
      <c r="W128" s="297">
        <f t="shared" si="87"/>
        <v>40.000000000000014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-107.00000000000045</v>
      </c>
      <c r="AG128" s="153">
        <f t="shared" si="64"/>
        <v>0.92274368231046899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606</v>
      </c>
      <c r="H129" s="83">
        <f t="shared" si="84"/>
        <v>30706.02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1454.3999999999958</v>
      </c>
      <c r="O129" s="129">
        <f t="shared" si="86"/>
        <v>69.257142857142654</v>
      </c>
      <c r="P129" s="95">
        <f t="shared" si="81"/>
        <v>0</v>
      </c>
      <c r="Q129" s="131">
        <f t="shared" si="82"/>
        <v>-8.6476190476192443</v>
      </c>
      <c r="R129" s="132">
        <f t="shared" si="83"/>
        <v>0.88899755501222244</v>
      </c>
      <c r="S129" s="591"/>
      <c r="T129" s="91">
        <v>0.92152777777777772</v>
      </c>
      <c r="U129" s="91">
        <v>0.93888888888888888</v>
      </c>
      <c r="V129" s="75">
        <v>6</v>
      </c>
      <c r="W129" s="297">
        <f t="shared" si="87"/>
        <v>25.000000000000071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1387.030261210175</v>
      </c>
      <c r="O134" s="301">
        <f t="shared" si="88"/>
        <v>72.926083573019369</v>
      </c>
      <c r="P134" s="92">
        <f t="shared" ref="P134:P140" si="89">M134-J134</f>
        <v>0.375</v>
      </c>
      <c r="Q134" s="188">
        <f t="shared" ref="Q134:Q140" si="90">O134-L134</f>
        <v>-8.4168263979865827</v>
      </c>
      <c r="R134" s="302">
        <f t="shared" ref="R134:R140" si="91">O134/L134</f>
        <v>0.89652661306330572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-128.34473878982499</v>
      </c>
      <c r="AG134" s="90">
        <f t="shared" si="64"/>
        <v>0.91530496491639035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850</v>
      </c>
      <c r="H135" s="303">
        <f t="shared" ref="H135:H146" si="92">F135*G135</f>
        <v>43069.5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1378.3783783783772</v>
      </c>
      <c r="O135" s="160">
        <f t="shared" ref="O135:O140" si="94">N135/M135</f>
        <v>81.08108108108101</v>
      </c>
      <c r="P135" s="95">
        <f t="shared" si="89"/>
        <v>0</v>
      </c>
      <c r="Q135" s="131">
        <f t="shared" si="90"/>
        <v>-7.1542130365660483</v>
      </c>
      <c r="R135" s="132">
        <f t="shared" si="91"/>
        <v>0.91891891891891808</v>
      </c>
      <c r="S135" s="586">
        <f>R147</f>
        <v>0.91244704713053659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5">(U135-T135)*24*60</f>
        <v>37.000000000000028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-121.62162162162281</v>
      </c>
      <c r="AG135" s="165">
        <f t="shared" si="64"/>
        <v>0.91891891891891808</v>
      </c>
      <c r="AH135" s="575">
        <f>AG147</f>
        <v>0.92512405171175416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1493</v>
      </c>
      <c r="H136" s="127">
        <f t="shared" si="92"/>
        <v>76113.14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1317.3529411764689</v>
      </c>
      <c r="O136" s="129">
        <f t="shared" si="94"/>
        <v>65.867647058823451</v>
      </c>
      <c r="P136" s="95">
        <f t="shared" si="89"/>
        <v>0</v>
      </c>
      <c r="Q136" s="131">
        <f t="shared" si="90"/>
        <v>-6.1323529411765492</v>
      </c>
      <c r="R136" s="132">
        <f t="shared" si="91"/>
        <v>0.91482843137254788</v>
      </c>
      <c r="S136" s="586"/>
      <c r="T136" s="304">
        <v>0.73888888888888893</v>
      </c>
      <c r="U136" s="91">
        <v>0.7861111111111112</v>
      </c>
      <c r="V136" s="191">
        <v>7</v>
      </c>
      <c r="W136" s="84">
        <f t="shared" si="95"/>
        <v>68.000000000000085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-122.6470588235311</v>
      </c>
      <c r="AG136" s="171">
        <f t="shared" si="64"/>
        <v>0.91482843137254788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912</v>
      </c>
      <c r="H137" s="127">
        <f t="shared" si="92"/>
        <v>49330.080000000002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1403.0769230769224</v>
      </c>
      <c r="O137" s="129">
        <f t="shared" si="94"/>
        <v>73.846153846153811</v>
      </c>
      <c r="P137" s="95">
        <f t="shared" si="89"/>
        <v>0</v>
      </c>
      <c r="Q137" s="131">
        <f t="shared" si="90"/>
        <v>-5.1012145748988189</v>
      </c>
      <c r="R137" s="132">
        <f t="shared" si="91"/>
        <v>0.93538461538461493</v>
      </c>
      <c r="S137" s="586"/>
      <c r="T137" s="91">
        <v>0.79166666666666674</v>
      </c>
      <c r="U137" s="91">
        <v>0.81875000000000009</v>
      </c>
      <c r="V137" s="307">
        <v>8</v>
      </c>
      <c r="W137" s="84">
        <f t="shared" si="95"/>
        <v>39.000000000000021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-96.923076923077588</v>
      </c>
      <c r="AG137" s="171">
        <f t="shared" si="64"/>
        <v>0.93538461538461493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1716</v>
      </c>
      <c r="H138" s="127">
        <f t="shared" si="92"/>
        <v>87378.72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1337.1428571428564</v>
      </c>
      <c r="O138" s="129">
        <f t="shared" si="94"/>
        <v>70.375939849624018</v>
      </c>
      <c r="P138" s="95">
        <f t="shared" si="89"/>
        <v>0</v>
      </c>
      <c r="Q138" s="131">
        <f t="shared" si="90"/>
        <v>-5.4135338345865023</v>
      </c>
      <c r="R138" s="296">
        <f t="shared" si="91"/>
        <v>0.92857142857142805</v>
      </c>
      <c r="S138" s="586"/>
      <c r="T138" s="91">
        <v>0.83402777777777781</v>
      </c>
      <c r="U138" s="91">
        <v>0.88750000000000007</v>
      </c>
      <c r="V138" s="307">
        <v>22</v>
      </c>
      <c r="W138" s="84">
        <f t="shared" si="95"/>
        <v>77.000000000000043</v>
      </c>
      <c r="X138" s="94">
        <v>0.8222222222222223</v>
      </c>
      <c r="Y138" s="94">
        <v>0.83124999999999993</v>
      </c>
      <c r="Z138" s="95"/>
      <c r="AA138" s="95"/>
      <c r="AB138" s="571"/>
      <c r="AC138" s="571"/>
      <c r="AD138" s="332"/>
      <c r="AE138" s="332"/>
      <c r="AF138" s="88">
        <f t="shared" si="63"/>
        <v>-102.85714285714357</v>
      </c>
      <c r="AG138" s="171">
        <f t="shared" si="64"/>
        <v>0.92857142857142805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1139</v>
      </c>
      <c r="H139" s="127">
        <f t="shared" si="92"/>
        <v>57713.130000000005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1340.0000000000005</v>
      </c>
      <c r="O139" s="129">
        <f t="shared" si="94"/>
        <v>78.823529411764738</v>
      </c>
      <c r="P139" s="95">
        <f t="shared" si="89"/>
        <v>0</v>
      </c>
      <c r="Q139" s="131">
        <f t="shared" si="90"/>
        <v>-5.8823529411764355</v>
      </c>
      <c r="R139" s="132">
        <f t="shared" si="91"/>
        <v>0.93055555555555591</v>
      </c>
      <c r="S139" s="586"/>
      <c r="T139" s="91">
        <v>0.89236111111111116</v>
      </c>
      <c r="U139" s="91">
        <v>0.92777777777777781</v>
      </c>
      <c r="V139" s="308">
        <v>7</v>
      </c>
      <c r="W139" s="84">
        <f t="shared" si="95"/>
        <v>50.999999999999979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-99.999999999999545</v>
      </c>
      <c r="AG139" s="171">
        <f t="shared" si="64"/>
        <v>0.93055555555555591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1306</v>
      </c>
      <c r="H140" s="127">
        <f t="shared" si="92"/>
        <v>65939.94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1328.1355932203401</v>
      </c>
      <c r="O140" s="129">
        <f t="shared" si="94"/>
        <v>88.542372881356002</v>
      </c>
      <c r="P140" s="95">
        <f t="shared" si="89"/>
        <v>1</v>
      </c>
      <c r="Q140" s="131">
        <f t="shared" si="90"/>
        <v>-14.314769975786859</v>
      </c>
      <c r="R140" s="132">
        <f t="shared" si="91"/>
        <v>0.86082862523540549</v>
      </c>
      <c r="S140" s="587"/>
      <c r="T140" s="105">
        <v>0.93194444444444446</v>
      </c>
      <c r="U140" s="310">
        <v>0.97291666666666665</v>
      </c>
      <c r="V140" s="311">
        <v>6</v>
      </c>
      <c r="W140" s="84">
        <f t="shared" si="95"/>
        <v>58.99999999999995</v>
      </c>
      <c r="X140" s="94"/>
      <c r="Y140" s="94"/>
      <c r="Z140" s="95"/>
      <c r="AA140" s="95"/>
      <c r="AB140" s="571"/>
      <c r="AC140" s="571"/>
      <c r="AD140" s="332">
        <v>1</v>
      </c>
      <c r="AE140" s="332"/>
      <c r="AF140" s="88">
        <f t="shared" si="63"/>
        <v>-111.86440677965993</v>
      </c>
      <c r="AG140" s="171">
        <f t="shared" si="64"/>
        <v>0.92231638418079176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1350.681115499161</v>
      </c>
      <c r="O147" s="301">
        <f t="shared" si="96"/>
        <v>76.422787354800519</v>
      </c>
      <c r="P147" s="92">
        <f t="shared" ref="P147:P151" si="97">M147-J147</f>
        <v>0.1666666666666643</v>
      </c>
      <c r="Q147" s="188">
        <f t="shared" ref="Q147:Q151" si="98">O147-L147</f>
        <v>-7.33307288403185</v>
      </c>
      <c r="R147" s="316">
        <f t="shared" ref="R147:R151" si="99">O147/L147</f>
        <v>0.91244704713053659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1</v>
      </c>
      <c r="AE147" s="151">
        <f>SUM(AE135:AE146)</f>
        <v>0</v>
      </c>
      <c r="AF147" s="259">
        <f t="shared" si="63"/>
        <v>-109.31888450083898</v>
      </c>
      <c r="AG147" s="317">
        <f t="shared" si="64"/>
        <v>0.92512405171175416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591</v>
      </c>
      <c r="H148" s="127">
        <f t="shared" ref="H148:H172" si="100">F148*G148</f>
        <v>29945.97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1108.1249999999984</v>
      </c>
      <c r="O148" s="86">
        <f>N148/M148</f>
        <v>65.183823529411669</v>
      </c>
      <c r="P148" s="88">
        <f t="shared" si="97"/>
        <v>1</v>
      </c>
      <c r="Q148" s="89">
        <f t="shared" si="98"/>
        <v>-24.816176470588331</v>
      </c>
      <c r="R148" s="90">
        <f t="shared" si="99"/>
        <v>0.72426470588235192</v>
      </c>
      <c r="S148" s="579">
        <f>R160</f>
        <v>0.80854217550409058</v>
      </c>
      <c r="T148" s="304">
        <v>0.70833333333333337</v>
      </c>
      <c r="U148" s="91">
        <v>0.73055555555555562</v>
      </c>
      <c r="V148" s="75">
        <v>5</v>
      </c>
      <c r="W148" s="84">
        <f>(U148-T148)*24*60</f>
        <v>32.000000000000043</v>
      </c>
      <c r="X148" s="94"/>
      <c r="Y148" s="94"/>
      <c r="Z148" s="95"/>
      <c r="AA148" s="95"/>
      <c r="AB148" s="571"/>
      <c r="AC148" s="571"/>
      <c r="AD148" s="332"/>
      <c r="AE148" s="332">
        <v>1</v>
      </c>
      <c r="AF148" s="88">
        <f t="shared" si="63"/>
        <v>-331.87500000000159</v>
      </c>
      <c r="AG148" s="171">
        <f t="shared" si="64"/>
        <v>0.76953124999999889</v>
      </c>
      <c r="AH148" s="575">
        <f>AG160</f>
        <v>0.82122507393038346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1418</v>
      </c>
      <c r="H149" s="127">
        <f t="shared" si="100"/>
        <v>81251.399999999994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1372.2580645161304</v>
      </c>
      <c r="O149" s="86">
        <f>N149/M149</f>
        <v>76.236559139785015</v>
      </c>
      <c r="P149" s="88">
        <f t="shared" si="97"/>
        <v>0</v>
      </c>
      <c r="Q149" s="89">
        <f t="shared" si="98"/>
        <v>-7.0967741935483133</v>
      </c>
      <c r="R149" s="90">
        <f t="shared" si="99"/>
        <v>0.9148387096774202</v>
      </c>
      <c r="S149" s="580"/>
      <c r="T149" s="304">
        <v>0.73541666666666672</v>
      </c>
      <c r="U149" s="91">
        <v>0.77847222222222223</v>
      </c>
      <c r="V149" s="75">
        <v>7</v>
      </c>
      <c r="W149" s="84">
        <f t="shared" ref="W149:W159" si="101">(U149-T149)*24*60</f>
        <v>61.999999999999943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-127.74193548386961</v>
      </c>
      <c r="AG149" s="171">
        <f t="shared" si="64"/>
        <v>0.91483870967742031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195.75</v>
      </c>
      <c r="H150" s="127">
        <f t="shared" si="100"/>
        <v>11301.626249999999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1305.0000000000048</v>
      </c>
      <c r="O150" s="86">
        <f>N150/M150</f>
        <v>81.562500000000298</v>
      </c>
      <c r="P150" s="88">
        <f t="shared" si="97"/>
        <v>0</v>
      </c>
      <c r="Q150" s="89">
        <f t="shared" si="98"/>
        <v>-16.249999999999702</v>
      </c>
      <c r="R150" s="90">
        <f t="shared" si="99"/>
        <v>0.83386581469648868</v>
      </c>
      <c r="S150" s="580"/>
      <c r="T150" s="304">
        <v>0.79444444444444451</v>
      </c>
      <c r="U150" s="91">
        <v>0.80069444444444449</v>
      </c>
      <c r="V150" s="75">
        <v>23</v>
      </c>
      <c r="W150" s="84">
        <f t="shared" si="101"/>
        <v>8.999999999999968</v>
      </c>
      <c r="X150" s="271">
        <v>0.78194444444444444</v>
      </c>
      <c r="Y150" s="271">
        <v>0.79166666666666663</v>
      </c>
      <c r="Z150" s="272"/>
      <c r="AA150" s="272"/>
      <c r="AB150" s="571"/>
      <c r="AC150" s="571"/>
      <c r="AD150" s="332"/>
      <c r="AE150" s="332"/>
      <c r="AF150" s="88">
        <f t="shared" si="63"/>
        <v>-259.99999999999523</v>
      </c>
      <c r="AG150" s="171">
        <f t="shared" si="64"/>
        <v>0.83386581469648868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457</v>
      </c>
      <c r="H151" s="127">
        <f t="shared" si="100"/>
        <v>22982.53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1096.7999999999968</v>
      </c>
      <c r="O151" s="86">
        <f>N151/M151</f>
        <v>60.933333333333152</v>
      </c>
      <c r="P151" s="88">
        <f t="shared" si="97"/>
        <v>0</v>
      </c>
      <c r="Q151" s="89">
        <f t="shared" si="98"/>
        <v>-19.066666666666848</v>
      </c>
      <c r="R151" s="90">
        <f t="shared" si="99"/>
        <v>0.76166666666666438</v>
      </c>
      <c r="S151" s="580"/>
      <c r="T151" s="304">
        <v>0.80555555555555558</v>
      </c>
      <c r="U151" s="91">
        <v>0.82291666666666674</v>
      </c>
      <c r="V151" s="75">
        <v>7</v>
      </c>
      <c r="W151" s="84">
        <f t="shared" si="101"/>
        <v>25.000000000000071</v>
      </c>
      <c r="X151" s="271"/>
      <c r="Y151" s="271"/>
      <c r="Z151" s="272"/>
      <c r="AA151" s="272"/>
      <c r="AB151" s="571"/>
      <c r="AC151" s="571"/>
      <c r="AD151" s="277"/>
      <c r="AE151" s="277">
        <v>1</v>
      </c>
      <c r="AF151" s="88">
        <f t="shared" si="63"/>
        <v>-343.20000000000323</v>
      </c>
      <c r="AG151" s="171">
        <f t="shared" si="64"/>
        <v>0.76166666666666438</v>
      </c>
      <c r="AH151" s="581"/>
    </row>
    <row r="152" spans="1:34" s="274" customFormat="1" ht="19.2" customHeight="1">
      <c r="A152" s="578"/>
      <c r="B152" s="332">
        <v>0</v>
      </c>
      <c r="C152" s="277"/>
      <c r="D152" s="309"/>
      <c r="E152" s="101"/>
      <c r="F152" s="657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580"/>
      <c r="T152" s="319"/>
      <c r="U152" s="105"/>
      <c r="V152" s="103"/>
      <c r="W152" s="84"/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0</v>
      </c>
      <c r="AG152" s="171" t="e">
        <f t="shared" si="64"/>
        <v>#DIV/0!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J160:O160" si="102">AVERAGE(M148:M159)</f>
        <v>17.25</v>
      </c>
      <c r="N160" s="327">
        <f t="shared" si="102"/>
        <v>1220.5457661290325</v>
      </c>
      <c r="O160" s="328">
        <f t="shared" si="102"/>
        <v>70.97905400063253</v>
      </c>
      <c r="P160" s="107">
        <f t="shared" ref="P160:P165" si="103">M160-J160</f>
        <v>0.25</v>
      </c>
      <c r="Q160" s="117">
        <f t="shared" ref="Q160:Q165" si="104">O160-L160</f>
        <v>-16.807404332700798</v>
      </c>
      <c r="R160" s="329">
        <f>O160/L160</f>
        <v>0.80854217550409058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0</v>
      </c>
      <c r="AE160" s="122">
        <f>SUM(AE148:AE159)</f>
        <v>2</v>
      </c>
      <c r="AF160" s="107">
        <f t="shared" si="63"/>
        <v>-265.70423387096753</v>
      </c>
      <c r="AG160" s="176">
        <f t="shared" si="64"/>
        <v>0.82122507393038346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3012</v>
      </c>
      <c r="H161" s="127">
        <f t="shared" ref="H161:H170" si="105">F161*G161</f>
        <v>103100.76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2177.3493975903616</v>
      </c>
      <c r="O161" s="129">
        <f t="shared" ref="O161:O165" si="107">N161/M161</f>
        <v>167.48841519925858</v>
      </c>
      <c r="P161" s="95">
        <f t="shared" si="103"/>
        <v>0</v>
      </c>
      <c r="Q161" s="131">
        <f t="shared" si="104"/>
        <v>-5.5885078776644832</v>
      </c>
      <c r="R161" s="132">
        <f t="shared" ref="R161:R165" si="108">O161/L161</f>
        <v>0.96771084337349411</v>
      </c>
      <c r="S161" s="575">
        <f>R173</f>
        <v>0.94957578443719881</v>
      </c>
      <c r="T161" s="133">
        <v>0.16666666666666666</v>
      </c>
      <c r="U161" s="133">
        <v>0.22430555555555554</v>
      </c>
      <c r="V161" s="332">
        <v>5</v>
      </c>
      <c r="W161" s="134">
        <f t="shared" ref="W161:W165" si="109">(U161-T161)*24*60</f>
        <v>82.999999999999986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-72.650602409638395</v>
      </c>
      <c r="AG161" s="132">
        <f t="shared" si="64"/>
        <v>0.967710843373494</v>
      </c>
      <c r="AH161" s="575">
        <f>AG173</f>
        <v>0.95316091246864665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3578</v>
      </c>
      <c r="H162" s="127">
        <f t="shared" si="105"/>
        <v>122474.93999999999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2213.1958762886597</v>
      </c>
      <c r="O162" s="129">
        <f t="shared" si="107"/>
        <v>170.24583663758921</v>
      </c>
      <c r="P162" s="95">
        <f t="shared" si="103"/>
        <v>0</v>
      </c>
      <c r="Q162" s="131">
        <f t="shared" si="104"/>
        <v>-2.8310864393338591</v>
      </c>
      <c r="R162" s="132">
        <f t="shared" si="108"/>
        <v>0.98364261168384881</v>
      </c>
      <c r="S162" s="575"/>
      <c r="T162" s="133">
        <v>0.22847222222222222</v>
      </c>
      <c r="U162" s="133">
        <v>0.29583333333333334</v>
      </c>
      <c r="V162" s="332">
        <v>6</v>
      </c>
      <c r="W162" s="134">
        <f t="shared" si="109"/>
        <v>97.000000000000014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-36.804123711340253</v>
      </c>
      <c r="AG162" s="132">
        <f t="shared" si="64"/>
        <v>0.98364261168384881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2505</v>
      </c>
      <c r="H163" s="127">
        <f t="shared" si="105"/>
        <v>85746.15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2058.9041095890416</v>
      </c>
      <c r="O163" s="129">
        <f t="shared" si="107"/>
        <v>171.57534246575347</v>
      </c>
      <c r="P163" s="95">
        <f t="shared" si="103"/>
        <v>0</v>
      </c>
      <c r="Q163" s="131">
        <f t="shared" si="104"/>
        <v>-4.9246575342465349</v>
      </c>
      <c r="R163" s="132">
        <f t="shared" si="108"/>
        <v>0.97209825759633695</v>
      </c>
      <c r="S163" s="575"/>
      <c r="T163" s="133">
        <v>0.33749999999999997</v>
      </c>
      <c r="U163" s="133">
        <v>0.3881944444444444</v>
      </c>
      <c r="V163" s="332">
        <v>7</v>
      </c>
      <c r="W163" s="134">
        <f t="shared" si="109"/>
        <v>72.999999999999986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-59.095890410958418</v>
      </c>
      <c r="AG163" s="132">
        <f t="shared" si="64"/>
        <v>0.97209825759633695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5230</v>
      </c>
      <c r="H164" s="127">
        <f t="shared" si="105"/>
        <v>187390.9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2209.8591549295766</v>
      </c>
      <c r="O164" s="129">
        <f t="shared" si="107"/>
        <v>200.89628681177967</v>
      </c>
      <c r="P164" s="95">
        <f t="shared" si="103"/>
        <v>0</v>
      </c>
      <c r="Q164" s="131">
        <f t="shared" si="104"/>
        <v>-3.649167733674858</v>
      </c>
      <c r="R164" s="132">
        <f t="shared" si="108"/>
        <v>0.98215962441314508</v>
      </c>
      <c r="S164" s="575"/>
      <c r="T164" s="133">
        <v>0.40416666666666662</v>
      </c>
      <c r="U164" s="133">
        <v>0.50277777777777777</v>
      </c>
      <c r="V164" s="332">
        <v>23</v>
      </c>
      <c r="W164" s="134">
        <f t="shared" si="109"/>
        <v>142.00000000000006</v>
      </c>
      <c r="X164" s="140">
        <v>0.39166666666666666</v>
      </c>
      <c r="Y164" s="140">
        <v>0.40138888888888885</v>
      </c>
      <c r="Z164" s="95"/>
      <c r="AA164" s="95"/>
      <c r="AB164" s="571"/>
      <c r="AC164" s="571"/>
      <c r="AD164" s="332"/>
      <c r="AE164" s="332"/>
      <c r="AF164" s="95">
        <f t="shared" si="63"/>
        <v>-40.140845070423438</v>
      </c>
      <c r="AG164" s="132">
        <f t="shared" si="64"/>
        <v>0.98215962441314519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4540.9000000000005</v>
      </c>
      <c r="H165" s="127">
        <f t="shared" si="105"/>
        <v>165334.16899999999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2432.6250000000023</v>
      </c>
      <c r="O165" s="129">
        <f t="shared" si="107"/>
        <v>243.26250000000022</v>
      </c>
      <c r="P165" s="95">
        <f t="shared" si="103"/>
        <v>0</v>
      </c>
      <c r="Q165" s="131">
        <f t="shared" si="104"/>
        <v>-33.637499999999761</v>
      </c>
      <c r="R165" s="132">
        <f t="shared" si="108"/>
        <v>0.87852112676056426</v>
      </c>
      <c r="S165" s="575"/>
      <c r="T165" s="133">
        <v>0.51805555555555549</v>
      </c>
      <c r="U165" s="133">
        <v>0.59583333333333321</v>
      </c>
      <c r="V165" s="332">
        <v>22</v>
      </c>
      <c r="W165" s="134">
        <f t="shared" si="109"/>
        <v>111.99999999999991</v>
      </c>
      <c r="X165" s="140">
        <v>0.50624999999999998</v>
      </c>
      <c r="Y165" s="140">
        <v>0.51527777777777783</v>
      </c>
      <c r="Z165" s="95"/>
      <c r="AA165" s="95"/>
      <c r="AB165" s="571"/>
      <c r="AC165" s="571"/>
      <c r="AD165" s="332"/>
      <c r="AE165" s="332"/>
      <c r="AF165" s="95">
        <f t="shared" si="63"/>
        <v>-336.37499999999773</v>
      </c>
      <c r="AG165" s="132">
        <f t="shared" si="64"/>
        <v>0.87852112676056415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2218.3867076795282</v>
      </c>
      <c r="O173" s="148">
        <f t="shared" si="110"/>
        <v>190.69367622287623</v>
      </c>
      <c r="P173" s="95">
        <f>M173-J173</f>
        <v>0</v>
      </c>
      <c r="Q173" s="131">
        <f>O173-L173</f>
        <v>-10.126183916983905</v>
      </c>
      <c r="R173" s="149">
        <f>O173/L173</f>
        <v>0.94957578443719881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0</v>
      </c>
      <c r="AF173" s="95">
        <f t="shared" si="63"/>
        <v>-109.01329232047192</v>
      </c>
      <c r="AG173" s="132">
        <f t="shared" si="64"/>
        <v>0.95316091246864665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20075" priority="3346" operator="lessThan">
      <formula>0</formula>
    </cfRule>
  </conditionalFormatting>
  <conditionalFormatting sqref="AH57 AH70 S43 S123 S95 AH95 S5:S9 AH5:AH9 S134 AH17:AH18 S17:S18 S32 S82 AH82 S57:S70">
    <cfRule type="cellIs" dxfId="20074" priority="3345" operator="lessThan">
      <formula>0.8</formula>
    </cfRule>
  </conditionalFormatting>
  <conditionalFormatting sqref="R147 R173 R30 R121 R95 R43 R134 R82 R154:R159 R17:R18 R57:R70">
    <cfRule type="cellIs" dxfId="20073" priority="3343" operator="lessThan">
      <formula>0.8</formula>
    </cfRule>
    <cfRule type="cellIs" dxfId="20072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20071" priority="3341" operator="greaterThan">
      <formula>1</formula>
    </cfRule>
    <cfRule type="cellIs" dxfId="20070" priority="3342" operator="lessThan">
      <formula>0.8</formula>
    </cfRule>
  </conditionalFormatting>
  <conditionalFormatting sqref="P147 P30 P121 P95 P43 P134 P82 P154:P159 P17:P18 P57:P70">
    <cfRule type="cellIs" dxfId="20069" priority="3340" operator="greaterThan">
      <formula>0</formula>
    </cfRule>
  </conditionalFormatting>
  <conditionalFormatting sqref="S161">
    <cfRule type="cellIs" dxfId="20068" priority="3339" operator="lessThan">
      <formula>0.8</formula>
    </cfRule>
  </conditionalFormatting>
  <conditionalFormatting sqref="Q161:Q166">
    <cfRule type="cellIs" dxfId="20067" priority="3338" operator="lessThan">
      <formula>0</formula>
    </cfRule>
  </conditionalFormatting>
  <conditionalFormatting sqref="R161:R166">
    <cfRule type="cellIs" dxfId="20066" priority="3336" operator="lessThan">
      <formula>0.8</formula>
    </cfRule>
    <cfRule type="cellIs" dxfId="20065" priority="3337" operator="greaterThan">
      <formula>1</formula>
    </cfRule>
  </conditionalFormatting>
  <conditionalFormatting sqref="R161:R166">
    <cfRule type="cellIs" dxfId="20064" priority="3334" operator="greaterThan">
      <formula>1</formula>
    </cfRule>
    <cfRule type="cellIs" dxfId="20063" priority="3335" operator="lessThan">
      <formula>0.8</formula>
    </cfRule>
  </conditionalFormatting>
  <conditionalFormatting sqref="P161:P166">
    <cfRule type="cellIs" dxfId="20062" priority="3333" operator="greaterThan">
      <formula>0</formula>
    </cfRule>
  </conditionalFormatting>
  <conditionalFormatting sqref="Q169:Q172 AF161:AF172">
    <cfRule type="cellIs" dxfId="20061" priority="3332" operator="lessThan">
      <formula>0</formula>
    </cfRule>
  </conditionalFormatting>
  <conditionalFormatting sqref="R169:R172">
    <cfRule type="cellIs" dxfId="20060" priority="3330" operator="lessThan">
      <formula>0.8</formula>
    </cfRule>
    <cfRule type="cellIs" dxfId="20059" priority="3331" operator="greaterThan">
      <formula>1</formula>
    </cfRule>
  </conditionalFormatting>
  <conditionalFormatting sqref="R169:R172 AG161:AG172">
    <cfRule type="cellIs" dxfId="20058" priority="3328" operator="greaterThan">
      <formula>1</formula>
    </cfRule>
    <cfRule type="cellIs" dxfId="20057" priority="3329" operator="lessThan">
      <formula>0.8</formula>
    </cfRule>
  </conditionalFormatting>
  <conditionalFormatting sqref="P169:P172">
    <cfRule type="cellIs" dxfId="20056" priority="3327" operator="greaterThan">
      <formula>0</formula>
    </cfRule>
  </conditionalFormatting>
  <conditionalFormatting sqref="AF145">
    <cfRule type="cellIs" dxfId="20055" priority="3326" operator="lessThan">
      <formula>0</formula>
    </cfRule>
  </conditionalFormatting>
  <conditionalFormatting sqref="AG145">
    <cfRule type="cellIs" dxfId="20054" priority="3324" operator="greaterThan">
      <formula>1</formula>
    </cfRule>
    <cfRule type="cellIs" dxfId="20053" priority="3325" operator="lessThan">
      <formula>0.8</formula>
    </cfRule>
  </conditionalFormatting>
  <conditionalFormatting sqref="AF44:AF54">
    <cfRule type="cellIs" dxfId="20052" priority="3323" operator="lessThan">
      <formula>0</formula>
    </cfRule>
  </conditionalFormatting>
  <conditionalFormatting sqref="AG44:AG54">
    <cfRule type="cellIs" dxfId="20051" priority="3321" operator="greaterThan">
      <formula>1</formula>
    </cfRule>
    <cfRule type="cellIs" dxfId="20050" priority="3322" operator="lessThan">
      <formula>0.8</formula>
    </cfRule>
  </conditionalFormatting>
  <conditionalFormatting sqref="AF83:AF94">
    <cfRule type="cellIs" dxfId="20049" priority="3320" operator="lessThan">
      <formula>0</formula>
    </cfRule>
  </conditionalFormatting>
  <conditionalFormatting sqref="AH83">
    <cfRule type="cellIs" dxfId="20048" priority="3319" operator="lessThan">
      <formula>0.8</formula>
    </cfRule>
  </conditionalFormatting>
  <conditionalFormatting sqref="AG83:AG94">
    <cfRule type="cellIs" dxfId="20047" priority="3317" operator="greaterThan">
      <formula>1</formula>
    </cfRule>
    <cfRule type="cellIs" dxfId="20046" priority="3318" operator="lessThan">
      <formula>0.8</formula>
    </cfRule>
  </conditionalFormatting>
  <conditionalFormatting sqref="S83">
    <cfRule type="cellIs" dxfId="20045" priority="3316" operator="lessThan">
      <formula>0.8</formula>
    </cfRule>
  </conditionalFormatting>
  <conditionalFormatting sqref="AH84">
    <cfRule type="cellIs" dxfId="20044" priority="3315" operator="lessThan">
      <formula>0.8</formula>
    </cfRule>
  </conditionalFormatting>
  <conditionalFormatting sqref="S84">
    <cfRule type="cellIs" dxfId="20043" priority="3314" operator="lessThan">
      <formula>0.8</formula>
    </cfRule>
  </conditionalFormatting>
  <conditionalFormatting sqref="S90">
    <cfRule type="cellIs" dxfId="20042" priority="3313" operator="lessThan">
      <formula>0.8</formula>
    </cfRule>
  </conditionalFormatting>
  <conditionalFormatting sqref="AH90">
    <cfRule type="cellIs" dxfId="20041" priority="3312" operator="lessThan">
      <formula>0.8</formula>
    </cfRule>
  </conditionalFormatting>
  <conditionalFormatting sqref="AF122">
    <cfRule type="cellIs" dxfId="20040" priority="3311" operator="lessThan">
      <formula>0</formula>
    </cfRule>
  </conditionalFormatting>
  <conditionalFormatting sqref="S122">
    <cfRule type="cellIs" dxfId="20039" priority="3310" operator="lessThan">
      <formula>0.8</formula>
    </cfRule>
  </conditionalFormatting>
  <conditionalFormatting sqref="AG122">
    <cfRule type="cellIs" dxfId="20038" priority="3308" operator="greaterThan">
      <formula>1</formula>
    </cfRule>
    <cfRule type="cellIs" dxfId="20037" priority="3309" operator="lessThan">
      <formula>0.8</formula>
    </cfRule>
  </conditionalFormatting>
  <conditionalFormatting sqref="P162:P168">
    <cfRule type="cellIs" dxfId="20036" priority="3302" operator="greaterThan">
      <formula>0</formula>
    </cfRule>
  </conditionalFormatting>
  <conditionalFormatting sqref="R162:R168">
    <cfRule type="cellIs" dxfId="20035" priority="3305" operator="lessThan">
      <formula>0.8</formula>
    </cfRule>
    <cfRule type="cellIs" dxfId="20034" priority="3306" operator="greaterThan">
      <formula>1</formula>
    </cfRule>
  </conditionalFormatting>
  <conditionalFormatting sqref="R162:R168">
    <cfRule type="cellIs" dxfId="20033" priority="3303" operator="greaterThan">
      <formula>1</formula>
    </cfRule>
    <cfRule type="cellIs" dxfId="20032" priority="3304" operator="lessThan">
      <formula>0.8</formula>
    </cfRule>
  </conditionalFormatting>
  <conditionalFormatting sqref="Q162:Q168">
    <cfRule type="cellIs" dxfId="20031" priority="3307" operator="lessThan">
      <formula>0</formula>
    </cfRule>
  </conditionalFormatting>
  <conditionalFormatting sqref="P132:P133">
    <cfRule type="cellIs" dxfId="20030" priority="3295" operator="greaterThan">
      <formula>0</formula>
    </cfRule>
  </conditionalFormatting>
  <conditionalFormatting sqref="AF124 Q132:Q133 AF126:AF133">
    <cfRule type="cellIs" dxfId="20029" priority="3301" operator="lessThan">
      <formula>0</formula>
    </cfRule>
  </conditionalFormatting>
  <conditionalFormatting sqref="S124:S133">
    <cfRule type="cellIs" dxfId="20028" priority="3300" operator="lessThan">
      <formula>0.8</formula>
    </cfRule>
  </conditionalFormatting>
  <conditionalFormatting sqref="R132:R133">
    <cfRule type="cellIs" dxfId="20027" priority="3298" operator="lessThan">
      <formula>0.8</formula>
    </cfRule>
    <cfRule type="cellIs" dxfId="20026" priority="3299" operator="greaterThan">
      <formula>1</formula>
    </cfRule>
  </conditionalFormatting>
  <conditionalFormatting sqref="AG124 R132:R133 AG126:AG133">
    <cfRule type="cellIs" dxfId="20025" priority="3296" operator="greaterThan">
      <formula>1</formula>
    </cfRule>
    <cfRule type="cellIs" dxfId="20024" priority="3297" operator="lessThan">
      <formula>0.8</formula>
    </cfRule>
  </conditionalFormatting>
  <conditionalFormatting sqref="AF112 AF115">
    <cfRule type="cellIs" dxfId="20023" priority="3294" operator="lessThan">
      <formula>0</formula>
    </cfRule>
  </conditionalFormatting>
  <conditionalFormatting sqref="AG112 AG115">
    <cfRule type="cellIs" dxfId="20022" priority="3292" operator="greaterThan">
      <formula>1</formula>
    </cfRule>
    <cfRule type="cellIs" dxfId="20021" priority="3293" operator="lessThan">
      <formula>0.8</formula>
    </cfRule>
  </conditionalFormatting>
  <conditionalFormatting sqref="AF111 AF114 AF117">
    <cfRule type="cellIs" dxfId="20020" priority="3291" operator="lessThan">
      <formula>0</formula>
    </cfRule>
  </conditionalFormatting>
  <conditionalFormatting sqref="AH109">
    <cfRule type="cellIs" dxfId="20019" priority="3290" operator="lessThan">
      <formula>0.8</formula>
    </cfRule>
  </conditionalFormatting>
  <conditionalFormatting sqref="AG111 AG114 AG117">
    <cfRule type="cellIs" dxfId="20018" priority="3288" operator="greaterThan">
      <formula>1</formula>
    </cfRule>
    <cfRule type="cellIs" dxfId="20017" priority="3289" operator="lessThan">
      <formula>0.8</formula>
    </cfRule>
  </conditionalFormatting>
  <conditionalFormatting sqref="R160 AG160">
    <cfRule type="cellIs" dxfId="20016" priority="3283" operator="greaterThan">
      <formula>1</formula>
    </cfRule>
    <cfRule type="cellIs" dxfId="20015" priority="3284" operator="lessThan">
      <formula>0.8</formula>
    </cfRule>
  </conditionalFormatting>
  <conditionalFormatting sqref="R160">
    <cfRule type="cellIs" dxfId="20014" priority="3285" operator="lessThan">
      <formula>0.8</formula>
    </cfRule>
    <cfRule type="cellIs" dxfId="20013" priority="3286" operator="greaterThan">
      <formula>1</formula>
    </cfRule>
  </conditionalFormatting>
  <conditionalFormatting sqref="P160">
    <cfRule type="cellIs" dxfId="20012" priority="3282" operator="greaterThan">
      <formula>0</formula>
    </cfRule>
  </conditionalFormatting>
  <conditionalFormatting sqref="AH148">
    <cfRule type="cellIs" dxfId="20011" priority="3281" operator="lessThan">
      <formula>0.8</formula>
    </cfRule>
  </conditionalFormatting>
  <conditionalFormatting sqref="Q160 AF160">
    <cfRule type="cellIs" dxfId="20010" priority="3287" operator="lessThan">
      <formula>0</formula>
    </cfRule>
  </conditionalFormatting>
  <conditionalFormatting sqref="AF148:AF154">
    <cfRule type="cellIs" dxfId="20009" priority="3280" operator="lessThan">
      <formula>0</formula>
    </cfRule>
  </conditionalFormatting>
  <conditionalFormatting sqref="S148">
    <cfRule type="cellIs" dxfId="20008" priority="3279" operator="lessThan">
      <formula>0.8</formula>
    </cfRule>
  </conditionalFormatting>
  <conditionalFormatting sqref="AG148:AG154">
    <cfRule type="cellIs" dxfId="20007" priority="3277" operator="greaterThan">
      <formula>1</formula>
    </cfRule>
    <cfRule type="cellIs" dxfId="20006" priority="3278" operator="lessThan">
      <formula>0.8</formula>
    </cfRule>
  </conditionalFormatting>
  <conditionalFormatting sqref="S86">
    <cfRule type="cellIs" dxfId="20005" priority="3276" operator="lessThan">
      <formula>0.8</formula>
    </cfRule>
  </conditionalFormatting>
  <conditionalFormatting sqref="S88 AH88">
    <cfRule type="cellIs" dxfId="20004" priority="3271" operator="lessThan">
      <formula>0.8</formula>
    </cfRule>
  </conditionalFormatting>
  <conditionalFormatting sqref="AH86">
    <cfRule type="cellIs" dxfId="20003" priority="3275" operator="lessThan">
      <formula>0.8</formula>
    </cfRule>
  </conditionalFormatting>
  <conditionalFormatting sqref="S87">
    <cfRule type="cellIs" dxfId="20002" priority="3274" operator="lessThan">
      <formula>0.8</formula>
    </cfRule>
  </conditionalFormatting>
  <conditionalFormatting sqref="AH87">
    <cfRule type="cellIs" dxfId="20001" priority="3273" operator="lessThan">
      <formula>0.8</formula>
    </cfRule>
  </conditionalFormatting>
  <conditionalFormatting sqref="S89 AH89">
    <cfRule type="cellIs" dxfId="20000" priority="3272" operator="lessThan">
      <formula>0.8</formula>
    </cfRule>
  </conditionalFormatting>
  <conditionalFormatting sqref="AF31 AF35 AF39">
    <cfRule type="cellIs" dxfId="19999" priority="3270" operator="lessThan">
      <formula>0</formula>
    </cfRule>
  </conditionalFormatting>
  <conditionalFormatting sqref="AH31 S31">
    <cfRule type="cellIs" dxfId="19998" priority="3269" operator="lessThan">
      <formula>0.8</formula>
    </cfRule>
  </conditionalFormatting>
  <conditionalFormatting sqref="AG31 AG35 AG39">
    <cfRule type="cellIs" dxfId="19997" priority="3267" operator="greaterThan">
      <formula>1</formula>
    </cfRule>
    <cfRule type="cellIs" dxfId="19996" priority="3268" operator="lessThan">
      <formula>0.8</formula>
    </cfRule>
  </conditionalFormatting>
  <conditionalFormatting sqref="AF135">
    <cfRule type="cellIs" dxfId="19995" priority="3266" operator="lessThan">
      <formula>0</formula>
    </cfRule>
  </conditionalFormatting>
  <conditionalFormatting sqref="AH135 S135">
    <cfRule type="cellIs" dxfId="19994" priority="3265" operator="lessThan">
      <formula>0.8</formula>
    </cfRule>
  </conditionalFormatting>
  <conditionalFormatting sqref="AG135">
    <cfRule type="cellIs" dxfId="19993" priority="3263" operator="greaterThan">
      <formula>1</formula>
    </cfRule>
    <cfRule type="cellIs" dxfId="19992" priority="3264" operator="lessThan">
      <formula>0.8</formula>
    </cfRule>
  </conditionalFormatting>
  <conditionalFormatting sqref="AF110 AF113 AF116">
    <cfRule type="cellIs" dxfId="19991" priority="3262" operator="lessThan">
      <formula>0</formula>
    </cfRule>
  </conditionalFormatting>
  <conditionalFormatting sqref="AG110 AG113 AG116">
    <cfRule type="cellIs" dxfId="19990" priority="3260" operator="greaterThan">
      <formula>1</formula>
    </cfRule>
    <cfRule type="cellIs" dxfId="19989" priority="3261" operator="lessThan">
      <formula>0.8</formula>
    </cfRule>
  </conditionalFormatting>
  <conditionalFormatting sqref="AF108 Q108">
    <cfRule type="cellIs" dxfId="19988" priority="3259" operator="lessThan">
      <formula>0</formula>
    </cfRule>
  </conditionalFormatting>
  <conditionalFormatting sqref="R108">
    <cfRule type="cellIs" dxfId="19987" priority="3257" operator="lessThan">
      <formula>0.8</formula>
    </cfRule>
    <cfRule type="cellIs" dxfId="19986" priority="3258" operator="greaterThan">
      <formula>1</formula>
    </cfRule>
  </conditionalFormatting>
  <conditionalFormatting sqref="AG108 R108">
    <cfRule type="cellIs" dxfId="19985" priority="3255" operator="greaterThan">
      <formula>1</formula>
    </cfRule>
    <cfRule type="cellIs" dxfId="19984" priority="3256" operator="lessThan">
      <formula>0.8</formula>
    </cfRule>
  </conditionalFormatting>
  <conditionalFormatting sqref="P108">
    <cfRule type="cellIs" dxfId="19983" priority="3254" operator="greaterThan">
      <formula>0</formula>
    </cfRule>
  </conditionalFormatting>
  <conditionalFormatting sqref="AH97">
    <cfRule type="cellIs" dxfId="19982" priority="3249" operator="lessThan">
      <formula>0.8</formula>
    </cfRule>
  </conditionalFormatting>
  <conditionalFormatting sqref="AG96 AG98 AG100 AG102 AG104">
    <cfRule type="cellIs" dxfId="19981" priority="3251" operator="greaterThan">
      <formula>1</formula>
    </cfRule>
    <cfRule type="cellIs" dxfId="19980" priority="3252" operator="lessThan">
      <formula>0.8</formula>
    </cfRule>
  </conditionalFormatting>
  <conditionalFormatting sqref="AF96 AF98 AF100 AF102 AF104">
    <cfRule type="cellIs" dxfId="19979" priority="3253" operator="lessThan">
      <formula>0</formula>
    </cfRule>
  </conditionalFormatting>
  <conditionalFormatting sqref="AG97 AG99 AG101 AG103 AG105">
    <cfRule type="cellIs" dxfId="19978" priority="3247" operator="greaterThan">
      <formula>1</formula>
    </cfRule>
    <cfRule type="cellIs" dxfId="19977" priority="3248" operator="lessThan">
      <formula>0.8</formula>
    </cfRule>
  </conditionalFormatting>
  <conditionalFormatting sqref="AF97 AF99 AF101 AF103 AF105">
    <cfRule type="cellIs" dxfId="19976" priority="3250" operator="lessThan">
      <formula>0</formula>
    </cfRule>
  </conditionalFormatting>
  <conditionalFormatting sqref="AF71 AF73 AF75 AF79 AF77">
    <cfRule type="cellIs" dxfId="19975" priority="3244" operator="lessThan">
      <formula>0</formula>
    </cfRule>
  </conditionalFormatting>
  <conditionalFormatting sqref="S71 AH71">
    <cfRule type="cellIs" dxfId="19974" priority="3243" operator="lessThan">
      <formula>0.8</formula>
    </cfRule>
  </conditionalFormatting>
  <conditionalFormatting sqref="AG71 AG73 AG75 AG79 AG77">
    <cfRule type="cellIs" dxfId="19973" priority="3241" operator="greaterThan">
      <formula>1</formula>
    </cfRule>
    <cfRule type="cellIs" dxfId="19972" priority="3242" operator="lessThan">
      <formula>0.8</formula>
    </cfRule>
  </conditionalFormatting>
  <conditionalFormatting sqref="AF72 AF76 AF80">
    <cfRule type="cellIs" dxfId="19971" priority="3240" operator="lessThan">
      <formula>0</formula>
    </cfRule>
  </conditionalFormatting>
  <conditionalFormatting sqref="S72 AH72">
    <cfRule type="cellIs" dxfId="19970" priority="3239" operator="lessThan">
      <formula>0.8</formula>
    </cfRule>
  </conditionalFormatting>
  <conditionalFormatting sqref="S11">
    <cfRule type="cellIs" dxfId="19969" priority="3246" operator="lessThan">
      <formula>0.8</formula>
    </cfRule>
  </conditionalFormatting>
  <conditionalFormatting sqref="S10">
    <cfRule type="cellIs" dxfId="19968" priority="3245" operator="lessThan">
      <formula>0.8</formula>
    </cfRule>
  </conditionalFormatting>
  <conditionalFormatting sqref="AG72 AG76 AG80">
    <cfRule type="cellIs" dxfId="19967" priority="3237" operator="greaterThan">
      <formula>1</formula>
    </cfRule>
    <cfRule type="cellIs" dxfId="19966" priority="3238" operator="lessThan">
      <formula>0.8</formula>
    </cfRule>
  </conditionalFormatting>
  <conditionalFormatting sqref="AF14:AF16 Q16">
    <cfRule type="cellIs" dxfId="19965" priority="3236" operator="lessThan">
      <formula>0</formula>
    </cfRule>
  </conditionalFormatting>
  <conditionalFormatting sqref="R16">
    <cfRule type="cellIs" dxfId="19964" priority="3234" operator="lessThan">
      <formula>0.8</formula>
    </cfRule>
    <cfRule type="cellIs" dxfId="19963" priority="3235" operator="greaterThan">
      <formula>1</formula>
    </cfRule>
  </conditionalFormatting>
  <conditionalFormatting sqref="AG14:AG16 R16">
    <cfRule type="cellIs" dxfId="19962" priority="3232" operator="greaterThan">
      <formula>1</formula>
    </cfRule>
    <cfRule type="cellIs" dxfId="19961" priority="3233" operator="lessThan">
      <formula>0.8</formula>
    </cfRule>
  </conditionalFormatting>
  <conditionalFormatting sqref="P16">
    <cfRule type="cellIs" dxfId="19960" priority="3231" operator="greaterThan">
      <formula>0</formula>
    </cfRule>
  </conditionalFormatting>
  <conditionalFormatting sqref="AH98">
    <cfRule type="cellIs" dxfId="19959" priority="3230" operator="lessThan">
      <formula>0.8</formula>
    </cfRule>
  </conditionalFormatting>
  <conditionalFormatting sqref="AF33 AF37">
    <cfRule type="cellIs" dxfId="19958" priority="3229" operator="lessThan">
      <formula>0</formula>
    </cfRule>
  </conditionalFormatting>
  <conditionalFormatting sqref="AG33 AG37">
    <cfRule type="cellIs" dxfId="19957" priority="3227" operator="greaterThan">
      <formula>1</formula>
    </cfRule>
    <cfRule type="cellIs" dxfId="19956" priority="3228" operator="lessThan">
      <formula>0.8</formula>
    </cfRule>
  </conditionalFormatting>
  <conditionalFormatting sqref="P41:P42">
    <cfRule type="cellIs" dxfId="19955" priority="3221" operator="greaterThan">
      <formula>0</formula>
    </cfRule>
  </conditionalFormatting>
  <conditionalFormatting sqref="Q41:Q42 AF34 AF41:AF42 AF38">
    <cfRule type="cellIs" dxfId="19954" priority="3226" operator="lessThan">
      <formula>0</formula>
    </cfRule>
  </conditionalFormatting>
  <conditionalFormatting sqref="R41:R42">
    <cfRule type="cellIs" dxfId="19953" priority="3224" operator="lessThan">
      <formula>0.8</formula>
    </cfRule>
    <cfRule type="cellIs" dxfId="19952" priority="3225" operator="greaterThan">
      <formula>1</formula>
    </cfRule>
  </conditionalFormatting>
  <conditionalFormatting sqref="R41:R42 AG34 AG41:AG42 AG38">
    <cfRule type="cellIs" dxfId="19951" priority="3222" operator="greaterThan">
      <formula>1</formula>
    </cfRule>
    <cfRule type="cellIs" dxfId="19950" priority="3223" operator="lessThan">
      <formula>0.8</formula>
    </cfRule>
  </conditionalFormatting>
  <conditionalFormatting sqref="AF137:AF144">
    <cfRule type="cellIs" dxfId="19949" priority="3220" operator="lessThan">
      <formula>0</formula>
    </cfRule>
  </conditionalFormatting>
  <conditionalFormatting sqref="AH137 S137">
    <cfRule type="cellIs" dxfId="19948" priority="3219" operator="lessThan">
      <formula>0.8</formula>
    </cfRule>
  </conditionalFormatting>
  <conditionalFormatting sqref="AG137:AG144">
    <cfRule type="cellIs" dxfId="19947" priority="3217" operator="greaterThan">
      <formula>1</formula>
    </cfRule>
    <cfRule type="cellIs" dxfId="19946" priority="3218" operator="lessThan">
      <formula>0.8</formula>
    </cfRule>
  </conditionalFormatting>
  <conditionalFormatting sqref="AF55">
    <cfRule type="cellIs" dxfId="19945" priority="3216" operator="lessThan">
      <formula>0</formula>
    </cfRule>
  </conditionalFormatting>
  <conditionalFormatting sqref="AG55">
    <cfRule type="cellIs" dxfId="19944" priority="3214" operator="greaterThan">
      <formula>1</formula>
    </cfRule>
    <cfRule type="cellIs" dxfId="19943" priority="3215" operator="lessThan">
      <formula>0.8</formula>
    </cfRule>
  </conditionalFormatting>
  <conditionalFormatting sqref="AF56 Q56">
    <cfRule type="cellIs" dxfId="19942" priority="3213" operator="lessThan">
      <formula>0</formula>
    </cfRule>
  </conditionalFormatting>
  <conditionalFormatting sqref="R56">
    <cfRule type="cellIs" dxfId="19941" priority="3211" operator="lessThan">
      <formula>0.8</formula>
    </cfRule>
    <cfRule type="cellIs" dxfId="19940" priority="3212" operator="greaterThan">
      <formula>1</formula>
    </cfRule>
  </conditionalFormatting>
  <conditionalFormatting sqref="AG56 R56">
    <cfRule type="cellIs" dxfId="19939" priority="3209" operator="greaterThan">
      <formula>1</formula>
    </cfRule>
    <cfRule type="cellIs" dxfId="19938" priority="3210" operator="lessThan">
      <formula>0.8</formula>
    </cfRule>
  </conditionalFormatting>
  <conditionalFormatting sqref="P56">
    <cfRule type="cellIs" dxfId="19937" priority="3208" operator="greaterThan">
      <formula>0</formula>
    </cfRule>
  </conditionalFormatting>
  <conditionalFormatting sqref="P52:P55">
    <cfRule type="cellIs" dxfId="19936" priority="3202" operator="greaterThan">
      <formula>0</formula>
    </cfRule>
  </conditionalFormatting>
  <conditionalFormatting sqref="Q52:Q55">
    <cfRule type="cellIs" dxfId="19935" priority="3207" operator="lessThan">
      <formula>0</formula>
    </cfRule>
  </conditionalFormatting>
  <conditionalFormatting sqref="R52:R55">
    <cfRule type="cellIs" dxfId="19934" priority="3205" operator="lessThan">
      <formula>0.8</formula>
    </cfRule>
    <cfRule type="cellIs" dxfId="19933" priority="3206" operator="greaterThan">
      <formula>1</formula>
    </cfRule>
  </conditionalFormatting>
  <conditionalFormatting sqref="R52:R55">
    <cfRule type="cellIs" dxfId="19932" priority="3203" operator="greaterThan">
      <formula>1</formula>
    </cfRule>
    <cfRule type="cellIs" dxfId="19931" priority="3204" operator="lessThan">
      <formula>0.8</formula>
    </cfRule>
  </conditionalFormatting>
  <conditionalFormatting sqref="P80:P81">
    <cfRule type="cellIs" dxfId="19930" priority="3196" operator="greaterThan">
      <formula>0</formula>
    </cfRule>
  </conditionalFormatting>
  <conditionalFormatting sqref="AF81 Q80:Q81">
    <cfRule type="cellIs" dxfId="19929" priority="3201" operator="lessThan">
      <formula>0</formula>
    </cfRule>
  </conditionalFormatting>
  <conditionalFormatting sqref="R80:R81">
    <cfRule type="cellIs" dxfId="19928" priority="3199" operator="lessThan">
      <formula>0.8</formula>
    </cfRule>
    <cfRule type="cellIs" dxfId="19927" priority="3200" operator="greaterThan">
      <formula>1</formula>
    </cfRule>
  </conditionalFormatting>
  <conditionalFormatting sqref="AG81 R80:R81">
    <cfRule type="cellIs" dxfId="19926" priority="3197" operator="greaterThan">
      <formula>1</formula>
    </cfRule>
    <cfRule type="cellIs" dxfId="19925" priority="3198" operator="lessThan">
      <formula>0.8</formula>
    </cfRule>
  </conditionalFormatting>
  <conditionalFormatting sqref="AH85">
    <cfRule type="cellIs" dxfId="19924" priority="3195" operator="lessThan">
      <formula>0.8</formula>
    </cfRule>
  </conditionalFormatting>
  <conditionalFormatting sqref="S85">
    <cfRule type="cellIs" dxfId="19923" priority="3194" operator="lessThan">
      <formula>0.8</formula>
    </cfRule>
  </conditionalFormatting>
  <conditionalFormatting sqref="AF106:AF107">
    <cfRule type="cellIs" dxfId="19922" priority="3193" operator="lessThan">
      <formula>0</formula>
    </cfRule>
  </conditionalFormatting>
  <conditionalFormatting sqref="AH100:AH107">
    <cfRule type="cellIs" dxfId="19921" priority="3192" operator="lessThan">
      <formula>0.8</formula>
    </cfRule>
  </conditionalFormatting>
  <conditionalFormatting sqref="AG106:AG107">
    <cfRule type="cellIs" dxfId="19920" priority="3190" operator="greaterThan">
      <formula>1</formula>
    </cfRule>
    <cfRule type="cellIs" dxfId="19919" priority="3191" operator="lessThan">
      <formula>0.8</formula>
    </cfRule>
  </conditionalFormatting>
  <conditionalFormatting sqref="P106:P107">
    <cfRule type="cellIs" dxfId="19918" priority="3184" operator="greaterThan">
      <formula>0</formula>
    </cfRule>
  </conditionalFormatting>
  <conditionalFormatting sqref="Q106:Q107">
    <cfRule type="cellIs" dxfId="19917" priority="3189" operator="lessThan">
      <formula>0</formula>
    </cfRule>
  </conditionalFormatting>
  <conditionalFormatting sqref="R106:R107">
    <cfRule type="cellIs" dxfId="19916" priority="3187" operator="lessThan">
      <formula>0.8</formula>
    </cfRule>
    <cfRule type="cellIs" dxfId="19915" priority="3188" operator="greaterThan">
      <formula>1</formula>
    </cfRule>
  </conditionalFormatting>
  <conditionalFormatting sqref="R106:R107">
    <cfRule type="cellIs" dxfId="19914" priority="3185" operator="greaterThan">
      <formula>1</formula>
    </cfRule>
    <cfRule type="cellIs" dxfId="19913" priority="3186" operator="lessThan">
      <formula>0.8</formula>
    </cfRule>
  </conditionalFormatting>
  <conditionalFormatting sqref="AF109">
    <cfRule type="cellIs" dxfId="19912" priority="3183" operator="lessThan">
      <formula>0</formula>
    </cfRule>
  </conditionalFormatting>
  <conditionalFormatting sqref="S109">
    <cfRule type="cellIs" dxfId="19911" priority="3182" operator="lessThan">
      <formula>0.8</formula>
    </cfRule>
  </conditionalFormatting>
  <conditionalFormatting sqref="AG109">
    <cfRule type="cellIs" dxfId="19910" priority="3180" operator="greaterThan">
      <formula>1</formula>
    </cfRule>
    <cfRule type="cellIs" dxfId="19909" priority="3181" operator="lessThan">
      <formula>0.8</formula>
    </cfRule>
  </conditionalFormatting>
  <conditionalFormatting sqref="S150">
    <cfRule type="cellIs" dxfId="19908" priority="3179" operator="lessThan">
      <formula>0.8</formula>
    </cfRule>
  </conditionalFormatting>
  <conditionalFormatting sqref="AH150">
    <cfRule type="cellIs" dxfId="19907" priority="3178" operator="lessThan">
      <formula>0.8</formula>
    </cfRule>
  </conditionalFormatting>
  <conditionalFormatting sqref="S149">
    <cfRule type="cellIs" dxfId="19906" priority="3177" operator="lessThan">
      <formula>0.8</formula>
    </cfRule>
  </conditionalFormatting>
  <conditionalFormatting sqref="Q26:Q29">
    <cfRule type="cellIs" dxfId="19905" priority="3176" operator="lessThan">
      <formula>0</formula>
    </cfRule>
  </conditionalFormatting>
  <conditionalFormatting sqref="S21:S29 AH21:AH29">
    <cfRule type="cellIs" dxfId="19904" priority="3175" operator="lessThan">
      <formula>0.8</formula>
    </cfRule>
  </conditionalFormatting>
  <conditionalFormatting sqref="R26:R29">
    <cfRule type="cellIs" dxfId="19903" priority="3173" operator="lessThan">
      <formula>0.8</formula>
    </cfRule>
    <cfRule type="cellIs" dxfId="19902" priority="3174" operator="greaterThan">
      <formula>1</formula>
    </cfRule>
  </conditionalFormatting>
  <conditionalFormatting sqref="R26:R29">
    <cfRule type="cellIs" dxfId="19901" priority="3171" operator="greaterThan">
      <formula>1</formula>
    </cfRule>
    <cfRule type="cellIs" dxfId="19900" priority="3172" operator="lessThan">
      <formula>0.8</formula>
    </cfRule>
  </conditionalFormatting>
  <conditionalFormatting sqref="P26:P29">
    <cfRule type="cellIs" dxfId="19899" priority="3170" operator="greaterThan">
      <formula>0</formula>
    </cfRule>
  </conditionalFormatting>
  <conditionalFormatting sqref="AH91 S91">
    <cfRule type="cellIs" dxfId="19898" priority="3169" operator="lessThan">
      <formula>0.8</formula>
    </cfRule>
  </conditionalFormatting>
  <conditionalFormatting sqref="P92:P94">
    <cfRule type="cellIs" dxfId="19897" priority="3163" operator="greaterThan">
      <formula>0</formula>
    </cfRule>
  </conditionalFormatting>
  <conditionalFormatting sqref="Q92:Q94">
    <cfRule type="cellIs" dxfId="19896" priority="3168" operator="lessThan">
      <formula>0</formula>
    </cfRule>
  </conditionalFormatting>
  <conditionalFormatting sqref="R92:R94">
    <cfRule type="cellIs" dxfId="19895" priority="3166" operator="lessThan">
      <formula>0.8</formula>
    </cfRule>
    <cfRule type="cellIs" dxfId="19894" priority="3167" operator="greaterThan">
      <formula>1</formula>
    </cfRule>
  </conditionalFormatting>
  <conditionalFormatting sqref="R92:R94">
    <cfRule type="cellIs" dxfId="19893" priority="3164" operator="greaterThan">
      <formula>1</formula>
    </cfRule>
    <cfRule type="cellIs" dxfId="19892" priority="3165" operator="lessThan">
      <formula>0.8</formula>
    </cfRule>
  </conditionalFormatting>
  <conditionalFormatting sqref="AF146 Q145:Q146">
    <cfRule type="cellIs" dxfId="19891" priority="3162" operator="lessThan">
      <formula>0</formula>
    </cfRule>
  </conditionalFormatting>
  <conditionalFormatting sqref="AH139:AH146 S139:S146">
    <cfRule type="cellIs" dxfId="19890" priority="3161" operator="lessThan">
      <formula>0.8</formula>
    </cfRule>
  </conditionalFormatting>
  <conditionalFormatting sqref="R145:R146">
    <cfRule type="cellIs" dxfId="19889" priority="3159" operator="lessThan">
      <formula>0.8</formula>
    </cfRule>
    <cfRule type="cellIs" dxfId="19888" priority="3160" operator="greaterThan">
      <formula>1</formula>
    </cfRule>
  </conditionalFormatting>
  <conditionalFormatting sqref="AG146 R145:R146">
    <cfRule type="cellIs" dxfId="19887" priority="3157" operator="greaterThan">
      <formula>1</formula>
    </cfRule>
    <cfRule type="cellIs" dxfId="19886" priority="3158" operator="lessThan">
      <formula>0.8</formula>
    </cfRule>
  </conditionalFormatting>
  <conditionalFormatting sqref="P145:P146">
    <cfRule type="cellIs" dxfId="19885" priority="3156" operator="greaterThan">
      <formula>0</formula>
    </cfRule>
  </conditionalFormatting>
  <conditionalFormatting sqref="Q119:Q120">
    <cfRule type="cellIs" dxfId="19884" priority="3155" operator="lessThan">
      <formula>0</formula>
    </cfRule>
  </conditionalFormatting>
  <conditionalFormatting sqref="R119:R120">
    <cfRule type="cellIs" dxfId="19883" priority="3153" operator="lessThan">
      <formula>0.8</formula>
    </cfRule>
    <cfRule type="cellIs" dxfId="19882" priority="3154" operator="greaterThan">
      <formula>1</formula>
    </cfRule>
  </conditionalFormatting>
  <conditionalFormatting sqref="R119:R120">
    <cfRule type="cellIs" dxfId="19881" priority="3151" operator="greaterThan">
      <formula>1</formula>
    </cfRule>
    <cfRule type="cellIs" dxfId="19880" priority="3152" operator="lessThan">
      <formula>0.8</formula>
    </cfRule>
  </conditionalFormatting>
  <conditionalFormatting sqref="P119:P120">
    <cfRule type="cellIs" dxfId="19879" priority="3150" operator="greaterThan">
      <formula>0</formula>
    </cfRule>
  </conditionalFormatting>
  <conditionalFormatting sqref="AF118:AF120">
    <cfRule type="cellIs" dxfId="19878" priority="3149" operator="lessThan">
      <formula>0</formula>
    </cfRule>
  </conditionalFormatting>
  <conditionalFormatting sqref="AG118:AG120">
    <cfRule type="cellIs" dxfId="19877" priority="3147" operator="greaterThan">
      <formula>1</formula>
    </cfRule>
    <cfRule type="cellIs" dxfId="19876" priority="3148" operator="lessThan">
      <formula>0.8</formula>
    </cfRule>
  </conditionalFormatting>
  <conditionalFormatting sqref="S44:S56">
    <cfRule type="cellIs" dxfId="19875" priority="3146" operator="lessThan">
      <formula>0.8</formula>
    </cfRule>
  </conditionalFormatting>
  <conditionalFormatting sqref="S108">
    <cfRule type="cellIs" dxfId="19874" priority="3145" operator="lessThan">
      <formula>0.8</formula>
    </cfRule>
  </conditionalFormatting>
  <conditionalFormatting sqref="S96">
    <cfRule type="cellIs" dxfId="19873" priority="3144" operator="lessThan">
      <formula>0.8</formula>
    </cfRule>
  </conditionalFormatting>
  <conditionalFormatting sqref="S97">
    <cfRule type="cellIs" dxfId="19872" priority="3143" operator="lessThan">
      <formula>0.8</formula>
    </cfRule>
  </conditionalFormatting>
  <conditionalFormatting sqref="S103">
    <cfRule type="cellIs" dxfId="19871" priority="3142" operator="lessThan">
      <formula>0.8</formula>
    </cfRule>
  </conditionalFormatting>
  <conditionalFormatting sqref="S99">
    <cfRule type="cellIs" dxfId="19870" priority="3141" operator="lessThan">
      <formula>0.8</formula>
    </cfRule>
  </conditionalFormatting>
  <conditionalFormatting sqref="S101">
    <cfRule type="cellIs" dxfId="19869" priority="3138" operator="lessThan">
      <formula>0.8</formula>
    </cfRule>
  </conditionalFormatting>
  <conditionalFormatting sqref="S100">
    <cfRule type="cellIs" dxfId="19868" priority="3140" operator="lessThan">
      <formula>0.8</formula>
    </cfRule>
  </conditionalFormatting>
  <conditionalFormatting sqref="S102">
    <cfRule type="cellIs" dxfId="19867" priority="3139" operator="lessThan">
      <formula>0.8</formula>
    </cfRule>
  </conditionalFormatting>
  <conditionalFormatting sqref="S98">
    <cfRule type="cellIs" dxfId="19866" priority="3137" operator="lessThan">
      <formula>0.8</formula>
    </cfRule>
  </conditionalFormatting>
  <conditionalFormatting sqref="S104">
    <cfRule type="cellIs" dxfId="19865" priority="3136" operator="lessThan">
      <formula>0.8</formula>
    </cfRule>
  </conditionalFormatting>
  <conditionalFormatting sqref="P118">
    <cfRule type="cellIs" dxfId="19864" priority="3130" operator="greaterThan">
      <formula>0</formula>
    </cfRule>
  </conditionalFormatting>
  <conditionalFormatting sqref="Q118">
    <cfRule type="cellIs" dxfId="19863" priority="3135" operator="lessThan">
      <formula>0</formula>
    </cfRule>
  </conditionalFormatting>
  <conditionalFormatting sqref="R118">
    <cfRule type="cellIs" dxfId="19862" priority="3133" operator="lessThan">
      <formula>0.8</formula>
    </cfRule>
    <cfRule type="cellIs" dxfId="19861" priority="3134" operator="greaterThan">
      <formula>1</formula>
    </cfRule>
  </conditionalFormatting>
  <conditionalFormatting sqref="R118">
    <cfRule type="cellIs" dxfId="19860" priority="3131" operator="greaterThan">
      <formula>1</formula>
    </cfRule>
    <cfRule type="cellIs" dxfId="19859" priority="3132" operator="lessThan">
      <formula>0.8</formula>
    </cfRule>
  </conditionalFormatting>
  <conditionalFormatting sqref="Q162:Q166">
    <cfRule type="cellIs" dxfId="19858" priority="3129" operator="lessThan">
      <formula>0</formula>
    </cfRule>
  </conditionalFormatting>
  <conditionalFormatting sqref="R162:R166">
    <cfRule type="cellIs" dxfId="19857" priority="3127" operator="lessThan">
      <formula>0.8</formula>
    </cfRule>
    <cfRule type="cellIs" dxfId="19856" priority="3128" operator="greaterThan">
      <formula>1</formula>
    </cfRule>
  </conditionalFormatting>
  <conditionalFormatting sqref="R162:R166">
    <cfRule type="cellIs" dxfId="19855" priority="3125" operator="greaterThan">
      <formula>1</formula>
    </cfRule>
    <cfRule type="cellIs" dxfId="19854" priority="3126" operator="lessThan">
      <formula>0.8</formula>
    </cfRule>
  </conditionalFormatting>
  <conditionalFormatting sqref="P162:P166">
    <cfRule type="cellIs" dxfId="19853" priority="3124" operator="greaterThan">
      <formula>0</formula>
    </cfRule>
  </conditionalFormatting>
  <conditionalFormatting sqref="P167:P168">
    <cfRule type="cellIs" dxfId="19852" priority="3118" operator="greaterThan">
      <formula>0</formula>
    </cfRule>
  </conditionalFormatting>
  <conditionalFormatting sqref="R167:R168">
    <cfRule type="cellIs" dxfId="19851" priority="3121" operator="lessThan">
      <formula>0.8</formula>
    </cfRule>
    <cfRule type="cellIs" dxfId="19850" priority="3122" operator="greaterThan">
      <formula>1</formula>
    </cfRule>
  </conditionalFormatting>
  <conditionalFormatting sqref="R167:R168">
    <cfRule type="cellIs" dxfId="19849" priority="3119" operator="greaterThan">
      <formula>1</formula>
    </cfRule>
    <cfRule type="cellIs" dxfId="19848" priority="3120" operator="lessThan">
      <formula>0.8</formula>
    </cfRule>
  </conditionalFormatting>
  <conditionalFormatting sqref="Q167:Q168">
    <cfRule type="cellIs" dxfId="19847" priority="3123" operator="lessThan">
      <formula>0</formula>
    </cfRule>
  </conditionalFormatting>
  <conditionalFormatting sqref="Q117">
    <cfRule type="cellIs" dxfId="19846" priority="3117" operator="lessThan">
      <formula>0</formula>
    </cfRule>
  </conditionalFormatting>
  <conditionalFormatting sqref="R117">
    <cfRule type="cellIs" dxfId="19845" priority="3115" operator="lessThan">
      <formula>0.8</formula>
    </cfRule>
    <cfRule type="cellIs" dxfId="19844" priority="3116" operator="greaterThan">
      <formula>1</formula>
    </cfRule>
  </conditionalFormatting>
  <conditionalFormatting sqref="R117">
    <cfRule type="cellIs" dxfId="19843" priority="3113" operator="greaterThan">
      <formula>1</formula>
    </cfRule>
    <cfRule type="cellIs" dxfId="19842" priority="3114" operator="lessThan">
      <formula>0.8</formula>
    </cfRule>
  </conditionalFormatting>
  <conditionalFormatting sqref="P117">
    <cfRule type="cellIs" dxfId="19841" priority="3112" operator="greaterThan">
      <formula>0</formula>
    </cfRule>
  </conditionalFormatting>
  <conditionalFormatting sqref="Q117">
    <cfRule type="cellIs" dxfId="19840" priority="3111" operator="lessThan">
      <formula>0</formula>
    </cfRule>
  </conditionalFormatting>
  <conditionalFormatting sqref="R117">
    <cfRule type="cellIs" dxfId="19839" priority="3109" operator="lessThan">
      <formula>0.8</formula>
    </cfRule>
    <cfRule type="cellIs" dxfId="19838" priority="3110" operator="greaterThan">
      <formula>1</formula>
    </cfRule>
  </conditionalFormatting>
  <conditionalFormatting sqref="R117">
    <cfRule type="cellIs" dxfId="19837" priority="3107" operator="greaterThan">
      <formula>1</formula>
    </cfRule>
    <cfRule type="cellIs" dxfId="19836" priority="3108" operator="lessThan">
      <formula>0.8</formula>
    </cfRule>
  </conditionalFormatting>
  <conditionalFormatting sqref="P117">
    <cfRule type="cellIs" dxfId="19835" priority="3106" operator="greaterThan">
      <formula>0</formula>
    </cfRule>
  </conditionalFormatting>
  <conditionalFormatting sqref="P117">
    <cfRule type="cellIs" dxfId="19834" priority="3100" operator="greaterThan">
      <formula>0</formula>
    </cfRule>
  </conditionalFormatting>
  <conditionalFormatting sqref="Q117">
    <cfRule type="cellIs" dxfId="19833" priority="3105" operator="lessThan">
      <formula>0</formula>
    </cfRule>
  </conditionalFormatting>
  <conditionalFormatting sqref="R117">
    <cfRule type="cellIs" dxfId="19832" priority="3103" operator="lessThan">
      <formula>0.8</formula>
    </cfRule>
    <cfRule type="cellIs" dxfId="19831" priority="3104" operator="greaterThan">
      <formula>1</formula>
    </cfRule>
  </conditionalFormatting>
  <conditionalFormatting sqref="R117">
    <cfRule type="cellIs" dxfId="19830" priority="3101" operator="greaterThan">
      <formula>1</formula>
    </cfRule>
    <cfRule type="cellIs" dxfId="19829" priority="3102" operator="lessThan">
      <formula>0.8</formula>
    </cfRule>
  </conditionalFormatting>
  <conditionalFormatting sqref="P117">
    <cfRule type="cellIs" dxfId="19828" priority="3094" operator="greaterThan">
      <formula>0</formula>
    </cfRule>
  </conditionalFormatting>
  <conditionalFormatting sqref="Q117">
    <cfRule type="cellIs" dxfId="19827" priority="3099" operator="lessThan">
      <formula>0</formula>
    </cfRule>
  </conditionalFormatting>
  <conditionalFormatting sqref="R117">
    <cfRule type="cellIs" dxfId="19826" priority="3097" operator="lessThan">
      <formula>0.8</formula>
    </cfRule>
    <cfRule type="cellIs" dxfId="19825" priority="3098" operator="greaterThan">
      <formula>1</formula>
    </cfRule>
  </conditionalFormatting>
  <conditionalFormatting sqref="R117">
    <cfRule type="cellIs" dxfId="19824" priority="3095" operator="greaterThan">
      <formula>1</formula>
    </cfRule>
    <cfRule type="cellIs" dxfId="19823" priority="3096" operator="lessThan">
      <formula>0.8</formula>
    </cfRule>
  </conditionalFormatting>
  <conditionalFormatting sqref="P117">
    <cfRule type="cellIs" dxfId="19822" priority="3088" operator="greaterThan">
      <formula>0</formula>
    </cfRule>
  </conditionalFormatting>
  <conditionalFormatting sqref="Q117">
    <cfRule type="cellIs" dxfId="19821" priority="3093" operator="lessThan">
      <formula>0</formula>
    </cfRule>
  </conditionalFormatting>
  <conditionalFormatting sqref="R117">
    <cfRule type="cellIs" dxfId="19820" priority="3091" operator="lessThan">
      <formula>0.8</formula>
    </cfRule>
    <cfRule type="cellIs" dxfId="19819" priority="3092" operator="greaterThan">
      <formula>1</formula>
    </cfRule>
  </conditionalFormatting>
  <conditionalFormatting sqref="R117">
    <cfRule type="cellIs" dxfId="19818" priority="3089" operator="greaterThan">
      <formula>1</formula>
    </cfRule>
    <cfRule type="cellIs" dxfId="19817" priority="3090" operator="lessThan">
      <formula>0.8</formula>
    </cfRule>
  </conditionalFormatting>
  <conditionalFormatting sqref="Q117">
    <cfRule type="cellIs" dxfId="19816" priority="3087" operator="lessThan">
      <formula>0</formula>
    </cfRule>
  </conditionalFormatting>
  <conditionalFormatting sqref="R117">
    <cfRule type="cellIs" dxfId="19815" priority="3085" operator="lessThan">
      <formula>0.8</formula>
    </cfRule>
    <cfRule type="cellIs" dxfId="19814" priority="3086" operator="greaterThan">
      <formula>1</formula>
    </cfRule>
  </conditionalFormatting>
  <conditionalFormatting sqref="R117">
    <cfRule type="cellIs" dxfId="19813" priority="3083" operator="greaterThan">
      <formula>1</formula>
    </cfRule>
    <cfRule type="cellIs" dxfId="19812" priority="3084" operator="lessThan">
      <formula>0.8</formula>
    </cfRule>
  </conditionalFormatting>
  <conditionalFormatting sqref="P117">
    <cfRule type="cellIs" dxfId="19811" priority="3082" operator="greaterThan">
      <formula>0</formula>
    </cfRule>
  </conditionalFormatting>
  <conditionalFormatting sqref="P117">
    <cfRule type="cellIs" dxfId="19810" priority="3076" operator="greaterThan">
      <formula>0</formula>
    </cfRule>
  </conditionalFormatting>
  <conditionalFormatting sqref="Q117">
    <cfRule type="cellIs" dxfId="19809" priority="3081" operator="lessThan">
      <formula>0</formula>
    </cfRule>
  </conditionalFormatting>
  <conditionalFormatting sqref="R117">
    <cfRule type="cellIs" dxfId="19808" priority="3079" operator="lessThan">
      <formula>0.8</formula>
    </cfRule>
    <cfRule type="cellIs" dxfId="19807" priority="3080" operator="greaterThan">
      <formula>1</formula>
    </cfRule>
  </conditionalFormatting>
  <conditionalFormatting sqref="R117">
    <cfRule type="cellIs" dxfId="19806" priority="3077" operator="greaterThan">
      <formula>1</formula>
    </cfRule>
    <cfRule type="cellIs" dxfId="19805" priority="3078" operator="lessThan">
      <formula>0.8</formula>
    </cfRule>
  </conditionalFormatting>
  <conditionalFormatting sqref="P117">
    <cfRule type="cellIs" dxfId="19804" priority="3070" operator="greaterThan">
      <formula>0</formula>
    </cfRule>
  </conditionalFormatting>
  <conditionalFormatting sqref="Q117">
    <cfRule type="cellIs" dxfId="19803" priority="3075" operator="lessThan">
      <formula>0</formula>
    </cfRule>
  </conditionalFormatting>
  <conditionalFormatting sqref="R117">
    <cfRule type="cellIs" dxfId="19802" priority="3073" operator="lessThan">
      <formula>0.8</formula>
    </cfRule>
    <cfRule type="cellIs" dxfId="19801" priority="3074" operator="greaterThan">
      <formula>1</formula>
    </cfRule>
  </conditionalFormatting>
  <conditionalFormatting sqref="R117">
    <cfRule type="cellIs" dxfId="19800" priority="3071" operator="greaterThan">
      <formula>1</formula>
    </cfRule>
    <cfRule type="cellIs" dxfId="19799" priority="3072" operator="lessThan">
      <formula>0.8</formula>
    </cfRule>
  </conditionalFormatting>
  <conditionalFormatting sqref="Q117">
    <cfRule type="cellIs" dxfId="19798" priority="3069" operator="lessThan">
      <formula>0</formula>
    </cfRule>
  </conditionalFormatting>
  <conditionalFormatting sqref="R117">
    <cfRule type="cellIs" dxfId="19797" priority="3067" operator="lessThan">
      <formula>0.8</formula>
    </cfRule>
    <cfRule type="cellIs" dxfId="19796" priority="3068" operator="greaterThan">
      <formula>1</formula>
    </cfRule>
  </conditionalFormatting>
  <conditionalFormatting sqref="R117">
    <cfRule type="cellIs" dxfId="19795" priority="3065" operator="greaterThan">
      <formula>1</formula>
    </cfRule>
    <cfRule type="cellIs" dxfId="19794" priority="3066" operator="lessThan">
      <formula>0.8</formula>
    </cfRule>
  </conditionalFormatting>
  <conditionalFormatting sqref="P117">
    <cfRule type="cellIs" dxfId="19793" priority="3064" operator="greaterThan">
      <formula>0</formula>
    </cfRule>
  </conditionalFormatting>
  <conditionalFormatting sqref="P117">
    <cfRule type="cellIs" dxfId="19792" priority="3058" operator="greaterThan">
      <formula>0</formula>
    </cfRule>
  </conditionalFormatting>
  <conditionalFormatting sqref="Q117">
    <cfRule type="cellIs" dxfId="19791" priority="3063" operator="lessThan">
      <formula>0</formula>
    </cfRule>
  </conditionalFormatting>
  <conditionalFormatting sqref="R117">
    <cfRule type="cellIs" dxfId="19790" priority="3061" operator="lessThan">
      <formula>0.8</formula>
    </cfRule>
    <cfRule type="cellIs" dxfId="19789" priority="3062" operator="greaterThan">
      <formula>1</formula>
    </cfRule>
  </conditionalFormatting>
  <conditionalFormatting sqref="R117">
    <cfRule type="cellIs" dxfId="19788" priority="3059" operator="greaterThan">
      <formula>1</formula>
    </cfRule>
    <cfRule type="cellIs" dxfId="19787" priority="3060" operator="lessThan">
      <formula>0.8</formula>
    </cfRule>
  </conditionalFormatting>
  <conditionalFormatting sqref="Q117">
    <cfRule type="cellIs" dxfId="19786" priority="3057" operator="lessThan">
      <formula>0</formula>
    </cfRule>
  </conditionalFormatting>
  <conditionalFormatting sqref="R117">
    <cfRule type="cellIs" dxfId="19785" priority="3055" operator="lessThan">
      <formula>0.8</formula>
    </cfRule>
    <cfRule type="cellIs" dxfId="19784" priority="3056" operator="greaterThan">
      <formula>1</formula>
    </cfRule>
  </conditionalFormatting>
  <conditionalFormatting sqref="R117">
    <cfRule type="cellIs" dxfId="19783" priority="3053" operator="greaterThan">
      <formula>1</formula>
    </cfRule>
    <cfRule type="cellIs" dxfId="19782" priority="3054" operator="lessThan">
      <formula>0.8</formula>
    </cfRule>
  </conditionalFormatting>
  <conditionalFormatting sqref="P117">
    <cfRule type="cellIs" dxfId="19781" priority="3052" operator="greaterThan">
      <formula>0</formula>
    </cfRule>
  </conditionalFormatting>
  <conditionalFormatting sqref="Q117">
    <cfRule type="cellIs" dxfId="19780" priority="3051" operator="lessThan">
      <formula>0</formula>
    </cfRule>
  </conditionalFormatting>
  <conditionalFormatting sqref="R117">
    <cfRule type="cellIs" dxfId="19779" priority="3049" operator="lessThan">
      <formula>0.8</formula>
    </cfRule>
    <cfRule type="cellIs" dxfId="19778" priority="3050" operator="greaterThan">
      <formula>1</formula>
    </cfRule>
  </conditionalFormatting>
  <conditionalFormatting sqref="R117">
    <cfRule type="cellIs" dxfId="19777" priority="3047" operator="greaterThan">
      <formula>1</formula>
    </cfRule>
    <cfRule type="cellIs" dxfId="19776" priority="3048" operator="lessThan">
      <formula>0.8</formula>
    </cfRule>
  </conditionalFormatting>
  <conditionalFormatting sqref="P117">
    <cfRule type="cellIs" dxfId="19775" priority="3046" operator="greaterThan">
      <formula>0</formula>
    </cfRule>
  </conditionalFormatting>
  <conditionalFormatting sqref="Q83">
    <cfRule type="cellIs" dxfId="19774" priority="3045" operator="lessThan">
      <formula>0</formula>
    </cfRule>
  </conditionalFormatting>
  <conditionalFormatting sqref="R83">
    <cfRule type="cellIs" dxfId="19773" priority="3043" operator="lessThan">
      <formula>0.8</formula>
    </cfRule>
    <cfRule type="cellIs" dxfId="19772" priority="3044" operator="greaterThan">
      <formula>1</formula>
    </cfRule>
  </conditionalFormatting>
  <conditionalFormatting sqref="R83">
    <cfRule type="cellIs" dxfId="19771" priority="3041" operator="greaterThan">
      <formula>1</formula>
    </cfRule>
    <cfRule type="cellIs" dxfId="19770" priority="3042" operator="lessThan">
      <formula>0.8</formula>
    </cfRule>
  </conditionalFormatting>
  <conditionalFormatting sqref="P83">
    <cfRule type="cellIs" dxfId="19769" priority="3040" operator="greaterThan">
      <formula>0</formula>
    </cfRule>
  </conditionalFormatting>
  <conditionalFormatting sqref="Q83">
    <cfRule type="cellIs" dxfId="19768" priority="3039" operator="lessThan">
      <formula>0</formula>
    </cfRule>
  </conditionalFormatting>
  <conditionalFormatting sqref="R83">
    <cfRule type="cellIs" dxfId="19767" priority="3037" operator="lessThan">
      <formula>0.8</formula>
    </cfRule>
    <cfRule type="cellIs" dxfId="19766" priority="3038" operator="greaterThan">
      <formula>1</formula>
    </cfRule>
  </conditionalFormatting>
  <conditionalFormatting sqref="R83">
    <cfRule type="cellIs" dxfId="19765" priority="3035" operator="greaterThan">
      <formula>1</formula>
    </cfRule>
    <cfRule type="cellIs" dxfId="19764" priority="3036" operator="lessThan">
      <formula>0.8</formula>
    </cfRule>
  </conditionalFormatting>
  <conditionalFormatting sqref="P83">
    <cfRule type="cellIs" dxfId="19763" priority="3034" operator="greaterThan">
      <formula>0</formula>
    </cfRule>
  </conditionalFormatting>
  <conditionalFormatting sqref="Q83">
    <cfRule type="cellIs" dxfId="19762" priority="3033" operator="lessThan">
      <formula>0</formula>
    </cfRule>
  </conditionalFormatting>
  <conditionalFormatting sqref="R83">
    <cfRule type="cellIs" dxfId="19761" priority="3031" operator="lessThan">
      <formula>0.8</formula>
    </cfRule>
    <cfRule type="cellIs" dxfId="19760" priority="3032" operator="greaterThan">
      <formula>1</formula>
    </cfRule>
  </conditionalFormatting>
  <conditionalFormatting sqref="R83">
    <cfRule type="cellIs" dxfId="19759" priority="3029" operator="greaterThan">
      <formula>1</formula>
    </cfRule>
    <cfRule type="cellIs" dxfId="19758" priority="3030" operator="lessThan">
      <formula>0.8</formula>
    </cfRule>
  </conditionalFormatting>
  <conditionalFormatting sqref="P83">
    <cfRule type="cellIs" dxfId="19757" priority="3028" operator="greaterThan">
      <formula>0</formula>
    </cfRule>
  </conditionalFormatting>
  <conditionalFormatting sqref="Q83">
    <cfRule type="cellIs" dxfId="19756" priority="3027" operator="lessThan">
      <formula>0</formula>
    </cfRule>
  </conditionalFormatting>
  <conditionalFormatting sqref="R83">
    <cfRule type="cellIs" dxfId="19755" priority="3025" operator="lessThan">
      <formula>0.8</formula>
    </cfRule>
    <cfRule type="cellIs" dxfId="19754" priority="3026" operator="greaterThan">
      <formula>1</formula>
    </cfRule>
  </conditionalFormatting>
  <conditionalFormatting sqref="R83">
    <cfRule type="cellIs" dxfId="19753" priority="3023" operator="greaterThan">
      <formula>1</formula>
    </cfRule>
    <cfRule type="cellIs" dxfId="19752" priority="3024" operator="lessThan">
      <formula>0.8</formula>
    </cfRule>
  </conditionalFormatting>
  <conditionalFormatting sqref="P83">
    <cfRule type="cellIs" dxfId="19751" priority="3022" operator="greaterThan">
      <formula>0</formula>
    </cfRule>
  </conditionalFormatting>
  <conditionalFormatting sqref="P83">
    <cfRule type="cellIs" dxfId="19750" priority="3016" operator="greaterThan">
      <formula>0</formula>
    </cfRule>
  </conditionalFormatting>
  <conditionalFormatting sqref="Q83">
    <cfRule type="cellIs" dxfId="19749" priority="3021" operator="lessThan">
      <formula>0</formula>
    </cfRule>
  </conditionalFormatting>
  <conditionalFormatting sqref="R83">
    <cfRule type="cellIs" dxfId="19748" priority="3019" operator="lessThan">
      <formula>0.8</formula>
    </cfRule>
    <cfRule type="cellIs" dxfId="19747" priority="3020" operator="greaterThan">
      <formula>1</formula>
    </cfRule>
  </conditionalFormatting>
  <conditionalFormatting sqref="R83">
    <cfRule type="cellIs" dxfId="19746" priority="3017" operator="greaterThan">
      <formula>1</formula>
    </cfRule>
    <cfRule type="cellIs" dxfId="19745" priority="3018" operator="lessThan">
      <formula>0.8</formula>
    </cfRule>
  </conditionalFormatting>
  <conditionalFormatting sqref="P83">
    <cfRule type="cellIs" dxfId="19744" priority="3010" operator="greaterThan">
      <formula>0</formula>
    </cfRule>
  </conditionalFormatting>
  <conditionalFormatting sqref="Q83">
    <cfRule type="cellIs" dxfId="19743" priority="3015" operator="lessThan">
      <formula>0</formula>
    </cfRule>
  </conditionalFormatting>
  <conditionalFormatting sqref="R83">
    <cfRule type="cellIs" dxfId="19742" priority="3013" operator="lessThan">
      <formula>0.8</formula>
    </cfRule>
    <cfRule type="cellIs" dxfId="19741" priority="3014" operator="greaterThan">
      <formula>1</formula>
    </cfRule>
  </conditionalFormatting>
  <conditionalFormatting sqref="R83">
    <cfRule type="cellIs" dxfId="19740" priority="3011" operator="greaterThan">
      <formula>1</formula>
    </cfRule>
    <cfRule type="cellIs" dxfId="19739" priority="3012" operator="lessThan">
      <formula>0.8</formula>
    </cfRule>
  </conditionalFormatting>
  <conditionalFormatting sqref="R83">
    <cfRule type="cellIs" dxfId="19738" priority="3007" operator="lessThan">
      <formula>0.8</formula>
    </cfRule>
    <cfRule type="cellIs" dxfId="19737" priority="3008" operator="greaterThan">
      <formula>1</formula>
    </cfRule>
  </conditionalFormatting>
  <conditionalFormatting sqref="R83">
    <cfRule type="cellIs" dxfId="19736" priority="3005" operator="greaterThan">
      <formula>1</formula>
    </cfRule>
    <cfRule type="cellIs" dxfId="19735" priority="3006" operator="lessThan">
      <formula>0.8</formula>
    </cfRule>
  </conditionalFormatting>
  <conditionalFormatting sqref="P83">
    <cfRule type="cellIs" dxfId="19734" priority="3004" operator="greaterThan">
      <formula>0</formula>
    </cfRule>
  </conditionalFormatting>
  <conditionalFormatting sqref="Q83">
    <cfRule type="cellIs" dxfId="19733" priority="3009" operator="lessThan">
      <formula>0</formula>
    </cfRule>
  </conditionalFormatting>
  <conditionalFormatting sqref="Q83">
    <cfRule type="cellIs" dxfId="19732" priority="3003" operator="lessThan">
      <formula>0</formula>
    </cfRule>
  </conditionalFormatting>
  <conditionalFormatting sqref="R83">
    <cfRule type="cellIs" dxfId="19731" priority="3001" operator="lessThan">
      <formula>0.8</formula>
    </cfRule>
    <cfRule type="cellIs" dxfId="19730" priority="3002" operator="greaterThan">
      <formula>1</formula>
    </cfRule>
  </conditionalFormatting>
  <conditionalFormatting sqref="R83">
    <cfRule type="cellIs" dxfId="19729" priority="2999" operator="greaterThan">
      <formula>1</formula>
    </cfRule>
    <cfRule type="cellIs" dxfId="19728" priority="3000" operator="lessThan">
      <formula>0.8</formula>
    </cfRule>
  </conditionalFormatting>
  <conditionalFormatting sqref="P83">
    <cfRule type="cellIs" dxfId="19727" priority="2998" operator="greaterThan">
      <formula>0</formula>
    </cfRule>
  </conditionalFormatting>
  <conditionalFormatting sqref="P83">
    <cfRule type="cellIs" dxfId="19726" priority="2992" operator="greaterThan">
      <formula>0</formula>
    </cfRule>
  </conditionalFormatting>
  <conditionalFormatting sqref="Q83">
    <cfRule type="cellIs" dxfId="19725" priority="2997" operator="lessThan">
      <formula>0</formula>
    </cfRule>
  </conditionalFormatting>
  <conditionalFormatting sqref="R83">
    <cfRule type="cellIs" dxfId="19724" priority="2995" operator="lessThan">
      <formula>0.8</formula>
    </cfRule>
    <cfRule type="cellIs" dxfId="19723" priority="2996" operator="greaterThan">
      <formula>1</formula>
    </cfRule>
  </conditionalFormatting>
  <conditionalFormatting sqref="R83">
    <cfRule type="cellIs" dxfId="19722" priority="2993" operator="greaterThan">
      <formula>1</formula>
    </cfRule>
    <cfRule type="cellIs" dxfId="19721" priority="2994" operator="lessThan">
      <formula>0.8</formula>
    </cfRule>
  </conditionalFormatting>
  <conditionalFormatting sqref="P83">
    <cfRule type="cellIs" dxfId="19720" priority="2986" operator="greaterThan">
      <formula>0</formula>
    </cfRule>
  </conditionalFormatting>
  <conditionalFormatting sqref="Q83">
    <cfRule type="cellIs" dxfId="19719" priority="2991" operator="lessThan">
      <formula>0</formula>
    </cfRule>
  </conditionalFormatting>
  <conditionalFormatting sqref="R83">
    <cfRule type="cellIs" dxfId="19718" priority="2989" operator="lessThan">
      <formula>0.8</formula>
    </cfRule>
    <cfRule type="cellIs" dxfId="19717" priority="2990" operator="greaterThan">
      <formula>1</formula>
    </cfRule>
  </conditionalFormatting>
  <conditionalFormatting sqref="R83">
    <cfRule type="cellIs" dxfId="19716" priority="2987" operator="greaterThan">
      <formula>1</formula>
    </cfRule>
    <cfRule type="cellIs" dxfId="19715" priority="2988" operator="lessThan">
      <formula>0.8</formula>
    </cfRule>
  </conditionalFormatting>
  <conditionalFormatting sqref="R83">
    <cfRule type="cellIs" dxfId="19714" priority="2983" operator="lessThan">
      <formula>0.8</formula>
    </cfRule>
    <cfRule type="cellIs" dxfId="19713" priority="2984" operator="greaterThan">
      <formula>1</formula>
    </cfRule>
  </conditionalFormatting>
  <conditionalFormatting sqref="R83">
    <cfRule type="cellIs" dxfId="19712" priority="2981" operator="greaterThan">
      <formula>1</formula>
    </cfRule>
    <cfRule type="cellIs" dxfId="19711" priority="2982" operator="lessThan">
      <formula>0.8</formula>
    </cfRule>
  </conditionalFormatting>
  <conditionalFormatting sqref="P83">
    <cfRule type="cellIs" dxfId="19710" priority="2980" operator="greaterThan">
      <formula>0</formula>
    </cfRule>
  </conditionalFormatting>
  <conditionalFormatting sqref="Q83">
    <cfRule type="cellIs" dxfId="19709" priority="2985" operator="lessThan">
      <formula>0</formula>
    </cfRule>
  </conditionalFormatting>
  <conditionalFormatting sqref="P83">
    <cfRule type="cellIs" dxfId="19708" priority="2974" operator="greaterThan">
      <formula>0</formula>
    </cfRule>
  </conditionalFormatting>
  <conditionalFormatting sqref="Q83">
    <cfRule type="cellIs" dxfId="19707" priority="2979" operator="lessThan">
      <formula>0</formula>
    </cfRule>
  </conditionalFormatting>
  <conditionalFormatting sqref="R83">
    <cfRule type="cellIs" dxfId="19706" priority="2977" operator="lessThan">
      <formula>0.8</formula>
    </cfRule>
    <cfRule type="cellIs" dxfId="19705" priority="2978" operator="greaterThan">
      <formula>1</formula>
    </cfRule>
  </conditionalFormatting>
  <conditionalFormatting sqref="R83">
    <cfRule type="cellIs" dxfId="19704" priority="2975" operator="greaterThan">
      <formula>1</formula>
    </cfRule>
    <cfRule type="cellIs" dxfId="19703" priority="2976" operator="lessThan">
      <formula>0.8</formula>
    </cfRule>
  </conditionalFormatting>
  <conditionalFormatting sqref="R83">
    <cfRule type="cellIs" dxfId="19702" priority="2971" operator="lessThan">
      <formula>0.8</formula>
    </cfRule>
    <cfRule type="cellIs" dxfId="19701" priority="2972" operator="greaterThan">
      <formula>1</formula>
    </cfRule>
  </conditionalFormatting>
  <conditionalFormatting sqref="R83">
    <cfRule type="cellIs" dxfId="19700" priority="2969" operator="greaterThan">
      <formula>1</formula>
    </cfRule>
    <cfRule type="cellIs" dxfId="19699" priority="2970" operator="lessThan">
      <formula>0.8</formula>
    </cfRule>
  </conditionalFormatting>
  <conditionalFormatting sqref="P83">
    <cfRule type="cellIs" dxfId="19698" priority="2968" operator="greaterThan">
      <formula>0</formula>
    </cfRule>
  </conditionalFormatting>
  <conditionalFormatting sqref="Q83">
    <cfRule type="cellIs" dxfId="19697" priority="2973" operator="lessThan">
      <formula>0</formula>
    </cfRule>
  </conditionalFormatting>
  <conditionalFormatting sqref="R83">
    <cfRule type="cellIs" dxfId="19696" priority="2965" operator="lessThan">
      <formula>0.8</formula>
    </cfRule>
    <cfRule type="cellIs" dxfId="19695" priority="2966" operator="greaterThan">
      <formula>1</formula>
    </cfRule>
  </conditionalFormatting>
  <conditionalFormatting sqref="R83">
    <cfRule type="cellIs" dxfId="19694" priority="2963" operator="greaterThan">
      <formula>1</formula>
    </cfRule>
    <cfRule type="cellIs" dxfId="19693" priority="2964" operator="lessThan">
      <formula>0.8</formula>
    </cfRule>
  </conditionalFormatting>
  <conditionalFormatting sqref="P83">
    <cfRule type="cellIs" dxfId="19692" priority="2962" operator="greaterThan">
      <formula>0</formula>
    </cfRule>
  </conditionalFormatting>
  <conditionalFormatting sqref="Q83">
    <cfRule type="cellIs" dxfId="19691" priority="2967" operator="lessThan">
      <formula>0</formula>
    </cfRule>
  </conditionalFormatting>
  <conditionalFormatting sqref="Q83">
    <cfRule type="cellIs" dxfId="19690" priority="2961" operator="lessThan">
      <formula>0</formula>
    </cfRule>
  </conditionalFormatting>
  <conditionalFormatting sqref="R83">
    <cfRule type="cellIs" dxfId="19689" priority="2959" operator="lessThan">
      <formula>0.8</formula>
    </cfRule>
    <cfRule type="cellIs" dxfId="19688" priority="2960" operator="greaterThan">
      <formula>1</formula>
    </cfRule>
  </conditionalFormatting>
  <conditionalFormatting sqref="R83">
    <cfRule type="cellIs" dxfId="19687" priority="2957" operator="greaterThan">
      <formula>1</formula>
    </cfRule>
    <cfRule type="cellIs" dxfId="19686" priority="2958" operator="lessThan">
      <formula>0.8</formula>
    </cfRule>
  </conditionalFormatting>
  <conditionalFormatting sqref="P83">
    <cfRule type="cellIs" dxfId="19685" priority="2956" operator="greaterThan">
      <formula>0</formula>
    </cfRule>
  </conditionalFormatting>
  <conditionalFormatting sqref="Q83">
    <cfRule type="cellIs" dxfId="19684" priority="2950" operator="lessThan">
      <formula>0</formula>
    </cfRule>
  </conditionalFormatting>
  <conditionalFormatting sqref="R83">
    <cfRule type="cellIs" dxfId="19683" priority="2954" operator="lessThan">
      <formula>0.8</formula>
    </cfRule>
    <cfRule type="cellIs" dxfId="19682" priority="2955" operator="greaterThan">
      <formula>1</formula>
    </cfRule>
  </conditionalFormatting>
  <conditionalFormatting sqref="R83">
    <cfRule type="cellIs" dxfId="19681" priority="2952" operator="greaterThan">
      <formula>1</formula>
    </cfRule>
    <cfRule type="cellIs" dxfId="19680" priority="2953" operator="lessThan">
      <formula>0.8</formula>
    </cfRule>
  </conditionalFormatting>
  <conditionalFormatting sqref="P83">
    <cfRule type="cellIs" dxfId="19679" priority="2951" operator="greaterThan">
      <formula>0</formula>
    </cfRule>
  </conditionalFormatting>
  <conditionalFormatting sqref="Q83">
    <cfRule type="cellIs" dxfId="19678" priority="2949" operator="lessThan">
      <formula>0</formula>
    </cfRule>
  </conditionalFormatting>
  <conditionalFormatting sqref="R83">
    <cfRule type="cellIs" dxfId="19677" priority="2947" operator="lessThan">
      <formula>0.8</formula>
    </cfRule>
    <cfRule type="cellIs" dxfId="19676" priority="2948" operator="greaterThan">
      <formula>1</formula>
    </cfRule>
  </conditionalFormatting>
  <conditionalFormatting sqref="R83">
    <cfRule type="cellIs" dxfId="19675" priority="2945" operator="greaterThan">
      <formula>1</formula>
    </cfRule>
    <cfRule type="cellIs" dxfId="19674" priority="2946" operator="lessThan">
      <formula>0.8</formula>
    </cfRule>
  </conditionalFormatting>
  <conditionalFormatting sqref="P83">
    <cfRule type="cellIs" dxfId="19673" priority="2944" operator="greaterThan">
      <formula>0</formula>
    </cfRule>
  </conditionalFormatting>
  <conditionalFormatting sqref="Q83">
    <cfRule type="cellIs" dxfId="19672" priority="2943" operator="lessThan">
      <formula>0</formula>
    </cfRule>
  </conditionalFormatting>
  <conditionalFormatting sqref="R83">
    <cfRule type="cellIs" dxfId="19671" priority="2941" operator="lessThan">
      <formula>0.8</formula>
    </cfRule>
    <cfRule type="cellIs" dxfId="19670" priority="2942" operator="greaterThan">
      <formula>1</formula>
    </cfRule>
  </conditionalFormatting>
  <conditionalFormatting sqref="R83">
    <cfRule type="cellIs" dxfId="19669" priority="2939" operator="greaterThan">
      <formula>1</formula>
    </cfRule>
    <cfRule type="cellIs" dxfId="19668" priority="2940" operator="lessThan">
      <formula>0.8</formula>
    </cfRule>
  </conditionalFormatting>
  <conditionalFormatting sqref="P83">
    <cfRule type="cellIs" dxfId="19667" priority="2938" operator="greaterThan">
      <formula>0</formula>
    </cfRule>
  </conditionalFormatting>
  <conditionalFormatting sqref="Q83">
    <cfRule type="cellIs" dxfId="19666" priority="2937" operator="lessThan">
      <formula>0</formula>
    </cfRule>
  </conditionalFormatting>
  <conditionalFormatting sqref="R83">
    <cfRule type="cellIs" dxfId="19665" priority="2935" operator="lessThan">
      <formula>0.8</formula>
    </cfRule>
    <cfRule type="cellIs" dxfId="19664" priority="2936" operator="greaterThan">
      <formula>1</formula>
    </cfRule>
  </conditionalFormatting>
  <conditionalFormatting sqref="R83">
    <cfRule type="cellIs" dxfId="19663" priority="2933" operator="greaterThan">
      <formula>1</formula>
    </cfRule>
    <cfRule type="cellIs" dxfId="19662" priority="2934" operator="lessThan">
      <formula>0.8</formula>
    </cfRule>
  </conditionalFormatting>
  <conditionalFormatting sqref="P83">
    <cfRule type="cellIs" dxfId="19661" priority="2932" operator="greaterThan">
      <formula>0</formula>
    </cfRule>
  </conditionalFormatting>
  <conditionalFormatting sqref="Q83">
    <cfRule type="cellIs" dxfId="19660" priority="2931" operator="lessThan">
      <formula>0</formula>
    </cfRule>
  </conditionalFormatting>
  <conditionalFormatting sqref="R83">
    <cfRule type="cellIs" dxfId="19659" priority="2929" operator="lessThan">
      <formula>0.8</formula>
    </cfRule>
    <cfRule type="cellIs" dxfId="19658" priority="2930" operator="greaterThan">
      <formula>1</formula>
    </cfRule>
  </conditionalFormatting>
  <conditionalFormatting sqref="R83">
    <cfRule type="cellIs" dxfId="19657" priority="2927" operator="greaterThan">
      <formula>1</formula>
    </cfRule>
    <cfRule type="cellIs" dxfId="19656" priority="2928" operator="lessThan">
      <formula>0.8</formula>
    </cfRule>
  </conditionalFormatting>
  <conditionalFormatting sqref="P83">
    <cfRule type="cellIs" dxfId="19655" priority="2926" operator="greaterThan">
      <formula>0</formula>
    </cfRule>
  </conditionalFormatting>
  <conditionalFormatting sqref="Q83">
    <cfRule type="cellIs" dxfId="19654" priority="2925" operator="lessThan">
      <formula>0</formula>
    </cfRule>
  </conditionalFormatting>
  <conditionalFormatting sqref="R83">
    <cfRule type="cellIs" dxfId="19653" priority="2923" operator="lessThan">
      <formula>0.8</formula>
    </cfRule>
    <cfRule type="cellIs" dxfId="19652" priority="2924" operator="greaterThan">
      <formula>1</formula>
    </cfRule>
  </conditionalFormatting>
  <conditionalFormatting sqref="R83">
    <cfRule type="cellIs" dxfId="19651" priority="2921" operator="greaterThan">
      <formula>1</formula>
    </cfRule>
    <cfRule type="cellIs" dxfId="19650" priority="2922" operator="lessThan">
      <formula>0.8</formula>
    </cfRule>
  </conditionalFormatting>
  <conditionalFormatting sqref="P83">
    <cfRule type="cellIs" dxfId="19649" priority="2920" operator="greaterThan">
      <formula>0</formula>
    </cfRule>
  </conditionalFormatting>
  <conditionalFormatting sqref="P83">
    <cfRule type="cellIs" dxfId="19648" priority="2914" operator="greaterThan">
      <formula>0</formula>
    </cfRule>
  </conditionalFormatting>
  <conditionalFormatting sqref="Q83">
    <cfRule type="cellIs" dxfId="19647" priority="2919" operator="lessThan">
      <formula>0</formula>
    </cfRule>
  </conditionalFormatting>
  <conditionalFormatting sqref="R83">
    <cfRule type="cellIs" dxfId="19646" priority="2917" operator="lessThan">
      <formula>0.8</formula>
    </cfRule>
    <cfRule type="cellIs" dxfId="19645" priority="2918" operator="greaterThan">
      <formula>1</formula>
    </cfRule>
  </conditionalFormatting>
  <conditionalFormatting sqref="R83">
    <cfRule type="cellIs" dxfId="19644" priority="2915" operator="greaterThan">
      <formula>1</formula>
    </cfRule>
    <cfRule type="cellIs" dxfId="19643" priority="2916" operator="lessThan">
      <formula>0.8</formula>
    </cfRule>
  </conditionalFormatting>
  <conditionalFormatting sqref="P83">
    <cfRule type="cellIs" dxfId="19642" priority="2908" operator="greaterThan">
      <formula>0</formula>
    </cfRule>
  </conditionalFormatting>
  <conditionalFormatting sqref="Q83">
    <cfRule type="cellIs" dxfId="19641" priority="2913" operator="lessThan">
      <formula>0</formula>
    </cfRule>
  </conditionalFormatting>
  <conditionalFormatting sqref="R83">
    <cfRule type="cellIs" dxfId="19640" priority="2911" operator="lessThan">
      <formula>0.8</formula>
    </cfRule>
    <cfRule type="cellIs" dxfId="19639" priority="2912" operator="greaterThan">
      <formula>1</formula>
    </cfRule>
  </conditionalFormatting>
  <conditionalFormatting sqref="R83">
    <cfRule type="cellIs" dxfId="19638" priority="2909" operator="greaterThan">
      <formula>1</formula>
    </cfRule>
    <cfRule type="cellIs" dxfId="19637" priority="2910" operator="lessThan">
      <formula>0.8</formula>
    </cfRule>
  </conditionalFormatting>
  <conditionalFormatting sqref="R83">
    <cfRule type="cellIs" dxfId="19636" priority="2905" operator="lessThan">
      <formula>0.8</formula>
    </cfRule>
    <cfRule type="cellIs" dxfId="19635" priority="2906" operator="greaterThan">
      <formula>1</formula>
    </cfRule>
  </conditionalFormatting>
  <conditionalFormatting sqref="R83">
    <cfRule type="cellIs" dxfId="19634" priority="2903" operator="greaterThan">
      <formula>1</formula>
    </cfRule>
    <cfRule type="cellIs" dxfId="19633" priority="2904" operator="lessThan">
      <formula>0.8</formula>
    </cfRule>
  </conditionalFormatting>
  <conditionalFormatting sqref="P83">
    <cfRule type="cellIs" dxfId="19632" priority="2902" operator="greaterThan">
      <formula>0</formula>
    </cfRule>
  </conditionalFormatting>
  <conditionalFormatting sqref="Q83">
    <cfRule type="cellIs" dxfId="19631" priority="2907" operator="lessThan">
      <formula>0</formula>
    </cfRule>
  </conditionalFormatting>
  <conditionalFormatting sqref="Q83">
    <cfRule type="cellIs" dxfId="19630" priority="2901" operator="lessThan">
      <formula>0</formula>
    </cfRule>
  </conditionalFormatting>
  <conditionalFormatting sqref="R83">
    <cfRule type="cellIs" dxfId="19629" priority="2899" operator="lessThan">
      <formula>0.8</formula>
    </cfRule>
    <cfRule type="cellIs" dxfId="19628" priority="2900" operator="greaterThan">
      <formula>1</formula>
    </cfRule>
  </conditionalFormatting>
  <conditionalFormatting sqref="R83">
    <cfRule type="cellIs" dxfId="19627" priority="2897" operator="greaterThan">
      <formula>1</formula>
    </cfRule>
    <cfRule type="cellIs" dxfId="19626" priority="2898" operator="lessThan">
      <formula>0.8</formula>
    </cfRule>
  </conditionalFormatting>
  <conditionalFormatting sqref="P83">
    <cfRule type="cellIs" dxfId="19625" priority="2896" operator="greaterThan">
      <formula>0</formula>
    </cfRule>
  </conditionalFormatting>
  <conditionalFormatting sqref="Q83">
    <cfRule type="cellIs" dxfId="19624" priority="2895" operator="lessThan">
      <formula>0</formula>
    </cfRule>
  </conditionalFormatting>
  <conditionalFormatting sqref="R83">
    <cfRule type="cellIs" dxfId="19623" priority="2893" operator="lessThan">
      <formula>0.8</formula>
    </cfRule>
    <cfRule type="cellIs" dxfId="19622" priority="2894" operator="greaterThan">
      <formula>1</formula>
    </cfRule>
  </conditionalFormatting>
  <conditionalFormatting sqref="R83">
    <cfRule type="cellIs" dxfId="19621" priority="2891" operator="greaterThan">
      <formula>1</formula>
    </cfRule>
    <cfRule type="cellIs" dxfId="19620" priority="2892" operator="lessThan">
      <formula>0.8</formula>
    </cfRule>
  </conditionalFormatting>
  <conditionalFormatting sqref="P83">
    <cfRule type="cellIs" dxfId="19619" priority="2890" operator="greaterThan">
      <formula>0</formula>
    </cfRule>
  </conditionalFormatting>
  <conditionalFormatting sqref="Q83">
    <cfRule type="cellIs" dxfId="19618" priority="2889" operator="lessThan">
      <formula>0</formula>
    </cfRule>
  </conditionalFormatting>
  <conditionalFormatting sqref="R83">
    <cfRule type="cellIs" dxfId="19617" priority="2887" operator="lessThan">
      <formula>0.8</formula>
    </cfRule>
    <cfRule type="cellIs" dxfId="19616" priority="2888" operator="greaterThan">
      <formula>1</formula>
    </cfRule>
  </conditionalFormatting>
  <conditionalFormatting sqref="R83">
    <cfRule type="cellIs" dxfId="19615" priority="2885" operator="greaterThan">
      <formula>1</formula>
    </cfRule>
    <cfRule type="cellIs" dxfId="19614" priority="2886" operator="lessThan">
      <formula>0.8</formula>
    </cfRule>
  </conditionalFormatting>
  <conditionalFormatting sqref="P83">
    <cfRule type="cellIs" dxfId="19613" priority="2884" operator="greaterThan">
      <formula>0</formula>
    </cfRule>
  </conditionalFormatting>
  <conditionalFormatting sqref="Q83">
    <cfRule type="cellIs" dxfId="19612" priority="2883" operator="lessThan">
      <formula>0</formula>
    </cfRule>
  </conditionalFormatting>
  <conditionalFormatting sqref="R83">
    <cfRule type="cellIs" dxfId="19611" priority="2881" operator="lessThan">
      <formula>0.8</formula>
    </cfRule>
    <cfRule type="cellIs" dxfId="19610" priority="2882" operator="greaterThan">
      <formula>1</formula>
    </cfRule>
  </conditionalFormatting>
  <conditionalFormatting sqref="R83">
    <cfRule type="cellIs" dxfId="19609" priority="2879" operator="greaterThan">
      <formula>1</formula>
    </cfRule>
    <cfRule type="cellIs" dxfId="19608" priority="2880" operator="lessThan">
      <formula>0.8</formula>
    </cfRule>
  </conditionalFormatting>
  <conditionalFormatting sqref="P83">
    <cfRule type="cellIs" dxfId="19607" priority="2878" operator="greaterThan">
      <formula>0</formula>
    </cfRule>
  </conditionalFormatting>
  <conditionalFormatting sqref="P83">
    <cfRule type="cellIs" dxfId="19606" priority="2872" operator="greaterThan">
      <formula>0</formula>
    </cfRule>
  </conditionalFormatting>
  <conditionalFormatting sqref="Q83">
    <cfRule type="cellIs" dxfId="19605" priority="2877" operator="lessThan">
      <formula>0</formula>
    </cfRule>
  </conditionalFormatting>
  <conditionalFormatting sqref="R83">
    <cfRule type="cellIs" dxfId="19604" priority="2875" operator="lessThan">
      <formula>0.8</formula>
    </cfRule>
    <cfRule type="cellIs" dxfId="19603" priority="2876" operator="greaterThan">
      <formula>1</formula>
    </cfRule>
  </conditionalFormatting>
  <conditionalFormatting sqref="R83">
    <cfRule type="cellIs" dxfId="19602" priority="2873" operator="greaterThan">
      <formula>1</formula>
    </cfRule>
    <cfRule type="cellIs" dxfId="19601" priority="2874" operator="lessThan">
      <formula>0.8</formula>
    </cfRule>
  </conditionalFormatting>
  <conditionalFormatting sqref="P83">
    <cfRule type="cellIs" dxfId="19600" priority="2866" operator="greaterThan">
      <formula>0</formula>
    </cfRule>
  </conditionalFormatting>
  <conditionalFormatting sqref="Q83">
    <cfRule type="cellIs" dxfId="19599" priority="2871" operator="lessThan">
      <formula>0</formula>
    </cfRule>
  </conditionalFormatting>
  <conditionalFormatting sqref="R83">
    <cfRule type="cellIs" dxfId="19598" priority="2869" operator="lessThan">
      <formula>0.8</formula>
    </cfRule>
    <cfRule type="cellIs" dxfId="19597" priority="2870" operator="greaterThan">
      <formula>1</formula>
    </cfRule>
  </conditionalFormatting>
  <conditionalFormatting sqref="R83">
    <cfRule type="cellIs" dxfId="19596" priority="2867" operator="greaterThan">
      <formula>1</formula>
    </cfRule>
    <cfRule type="cellIs" dxfId="19595" priority="2868" operator="lessThan">
      <formula>0.8</formula>
    </cfRule>
  </conditionalFormatting>
  <conditionalFormatting sqref="R83">
    <cfRule type="cellIs" dxfId="19594" priority="2863" operator="lessThan">
      <formula>0.8</formula>
    </cfRule>
    <cfRule type="cellIs" dxfId="19593" priority="2864" operator="greaterThan">
      <formula>1</formula>
    </cfRule>
  </conditionalFormatting>
  <conditionalFormatting sqref="R83">
    <cfRule type="cellIs" dxfId="19592" priority="2861" operator="greaterThan">
      <formula>1</formula>
    </cfRule>
    <cfRule type="cellIs" dxfId="19591" priority="2862" operator="lessThan">
      <formula>0.8</formula>
    </cfRule>
  </conditionalFormatting>
  <conditionalFormatting sqref="P83">
    <cfRule type="cellIs" dxfId="19590" priority="2860" operator="greaterThan">
      <formula>0</formula>
    </cfRule>
  </conditionalFormatting>
  <conditionalFormatting sqref="Q83">
    <cfRule type="cellIs" dxfId="19589" priority="2865" operator="lessThan">
      <formula>0</formula>
    </cfRule>
  </conditionalFormatting>
  <conditionalFormatting sqref="Q83">
    <cfRule type="cellIs" dxfId="19588" priority="2859" operator="lessThan">
      <formula>0</formula>
    </cfRule>
  </conditionalFormatting>
  <conditionalFormatting sqref="R83">
    <cfRule type="cellIs" dxfId="19587" priority="2857" operator="lessThan">
      <formula>0.8</formula>
    </cfRule>
    <cfRule type="cellIs" dxfId="19586" priority="2858" operator="greaterThan">
      <formula>1</formula>
    </cfRule>
  </conditionalFormatting>
  <conditionalFormatting sqref="R83">
    <cfRule type="cellIs" dxfId="19585" priority="2855" operator="greaterThan">
      <formula>1</formula>
    </cfRule>
    <cfRule type="cellIs" dxfId="19584" priority="2856" operator="lessThan">
      <formula>0.8</formula>
    </cfRule>
  </conditionalFormatting>
  <conditionalFormatting sqref="P83">
    <cfRule type="cellIs" dxfId="19583" priority="2854" operator="greaterThan">
      <formula>0</formula>
    </cfRule>
  </conditionalFormatting>
  <conditionalFormatting sqref="P83">
    <cfRule type="cellIs" dxfId="19582" priority="2848" operator="greaterThan">
      <formula>0</formula>
    </cfRule>
  </conditionalFormatting>
  <conditionalFormatting sqref="Q83">
    <cfRule type="cellIs" dxfId="19581" priority="2853" operator="lessThan">
      <formula>0</formula>
    </cfRule>
  </conditionalFormatting>
  <conditionalFormatting sqref="R83">
    <cfRule type="cellIs" dxfId="19580" priority="2851" operator="lessThan">
      <formula>0.8</formula>
    </cfRule>
    <cfRule type="cellIs" dxfId="19579" priority="2852" operator="greaterThan">
      <formula>1</formula>
    </cfRule>
  </conditionalFormatting>
  <conditionalFormatting sqref="R83">
    <cfRule type="cellIs" dxfId="19578" priority="2849" operator="greaterThan">
      <formula>1</formula>
    </cfRule>
    <cfRule type="cellIs" dxfId="19577" priority="2850" operator="lessThan">
      <formula>0.8</formula>
    </cfRule>
  </conditionalFormatting>
  <conditionalFormatting sqref="P83">
    <cfRule type="cellIs" dxfId="19576" priority="2842" operator="greaterThan">
      <formula>0</formula>
    </cfRule>
  </conditionalFormatting>
  <conditionalFormatting sqref="Q83">
    <cfRule type="cellIs" dxfId="19575" priority="2847" operator="lessThan">
      <formula>0</formula>
    </cfRule>
  </conditionalFormatting>
  <conditionalFormatting sqref="R83">
    <cfRule type="cellIs" dxfId="19574" priority="2845" operator="lessThan">
      <formula>0.8</formula>
    </cfRule>
    <cfRule type="cellIs" dxfId="19573" priority="2846" operator="greaterThan">
      <formula>1</formula>
    </cfRule>
  </conditionalFormatting>
  <conditionalFormatting sqref="R83">
    <cfRule type="cellIs" dxfId="19572" priority="2843" operator="greaterThan">
      <formula>1</formula>
    </cfRule>
    <cfRule type="cellIs" dxfId="19571" priority="2844" operator="lessThan">
      <formula>0.8</formula>
    </cfRule>
  </conditionalFormatting>
  <conditionalFormatting sqref="R83">
    <cfRule type="cellIs" dxfId="19570" priority="2839" operator="lessThan">
      <formula>0.8</formula>
    </cfRule>
    <cfRule type="cellIs" dxfId="19569" priority="2840" operator="greaterThan">
      <formula>1</formula>
    </cfRule>
  </conditionalFormatting>
  <conditionalFormatting sqref="R83">
    <cfRule type="cellIs" dxfId="19568" priority="2837" operator="greaterThan">
      <formula>1</formula>
    </cfRule>
    <cfRule type="cellIs" dxfId="19567" priority="2838" operator="lessThan">
      <formula>0.8</formula>
    </cfRule>
  </conditionalFormatting>
  <conditionalFormatting sqref="P83">
    <cfRule type="cellIs" dxfId="19566" priority="2836" operator="greaterThan">
      <formula>0</formula>
    </cfRule>
  </conditionalFormatting>
  <conditionalFormatting sqref="Q83">
    <cfRule type="cellIs" dxfId="19565" priority="2841" operator="lessThan">
      <formula>0</formula>
    </cfRule>
  </conditionalFormatting>
  <conditionalFormatting sqref="P83">
    <cfRule type="cellIs" dxfId="19564" priority="2830" operator="greaterThan">
      <formula>0</formula>
    </cfRule>
  </conditionalFormatting>
  <conditionalFormatting sqref="Q83">
    <cfRule type="cellIs" dxfId="19563" priority="2835" operator="lessThan">
      <formula>0</formula>
    </cfRule>
  </conditionalFormatting>
  <conditionalFormatting sqref="R83">
    <cfRule type="cellIs" dxfId="19562" priority="2833" operator="lessThan">
      <formula>0.8</formula>
    </cfRule>
    <cfRule type="cellIs" dxfId="19561" priority="2834" operator="greaterThan">
      <formula>1</formula>
    </cfRule>
  </conditionalFormatting>
  <conditionalFormatting sqref="R83">
    <cfRule type="cellIs" dxfId="19560" priority="2831" operator="greaterThan">
      <formula>1</formula>
    </cfRule>
    <cfRule type="cellIs" dxfId="19559" priority="2832" operator="lessThan">
      <formula>0.8</formula>
    </cfRule>
  </conditionalFormatting>
  <conditionalFormatting sqref="R83">
    <cfRule type="cellIs" dxfId="19558" priority="2827" operator="lessThan">
      <formula>0.8</formula>
    </cfRule>
    <cfRule type="cellIs" dxfId="19557" priority="2828" operator="greaterThan">
      <formula>1</formula>
    </cfRule>
  </conditionalFormatting>
  <conditionalFormatting sqref="R83">
    <cfRule type="cellIs" dxfId="19556" priority="2825" operator="greaterThan">
      <formula>1</formula>
    </cfRule>
    <cfRule type="cellIs" dxfId="19555" priority="2826" operator="lessThan">
      <formula>0.8</formula>
    </cfRule>
  </conditionalFormatting>
  <conditionalFormatting sqref="P83">
    <cfRule type="cellIs" dxfId="19554" priority="2824" operator="greaterThan">
      <formula>0</formula>
    </cfRule>
  </conditionalFormatting>
  <conditionalFormatting sqref="Q83">
    <cfRule type="cellIs" dxfId="19553" priority="2829" operator="lessThan">
      <formula>0</formula>
    </cfRule>
  </conditionalFormatting>
  <conditionalFormatting sqref="R83">
    <cfRule type="cellIs" dxfId="19552" priority="2821" operator="lessThan">
      <formula>0.8</formula>
    </cfRule>
    <cfRule type="cellIs" dxfId="19551" priority="2822" operator="greaterThan">
      <formula>1</formula>
    </cfRule>
  </conditionalFormatting>
  <conditionalFormatting sqref="R83">
    <cfRule type="cellIs" dxfId="19550" priority="2819" operator="greaterThan">
      <formula>1</formula>
    </cfRule>
    <cfRule type="cellIs" dxfId="19549" priority="2820" operator="lessThan">
      <formula>0.8</formula>
    </cfRule>
  </conditionalFormatting>
  <conditionalFormatting sqref="P83">
    <cfRule type="cellIs" dxfId="19548" priority="2818" operator="greaterThan">
      <formula>0</formula>
    </cfRule>
  </conditionalFormatting>
  <conditionalFormatting sqref="Q83">
    <cfRule type="cellIs" dxfId="19547" priority="2823" operator="lessThan">
      <formula>0</formula>
    </cfRule>
  </conditionalFormatting>
  <conditionalFormatting sqref="Q83">
    <cfRule type="cellIs" dxfId="19546" priority="2817" operator="lessThan">
      <formula>0</formula>
    </cfRule>
  </conditionalFormatting>
  <conditionalFormatting sqref="R83">
    <cfRule type="cellIs" dxfId="19545" priority="2815" operator="lessThan">
      <formula>0.8</formula>
    </cfRule>
    <cfRule type="cellIs" dxfId="19544" priority="2816" operator="greaterThan">
      <formula>1</formula>
    </cfRule>
  </conditionalFormatting>
  <conditionalFormatting sqref="R83">
    <cfRule type="cellIs" dxfId="19543" priority="2813" operator="greaterThan">
      <formula>1</formula>
    </cfRule>
    <cfRule type="cellIs" dxfId="19542" priority="2814" operator="lessThan">
      <formula>0.8</formula>
    </cfRule>
  </conditionalFormatting>
  <conditionalFormatting sqref="P83">
    <cfRule type="cellIs" dxfId="19541" priority="2812" operator="greaterThan">
      <formula>0</formula>
    </cfRule>
  </conditionalFormatting>
  <conditionalFormatting sqref="Q83">
    <cfRule type="cellIs" dxfId="19540" priority="2806" operator="lessThan">
      <formula>0</formula>
    </cfRule>
  </conditionalFormatting>
  <conditionalFormatting sqref="R83">
    <cfRule type="cellIs" dxfId="19539" priority="2810" operator="lessThan">
      <formula>0.8</formula>
    </cfRule>
    <cfRule type="cellIs" dxfId="19538" priority="2811" operator="greaterThan">
      <formula>1</formula>
    </cfRule>
  </conditionalFormatting>
  <conditionalFormatting sqref="R83">
    <cfRule type="cellIs" dxfId="19537" priority="2808" operator="greaterThan">
      <formula>1</formula>
    </cfRule>
    <cfRule type="cellIs" dxfId="19536" priority="2809" operator="lessThan">
      <formula>0.8</formula>
    </cfRule>
  </conditionalFormatting>
  <conditionalFormatting sqref="P83">
    <cfRule type="cellIs" dxfId="19535" priority="2807" operator="greaterThan">
      <formula>0</formula>
    </cfRule>
  </conditionalFormatting>
  <conditionalFormatting sqref="Q83">
    <cfRule type="cellIs" dxfId="19534" priority="2805" operator="lessThan">
      <formula>0</formula>
    </cfRule>
  </conditionalFormatting>
  <conditionalFormatting sqref="R83">
    <cfRule type="cellIs" dxfId="19533" priority="2803" operator="lessThan">
      <formula>0.8</formula>
    </cfRule>
    <cfRule type="cellIs" dxfId="19532" priority="2804" operator="greaterThan">
      <formula>1</formula>
    </cfRule>
  </conditionalFormatting>
  <conditionalFormatting sqref="R83">
    <cfRule type="cellIs" dxfId="19531" priority="2801" operator="greaterThan">
      <formula>1</formula>
    </cfRule>
    <cfRule type="cellIs" dxfId="19530" priority="2802" operator="lessThan">
      <formula>0.8</formula>
    </cfRule>
  </conditionalFormatting>
  <conditionalFormatting sqref="P83">
    <cfRule type="cellIs" dxfId="19529" priority="2800" operator="greaterThan">
      <formula>0</formula>
    </cfRule>
  </conditionalFormatting>
  <conditionalFormatting sqref="Q83">
    <cfRule type="cellIs" dxfId="19528" priority="2799" operator="lessThan">
      <formula>0</formula>
    </cfRule>
  </conditionalFormatting>
  <conditionalFormatting sqref="R83">
    <cfRule type="cellIs" dxfId="19527" priority="2797" operator="lessThan">
      <formula>0.8</formula>
    </cfRule>
    <cfRule type="cellIs" dxfId="19526" priority="2798" operator="greaterThan">
      <formula>1</formula>
    </cfRule>
  </conditionalFormatting>
  <conditionalFormatting sqref="R83">
    <cfRule type="cellIs" dxfId="19525" priority="2795" operator="greaterThan">
      <formula>1</formula>
    </cfRule>
    <cfRule type="cellIs" dxfId="19524" priority="2796" operator="lessThan">
      <formula>0.8</formula>
    </cfRule>
  </conditionalFormatting>
  <conditionalFormatting sqref="P83">
    <cfRule type="cellIs" dxfId="19523" priority="2794" operator="greaterThan">
      <formula>0</formula>
    </cfRule>
  </conditionalFormatting>
  <conditionalFormatting sqref="Q83">
    <cfRule type="cellIs" dxfId="19522" priority="2793" operator="lessThan">
      <formula>0</formula>
    </cfRule>
  </conditionalFormatting>
  <conditionalFormatting sqref="R83">
    <cfRule type="cellIs" dxfId="19521" priority="2791" operator="lessThan">
      <formula>0.8</formula>
    </cfRule>
    <cfRule type="cellIs" dxfId="19520" priority="2792" operator="greaterThan">
      <formula>1</formula>
    </cfRule>
  </conditionalFormatting>
  <conditionalFormatting sqref="R83">
    <cfRule type="cellIs" dxfId="19519" priority="2789" operator="greaterThan">
      <formula>1</formula>
    </cfRule>
    <cfRule type="cellIs" dxfId="19518" priority="2790" operator="lessThan">
      <formula>0.8</formula>
    </cfRule>
  </conditionalFormatting>
  <conditionalFormatting sqref="P83">
    <cfRule type="cellIs" dxfId="19517" priority="2788" operator="greaterThan">
      <formula>0</formula>
    </cfRule>
  </conditionalFormatting>
  <conditionalFormatting sqref="Q83">
    <cfRule type="cellIs" dxfId="19516" priority="2787" operator="lessThan">
      <formula>0</formula>
    </cfRule>
  </conditionalFormatting>
  <conditionalFormatting sqref="R83">
    <cfRule type="cellIs" dxfId="19515" priority="2785" operator="lessThan">
      <formula>0.8</formula>
    </cfRule>
    <cfRule type="cellIs" dxfId="19514" priority="2786" operator="greaterThan">
      <formula>1</formula>
    </cfRule>
  </conditionalFormatting>
  <conditionalFormatting sqref="R83">
    <cfRule type="cellIs" dxfId="19513" priority="2783" operator="greaterThan">
      <formula>1</formula>
    </cfRule>
    <cfRule type="cellIs" dxfId="19512" priority="2784" operator="lessThan">
      <formula>0.8</formula>
    </cfRule>
  </conditionalFormatting>
  <conditionalFormatting sqref="P83">
    <cfRule type="cellIs" dxfId="19511" priority="2782" operator="greaterThan">
      <formula>0</formula>
    </cfRule>
  </conditionalFormatting>
  <conditionalFormatting sqref="Q83">
    <cfRule type="cellIs" dxfId="19510" priority="2781" operator="lessThan">
      <formula>0</formula>
    </cfRule>
  </conditionalFormatting>
  <conditionalFormatting sqref="R83">
    <cfRule type="cellIs" dxfId="19509" priority="2779" operator="lessThan">
      <formula>0.8</formula>
    </cfRule>
    <cfRule type="cellIs" dxfId="19508" priority="2780" operator="greaterThan">
      <formula>1</formula>
    </cfRule>
  </conditionalFormatting>
  <conditionalFormatting sqref="R83">
    <cfRule type="cellIs" dxfId="19507" priority="2777" operator="greaterThan">
      <formula>1</formula>
    </cfRule>
    <cfRule type="cellIs" dxfId="19506" priority="2778" operator="lessThan">
      <formula>0.8</formula>
    </cfRule>
  </conditionalFormatting>
  <conditionalFormatting sqref="P83">
    <cfRule type="cellIs" dxfId="19505" priority="2776" operator="greaterThan">
      <formula>0</formula>
    </cfRule>
  </conditionalFormatting>
  <conditionalFormatting sqref="P83">
    <cfRule type="cellIs" dxfId="19504" priority="2770" operator="greaterThan">
      <formula>0</formula>
    </cfRule>
  </conditionalFormatting>
  <conditionalFormatting sqref="Q83">
    <cfRule type="cellIs" dxfId="19503" priority="2775" operator="lessThan">
      <formula>0</formula>
    </cfRule>
  </conditionalFormatting>
  <conditionalFormatting sqref="R83">
    <cfRule type="cellIs" dxfId="19502" priority="2773" operator="lessThan">
      <formula>0.8</formula>
    </cfRule>
    <cfRule type="cellIs" dxfId="19501" priority="2774" operator="greaterThan">
      <formula>1</formula>
    </cfRule>
  </conditionalFormatting>
  <conditionalFormatting sqref="R83">
    <cfRule type="cellIs" dxfId="19500" priority="2771" operator="greaterThan">
      <formula>1</formula>
    </cfRule>
    <cfRule type="cellIs" dxfId="19499" priority="2772" operator="lessThan">
      <formula>0.8</formula>
    </cfRule>
  </conditionalFormatting>
  <conditionalFormatting sqref="P83">
    <cfRule type="cellIs" dxfId="19498" priority="2764" operator="greaterThan">
      <formula>0</formula>
    </cfRule>
  </conditionalFormatting>
  <conditionalFormatting sqref="Q83">
    <cfRule type="cellIs" dxfId="19497" priority="2769" operator="lessThan">
      <formula>0</formula>
    </cfRule>
  </conditionalFormatting>
  <conditionalFormatting sqref="R83">
    <cfRule type="cellIs" dxfId="19496" priority="2767" operator="lessThan">
      <formula>0.8</formula>
    </cfRule>
    <cfRule type="cellIs" dxfId="19495" priority="2768" operator="greaterThan">
      <formula>1</formula>
    </cfRule>
  </conditionalFormatting>
  <conditionalFormatting sqref="R83">
    <cfRule type="cellIs" dxfId="19494" priority="2765" operator="greaterThan">
      <formula>1</formula>
    </cfRule>
    <cfRule type="cellIs" dxfId="19493" priority="2766" operator="lessThan">
      <formula>0.8</formula>
    </cfRule>
  </conditionalFormatting>
  <conditionalFormatting sqref="R83">
    <cfRule type="cellIs" dxfId="19492" priority="2761" operator="lessThan">
      <formula>0.8</formula>
    </cfRule>
    <cfRule type="cellIs" dxfId="19491" priority="2762" operator="greaterThan">
      <formula>1</formula>
    </cfRule>
  </conditionalFormatting>
  <conditionalFormatting sqref="R83">
    <cfRule type="cellIs" dxfId="19490" priority="2759" operator="greaterThan">
      <formula>1</formula>
    </cfRule>
    <cfRule type="cellIs" dxfId="19489" priority="2760" operator="lessThan">
      <formula>0.8</formula>
    </cfRule>
  </conditionalFormatting>
  <conditionalFormatting sqref="P83">
    <cfRule type="cellIs" dxfId="19488" priority="2758" operator="greaterThan">
      <formula>0</formula>
    </cfRule>
  </conditionalFormatting>
  <conditionalFormatting sqref="Q83">
    <cfRule type="cellIs" dxfId="19487" priority="2763" operator="lessThan">
      <formula>0</formula>
    </cfRule>
  </conditionalFormatting>
  <conditionalFormatting sqref="Q83">
    <cfRule type="cellIs" dxfId="19486" priority="2752" operator="lessThan">
      <formula>0</formula>
    </cfRule>
  </conditionalFormatting>
  <conditionalFormatting sqref="P83">
    <cfRule type="cellIs" dxfId="19485" priority="2753" operator="greaterThan">
      <formula>0</formula>
    </cfRule>
  </conditionalFormatting>
  <conditionalFormatting sqref="R83">
    <cfRule type="cellIs" dxfId="19484" priority="2756" operator="lessThan">
      <formula>0.8</formula>
    </cfRule>
    <cfRule type="cellIs" dxfId="19483" priority="2757" operator="greaterThan">
      <formula>1</formula>
    </cfRule>
  </conditionalFormatting>
  <conditionalFormatting sqref="R83">
    <cfRule type="cellIs" dxfId="19482" priority="2754" operator="greaterThan">
      <formula>1</formula>
    </cfRule>
    <cfRule type="cellIs" dxfId="19481" priority="2755" operator="lessThan">
      <formula>0.8</formula>
    </cfRule>
  </conditionalFormatting>
  <conditionalFormatting sqref="Q83">
    <cfRule type="cellIs" dxfId="19480" priority="2746" operator="lessThan">
      <formula>0</formula>
    </cfRule>
  </conditionalFormatting>
  <conditionalFormatting sqref="R83">
    <cfRule type="cellIs" dxfId="19479" priority="2750" operator="lessThan">
      <formula>0.8</formula>
    </cfRule>
    <cfRule type="cellIs" dxfId="19478" priority="2751" operator="greaterThan">
      <formula>1</formula>
    </cfRule>
  </conditionalFormatting>
  <conditionalFormatting sqref="R83">
    <cfRule type="cellIs" dxfId="19477" priority="2748" operator="greaterThan">
      <formula>1</formula>
    </cfRule>
    <cfRule type="cellIs" dxfId="19476" priority="2749" operator="lessThan">
      <formula>0.8</formula>
    </cfRule>
  </conditionalFormatting>
  <conditionalFormatting sqref="P83">
    <cfRule type="cellIs" dxfId="19475" priority="2747" operator="greaterThan">
      <formula>0</formula>
    </cfRule>
  </conditionalFormatting>
  <conditionalFormatting sqref="Q83">
    <cfRule type="cellIs" dxfId="19474" priority="2745" operator="lessThan">
      <formula>0</formula>
    </cfRule>
  </conditionalFormatting>
  <conditionalFormatting sqref="R83">
    <cfRule type="cellIs" dxfId="19473" priority="2743" operator="lessThan">
      <formula>0.8</formula>
    </cfRule>
    <cfRule type="cellIs" dxfId="19472" priority="2744" operator="greaterThan">
      <formula>1</formula>
    </cfRule>
  </conditionalFormatting>
  <conditionalFormatting sqref="R83">
    <cfRule type="cellIs" dxfId="19471" priority="2741" operator="greaterThan">
      <formula>1</formula>
    </cfRule>
    <cfRule type="cellIs" dxfId="19470" priority="2742" operator="lessThan">
      <formula>0.8</formula>
    </cfRule>
  </conditionalFormatting>
  <conditionalFormatting sqref="P83">
    <cfRule type="cellIs" dxfId="19469" priority="2740" operator="greaterThan">
      <formula>0</formula>
    </cfRule>
  </conditionalFormatting>
  <conditionalFormatting sqref="Q83">
    <cfRule type="cellIs" dxfId="19468" priority="2739" operator="lessThan">
      <formula>0</formula>
    </cfRule>
  </conditionalFormatting>
  <conditionalFormatting sqref="R83">
    <cfRule type="cellIs" dxfId="19467" priority="2737" operator="lessThan">
      <formula>0.8</formula>
    </cfRule>
    <cfRule type="cellIs" dxfId="19466" priority="2738" operator="greaterThan">
      <formula>1</formula>
    </cfRule>
  </conditionalFormatting>
  <conditionalFormatting sqref="R83">
    <cfRule type="cellIs" dxfId="19465" priority="2735" operator="greaterThan">
      <formula>1</formula>
    </cfRule>
    <cfRule type="cellIs" dxfId="19464" priority="2736" operator="lessThan">
      <formula>0.8</formula>
    </cfRule>
  </conditionalFormatting>
  <conditionalFormatting sqref="P83">
    <cfRule type="cellIs" dxfId="19463" priority="2734" operator="greaterThan">
      <formula>0</formula>
    </cfRule>
  </conditionalFormatting>
  <conditionalFormatting sqref="Q83">
    <cfRule type="cellIs" dxfId="19462" priority="2733" operator="lessThan">
      <formula>0</formula>
    </cfRule>
  </conditionalFormatting>
  <conditionalFormatting sqref="R83">
    <cfRule type="cellIs" dxfId="19461" priority="2731" operator="lessThan">
      <formula>0.8</formula>
    </cfRule>
    <cfRule type="cellIs" dxfId="19460" priority="2732" operator="greaterThan">
      <formula>1</formula>
    </cfRule>
  </conditionalFormatting>
  <conditionalFormatting sqref="R83">
    <cfRule type="cellIs" dxfId="19459" priority="2729" operator="greaterThan">
      <formula>1</formula>
    </cfRule>
    <cfRule type="cellIs" dxfId="19458" priority="2730" operator="lessThan">
      <formula>0.8</formula>
    </cfRule>
  </conditionalFormatting>
  <conditionalFormatting sqref="P83">
    <cfRule type="cellIs" dxfId="19457" priority="2728" operator="greaterThan">
      <formula>0</formula>
    </cfRule>
  </conditionalFormatting>
  <conditionalFormatting sqref="Q83">
    <cfRule type="cellIs" dxfId="19456" priority="2727" operator="lessThan">
      <formula>0</formula>
    </cfRule>
  </conditionalFormatting>
  <conditionalFormatting sqref="R83">
    <cfRule type="cellIs" dxfId="19455" priority="2725" operator="lessThan">
      <formula>0.8</formula>
    </cfRule>
    <cfRule type="cellIs" dxfId="19454" priority="2726" operator="greaterThan">
      <formula>1</formula>
    </cfRule>
  </conditionalFormatting>
  <conditionalFormatting sqref="R83">
    <cfRule type="cellIs" dxfId="19453" priority="2723" operator="greaterThan">
      <formula>1</formula>
    </cfRule>
    <cfRule type="cellIs" dxfId="19452" priority="2724" operator="lessThan">
      <formula>0.8</formula>
    </cfRule>
  </conditionalFormatting>
  <conditionalFormatting sqref="P83">
    <cfRule type="cellIs" dxfId="19451" priority="2722" operator="greaterThan">
      <formula>0</formula>
    </cfRule>
  </conditionalFormatting>
  <conditionalFormatting sqref="Q83">
    <cfRule type="cellIs" dxfId="19450" priority="2721" operator="lessThan">
      <formula>0</formula>
    </cfRule>
  </conditionalFormatting>
  <conditionalFormatting sqref="R83">
    <cfRule type="cellIs" dxfId="19449" priority="2719" operator="lessThan">
      <formula>0.8</formula>
    </cfRule>
    <cfRule type="cellIs" dxfId="19448" priority="2720" operator="greaterThan">
      <formula>1</formula>
    </cfRule>
  </conditionalFormatting>
  <conditionalFormatting sqref="R83">
    <cfRule type="cellIs" dxfId="19447" priority="2717" operator="greaterThan">
      <formula>1</formula>
    </cfRule>
    <cfRule type="cellIs" dxfId="19446" priority="2718" operator="lessThan">
      <formula>0.8</formula>
    </cfRule>
  </conditionalFormatting>
  <conditionalFormatting sqref="P83">
    <cfRule type="cellIs" dxfId="19445" priority="2716" operator="greaterThan">
      <formula>0</formula>
    </cfRule>
  </conditionalFormatting>
  <conditionalFormatting sqref="Q83">
    <cfRule type="cellIs" dxfId="19444" priority="2715" operator="lessThan">
      <formula>0</formula>
    </cfRule>
  </conditionalFormatting>
  <conditionalFormatting sqref="R83">
    <cfRule type="cellIs" dxfId="19443" priority="2713" operator="lessThan">
      <formula>0.8</formula>
    </cfRule>
    <cfRule type="cellIs" dxfId="19442" priority="2714" operator="greaterThan">
      <formula>1</formula>
    </cfRule>
  </conditionalFormatting>
  <conditionalFormatting sqref="R83">
    <cfRule type="cellIs" dxfId="19441" priority="2711" operator="greaterThan">
      <formula>1</formula>
    </cfRule>
    <cfRule type="cellIs" dxfId="19440" priority="2712" operator="lessThan">
      <formula>0.8</formula>
    </cfRule>
  </conditionalFormatting>
  <conditionalFormatting sqref="P83">
    <cfRule type="cellIs" dxfId="19439" priority="2710" operator="greaterThan">
      <formula>0</formula>
    </cfRule>
  </conditionalFormatting>
  <conditionalFormatting sqref="Q83">
    <cfRule type="cellIs" dxfId="19438" priority="2709" operator="lessThan">
      <formula>0</formula>
    </cfRule>
  </conditionalFormatting>
  <conditionalFormatting sqref="R83">
    <cfRule type="cellIs" dxfId="19437" priority="2707" operator="lessThan">
      <formula>0.8</formula>
    </cfRule>
    <cfRule type="cellIs" dxfId="19436" priority="2708" operator="greaterThan">
      <formula>1</formula>
    </cfRule>
  </conditionalFormatting>
  <conditionalFormatting sqref="R83">
    <cfRule type="cellIs" dxfId="19435" priority="2705" operator="greaterThan">
      <formula>1</formula>
    </cfRule>
    <cfRule type="cellIs" dxfId="19434" priority="2706" operator="lessThan">
      <formula>0.8</formula>
    </cfRule>
  </conditionalFormatting>
  <conditionalFormatting sqref="P83">
    <cfRule type="cellIs" dxfId="19433" priority="2704" operator="greaterThan">
      <formula>0</formula>
    </cfRule>
  </conditionalFormatting>
  <conditionalFormatting sqref="P83">
    <cfRule type="cellIs" dxfId="19432" priority="2698" operator="greaterThan">
      <formula>0</formula>
    </cfRule>
  </conditionalFormatting>
  <conditionalFormatting sqref="Q83">
    <cfRule type="cellIs" dxfId="19431" priority="2703" operator="lessThan">
      <formula>0</formula>
    </cfRule>
  </conditionalFormatting>
  <conditionalFormatting sqref="R83">
    <cfRule type="cellIs" dxfId="19430" priority="2701" operator="lessThan">
      <formula>0.8</formula>
    </cfRule>
    <cfRule type="cellIs" dxfId="19429" priority="2702" operator="greaterThan">
      <formula>1</formula>
    </cfRule>
  </conditionalFormatting>
  <conditionalFormatting sqref="R83">
    <cfRule type="cellIs" dxfId="19428" priority="2699" operator="greaterThan">
      <formula>1</formula>
    </cfRule>
    <cfRule type="cellIs" dxfId="19427" priority="2700" operator="lessThan">
      <formula>0.8</formula>
    </cfRule>
  </conditionalFormatting>
  <conditionalFormatting sqref="P83">
    <cfRule type="cellIs" dxfId="19426" priority="2692" operator="greaterThan">
      <formula>0</formula>
    </cfRule>
  </conditionalFormatting>
  <conditionalFormatting sqref="Q83">
    <cfRule type="cellIs" dxfId="19425" priority="2697" operator="lessThan">
      <formula>0</formula>
    </cfRule>
  </conditionalFormatting>
  <conditionalFormatting sqref="R83">
    <cfRule type="cellIs" dxfId="19424" priority="2695" operator="lessThan">
      <formula>0.8</formula>
    </cfRule>
    <cfRule type="cellIs" dxfId="19423" priority="2696" operator="greaterThan">
      <formula>1</formula>
    </cfRule>
  </conditionalFormatting>
  <conditionalFormatting sqref="R83">
    <cfRule type="cellIs" dxfId="19422" priority="2693" operator="greaterThan">
      <formula>1</formula>
    </cfRule>
    <cfRule type="cellIs" dxfId="19421" priority="2694" operator="lessThan">
      <formula>0.8</formula>
    </cfRule>
  </conditionalFormatting>
  <conditionalFormatting sqref="R83">
    <cfRule type="cellIs" dxfId="19420" priority="2689" operator="lessThan">
      <formula>0.8</formula>
    </cfRule>
    <cfRule type="cellIs" dxfId="19419" priority="2690" operator="greaterThan">
      <formula>1</formula>
    </cfRule>
  </conditionalFormatting>
  <conditionalFormatting sqref="R83">
    <cfRule type="cellIs" dxfId="19418" priority="2687" operator="greaterThan">
      <formula>1</formula>
    </cfRule>
    <cfRule type="cellIs" dxfId="19417" priority="2688" operator="lessThan">
      <formula>0.8</formula>
    </cfRule>
  </conditionalFormatting>
  <conditionalFormatting sqref="P83">
    <cfRule type="cellIs" dxfId="19416" priority="2686" operator="greaterThan">
      <formula>0</formula>
    </cfRule>
  </conditionalFormatting>
  <conditionalFormatting sqref="Q83">
    <cfRule type="cellIs" dxfId="19415" priority="2691" operator="lessThan">
      <formula>0</formula>
    </cfRule>
  </conditionalFormatting>
  <conditionalFormatting sqref="Q83">
    <cfRule type="cellIs" dxfId="19414" priority="2685" operator="lessThan">
      <formula>0</formula>
    </cfRule>
  </conditionalFormatting>
  <conditionalFormatting sqref="R83">
    <cfRule type="cellIs" dxfId="19413" priority="2683" operator="lessThan">
      <formula>0.8</formula>
    </cfRule>
    <cfRule type="cellIs" dxfId="19412" priority="2684" operator="greaterThan">
      <formula>1</formula>
    </cfRule>
  </conditionalFormatting>
  <conditionalFormatting sqref="R83">
    <cfRule type="cellIs" dxfId="19411" priority="2681" operator="greaterThan">
      <formula>1</formula>
    </cfRule>
    <cfRule type="cellIs" dxfId="19410" priority="2682" operator="lessThan">
      <formula>0.8</formula>
    </cfRule>
  </conditionalFormatting>
  <conditionalFormatting sqref="P83">
    <cfRule type="cellIs" dxfId="19409" priority="2680" operator="greaterThan">
      <formula>0</formula>
    </cfRule>
  </conditionalFormatting>
  <conditionalFormatting sqref="P83">
    <cfRule type="cellIs" dxfId="19408" priority="2674" operator="greaterThan">
      <formula>0</formula>
    </cfRule>
  </conditionalFormatting>
  <conditionalFormatting sqref="Q83">
    <cfRule type="cellIs" dxfId="19407" priority="2679" operator="lessThan">
      <formula>0</formula>
    </cfRule>
  </conditionalFormatting>
  <conditionalFormatting sqref="R83">
    <cfRule type="cellIs" dxfId="19406" priority="2677" operator="lessThan">
      <formula>0.8</formula>
    </cfRule>
    <cfRule type="cellIs" dxfId="19405" priority="2678" operator="greaterThan">
      <formula>1</formula>
    </cfRule>
  </conditionalFormatting>
  <conditionalFormatting sqref="R83">
    <cfRule type="cellIs" dxfId="19404" priority="2675" operator="greaterThan">
      <formula>1</formula>
    </cfRule>
    <cfRule type="cellIs" dxfId="19403" priority="2676" operator="lessThan">
      <formula>0.8</formula>
    </cfRule>
  </conditionalFormatting>
  <conditionalFormatting sqref="P83">
    <cfRule type="cellIs" dxfId="19402" priority="2668" operator="greaterThan">
      <formula>0</formula>
    </cfRule>
  </conditionalFormatting>
  <conditionalFormatting sqref="Q83">
    <cfRule type="cellIs" dxfId="19401" priority="2673" operator="lessThan">
      <formula>0</formula>
    </cfRule>
  </conditionalFormatting>
  <conditionalFormatting sqref="R83">
    <cfRule type="cellIs" dxfId="19400" priority="2671" operator="lessThan">
      <formula>0.8</formula>
    </cfRule>
    <cfRule type="cellIs" dxfId="19399" priority="2672" operator="greaterThan">
      <formula>1</formula>
    </cfRule>
  </conditionalFormatting>
  <conditionalFormatting sqref="R83">
    <cfRule type="cellIs" dxfId="19398" priority="2669" operator="greaterThan">
      <formula>1</formula>
    </cfRule>
    <cfRule type="cellIs" dxfId="19397" priority="2670" operator="lessThan">
      <formula>0.8</formula>
    </cfRule>
  </conditionalFormatting>
  <conditionalFormatting sqref="R83">
    <cfRule type="cellIs" dxfId="19396" priority="2665" operator="lessThan">
      <formula>0.8</formula>
    </cfRule>
    <cfRule type="cellIs" dxfId="19395" priority="2666" operator="greaterThan">
      <formula>1</formula>
    </cfRule>
  </conditionalFormatting>
  <conditionalFormatting sqref="R83">
    <cfRule type="cellIs" dxfId="19394" priority="2663" operator="greaterThan">
      <formula>1</formula>
    </cfRule>
    <cfRule type="cellIs" dxfId="19393" priority="2664" operator="lessThan">
      <formula>0.8</formula>
    </cfRule>
  </conditionalFormatting>
  <conditionalFormatting sqref="P83">
    <cfRule type="cellIs" dxfId="19392" priority="2662" operator="greaterThan">
      <formula>0</formula>
    </cfRule>
  </conditionalFormatting>
  <conditionalFormatting sqref="Q83">
    <cfRule type="cellIs" dxfId="19391" priority="2667" operator="lessThan">
      <formula>0</formula>
    </cfRule>
  </conditionalFormatting>
  <conditionalFormatting sqref="P83">
    <cfRule type="cellIs" dxfId="19390" priority="2656" operator="greaterThan">
      <formula>0</formula>
    </cfRule>
  </conditionalFormatting>
  <conditionalFormatting sqref="Q83">
    <cfRule type="cellIs" dxfId="19389" priority="2661" operator="lessThan">
      <formula>0</formula>
    </cfRule>
  </conditionalFormatting>
  <conditionalFormatting sqref="R83">
    <cfRule type="cellIs" dxfId="19388" priority="2659" operator="lessThan">
      <formula>0.8</formula>
    </cfRule>
    <cfRule type="cellIs" dxfId="19387" priority="2660" operator="greaterThan">
      <formula>1</formula>
    </cfRule>
  </conditionalFormatting>
  <conditionalFormatting sqref="R83">
    <cfRule type="cellIs" dxfId="19386" priority="2657" operator="greaterThan">
      <formula>1</formula>
    </cfRule>
    <cfRule type="cellIs" dxfId="19385" priority="2658" operator="lessThan">
      <formula>0.8</formula>
    </cfRule>
  </conditionalFormatting>
  <conditionalFormatting sqref="R83">
    <cfRule type="cellIs" dxfId="19384" priority="2653" operator="lessThan">
      <formula>0.8</formula>
    </cfRule>
    <cfRule type="cellIs" dxfId="19383" priority="2654" operator="greaterThan">
      <formula>1</formula>
    </cfRule>
  </conditionalFormatting>
  <conditionalFormatting sqref="R83">
    <cfRule type="cellIs" dxfId="19382" priority="2651" operator="greaterThan">
      <formula>1</formula>
    </cfRule>
    <cfRule type="cellIs" dxfId="19381" priority="2652" operator="lessThan">
      <formula>0.8</formula>
    </cfRule>
  </conditionalFormatting>
  <conditionalFormatting sqref="P83">
    <cfRule type="cellIs" dxfId="19380" priority="2650" operator="greaterThan">
      <formula>0</formula>
    </cfRule>
  </conditionalFormatting>
  <conditionalFormatting sqref="Q83">
    <cfRule type="cellIs" dxfId="19379" priority="2655" operator="lessThan">
      <formula>0</formula>
    </cfRule>
  </conditionalFormatting>
  <conditionalFormatting sqref="R83">
    <cfRule type="cellIs" dxfId="19378" priority="2647" operator="lessThan">
      <formula>0.8</formula>
    </cfRule>
    <cfRule type="cellIs" dxfId="19377" priority="2648" operator="greaterThan">
      <formula>1</formula>
    </cfRule>
  </conditionalFormatting>
  <conditionalFormatting sqref="R83">
    <cfRule type="cellIs" dxfId="19376" priority="2645" operator="greaterThan">
      <formula>1</formula>
    </cfRule>
    <cfRule type="cellIs" dxfId="19375" priority="2646" operator="lessThan">
      <formula>0.8</formula>
    </cfRule>
  </conditionalFormatting>
  <conditionalFormatting sqref="P83">
    <cfRule type="cellIs" dxfId="19374" priority="2644" operator="greaterThan">
      <formula>0</formula>
    </cfRule>
  </conditionalFormatting>
  <conditionalFormatting sqref="Q83">
    <cfRule type="cellIs" dxfId="19373" priority="2649" operator="lessThan">
      <formula>0</formula>
    </cfRule>
  </conditionalFormatting>
  <conditionalFormatting sqref="Q83">
    <cfRule type="cellIs" dxfId="19372" priority="2643" operator="lessThan">
      <formula>0</formula>
    </cfRule>
  </conditionalFormatting>
  <conditionalFormatting sqref="R83">
    <cfRule type="cellIs" dxfId="19371" priority="2641" operator="lessThan">
      <formula>0.8</formula>
    </cfRule>
    <cfRule type="cellIs" dxfId="19370" priority="2642" operator="greaterThan">
      <formula>1</formula>
    </cfRule>
  </conditionalFormatting>
  <conditionalFormatting sqref="R83">
    <cfRule type="cellIs" dxfId="19369" priority="2639" operator="greaterThan">
      <formula>1</formula>
    </cfRule>
    <cfRule type="cellIs" dxfId="19368" priority="2640" operator="lessThan">
      <formula>0.8</formula>
    </cfRule>
  </conditionalFormatting>
  <conditionalFormatting sqref="P83">
    <cfRule type="cellIs" dxfId="19367" priority="2638" operator="greaterThan">
      <formula>0</formula>
    </cfRule>
  </conditionalFormatting>
  <conditionalFormatting sqref="Q83">
    <cfRule type="cellIs" dxfId="19366" priority="2632" operator="lessThan">
      <formula>0</formula>
    </cfRule>
  </conditionalFormatting>
  <conditionalFormatting sqref="R83">
    <cfRule type="cellIs" dxfId="19365" priority="2636" operator="lessThan">
      <formula>0.8</formula>
    </cfRule>
    <cfRule type="cellIs" dxfId="19364" priority="2637" operator="greaterThan">
      <formula>1</formula>
    </cfRule>
  </conditionalFormatting>
  <conditionalFormatting sqref="R83">
    <cfRule type="cellIs" dxfId="19363" priority="2634" operator="greaterThan">
      <formula>1</formula>
    </cfRule>
    <cfRule type="cellIs" dxfId="19362" priority="2635" operator="lessThan">
      <formula>0.8</formula>
    </cfRule>
  </conditionalFormatting>
  <conditionalFormatting sqref="P83">
    <cfRule type="cellIs" dxfId="19361" priority="2633" operator="greaterThan">
      <formula>0</formula>
    </cfRule>
  </conditionalFormatting>
  <conditionalFormatting sqref="Q83">
    <cfRule type="cellIs" dxfId="19360" priority="2631" operator="lessThan">
      <formula>0</formula>
    </cfRule>
  </conditionalFormatting>
  <conditionalFormatting sqref="R83">
    <cfRule type="cellIs" dxfId="19359" priority="2629" operator="lessThan">
      <formula>0.8</formula>
    </cfRule>
    <cfRule type="cellIs" dxfId="19358" priority="2630" operator="greaterThan">
      <formula>1</formula>
    </cfRule>
  </conditionalFormatting>
  <conditionalFormatting sqref="R83">
    <cfRule type="cellIs" dxfId="19357" priority="2627" operator="greaterThan">
      <formula>1</formula>
    </cfRule>
    <cfRule type="cellIs" dxfId="19356" priority="2628" operator="lessThan">
      <formula>0.8</formula>
    </cfRule>
  </conditionalFormatting>
  <conditionalFormatting sqref="P83">
    <cfRule type="cellIs" dxfId="19355" priority="2626" operator="greaterThan">
      <formula>0</formula>
    </cfRule>
  </conditionalFormatting>
  <conditionalFormatting sqref="Q83">
    <cfRule type="cellIs" dxfId="19354" priority="2625" operator="lessThan">
      <formula>0</formula>
    </cfRule>
  </conditionalFormatting>
  <conditionalFormatting sqref="R83">
    <cfRule type="cellIs" dxfId="19353" priority="2623" operator="lessThan">
      <formula>0.8</formula>
    </cfRule>
    <cfRule type="cellIs" dxfId="19352" priority="2624" operator="greaterThan">
      <formula>1</formula>
    </cfRule>
  </conditionalFormatting>
  <conditionalFormatting sqref="R83">
    <cfRule type="cellIs" dxfId="19351" priority="2621" operator="greaterThan">
      <formula>1</formula>
    </cfRule>
    <cfRule type="cellIs" dxfId="19350" priority="2622" operator="lessThan">
      <formula>0.8</formula>
    </cfRule>
  </conditionalFormatting>
  <conditionalFormatting sqref="P83">
    <cfRule type="cellIs" dxfId="19349" priority="2620" operator="greaterThan">
      <formula>0</formula>
    </cfRule>
  </conditionalFormatting>
  <conditionalFormatting sqref="Q83">
    <cfRule type="cellIs" dxfId="19348" priority="2619" operator="lessThan">
      <formula>0</formula>
    </cfRule>
  </conditionalFormatting>
  <conditionalFormatting sqref="R83">
    <cfRule type="cellIs" dxfId="19347" priority="2617" operator="lessThan">
      <formula>0.8</formula>
    </cfRule>
    <cfRule type="cellIs" dxfId="19346" priority="2618" operator="greaterThan">
      <formula>1</formula>
    </cfRule>
  </conditionalFormatting>
  <conditionalFormatting sqref="R83">
    <cfRule type="cellIs" dxfId="19345" priority="2615" operator="greaterThan">
      <formula>1</formula>
    </cfRule>
    <cfRule type="cellIs" dxfId="19344" priority="2616" operator="lessThan">
      <formula>0.8</formula>
    </cfRule>
  </conditionalFormatting>
  <conditionalFormatting sqref="P83">
    <cfRule type="cellIs" dxfId="19343" priority="2614" operator="greaterThan">
      <formula>0</formula>
    </cfRule>
  </conditionalFormatting>
  <conditionalFormatting sqref="Q83">
    <cfRule type="cellIs" dxfId="19342" priority="2613" operator="lessThan">
      <formula>0</formula>
    </cfRule>
  </conditionalFormatting>
  <conditionalFormatting sqref="R83">
    <cfRule type="cellIs" dxfId="19341" priority="2611" operator="lessThan">
      <formula>0.8</formula>
    </cfRule>
    <cfRule type="cellIs" dxfId="19340" priority="2612" operator="greaterThan">
      <formula>1</formula>
    </cfRule>
  </conditionalFormatting>
  <conditionalFormatting sqref="R83">
    <cfRule type="cellIs" dxfId="19339" priority="2609" operator="greaterThan">
      <formula>1</formula>
    </cfRule>
    <cfRule type="cellIs" dxfId="19338" priority="2610" operator="lessThan">
      <formula>0.8</formula>
    </cfRule>
  </conditionalFormatting>
  <conditionalFormatting sqref="P83">
    <cfRule type="cellIs" dxfId="19337" priority="2608" operator="greaterThan">
      <formula>0</formula>
    </cfRule>
  </conditionalFormatting>
  <conditionalFormatting sqref="Q83">
    <cfRule type="cellIs" dxfId="19336" priority="2607" operator="lessThan">
      <formula>0</formula>
    </cfRule>
  </conditionalFormatting>
  <conditionalFormatting sqref="R83">
    <cfRule type="cellIs" dxfId="19335" priority="2605" operator="lessThan">
      <formula>0.8</formula>
    </cfRule>
    <cfRule type="cellIs" dxfId="19334" priority="2606" operator="greaterThan">
      <formula>1</formula>
    </cfRule>
  </conditionalFormatting>
  <conditionalFormatting sqref="R83">
    <cfRule type="cellIs" dxfId="19333" priority="2603" operator="greaterThan">
      <formula>1</formula>
    </cfRule>
    <cfRule type="cellIs" dxfId="19332" priority="2604" operator="lessThan">
      <formula>0.8</formula>
    </cfRule>
  </conditionalFormatting>
  <conditionalFormatting sqref="P83">
    <cfRule type="cellIs" dxfId="19331" priority="2602" operator="greaterThan">
      <formula>0</formula>
    </cfRule>
  </conditionalFormatting>
  <conditionalFormatting sqref="P83">
    <cfRule type="cellIs" dxfId="19330" priority="2596" operator="greaterThan">
      <formula>0</formula>
    </cfRule>
  </conditionalFormatting>
  <conditionalFormatting sqref="Q83">
    <cfRule type="cellIs" dxfId="19329" priority="2601" operator="lessThan">
      <formula>0</formula>
    </cfRule>
  </conditionalFormatting>
  <conditionalFormatting sqref="R83">
    <cfRule type="cellIs" dxfId="19328" priority="2599" operator="lessThan">
      <formula>0.8</formula>
    </cfRule>
    <cfRule type="cellIs" dxfId="19327" priority="2600" operator="greaterThan">
      <formula>1</formula>
    </cfRule>
  </conditionalFormatting>
  <conditionalFormatting sqref="R83">
    <cfRule type="cellIs" dxfId="19326" priority="2597" operator="greaterThan">
      <formula>1</formula>
    </cfRule>
    <cfRule type="cellIs" dxfId="19325" priority="2598" operator="lessThan">
      <formula>0.8</formula>
    </cfRule>
  </conditionalFormatting>
  <conditionalFormatting sqref="P83">
    <cfRule type="cellIs" dxfId="19324" priority="2590" operator="greaterThan">
      <formula>0</formula>
    </cfRule>
  </conditionalFormatting>
  <conditionalFormatting sqref="Q83">
    <cfRule type="cellIs" dxfId="19323" priority="2595" operator="lessThan">
      <formula>0</formula>
    </cfRule>
  </conditionalFormatting>
  <conditionalFormatting sqref="R83">
    <cfRule type="cellIs" dxfId="19322" priority="2593" operator="lessThan">
      <formula>0.8</formula>
    </cfRule>
    <cfRule type="cellIs" dxfId="19321" priority="2594" operator="greaterThan">
      <formula>1</formula>
    </cfRule>
  </conditionalFormatting>
  <conditionalFormatting sqref="R83">
    <cfRule type="cellIs" dxfId="19320" priority="2591" operator="greaterThan">
      <formula>1</formula>
    </cfRule>
    <cfRule type="cellIs" dxfId="19319" priority="2592" operator="lessThan">
      <formula>0.8</formula>
    </cfRule>
  </conditionalFormatting>
  <conditionalFormatting sqref="R83">
    <cfRule type="cellIs" dxfId="19318" priority="2587" operator="lessThan">
      <formula>0.8</formula>
    </cfRule>
    <cfRule type="cellIs" dxfId="19317" priority="2588" operator="greaterThan">
      <formula>1</formula>
    </cfRule>
  </conditionalFormatting>
  <conditionalFormatting sqref="R83">
    <cfRule type="cellIs" dxfId="19316" priority="2585" operator="greaterThan">
      <formula>1</formula>
    </cfRule>
    <cfRule type="cellIs" dxfId="19315" priority="2586" operator="lessThan">
      <formula>0.8</formula>
    </cfRule>
  </conditionalFormatting>
  <conditionalFormatting sqref="P83">
    <cfRule type="cellIs" dxfId="19314" priority="2584" operator="greaterThan">
      <formula>0</formula>
    </cfRule>
  </conditionalFormatting>
  <conditionalFormatting sqref="Q83">
    <cfRule type="cellIs" dxfId="19313" priority="2589" operator="lessThan">
      <formula>0</formula>
    </cfRule>
  </conditionalFormatting>
  <conditionalFormatting sqref="P123 P125:P126 P128:P130">
    <cfRule type="cellIs" dxfId="19312" priority="2578" operator="greaterThan">
      <formula>0</formula>
    </cfRule>
  </conditionalFormatting>
  <conditionalFormatting sqref="Q123 Q125:Q126 Q128:Q130">
    <cfRule type="cellIs" dxfId="19311" priority="2583" operator="lessThan">
      <formula>0</formula>
    </cfRule>
  </conditionalFormatting>
  <conditionalFormatting sqref="R123 R125:R126 R128:R130">
    <cfRule type="cellIs" dxfId="19310" priority="2581" operator="lessThan">
      <formula>0.8</formula>
    </cfRule>
    <cfRule type="cellIs" dxfId="19309" priority="2582" operator="greaterThan">
      <formula>1</formula>
    </cfRule>
  </conditionalFormatting>
  <conditionalFormatting sqref="R123 R125:R126 R128:R130">
    <cfRule type="cellIs" dxfId="19308" priority="2579" operator="greaterThan">
      <formula>1</formula>
    </cfRule>
    <cfRule type="cellIs" dxfId="19307" priority="2580" operator="lessThan">
      <formula>0.8</formula>
    </cfRule>
  </conditionalFormatting>
  <conditionalFormatting sqref="Q123 Q125:Q126 Q128:Q130">
    <cfRule type="cellIs" dxfId="19306" priority="2577" operator="lessThan">
      <formula>0</formula>
    </cfRule>
  </conditionalFormatting>
  <conditionalFormatting sqref="R123 R125:R126 R128:R130">
    <cfRule type="cellIs" dxfId="19305" priority="2575" operator="lessThan">
      <formula>0.8</formula>
    </cfRule>
    <cfRule type="cellIs" dxfId="19304" priority="2576" operator="greaterThan">
      <formula>1</formula>
    </cfRule>
  </conditionalFormatting>
  <conditionalFormatting sqref="R123 R125:R126 R128:R130">
    <cfRule type="cellIs" dxfId="19303" priority="2573" operator="greaterThan">
      <formula>1</formula>
    </cfRule>
    <cfRule type="cellIs" dxfId="19302" priority="2574" operator="lessThan">
      <formula>0.8</formula>
    </cfRule>
  </conditionalFormatting>
  <conditionalFormatting sqref="P123 P125:P126 P128:P130">
    <cfRule type="cellIs" dxfId="19301" priority="2572" operator="greaterThan">
      <formula>0</formula>
    </cfRule>
  </conditionalFormatting>
  <conditionalFormatting sqref="Q31">
    <cfRule type="cellIs" dxfId="19300" priority="2571" operator="lessThan">
      <formula>0</formula>
    </cfRule>
  </conditionalFormatting>
  <conditionalFormatting sqref="R31">
    <cfRule type="cellIs" dxfId="19299" priority="2569" operator="lessThan">
      <formula>0.8</formula>
    </cfRule>
    <cfRule type="cellIs" dxfId="19298" priority="2570" operator="greaterThan">
      <formula>1</formula>
    </cfRule>
  </conditionalFormatting>
  <conditionalFormatting sqref="R31">
    <cfRule type="cellIs" dxfId="19297" priority="2567" operator="greaterThan">
      <formula>1</formula>
    </cfRule>
    <cfRule type="cellIs" dxfId="19296" priority="2568" operator="lessThan">
      <formula>0.8</formula>
    </cfRule>
  </conditionalFormatting>
  <conditionalFormatting sqref="P31">
    <cfRule type="cellIs" dxfId="19295" priority="2566" operator="greaterThan">
      <formula>0</formula>
    </cfRule>
  </conditionalFormatting>
  <conditionalFormatting sqref="Q31">
    <cfRule type="cellIs" dxfId="19294" priority="2565" operator="lessThan">
      <formula>0</formula>
    </cfRule>
  </conditionalFormatting>
  <conditionalFormatting sqref="R31">
    <cfRule type="cellIs" dxfId="19293" priority="2563" operator="lessThan">
      <formula>0.8</formula>
    </cfRule>
    <cfRule type="cellIs" dxfId="19292" priority="2564" operator="greaterThan">
      <formula>1</formula>
    </cfRule>
  </conditionalFormatting>
  <conditionalFormatting sqref="R31">
    <cfRule type="cellIs" dxfId="19291" priority="2561" operator="greaterThan">
      <formula>1</formula>
    </cfRule>
    <cfRule type="cellIs" dxfId="19290" priority="2562" operator="lessThan">
      <formula>0.8</formula>
    </cfRule>
  </conditionalFormatting>
  <conditionalFormatting sqref="P31">
    <cfRule type="cellIs" dxfId="19289" priority="2560" operator="greaterThan">
      <formula>0</formula>
    </cfRule>
  </conditionalFormatting>
  <conditionalFormatting sqref="Q31">
    <cfRule type="cellIs" dxfId="19288" priority="2559" operator="lessThan">
      <formula>0</formula>
    </cfRule>
  </conditionalFormatting>
  <conditionalFormatting sqref="R31">
    <cfRule type="cellIs" dxfId="19287" priority="2557" operator="lessThan">
      <formula>0.8</formula>
    </cfRule>
    <cfRule type="cellIs" dxfId="19286" priority="2558" operator="greaterThan">
      <formula>1</formula>
    </cfRule>
  </conditionalFormatting>
  <conditionalFormatting sqref="R31">
    <cfRule type="cellIs" dxfId="19285" priority="2555" operator="greaterThan">
      <formula>1</formula>
    </cfRule>
    <cfRule type="cellIs" dxfId="19284" priority="2556" operator="lessThan">
      <formula>0.8</formula>
    </cfRule>
  </conditionalFormatting>
  <conditionalFormatting sqref="P31">
    <cfRule type="cellIs" dxfId="19283" priority="2554" operator="greaterThan">
      <formula>0</formula>
    </cfRule>
  </conditionalFormatting>
  <conditionalFormatting sqref="Q31">
    <cfRule type="cellIs" dxfId="19282" priority="2553" operator="lessThan">
      <formula>0</formula>
    </cfRule>
  </conditionalFormatting>
  <conditionalFormatting sqref="R31">
    <cfRule type="cellIs" dxfId="19281" priority="2551" operator="lessThan">
      <formula>0.8</formula>
    </cfRule>
    <cfRule type="cellIs" dxfId="19280" priority="2552" operator="greaterThan">
      <formula>1</formula>
    </cfRule>
  </conditionalFormatting>
  <conditionalFormatting sqref="R31">
    <cfRule type="cellIs" dxfId="19279" priority="2549" operator="greaterThan">
      <formula>1</formula>
    </cfRule>
    <cfRule type="cellIs" dxfId="19278" priority="2550" operator="lessThan">
      <formula>0.8</formula>
    </cfRule>
  </conditionalFormatting>
  <conditionalFormatting sqref="P31">
    <cfRule type="cellIs" dxfId="19277" priority="2548" operator="greaterThan">
      <formula>0</formula>
    </cfRule>
  </conditionalFormatting>
  <conditionalFormatting sqref="P31">
    <cfRule type="cellIs" dxfId="19276" priority="2542" operator="greaterThan">
      <formula>0</formula>
    </cfRule>
  </conditionalFormatting>
  <conditionalFormatting sqref="Q31">
    <cfRule type="cellIs" dxfId="19275" priority="2547" operator="lessThan">
      <formula>0</formula>
    </cfRule>
  </conditionalFormatting>
  <conditionalFormatting sqref="R31">
    <cfRule type="cellIs" dxfId="19274" priority="2545" operator="lessThan">
      <formula>0.8</formula>
    </cfRule>
    <cfRule type="cellIs" dxfId="19273" priority="2546" operator="greaterThan">
      <formula>1</formula>
    </cfRule>
  </conditionalFormatting>
  <conditionalFormatting sqref="R31">
    <cfRule type="cellIs" dxfId="19272" priority="2543" operator="greaterThan">
      <formula>1</formula>
    </cfRule>
    <cfRule type="cellIs" dxfId="19271" priority="2544" operator="lessThan">
      <formula>0.8</formula>
    </cfRule>
  </conditionalFormatting>
  <conditionalFormatting sqref="P31">
    <cfRule type="cellIs" dxfId="19270" priority="2536" operator="greaterThan">
      <formula>0</formula>
    </cfRule>
  </conditionalFormatting>
  <conditionalFormatting sqref="Q31">
    <cfRule type="cellIs" dxfId="19269" priority="2541" operator="lessThan">
      <formula>0</formula>
    </cfRule>
  </conditionalFormatting>
  <conditionalFormatting sqref="R31">
    <cfRule type="cellIs" dxfId="19268" priority="2539" operator="lessThan">
      <formula>0.8</formula>
    </cfRule>
    <cfRule type="cellIs" dxfId="19267" priority="2540" operator="greaterThan">
      <formula>1</formula>
    </cfRule>
  </conditionalFormatting>
  <conditionalFormatting sqref="R31">
    <cfRule type="cellIs" dxfId="19266" priority="2537" operator="greaterThan">
      <formula>1</formula>
    </cfRule>
    <cfRule type="cellIs" dxfId="19265" priority="2538" operator="lessThan">
      <formula>0.8</formula>
    </cfRule>
  </conditionalFormatting>
  <conditionalFormatting sqref="R31">
    <cfRule type="cellIs" dxfId="19264" priority="2533" operator="lessThan">
      <formula>0.8</formula>
    </cfRule>
    <cfRule type="cellIs" dxfId="19263" priority="2534" operator="greaterThan">
      <formula>1</formula>
    </cfRule>
  </conditionalFormatting>
  <conditionalFormatting sqref="R31">
    <cfRule type="cellIs" dxfId="19262" priority="2531" operator="greaterThan">
      <formula>1</formula>
    </cfRule>
    <cfRule type="cellIs" dxfId="19261" priority="2532" operator="lessThan">
      <formula>0.8</formula>
    </cfRule>
  </conditionalFormatting>
  <conditionalFormatting sqref="P31">
    <cfRule type="cellIs" dxfId="19260" priority="2530" operator="greaterThan">
      <formula>0</formula>
    </cfRule>
  </conditionalFormatting>
  <conditionalFormatting sqref="Q31">
    <cfRule type="cellIs" dxfId="19259" priority="2535" operator="lessThan">
      <formula>0</formula>
    </cfRule>
  </conditionalFormatting>
  <conditionalFormatting sqref="Q31">
    <cfRule type="cellIs" dxfId="19258" priority="2529" operator="lessThan">
      <formula>0</formula>
    </cfRule>
  </conditionalFormatting>
  <conditionalFormatting sqref="R31">
    <cfRule type="cellIs" dxfId="19257" priority="2527" operator="lessThan">
      <formula>0.8</formula>
    </cfRule>
    <cfRule type="cellIs" dxfId="19256" priority="2528" operator="greaterThan">
      <formula>1</formula>
    </cfRule>
  </conditionalFormatting>
  <conditionalFormatting sqref="R31">
    <cfRule type="cellIs" dxfId="19255" priority="2525" operator="greaterThan">
      <formula>1</formula>
    </cfRule>
    <cfRule type="cellIs" dxfId="19254" priority="2526" operator="lessThan">
      <formula>0.8</formula>
    </cfRule>
  </conditionalFormatting>
  <conditionalFormatting sqref="P31">
    <cfRule type="cellIs" dxfId="19253" priority="2524" operator="greaterThan">
      <formula>0</formula>
    </cfRule>
  </conditionalFormatting>
  <conditionalFormatting sqref="P31">
    <cfRule type="cellIs" dxfId="19252" priority="2518" operator="greaterThan">
      <formula>0</formula>
    </cfRule>
  </conditionalFormatting>
  <conditionalFormatting sqref="Q31">
    <cfRule type="cellIs" dxfId="19251" priority="2523" operator="lessThan">
      <formula>0</formula>
    </cfRule>
  </conditionalFormatting>
  <conditionalFormatting sqref="R31">
    <cfRule type="cellIs" dxfId="19250" priority="2521" operator="lessThan">
      <formula>0.8</formula>
    </cfRule>
    <cfRule type="cellIs" dxfId="19249" priority="2522" operator="greaterThan">
      <formula>1</formula>
    </cfRule>
  </conditionalFormatting>
  <conditionalFormatting sqref="R31">
    <cfRule type="cellIs" dxfId="19248" priority="2519" operator="greaterThan">
      <formula>1</formula>
    </cfRule>
    <cfRule type="cellIs" dxfId="19247" priority="2520" operator="lessThan">
      <formula>0.8</formula>
    </cfRule>
  </conditionalFormatting>
  <conditionalFormatting sqref="P31">
    <cfRule type="cellIs" dxfId="19246" priority="2512" operator="greaterThan">
      <formula>0</formula>
    </cfRule>
  </conditionalFormatting>
  <conditionalFormatting sqref="Q31">
    <cfRule type="cellIs" dxfId="19245" priority="2517" operator="lessThan">
      <formula>0</formula>
    </cfRule>
  </conditionalFormatting>
  <conditionalFormatting sqref="R31">
    <cfRule type="cellIs" dxfId="19244" priority="2515" operator="lessThan">
      <formula>0.8</formula>
    </cfRule>
    <cfRule type="cellIs" dxfId="19243" priority="2516" operator="greaterThan">
      <formula>1</formula>
    </cfRule>
  </conditionalFormatting>
  <conditionalFormatting sqref="R31">
    <cfRule type="cellIs" dxfId="19242" priority="2513" operator="greaterThan">
      <formula>1</formula>
    </cfRule>
    <cfRule type="cellIs" dxfId="19241" priority="2514" operator="lessThan">
      <formula>0.8</formula>
    </cfRule>
  </conditionalFormatting>
  <conditionalFormatting sqref="R31">
    <cfRule type="cellIs" dxfId="19240" priority="2509" operator="lessThan">
      <formula>0.8</formula>
    </cfRule>
    <cfRule type="cellIs" dxfId="19239" priority="2510" operator="greaterThan">
      <formula>1</formula>
    </cfRule>
  </conditionalFormatting>
  <conditionalFormatting sqref="R31">
    <cfRule type="cellIs" dxfId="19238" priority="2507" operator="greaterThan">
      <formula>1</formula>
    </cfRule>
    <cfRule type="cellIs" dxfId="19237" priority="2508" operator="lessThan">
      <formula>0.8</formula>
    </cfRule>
  </conditionalFormatting>
  <conditionalFormatting sqref="P31">
    <cfRule type="cellIs" dxfId="19236" priority="2506" operator="greaterThan">
      <formula>0</formula>
    </cfRule>
  </conditionalFormatting>
  <conditionalFormatting sqref="Q31">
    <cfRule type="cellIs" dxfId="19235" priority="2511" operator="lessThan">
      <formula>0</formula>
    </cfRule>
  </conditionalFormatting>
  <conditionalFormatting sqref="P31">
    <cfRule type="cellIs" dxfId="19234" priority="2500" operator="greaterThan">
      <formula>0</formula>
    </cfRule>
  </conditionalFormatting>
  <conditionalFormatting sqref="Q31">
    <cfRule type="cellIs" dxfId="19233" priority="2505" operator="lessThan">
      <formula>0</formula>
    </cfRule>
  </conditionalFormatting>
  <conditionalFormatting sqref="R31">
    <cfRule type="cellIs" dxfId="19232" priority="2503" operator="lessThan">
      <formula>0.8</formula>
    </cfRule>
    <cfRule type="cellIs" dxfId="19231" priority="2504" operator="greaterThan">
      <formula>1</formula>
    </cfRule>
  </conditionalFormatting>
  <conditionalFormatting sqref="R31">
    <cfRule type="cellIs" dxfId="19230" priority="2501" operator="greaterThan">
      <formula>1</formula>
    </cfRule>
    <cfRule type="cellIs" dxfId="19229" priority="2502" operator="lessThan">
      <formula>0.8</formula>
    </cfRule>
  </conditionalFormatting>
  <conditionalFormatting sqref="R31">
    <cfRule type="cellIs" dxfId="19228" priority="2497" operator="lessThan">
      <formula>0.8</formula>
    </cfRule>
    <cfRule type="cellIs" dxfId="19227" priority="2498" operator="greaterThan">
      <formula>1</formula>
    </cfRule>
  </conditionalFormatting>
  <conditionalFormatting sqref="R31">
    <cfRule type="cellIs" dxfId="19226" priority="2495" operator="greaterThan">
      <formula>1</formula>
    </cfRule>
    <cfRule type="cellIs" dxfId="19225" priority="2496" operator="lessThan">
      <formula>0.8</formula>
    </cfRule>
  </conditionalFormatting>
  <conditionalFormatting sqref="P31">
    <cfRule type="cellIs" dxfId="19224" priority="2494" operator="greaterThan">
      <formula>0</formula>
    </cfRule>
  </conditionalFormatting>
  <conditionalFormatting sqref="Q31">
    <cfRule type="cellIs" dxfId="19223" priority="2499" operator="lessThan">
      <formula>0</formula>
    </cfRule>
  </conditionalFormatting>
  <conditionalFormatting sqref="R31">
    <cfRule type="cellIs" dxfId="19222" priority="2491" operator="lessThan">
      <formula>0.8</formula>
    </cfRule>
    <cfRule type="cellIs" dxfId="19221" priority="2492" operator="greaterThan">
      <formula>1</formula>
    </cfRule>
  </conditionalFormatting>
  <conditionalFormatting sqref="R31">
    <cfRule type="cellIs" dxfId="19220" priority="2489" operator="greaterThan">
      <formula>1</formula>
    </cfRule>
    <cfRule type="cellIs" dxfId="19219" priority="2490" operator="lessThan">
      <formula>0.8</formula>
    </cfRule>
  </conditionalFormatting>
  <conditionalFormatting sqref="P31">
    <cfRule type="cellIs" dxfId="19218" priority="2488" operator="greaterThan">
      <formula>0</formula>
    </cfRule>
  </conditionalFormatting>
  <conditionalFormatting sqref="Q31">
    <cfRule type="cellIs" dxfId="19217" priority="2493" operator="lessThan">
      <formula>0</formula>
    </cfRule>
  </conditionalFormatting>
  <conditionalFormatting sqref="Q31">
    <cfRule type="cellIs" dxfId="19216" priority="2487" operator="lessThan">
      <formula>0</formula>
    </cfRule>
  </conditionalFormatting>
  <conditionalFormatting sqref="R31">
    <cfRule type="cellIs" dxfId="19215" priority="2485" operator="lessThan">
      <formula>0.8</formula>
    </cfRule>
    <cfRule type="cellIs" dxfId="19214" priority="2486" operator="greaterThan">
      <formula>1</formula>
    </cfRule>
  </conditionalFormatting>
  <conditionalFormatting sqref="R31">
    <cfRule type="cellIs" dxfId="19213" priority="2483" operator="greaterThan">
      <formula>1</formula>
    </cfRule>
    <cfRule type="cellIs" dxfId="19212" priority="2484" operator="lessThan">
      <formula>0.8</formula>
    </cfRule>
  </conditionalFormatting>
  <conditionalFormatting sqref="P31">
    <cfRule type="cellIs" dxfId="19211" priority="2482" operator="greaterThan">
      <formula>0</formula>
    </cfRule>
  </conditionalFormatting>
  <conditionalFormatting sqref="Q31">
    <cfRule type="cellIs" dxfId="19210" priority="2476" operator="lessThan">
      <formula>0</formula>
    </cfRule>
  </conditionalFormatting>
  <conditionalFormatting sqref="R31">
    <cfRule type="cellIs" dxfId="19209" priority="2480" operator="lessThan">
      <formula>0.8</formula>
    </cfRule>
    <cfRule type="cellIs" dxfId="19208" priority="2481" operator="greaterThan">
      <formula>1</formula>
    </cfRule>
  </conditionalFormatting>
  <conditionalFormatting sqref="R31">
    <cfRule type="cellIs" dxfId="19207" priority="2478" operator="greaterThan">
      <formula>1</formula>
    </cfRule>
    <cfRule type="cellIs" dxfId="19206" priority="2479" operator="lessThan">
      <formula>0.8</formula>
    </cfRule>
  </conditionalFormatting>
  <conditionalFormatting sqref="P31">
    <cfRule type="cellIs" dxfId="19205" priority="2477" operator="greaterThan">
      <formula>0</formula>
    </cfRule>
  </conditionalFormatting>
  <conditionalFormatting sqref="Q31">
    <cfRule type="cellIs" dxfId="19204" priority="2475" operator="lessThan">
      <formula>0</formula>
    </cfRule>
  </conditionalFormatting>
  <conditionalFormatting sqref="R31">
    <cfRule type="cellIs" dxfId="19203" priority="2473" operator="lessThan">
      <formula>0.8</formula>
    </cfRule>
    <cfRule type="cellIs" dxfId="19202" priority="2474" operator="greaterThan">
      <formula>1</formula>
    </cfRule>
  </conditionalFormatting>
  <conditionalFormatting sqref="R31">
    <cfRule type="cellIs" dxfId="19201" priority="2471" operator="greaterThan">
      <formula>1</formula>
    </cfRule>
    <cfRule type="cellIs" dxfId="19200" priority="2472" operator="lessThan">
      <formula>0.8</formula>
    </cfRule>
  </conditionalFormatting>
  <conditionalFormatting sqref="P31">
    <cfRule type="cellIs" dxfId="19199" priority="2470" operator="greaterThan">
      <formula>0</formula>
    </cfRule>
  </conditionalFormatting>
  <conditionalFormatting sqref="Q31">
    <cfRule type="cellIs" dxfId="19198" priority="2469" operator="lessThan">
      <formula>0</formula>
    </cfRule>
  </conditionalFormatting>
  <conditionalFormatting sqref="R31">
    <cfRule type="cellIs" dxfId="19197" priority="2467" operator="lessThan">
      <formula>0.8</formula>
    </cfRule>
    <cfRule type="cellIs" dxfId="19196" priority="2468" operator="greaterThan">
      <formula>1</formula>
    </cfRule>
  </conditionalFormatting>
  <conditionalFormatting sqref="R31">
    <cfRule type="cellIs" dxfId="19195" priority="2465" operator="greaterThan">
      <formula>1</formula>
    </cfRule>
    <cfRule type="cellIs" dxfId="19194" priority="2466" operator="lessThan">
      <formula>0.8</formula>
    </cfRule>
  </conditionalFormatting>
  <conditionalFormatting sqref="P31">
    <cfRule type="cellIs" dxfId="19193" priority="2464" operator="greaterThan">
      <formula>0</formula>
    </cfRule>
  </conditionalFormatting>
  <conditionalFormatting sqref="Q31">
    <cfRule type="cellIs" dxfId="19192" priority="2463" operator="lessThan">
      <formula>0</formula>
    </cfRule>
  </conditionalFormatting>
  <conditionalFormatting sqref="R31">
    <cfRule type="cellIs" dxfId="19191" priority="2461" operator="lessThan">
      <formula>0.8</formula>
    </cfRule>
    <cfRule type="cellIs" dxfId="19190" priority="2462" operator="greaterThan">
      <formula>1</formula>
    </cfRule>
  </conditionalFormatting>
  <conditionalFormatting sqref="R31">
    <cfRule type="cellIs" dxfId="19189" priority="2459" operator="greaterThan">
      <formula>1</formula>
    </cfRule>
    <cfRule type="cellIs" dxfId="19188" priority="2460" operator="lessThan">
      <formula>0.8</formula>
    </cfRule>
  </conditionalFormatting>
  <conditionalFormatting sqref="P31">
    <cfRule type="cellIs" dxfId="19187" priority="2458" operator="greaterThan">
      <formula>0</formula>
    </cfRule>
  </conditionalFormatting>
  <conditionalFormatting sqref="Q31">
    <cfRule type="cellIs" dxfId="19186" priority="2457" operator="lessThan">
      <formula>0</formula>
    </cfRule>
  </conditionalFormatting>
  <conditionalFormatting sqref="R31">
    <cfRule type="cellIs" dxfId="19185" priority="2455" operator="lessThan">
      <formula>0.8</formula>
    </cfRule>
    <cfRule type="cellIs" dxfId="19184" priority="2456" operator="greaterThan">
      <formula>1</formula>
    </cfRule>
  </conditionalFormatting>
  <conditionalFormatting sqref="R31">
    <cfRule type="cellIs" dxfId="19183" priority="2453" operator="greaterThan">
      <formula>1</formula>
    </cfRule>
    <cfRule type="cellIs" dxfId="19182" priority="2454" operator="lessThan">
      <formula>0.8</formula>
    </cfRule>
  </conditionalFormatting>
  <conditionalFormatting sqref="P31">
    <cfRule type="cellIs" dxfId="19181" priority="2452" operator="greaterThan">
      <formula>0</formula>
    </cfRule>
  </conditionalFormatting>
  <conditionalFormatting sqref="Q31">
    <cfRule type="cellIs" dxfId="19180" priority="2451" operator="lessThan">
      <formula>0</formula>
    </cfRule>
  </conditionalFormatting>
  <conditionalFormatting sqref="R31">
    <cfRule type="cellIs" dxfId="19179" priority="2449" operator="lessThan">
      <formula>0.8</formula>
    </cfRule>
    <cfRule type="cellIs" dxfId="19178" priority="2450" operator="greaterThan">
      <formula>1</formula>
    </cfRule>
  </conditionalFormatting>
  <conditionalFormatting sqref="R31">
    <cfRule type="cellIs" dxfId="19177" priority="2447" operator="greaterThan">
      <formula>1</formula>
    </cfRule>
    <cfRule type="cellIs" dxfId="19176" priority="2448" operator="lessThan">
      <formula>0.8</formula>
    </cfRule>
  </conditionalFormatting>
  <conditionalFormatting sqref="P31">
    <cfRule type="cellIs" dxfId="19175" priority="2446" operator="greaterThan">
      <formula>0</formula>
    </cfRule>
  </conditionalFormatting>
  <conditionalFormatting sqref="P31">
    <cfRule type="cellIs" dxfId="19174" priority="2440" operator="greaterThan">
      <formula>0</formula>
    </cfRule>
  </conditionalFormatting>
  <conditionalFormatting sqref="Q31">
    <cfRule type="cellIs" dxfId="19173" priority="2445" operator="lessThan">
      <formula>0</formula>
    </cfRule>
  </conditionalFormatting>
  <conditionalFormatting sqref="R31">
    <cfRule type="cellIs" dxfId="19172" priority="2443" operator="lessThan">
      <formula>0.8</formula>
    </cfRule>
    <cfRule type="cellIs" dxfId="19171" priority="2444" operator="greaterThan">
      <formula>1</formula>
    </cfRule>
  </conditionalFormatting>
  <conditionalFormatting sqref="R31">
    <cfRule type="cellIs" dxfId="19170" priority="2441" operator="greaterThan">
      <formula>1</formula>
    </cfRule>
    <cfRule type="cellIs" dxfId="19169" priority="2442" operator="lessThan">
      <formula>0.8</formula>
    </cfRule>
  </conditionalFormatting>
  <conditionalFormatting sqref="P31">
    <cfRule type="cellIs" dxfId="19168" priority="2434" operator="greaterThan">
      <formula>0</formula>
    </cfRule>
  </conditionalFormatting>
  <conditionalFormatting sqref="Q31">
    <cfRule type="cellIs" dxfId="19167" priority="2439" operator="lessThan">
      <formula>0</formula>
    </cfRule>
  </conditionalFormatting>
  <conditionalFormatting sqref="R31">
    <cfRule type="cellIs" dxfId="19166" priority="2437" operator="lessThan">
      <formula>0.8</formula>
    </cfRule>
    <cfRule type="cellIs" dxfId="19165" priority="2438" operator="greaterThan">
      <formula>1</formula>
    </cfRule>
  </conditionalFormatting>
  <conditionalFormatting sqref="R31">
    <cfRule type="cellIs" dxfId="19164" priority="2435" operator="greaterThan">
      <formula>1</formula>
    </cfRule>
    <cfRule type="cellIs" dxfId="19163" priority="2436" operator="lessThan">
      <formula>0.8</formula>
    </cfRule>
  </conditionalFormatting>
  <conditionalFormatting sqref="R31">
    <cfRule type="cellIs" dxfId="19162" priority="2431" operator="lessThan">
      <formula>0.8</formula>
    </cfRule>
    <cfRule type="cellIs" dxfId="19161" priority="2432" operator="greaterThan">
      <formula>1</formula>
    </cfRule>
  </conditionalFormatting>
  <conditionalFormatting sqref="R31">
    <cfRule type="cellIs" dxfId="19160" priority="2429" operator="greaterThan">
      <formula>1</formula>
    </cfRule>
    <cfRule type="cellIs" dxfId="19159" priority="2430" operator="lessThan">
      <formula>0.8</formula>
    </cfRule>
  </conditionalFormatting>
  <conditionalFormatting sqref="P31">
    <cfRule type="cellIs" dxfId="19158" priority="2428" operator="greaterThan">
      <formula>0</formula>
    </cfRule>
  </conditionalFormatting>
  <conditionalFormatting sqref="Q31">
    <cfRule type="cellIs" dxfId="19157" priority="2433" operator="lessThan">
      <formula>0</formula>
    </cfRule>
  </conditionalFormatting>
  <conditionalFormatting sqref="Q31">
    <cfRule type="cellIs" dxfId="19156" priority="2427" operator="lessThan">
      <formula>0</formula>
    </cfRule>
  </conditionalFormatting>
  <conditionalFormatting sqref="R31">
    <cfRule type="cellIs" dxfId="19155" priority="2425" operator="lessThan">
      <formula>0.8</formula>
    </cfRule>
    <cfRule type="cellIs" dxfId="19154" priority="2426" operator="greaterThan">
      <formula>1</formula>
    </cfRule>
  </conditionalFormatting>
  <conditionalFormatting sqref="R31">
    <cfRule type="cellIs" dxfId="19153" priority="2423" operator="greaterThan">
      <formula>1</formula>
    </cfRule>
    <cfRule type="cellIs" dxfId="19152" priority="2424" operator="lessThan">
      <formula>0.8</formula>
    </cfRule>
  </conditionalFormatting>
  <conditionalFormatting sqref="P31">
    <cfRule type="cellIs" dxfId="19151" priority="2422" operator="greaterThan">
      <formula>0</formula>
    </cfRule>
  </conditionalFormatting>
  <conditionalFormatting sqref="Q31">
    <cfRule type="cellIs" dxfId="19150" priority="2421" operator="lessThan">
      <formula>0</formula>
    </cfRule>
  </conditionalFormatting>
  <conditionalFormatting sqref="R31">
    <cfRule type="cellIs" dxfId="19149" priority="2419" operator="lessThan">
      <formula>0.8</formula>
    </cfRule>
    <cfRule type="cellIs" dxfId="19148" priority="2420" operator="greaterThan">
      <formula>1</formula>
    </cfRule>
  </conditionalFormatting>
  <conditionalFormatting sqref="R31">
    <cfRule type="cellIs" dxfId="19147" priority="2417" operator="greaterThan">
      <formula>1</formula>
    </cfRule>
    <cfRule type="cellIs" dxfId="19146" priority="2418" operator="lessThan">
      <formula>0.8</formula>
    </cfRule>
  </conditionalFormatting>
  <conditionalFormatting sqref="P31">
    <cfRule type="cellIs" dxfId="19145" priority="2416" operator="greaterThan">
      <formula>0</formula>
    </cfRule>
  </conditionalFormatting>
  <conditionalFormatting sqref="Q31">
    <cfRule type="cellIs" dxfId="19144" priority="2415" operator="lessThan">
      <formula>0</formula>
    </cfRule>
  </conditionalFormatting>
  <conditionalFormatting sqref="R31">
    <cfRule type="cellIs" dxfId="19143" priority="2413" operator="lessThan">
      <formula>0.8</formula>
    </cfRule>
    <cfRule type="cellIs" dxfId="19142" priority="2414" operator="greaterThan">
      <formula>1</formula>
    </cfRule>
  </conditionalFormatting>
  <conditionalFormatting sqref="R31">
    <cfRule type="cellIs" dxfId="19141" priority="2411" operator="greaterThan">
      <formula>1</formula>
    </cfRule>
    <cfRule type="cellIs" dxfId="19140" priority="2412" operator="lessThan">
      <formula>0.8</formula>
    </cfRule>
  </conditionalFormatting>
  <conditionalFormatting sqref="P31">
    <cfRule type="cellIs" dxfId="19139" priority="2410" operator="greaterThan">
      <formula>0</formula>
    </cfRule>
  </conditionalFormatting>
  <conditionalFormatting sqref="Q31">
    <cfRule type="cellIs" dxfId="19138" priority="2409" operator="lessThan">
      <formula>0</formula>
    </cfRule>
  </conditionalFormatting>
  <conditionalFormatting sqref="R31">
    <cfRule type="cellIs" dxfId="19137" priority="2407" operator="lessThan">
      <formula>0.8</formula>
    </cfRule>
    <cfRule type="cellIs" dxfId="19136" priority="2408" operator="greaterThan">
      <formula>1</formula>
    </cfRule>
  </conditionalFormatting>
  <conditionalFormatting sqref="R31">
    <cfRule type="cellIs" dxfId="19135" priority="2405" operator="greaterThan">
      <formula>1</formula>
    </cfRule>
    <cfRule type="cellIs" dxfId="19134" priority="2406" operator="lessThan">
      <formula>0.8</formula>
    </cfRule>
  </conditionalFormatting>
  <conditionalFormatting sqref="P31">
    <cfRule type="cellIs" dxfId="19133" priority="2404" operator="greaterThan">
      <formula>0</formula>
    </cfRule>
  </conditionalFormatting>
  <conditionalFormatting sqref="P31">
    <cfRule type="cellIs" dxfId="19132" priority="2398" operator="greaterThan">
      <formula>0</formula>
    </cfRule>
  </conditionalFormatting>
  <conditionalFormatting sqref="Q31">
    <cfRule type="cellIs" dxfId="19131" priority="2403" operator="lessThan">
      <formula>0</formula>
    </cfRule>
  </conditionalFormatting>
  <conditionalFormatting sqref="R31">
    <cfRule type="cellIs" dxfId="19130" priority="2401" operator="lessThan">
      <formula>0.8</formula>
    </cfRule>
    <cfRule type="cellIs" dxfId="19129" priority="2402" operator="greaterThan">
      <formula>1</formula>
    </cfRule>
  </conditionalFormatting>
  <conditionalFormatting sqref="R31">
    <cfRule type="cellIs" dxfId="19128" priority="2399" operator="greaterThan">
      <formula>1</formula>
    </cfRule>
    <cfRule type="cellIs" dxfId="19127" priority="2400" operator="lessThan">
      <formula>0.8</formula>
    </cfRule>
  </conditionalFormatting>
  <conditionalFormatting sqref="P31">
    <cfRule type="cellIs" dxfId="19126" priority="2392" operator="greaterThan">
      <formula>0</formula>
    </cfRule>
  </conditionalFormatting>
  <conditionalFormatting sqref="Q31">
    <cfRule type="cellIs" dxfId="19125" priority="2397" operator="lessThan">
      <formula>0</formula>
    </cfRule>
  </conditionalFormatting>
  <conditionalFormatting sqref="R31">
    <cfRule type="cellIs" dxfId="19124" priority="2395" operator="lessThan">
      <formula>0.8</formula>
    </cfRule>
    <cfRule type="cellIs" dxfId="19123" priority="2396" operator="greaterThan">
      <formula>1</formula>
    </cfRule>
  </conditionalFormatting>
  <conditionalFormatting sqref="R31">
    <cfRule type="cellIs" dxfId="19122" priority="2393" operator="greaterThan">
      <formula>1</formula>
    </cfRule>
    <cfRule type="cellIs" dxfId="19121" priority="2394" operator="lessThan">
      <formula>0.8</formula>
    </cfRule>
  </conditionalFormatting>
  <conditionalFormatting sqref="R31">
    <cfRule type="cellIs" dxfId="19120" priority="2389" operator="lessThan">
      <formula>0.8</formula>
    </cfRule>
    <cfRule type="cellIs" dxfId="19119" priority="2390" operator="greaterThan">
      <formula>1</formula>
    </cfRule>
  </conditionalFormatting>
  <conditionalFormatting sqref="R31">
    <cfRule type="cellIs" dxfId="19118" priority="2387" operator="greaterThan">
      <formula>1</formula>
    </cfRule>
    <cfRule type="cellIs" dxfId="19117" priority="2388" operator="lessThan">
      <formula>0.8</formula>
    </cfRule>
  </conditionalFormatting>
  <conditionalFormatting sqref="P31">
    <cfRule type="cellIs" dxfId="19116" priority="2386" operator="greaterThan">
      <formula>0</formula>
    </cfRule>
  </conditionalFormatting>
  <conditionalFormatting sqref="Q31">
    <cfRule type="cellIs" dxfId="19115" priority="2391" operator="lessThan">
      <formula>0</formula>
    </cfRule>
  </conditionalFormatting>
  <conditionalFormatting sqref="Q31">
    <cfRule type="cellIs" dxfId="19114" priority="2385" operator="lessThan">
      <formula>0</formula>
    </cfRule>
  </conditionalFormatting>
  <conditionalFormatting sqref="R31">
    <cfRule type="cellIs" dxfId="19113" priority="2383" operator="lessThan">
      <formula>0.8</formula>
    </cfRule>
    <cfRule type="cellIs" dxfId="19112" priority="2384" operator="greaterThan">
      <formula>1</formula>
    </cfRule>
  </conditionalFormatting>
  <conditionalFormatting sqref="R31">
    <cfRule type="cellIs" dxfId="19111" priority="2381" operator="greaterThan">
      <formula>1</formula>
    </cfRule>
    <cfRule type="cellIs" dxfId="19110" priority="2382" operator="lessThan">
      <formula>0.8</formula>
    </cfRule>
  </conditionalFormatting>
  <conditionalFormatting sqref="P31">
    <cfRule type="cellIs" dxfId="19109" priority="2380" operator="greaterThan">
      <formula>0</formula>
    </cfRule>
  </conditionalFormatting>
  <conditionalFormatting sqref="P31">
    <cfRule type="cellIs" dxfId="19108" priority="2374" operator="greaterThan">
      <formula>0</formula>
    </cfRule>
  </conditionalFormatting>
  <conditionalFormatting sqref="Q31">
    <cfRule type="cellIs" dxfId="19107" priority="2379" operator="lessThan">
      <formula>0</formula>
    </cfRule>
  </conditionalFormatting>
  <conditionalFormatting sqref="R31">
    <cfRule type="cellIs" dxfId="19106" priority="2377" operator="lessThan">
      <formula>0.8</formula>
    </cfRule>
    <cfRule type="cellIs" dxfId="19105" priority="2378" operator="greaterThan">
      <formula>1</formula>
    </cfRule>
  </conditionalFormatting>
  <conditionalFormatting sqref="R31">
    <cfRule type="cellIs" dxfId="19104" priority="2375" operator="greaterThan">
      <formula>1</formula>
    </cfRule>
    <cfRule type="cellIs" dxfId="19103" priority="2376" operator="lessThan">
      <formula>0.8</formula>
    </cfRule>
  </conditionalFormatting>
  <conditionalFormatting sqref="P31">
    <cfRule type="cellIs" dxfId="19102" priority="2368" operator="greaterThan">
      <formula>0</formula>
    </cfRule>
  </conditionalFormatting>
  <conditionalFormatting sqref="Q31">
    <cfRule type="cellIs" dxfId="19101" priority="2373" operator="lessThan">
      <formula>0</formula>
    </cfRule>
  </conditionalFormatting>
  <conditionalFormatting sqref="R31">
    <cfRule type="cellIs" dxfId="19100" priority="2371" operator="lessThan">
      <formula>0.8</formula>
    </cfRule>
    <cfRule type="cellIs" dxfId="19099" priority="2372" operator="greaterThan">
      <formula>1</formula>
    </cfRule>
  </conditionalFormatting>
  <conditionalFormatting sqref="R31">
    <cfRule type="cellIs" dxfId="19098" priority="2369" operator="greaterThan">
      <formula>1</formula>
    </cfRule>
    <cfRule type="cellIs" dxfId="19097" priority="2370" operator="lessThan">
      <formula>0.8</formula>
    </cfRule>
  </conditionalFormatting>
  <conditionalFormatting sqref="R31">
    <cfRule type="cellIs" dxfId="19096" priority="2365" operator="lessThan">
      <formula>0.8</formula>
    </cfRule>
    <cfRule type="cellIs" dxfId="19095" priority="2366" operator="greaterThan">
      <formula>1</formula>
    </cfRule>
  </conditionalFormatting>
  <conditionalFormatting sqref="R31">
    <cfRule type="cellIs" dxfId="19094" priority="2363" operator="greaterThan">
      <formula>1</formula>
    </cfRule>
    <cfRule type="cellIs" dxfId="19093" priority="2364" operator="lessThan">
      <formula>0.8</formula>
    </cfRule>
  </conditionalFormatting>
  <conditionalFormatting sqref="P31">
    <cfRule type="cellIs" dxfId="19092" priority="2362" operator="greaterThan">
      <formula>0</formula>
    </cfRule>
  </conditionalFormatting>
  <conditionalFormatting sqref="Q31">
    <cfRule type="cellIs" dxfId="19091" priority="2367" operator="lessThan">
      <formula>0</formula>
    </cfRule>
  </conditionalFormatting>
  <conditionalFormatting sqref="P31">
    <cfRule type="cellIs" dxfId="19090" priority="2356" operator="greaterThan">
      <formula>0</formula>
    </cfRule>
  </conditionalFormatting>
  <conditionalFormatting sqref="Q31">
    <cfRule type="cellIs" dxfId="19089" priority="2361" operator="lessThan">
      <formula>0</formula>
    </cfRule>
  </conditionalFormatting>
  <conditionalFormatting sqref="R31">
    <cfRule type="cellIs" dxfId="19088" priority="2359" operator="lessThan">
      <formula>0.8</formula>
    </cfRule>
    <cfRule type="cellIs" dxfId="19087" priority="2360" operator="greaterThan">
      <formula>1</formula>
    </cfRule>
  </conditionalFormatting>
  <conditionalFormatting sqref="R31">
    <cfRule type="cellIs" dxfId="19086" priority="2357" operator="greaterThan">
      <formula>1</formula>
    </cfRule>
    <cfRule type="cellIs" dxfId="19085" priority="2358" operator="lessThan">
      <formula>0.8</formula>
    </cfRule>
  </conditionalFormatting>
  <conditionalFormatting sqref="R31">
    <cfRule type="cellIs" dxfId="19084" priority="2353" operator="lessThan">
      <formula>0.8</formula>
    </cfRule>
    <cfRule type="cellIs" dxfId="19083" priority="2354" operator="greaterThan">
      <formula>1</formula>
    </cfRule>
  </conditionalFormatting>
  <conditionalFormatting sqref="R31">
    <cfRule type="cellIs" dxfId="19082" priority="2351" operator="greaterThan">
      <formula>1</formula>
    </cfRule>
    <cfRule type="cellIs" dxfId="19081" priority="2352" operator="lessThan">
      <formula>0.8</formula>
    </cfRule>
  </conditionalFormatting>
  <conditionalFormatting sqref="P31">
    <cfRule type="cellIs" dxfId="19080" priority="2350" operator="greaterThan">
      <formula>0</formula>
    </cfRule>
  </conditionalFormatting>
  <conditionalFormatting sqref="Q31">
    <cfRule type="cellIs" dxfId="19079" priority="2355" operator="lessThan">
      <formula>0</formula>
    </cfRule>
  </conditionalFormatting>
  <conditionalFormatting sqref="R31">
    <cfRule type="cellIs" dxfId="19078" priority="2347" operator="lessThan">
      <formula>0.8</formula>
    </cfRule>
    <cfRule type="cellIs" dxfId="19077" priority="2348" operator="greaterThan">
      <formula>1</formula>
    </cfRule>
  </conditionalFormatting>
  <conditionalFormatting sqref="R31">
    <cfRule type="cellIs" dxfId="19076" priority="2345" operator="greaterThan">
      <formula>1</formula>
    </cfRule>
    <cfRule type="cellIs" dxfId="19075" priority="2346" operator="lessThan">
      <formula>0.8</formula>
    </cfRule>
  </conditionalFormatting>
  <conditionalFormatting sqref="P31">
    <cfRule type="cellIs" dxfId="19074" priority="2344" operator="greaterThan">
      <formula>0</formula>
    </cfRule>
  </conditionalFormatting>
  <conditionalFormatting sqref="Q31">
    <cfRule type="cellIs" dxfId="19073" priority="2349" operator="lessThan">
      <formula>0</formula>
    </cfRule>
  </conditionalFormatting>
  <conditionalFormatting sqref="Q31">
    <cfRule type="cellIs" dxfId="19072" priority="2343" operator="lessThan">
      <formula>0</formula>
    </cfRule>
  </conditionalFormatting>
  <conditionalFormatting sqref="R31">
    <cfRule type="cellIs" dxfId="19071" priority="2341" operator="lessThan">
      <formula>0.8</formula>
    </cfRule>
    <cfRule type="cellIs" dxfId="19070" priority="2342" operator="greaterThan">
      <formula>1</formula>
    </cfRule>
  </conditionalFormatting>
  <conditionalFormatting sqref="R31">
    <cfRule type="cellIs" dxfId="19069" priority="2339" operator="greaterThan">
      <formula>1</formula>
    </cfRule>
    <cfRule type="cellIs" dxfId="19068" priority="2340" operator="lessThan">
      <formula>0.8</formula>
    </cfRule>
  </conditionalFormatting>
  <conditionalFormatting sqref="P31">
    <cfRule type="cellIs" dxfId="19067" priority="2338" operator="greaterThan">
      <formula>0</formula>
    </cfRule>
  </conditionalFormatting>
  <conditionalFormatting sqref="Q31">
    <cfRule type="cellIs" dxfId="19066" priority="2332" operator="lessThan">
      <formula>0</formula>
    </cfRule>
  </conditionalFormatting>
  <conditionalFormatting sqref="R31">
    <cfRule type="cellIs" dxfId="19065" priority="2336" operator="lessThan">
      <formula>0.8</formula>
    </cfRule>
    <cfRule type="cellIs" dxfId="19064" priority="2337" operator="greaterThan">
      <formula>1</formula>
    </cfRule>
  </conditionalFormatting>
  <conditionalFormatting sqref="R31">
    <cfRule type="cellIs" dxfId="19063" priority="2334" operator="greaterThan">
      <formula>1</formula>
    </cfRule>
    <cfRule type="cellIs" dxfId="19062" priority="2335" operator="lessThan">
      <formula>0.8</formula>
    </cfRule>
  </conditionalFormatting>
  <conditionalFormatting sqref="P31">
    <cfRule type="cellIs" dxfId="19061" priority="2333" operator="greaterThan">
      <formula>0</formula>
    </cfRule>
  </conditionalFormatting>
  <conditionalFormatting sqref="Q31">
    <cfRule type="cellIs" dxfId="19060" priority="2331" operator="lessThan">
      <formula>0</formula>
    </cfRule>
  </conditionalFormatting>
  <conditionalFormatting sqref="R31">
    <cfRule type="cellIs" dxfId="19059" priority="2329" operator="lessThan">
      <formula>0.8</formula>
    </cfRule>
    <cfRule type="cellIs" dxfId="19058" priority="2330" operator="greaterThan">
      <formula>1</formula>
    </cfRule>
  </conditionalFormatting>
  <conditionalFormatting sqref="R31">
    <cfRule type="cellIs" dxfId="19057" priority="2327" operator="greaterThan">
      <formula>1</formula>
    </cfRule>
    <cfRule type="cellIs" dxfId="19056" priority="2328" operator="lessThan">
      <formula>0.8</formula>
    </cfRule>
  </conditionalFormatting>
  <conditionalFormatting sqref="P31">
    <cfRule type="cellIs" dxfId="19055" priority="2326" operator="greaterThan">
      <formula>0</formula>
    </cfRule>
  </conditionalFormatting>
  <conditionalFormatting sqref="Q31">
    <cfRule type="cellIs" dxfId="19054" priority="2325" operator="lessThan">
      <formula>0</formula>
    </cfRule>
  </conditionalFormatting>
  <conditionalFormatting sqref="R31">
    <cfRule type="cellIs" dxfId="19053" priority="2323" operator="lessThan">
      <formula>0.8</formula>
    </cfRule>
    <cfRule type="cellIs" dxfId="19052" priority="2324" operator="greaterThan">
      <formula>1</formula>
    </cfRule>
  </conditionalFormatting>
  <conditionalFormatting sqref="R31">
    <cfRule type="cellIs" dxfId="19051" priority="2321" operator="greaterThan">
      <formula>1</formula>
    </cfRule>
    <cfRule type="cellIs" dxfId="19050" priority="2322" operator="lessThan">
      <formula>0.8</formula>
    </cfRule>
  </conditionalFormatting>
  <conditionalFormatting sqref="P31">
    <cfRule type="cellIs" dxfId="19049" priority="2320" operator="greaterThan">
      <formula>0</formula>
    </cfRule>
  </conditionalFormatting>
  <conditionalFormatting sqref="Q31">
    <cfRule type="cellIs" dxfId="19048" priority="2319" operator="lessThan">
      <formula>0</formula>
    </cfRule>
  </conditionalFormatting>
  <conditionalFormatting sqref="R31">
    <cfRule type="cellIs" dxfId="19047" priority="2317" operator="lessThan">
      <formula>0.8</formula>
    </cfRule>
    <cfRule type="cellIs" dxfId="19046" priority="2318" operator="greaterThan">
      <formula>1</formula>
    </cfRule>
  </conditionalFormatting>
  <conditionalFormatting sqref="R31">
    <cfRule type="cellIs" dxfId="19045" priority="2315" operator="greaterThan">
      <formula>1</formula>
    </cfRule>
    <cfRule type="cellIs" dxfId="19044" priority="2316" operator="lessThan">
      <formula>0.8</formula>
    </cfRule>
  </conditionalFormatting>
  <conditionalFormatting sqref="P31">
    <cfRule type="cellIs" dxfId="19043" priority="2314" operator="greaterThan">
      <formula>0</formula>
    </cfRule>
  </conditionalFormatting>
  <conditionalFormatting sqref="Q31">
    <cfRule type="cellIs" dxfId="19042" priority="2313" operator="lessThan">
      <formula>0</formula>
    </cfRule>
  </conditionalFormatting>
  <conditionalFormatting sqref="R31">
    <cfRule type="cellIs" dxfId="19041" priority="2311" operator="lessThan">
      <formula>0.8</formula>
    </cfRule>
    <cfRule type="cellIs" dxfId="19040" priority="2312" operator="greaterThan">
      <formula>1</formula>
    </cfRule>
  </conditionalFormatting>
  <conditionalFormatting sqref="R31">
    <cfRule type="cellIs" dxfId="19039" priority="2309" operator="greaterThan">
      <formula>1</formula>
    </cfRule>
    <cfRule type="cellIs" dxfId="19038" priority="2310" operator="lessThan">
      <formula>0.8</formula>
    </cfRule>
  </conditionalFormatting>
  <conditionalFormatting sqref="P31">
    <cfRule type="cellIs" dxfId="19037" priority="2308" operator="greaterThan">
      <formula>0</formula>
    </cfRule>
  </conditionalFormatting>
  <conditionalFormatting sqref="Q31">
    <cfRule type="cellIs" dxfId="19036" priority="2307" operator="lessThan">
      <formula>0</formula>
    </cfRule>
  </conditionalFormatting>
  <conditionalFormatting sqref="R31">
    <cfRule type="cellIs" dxfId="19035" priority="2305" operator="lessThan">
      <formula>0.8</formula>
    </cfRule>
    <cfRule type="cellIs" dxfId="19034" priority="2306" operator="greaterThan">
      <formula>1</formula>
    </cfRule>
  </conditionalFormatting>
  <conditionalFormatting sqref="R31">
    <cfRule type="cellIs" dxfId="19033" priority="2303" operator="greaterThan">
      <formula>1</formula>
    </cfRule>
    <cfRule type="cellIs" dxfId="19032" priority="2304" operator="lessThan">
      <formula>0.8</formula>
    </cfRule>
  </conditionalFormatting>
  <conditionalFormatting sqref="P31">
    <cfRule type="cellIs" dxfId="19031" priority="2302" operator="greaterThan">
      <formula>0</formula>
    </cfRule>
  </conditionalFormatting>
  <conditionalFormatting sqref="P31">
    <cfRule type="cellIs" dxfId="19030" priority="2296" operator="greaterThan">
      <formula>0</formula>
    </cfRule>
  </conditionalFormatting>
  <conditionalFormatting sqref="Q31">
    <cfRule type="cellIs" dxfId="19029" priority="2301" operator="lessThan">
      <formula>0</formula>
    </cfRule>
  </conditionalFormatting>
  <conditionalFormatting sqref="R31">
    <cfRule type="cellIs" dxfId="19028" priority="2299" operator="lessThan">
      <formula>0.8</formula>
    </cfRule>
    <cfRule type="cellIs" dxfId="19027" priority="2300" operator="greaterThan">
      <formula>1</formula>
    </cfRule>
  </conditionalFormatting>
  <conditionalFormatting sqref="R31">
    <cfRule type="cellIs" dxfId="19026" priority="2297" operator="greaterThan">
      <formula>1</formula>
    </cfRule>
    <cfRule type="cellIs" dxfId="19025" priority="2298" operator="lessThan">
      <formula>0.8</formula>
    </cfRule>
  </conditionalFormatting>
  <conditionalFormatting sqref="P31">
    <cfRule type="cellIs" dxfId="19024" priority="2290" operator="greaterThan">
      <formula>0</formula>
    </cfRule>
  </conditionalFormatting>
  <conditionalFormatting sqref="Q31">
    <cfRule type="cellIs" dxfId="19023" priority="2295" operator="lessThan">
      <formula>0</formula>
    </cfRule>
  </conditionalFormatting>
  <conditionalFormatting sqref="R31">
    <cfRule type="cellIs" dxfId="19022" priority="2293" operator="lessThan">
      <formula>0.8</formula>
    </cfRule>
    <cfRule type="cellIs" dxfId="19021" priority="2294" operator="greaterThan">
      <formula>1</formula>
    </cfRule>
  </conditionalFormatting>
  <conditionalFormatting sqref="R31">
    <cfRule type="cellIs" dxfId="19020" priority="2291" operator="greaterThan">
      <formula>1</formula>
    </cfRule>
    <cfRule type="cellIs" dxfId="19019" priority="2292" operator="lessThan">
      <formula>0.8</formula>
    </cfRule>
  </conditionalFormatting>
  <conditionalFormatting sqref="R31">
    <cfRule type="cellIs" dxfId="19018" priority="2287" operator="lessThan">
      <formula>0.8</formula>
    </cfRule>
    <cfRule type="cellIs" dxfId="19017" priority="2288" operator="greaterThan">
      <formula>1</formula>
    </cfRule>
  </conditionalFormatting>
  <conditionalFormatting sqref="R31">
    <cfRule type="cellIs" dxfId="19016" priority="2285" operator="greaterThan">
      <formula>1</formula>
    </cfRule>
    <cfRule type="cellIs" dxfId="19015" priority="2286" operator="lessThan">
      <formula>0.8</formula>
    </cfRule>
  </conditionalFormatting>
  <conditionalFormatting sqref="P31">
    <cfRule type="cellIs" dxfId="19014" priority="2284" operator="greaterThan">
      <formula>0</formula>
    </cfRule>
  </conditionalFormatting>
  <conditionalFormatting sqref="Q31">
    <cfRule type="cellIs" dxfId="19013" priority="2289" operator="lessThan">
      <formula>0</formula>
    </cfRule>
  </conditionalFormatting>
  <conditionalFormatting sqref="P79">
    <cfRule type="cellIs" dxfId="19012" priority="2278" operator="greaterThan">
      <formula>0</formula>
    </cfRule>
  </conditionalFormatting>
  <conditionalFormatting sqref="Q79">
    <cfRule type="cellIs" dxfId="19011" priority="2283" operator="lessThan">
      <formula>0</formula>
    </cfRule>
  </conditionalFormatting>
  <conditionalFormatting sqref="R79">
    <cfRule type="cellIs" dxfId="19010" priority="2281" operator="lessThan">
      <formula>0.8</formula>
    </cfRule>
    <cfRule type="cellIs" dxfId="19009" priority="2282" operator="greaterThan">
      <formula>1</formula>
    </cfRule>
  </conditionalFormatting>
  <conditionalFormatting sqref="R79">
    <cfRule type="cellIs" dxfId="19008" priority="2279" operator="greaterThan">
      <formula>1</formula>
    </cfRule>
    <cfRule type="cellIs" dxfId="19007" priority="2280" operator="lessThan">
      <formula>0.8</formula>
    </cfRule>
  </conditionalFormatting>
  <conditionalFormatting sqref="Q79">
    <cfRule type="cellIs" dxfId="19006" priority="2277" operator="lessThan">
      <formula>0</formula>
    </cfRule>
  </conditionalFormatting>
  <conditionalFormatting sqref="R79">
    <cfRule type="cellIs" dxfId="19005" priority="2275" operator="lessThan">
      <formula>0.8</formula>
    </cfRule>
    <cfRule type="cellIs" dxfId="19004" priority="2276" operator="greaterThan">
      <formula>1</formula>
    </cfRule>
  </conditionalFormatting>
  <conditionalFormatting sqref="R79">
    <cfRule type="cellIs" dxfId="19003" priority="2273" operator="greaterThan">
      <formula>1</formula>
    </cfRule>
    <cfRule type="cellIs" dxfId="19002" priority="2274" operator="lessThan">
      <formula>0.8</formula>
    </cfRule>
  </conditionalFormatting>
  <conditionalFormatting sqref="P79">
    <cfRule type="cellIs" dxfId="19001" priority="2272" operator="greaterThan">
      <formula>0</formula>
    </cfRule>
  </conditionalFormatting>
  <conditionalFormatting sqref="P79">
    <cfRule type="cellIs" dxfId="19000" priority="2266" operator="greaterThan">
      <formula>0</formula>
    </cfRule>
  </conditionalFormatting>
  <conditionalFormatting sqref="Q79">
    <cfRule type="cellIs" dxfId="18999" priority="2271" operator="lessThan">
      <formula>0</formula>
    </cfRule>
  </conditionalFormatting>
  <conditionalFormatting sqref="R79">
    <cfRule type="cellIs" dxfId="18998" priority="2269" operator="lessThan">
      <formula>0.8</formula>
    </cfRule>
    <cfRule type="cellIs" dxfId="18997" priority="2270" operator="greaterThan">
      <formula>1</formula>
    </cfRule>
  </conditionalFormatting>
  <conditionalFormatting sqref="R79">
    <cfRule type="cellIs" dxfId="18996" priority="2267" operator="greaterThan">
      <formula>1</formula>
    </cfRule>
    <cfRule type="cellIs" dxfId="18995" priority="2268" operator="lessThan">
      <formula>0.8</formula>
    </cfRule>
  </conditionalFormatting>
  <conditionalFormatting sqref="Q79">
    <cfRule type="cellIs" dxfId="18994" priority="2260" operator="lessThan">
      <formula>0</formula>
    </cfRule>
  </conditionalFormatting>
  <conditionalFormatting sqref="P79">
    <cfRule type="cellIs" dxfId="18993" priority="2261" operator="greaterThan">
      <formula>0</formula>
    </cfRule>
  </conditionalFormatting>
  <conditionalFormatting sqref="R79">
    <cfRule type="cellIs" dxfId="18992" priority="2264" operator="lessThan">
      <formula>0.8</formula>
    </cfRule>
    <cfRule type="cellIs" dxfId="18991" priority="2265" operator="greaterThan">
      <formula>1</formula>
    </cfRule>
  </conditionalFormatting>
  <conditionalFormatting sqref="R79">
    <cfRule type="cellIs" dxfId="18990" priority="2262" operator="greaterThan">
      <formula>1</formula>
    </cfRule>
    <cfRule type="cellIs" dxfId="18989" priority="2263" operator="lessThan">
      <formula>0.8</formula>
    </cfRule>
  </conditionalFormatting>
  <conditionalFormatting sqref="Q79">
    <cfRule type="cellIs" dxfId="18988" priority="2254" operator="lessThan">
      <formula>0</formula>
    </cfRule>
  </conditionalFormatting>
  <conditionalFormatting sqref="R79">
    <cfRule type="cellIs" dxfId="18987" priority="2258" operator="lessThan">
      <formula>0.8</formula>
    </cfRule>
    <cfRule type="cellIs" dxfId="18986" priority="2259" operator="greaterThan">
      <formula>1</formula>
    </cfRule>
  </conditionalFormatting>
  <conditionalFormatting sqref="R79">
    <cfRule type="cellIs" dxfId="18985" priority="2256" operator="greaterThan">
      <formula>1</formula>
    </cfRule>
    <cfRule type="cellIs" dxfId="18984" priority="2257" operator="lessThan">
      <formula>0.8</formula>
    </cfRule>
  </conditionalFormatting>
  <conditionalFormatting sqref="P79">
    <cfRule type="cellIs" dxfId="18983" priority="2255" operator="greaterThan">
      <formula>0</formula>
    </cfRule>
  </conditionalFormatting>
  <conditionalFormatting sqref="Q79">
    <cfRule type="cellIs" dxfId="18982" priority="2253" operator="lessThan">
      <formula>0</formula>
    </cfRule>
  </conditionalFormatting>
  <conditionalFormatting sqref="R79">
    <cfRule type="cellIs" dxfId="18981" priority="2251" operator="lessThan">
      <formula>0.8</formula>
    </cfRule>
    <cfRule type="cellIs" dxfId="18980" priority="2252" operator="greaterThan">
      <formula>1</formula>
    </cfRule>
  </conditionalFormatting>
  <conditionalFormatting sqref="R79">
    <cfRule type="cellIs" dxfId="18979" priority="2249" operator="greaterThan">
      <formula>1</formula>
    </cfRule>
    <cfRule type="cellIs" dxfId="18978" priority="2250" operator="lessThan">
      <formula>0.8</formula>
    </cfRule>
  </conditionalFormatting>
  <conditionalFormatting sqref="P79">
    <cfRule type="cellIs" dxfId="18977" priority="2248" operator="greaterThan">
      <formula>0</formula>
    </cfRule>
  </conditionalFormatting>
  <conditionalFormatting sqref="Q79">
    <cfRule type="cellIs" dxfId="18976" priority="2247" operator="lessThan">
      <formula>0</formula>
    </cfRule>
  </conditionalFormatting>
  <conditionalFormatting sqref="R79">
    <cfRule type="cellIs" dxfId="18975" priority="2245" operator="lessThan">
      <formula>0.8</formula>
    </cfRule>
    <cfRule type="cellIs" dxfId="18974" priority="2246" operator="greaterThan">
      <formula>1</formula>
    </cfRule>
  </conditionalFormatting>
  <conditionalFormatting sqref="R79">
    <cfRule type="cellIs" dxfId="18973" priority="2243" operator="greaterThan">
      <formula>1</formula>
    </cfRule>
    <cfRule type="cellIs" dxfId="18972" priority="2244" operator="lessThan">
      <formula>0.8</formula>
    </cfRule>
  </conditionalFormatting>
  <conditionalFormatting sqref="P79">
    <cfRule type="cellIs" dxfId="18971" priority="2242" operator="greaterThan">
      <formula>0</formula>
    </cfRule>
  </conditionalFormatting>
  <conditionalFormatting sqref="P79">
    <cfRule type="cellIs" dxfId="18970" priority="2236" operator="greaterThan">
      <formula>0</formula>
    </cfRule>
  </conditionalFormatting>
  <conditionalFormatting sqref="Q79">
    <cfRule type="cellIs" dxfId="18969" priority="2241" operator="lessThan">
      <formula>0</formula>
    </cfRule>
  </conditionalFormatting>
  <conditionalFormatting sqref="R79">
    <cfRule type="cellIs" dxfId="18968" priority="2239" operator="lessThan">
      <formula>0.8</formula>
    </cfRule>
    <cfRule type="cellIs" dxfId="18967" priority="2240" operator="greaterThan">
      <formula>1</formula>
    </cfRule>
  </conditionalFormatting>
  <conditionalFormatting sqref="R79">
    <cfRule type="cellIs" dxfId="18966" priority="2237" operator="greaterThan">
      <formula>1</formula>
    </cfRule>
    <cfRule type="cellIs" dxfId="18965" priority="2238" operator="lessThan">
      <formula>0.8</formula>
    </cfRule>
  </conditionalFormatting>
  <conditionalFormatting sqref="P71:P78">
    <cfRule type="cellIs" dxfId="18964" priority="2230" operator="greaterThan">
      <formula>0</formula>
    </cfRule>
  </conditionalFormatting>
  <conditionalFormatting sqref="Q71:Q78">
    <cfRule type="cellIs" dxfId="18963" priority="2235" operator="lessThan">
      <formula>0</formula>
    </cfRule>
  </conditionalFormatting>
  <conditionalFormatting sqref="R71:R78">
    <cfRule type="cellIs" dxfId="18962" priority="2233" operator="lessThan">
      <formula>0.8</formula>
    </cfRule>
    <cfRule type="cellIs" dxfId="18961" priority="2234" operator="greaterThan">
      <formula>1</formula>
    </cfRule>
  </conditionalFormatting>
  <conditionalFormatting sqref="R71:R78">
    <cfRule type="cellIs" dxfId="18960" priority="2231" operator="greaterThan">
      <formula>1</formula>
    </cfRule>
    <cfRule type="cellIs" dxfId="18959" priority="2232" operator="lessThan">
      <formula>0.8</formula>
    </cfRule>
  </conditionalFormatting>
  <conditionalFormatting sqref="Q148:Q153">
    <cfRule type="cellIs" dxfId="18958" priority="2229" operator="lessThan">
      <formula>0</formula>
    </cfRule>
  </conditionalFormatting>
  <conditionalFormatting sqref="R148:R153">
    <cfRule type="cellIs" dxfId="18957" priority="2227" operator="lessThan">
      <formula>0.8</formula>
    </cfRule>
    <cfRule type="cellIs" dxfId="18956" priority="2228" operator="greaterThan">
      <formula>1</formula>
    </cfRule>
  </conditionalFormatting>
  <conditionalFormatting sqref="R148:R153">
    <cfRule type="cellIs" dxfId="18955" priority="2225" operator="greaterThan">
      <formula>1</formula>
    </cfRule>
    <cfRule type="cellIs" dxfId="18954" priority="2226" operator="lessThan">
      <formula>0.8</formula>
    </cfRule>
  </conditionalFormatting>
  <conditionalFormatting sqref="P148:P153">
    <cfRule type="cellIs" dxfId="18953" priority="2224" operator="greaterThan">
      <formula>0</formula>
    </cfRule>
  </conditionalFormatting>
  <conditionalFormatting sqref="Q148:Q153">
    <cfRule type="cellIs" dxfId="18952" priority="2223" operator="lessThan">
      <formula>0</formula>
    </cfRule>
  </conditionalFormatting>
  <conditionalFormatting sqref="R148:R153">
    <cfRule type="cellIs" dxfId="18951" priority="2221" operator="lessThan">
      <formula>0.8</formula>
    </cfRule>
    <cfRule type="cellIs" dxfId="18950" priority="2222" operator="greaterThan">
      <formula>1</formula>
    </cfRule>
  </conditionalFormatting>
  <conditionalFormatting sqref="R148:R153">
    <cfRule type="cellIs" dxfId="18949" priority="2219" operator="greaterThan">
      <formula>1</formula>
    </cfRule>
    <cfRule type="cellIs" dxfId="18948" priority="2220" operator="lessThan">
      <formula>0.8</formula>
    </cfRule>
  </conditionalFormatting>
  <conditionalFormatting sqref="P148:P153">
    <cfRule type="cellIs" dxfId="18947" priority="2218" operator="greaterThan">
      <formula>0</formula>
    </cfRule>
  </conditionalFormatting>
  <conditionalFormatting sqref="Q148:Q153">
    <cfRule type="cellIs" dxfId="18946" priority="2217" operator="lessThan">
      <formula>0</formula>
    </cfRule>
  </conditionalFormatting>
  <conditionalFormatting sqref="R148:R153">
    <cfRule type="cellIs" dxfId="18945" priority="2215" operator="lessThan">
      <formula>0.8</formula>
    </cfRule>
    <cfRule type="cellIs" dxfId="18944" priority="2216" operator="greaterThan">
      <formula>1</formula>
    </cfRule>
  </conditionalFormatting>
  <conditionalFormatting sqref="R148:R153">
    <cfRule type="cellIs" dxfId="18943" priority="2213" operator="greaterThan">
      <formula>1</formula>
    </cfRule>
    <cfRule type="cellIs" dxfId="18942" priority="2214" operator="lessThan">
      <formula>0.8</formula>
    </cfRule>
  </conditionalFormatting>
  <conditionalFormatting sqref="P148:P153">
    <cfRule type="cellIs" dxfId="18941" priority="2212" operator="greaterThan">
      <formula>0</formula>
    </cfRule>
  </conditionalFormatting>
  <conditionalFormatting sqref="Q148:Q153">
    <cfRule type="cellIs" dxfId="18940" priority="2211" operator="lessThan">
      <formula>0</formula>
    </cfRule>
  </conditionalFormatting>
  <conditionalFormatting sqref="R148:R153">
    <cfRule type="cellIs" dxfId="18939" priority="2209" operator="lessThan">
      <formula>0.8</formula>
    </cfRule>
    <cfRule type="cellIs" dxfId="18938" priority="2210" operator="greaterThan">
      <formula>1</formula>
    </cfRule>
  </conditionalFormatting>
  <conditionalFormatting sqref="R148:R153">
    <cfRule type="cellIs" dxfId="18937" priority="2207" operator="greaterThan">
      <formula>1</formula>
    </cfRule>
    <cfRule type="cellIs" dxfId="18936" priority="2208" operator="lessThan">
      <formula>0.8</formula>
    </cfRule>
  </conditionalFormatting>
  <conditionalFormatting sqref="P148:P153">
    <cfRule type="cellIs" dxfId="18935" priority="2206" operator="greaterThan">
      <formula>0</formula>
    </cfRule>
  </conditionalFormatting>
  <conditionalFormatting sqref="P148:P153">
    <cfRule type="cellIs" dxfId="18934" priority="2200" operator="greaterThan">
      <formula>0</formula>
    </cfRule>
  </conditionalFormatting>
  <conditionalFormatting sqref="Q148:Q153">
    <cfRule type="cellIs" dxfId="18933" priority="2205" operator="lessThan">
      <formula>0</formula>
    </cfRule>
  </conditionalFormatting>
  <conditionalFormatting sqref="R148:R153">
    <cfRule type="cellIs" dxfId="18932" priority="2203" operator="lessThan">
      <formula>0.8</formula>
    </cfRule>
    <cfRule type="cellIs" dxfId="18931" priority="2204" operator="greaterThan">
      <formula>1</formula>
    </cfRule>
  </conditionalFormatting>
  <conditionalFormatting sqref="R148:R153">
    <cfRule type="cellIs" dxfId="18930" priority="2201" operator="greaterThan">
      <formula>1</formula>
    </cfRule>
    <cfRule type="cellIs" dxfId="18929" priority="2202" operator="lessThan">
      <formula>0.8</formula>
    </cfRule>
  </conditionalFormatting>
  <conditionalFormatting sqref="P148:P153">
    <cfRule type="cellIs" dxfId="18928" priority="2194" operator="greaterThan">
      <formula>0</formula>
    </cfRule>
  </conditionalFormatting>
  <conditionalFormatting sqref="Q148:Q153">
    <cfRule type="cellIs" dxfId="18927" priority="2199" operator="lessThan">
      <formula>0</formula>
    </cfRule>
  </conditionalFormatting>
  <conditionalFormatting sqref="R148:R153">
    <cfRule type="cellIs" dxfId="18926" priority="2197" operator="lessThan">
      <formula>0.8</formula>
    </cfRule>
    <cfRule type="cellIs" dxfId="18925" priority="2198" operator="greaterThan">
      <formula>1</formula>
    </cfRule>
  </conditionalFormatting>
  <conditionalFormatting sqref="R148:R153">
    <cfRule type="cellIs" dxfId="18924" priority="2195" operator="greaterThan">
      <formula>1</formula>
    </cfRule>
    <cfRule type="cellIs" dxfId="18923" priority="2196" operator="lessThan">
      <formula>0.8</formula>
    </cfRule>
  </conditionalFormatting>
  <conditionalFormatting sqref="R148:R153">
    <cfRule type="cellIs" dxfId="18922" priority="2191" operator="lessThan">
      <formula>0.8</formula>
    </cfRule>
    <cfRule type="cellIs" dxfId="18921" priority="2192" operator="greaterThan">
      <formula>1</formula>
    </cfRule>
  </conditionalFormatting>
  <conditionalFormatting sqref="R148:R153">
    <cfRule type="cellIs" dxfId="18920" priority="2189" operator="greaterThan">
      <formula>1</formula>
    </cfRule>
    <cfRule type="cellIs" dxfId="18919" priority="2190" operator="lessThan">
      <formula>0.8</formula>
    </cfRule>
  </conditionalFormatting>
  <conditionalFormatting sqref="P148:P153">
    <cfRule type="cellIs" dxfId="18918" priority="2188" operator="greaterThan">
      <formula>0</formula>
    </cfRule>
  </conditionalFormatting>
  <conditionalFormatting sqref="Q148:Q153">
    <cfRule type="cellIs" dxfId="18917" priority="2193" operator="lessThan">
      <formula>0</formula>
    </cfRule>
  </conditionalFormatting>
  <conditionalFormatting sqref="Q148:Q153">
    <cfRule type="cellIs" dxfId="18916" priority="2187" operator="lessThan">
      <formula>0</formula>
    </cfRule>
  </conditionalFormatting>
  <conditionalFormatting sqref="R148:R153">
    <cfRule type="cellIs" dxfId="18915" priority="2185" operator="lessThan">
      <formula>0.8</formula>
    </cfRule>
    <cfRule type="cellIs" dxfId="18914" priority="2186" operator="greaterThan">
      <formula>1</formula>
    </cfRule>
  </conditionalFormatting>
  <conditionalFormatting sqref="R148:R153">
    <cfRule type="cellIs" dxfId="18913" priority="2183" operator="greaterThan">
      <formula>1</formula>
    </cfRule>
    <cfRule type="cellIs" dxfId="18912" priority="2184" operator="lessThan">
      <formula>0.8</formula>
    </cfRule>
  </conditionalFormatting>
  <conditionalFormatting sqref="P148:P153">
    <cfRule type="cellIs" dxfId="18911" priority="2182" operator="greaterThan">
      <formula>0</formula>
    </cfRule>
  </conditionalFormatting>
  <conditionalFormatting sqref="P148:P153">
    <cfRule type="cellIs" dxfId="18910" priority="2176" operator="greaterThan">
      <formula>0</formula>
    </cfRule>
  </conditionalFormatting>
  <conditionalFormatting sqref="Q148:Q153">
    <cfRule type="cellIs" dxfId="18909" priority="2181" operator="lessThan">
      <formula>0</formula>
    </cfRule>
  </conditionalFormatting>
  <conditionalFormatting sqref="R148:R153">
    <cfRule type="cellIs" dxfId="18908" priority="2179" operator="lessThan">
      <formula>0.8</formula>
    </cfRule>
    <cfRule type="cellIs" dxfId="18907" priority="2180" operator="greaterThan">
      <formula>1</formula>
    </cfRule>
  </conditionalFormatting>
  <conditionalFormatting sqref="R148:R153">
    <cfRule type="cellIs" dxfId="18906" priority="2177" operator="greaterThan">
      <formula>1</formula>
    </cfRule>
    <cfRule type="cellIs" dxfId="18905" priority="2178" operator="lessThan">
      <formula>0.8</formula>
    </cfRule>
  </conditionalFormatting>
  <conditionalFormatting sqref="P148:P153">
    <cfRule type="cellIs" dxfId="18904" priority="2170" operator="greaterThan">
      <formula>0</formula>
    </cfRule>
  </conditionalFormatting>
  <conditionalFormatting sqref="Q148:Q153">
    <cfRule type="cellIs" dxfId="18903" priority="2175" operator="lessThan">
      <formula>0</formula>
    </cfRule>
  </conditionalFormatting>
  <conditionalFormatting sqref="R148:R153">
    <cfRule type="cellIs" dxfId="18902" priority="2173" operator="lessThan">
      <formula>0.8</formula>
    </cfRule>
    <cfRule type="cellIs" dxfId="18901" priority="2174" operator="greaterThan">
      <formula>1</formula>
    </cfRule>
  </conditionalFormatting>
  <conditionalFormatting sqref="R148:R153">
    <cfRule type="cellIs" dxfId="18900" priority="2171" operator="greaterThan">
      <formula>1</formula>
    </cfRule>
    <cfRule type="cellIs" dxfId="18899" priority="2172" operator="lessThan">
      <formula>0.8</formula>
    </cfRule>
  </conditionalFormatting>
  <conditionalFormatting sqref="R148:R153">
    <cfRule type="cellIs" dxfId="18898" priority="2167" operator="lessThan">
      <formula>0.8</formula>
    </cfRule>
    <cfRule type="cellIs" dxfId="18897" priority="2168" operator="greaterThan">
      <formula>1</formula>
    </cfRule>
  </conditionalFormatting>
  <conditionalFormatting sqref="R148:R153">
    <cfRule type="cellIs" dxfId="18896" priority="2165" operator="greaterThan">
      <formula>1</formula>
    </cfRule>
    <cfRule type="cellIs" dxfId="18895" priority="2166" operator="lessThan">
      <formula>0.8</formula>
    </cfRule>
  </conditionalFormatting>
  <conditionalFormatting sqref="P148:P153">
    <cfRule type="cellIs" dxfId="18894" priority="2164" operator="greaterThan">
      <formula>0</formula>
    </cfRule>
  </conditionalFormatting>
  <conditionalFormatting sqref="Q148:Q153">
    <cfRule type="cellIs" dxfId="18893" priority="2169" operator="lessThan">
      <formula>0</formula>
    </cfRule>
  </conditionalFormatting>
  <conditionalFormatting sqref="P148:P153">
    <cfRule type="cellIs" dxfId="18892" priority="2158" operator="greaterThan">
      <formula>0</formula>
    </cfRule>
  </conditionalFormatting>
  <conditionalFormatting sqref="Q148:Q153">
    <cfRule type="cellIs" dxfId="18891" priority="2163" operator="lessThan">
      <formula>0</formula>
    </cfRule>
  </conditionalFormatting>
  <conditionalFormatting sqref="R148:R153">
    <cfRule type="cellIs" dxfId="18890" priority="2161" operator="lessThan">
      <formula>0.8</formula>
    </cfRule>
    <cfRule type="cellIs" dxfId="18889" priority="2162" operator="greaterThan">
      <formula>1</formula>
    </cfRule>
  </conditionalFormatting>
  <conditionalFormatting sqref="R148:R153">
    <cfRule type="cellIs" dxfId="18888" priority="2159" operator="greaterThan">
      <formula>1</formula>
    </cfRule>
    <cfRule type="cellIs" dxfId="18887" priority="2160" operator="lessThan">
      <formula>0.8</formula>
    </cfRule>
  </conditionalFormatting>
  <conditionalFormatting sqref="R148:R153">
    <cfRule type="cellIs" dxfId="18886" priority="2155" operator="lessThan">
      <formula>0.8</formula>
    </cfRule>
    <cfRule type="cellIs" dxfId="18885" priority="2156" operator="greaterThan">
      <formula>1</formula>
    </cfRule>
  </conditionalFormatting>
  <conditionalFormatting sqref="R148:R153">
    <cfRule type="cellIs" dxfId="18884" priority="2153" operator="greaterThan">
      <formula>1</formula>
    </cfRule>
    <cfRule type="cellIs" dxfId="18883" priority="2154" operator="lessThan">
      <formula>0.8</formula>
    </cfRule>
  </conditionalFormatting>
  <conditionalFormatting sqref="P148:P153">
    <cfRule type="cellIs" dxfId="18882" priority="2152" operator="greaterThan">
      <formula>0</formula>
    </cfRule>
  </conditionalFormatting>
  <conditionalFormatting sqref="Q148:Q153">
    <cfRule type="cellIs" dxfId="18881" priority="2157" operator="lessThan">
      <formula>0</formula>
    </cfRule>
  </conditionalFormatting>
  <conditionalFormatting sqref="R148:R153">
    <cfRule type="cellIs" dxfId="18880" priority="2149" operator="lessThan">
      <formula>0.8</formula>
    </cfRule>
    <cfRule type="cellIs" dxfId="18879" priority="2150" operator="greaterThan">
      <formula>1</formula>
    </cfRule>
  </conditionalFormatting>
  <conditionalFormatting sqref="R148:R153">
    <cfRule type="cellIs" dxfId="18878" priority="2147" operator="greaterThan">
      <formula>1</formula>
    </cfRule>
    <cfRule type="cellIs" dxfId="18877" priority="2148" operator="lessThan">
      <formula>0.8</formula>
    </cfRule>
  </conditionalFormatting>
  <conditionalFormatting sqref="P148:P153">
    <cfRule type="cellIs" dxfId="18876" priority="2146" operator="greaterThan">
      <formula>0</formula>
    </cfRule>
  </conditionalFormatting>
  <conditionalFormatting sqref="Q148:Q153">
    <cfRule type="cellIs" dxfId="18875" priority="2151" operator="lessThan">
      <formula>0</formula>
    </cfRule>
  </conditionalFormatting>
  <conditionalFormatting sqref="Q148:Q153">
    <cfRule type="cellIs" dxfId="18874" priority="2145" operator="lessThan">
      <formula>0</formula>
    </cfRule>
  </conditionalFormatting>
  <conditionalFormatting sqref="R148:R153">
    <cfRule type="cellIs" dxfId="18873" priority="2143" operator="lessThan">
      <formula>0.8</formula>
    </cfRule>
    <cfRule type="cellIs" dxfId="18872" priority="2144" operator="greaterThan">
      <formula>1</formula>
    </cfRule>
  </conditionalFormatting>
  <conditionalFormatting sqref="R148:R153">
    <cfRule type="cellIs" dxfId="18871" priority="2141" operator="greaterThan">
      <formula>1</formula>
    </cfRule>
    <cfRule type="cellIs" dxfId="18870" priority="2142" operator="lessThan">
      <formula>0.8</formula>
    </cfRule>
  </conditionalFormatting>
  <conditionalFormatting sqref="P148:P153">
    <cfRule type="cellIs" dxfId="18869" priority="2140" operator="greaterThan">
      <formula>0</formula>
    </cfRule>
  </conditionalFormatting>
  <conditionalFormatting sqref="Q148:Q153">
    <cfRule type="cellIs" dxfId="18868" priority="2134" operator="lessThan">
      <formula>0</formula>
    </cfRule>
  </conditionalFormatting>
  <conditionalFormatting sqref="R148:R153">
    <cfRule type="cellIs" dxfId="18867" priority="2138" operator="lessThan">
      <formula>0.8</formula>
    </cfRule>
    <cfRule type="cellIs" dxfId="18866" priority="2139" operator="greaterThan">
      <formula>1</formula>
    </cfRule>
  </conditionalFormatting>
  <conditionalFormatting sqref="R148:R153">
    <cfRule type="cellIs" dxfId="18865" priority="2136" operator="greaterThan">
      <formula>1</formula>
    </cfRule>
    <cfRule type="cellIs" dxfId="18864" priority="2137" operator="lessThan">
      <formula>0.8</formula>
    </cfRule>
  </conditionalFormatting>
  <conditionalFormatting sqref="P148:P153">
    <cfRule type="cellIs" dxfId="18863" priority="2135" operator="greaterThan">
      <formula>0</formula>
    </cfRule>
  </conditionalFormatting>
  <conditionalFormatting sqref="Q148:Q153">
    <cfRule type="cellIs" dxfId="18862" priority="2133" operator="lessThan">
      <formula>0</formula>
    </cfRule>
  </conditionalFormatting>
  <conditionalFormatting sqref="R148:R153">
    <cfRule type="cellIs" dxfId="18861" priority="2131" operator="lessThan">
      <formula>0.8</formula>
    </cfRule>
    <cfRule type="cellIs" dxfId="18860" priority="2132" operator="greaterThan">
      <formula>1</formula>
    </cfRule>
  </conditionalFormatting>
  <conditionalFormatting sqref="R148:R153">
    <cfRule type="cellIs" dxfId="18859" priority="2129" operator="greaterThan">
      <formula>1</formula>
    </cfRule>
    <cfRule type="cellIs" dxfId="18858" priority="2130" operator="lessThan">
      <formula>0.8</formula>
    </cfRule>
  </conditionalFormatting>
  <conditionalFormatting sqref="P148:P153">
    <cfRule type="cellIs" dxfId="18857" priority="2128" operator="greaterThan">
      <formula>0</formula>
    </cfRule>
  </conditionalFormatting>
  <conditionalFormatting sqref="Q148:Q153">
    <cfRule type="cellIs" dxfId="18856" priority="2127" operator="lessThan">
      <formula>0</formula>
    </cfRule>
  </conditionalFormatting>
  <conditionalFormatting sqref="R148:R153">
    <cfRule type="cellIs" dxfId="18855" priority="2125" operator="lessThan">
      <formula>0.8</formula>
    </cfRule>
    <cfRule type="cellIs" dxfId="18854" priority="2126" operator="greaterThan">
      <formula>1</formula>
    </cfRule>
  </conditionalFormatting>
  <conditionalFormatting sqref="R148:R153">
    <cfRule type="cellIs" dxfId="18853" priority="2123" operator="greaterThan">
      <formula>1</formula>
    </cfRule>
    <cfRule type="cellIs" dxfId="18852" priority="2124" operator="lessThan">
      <formula>0.8</formula>
    </cfRule>
  </conditionalFormatting>
  <conditionalFormatting sqref="P148:P153">
    <cfRule type="cellIs" dxfId="18851" priority="2122" operator="greaterThan">
      <formula>0</formula>
    </cfRule>
  </conditionalFormatting>
  <conditionalFormatting sqref="Q148:Q153">
    <cfRule type="cellIs" dxfId="18850" priority="2121" operator="lessThan">
      <formula>0</formula>
    </cfRule>
  </conditionalFormatting>
  <conditionalFormatting sqref="R148:R153">
    <cfRule type="cellIs" dxfId="18849" priority="2119" operator="lessThan">
      <formula>0.8</formula>
    </cfRule>
    <cfRule type="cellIs" dxfId="18848" priority="2120" operator="greaterThan">
      <formula>1</formula>
    </cfRule>
  </conditionalFormatting>
  <conditionalFormatting sqref="R148:R153">
    <cfRule type="cellIs" dxfId="18847" priority="2117" operator="greaterThan">
      <formula>1</formula>
    </cfRule>
    <cfRule type="cellIs" dxfId="18846" priority="2118" operator="lessThan">
      <formula>0.8</formula>
    </cfRule>
  </conditionalFormatting>
  <conditionalFormatting sqref="P148:P153">
    <cfRule type="cellIs" dxfId="18845" priority="2116" operator="greaterThan">
      <formula>0</formula>
    </cfRule>
  </conditionalFormatting>
  <conditionalFormatting sqref="Q148:Q153">
    <cfRule type="cellIs" dxfId="18844" priority="2115" operator="lessThan">
      <formula>0</formula>
    </cfRule>
  </conditionalFormatting>
  <conditionalFormatting sqref="R148:R153">
    <cfRule type="cellIs" dxfId="18843" priority="2113" operator="lessThan">
      <formula>0.8</formula>
    </cfRule>
    <cfRule type="cellIs" dxfId="18842" priority="2114" operator="greaterThan">
      <formula>1</formula>
    </cfRule>
  </conditionalFormatting>
  <conditionalFormatting sqref="R148:R153">
    <cfRule type="cellIs" dxfId="18841" priority="2111" operator="greaterThan">
      <formula>1</formula>
    </cfRule>
    <cfRule type="cellIs" dxfId="18840" priority="2112" operator="lessThan">
      <formula>0.8</formula>
    </cfRule>
  </conditionalFormatting>
  <conditionalFormatting sqref="P148:P153">
    <cfRule type="cellIs" dxfId="18839" priority="2110" operator="greaterThan">
      <formula>0</formula>
    </cfRule>
  </conditionalFormatting>
  <conditionalFormatting sqref="Q148:Q153">
    <cfRule type="cellIs" dxfId="18838" priority="2109" operator="lessThan">
      <formula>0</formula>
    </cfRule>
  </conditionalFormatting>
  <conditionalFormatting sqref="R148:R153">
    <cfRule type="cellIs" dxfId="18837" priority="2107" operator="lessThan">
      <formula>0.8</formula>
    </cfRule>
    <cfRule type="cellIs" dxfId="18836" priority="2108" operator="greaterThan">
      <formula>1</formula>
    </cfRule>
  </conditionalFormatting>
  <conditionalFormatting sqref="R148:R153">
    <cfRule type="cellIs" dxfId="18835" priority="2105" operator="greaterThan">
      <formula>1</formula>
    </cfRule>
    <cfRule type="cellIs" dxfId="18834" priority="2106" operator="lessThan">
      <formula>0.8</formula>
    </cfRule>
  </conditionalFormatting>
  <conditionalFormatting sqref="P148:P153">
    <cfRule type="cellIs" dxfId="18833" priority="2104" operator="greaterThan">
      <formula>0</formula>
    </cfRule>
  </conditionalFormatting>
  <conditionalFormatting sqref="P148:P153">
    <cfRule type="cellIs" dxfId="18832" priority="2098" operator="greaterThan">
      <formula>0</formula>
    </cfRule>
  </conditionalFormatting>
  <conditionalFormatting sqref="Q148:Q153">
    <cfRule type="cellIs" dxfId="18831" priority="2103" operator="lessThan">
      <formula>0</formula>
    </cfRule>
  </conditionalFormatting>
  <conditionalFormatting sqref="R148:R153">
    <cfRule type="cellIs" dxfId="18830" priority="2101" operator="lessThan">
      <formula>0.8</formula>
    </cfRule>
    <cfRule type="cellIs" dxfId="18829" priority="2102" operator="greaterThan">
      <formula>1</formula>
    </cfRule>
  </conditionalFormatting>
  <conditionalFormatting sqref="R148:R153">
    <cfRule type="cellIs" dxfId="18828" priority="2099" operator="greaterThan">
      <formula>1</formula>
    </cfRule>
    <cfRule type="cellIs" dxfId="18827" priority="2100" operator="lessThan">
      <formula>0.8</formula>
    </cfRule>
  </conditionalFormatting>
  <conditionalFormatting sqref="P148:P153">
    <cfRule type="cellIs" dxfId="18826" priority="2092" operator="greaterThan">
      <formula>0</formula>
    </cfRule>
  </conditionalFormatting>
  <conditionalFormatting sqref="Q148:Q153">
    <cfRule type="cellIs" dxfId="18825" priority="2097" operator="lessThan">
      <formula>0</formula>
    </cfRule>
  </conditionalFormatting>
  <conditionalFormatting sqref="R148:R153">
    <cfRule type="cellIs" dxfId="18824" priority="2095" operator="lessThan">
      <formula>0.8</formula>
    </cfRule>
    <cfRule type="cellIs" dxfId="18823" priority="2096" operator="greaterThan">
      <formula>1</formula>
    </cfRule>
  </conditionalFormatting>
  <conditionalFormatting sqref="R148:R153">
    <cfRule type="cellIs" dxfId="18822" priority="2093" operator="greaterThan">
      <formula>1</formula>
    </cfRule>
    <cfRule type="cellIs" dxfId="18821" priority="2094" operator="lessThan">
      <formula>0.8</formula>
    </cfRule>
  </conditionalFormatting>
  <conditionalFormatting sqref="R148:R153">
    <cfRule type="cellIs" dxfId="18820" priority="2089" operator="lessThan">
      <formula>0.8</formula>
    </cfRule>
    <cfRule type="cellIs" dxfId="18819" priority="2090" operator="greaterThan">
      <formula>1</formula>
    </cfRule>
  </conditionalFormatting>
  <conditionalFormatting sqref="R148:R153">
    <cfRule type="cellIs" dxfId="18818" priority="2087" operator="greaterThan">
      <formula>1</formula>
    </cfRule>
    <cfRule type="cellIs" dxfId="18817" priority="2088" operator="lessThan">
      <formula>0.8</formula>
    </cfRule>
  </conditionalFormatting>
  <conditionalFormatting sqref="P148:P153">
    <cfRule type="cellIs" dxfId="18816" priority="2086" operator="greaterThan">
      <formula>0</formula>
    </cfRule>
  </conditionalFormatting>
  <conditionalFormatting sqref="Q148:Q153">
    <cfRule type="cellIs" dxfId="18815" priority="2091" operator="lessThan">
      <formula>0</formula>
    </cfRule>
  </conditionalFormatting>
  <conditionalFormatting sqref="Q148:Q153">
    <cfRule type="cellIs" dxfId="18814" priority="2080" operator="lessThan">
      <formula>0</formula>
    </cfRule>
  </conditionalFormatting>
  <conditionalFormatting sqref="P148:P153">
    <cfRule type="cellIs" dxfId="18813" priority="2081" operator="greaterThan">
      <formula>0</formula>
    </cfRule>
  </conditionalFormatting>
  <conditionalFormatting sqref="R148:R153">
    <cfRule type="cellIs" dxfId="18812" priority="2084" operator="lessThan">
      <formula>0.8</formula>
    </cfRule>
    <cfRule type="cellIs" dxfId="18811" priority="2085" operator="greaterThan">
      <formula>1</formula>
    </cfRule>
  </conditionalFormatting>
  <conditionalFormatting sqref="R148:R153">
    <cfRule type="cellIs" dxfId="18810" priority="2082" operator="greaterThan">
      <formula>1</formula>
    </cfRule>
    <cfRule type="cellIs" dxfId="18809" priority="2083" operator="lessThan">
      <formula>0.8</formula>
    </cfRule>
  </conditionalFormatting>
  <conditionalFormatting sqref="Q148:Q153">
    <cfRule type="cellIs" dxfId="18808" priority="2074" operator="lessThan">
      <formula>0</formula>
    </cfRule>
  </conditionalFormatting>
  <conditionalFormatting sqref="R148:R153">
    <cfRule type="cellIs" dxfId="18807" priority="2078" operator="lessThan">
      <formula>0.8</formula>
    </cfRule>
    <cfRule type="cellIs" dxfId="18806" priority="2079" operator="greaterThan">
      <formula>1</formula>
    </cfRule>
  </conditionalFormatting>
  <conditionalFormatting sqref="R148:R153">
    <cfRule type="cellIs" dxfId="18805" priority="2076" operator="greaterThan">
      <formula>1</formula>
    </cfRule>
    <cfRule type="cellIs" dxfId="18804" priority="2077" operator="lessThan">
      <formula>0.8</formula>
    </cfRule>
  </conditionalFormatting>
  <conditionalFormatting sqref="P148:P153">
    <cfRule type="cellIs" dxfId="18803" priority="2075" operator="greaterThan">
      <formula>0</formula>
    </cfRule>
  </conditionalFormatting>
  <conditionalFormatting sqref="Q148:Q153">
    <cfRule type="cellIs" dxfId="18802" priority="2073" operator="lessThan">
      <formula>0</formula>
    </cfRule>
  </conditionalFormatting>
  <conditionalFormatting sqref="R148:R153">
    <cfRule type="cellIs" dxfId="18801" priority="2071" operator="lessThan">
      <formula>0.8</formula>
    </cfRule>
    <cfRule type="cellIs" dxfId="18800" priority="2072" operator="greaterThan">
      <formula>1</formula>
    </cfRule>
  </conditionalFormatting>
  <conditionalFormatting sqref="R148:R153">
    <cfRule type="cellIs" dxfId="18799" priority="2069" operator="greaterThan">
      <formula>1</formula>
    </cfRule>
    <cfRule type="cellIs" dxfId="18798" priority="2070" operator="lessThan">
      <formula>0.8</formula>
    </cfRule>
  </conditionalFormatting>
  <conditionalFormatting sqref="P148:P153">
    <cfRule type="cellIs" dxfId="18797" priority="2068" operator="greaterThan">
      <formula>0</formula>
    </cfRule>
  </conditionalFormatting>
  <conditionalFormatting sqref="Q148:Q153">
    <cfRule type="cellIs" dxfId="18796" priority="2067" operator="lessThan">
      <formula>0</formula>
    </cfRule>
  </conditionalFormatting>
  <conditionalFormatting sqref="R148:R153">
    <cfRule type="cellIs" dxfId="18795" priority="2065" operator="lessThan">
      <formula>0.8</formula>
    </cfRule>
    <cfRule type="cellIs" dxfId="18794" priority="2066" operator="greaterThan">
      <formula>1</formula>
    </cfRule>
  </conditionalFormatting>
  <conditionalFormatting sqref="R148:R153">
    <cfRule type="cellIs" dxfId="18793" priority="2063" operator="greaterThan">
      <formula>1</formula>
    </cfRule>
    <cfRule type="cellIs" dxfId="18792" priority="2064" operator="lessThan">
      <formula>0.8</formula>
    </cfRule>
  </conditionalFormatting>
  <conditionalFormatting sqref="P148:P153">
    <cfRule type="cellIs" dxfId="18791" priority="2062" operator="greaterThan">
      <formula>0</formula>
    </cfRule>
  </conditionalFormatting>
  <conditionalFormatting sqref="Q148:Q153">
    <cfRule type="cellIs" dxfId="18790" priority="2061" operator="lessThan">
      <formula>0</formula>
    </cfRule>
  </conditionalFormatting>
  <conditionalFormatting sqref="R148:R153">
    <cfRule type="cellIs" dxfId="18789" priority="2059" operator="lessThan">
      <formula>0.8</formula>
    </cfRule>
    <cfRule type="cellIs" dxfId="18788" priority="2060" operator="greaterThan">
      <formula>1</formula>
    </cfRule>
  </conditionalFormatting>
  <conditionalFormatting sqref="R148:R153">
    <cfRule type="cellIs" dxfId="18787" priority="2057" operator="greaterThan">
      <formula>1</formula>
    </cfRule>
    <cfRule type="cellIs" dxfId="18786" priority="2058" operator="lessThan">
      <formula>0.8</formula>
    </cfRule>
  </conditionalFormatting>
  <conditionalFormatting sqref="P148:P153">
    <cfRule type="cellIs" dxfId="18785" priority="2056" operator="greaterThan">
      <formula>0</formula>
    </cfRule>
  </conditionalFormatting>
  <conditionalFormatting sqref="Q148:Q153">
    <cfRule type="cellIs" dxfId="18784" priority="2055" operator="lessThan">
      <formula>0</formula>
    </cfRule>
  </conditionalFormatting>
  <conditionalFormatting sqref="R148:R153">
    <cfRule type="cellIs" dxfId="18783" priority="2053" operator="lessThan">
      <formula>0.8</formula>
    </cfRule>
    <cfRule type="cellIs" dxfId="18782" priority="2054" operator="greaterThan">
      <formula>1</formula>
    </cfRule>
  </conditionalFormatting>
  <conditionalFormatting sqref="R148:R153">
    <cfRule type="cellIs" dxfId="18781" priority="2051" operator="greaterThan">
      <formula>1</formula>
    </cfRule>
    <cfRule type="cellIs" dxfId="18780" priority="2052" operator="lessThan">
      <formula>0.8</formula>
    </cfRule>
  </conditionalFormatting>
  <conditionalFormatting sqref="P148:P153">
    <cfRule type="cellIs" dxfId="18779" priority="2050" operator="greaterThan">
      <formula>0</formula>
    </cfRule>
  </conditionalFormatting>
  <conditionalFormatting sqref="Q124 Q131 Q127">
    <cfRule type="cellIs" dxfId="18778" priority="2044" operator="lessThan">
      <formula>0</formula>
    </cfRule>
  </conditionalFormatting>
  <conditionalFormatting sqref="P124 P131 P127">
    <cfRule type="cellIs" dxfId="18777" priority="2045" operator="greaterThan">
      <formula>0</formula>
    </cfRule>
  </conditionalFormatting>
  <conditionalFormatting sqref="R124 R131 R127">
    <cfRule type="cellIs" dxfId="18776" priority="2048" operator="lessThan">
      <formula>0.8</formula>
    </cfRule>
    <cfRule type="cellIs" dxfId="18775" priority="2049" operator="greaterThan">
      <formula>1</formula>
    </cfRule>
  </conditionalFormatting>
  <conditionalFormatting sqref="R124 R131 R127">
    <cfRule type="cellIs" dxfId="18774" priority="2046" operator="greaterThan">
      <formula>1</formula>
    </cfRule>
    <cfRule type="cellIs" dxfId="18773" priority="2047" operator="lessThan">
      <formula>0.8</formula>
    </cfRule>
  </conditionalFormatting>
  <conditionalFormatting sqref="Q124 Q131 Q127">
    <cfRule type="cellIs" dxfId="18772" priority="2038" operator="lessThan">
      <formula>0</formula>
    </cfRule>
  </conditionalFormatting>
  <conditionalFormatting sqref="R124 R131 R127">
    <cfRule type="cellIs" dxfId="18771" priority="2042" operator="lessThan">
      <formula>0.8</formula>
    </cfRule>
    <cfRule type="cellIs" dxfId="18770" priority="2043" operator="greaterThan">
      <formula>1</formula>
    </cfRule>
  </conditionalFormatting>
  <conditionalFormatting sqref="R124 R131 R127">
    <cfRule type="cellIs" dxfId="18769" priority="2040" operator="greaterThan">
      <formula>1</formula>
    </cfRule>
    <cfRule type="cellIs" dxfId="18768" priority="2041" operator="lessThan">
      <formula>0.8</formula>
    </cfRule>
  </conditionalFormatting>
  <conditionalFormatting sqref="P124 P131 P127">
    <cfRule type="cellIs" dxfId="18767" priority="2039" operator="greaterThan">
      <formula>0</formula>
    </cfRule>
  </conditionalFormatting>
  <conditionalFormatting sqref="Q124 Q131 Q127">
    <cfRule type="cellIs" dxfId="18766" priority="2037" operator="lessThan">
      <formula>0</formula>
    </cfRule>
  </conditionalFormatting>
  <conditionalFormatting sqref="R124 R131 R127">
    <cfRule type="cellIs" dxfId="18765" priority="2035" operator="lessThan">
      <formula>0.8</formula>
    </cfRule>
    <cfRule type="cellIs" dxfId="18764" priority="2036" operator="greaterThan">
      <formula>1</formula>
    </cfRule>
  </conditionalFormatting>
  <conditionalFormatting sqref="R124 R131 R127">
    <cfRule type="cellIs" dxfId="18763" priority="2033" operator="greaterThan">
      <formula>1</formula>
    </cfRule>
    <cfRule type="cellIs" dxfId="18762" priority="2034" operator="lessThan">
      <formula>0.8</formula>
    </cfRule>
  </conditionalFormatting>
  <conditionalFormatting sqref="P124 P131 P127">
    <cfRule type="cellIs" dxfId="18761" priority="2032" operator="greaterThan">
      <formula>0</formula>
    </cfRule>
  </conditionalFormatting>
  <conditionalFormatting sqref="Q124 Q131 Q127">
    <cfRule type="cellIs" dxfId="18760" priority="2031" operator="lessThan">
      <formula>0</formula>
    </cfRule>
  </conditionalFormatting>
  <conditionalFormatting sqref="R124 R131 R127">
    <cfRule type="cellIs" dxfId="18759" priority="2029" operator="lessThan">
      <formula>0.8</formula>
    </cfRule>
    <cfRule type="cellIs" dxfId="18758" priority="2030" operator="greaterThan">
      <formula>1</formula>
    </cfRule>
  </conditionalFormatting>
  <conditionalFormatting sqref="R124 R131 R127">
    <cfRule type="cellIs" dxfId="18757" priority="2027" operator="greaterThan">
      <formula>1</formula>
    </cfRule>
    <cfRule type="cellIs" dxfId="18756" priority="2028" operator="lessThan">
      <formula>0.8</formula>
    </cfRule>
  </conditionalFormatting>
  <conditionalFormatting sqref="P124 P131 P127">
    <cfRule type="cellIs" dxfId="18755" priority="2026" operator="greaterThan">
      <formula>0</formula>
    </cfRule>
  </conditionalFormatting>
  <conditionalFormatting sqref="Q124 Q131 Q127">
    <cfRule type="cellIs" dxfId="18754" priority="2025" operator="lessThan">
      <formula>0</formula>
    </cfRule>
  </conditionalFormatting>
  <conditionalFormatting sqref="R124 R131 R127">
    <cfRule type="cellIs" dxfId="18753" priority="2023" operator="lessThan">
      <formula>0.8</formula>
    </cfRule>
    <cfRule type="cellIs" dxfId="18752" priority="2024" operator="greaterThan">
      <formula>1</formula>
    </cfRule>
  </conditionalFormatting>
  <conditionalFormatting sqref="R124 R131 R127">
    <cfRule type="cellIs" dxfId="18751" priority="2021" operator="greaterThan">
      <formula>1</formula>
    </cfRule>
    <cfRule type="cellIs" dxfId="18750" priority="2022" operator="lessThan">
      <formula>0.8</formula>
    </cfRule>
  </conditionalFormatting>
  <conditionalFormatting sqref="P124 P131 P127">
    <cfRule type="cellIs" dxfId="18749" priority="2020" operator="greaterThan">
      <formula>0</formula>
    </cfRule>
  </conditionalFormatting>
  <conditionalFormatting sqref="Q124 Q131 Q127">
    <cfRule type="cellIs" dxfId="18748" priority="2019" operator="lessThan">
      <formula>0</formula>
    </cfRule>
  </conditionalFormatting>
  <conditionalFormatting sqref="R124 R131 R127">
    <cfRule type="cellIs" dxfId="18747" priority="2017" operator="lessThan">
      <formula>0.8</formula>
    </cfRule>
    <cfRule type="cellIs" dxfId="18746" priority="2018" operator="greaterThan">
      <formula>1</formula>
    </cfRule>
  </conditionalFormatting>
  <conditionalFormatting sqref="R124 R131 R127">
    <cfRule type="cellIs" dxfId="18745" priority="2015" operator="greaterThan">
      <formula>1</formula>
    </cfRule>
    <cfRule type="cellIs" dxfId="18744" priority="2016" operator="lessThan">
      <formula>0.8</formula>
    </cfRule>
  </conditionalFormatting>
  <conditionalFormatting sqref="P124 P131 P127">
    <cfRule type="cellIs" dxfId="18743" priority="2014" operator="greaterThan">
      <formula>0</formula>
    </cfRule>
  </conditionalFormatting>
  <conditionalFormatting sqref="Q124 Q131 Q127">
    <cfRule type="cellIs" dxfId="18742" priority="2013" operator="lessThan">
      <formula>0</formula>
    </cfRule>
  </conditionalFormatting>
  <conditionalFormatting sqref="R124 R131 R127">
    <cfRule type="cellIs" dxfId="18741" priority="2011" operator="lessThan">
      <formula>0.8</formula>
    </cfRule>
    <cfRule type="cellIs" dxfId="18740" priority="2012" operator="greaterThan">
      <formula>1</formula>
    </cfRule>
  </conditionalFormatting>
  <conditionalFormatting sqref="R124 R131 R127">
    <cfRule type="cellIs" dxfId="18739" priority="2009" operator="greaterThan">
      <formula>1</formula>
    </cfRule>
    <cfRule type="cellIs" dxfId="18738" priority="2010" operator="lessThan">
      <formula>0.8</formula>
    </cfRule>
  </conditionalFormatting>
  <conditionalFormatting sqref="P124 P131 P127">
    <cfRule type="cellIs" dxfId="18737" priority="2008" operator="greaterThan">
      <formula>0</formula>
    </cfRule>
  </conditionalFormatting>
  <conditionalFormatting sqref="Q124 Q131 Q127">
    <cfRule type="cellIs" dxfId="18736" priority="2007" operator="lessThan">
      <formula>0</formula>
    </cfRule>
  </conditionalFormatting>
  <conditionalFormatting sqref="R124 R131 R127">
    <cfRule type="cellIs" dxfId="18735" priority="2005" operator="lessThan">
      <formula>0.8</formula>
    </cfRule>
    <cfRule type="cellIs" dxfId="18734" priority="2006" operator="greaterThan">
      <formula>1</formula>
    </cfRule>
  </conditionalFormatting>
  <conditionalFormatting sqref="R124 R131 R127">
    <cfRule type="cellIs" dxfId="18733" priority="2003" operator="greaterThan">
      <formula>1</formula>
    </cfRule>
    <cfRule type="cellIs" dxfId="18732" priority="2004" operator="lessThan">
      <formula>0.8</formula>
    </cfRule>
  </conditionalFormatting>
  <conditionalFormatting sqref="P124 P131 P127">
    <cfRule type="cellIs" dxfId="18731" priority="2002" operator="greaterThan">
      <formula>0</formula>
    </cfRule>
  </conditionalFormatting>
  <conditionalFormatting sqref="Q124 Q131 Q127">
    <cfRule type="cellIs" dxfId="18730" priority="2001" operator="lessThan">
      <formula>0</formula>
    </cfRule>
  </conditionalFormatting>
  <conditionalFormatting sqref="R124 R131 R127">
    <cfRule type="cellIs" dxfId="18729" priority="1999" operator="lessThan">
      <formula>0.8</formula>
    </cfRule>
    <cfRule type="cellIs" dxfId="18728" priority="2000" operator="greaterThan">
      <formula>1</formula>
    </cfRule>
  </conditionalFormatting>
  <conditionalFormatting sqref="R124 R131 R127">
    <cfRule type="cellIs" dxfId="18727" priority="1997" operator="greaterThan">
      <formula>1</formula>
    </cfRule>
    <cfRule type="cellIs" dxfId="18726" priority="1998" operator="lessThan">
      <formula>0.8</formula>
    </cfRule>
  </conditionalFormatting>
  <conditionalFormatting sqref="P124 P131 P127">
    <cfRule type="cellIs" dxfId="18725" priority="1996" operator="greaterThan">
      <formula>0</formula>
    </cfRule>
  </conditionalFormatting>
  <conditionalFormatting sqref="P124 P131 P127">
    <cfRule type="cellIs" dxfId="18724" priority="1990" operator="greaterThan">
      <formula>0</formula>
    </cfRule>
  </conditionalFormatting>
  <conditionalFormatting sqref="Q124 Q131 Q127">
    <cfRule type="cellIs" dxfId="18723" priority="1995" operator="lessThan">
      <formula>0</formula>
    </cfRule>
  </conditionalFormatting>
  <conditionalFormatting sqref="R124 R131 R127">
    <cfRule type="cellIs" dxfId="18722" priority="1993" operator="lessThan">
      <formula>0.8</formula>
    </cfRule>
    <cfRule type="cellIs" dxfId="18721" priority="1994" operator="greaterThan">
      <formula>1</formula>
    </cfRule>
  </conditionalFormatting>
  <conditionalFormatting sqref="R124 R131 R127">
    <cfRule type="cellIs" dxfId="18720" priority="1991" operator="greaterThan">
      <formula>1</formula>
    </cfRule>
    <cfRule type="cellIs" dxfId="18719" priority="1992" operator="lessThan">
      <formula>0.8</formula>
    </cfRule>
  </conditionalFormatting>
  <conditionalFormatting sqref="P124 P131 P127">
    <cfRule type="cellIs" dxfId="18718" priority="1984" operator="greaterThan">
      <formula>0</formula>
    </cfRule>
  </conditionalFormatting>
  <conditionalFormatting sqref="Q124 Q131 Q127">
    <cfRule type="cellIs" dxfId="18717" priority="1989" operator="lessThan">
      <formula>0</formula>
    </cfRule>
  </conditionalFormatting>
  <conditionalFormatting sqref="R124 R131 R127">
    <cfRule type="cellIs" dxfId="18716" priority="1987" operator="lessThan">
      <formula>0.8</formula>
    </cfRule>
    <cfRule type="cellIs" dxfId="18715" priority="1988" operator="greaterThan">
      <formula>1</formula>
    </cfRule>
  </conditionalFormatting>
  <conditionalFormatting sqref="R124 R131 R127">
    <cfRule type="cellIs" dxfId="18714" priority="1985" operator="greaterThan">
      <formula>1</formula>
    </cfRule>
    <cfRule type="cellIs" dxfId="18713" priority="1986" operator="lessThan">
      <formula>0.8</formula>
    </cfRule>
  </conditionalFormatting>
  <conditionalFormatting sqref="R124 R131 R127">
    <cfRule type="cellIs" dxfId="18712" priority="1981" operator="lessThan">
      <formula>0.8</formula>
    </cfRule>
    <cfRule type="cellIs" dxfId="18711" priority="1982" operator="greaterThan">
      <formula>1</formula>
    </cfRule>
  </conditionalFormatting>
  <conditionalFormatting sqref="R124 R131 R127">
    <cfRule type="cellIs" dxfId="18710" priority="1979" operator="greaterThan">
      <formula>1</formula>
    </cfRule>
    <cfRule type="cellIs" dxfId="18709" priority="1980" operator="lessThan">
      <formula>0.8</formula>
    </cfRule>
  </conditionalFormatting>
  <conditionalFormatting sqref="P124 P131 P127">
    <cfRule type="cellIs" dxfId="18708" priority="1978" operator="greaterThan">
      <formula>0</formula>
    </cfRule>
  </conditionalFormatting>
  <conditionalFormatting sqref="Q124 Q131 Q127">
    <cfRule type="cellIs" dxfId="18707" priority="1983" operator="lessThan">
      <formula>0</formula>
    </cfRule>
  </conditionalFormatting>
  <conditionalFormatting sqref="Q124 Q131 Q127">
    <cfRule type="cellIs" dxfId="18706" priority="1977" operator="lessThan">
      <formula>0</formula>
    </cfRule>
  </conditionalFormatting>
  <conditionalFormatting sqref="R124 R131 R127">
    <cfRule type="cellIs" dxfId="18705" priority="1975" operator="lessThan">
      <formula>0.8</formula>
    </cfRule>
    <cfRule type="cellIs" dxfId="18704" priority="1976" operator="greaterThan">
      <formula>1</formula>
    </cfRule>
  </conditionalFormatting>
  <conditionalFormatting sqref="R124 R131 R127">
    <cfRule type="cellIs" dxfId="18703" priority="1973" operator="greaterThan">
      <formula>1</formula>
    </cfRule>
    <cfRule type="cellIs" dxfId="18702" priority="1974" operator="lessThan">
      <formula>0.8</formula>
    </cfRule>
  </conditionalFormatting>
  <conditionalFormatting sqref="P124 P131 P127">
    <cfRule type="cellIs" dxfId="18701" priority="1972" operator="greaterThan">
      <formula>0</formula>
    </cfRule>
  </conditionalFormatting>
  <conditionalFormatting sqref="P124 P131 P127">
    <cfRule type="cellIs" dxfId="18700" priority="1966" operator="greaterThan">
      <formula>0</formula>
    </cfRule>
  </conditionalFormatting>
  <conditionalFormatting sqref="Q124 Q131 Q127">
    <cfRule type="cellIs" dxfId="18699" priority="1971" operator="lessThan">
      <formula>0</formula>
    </cfRule>
  </conditionalFormatting>
  <conditionalFormatting sqref="R124 R131 R127">
    <cfRule type="cellIs" dxfId="18698" priority="1969" operator="lessThan">
      <formula>0.8</formula>
    </cfRule>
    <cfRule type="cellIs" dxfId="18697" priority="1970" operator="greaterThan">
      <formula>1</formula>
    </cfRule>
  </conditionalFormatting>
  <conditionalFormatting sqref="R124 R131 R127">
    <cfRule type="cellIs" dxfId="18696" priority="1967" operator="greaterThan">
      <formula>1</formula>
    </cfRule>
    <cfRule type="cellIs" dxfId="18695" priority="1968" operator="lessThan">
      <formula>0.8</formula>
    </cfRule>
  </conditionalFormatting>
  <conditionalFormatting sqref="P124 P131 P127">
    <cfRule type="cellIs" dxfId="18694" priority="1960" operator="greaterThan">
      <formula>0</formula>
    </cfRule>
  </conditionalFormatting>
  <conditionalFormatting sqref="Q124 Q131 Q127">
    <cfRule type="cellIs" dxfId="18693" priority="1965" operator="lessThan">
      <formula>0</formula>
    </cfRule>
  </conditionalFormatting>
  <conditionalFormatting sqref="R124 R131 R127">
    <cfRule type="cellIs" dxfId="18692" priority="1963" operator="lessThan">
      <formula>0.8</formula>
    </cfRule>
    <cfRule type="cellIs" dxfId="18691" priority="1964" operator="greaterThan">
      <formula>1</formula>
    </cfRule>
  </conditionalFormatting>
  <conditionalFormatting sqref="R124 R131 R127">
    <cfRule type="cellIs" dxfId="18690" priority="1961" operator="greaterThan">
      <formula>1</formula>
    </cfRule>
    <cfRule type="cellIs" dxfId="18689" priority="1962" operator="lessThan">
      <formula>0.8</formula>
    </cfRule>
  </conditionalFormatting>
  <conditionalFormatting sqref="R124 R131 R127">
    <cfRule type="cellIs" dxfId="18688" priority="1957" operator="lessThan">
      <formula>0.8</formula>
    </cfRule>
    <cfRule type="cellIs" dxfId="18687" priority="1958" operator="greaterThan">
      <formula>1</formula>
    </cfRule>
  </conditionalFormatting>
  <conditionalFormatting sqref="R124 R131 R127">
    <cfRule type="cellIs" dxfId="18686" priority="1955" operator="greaterThan">
      <formula>1</formula>
    </cfRule>
    <cfRule type="cellIs" dxfId="18685" priority="1956" operator="lessThan">
      <formula>0.8</formula>
    </cfRule>
  </conditionalFormatting>
  <conditionalFormatting sqref="P124 P131 P127">
    <cfRule type="cellIs" dxfId="18684" priority="1954" operator="greaterThan">
      <formula>0</formula>
    </cfRule>
  </conditionalFormatting>
  <conditionalFormatting sqref="Q124 Q131 Q127">
    <cfRule type="cellIs" dxfId="18683" priority="1959" operator="lessThan">
      <formula>0</formula>
    </cfRule>
  </conditionalFormatting>
  <conditionalFormatting sqref="P124 P131 P127">
    <cfRule type="cellIs" dxfId="18682" priority="1948" operator="greaterThan">
      <formula>0</formula>
    </cfRule>
  </conditionalFormatting>
  <conditionalFormatting sqref="Q124 Q131 Q127">
    <cfRule type="cellIs" dxfId="18681" priority="1953" operator="lessThan">
      <formula>0</formula>
    </cfRule>
  </conditionalFormatting>
  <conditionalFormatting sqref="R124 R131 R127">
    <cfRule type="cellIs" dxfId="18680" priority="1951" operator="lessThan">
      <formula>0.8</formula>
    </cfRule>
    <cfRule type="cellIs" dxfId="18679" priority="1952" operator="greaterThan">
      <formula>1</formula>
    </cfRule>
  </conditionalFormatting>
  <conditionalFormatting sqref="R124 R131 R127">
    <cfRule type="cellIs" dxfId="18678" priority="1949" operator="greaterThan">
      <formula>1</formula>
    </cfRule>
    <cfRule type="cellIs" dxfId="18677" priority="1950" operator="lessThan">
      <formula>0.8</formula>
    </cfRule>
  </conditionalFormatting>
  <conditionalFormatting sqref="R124 R131 R127">
    <cfRule type="cellIs" dxfId="18676" priority="1945" operator="lessThan">
      <formula>0.8</formula>
    </cfRule>
    <cfRule type="cellIs" dxfId="18675" priority="1946" operator="greaterThan">
      <formula>1</formula>
    </cfRule>
  </conditionalFormatting>
  <conditionalFormatting sqref="R124 R131 R127">
    <cfRule type="cellIs" dxfId="18674" priority="1943" operator="greaterThan">
      <formula>1</formula>
    </cfRule>
    <cfRule type="cellIs" dxfId="18673" priority="1944" operator="lessThan">
      <formula>0.8</formula>
    </cfRule>
  </conditionalFormatting>
  <conditionalFormatting sqref="P124 P131 P127">
    <cfRule type="cellIs" dxfId="18672" priority="1942" operator="greaterThan">
      <formula>0</formula>
    </cfRule>
  </conditionalFormatting>
  <conditionalFormatting sqref="Q124 Q131 Q127">
    <cfRule type="cellIs" dxfId="18671" priority="1947" operator="lessThan">
      <formula>0</formula>
    </cfRule>
  </conditionalFormatting>
  <conditionalFormatting sqref="R124 R131 R127">
    <cfRule type="cellIs" dxfId="18670" priority="1939" operator="lessThan">
      <formula>0.8</formula>
    </cfRule>
    <cfRule type="cellIs" dxfId="18669" priority="1940" operator="greaterThan">
      <formula>1</formula>
    </cfRule>
  </conditionalFormatting>
  <conditionalFormatting sqref="R124 R131 R127">
    <cfRule type="cellIs" dxfId="18668" priority="1937" operator="greaterThan">
      <formula>1</formula>
    </cfRule>
    <cfRule type="cellIs" dxfId="18667" priority="1938" operator="lessThan">
      <formula>0.8</formula>
    </cfRule>
  </conditionalFormatting>
  <conditionalFormatting sqref="P124 P131 P127">
    <cfRule type="cellIs" dxfId="18666" priority="1936" operator="greaterThan">
      <formula>0</formula>
    </cfRule>
  </conditionalFormatting>
  <conditionalFormatting sqref="Q124 Q131 Q127">
    <cfRule type="cellIs" dxfId="18665" priority="1941" operator="lessThan">
      <formula>0</formula>
    </cfRule>
  </conditionalFormatting>
  <conditionalFormatting sqref="Q124 Q131 Q127">
    <cfRule type="cellIs" dxfId="18664" priority="1935" operator="lessThan">
      <formula>0</formula>
    </cfRule>
  </conditionalFormatting>
  <conditionalFormatting sqref="R124 R131 R127">
    <cfRule type="cellIs" dxfId="18663" priority="1933" operator="lessThan">
      <formula>0.8</formula>
    </cfRule>
    <cfRule type="cellIs" dxfId="18662" priority="1934" operator="greaterThan">
      <formula>1</formula>
    </cfRule>
  </conditionalFormatting>
  <conditionalFormatting sqref="R124 R131 R127">
    <cfRule type="cellIs" dxfId="18661" priority="1931" operator="greaterThan">
      <formula>1</formula>
    </cfRule>
    <cfRule type="cellIs" dxfId="18660" priority="1932" operator="lessThan">
      <formula>0.8</formula>
    </cfRule>
  </conditionalFormatting>
  <conditionalFormatting sqref="P124 P131 P127">
    <cfRule type="cellIs" dxfId="18659" priority="1930" operator="greaterThan">
      <formula>0</formula>
    </cfRule>
  </conditionalFormatting>
  <conditionalFormatting sqref="Q124 Q131 Q127">
    <cfRule type="cellIs" dxfId="18658" priority="1924" operator="lessThan">
      <formula>0</formula>
    </cfRule>
  </conditionalFormatting>
  <conditionalFormatting sqref="R124 R131 R127">
    <cfRule type="cellIs" dxfId="18657" priority="1928" operator="lessThan">
      <formula>0.8</formula>
    </cfRule>
    <cfRule type="cellIs" dxfId="18656" priority="1929" operator="greaterThan">
      <formula>1</formula>
    </cfRule>
  </conditionalFormatting>
  <conditionalFormatting sqref="R124 R131 R127">
    <cfRule type="cellIs" dxfId="18655" priority="1926" operator="greaterThan">
      <formula>1</formula>
    </cfRule>
    <cfRule type="cellIs" dxfId="18654" priority="1927" operator="lessThan">
      <formula>0.8</formula>
    </cfRule>
  </conditionalFormatting>
  <conditionalFormatting sqref="P124 P131 P127">
    <cfRule type="cellIs" dxfId="18653" priority="1925" operator="greaterThan">
      <formula>0</formula>
    </cfRule>
  </conditionalFormatting>
  <conditionalFormatting sqref="Q124 Q131 Q127">
    <cfRule type="cellIs" dxfId="18652" priority="1923" operator="lessThan">
      <formula>0</formula>
    </cfRule>
  </conditionalFormatting>
  <conditionalFormatting sqref="R124 R131 R127">
    <cfRule type="cellIs" dxfId="18651" priority="1921" operator="lessThan">
      <formula>0.8</formula>
    </cfRule>
    <cfRule type="cellIs" dxfId="18650" priority="1922" operator="greaterThan">
      <formula>1</formula>
    </cfRule>
  </conditionalFormatting>
  <conditionalFormatting sqref="R124 R131 R127">
    <cfRule type="cellIs" dxfId="18649" priority="1919" operator="greaterThan">
      <formula>1</formula>
    </cfRule>
    <cfRule type="cellIs" dxfId="18648" priority="1920" operator="lessThan">
      <formula>0.8</formula>
    </cfRule>
  </conditionalFormatting>
  <conditionalFormatting sqref="P124 P131 P127">
    <cfRule type="cellIs" dxfId="18647" priority="1918" operator="greaterThan">
      <formula>0</formula>
    </cfRule>
  </conditionalFormatting>
  <conditionalFormatting sqref="Q124 Q131 Q127">
    <cfRule type="cellIs" dxfId="18646" priority="1917" operator="lessThan">
      <formula>0</formula>
    </cfRule>
  </conditionalFormatting>
  <conditionalFormatting sqref="R124 R131 R127">
    <cfRule type="cellIs" dxfId="18645" priority="1915" operator="lessThan">
      <formula>0.8</formula>
    </cfRule>
    <cfRule type="cellIs" dxfId="18644" priority="1916" operator="greaterThan">
      <formula>1</formula>
    </cfRule>
  </conditionalFormatting>
  <conditionalFormatting sqref="R124 R131 R127">
    <cfRule type="cellIs" dxfId="18643" priority="1913" operator="greaterThan">
      <formula>1</formula>
    </cfRule>
    <cfRule type="cellIs" dxfId="18642" priority="1914" operator="lessThan">
      <formula>0.8</formula>
    </cfRule>
  </conditionalFormatting>
  <conditionalFormatting sqref="P124 P131 P127">
    <cfRule type="cellIs" dxfId="18641" priority="1912" operator="greaterThan">
      <formula>0</formula>
    </cfRule>
  </conditionalFormatting>
  <conditionalFormatting sqref="Q124 Q131 Q127">
    <cfRule type="cellIs" dxfId="18640" priority="1911" operator="lessThan">
      <formula>0</formula>
    </cfRule>
  </conditionalFormatting>
  <conditionalFormatting sqref="R124 R131 R127">
    <cfRule type="cellIs" dxfId="18639" priority="1909" operator="lessThan">
      <formula>0.8</formula>
    </cfRule>
    <cfRule type="cellIs" dxfId="18638" priority="1910" operator="greaterThan">
      <formula>1</formula>
    </cfRule>
  </conditionalFormatting>
  <conditionalFormatting sqref="R124 R131 R127">
    <cfRule type="cellIs" dxfId="18637" priority="1907" operator="greaterThan">
      <formula>1</formula>
    </cfRule>
    <cfRule type="cellIs" dxfId="18636" priority="1908" operator="lessThan">
      <formula>0.8</formula>
    </cfRule>
  </conditionalFormatting>
  <conditionalFormatting sqref="P124 P131 P127">
    <cfRule type="cellIs" dxfId="18635" priority="1906" operator="greaterThan">
      <formula>0</formula>
    </cfRule>
  </conditionalFormatting>
  <conditionalFormatting sqref="Q124 Q131 Q127">
    <cfRule type="cellIs" dxfId="18634" priority="1905" operator="lessThan">
      <formula>0</formula>
    </cfRule>
  </conditionalFormatting>
  <conditionalFormatting sqref="R124 R131 R127">
    <cfRule type="cellIs" dxfId="18633" priority="1903" operator="lessThan">
      <formula>0.8</formula>
    </cfRule>
    <cfRule type="cellIs" dxfId="18632" priority="1904" operator="greaterThan">
      <formula>1</formula>
    </cfRule>
  </conditionalFormatting>
  <conditionalFormatting sqref="R124 R131 R127">
    <cfRule type="cellIs" dxfId="18631" priority="1901" operator="greaterThan">
      <formula>1</formula>
    </cfRule>
    <cfRule type="cellIs" dxfId="18630" priority="1902" operator="lessThan">
      <formula>0.8</formula>
    </cfRule>
  </conditionalFormatting>
  <conditionalFormatting sqref="P124 P131 P127">
    <cfRule type="cellIs" dxfId="18629" priority="1900" operator="greaterThan">
      <formula>0</formula>
    </cfRule>
  </conditionalFormatting>
  <conditionalFormatting sqref="Q124 Q131 Q127">
    <cfRule type="cellIs" dxfId="18628" priority="1899" operator="lessThan">
      <formula>0</formula>
    </cfRule>
  </conditionalFormatting>
  <conditionalFormatting sqref="R124 R131 R127">
    <cfRule type="cellIs" dxfId="18627" priority="1897" operator="lessThan">
      <formula>0.8</formula>
    </cfRule>
    <cfRule type="cellIs" dxfId="18626" priority="1898" operator="greaterThan">
      <formula>1</formula>
    </cfRule>
  </conditionalFormatting>
  <conditionalFormatting sqref="R124 R131 R127">
    <cfRule type="cellIs" dxfId="18625" priority="1895" operator="greaterThan">
      <formula>1</formula>
    </cfRule>
    <cfRule type="cellIs" dxfId="18624" priority="1896" operator="lessThan">
      <formula>0.8</formula>
    </cfRule>
  </conditionalFormatting>
  <conditionalFormatting sqref="P124 P131 P127">
    <cfRule type="cellIs" dxfId="18623" priority="1894" operator="greaterThan">
      <formula>0</formula>
    </cfRule>
  </conditionalFormatting>
  <conditionalFormatting sqref="P124 P131 P127">
    <cfRule type="cellIs" dxfId="18622" priority="1888" operator="greaterThan">
      <formula>0</formula>
    </cfRule>
  </conditionalFormatting>
  <conditionalFormatting sqref="Q124 Q131 Q127">
    <cfRule type="cellIs" dxfId="18621" priority="1893" operator="lessThan">
      <formula>0</formula>
    </cfRule>
  </conditionalFormatting>
  <conditionalFormatting sqref="R124 R131 R127">
    <cfRule type="cellIs" dxfId="18620" priority="1891" operator="lessThan">
      <formula>0.8</formula>
    </cfRule>
    <cfRule type="cellIs" dxfId="18619" priority="1892" operator="greaterThan">
      <formula>1</formula>
    </cfRule>
  </conditionalFormatting>
  <conditionalFormatting sqref="R124 R131 R127">
    <cfRule type="cellIs" dxfId="18618" priority="1889" operator="greaterThan">
      <formula>1</formula>
    </cfRule>
    <cfRule type="cellIs" dxfId="18617" priority="1890" operator="lessThan">
      <formula>0.8</formula>
    </cfRule>
  </conditionalFormatting>
  <conditionalFormatting sqref="P124 P131 P127">
    <cfRule type="cellIs" dxfId="18616" priority="1882" operator="greaterThan">
      <formula>0</formula>
    </cfRule>
  </conditionalFormatting>
  <conditionalFormatting sqref="Q124 Q131 Q127">
    <cfRule type="cellIs" dxfId="18615" priority="1887" operator="lessThan">
      <formula>0</formula>
    </cfRule>
  </conditionalFormatting>
  <conditionalFormatting sqref="R124 R131 R127">
    <cfRule type="cellIs" dxfId="18614" priority="1885" operator="lessThan">
      <formula>0.8</formula>
    </cfRule>
    <cfRule type="cellIs" dxfId="18613" priority="1886" operator="greaterThan">
      <formula>1</formula>
    </cfRule>
  </conditionalFormatting>
  <conditionalFormatting sqref="R124 R131 R127">
    <cfRule type="cellIs" dxfId="18612" priority="1883" operator="greaterThan">
      <formula>1</formula>
    </cfRule>
    <cfRule type="cellIs" dxfId="18611" priority="1884" operator="lessThan">
      <formula>0.8</formula>
    </cfRule>
  </conditionalFormatting>
  <conditionalFormatting sqref="R124 R131 R127">
    <cfRule type="cellIs" dxfId="18610" priority="1879" operator="lessThan">
      <formula>0.8</formula>
    </cfRule>
    <cfRule type="cellIs" dxfId="18609" priority="1880" operator="greaterThan">
      <formula>1</formula>
    </cfRule>
  </conditionalFormatting>
  <conditionalFormatting sqref="R124 R131 R127">
    <cfRule type="cellIs" dxfId="18608" priority="1877" operator="greaterThan">
      <formula>1</formula>
    </cfRule>
    <cfRule type="cellIs" dxfId="18607" priority="1878" operator="lessThan">
      <formula>0.8</formula>
    </cfRule>
  </conditionalFormatting>
  <conditionalFormatting sqref="P124 P131 P127">
    <cfRule type="cellIs" dxfId="18606" priority="1876" operator="greaterThan">
      <formula>0</formula>
    </cfRule>
  </conditionalFormatting>
  <conditionalFormatting sqref="Q124 Q131 Q127">
    <cfRule type="cellIs" dxfId="18605" priority="1881" operator="lessThan">
      <formula>0</formula>
    </cfRule>
  </conditionalFormatting>
  <conditionalFormatting sqref="Q5:Q15">
    <cfRule type="cellIs" dxfId="18604" priority="1875" operator="lessThan">
      <formula>0</formula>
    </cfRule>
  </conditionalFormatting>
  <conditionalFormatting sqref="R5:R15">
    <cfRule type="cellIs" dxfId="18603" priority="1873" operator="lessThan">
      <formula>0.8</formula>
    </cfRule>
    <cfRule type="cellIs" dxfId="18602" priority="1874" operator="greaterThan">
      <formula>1</formula>
    </cfRule>
  </conditionalFormatting>
  <conditionalFormatting sqref="R5:R15">
    <cfRule type="cellIs" dxfId="18601" priority="1871" operator="greaterThan">
      <formula>1</formula>
    </cfRule>
    <cfRule type="cellIs" dxfId="18600" priority="1872" operator="lessThan">
      <formula>0.8</formula>
    </cfRule>
  </conditionalFormatting>
  <conditionalFormatting sqref="P5:P15">
    <cfRule type="cellIs" dxfId="18599" priority="1870" operator="greaterThan">
      <formula>0</formula>
    </cfRule>
  </conditionalFormatting>
  <conditionalFormatting sqref="Q83">
    <cfRule type="cellIs" dxfId="18598" priority="1869" operator="lessThan">
      <formula>0</formula>
    </cfRule>
  </conditionalFormatting>
  <conditionalFormatting sqref="R83">
    <cfRule type="cellIs" dxfId="18597" priority="1867" operator="lessThan">
      <formula>0.8</formula>
    </cfRule>
    <cfRule type="cellIs" dxfId="18596" priority="1868" operator="greaterThan">
      <formula>1</formula>
    </cfRule>
  </conditionalFormatting>
  <conditionalFormatting sqref="R83">
    <cfRule type="cellIs" dxfId="18595" priority="1865" operator="greaterThan">
      <formula>1</formula>
    </cfRule>
    <cfRule type="cellIs" dxfId="18594" priority="1866" operator="lessThan">
      <formula>0.8</formula>
    </cfRule>
  </conditionalFormatting>
  <conditionalFormatting sqref="P83">
    <cfRule type="cellIs" dxfId="18593" priority="1864" operator="greaterThan">
      <formula>0</formula>
    </cfRule>
  </conditionalFormatting>
  <conditionalFormatting sqref="Q83">
    <cfRule type="cellIs" dxfId="18592" priority="1863" operator="lessThan">
      <formula>0</formula>
    </cfRule>
  </conditionalFormatting>
  <conditionalFormatting sqref="R83">
    <cfRule type="cellIs" dxfId="18591" priority="1861" operator="lessThan">
      <formula>0.8</formula>
    </cfRule>
    <cfRule type="cellIs" dxfId="18590" priority="1862" operator="greaterThan">
      <formula>1</formula>
    </cfRule>
  </conditionalFormatting>
  <conditionalFormatting sqref="R83">
    <cfRule type="cellIs" dxfId="18589" priority="1859" operator="greaterThan">
      <formula>1</formula>
    </cfRule>
    <cfRule type="cellIs" dxfId="18588" priority="1860" operator="lessThan">
      <formula>0.8</formula>
    </cfRule>
  </conditionalFormatting>
  <conditionalFormatting sqref="P83">
    <cfRule type="cellIs" dxfId="18587" priority="1858" operator="greaterThan">
      <formula>0</formula>
    </cfRule>
  </conditionalFormatting>
  <conditionalFormatting sqref="Q83">
    <cfRule type="cellIs" dxfId="18586" priority="1857" operator="lessThan">
      <formula>0</formula>
    </cfRule>
  </conditionalFormatting>
  <conditionalFormatting sqref="R83">
    <cfRule type="cellIs" dxfId="18585" priority="1855" operator="lessThan">
      <formula>0.8</formula>
    </cfRule>
    <cfRule type="cellIs" dxfId="18584" priority="1856" operator="greaterThan">
      <formula>1</formula>
    </cfRule>
  </conditionalFormatting>
  <conditionalFormatting sqref="R83">
    <cfRule type="cellIs" dxfId="18583" priority="1853" operator="greaterThan">
      <formula>1</formula>
    </cfRule>
    <cfRule type="cellIs" dxfId="18582" priority="1854" operator="lessThan">
      <formula>0.8</formula>
    </cfRule>
  </conditionalFormatting>
  <conditionalFormatting sqref="P83">
    <cfRule type="cellIs" dxfId="18581" priority="1852" operator="greaterThan">
      <formula>0</formula>
    </cfRule>
  </conditionalFormatting>
  <conditionalFormatting sqref="Q83">
    <cfRule type="cellIs" dxfId="18580" priority="1851" operator="lessThan">
      <formula>0</formula>
    </cfRule>
  </conditionalFormatting>
  <conditionalFormatting sqref="R83">
    <cfRule type="cellIs" dxfId="18579" priority="1849" operator="lessThan">
      <formula>0.8</formula>
    </cfRule>
    <cfRule type="cellIs" dxfId="18578" priority="1850" operator="greaterThan">
      <formula>1</formula>
    </cfRule>
  </conditionalFormatting>
  <conditionalFormatting sqref="R83">
    <cfRule type="cellIs" dxfId="18577" priority="1847" operator="greaterThan">
      <formula>1</formula>
    </cfRule>
    <cfRule type="cellIs" dxfId="18576" priority="1848" operator="lessThan">
      <formula>0.8</formula>
    </cfRule>
  </conditionalFormatting>
  <conditionalFormatting sqref="P83">
    <cfRule type="cellIs" dxfId="18575" priority="1846" operator="greaterThan">
      <formula>0</formula>
    </cfRule>
  </conditionalFormatting>
  <conditionalFormatting sqref="P83">
    <cfRule type="cellIs" dxfId="18574" priority="1840" operator="greaterThan">
      <formula>0</formula>
    </cfRule>
  </conditionalFormatting>
  <conditionalFormatting sqref="Q83">
    <cfRule type="cellIs" dxfId="18573" priority="1845" operator="lessThan">
      <formula>0</formula>
    </cfRule>
  </conditionalFormatting>
  <conditionalFormatting sqref="R83">
    <cfRule type="cellIs" dxfId="18572" priority="1843" operator="lessThan">
      <formula>0.8</formula>
    </cfRule>
    <cfRule type="cellIs" dxfId="18571" priority="1844" operator="greaterThan">
      <formula>1</formula>
    </cfRule>
  </conditionalFormatting>
  <conditionalFormatting sqref="R83">
    <cfRule type="cellIs" dxfId="18570" priority="1841" operator="greaterThan">
      <formula>1</formula>
    </cfRule>
    <cfRule type="cellIs" dxfId="18569" priority="1842" operator="lessThan">
      <formula>0.8</formula>
    </cfRule>
  </conditionalFormatting>
  <conditionalFormatting sqref="P83">
    <cfRule type="cellIs" dxfId="18568" priority="1834" operator="greaterThan">
      <formula>0</formula>
    </cfRule>
  </conditionalFormatting>
  <conditionalFormatting sqref="Q83">
    <cfRule type="cellIs" dxfId="18567" priority="1839" operator="lessThan">
      <formula>0</formula>
    </cfRule>
  </conditionalFormatting>
  <conditionalFormatting sqref="R83">
    <cfRule type="cellIs" dxfId="18566" priority="1837" operator="lessThan">
      <formula>0.8</formula>
    </cfRule>
    <cfRule type="cellIs" dxfId="18565" priority="1838" operator="greaterThan">
      <formula>1</formula>
    </cfRule>
  </conditionalFormatting>
  <conditionalFormatting sqref="R83">
    <cfRule type="cellIs" dxfId="18564" priority="1835" operator="greaterThan">
      <formula>1</formula>
    </cfRule>
    <cfRule type="cellIs" dxfId="18563" priority="1836" operator="lessThan">
      <formula>0.8</formula>
    </cfRule>
  </conditionalFormatting>
  <conditionalFormatting sqref="R83">
    <cfRule type="cellIs" dxfId="18562" priority="1831" operator="lessThan">
      <formula>0.8</formula>
    </cfRule>
    <cfRule type="cellIs" dxfId="18561" priority="1832" operator="greaterThan">
      <formula>1</formula>
    </cfRule>
  </conditionalFormatting>
  <conditionalFormatting sqref="R83">
    <cfRule type="cellIs" dxfId="18560" priority="1829" operator="greaterThan">
      <formula>1</formula>
    </cfRule>
    <cfRule type="cellIs" dxfId="18559" priority="1830" operator="lessThan">
      <formula>0.8</formula>
    </cfRule>
  </conditionalFormatting>
  <conditionalFormatting sqref="P83">
    <cfRule type="cellIs" dxfId="18558" priority="1828" operator="greaterThan">
      <formula>0</formula>
    </cfRule>
  </conditionalFormatting>
  <conditionalFormatting sqref="Q83">
    <cfRule type="cellIs" dxfId="18557" priority="1833" operator="lessThan">
      <formula>0</formula>
    </cfRule>
  </conditionalFormatting>
  <conditionalFormatting sqref="Q83">
    <cfRule type="cellIs" dxfId="18556" priority="1827" operator="lessThan">
      <formula>0</formula>
    </cfRule>
  </conditionalFormatting>
  <conditionalFormatting sqref="R83">
    <cfRule type="cellIs" dxfId="18555" priority="1825" operator="lessThan">
      <formula>0.8</formula>
    </cfRule>
    <cfRule type="cellIs" dxfId="18554" priority="1826" operator="greaterThan">
      <formula>1</formula>
    </cfRule>
  </conditionalFormatting>
  <conditionalFormatting sqref="R83">
    <cfRule type="cellIs" dxfId="18553" priority="1823" operator="greaterThan">
      <formula>1</formula>
    </cfRule>
    <cfRule type="cellIs" dxfId="18552" priority="1824" operator="lessThan">
      <formula>0.8</formula>
    </cfRule>
  </conditionalFormatting>
  <conditionalFormatting sqref="P83">
    <cfRule type="cellIs" dxfId="18551" priority="1822" operator="greaterThan">
      <formula>0</formula>
    </cfRule>
  </conditionalFormatting>
  <conditionalFormatting sqref="P83">
    <cfRule type="cellIs" dxfId="18550" priority="1816" operator="greaterThan">
      <formula>0</formula>
    </cfRule>
  </conditionalFormatting>
  <conditionalFormatting sqref="Q83">
    <cfRule type="cellIs" dxfId="18549" priority="1821" operator="lessThan">
      <formula>0</formula>
    </cfRule>
  </conditionalFormatting>
  <conditionalFormatting sqref="R83">
    <cfRule type="cellIs" dxfId="18548" priority="1819" operator="lessThan">
      <formula>0.8</formula>
    </cfRule>
    <cfRule type="cellIs" dxfId="18547" priority="1820" operator="greaterThan">
      <formula>1</formula>
    </cfRule>
  </conditionalFormatting>
  <conditionalFormatting sqref="R83">
    <cfRule type="cellIs" dxfId="18546" priority="1817" operator="greaterThan">
      <formula>1</formula>
    </cfRule>
    <cfRule type="cellIs" dxfId="18545" priority="1818" operator="lessThan">
      <formula>0.8</formula>
    </cfRule>
  </conditionalFormatting>
  <conditionalFormatting sqref="P83">
    <cfRule type="cellIs" dxfId="18544" priority="1810" operator="greaterThan">
      <formula>0</formula>
    </cfRule>
  </conditionalFormatting>
  <conditionalFormatting sqref="Q83">
    <cfRule type="cellIs" dxfId="18543" priority="1815" operator="lessThan">
      <formula>0</formula>
    </cfRule>
  </conditionalFormatting>
  <conditionalFormatting sqref="R83">
    <cfRule type="cellIs" dxfId="18542" priority="1813" operator="lessThan">
      <formula>0.8</formula>
    </cfRule>
    <cfRule type="cellIs" dxfId="18541" priority="1814" operator="greaterThan">
      <formula>1</formula>
    </cfRule>
  </conditionalFormatting>
  <conditionalFormatting sqref="R83">
    <cfRule type="cellIs" dxfId="18540" priority="1811" operator="greaterThan">
      <formula>1</formula>
    </cfRule>
    <cfRule type="cellIs" dxfId="18539" priority="1812" operator="lessThan">
      <formula>0.8</formula>
    </cfRule>
  </conditionalFormatting>
  <conditionalFormatting sqref="R83">
    <cfRule type="cellIs" dxfId="18538" priority="1807" operator="lessThan">
      <formula>0.8</formula>
    </cfRule>
    <cfRule type="cellIs" dxfId="18537" priority="1808" operator="greaterThan">
      <formula>1</formula>
    </cfRule>
  </conditionalFormatting>
  <conditionalFormatting sqref="R83">
    <cfRule type="cellIs" dxfId="18536" priority="1805" operator="greaterThan">
      <formula>1</formula>
    </cfRule>
    <cfRule type="cellIs" dxfId="18535" priority="1806" operator="lessThan">
      <formula>0.8</formula>
    </cfRule>
  </conditionalFormatting>
  <conditionalFormatting sqref="P83">
    <cfRule type="cellIs" dxfId="18534" priority="1804" operator="greaterThan">
      <formula>0</formula>
    </cfRule>
  </conditionalFormatting>
  <conditionalFormatting sqref="Q83">
    <cfRule type="cellIs" dxfId="18533" priority="1809" operator="lessThan">
      <formula>0</formula>
    </cfRule>
  </conditionalFormatting>
  <conditionalFormatting sqref="P83">
    <cfRule type="cellIs" dxfId="18532" priority="1798" operator="greaterThan">
      <formula>0</formula>
    </cfRule>
  </conditionalFormatting>
  <conditionalFormatting sqref="Q83">
    <cfRule type="cellIs" dxfId="18531" priority="1803" operator="lessThan">
      <formula>0</formula>
    </cfRule>
  </conditionalFormatting>
  <conditionalFormatting sqref="R83">
    <cfRule type="cellIs" dxfId="18530" priority="1801" operator="lessThan">
      <formula>0.8</formula>
    </cfRule>
    <cfRule type="cellIs" dxfId="18529" priority="1802" operator="greaterThan">
      <formula>1</formula>
    </cfRule>
  </conditionalFormatting>
  <conditionalFormatting sqref="R83">
    <cfRule type="cellIs" dxfId="18528" priority="1799" operator="greaterThan">
      <formula>1</formula>
    </cfRule>
    <cfRule type="cellIs" dxfId="18527" priority="1800" operator="lessThan">
      <formula>0.8</formula>
    </cfRule>
  </conditionalFormatting>
  <conditionalFormatting sqref="R83">
    <cfRule type="cellIs" dxfId="18526" priority="1795" operator="lessThan">
      <formula>0.8</formula>
    </cfRule>
    <cfRule type="cellIs" dxfId="18525" priority="1796" operator="greaterThan">
      <formula>1</formula>
    </cfRule>
  </conditionalFormatting>
  <conditionalFormatting sqref="R83">
    <cfRule type="cellIs" dxfId="18524" priority="1793" operator="greaterThan">
      <formula>1</formula>
    </cfRule>
    <cfRule type="cellIs" dxfId="18523" priority="1794" operator="lessThan">
      <formula>0.8</formula>
    </cfRule>
  </conditionalFormatting>
  <conditionalFormatting sqref="P83">
    <cfRule type="cellIs" dxfId="18522" priority="1792" operator="greaterThan">
      <formula>0</formula>
    </cfRule>
  </conditionalFormatting>
  <conditionalFormatting sqref="Q83">
    <cfRule type="cellIs" dxfId="18521" priority="1797" operator="lessThan">
      <formula>0</formula>
    </cfRule>
  </conditionalFormatting>
  <conditionalFormatting sqref="R83">
    <cfRule type="cellIs" dxfId="18520" priority="1789" operator="lessThan">
      <formula>0.8</formula>
    </cfRule>
    <cfRule type="cellIs" dxfId="18519" priority="1790" operator="greaterThan">
      <formula>1</formula>
    </cfRule>
  </conditionalFormatting>
  <conditionalFormatting sqref="R83">
    <cfRule type="cellIs" dxfId="18518" priority="1787" operator="greaterThan">
      <formula>1</formula>
    </cfRule>
    <cfRule type="cellIs" dxfId="18517" priority="1788" operator="lessThan">
      <formula>0.8</formula>
    </cfRule>
  </conditionalFormatting>
  <conditionalFormatting sqref="P83">
    <cfRule type="cellIs" dxfId="18516" priority="1786" operator="greaterThan">
      <formula>0</formula>
    </cfRule>
  </conditionalFormatting>
  <conditionalFormatting sqref="Q83">
    <cfRule type="cellIs" dxfId="18515" priority="1791" operator="lessThan">
      <formula>0</formula>
    </cfRule>
  </conditionalFormatting>
  <conditionalFormatting sqref="Q83">
    <cfRule type="cellIs" dxfId="18514" priority="1785" operator="lessThan">
      <formula>0</formula>
    </cfRule>
  </conditionalFormatting>
  <conditionalFormatting sqref="R83">
    <cfRule type="cellIs" dxfId="18513" priority="1783" operator="lessThan">
      <formula>0.8</formula>
    </cfRule>
    <cfRule type="cellIs" dxfId="18512" priority="1784" operator="greaterThan">
      <formula>1</formula>
    </cfRule>
  </conditionalFormatting>
  <conditionalFormatting sqref="R83">
    <cfRule type="cellIs" dxfId="18511" priority="1781" operator="greaterThan">
      <formula>1</formula>
    </cfRule>
    <cfRule type="cellIs" dxfId="18510" priority="1782" operator="lessThan">
      <formula>0.8</formula>
    </cfRule>
  </conditionalFormatting>
  <conditionalFormatting sqref="P83">
    <cfRule type="cellIs" dxfId="18509" priority="1780" operator="greaterThan">
      <formula>0</formula>
    </cfRule>
  </conditionalFormatting>
  <conditionalFormatting sqref="Q83">
    <cfRule type="cellIs" dxfId="18508" priority="1774" operator="lessThan">
      <formula>0</formula>
    </cfRule>
  </conditionalFormatting>
  <conditionalFormatting sqref="R83">
    <cfRule type="cellIs" dxfId="18507" priority="1778" operator="lessThan">
      <formula>0.8</formula>
    </cfRule>
    <cfRule type="cellIs" dxfId="18506" priority="1779" operator="greaterThan">
      <formula>1</formula>
    </cfRule>
  </conditionalFormatting>
  <conditionalFormatting sqref="R83">
    <cfRule type="cellIs" dxfId="18505" priority="1776" operator="greaterThan">
      <formula>1</formula>
    </cfRule>
    <cfRule type="cellIs" dxfId="18504" priority="1777" operator="lessThan">
      <formula>0.8</formula>
    </cfRule>
  </conditionalFormatting>
  <conditionalFormatting sqref="P83">
    <cfRule type="cellIs" dxfId="18503" priority="1775" operator="greaterThan">
      <formula>0</formula>
    </cfRule>
  </conditionalFormatting>
  <conditionalFormatting sqref="Q83">
    <cfRule type="cellIs" dxfId="18502" priority="1773" operator="lessThan">
      <formula>0</formula>
    </cfRule>
  </conditionalFormatting>
  <conditionalFormatting sqref="R83">
    <cfRule type="cellIs" dxfId="18501" priority="1771" operator="lessThan">
      <formula>0.8</formula>
    </cfRule>
    <cfRule type="cellIs" dxfId="18500" priority="1772" operator="greaterThan">
      <formula>1</formula>
    </cfRule>
  </conditionalFormatting>
  <conditionalFormatting sqref="R83">
    <cfRule type="cellIs" dxfId="18499" priority="1769" operator="greaterThan">
      <formula>1</formula>
    </cfRule>
    <cfRule type="cellIs" dxfId="18498" priority="1770" operator="lessThan">
      <formula>0.8</formula>
    </cfRule>
  </conditionalFormatting>
  <conditionalFormatting sqref="P83">
    <cfRule type="cellIs" dxfId="18497" priority="1768" operator="greaterThan">
      <formula>0</formula>
    </cfRule>
  </conditionalFormatting>
  <conditionalFormatting sqref="Q83">
    <cfRule type="cellIs" dxfId="18496" priority="1767" operator="lessThan">
      <formula>0</formula>
    </cfRule>
  </conditionalFormatting>
  <conditionalFormatting sqref="R83">
    <cfRule type="cellIs" dxfId="18495" priority="1765" operator="lessThan">
      <formula>0.8</formula>
    </cfRule>
    <cfRule type="cellIs" dxfId="18494" priority="1766" operator="greaterThan">
      <formula>1</formula>
    </cfRule>
  </conditionalFormatting>
  <conditionalFormatting sqref="R83">
    <cfRule type="cellIs" dxfId="18493" priority="1763" operator="greaterThan">
      <formula>1</formula>
    </cfRule>
    <cfRule type="cellIs" dxfId="18492" priority="1764" operator="lessThan">
      <formula>0.8</formula>
    </cfRule>
  </conditionalFormatting>
  <conditionalFormatting sqref="P83">
    <cfRule type="cellIs" dxfId="18491" priority="1762" operator="greaterThan">
      <formula>0</formula>
    </cfRule>
  </conditionalFormatting>
  <conditionalFormatting sqref="Q83">
    <cfRule type="cellIs" dxfId="18490" priority="1761" operator="lessThan">
      <formula>0</formula>
    </cfRule>
  </conditionalFormatting>
  <conditionalFormatting sqref="R83">
    <cfRule type="cellIs" dxfId="18489" priority="1759" operator="lessThan">
      <formula>0.8</formula>
    </cfRule>
    <cfRule type="cellIs" dxfId="18488" priority="1760" operator="greaterThan">
      <formula>1</formula>
    </cfRule>
  </conditionalFormatting>
  <conditionalFormatting sqref="R83">
    <cfRule type="cellIs" dxfId="18487" priority="1757" operator="greaterThan">
      <formula>1</formula>
    </cfRule>
    <cfRule type="cellIs" dxfId="18486" priority="1758" operator="lessThan">
      <formula>0.8</formula>
    </cfRule>
  </conditionalFormatting>
  <conditionalFormatting sqref="P83">
    <cfRule type="cellIs" dxfId="18485" priority="1756" operator="greaterThan">
      <formula>0</formula>
    </cfRule>
  </conditionalFormatting>
  <conditionalFormatting sqref="Q83">
    <cfRule type="cellIs" dxfId="18484" priority="1755" operator="lessThan">
      <formula>0</formula>
    </cfRule>
  </conditionalFormatting>
  <conditionalFormatting sqref="R83">
    <cfRule type="cellIs" dxfId="18483" priority="1753" operator="lessThan">
      <formula>0.8</formula>
    </cfRule>
    <cfRule type="cellIs" dxfId="18482" priority="1754" operator="greaterThan">
      <formula>1</formula>
    </cfRule>
  </conditionalFormatting>
  <conditionalFormatting sqref="R83">
    <cfRule type="cellIs" dxfId="18481" priority="1751" operator="greaterThan">
      <formula>1</formula>
    </cfRule>
    <cfRule type="cellIs" dxfId="18480" priority="1752" operator="lessThan">
      <formula>0.8</formula>
    </cfRule>
  </conditionalFormatting>
  <conditionalFormatting sqref="P83">
    <cfRule type="cellIs" dxfId="18479" priority="1750" operator="greaterThan">
      <formula>0</formula>
    </cfRule>
  </conditionalFormatting>
  <conditionalFormatting sqref="Q83">
    <cfRule type="cellIs" dxfId="18478" priority="1749" operator="lessThan">
      <formula>0</formula>
    </cfRule>
  </conditionalFormatting>
  <conditionalFormatting sqref="R83">
    <cfRule type="cellIs" dxfId="18477" priority="1747" operator="lessThan">
      <formula>0.8</formula>
    </cfRule>
    <cfRule type="cellIs" dxfId="18476" priority="1748" operator="greaterThan">
      <formula>1</formula>
    </cfRule>
  </conditionalFormatting>
  <conditionalFormatting sqref="R83">
    <cfRule type="cellIs" dxfId="18475" priority="1745" operator="greaterThan">
      <formula>1</formula>
    </cfRule>
    <cfRule type="cellIs" dxfId="18474" priority="1746" operator="lessThan">
      <formula>0.8</formula>
    </cfRule>
  </conditionalFormatting>
  <conditionalFormatting sqref="P83">
    <cfRule type="cellIs" dxfId="18473" priority="1744" operator="greaterThan">
      <formula>0</formula>
    </cfRule>
  </conditionalFormatting>
  <conditionalFormatting sqref="P83">
    <cfRule type="cellIs" dxfId="18472" priority="1738" operator="greaterThan">
      <formula>0</formula>
    </cfRule>
  </conditionalFormatting>
  <conditionalFormatting sqref="Q83">
    <cfRule type="cellIs" dxfId="18471" priority="1743" operator="lessThan">
      <formula>0</formula>
    </cfRule>
  </conditionalFormatting>
  <conditionalFormatting sqref="R83">
    <cfRule type="cellIs" dxfId="18470" priority="1741" operator="lessThan">
      <formula>0.8</formula>
    </cfRule>
    <cfRule type="cellIs" dxfId="18469" priority="1742" operator="greaterThan">
      <formula>1</formula>
    </cfRule>
  </conditionalFormatting>
  <conditionalFormatting sqref="R83">
    <cfRule type="cellIs" dxfId="18468" priority="1739" operator="greaterThan">
      <formula>1</formula>
    </cfRule>
    <cfRule type="cellIs" dxfId="18467" priority="1740" operator="lessThan">
      <formula>0.8</formula>
    </cfRule>
  </conditionalFormatting>
  <conditionalFormatting sqref="P83">
    <cfRule type="cellIs" dxfId="18466" priority="1732" operator="greaterThan">
      <formula>0</formula>
    </cfRule>
  </conditionalFormatting>
  <conditionalFormatting sqref="Q83">
    <cfRule type="cellIs" dxfId="18465" priority="1737" operator="lessThan">
      <formula>0</formula>
    </cfRule>
  </conditionalFormatting>
  <conditionalFormatting sqref="R83">
    <cfRule type="cellIs" dxfId="18464" priority="1735" operator="lessThan">
      <formula>0.8</formula>
    </cfRule>
    <cfRule type="cellIs" dxfId="18463" priority="1736" operator="greaterThan">
      <formula>1</formula>
    </cfRule>
  </conditionalFormatting>
  <conditionalFormatting sqref="R83">
    <cfRule type="cellIs" dxfId="18462" priority="1733" operator="greaterThan">
      <formula>1</formula>
    </cfRule>
    <cfRule type="cellIs" dxfId="18461" priority="1734" operator="lessThan">
      <formula>0.8</formula>
    </cfRule>
  </conditionalFormatting>
  <conditionalFormatting sqref="R83">
    <cfRule type="cellIs" dxfId="18460" priority="1729" operator="lessThan">
      <formula>0.8</formula>
    </cfRule>
    <cfRule type="cellIs" dxfId="18459" priority="1730" operator="greaterThan">
      <formula>1</formula>
    </cfRule>
  </conditionalFormatting>
  <conditionalFormatting sqref="R83">
    <cfRule type="cellIs" dxfId="18458" priority="1727" operator="greaterThan">
      <formula>1</formula>
    </cfRule>
    <cfRule type="cellIs" dxfId="18457" priority="1728" operator="lessThan">
      <formula>0.8</formula>
    </cfRule>
  </conditionalFormatting>
  <conditionalFormatting sqref="P83">
    <cfRule type="cellIs" dxfId="18456" priority="1726" operator="greaterThan">
      <formula>0</formula>
    </cfRule>
  </conditionalFormatting>
  <conditionalFormatting sqref="Q83">
    <cfRule type="cellIs" dxfId="18455" priority="1731" operator="lessThan">
      <formula>0</formula>
    </cfRule>
  </conditionalFormatting>
  <conditionalFormatting sqref="Q83">
    <cfRule type="cellIs" dxfId="18454" priority="1720" operator="lessThan">
      <formula>0</formula>
    </cfRule>
  </conditionalFormatting>
  <conditionalFormatting sqref="P83">
    <cfRule type="cellIs" dxfId="18453" priority="1721" operator="greaterThan">
      <formula>0</formula>
    </cfRule>
  </conditionalFormatting>
  <conditionalFormatting sqref="R83">
    <cfRule type="cellIs" dxfId="18452" priority="1724" operator="lessThan">
      <formula>0.8</formula>
    </cfRule>
    <cfRule type="cellIs" dxfId="18451" priority="1725" operator="greaterThan">
      <formula>1</formula>
    </cfRule>
  </conditionalFormatting>
  <conditionalFormatting sqref="R83">
    <cfRule type="cellIs" dxfId="18450" priority="1722" operator="greaterThan">
      <formula>1</formula>
    </cfRule>
    <cfRule type="cellIs" dxfId="18449" priority="1723" operator="lessThan">
      <formula>0.8</formula>
    </cfRule>
  </conditionalFormatting>
  <conditionalFormatting sqref="Q83">
    <cfRule type="cellIs" dxfId="18448" priority="1714" operator="lessThan">
      <formula>0</formula>
    </cfRule>
  </conditionalFormatting>
  <conditionalFormatting sqref="R83">
    <cfRule type="cellIs" dxfId="18447" priority="1718" operator="lessThan">
      <formula>0.8</formula>
    </cfRule>
    <cfRule type="cellIs" dxfId="18446" priority="1719" operator="greaterThan">
      <formula>1</formula>
    </cfRule>
  </conditionalFormatting>
  <conditionalFormatting sqref="R83">
    <cfRule type="cellIs" dxfId="18445" priority="1716" operator="greaterThan">
      <formula>1</formula>
    </cfRule>
    <cfRule type="cellIs" dxfId="18444" priority="1717" operator="lessThan">
      <formula>0.8</formula>
    </cfRule>
  </conditionalFormatting>
  <conditionalFormatting sqref="P83">
    <cfRule type="cellIs" dxfId="18443" priority="1715" operator="greaterThan">
      <formula>0</formula>
    </cfRule>
  </conditionalFormatting>
  <conditionalFormatting sqref="Q83">
    <cfRule type="cellIs" dxfId="18442" priority="1713" operator="lessThan">
      <formula>0</formula>
    </cfRule>
  </conditionalFormatting>
  <conditionalFormatting sqref="R83">
    <cfRule type="cellIs" dxfId="18441" priority="1711" operator="lessThan">
      <formula>0.8</formula>
    </cfRule>
    <cfRule type="cellIs" dxfId="18440" priority="1712" operator="greaterThan">
      <formula>1</formula>
    </cfRule>
  </conditionalFormatting>
  <conditionalFormatting sqref="R83">
    <cfRule type="cellIs" dxfId="18439" priority="1709" operator="greaterThan">
      <formula>1</formula>
    </cfRule>
    <cfRule type="cellIs" dxfId="18438" priority="1710" operator="lessThan">
      <formula>0.8</formula>
    </cfRule>
  </conditionalFormatting>
  <conditionalFormatting sqref="P83">
    <cfRule type="cellIs" dxfId="18437" priority="1708" operator="greaterThan">
      <formula>0</formula>
    </cfRule>
  </conditionalFormatting>
  <conditionalFormatting sqref="Q83">
    <cfRule type="cellIs" dxfId="18436" priority="1707" operator="lessThan">
      <formula>0</formula>
    </cfRule>
  </conditionalFormatting>
  <conditionalFormatting sqref="R83">
    <cfRule type="cellIs" dxfId="18435" priority="1705" operator="lessThan">
      <formula>0.8</formula>
    </cfRule>
    <cfRule type="cellIs" dxfId="18434" priority="1706" operator="greaterThan">
      <formula>1</formula>
    </cfRule>
  </conditionalFormatting>
  <conditionalFormatting sqref="R83">
    <cfRule type="cellIs" dxfId="18433" priority="1703" operator="greaterThan">
      <formula>1</formula>
    </cfRule>
    <cfRule type="cellIs" dxfId="18432" priority="1704" operator="lessThan">
      <formula>0.8</formula>
    </cfRule>
  </conditionalFormatting>
  <conditionalFormatting sqref="P83">
    <cfRule type="cellIs" dxfId="18431" priority="1702" operator="greaterThan">
      <formula>0</formula>
    </cfRule>
  </conditionalFormatting>
  <conditionalFormatting sqref="Q83">
    <cfRule type="cellIs" dxfId="18430" priority="1701" operator="lessThan">
      <formula>0</formula>
    </cfRule>
  </conditionalFormatting>
  <conditionalFormatting sqref="R83">
    <cfRule type="cellIs" dxfId="18429" priority="1699" operator="lessThan">
      <formula>0.8</formula>
    </cfRule>
    <cfRule type="cellIs" dxfId="18428" priority="1700" operator="greaterThan">
      <formula>1</formula>
    </cfRule>
  </conditionalFormatting>
  <conditionalFormatting sqref="R83">
    <cfRule type="cellIs" dxfId="18427" priority="1697" operator="greaterThan">
      <formula>1</formula>
    </cfRule>
    <cfRule type="cellIs" dxfId="18426" priority="1698" operator="lessThan">
      <formula>0.8</formula>
    </cfRule>
  </conditionalFormatting>
  <conditionalFormatting sqref="P83">
    <cfRule type="cellIs" dxfId="18425" priority="1696" operator="greaterThan">
      <formula>0</formula>
    </cfRule>
  </conditionalFormatting>
  <conditionalFormatting sqref="Q32:Q39">
    <cfRule type="cellIs" dxfId="18424" priority="1690" operator="lessThan">
      <formula>0</formula>
    </cfRule>
  </conditionalFormatting>
  <conditionalFormatting sqref="P32:P39">
    <cfRule type="cellIs" dxfId="18423" priority="1691" operator="greaterThan">
      <formula>0</formula>
    </cfRule>
  </conditionalFormatting>
  <conditionalFormatting sqref="R32:R39">
    <cfRule type="cellIs" dxfId="18422" priority="1694" operator="lessThan">
      <formula>0.8</formula>
    </cfRule>
    <cfRule type="cellIs" dxfId="18421" priority="1695" operator="greaterThan">
      <formula>1</formula>
    </cfRule>
  </conditionalFormatting>
  <conditionalFormatting sqref="R32:R39">
    <cfRule type="cellIs" dxfId="18420" priority="1692" operator="greaterThan">
      <formula>1</formula>
    </cfRule>
    <cfRule type="cellIs" dxfId="18419" priority="1693" operator="lessThan">
      <formula>0.8</formula>
    </cfRule>
  </conditionalFormatting>
  <conditionalFormatting sqref="Q32:Q39">
    <cfRule type="cellIs" dxfId="18418" priority="1684" operator="lessThan">
      <formula>0</formula>
    </cfRule>
  </conditionalFormatting>
  <conditionalFormatting sqref="R32:R39">
    <cfRule type="cellIs" dxfId="18417" priority="1688" operator="lessThan">
      <formula>0.8</formula>
    </cfRule>
    <cfRule type="cellIs" dxfId="18416" priority="1689" operator="greaterThan">
      <formula>1</formula>
    </cfRule>
  </conditionalFormatting>
  <conditionalFormatting sqref="R32:R39">
    <cfRule type="cellIs" dxfId="18415" priority="1686" operator="greaterThan">
      <formula>1</formula>
    </cfRule>
    <cfRule type="cellIs" dxfId="18414" priority="1687" operator="lessThan">
      <formula>0.8</formula>
    </cfRule>
  </conditionalFormatting>
  <conditionalFormatting sqref="P32:P39">
    <cfRule type="cellIs" dxfId="18413" priority="1685" operator="greaterThan">
      <formula>0</formula>
    </cfRule>
  </conditionalFormatting>
  <conditionalFormatting sqref="Q32:Q39">
    <cfRule type="cellIs" dxfId="18412" priority="1683" operator="lessThan">
      <formula>0</formula>
    </cfRule>
  </conditionalFormatting>
  <conditionalFormatting sqref="R32:R39">
    <cfRule type="cellIs" dxfId="18411" priority="1681" operator="lessThan">
      <formula>0.8</formula>
    </cfRule>
    <cfRule type="cellIs" dxfId="18410" priority="1682" operator="greaterThan">
      <formula>1</formula>
    </cfRule>
  </conditionalFormatting>
  <conditionalFormatting sqref="R32:R39">
    <cfRule type="cellIs" dxfId="18409" priority="1679" operator="greaterThan">
      <formula>1</formula>
    </cfRule>
    <cfRule type="cellIs" dxfId="18408" priority="1680" operator="lessThan">
      <formula>0.8</formula>
    </cfRule>
  </conditionalFormatting>
  <conditionalFormatting sqref="P32:P39">
    <cfRule type="cellIs" dxfId="18407" priority="1678" operator="greaterThan">
      <formula>0</formula>
    </cfRule>
  </conditionalFormatting>
  <conditionalFormatting sqref="Q32:Q39">
    <cfRule type="cellIs" dxfId="18406" priority="1677" operator="lessThan">
      <formula>0</formula>
    </cfRule>
  </conditionalFormatting>
  <conditionalFormatting sqref="R32:R39">
    <cfRule type="cellIs" dxfId="18405" priority="1675" operator="lessThan">
      <formula>0.8</formula>
    </cfRule>
    <cfRule type="cellIs" dxfId="18404" priority="1676" operator="greaterThan">
      <formula>1</formula>
    </cfRule>
  </conditionalFormatting>
  <conditionalFormatting sqref="R32:R39">
    <cfRule type="cellIs" dxfId="18403" priority="1673" operator="greaterThan">
      <formula>1</formula>
    </cfRule>
    <cfRule type="cellIs" dxfId="18402" priority="1674" operator="lessThan">
      <formula>0.8</formula>
    </cfRule>
  </conditionalFormatting>
  <conditionalFormatting sqref="P32:P39">
    <cfRule type="cellIs" dxfId="18401" priority="1672" operator="greaterThan">
      <formula>0</formula>
    </cfRule>
  </conditionalFormatting>
  <conditionalFormatting sqref="Q32:Q39">
    <cfRule type="cellIs" dxfId="18400" priority="1666" operator="lessThan">
      <formula>0</formula>
    </cfRule>
  </conditionalFormatting>
  <conditionalFormatting sqref="R32:R39">
    <cfRule type="cellIs" dxfId="18399" priority="1670" operator="lessThan">
      <formula>0.8</formula>
    </cfRule>
    <cfRule type="cellIs" dxfId="18398" priority="1671" operator="greaterThan">
      <formula>1</formula>
    </cfRule>
  </conditionalFormatting>
  <conditionalFormatting sqref="R32:R39">
    <cfRule type="cellIs" dxfId="18397" priority="1668" operator="greaterThan">
      <formula>1</formula>
    </cfRule>
    <cfRule type="cellIs" dxfId="18396" priority="1669" operator="lessThan">
      <formula>0.8</formula>
    </cfRule>
  </conditionalFormatting>
  <conditionalFormatting sqref="P32:P39">
    <cfRule type="cellIs" dxfId="18395" priority="1667" operator="greaterThan">
      <formula>0</formula>
    </cfRule>
  </conditionalFormatting>
  <conditionalFormatting sqref="Q32:Q39">
    <cfRule type="cellIs" dxfId="18394" priority="1665" operator="lessThan">
      <formula>0</formula>
    </cfRule>
  </conditionalFormatting>
  <conditionalFormatting sqref="R32:R39">
    <cfRule type="cellIs" dxfId="18393" priority="1663" operator="lessThan">
      <formula>0.8</formula>
    </cfRule>
    <cfRule type="cellIs" dxfId="18392" priority="1664" operator="greaterThan">
      <formula>1</formula>
    </cfRule>
  </conditionalFormatting>
  <conditionalFormatting sqref="R32:R39">
    <cfRule type="cellIs" dxfId="18391" priority="1661" operator="greaterThan">
      <formula>1</formula>
    </cfRule>
    <cfRule type="cellIs" dxfId="18390" priority="1662" operator="lessThan">
      <formula>0.8</formula>
    </cfRule>
  </conditionalFormatting>
  <conditionalFormatting sqref="P32:P39">
    <cfRule type="cellIs" dxfId="18389" priority="1660" operator="greaterThan">
      <formula>0</formula>
    </cfRule>
  </conditionalFormatting>
  <conditionalFormatting sqref="Q32:Q39">
    <cfRule type="cellIs" dxfId="18388" priority="1659" operator="lessThan">
      <formula>0</formula>
    </cfRule>
  </conditionalFormatting>
  <conditionalFormatting sqref="R32:R39">
    <cfRule type="cellIs" dxfId="18387" priority="1657" operator="lessThan">
      <formula>0.8</formula>
    </cfRule>
    <cfRule type="cellIs" dxfId="18386" priority="1658" operator="greaterThan">
      <formula>1</formula>
    </cfRule>
  </conditionalFormatting>
  <conditionalFormatting sqref="R32:R39">
    <cfRule type="cellIs" dxfId="18385" priority="1655" operator="greaterThan">
      <formula>1</formula>
    </cfRule>
    <cfRule type="cellIs" dxfId="18384" priority="1656" operator="lessThan">
      <formula>0.8</formula>
    </cfRule>
  </conditionalFormatting>
  <conditionalFormatting sqref="P32:P39">
    <cfRule type="cellIs" dxfId="18383" priority="1654" operator="greaterThan">
      <formula>0</formula>
    </cfRule>
  </conditionalFormatting>
  <conditionalFormatting sqref="Q32:Q39">
    <cfRule type="cellIs" dxfId="18382" priority="1653" operator="lessThan">
      <formula>0</formula>
    </cfRule>
  </conditionalFormatting>
  <conditionalFormatting sqref="R32:R39">
    <cfRule type="cellIs" dxfId="18381" priority="1651" operator="lessThan">
      <formula>0.8</formula>
    </cfRule>
    <cfRule type="cellIs" dxfId="18380" priority="1652" operator="greaterThan">
      <formula>1</formula>
    </cfRule>
  </conditionalFormatting>
  <conditionalFormatting sqref="R32:R39">
    <cfRule type="cellIs" dxfId="18379" priority="1649" operator="greaterThan">
      <formula>1</formula>
    </cfRule>
    <cfRule type="cellIs" dxfId="18378" priority="1650" operator="lessThan">
      <formula>0.8</formula>
    </cfRule>
  </conditionalFormatting>
  <conditionalFormatting sqref="P32:P39">
    <cfRule type="cellIs" dxfId="18377" priority="1648" operator="greaterThan">
      <formula>0</formula>
    </cfRule>
  </conditionalFormatting>
  <conditionalFormatting sqref="Q32:Q39">
    <cfRule type="cellIs" dxfId="18376" priority="1647" operator="lessThan">
      <formula>0</formula>
    </cfRule>
  </conditionalFormatting>
  <conditionalFormatting sqref="R32:R39">
    <cfRule type="cellIs" dxfId="18375" priority="1645" operator="lessThan">
      <formula>0.8</formula>
    </cfRule>
    <cfRule type="cellIs" dxfId="18374" priority="1646" operator="greaterThan">
      <formula>1</formula>
    </cfRule>
  </conditionalFormatting>
  <conditionalFormatting sqref="R32:R39">
    <cfRule type="cellIs" dxfId="18373" priority="1643" operator="greaterThan">
      <formula>1</formula>
    </cfRule>
    <cfRule type="cellIs" dxfId="18372" priority="1644" operator="lessThan">
      <formula>0.8</formula>
    </cfRule>
  </conditionalFormatting>
  <conditionalFormatting sqref="P32:P39">
    <cfRule type="cellIs" dxfId="18371" priority="1642" operator="greaterThan">
      <formula>0</formula>
    </cfRule>
  </conditionalFormatting>
  <conditionalFormatting sqref="Q32:Q39">
    <cfRule type="cellIs" dxfId="18370" priority="1641" operator="lessThan">
      <formula>0</formula>
    </cfRule>
  </conditionalFormatting>
  <conditionalFormatting sqref="R32:R39">
    <cfRule type="cellIs" dxfId="18369" priority="1639" operator="lessThan">
      <formula>0.8</formula>
    </cfRule>
    <cfRule type="cellIs" dxfId="18368" priority="1640" operator="greaterThan">
      <formula>1</formula>
    </cfRule>
  </conditionalFormatting>
  <conditionalFormatting sqref="R32:R39">
    <cfRule type="cellIs" dxfId="18367" priority="1637" operator="greaterThan">
      <formula>1</formula>
    </cfRule>
    <cfRule type="cellIs" dxfId="18366" priority="1638" operator="lessThan">
      <formula>0.8</formula>
    </cfRule>
  </conditionalFormatting>
  <conditionalFormatting sqref="P32:P39">
    <cfRule type="cellIs" dxfId="18365" priority="1636" operator="greaterThan">
      <formula>0</formula>
    </cfRule>
  </conditionalFormatting>
  <conditionalFormatting sqref="P32:P39">
    <cfRule type="cellIs" dxfId="18364" priority="1630" operator="greaterThan">
      <formula>0</formula>
    </cfRule>
  </conditionalFormatting>
  <conditionalFormatting sqref="Q32:Q39">
    <cfRule type="cellIs" dxfId="18363" priority="1635" operator="lessThan">
      <formula>0</formula>
    </cfRule>
  </conditionalFormatting>
  <conditionalFormatting sqref="R32:R39">
    <cfRule type="cellIs" dxfId="18362" priority="1633" operator="lessThan">
      <formula>0.8</formula>
    </cfRule>
    <cfRule type="cellIs" dxfId="18361" priority="1634" operator="greaterThan">
      <formula>1</formula>
    </cfRule>
  </conditionalFormatting>
  <conditionalFormatting sqref="R32:R39">
    <cfRule type="cellIs" dxfId="18360" priority="1631" operator="greaterThan">
      <formula>1</formula>
    </cfRule>
    <cfRule type="cellIs" dxfId="18359" priority="1632" operator="lessThan">
      <formula>0.8</formula>
    </cfRule>
  </conditionalFormatting>
  <conditionalFormatting sqref="P32:P39">
    <cfRule type="cellIs" dxfId="18358" priority="1624" operator="greaterThan">
      <formula>0</formula>
    </cfRule>
  </conditionalFormatting>
  <conditionalFormatting sqref="Q32:Q39">
    <cfRule type="cellIs" dxfId="18357" priority="1629" operator="lessThan">
      <formula>0</formula>
    </cfRule>
  </conditionalFormatting>
  <conditionalFormatting sqref="R32:R39">
    <cfRule type="cellIs" dxfId="18356" priority="1627" operator="lessThan">
      <formula>0.8</formula>
    </cfRule>
    <cfRule type="cellIs" dxfId="18355" priority="1628" operator="greaterThan">
      <formula>1</formula>
    </cfRule>
  </conditionalFormatting>
  <conditionalFormatting sqref="R32:R39">
    <cfRule type="cellIs" dxfId="18354" priority="1625" operator="greaterThan">
      <formula>1</formula>
    </cfRule>
    <cfRule type="cellIs" dxfId="18353" priority="1626" operator="lessThan">
      <formula>0.8</formula>
    </cfRule>
  </conditionalFormatting>
  <conditionalFormatting sqref="R32:R39">
    <cfRule type="cellIs" dxfId="18352" priority="1621" operator="lessThan">
      <formula>0.8</formula>
    </cfRule>
    <cfRule type="cellIs" dxfId="18351" priority="1622" operator="greaterThan">
      <formula>1</formula>
    </cfRule>
  </conditionalFormatting>
  <conditionalFormatting sqref="R32:R39">
    <cfRule type="cellIs" dxfId="18350" priority="1619" operator="greaterThan">
      <formula>1</formula>
    </cfRule>
    <cfRule type="cellIs" dxfId="18349" priority="1620" operator="lessThan">
      <formula>0.8</formula>
    </cfRule>
  </conditionalFormatting>
  <conditionalFormatting sqref="P32:P39">
    <cfRule type="cellIs" dxfId="18348" priority="1618" operator="greaterThan">
      <formula>0</formula>
    </cfRule>
  </conditionalFormatting>
  <conditionalFormatting sqref="Q32:Q39">
    <cfRule type="cellIs" dxfId="18347" priority="1623" operator="lessThan">
      <formula>0</formula>
    </cfRule>
  </conditionalFormatting>
  <conditionalFormatting sqref="Q32:Q39">
    <cfRule type="cellIs" dxfId="18346" priority="1612" operator="lessThan">
      <formula>0</formula>
    </cfRule>
  </conditionalFormatting>
  <conditionalFormatting sqref="P32:P39">
    <cfRule type="cellIs" dxfId="18345" priority="1613" operator="greaterThan">
      <formula>0</formula>
    </cfRule>
  </conditionalFormatting>
  <conditionalFormatting sqref="R32:R39">
    <cfRule type="cellIs" dxfId="18344" priority="1616" operator="lessThan">
      <formula>0.8</formula>
    </cfRule>
    <cfRule type="cellIs" dxfId="18343" priority="1617" operator="greaterThan">
      <formula>1</formula>
    </cfRule>
  </conditionalFormatting>
  <conditionalFormatting sqref="R32:R39">
    <cfRule type="cellIs" dxfId="18342" priority="1614" operator="greaterThan">
      <formula>1</formula>
    </cfRule>
    <cfRule type="cellIs" dxfId="18341" priority="1615" operator="lessThan">
      <formula>0.8</formula>
    </cfRule>
  </conditionalFormatting>
  <conditionalFormatting sqref="Q32:Q39">
    <cfRule type="cellIs" dxfId="18340" priority="1606" operator="lessThan">
      <formula>0</formula>
    </cfRule>
  </conditionalFormatting>
  <conditionalFormatting sqref="R32:R39">
    <cfRule type="cellIs" dxfId="18339" priority="1610" operator="lessThan">
      <formula>0.8</formula>
    </cfRule>
    <cfRule type="cellIs" dxfId="18338" priority="1611" operator="greaterThan">
      <formula>1</formula>
    </cfRule>
  </conditionalFormatting>
  <conditionalFormatting sqref="R32:R39">
    <cfRule type="cellIs" dxfId="18337" priority="1608" operator="greaterThan">
      <formula>1</formula>
    </cfRule>
    <cfRule type="cellIs" dxfId="18336" priority="1609" operator="lessThan">
      <formula>0.8</formula>
    </cfRule>
  </conditionalFormatting>
  <conditionalFormatting sqref="P32:P39">
    <cfRule type="cellIs" dxfId="18335" priority="1607" operator="greaterThan">
      <formula>0</formula>
    </cfRule>
  </conditionalFormatting>
  <conditionalFormatting sqref="Q32:Q39">
    <cfRule type="cellIs" dxfId="18334" priority="1605" operator="lessThan">
      <formula>0</formula>
    </cfRule>
  </conditionalFormatting>
  <conditionalFormatting sqref="R32:R39">
    <cfRule type="cellIs" dxfId="18333" priority="1603" operator="lessThan">
      <formula>0.8</formula>
    </cfRule>
    <cfRule type="cellIs" dxfId="18332" priority="1604" operator="greaterThan">
      <formula>1</formula>
    </cfRule>
  </conditionalFormatting>
  <conditionalFormatting sqref="R32:R39">
    <cfRule type="cellIs" dxfId="18331" priority="1601" operator="greaterThan">
      <formula>1</formula>
    </cfRule>
    <cfRule type="cellIs" dxfId="18330" priority="1602" operator="lessThan">
      <formula>0.8</formula>
    </cfRule>
  </conditionalFormatting>
  <conditionalFormatting sqref="P32:P39">
    <cfRule type="cellIs" dxfId="18329" priority="1600" operator="greaterThan">
      <formula>0</formula>
    </cfRule>
  </conditionalFormatting>
  <conditionalFormatting sqref="Q32:Q39">
    <cfRule type="cellIs" dxfId="18328" priority="1599" operator="lessThan">
      <formula>0</formula>
    </cfRule>
  </conditionalFormatting>
  <conditionalFormatting sqref="R32:R39">
    <cfRule type="cellIs" dxfId="18327" priority="1597" operator="lessThan">
      <formula>0.8</formula>
    </cfRule>
    <cfRule type="cellIs" dxfId="18326" priority="1598" operator="greaterThan">
      <formula>1</formula>
    </cfRule>
  </conditionalFormatting>
  <conditionalFormatting sqref="R32:R39">
    <cfRule type="cellIs" dxfId="18325" priority="1595" operator="greaterThan">
      <formula>1</formula>
    </cfRule>
    <cfRule type="cellIs" dxfId="18324" priority="1596" operator="lessThan">
      <formula>0.8</formula>
    </cfRule>
  </conditionalFormatting>
  <conditionalFormatting sqref="P32:P39">
    <cfRule type="cellIs" dxfId="18323" priority="1594" operator="greaterThan">
      <formula>0</formula>
    </cfRule>
  </conditionalFormatting>
  <conditionalFormatting sqref="Q32:Q39">
    <cfRule type="cellIs" dxfId="18322" priority="1588" operator="lessThan">
      <formula>0</formula>
    </cfRule>
  </conditionalFormatting>
  <conditionalFormatting sqref="P32:P39">
    <cfRule type="cellIs" dxfId="18321" priority="1589" operator="greaterThan">
      <formula>0</formula>
    </cfRule>
  </conditionalFormatting>
  <conditionalFormatting sqref="R32:R39">
    <cfRule type="cellIs" dxfId="18320" priority="1592" operator="lessThan">
      <formula>0.8</formula>
    </cfRule>
    <cfRule type="cellIs" dxfId="18319" priority="1593" operator="greaterThan">
      <formula>1</formula>
    </cfRule>
  </conditionalFormatting>
  <conditionalFormatting sqref="R32:R39">
    <cfRule type="cellIs" dxfId="18318" priority="1590" operator="greaterThan">
      <formula>1</formula>
    </cfRule>
    <cfRule type="cellIs" dxfId="18317" priority="1591" operator="lessThan">
      <formula>0.8</formula>
    </cfRule>
  </conditionalFormatting>
  <conditionalFormatting sqref="Q32:Q39">
    <cfRule type="cellIs" dxfId="18316" priority="1582" operator="lessThan">
      <formula>0</formula>
    </cfRule>
  </conditionalFormatting>
  <conditionalFormatting sqref="R32:R39">
    <cfRule type="cellIs" dxfId="18315" priority="1586" operator="lessThan">
      <formula>0.8</formula>
    </cfRule>
    <cfRule type="cellIs" dxfId="18314" priority="1587" operator="greaterThan">
      <formula>1</formula>
    </cfRule>
  </conditionalFormatting>
  <conditionalFormatting sqref="R32:R39">
    <cfRule type="cellIs" dxfId="18313" priority="1584" operator="greaterThan">
      <formula>1</formula>
    </cfRule>
    <cfRule type="cellIs" dxfId="18312" priority="1585" operator="lessThan">
      <formula>0.8</formula>
    </cfRule>
  </conditionalFormatting>
  <conditionalFormatting sqref="P32:P39">
    <cfRule type="cellIs" dxfId="18311" priority="1583" operator="greaterThan">
      <formula>0</formula>
    </cfRule>
  </conditionalFormatting>
  <conditionalFormatting sqref="Q32:Q39">
    <cfRule type="cellIs" dxfId="18310" priority="1581" operator="lessThan">
      <formula>0</formula>
    </cfRule>
  </conditionalFormatting>
  <conditionalFormatting sqref="R32:R39">
    <cfRule type="cellIs" dxfId="18309" priority="1579" operator="lessThan">
      <formula>0.8</formula>
    </cfRule>
    <cfRule type="cellIs" dxfId="18308" priority="1580" operator="greaterThan">
      <formula>1</formula>
    </cfRule>
  </conditionalFormatting>
  <conditionalFormatting sqref="R32:R39">
    <cfRule type="cellIs" dxfId="18307" priority="1577" operator="greaterThan">
      <formula>1</formula>
    </cfRule>
    <cfRule type="cellIs" dxfId="18306" priority="1578" operator="lessThan">
      <formula>0.8</formula>
    </cfRule>
  </conditionalFormatting>
  <conditionalFormatting sqref="P32:P39">
    <cfRule type="cellIs" dxfId="18305" priority="1576" operator="greaterThan">
      <formula>0</formula>
    </cfRule>
  </conditionalFormatting>
  <conditionalFormatting sqref="Q32:Q39">
    <cfRule type="cellIs" dxfId="18304" priority="1575" operator="lessThan">
      <formula>0</formula>
    </cfRule>
  </conditionalFormatting>
  <conditionalFormatting sqref="R32:R39">
    <cfRule type="cellIs" dxfId="18303" priority="1573" operator="lessThan">
      <formula>0.8</formula>
    </cfRule>
    <cfRule type="cellIs" dxfId="18302" priority="1574" operator="greaterThan">
      <formula>1</formula>
    </cfRule>
  </conditionalFormatting>
  <conditionalFormatting sqref="R32:R39">
    <cfRule type="cellIs" dxfId="18301" priority="1571" operator="greaterThan">
      <formula>1</formula>
    </cfRule>
    <cfRule type="cellIs" dxfId="18300" priority="1572" operator="lessThan">
      <formula>0.8</formula>
    </cfRule>
  </conditionalFormatting>
  <conditionalFormatting sqref="P32:P39">
    <cfRule type="cellIs" dxfId="18299" priority="1570" operator="greaterThan">
      <formula>0</formula>
    </cfRule>
  </conditionalFormatting>
  <conditionalFormatting sqref="Q19:Q25">
    <cfRule type="cellIs" dxfId="18298" priority="1569" operator="lessThan">
      <formula>0</formula>
    </cfRule>
  </conditionalFormatting>
  <conditionalFormatting sqref="R19:R25">
    <cfRule type="cellIs" dxfId="18297" priority="1567" operator="lessThan">
      <formula>0.8</formula>
    </cfRule>
    <cfRule type="cellIs" dxfId="18296" priority="1568" operator="greaterThan">
      <formula>1</formula>
    </cfRule>
  </conditionalFormatting>
  <conditionalFormatting sqref="R19:R25">
    <cfRule type="cellIs" dxfId="18295" priority="1565" operator="greaterThan">
      <formula>1</formula>
    </cfRule>
    <cfRule type="cellIs" dxfId="18294" priority="1566" operator="lessThan">
      <formula>0.8</formula>
    </cfRule>
  </conditionalFormatting>
  <conditionalFormatting sqref="P19:P25">
    <cfRule type="cellIs" dxfId="18293" priority="1564" operator="greaterThan">
      <formula>0</formula>
    </cfRule>
  </conditionalFormatting>
  <conditionalFormatting sqref="R19:R25">
    <cfRule type="cellIs" dxfId="18292" priority="1561" operator="lessThan">
      <formula>0.8</formula>
    </cfRule>
    <cfRule type="cellIs" dxfId="18291" priority="1562" operator="greaterThan">
      <formula>1</formula>
    </cfRule>
  </conditionalFormatting>
  <conditionalFormatting sqref="R19:R25">
    <cfRule type="cellIs" dxfId="18290" priority="1559" operator="greaterThan">
      <formula>1</formula>
    </cfRule>
    <cfRule type="cellIs" dxfId="18289" priority="1560" operator="lessThan">
      <formula>0.8</formula>
    </cfRule>
  </conditionalFormatting>
  <conditionalFormatting sqref="P19:P25">
    <cfRule type="cellIs" dxfId="18288" priority="1558" operator="greaterThan">
      <formula>0</formula>
    </cfRule>
  </conditionalFormatting>
  <conditionalFormatting sqref="Q19:Q25">
    <cfRule type="cellIs" dxfId="18287" priority="1563" operator="lessThan">
      <formula>0</formula>
    </cfRule>
  </conditionalFormatting>
  <conditionalFormatting sqref="R19:R25">
    <cfRule type="cellIs" dxfId="18286" priority="1555" operator="lessThan">
      <formula>0.8</formula>
    </cfRule>
    <cfRule type="cellIs" dxfId="18285" priority="1556" operator="greaterThan">
      <formula>1</formula>
    </cfRule>
  </conditionalFormatting>
  <conditionalFormatting sqref="R19:R25">
    <cfRule type="cellIs" dxfId="18284" priority="1553" operator="greaterThan">
      <formula>1</formula>
    </cfRule>
    <cfRule type="cellIs" dxfId="18283" priority="1554" operator="lessThan">
      <formula>0.8</formula>
    </cfRule>
  </conditionalFormatting>
  <conditionalFormatting sqref="P19:P25">
    <cfRule type="cellIs" dxfId="18282" priority="1552" operator="greaterThan">
      <formula>0</formula>
    </cfRule>
  </conditionalFormatting>
  <conditionalFormatting sqref="Q19:Q25">
    <cfRule type="cellIs" dxfId="18281" priority="1557" operator="lessThan">
      <formula>0</formula>
    </cfRule>
  </conditionalFormatting>
  <conditionalFormatting sqref="Q19:Q25">
    <cfRule type="cellIs" dxfId="18280" priority="1551" operator="lessThan">
      <formula>0</formula>
    </cfRule>
  </conditionalFormatting>
  <conditionalFormatting sqref="R19:R25">
    <cfRule type="cellIs" dxfId="18279" priority="1549" operator="lessThan">
      <formula>0.8</formula>
    </cfRule>
    <cfRule type="cellIs" dxfId="18278" priority="1550" operator="greaterThan">
      <formula>1</formula>
    </cfRule>
  </conditionalFormatting>
  <conditionalFormatting sqref="R19:R25">
    <cfRule type="cellIs" dxfId="18277" priority="1547" operator="greaterThan">
      <formula>1</formula>
    </cfRule>
    <cfRule type="cellIs" dxfId="18276" priority="1548" operator="lessThan">
      <formula>0.8</formula>
    </cfRule>
  </conditionalFormatting>
  <conditionalFormatting sqref="P19:P25">
    <cfRule type="cellIs" dxfId="18275" priority="1546" operator="greaterThan">
      <formula>0</formula>
    </cfRule>
  </conditionalFormatting>
  <conditionalFormatting sqref="Q135:Q136 Q139 Q142">
    <cfRule type="cellIs" dxfId="18274" priority="1545" operator="lessThan">
      <formula>0</formula>
    </cfRule>
  </conditionalFormatting>
  <conditionalFormatting sqref="R135:R136 R139 R142">
    <cfRule type="cellIs" dxfId="18273" priority="1543" operator="lessThan">
      <formula>0.8</formula>
    </cfRule>
    <cfRule type="cellIs" dxfId="18272" priority="1544" operator="greaterThan">
      <formula>1</formula>
    </cfRule>
  </conditionalFormatting>
  <conditionalFormatting sqref="R135:R136 R139 R142">
    <cfRule type="cellIs" dxfId="18271" priority="1541" operator="greaterThan">
      <formula>1</formula>
    </cfRule>
    <cfRule type="cellIs" dxfId="18270" priority="1542" operator="lessThan">
      <formula>0.8</formula>
    </cfRule>
  </conditionalFormatting>
  <conditionalFormatting sqref="P135:P136 P139 P142">
    <cfRule type="cellIs" dxfId="18269" priority="1540" operator="greaterThan">
      <formula>0</formula>
    </cfRule>
  </conditionalFormatting>
  <conditionalFormatting sqref="P135:P136 P139 P142">
    <cfRule type="cellIs" dxfId="18268" priority="1534" operator="greaterThan">
      <formula>0</formula>
    </cfRule>
  </conditionalFormatting>
  <conditionalFormatting sqref="Q135:Q136 Q139 Q142">
    <cfRule type="cellIs" dxfId="18267" priority="1539" operator="lessThan">
      <formula>0</formula>
    </cfRule>
  </conditionalFormatting>
  <conditionalFormatting sqref="R135:R136 R139 R142">
    <cfRule type="cellIs" dxfId="18266" priority="1537" operator="lessThan">
      <formula>0.8</formula>
    </cfRule>
    <cfRule type="cellIs" dxfId="18265" priority="1538" operator="greaterThan">
      <formula>1</formula>
    </cfRule>
  </conditionalFormatting>
  <conditionalFormatting sqref="R135:R136 R139 R142">
    <cfRule type="cellIs" dxfId="18264" priority="1535" operator="greaterThan">
      <formula>1</formula>
    </cfRule>
    <cfRule type="cellIs" dxfId="18263" priority="1536" operator="lessThan">
      <formula>0.8</formula>
    </cfRule>
  </conditionalFormatting>
  <conditionalFormatting sqref="P19:P25">
    <cfRule type="cellIs" dxfId="18262" priority="1528" operator="greaterThan">
      <formula>0</formula>
    </cfRule>
  </conditionalFormatting>
  <conditionalFormatting sqref="Q19:Q25">
    <cfRule type="cellIs" dxfId="18261" priority="1533" operator="lessThan">
      <formula>0</formula>
    </cfRule>
  </conditionalFormatting>
  <conditionalFormatting sqref="R19:R25">
    <cfRule type="cellIs" dxfId="18260" priority="1531" operator="lessThan">
      <formula>0.8</formula>
    </cfRule>
    <cfRule type="cellIs" dxfId="18259" priority="1532" operator="greaterThan">
      <formula>1</formula>
    </cfRule>
  </conditionalFormatting>
  <conditionalFormatting sqref="R19:R25">
    <cfRule type="cellIs" dxfId="18258" priority="1529" operator="greaterThan">
      <formula>1</formula>
    </cfRule>
    <cfRule type="cellIs" dxfId="18257" priority="1530" operator="lessThan">
      <formula>0.8</formula>
    </cfRule>
  </conditionalFormatting>
  <conditionalFormatting sqref="Q19:Q25">
    <cfRule type="cellIs" dxfId="18256" priority="1527" operator="lessThan">
      <formula>0</formula>
    </cfRule>
  </conditionalFormatting>
  <conditionalFormatting sqref="R19:R25">
    <cfRule type="cellIs" dxfId="18255" priority="1525" operator="lessThan">
      <formula>0.8</formula>
    </cfRule>
    <cfRule type="cellIs" dxfId="18254" priority="1526" operator="greaterThan">
      <formula>1</formula>
    </cfRule>
  </conditionalFormatting>
  <conditionalFormatting sqref="R19:R25">
    <cfRule type="cellIs" dxfId="18253" priority="1523" operator="greaterThan">
      <formula>1</formula>
    </cfRule>
    <cfRule type="cellIs" dxfId="18252" priority="1524" operator="lessThan">
      <formula>0.8</formula>
    </cfRule>
  </conditionalFormatting>
  <conditionalFormatting sqref="P19:P25">
    <cfRule type="cellIs" dxfId="18251" priority="1522" operator="greaterThan">
      <formula>0</formula>
    </cfRule>
  </conditionalFormatting>
  <conditionalFormatting sqref="Q19:Q25">
    <cfRule type="cellIs" dxfId="18250" priority="1521" operator="lessThan">
      <formula>0</formula>
    </cfRule>
  </conditionalFormatting>
  <conditionalFormatting sqref="R19:R25">
    <cfRule type="cellIs" dxfId="18249" priority="1519" operator="lessThan">
      <formula>0.8</formula>
    </cfRule>
    <cfRule type="cellIs" dxfId="18248" priority="1520" operator="greaterThan">
      <formula>1</formula>
    </cfRule>
  </conditionalFormatting>
  <conditionalFormatting sqref="R19:R25">
    <cfRule type="cellIs" dxfId="18247" priority="1517" operator="greaterThan">
      <formula>1</formula>
    </cfRule>
    <cfRule type="cellIs" dxfId="18246" priority="1518" operator="lessThan">
      <formula>0.8</formula>
    </cfRule>
  </conditionalFormatting>
  <conditionalFormatting sqref="P19:P25">
    <cfRule type="cellIs" dxfId="18245" priority="1516" operator="greaterThan">
      <formula>0</formula>
    </cfRule>
  </conditionalFormatting>
  <conditionalFormatting sqref="Q19:Q25">
    <cfRule type="cellIs" dxfId="18244" priority="1515" operator="lessThan">
      <formula>0</formula>
    </cfRule>
  </conditionalFormatting>
  <conditionalFormatting sqref="R19:R25">
    <cfRule type="cellIs" dxfId="18243" priority="1513" operator="lessThan">
      <formula>0.8</formula>
    </cfRule>
    <cfRule type="cellIs" dxfId="18242" priority="1514" operator="greaterThan">
      <formula>1</formula>
    </cfRule>
  </conditionalFormatting>
  <conditionalFormatting sqref="R19:R25">
    <cfRule type="cellIs" dxfId="18241" priority="1511" operator="greaterThan">
      <formula>1</formula>
    </cfRule>
    <cfRule type="cellIs" dxfId="18240" priority="1512" operator="lessThan">
      <formula>0.8</formula>
    </cfRule>
  </conditionalFormatting>
  <conditionalFormatting sqref="P19:P25">
    <cfRule type="cellIs" dxfId="18239" priority="1510" operator="greaterThan">
      <formula>0</formula>
    </cfRule>
  </conditionalFormatting>
  <conditionalFormatting sqref="R19:R25">
    <cfRule type="cellIs" dxfId="18238" priority="1507" operator="lessThan">
      <formula>0.8</formula>
    </cfRule>
    <cfRule type="cellIs" dxfId="18237" priority="1508" operator="greaterThan">
      <formula>1</formula>
    </cfRule>
  </conditionalFormatting>
  <conditionalFormatting sqref="R19:R25">
    <cfRule type="cellIs" dxfId="18236" priority="1505" operator="greaterThan">
      <formula>1</formula>
    </cfRule>
    <cfRule type="cellIs" dxfId="18235" priority="1506" operator="lessThan">
      <formula>0.8</formula>
    </cfRule>
  </conditionalFormatting>
  <conditionalFormatting sqref="P19:P25">
    <cfRule type="cellIs" dxfId="18234" priority="1504" operator="greaterThan">
      <formula>0</formula>
    </cfRule>
  </conditionalFormatting>
  <conditionalFormatting sqref="Q19:Q25">
    <cfRule type="cellIs" dxfId="18233" priority="1509" operator="lessThan">
      <formula>0</formula>
    </cfRule>
  </conditionalFormatting>
  <conditionalFormatting sqref="Q19:Q25">
    <cfRule type="cellIs" dxfId="18232" priority="1503" operator="lessThan">
      <formula>0</formula>
    </cfRule>
  </conditionalFormatting>
  <conditionalFormatting sqref="R19:R25">
    <cfRule type="cellIs" dxfId="18231" priority="1501" operator="lessThan">
      <formula>0.8</formula>
    </cfRule>
    <cfRule type="cellIs" dxfId="18230" priority="1502" operator="greaterThan">
      <formula>1</formula>
    </cfRule>
  </conditionalFormatting>
  <conditionalFormatting sqref="R19:R25">
    <cfRule type="cellIs" dxfId="18229" priority="1499" operator="greaterThan">
      <formula>1</formula>
    </cfRule>
    <cfRule type="cellIs" dxfId="18228" priority="1500" operator="lessThan">
      <formula>0.8</formula>
    </cfRule>
  </conditionalFormatting>
  <conditionalFormatting sqref="P19:P25">
    <cfRule type="cellIs" dxfId="18227" priority="1498" operator="greaterThan">
      <formula>0</formula>
    </cfRule>
  </conditionalFormatting>
  <conditionalFormatting sqref="P19:P25">
    <cfRule type="cellIs" dxfId="18226" priority="1492" operator="greaterThan">
      <formula>0</formula>
    </cfRule>
  </conditionalFormatting>
  <conditionalFormatting sqref="Q19:Q25">
    <cfRule type="cellIs" dxfId="18225" priority="1497" operator="lessThan">
      <formula>0</formula>
    </cfRule>
  </conditionalFormatting>
  <conditionalFormatting sqref="R19:R25">
    <cfRule type="cellIs" dxfId="18224" priority="1495" operator="lessThan">
      <formula>0.8</formula>
    </cfRule>
    <cfRule type="cellIs" dxfId="18223" priority="1496" operator="greaterThan">
      <formula>1</formula>
    </cfRule>
  </conditionalFormatting>
  <conditionalFormatting sqref="R19:R25">
    <cfRule type="cellIs" dxfId="18222" priority="1493" operator="greaterThan">
      <formula>1</formula>
    </cfRule>
    <cfRule type="cellIs" dxfId="18221" priority="1494" operator="lessThan">
      <formula>0.8</formula>
    </cfRule>
  </conditionalFormatting>
  <conditionalFormatting sqref="P19:P25">
    <cfRule type="cellIs" dxfId="18220" priority="1486" operator="greaterThan">
      <formula>0</formula>
    </cfRule>
  </conditionalFormatting>
  <conditionalFormatting sqref="Q19:Q25">
    <cfRule type="cellIs" dxfId="18219" priority="1491" operator="lessThan">
      <formula>0</formula>
    </cfRule>
  </conditionalFormatting>
  <conditionalFormatting sqref="R19:R25">
    <cfRule type="cellIs" dxfId="18218" priority="1489" operator="lessThan">
      <formula>0.8</formula>
    </cfRule>
    <cfRule type="cellIs" dxfId="18217" priority="1490" operator="greaterThan">
      <formula>1</formula>
    </cfRule>
  </conditionalFormatting>
  <conditionalFormatting sqref="R19:R25">
    <cfRule type="cellIs" dxfId="18216" priority="1487" operator="greaterThan">
      <formula>1</formula>
    </cfRule>
    <cfRule type="cellIs" dxfId="18215" priority="1488" operator="lessThan">
      <formula>0.8</formula>
    </cfRule>
  </conditionalFormatting>
  <conditionalFormatting sqref="Q19:Q25">
    <cfRule type="cellIs" dxfId="18214" priority="1485" operator="lessThan">
      <formula>0</formula>
    </cfRule>
  </conditionalFormatting>
  <conditionalFormatting sqref="R19:R25">
    <cfRule type="cellIs" dxfId="18213" priority="1483" operator="lessThan">
      <formula>0.8</formula>
    </cfRule>
    <cfRule type="cellIs" dxfId="18212" priority="1484" operator="greaterThan">
      <formula>1</formula>
    </cfRule>
  </conditionalFormatting>
  <conditionalFormatting sqref="R19:R25">
    <cfRule type="cellIs" dxfId="18211" priority="1481" operator="greaterThan">
      <formula>1</formula>
    </cfRule>
    <cfRule type="cellIs" dxfId="18210" priority="1482" operator="lessThan">
      <formula>0.8</formula>
    </cfRule>
  </conditionalFormatting>
  <conditionalFormatting sqref="P19:P25">
    <cfRule type="cellIs" dxfId="18209" priority="1480" operator="greaterThan">
      <formula>0</formula>
    </cfRule>
  </conditionalFormatting>
  <conditionalFormatting sqref="Q19:Q25">
    <cfRule type="cellIs" dxfId="18208" priority="1479" operator="lessThan">
      <formula>0</formula>
    </cfRule>
  </conditionalFormatting>
  <conditionalFormatting sqref="R19:R25">
    <cfRule type="cellIs" dxfId="18207" priority="1477" operator="lessThan">
      <formula>0.8</formula>
    </cfRule>
    <cfRule type="cellIs" dxfId="18206" priority="1478" operator="greaterThan">
      <formula>1</formula>
    </cfRule>
  </conditionalFormatting>
  <conditionalFormatting sqref="R19:R25">
    <cfRule type="cellIs" dxfId="18205" priority="1475" operator="greaterThan">
      <formula>1</formula>
    </cfRule>
    <cfRule type="cellIs" dxfId="18204" priority="1476" operator="lessThan">
      <formula>0.8</formula>
    </cfRule>
  </conditionalFormatting>
  <conditionalFormatting sqref="P19:P25">
    <cfRule type="cellIs" dxfId="18203" priority="1474" operator="greaterThan">
      <formula>0</formula>
    </cfRule>
  </conditionalFormatting>
  <conditionalFormatting sqref="P19:P25">
    <cfRule type="cellIs" dxfId="18202" priority="1468" operator="greaterThan">
      <formula>0</formula>
    </cfRule>
  </conditionalFormatting>
  <conditionalFormatting sqref="Q19:Q25">
    <cfRule type="cellIs" dxfId="18201" priority="1473" operator="lessThan">
      <formula>0</formula>
    </cfRule>
  </conditionalFormatting>
  <conditionalFormatting sqref="R19:R25">
    <cfRule type="cellIs" dxfId="18200" priority="1471" operator="lessThan">
      <formula>0.8</formula>
    </cfRule>
    <cfRule type="cellIs" dxfId="18199" priority="1472" operator="greaterThan">
      <formula>1</formula>
    </cfRule>
  </conditionalFormatting>
  <conditionalFormatting sqref="R19:R25">
    <cfRule type="cellIs" dxfId="18198" priority="1469" operator="greaterThan">
      <formula>1</formula>
    </cfRule>
    <cfRule type="cellIs" dxfId="18197" priority="1470" operator="lessThan">
      <formula>0.8</formula>
    </cfRule>
  </conditionalFormatting>
  <conditionalFormatting sqref="Q19:Q25">
    <cfRule type="cellIs" dxfId="18196" priority="1467" operator="lessThan">
      <formula>0</formula>
    </cfRule>
  </conditionalFormatting>
  <conditionalFormatting sqref="R19:R25">
    <cfRule type="cellIs" dxfId="18195" priority="1465" operator="lessThan">
      <formula>0.8</formula>
    </cfRule>
    <cfRule type="cellIs" dxfId="18194" priority="1466" operator="greaterThan">
      <formula>1</formula>
    </cfRule>
  </conditionalFormatting>
  <conditionalFormatting sqref="R19:R25">
    <cfRule type="cellIs" dxfId="18193" priority="1463" operator="greaterThan">
      <formula>1</formula>
    </cfRule>
    <cfRule type="cellIs" dxfId="18192" priority="1464" operator="lessThan">
      <formula>0.8</formula>
    </cfRule>
  </conditionalFormatting>
  <conditionalFormatting sqref="P19:P25">
    <cfRule type="cellIs" dxfId="18191" priority="1462" operator="greaterThan">
      <formula>0</formula>
    </cfRule>
  </conditionalFormatting>
  <conditionalFormatting sqref="Q19:Q25">
    <cfRule type="cellIs" dxfId="18190" priority="1461" operator="lessThan">
      <formula>0</formula>
    </cfRule>
  </conditionalFormatting>
  <conditionalFormatting sqref="R19:R25">
    <cfRule type="cellIs" dxfId="18189" priority="1459" operator="lessThan">
      <formula>0.8</formula>
    </cfRule>
    <cfRule type="cellIs" dxfId="18188" priority="1460" operator="greaterThan">
      <formula>1</formula>
    </cfRule>
  </conditionalFormatting>
  <conditionalFormatting sqref="R19:R25">
    <cfRule type="cellIs" dxfId="18187" priority="1457" operator="greaterThan">
      <formula>1</formula>
    </cfRule>
    <cfRule type="cellIs" dxfId="18186" priority="1458" operator="lessThan">
      <formula>0.8</formula>
    </cfRule>
  </conditionalFormatting>
  <conditionalFormatting sqref="P19:P25">
    <cfRule type="cellIs" dxfId="18185" priority="1456" operator="greaterThan">
      <formula>0</formula>
    </cfRule>
  </conditionalFormatting>
  <conditionalFormatting sqref="Q19:Q25">
    <cfRule type="cellIs" dxfId="18184" priority="1455" operator="lessThan">
      <formula>0</formula>
    </cfRule>
  </conditionalFormatting>
  <conditionalFormatting sqref="R19:R25">
    <cfRule type="cellIs" dxfId="18183" priority="1453" operator="lessThan">
      <formula>0.8</formula>
    </cfRule>
    <cfRule type="cellIs" dxfId="18182" priority="1454" operator="greaterThan">
      <formula>1</formula>
    </cfRule>
  </conditionalFormatting>
  <conditionalFormatting sqref="R19:R25">
    <cfRule type="cellIs" dxfId="18181" priority="1451" operator="greaterThan">
      <formula>1</formula>
    </cfRule>
    <cfRule type="cellIs" dxfId="18180" priority="1452" operator="lessThan">
      <formula>0.8</formula>
    </cfRule>
  </conditionalFormatting>
  <conditionalFormatting sqref="P19:P25">
    <cfRule type="cellIs" dxfId="18179" priority="1450" operator="greaterThan">
      <formula>0</formula>
    </cfRule>
  </conditionalFormatting>
  <conditionalFormatting sqref="R19:R25">
    <cfRule type="cellIs" dxfId="18178" priority="1447" operator="lessThan">
      <formula>0.8</formula>
    </cfRule>
    <cfRule type="cellIs" dxfId="18177" priority="1448" operator="greaterThan">
      <formula>1</formula>
    </cfRule>
  </conditionalFormatting>
  <conditionalFormatting sqref="R19:R25">
    <cfRule type="cellIs" dxfId="18176" priority="1445" operator="greaterThan">
      <formula>1</formula>
    </cfRule>
    <cfRule type="cellIs" dxfId="18175" priority="1446" operator="lessThan">
      <formula>0.8</formula>
    </cfRule>
  </conditionalFormatting>
  <conditionalFormatting sqref="P19:P25">
    <cfRule type="cellIs" dxfId="18174" priority="1444" operator="greaterThan">
      <formula>0</formula>
    </cfRule>
  </conditionalFormatting>
  <conditionalFormatting sqref="Q19:Q25">
    <cfRule type="cellIs" dxfId="18173" priority="1449" operator="lessThan">
      <formula>0</formula>
    </cfRule>
  </conditionalFormatting>
  <conditionalFormatting sqref="Q40">
    <cfRule type="cellIs" dxfId="18172" priority="1443" operator="lessThan">
      <formula>0</formula>
    </cfRule>
  </conditionalFormatting>
  <conditionalFormatting sqref="R40">
    <cfRule type="cellIs" dxfId="18171" priority="1441" operator="lessThan">
      <formula>0.8</formula>
    </cfRule>
    <cfRule type="cellIs" dxfId="18170" priority="1442" operator="greaterThan">
      <formula>1</formula>
    </cfRule>
  </conditionalFormatting>
  <conditionalFormatting sqref="R40">
    <cfRule type="cellIs" dxfId="18169" priority="1439" operator="greaterThan">
      <formula>1</formula>
    </cfRule>
    <cfRule type="cellIs" dxfId="18168" priority="1440" operator="lessThan">
      <formula>0.8</formula>
    </cfRule>
  </conditionalFormatting>
  <conditionalFormatting sqref="P40">
    <cfRule type="cellIs" dxfId="18167" priority="1438" operator="greaterThan">
      <formula>0</formula>
    </cfRule>
  </conditionalFormatting>
  <conditionalFormatting sqref="P40">
    <cfRule type="cellIs" dxfId="18166" priority="1432" operator="greaterThan">
      <formula>0</formula>
    </cfRule>
  </conditionalFormatting>
  <conditionalFormatting sqref="Q40">
    <cfRule type="cellIs" dxfId="18165" priority="1437" operator="lessThan">
      <formula>0</formula>
    </cfRule>
  </conditionalFormatting>
  <conditionalFormatting sqref="R40">
    <cfRule type="cellIs" dxfId="18164" priority="1435" operator="lessThan">
      <formula>0.8</formula>
    </cfRule>
    <cfRule type="cellIs" dxfId="18163" priority="1436" operator="greaterThan">
      <formula>1</formula>
    </cfRule>
  </conditionalFormatting>
  <conditionalFormatting sqref="R40">
    <cfRule type="cellIs" dxfId="18162" priority="1433" operator="greaterThan">
      <formula>1</formula>
    </cfRule>
    <cfRule type="cellIs" dxfId="18161" priority="1434" operator="lessThan">
      <formula>0.8</formula>
    </cfRule>
  </conditionalFormatting>
  <conditionalFormatting sqref="P40">
    <cfRule type="cellIs" dxfId="18160" priority="1426" operator="greaterThan">
      <formula>0</formula>
    </cfRule>
  </conditionalFormatting>
  <conditionalFormatting sqref="Q40">
    <cfRule type="cellIs" dxfId="18159" priority="1431" operator="lessThan">
      <formula>0</formula>
    </cfRule>
  </conditionalFormatting>
  <conditionalFormatting sqref="R40">
    <cfRule type="cellIs" dxfId="18158" priority="1429" operator="lessThan">
      <formula>0.8</formula>
    </cfRule>
    <cfRule type="cellIs" dxfId="18157" priority="1430" operator="greaterThan">
      <formula>1</formula>
    </cfRule>
  </conditionalFormatting>
  <conditionalFormatting sqref="R40">
    <cfRule type="cellIs" dxfId="18156" priority="1427" operator="greaterThan">
      <formula>1</formula>
    </cfRule>
    <cfRule type="cellIs" dxfId="18155" priority="1428" operator="lessThan">
      <formula>0.8</formula>
    </cfRule>
  </conditionalFormatting>
  <conditionalFormatting sqref="Q40">
    <cfRule type="cellIs" dxfId="18154" priority="1425" operator="lessThan">
      <formula>0</formula>
    </cfRule>
  </conditionalFormatting>
  <conditionalFormatting sqref="R40">
    <cfRule type="cellIs" dxfId="18153" priority="1423" operator="lessThan">
      <formula>0.8</formula>
    </cfRule>
    <cfRule type="cellIs" dxfId="18152" priority="1424" operator="greaterThan">
      <formula>1</formula>
    </cfRule>
  </conditionalFormatting>
  <conditionalFormatting sqref="R40">
    <cfRule type="cellIs" dxfId="18151" priority="1421" operator="greaterThan">
      <formula>1</formula>
    </cfRule>
    <cfRule type="cellIs" dxfId="18150" priority="1422" operator="lessThan">
      <formula>0.8</formula>
    </cfRule>
  </conditionalFormatting>
  <conditionalFormatting sqref="P40">
    <cfRule type="cellIs" dxfId="18149" priority="1420" operator="greaterThan">
      <formula>0</formula>
    </cfRule>
  </conditionalFormatting>
  <conditionalFormatting sqref="P40">
    <cfRule type="cellIs" dxfId="18148" priority="1414" operator="greaterThan">
      <formula>0</formula>
    </cfRule>
  </conditionalFormatting>
  <conditionalFormatting sqref="Q40">
    <cfRule type="cellIs" dxfId="18147" priority="1419" operator="lessThan">
      <formula>0</formula>
    </cfRule>
  </conditionalFormatting>
  <conditionalFormatting sqref="R40">
    <cfRule type="cellIs" dxfId="18146" priority="1417" operator="lessThan">
      <formula>0.8</formula>
    </cfRule>
    <cfRule type="cellIs" dxfId="18145" priority="1418" operator="greaterThan">
      <formula>1</formula>
    </cfRule>
  </conditionalFormatting>
  <conditionalFormatting sqref="R40">
    <cfRule type="cellIs" dxfId="18144" priority="1415" operator="greaterThan">
      <formula>1</formula>
    </cfRule>
    <cfRule type="cellIs" dxfId="18143" priority="1416" operator="lessThan">
      <formula>0.8</formula>
    </cfRule>
  </conditionalFormatting>
  <conditionalFormatting sqref="P40">
    <cfRule type="cellIs" dxfId="18142" priority="1408" operator="greaterThan">
      <formula>0</formula>
    </cfRule>
  </conditionalFormatting>
  <conditionalFormatting sqref="Q40">
    <cfRule type="cellIs" dxfId="18141" priority="1413" operator="lessThan">
      <formula>0</formula>
    </cfRule>
  </conditionalFormatting>
  <conditionalFormatting sqref="R40">
    <cfRule type="cellIs" dxfId="18140" priority="1411" operator="lessThan">
      <formula>0.8</formula>
    </cfRule>
    <cfRule type="cellIs" dxfId="18139" priority="1412" operator="greaterThan">
      <formula>1</formula>
    </cfRule>
  </conditionalFormatting>
  <conditionalFormatting sqref="R40">
    <cfRule type="cellIs" dxfId="18138" priority="1409" operator="greaterThan">
      <formula>1</formula>
    </cfRule>
    <cfRule type="cellIs" dxfId="18137" priority="1410" operator="lessThan">
      <formula>0.8</formula>
    </cfRule>
  </conditionalFormatting>
  <conditionalFormatting sqref="P40">
    <cfRule type="cellIs" dxfId="18136" priority="1402" operator="greaterThan">
      <formula>0</formula>
    </cfRule>
  </conditionalFormatting>
  <conditionalFormatting sqref="Q40">
    <cfRule type="cellIs" dxfId="18135" priority="1407" operator="lessThan">
      <formula>0</formula>
    </cfRule>
  </conditionalFormatting>
  <conditionalFormatting sqref="R40">
    <cfRule type="cellIs" dxfId="18134" priority="1405" operator="lessThan">
      <formula>0.8</formula>
    </cfRule>
    <cfRule type="cellIs" dxfId="18133" priority="1406" operator="greaterThan">
      <formula>1</formula>
    </cfRule>
  </conditionalFormatting>
  <conditionalFormatting sqref="R40">
    <cfRule type="cellIs" dxfId="18132" priority="1403" operator="greaterThan">
      <formula>1</formula>
    </cfRule>
    <cfRule type="cellIs" dxfId="18131" priority="1404" operator="lessThan">
      <formula>0.8</formula>
    </cfRule>
  </conditionalFormatting>
  <conditionalFormatting sqref="Q40">
    <cfRule type="cellIs" dxfId="18130" priority="1396" operator="lessThan">
      <formula>0</formula>
    </cfRule>
  </conditionalFormatting>
  <conditionalFormatting sqref="P40">
    <cfRule type="cellIs" dxfId="18129" priority="1397" operator="greaterThan">
      <formula>0</formula>
    </cfRule>
  </conditionalFormatting>
  <conditionalFormatting sqref="R40">
    <cfRule type="cellIs" dxfId="18128" priority="1400" operator="lessThan">
      <formula>0.8</formula>
    </cfRule>
    <cfRule type="cellIs" dxfId="18127" priority="1401" operator="greaterThan">
      <formula>1</formula>
    </cfRule>
  </conditionalFormatting>
  <conditionalFormatting sqref="R40">
    <cfRule type="cellIs" dxfId="18126" priority="1398" operator="greaterThan">
      <formula>1</formula>
    </cfRule>
    <cfRule type="cellIs" dxfId="18125" priority="1399" operator="lessThan">
      <formula>0.8</formula>
    </cfRule>
  </conditionalFormatting>
  <conditionalFormatting sqref="Q40">
    <cfRule type="cellIs" dxfId="18124" priority="1390" operator="lessThan">
      <formula>0</formula>
    </cfRule>
  </conditionalFormatting>
  <conditionalFormatting sqref="R40">
    <cfRule type="cellIs" dxfId="18123" priority="1394" operator="lessThan">
      <formula>0.8</formula>
    </cfRule>
    <cfRule type="cellIs" dxfId="18122" priority="1395" operator="greaterThan">
      <formula>1</formula>
    </cfRule>
  </conditionalFormatting>
  <conditionalFormatting sqref="R40">
    <cfRule type="cellIs" dxfId="18121" priority="1392" operator="greaterThan">
      <formula>1</formula>
    </cfRule>
    <cfRule type="cellIs" dxfId="18120" priority="1393" operator="lessThan">
      <formula>0.8</formula>
    </cfRule>
  </conditionalFormatting>
  <conditionalFormatting sqref="P40">
    <cfRule type="cellIs" dxfId="18119" priority="1391" operator="greaterThan">
      <formula>0</formula>
    </cfRule>
  </conditionalFormatting>
  <conditionalFormatting sqref="Q40">
    <cfRule type="cellIs" dxfId="18118" priority="1389" operator="lessThan">
      <formula>0</formula>
    </cfRule>
  </conditionalFormatting>
  <conditionalFormatting sqref="R40">
    <cfRule type="cellIs" dxfId="18117" priority="1387" operator="lessThan">
      <formula>0.8</formula>
    </cfRule>
    <cfRule type="cellIs" dxfId="18116" priority="1388" operator="greaterThan">
      <formula>1</formula>
    </cfRule>
  </conditionalFormatting>
  <conditionalFormatting sqref="R40">
    <cfRule type="cellIs" dxfId="18115" priority="1385" operator="greaterThan">
      <formula>1</formula>
    </cfRule>
    <cfRule type="cellIs" dxfId="18114" priority="1386" operator="lessThan">
      <formula>0.8</formula>
    </cfRule>
  </conditionalFormatting>
  <conditionalFormatting sqref="P40">
    <cfRule type="cellIs" dxfId="18113" priority="1384" operator="greaterThan">
      <formula>0</formula>
    </cfRule>
  </conditionalFormatting>
  <conditionalFormatting sqref="Q40">
    <cfRule type="cellIs" dxfId="18112" priority="1383" operator="lessThan">
      <formula>0</formula>
    </cfRule>
  </conditionalFormatting>
  <conditionalFormatting sqref="R40">
    <cfRule type="cellIs" dxfId="18111" priority="1381" operator="lessThan">
      <formula>0.8</formula>
    </cfRule>
    <cfRule type="cellIs" dxfId="18110" priority="1382" operator="greaterThan">
      <formula>1</formula>
    </cfRule>
  </conditionalFormatting>
  <conditionalFormatting sqref="R40">
    <cfRule type="cellIs" dxfId="18109" priority="1379" operator="greaterThan">
      <formula>1</formula>
    </cfRule>
    <cfRule type="cellIs" dxfId="18108" priority="1380" operator="lessThan">
      <formula>0.8</formula>
    </cfRule>
  </conditionalFormatting>
  <conditionalFormatting sqref="P40">
    <cfRule type="cellIs" dxfId="18107" priority="1378" operator="greaterThan">
      <formula>0</formula>
    </cfRule>
  </conditionalFormatting>
  <conditionalFormatting sqref="Q32:Q39">
    <cfRule type="cellIs" dxfId="18106" priority="1377" operator="lessThan">
      <formula>0</formula>
    </cfRule>
  </conditionalFormatting>
  <conditionalFormatting sqref="R32:R39">
    <cfRule type="cellIs" dxfId="18105" priority="1375" operator="lessThan">
      <formula>0.8</formula>
    </cfRule>
    <cfRule type="cellIs" dxfId="18104" priority="1376" operator="greaterThan">
      <formula>1</formula>
    </cfRule>
  </conditionalFormatting>
  <conditionalFormatting sqref="R32:R39">
    <cfRule type="cellIs" dxfId="18103" priority="1373" operator="greaterThan">
      <formula>1</formula>
    </cfRule>
    <cfRule type="cellIs" dxfId="18102" priority="1374" operator="lessThan">
      <formula>0.8</formula>
    </cfRule>
  </conditionalFormatting>
  <conditionalFormatting sqref="P32:P39">
    <cfRule type="cellIs" dxfId="18101" priority="1372" operator="greaterThan">
      <formula>0</formula>
    </cfRule>
  </conditionalFormatting>
  <conditionalFormatting sqref="Q32:Q39">
    <cfRule type="cellIs" dxfId="18100" priority="1371" operator="lessThan">
      <formula>0</formula>
    </cfRule>
  </conditionalFormatting>
  <conditionalFormatting sqref="R32:R39">
    <cfRule type="cellIs" dxfId="18099" priority="1369" operator="lessThan">
      <formula>0.8</formula>
    </cfRule>
    <cfRule type="cellIs" dxfId="18098" priority="1370" operator="greaterThan">
      <formula>1</formula>
    </cfRule>
  </conditionalFormatting>
  <conditionalFormatting sqref="R32:R39">
    <cfRule type="cellIs" dxfId="18097" priority="1367" operator="greaterThan">
      <formula>1</formula>
    </cfRule>
    <cfRule type="cellIs" dxfId="18096" priority="1368" operator="lessThan">
      <formula>0.8</formula>
    </cfRule>
  </conditionalFormatting>
  <conditionalFormatting sqref="P32:P39">
    <cfRule type="cellIs" dxfId="18095" priority="1366" operator="greaterThan">
      <formula>0</formula>
    </cfRule>
  </conditionalFormatting>
  <conditionalFormatting sqref="Q32:Q39">
    <cfRule type="cellIs" dxfId="18094" priority="1365" operator="lessThan">
      <formula>0</formula>
    </cfRule>
  </conditionalFormatting>
  <conditionalFormatting sqref="R32:R39">
    <cfRule type="cellIs" dxfId="18093" priority="1363" operator="lessThan">
      <formula>0.8</formula>
    </cfRule>
    <cfRule type="cellIs" dxfId="18092" priority="1364" operator="greaterThan">
      <formula>1</formula>
    </cfRule>
  </conditionalFormatting>
  <conditionalFormatting sqref="R32:R39">
    <cfRule type="cellIs" dxfId="18091" priority="1361" operator="greaterThan">
      <formula>1</formula>
    </cfRule>
    <cfRule type="cellIs" dxfId="18090" priority="1362" operator="lessThan">
      <formula>0.8</formula>
    </cfRule>
  </conditionalFormatting>
  <conditionalFormatting sqref="P32:P39">
    <cfRule type="cellIs" dxfId="18089" priority="1360" operator="greaterThan">
      <formula>0</formula>
    </cfRule>
  </conditionalFormatting>
  <conditionalFormatting sqref="Q32:Q39">
    <cfRule type="cellIs" dxfId="18088" priority="1359" operator="lessThan">
      <formula>0</formula>
    </cfRule>
  </conditionalFormatting>
  <conditionalFormatting sqref="R32:R39">
    <cfRule type="cellIs" dxfId="18087" priority="1357" operator="lessThan">
      <formula>0.8</formula>
    </cfRule>
    <cfRule type="cellIs" dxfId="18086" priority="1358" operator="greaterThan">
      <formula>1</formula>
    </cfRule>
  </conditionalFormatting>
  <conditionalFormatting sqref="R32:R39">
    <cfRule type="cellIs" dxfId="18085" priority="1355" operator="greaterThan">
      <formula>1</formula>
    </cfRule>
    <cfRule type="cellIs" dxfId="18084" priority="1356" operator="lessThan">
      <formula>0.8</formula>
    </cfRule>
  </conditionalFormatting>
  <conditionalFormatting sqref="P32:P39">
    <cfRule type="cellIs" dxfId="18083" priority="1354" operator="greaterThan">
      <formula>0</formula>
    </cfRule>
  </conditionalFormatting>
  <conditionalFormatting sqref="P32:P39">
    <cfRule type="cellIs" dxfId="18082" priority="1348" operator="greaterThan">
      <formula>0</formula>
    </cfRule>
  </conditionalFormatting>
  <conditionalFormatting sqref="Q32:Q39">
    <cfRule type="cellIs" dxfId="18081" priority="1353" operator="lessThan">
      <formula>0</formula>
    </cfRule>
  </conditionalFormatting>
  <conditionalFormatting sqref="R32:R39">
    <cfRule type="cellIs" dxfId="18080" priority="1351" operator="lessThan">
      <formula>0.8</formula>
    </cfRule>
    <cfRule type="cellIs" dxfId="18079" priority="1352" operator="greaterThan">
      <formula>1</formula>
    </cfRule>
  </conditionalFormatting>
  <conditionalFormatting sqref="R32:R39">
    <cfRule type="cellIs" dxfId="18078" priority="1349" operator="greaterThan">
      <formula>1</formula>
    </cfRule>
    <cfRule type="cellIs" dxfId="18077" priority="1350" operator="lessThan">
      <formula>0.8</formula>
    </cfRule>
  </conditionalFormatting>
  <conditionalFormatting sqref="P32:P39">
    <cfRule type="cellIs" dxfId="18076" priority="1342" operator="greaterThan">
      <formula>0</formula>
    </cfRule>
  </conditionalFormatting>
  <conditionalFormatting sqref="Q32:Q39">
    <cfRule type="cellIs" dxfId="18075" priority="1347" operator="lessThan">
      <formula>0</formula>
    </cfRule>
  </conditionalFormatting>
  <conditionalFormatting sqref="R32:R39">
    <cfRule type="cellIs" dxfId="18074" priority="1345" operator="lessThan">
      <formula>0.8</formula>
    </cfRule>
    <cfRule type="cellIs" dxfId="18073" priority="1346" operator="greaterThan">
      <formula>1</formula>
    </cfRule>
  </conditionalFormatting>
  <conditionalFormatting sqref="R32:R39">
    <cfRule type="cellIs" dxfId="18072" priority="1343" operator="greaterThan">
      <formula>1</formula>
    </cfRule>
    <cfRule type="cellIs" dxfId="18071" priority="1344" operator="lessThan">
      <formula>0.8</formula>
    </cfRule>
  </conditionalFormatting>
  <conditionalFormatting sqref="R32:R39">
    <cfRule type="cellIs" dxfId="18070" priority="1339" operator="lessThan">
      <formula>0.8</formula>
    </cfRule>
    <cfRule type="cellIs" dxfId="18069" priority="1340" operator="greaterThan">
      <formula>1</formula>
    </cfRule>
  </conditionalFormatting>
  <conditionalFormatting sqref="R32:R39">
    <cfRule type="cellIs" dxfId="18068" priority="1337" operator="greaterThan">
      <formula>1</formula>
    </cfRule>
    <cfRule type="cellIs" dxfId="18067" priority="1338" operator="lessThan">
      <formula>0.8</formula>
    </cfRule>
  </conditionalFormatting>
  <conditionalFormatting sqref="P32:P39">
    <cfRule type="cellIs" dxfId="18066" priority="1336" operator="greaterThan">
      <formula>0</formula>
    </cfRule>
  </conditionalFormatting>
  <conditionalFormatting sqref="Q32:Q39">
    <cfRule type="cellIs" dxfId="18065" priority="1341" operator="lessThan">
      <formula>0</formula>
    </cfRule>
  </conditionalFormatting>
  <conditionalFormatting sqref="Q32:Q39">
    <cfRule type="cellIs" dxfId="18064" priority="1335" operator="lessThan">
      <formula>0</formula>
    </cfRule>
  </conditionalFormatting>
  <conditionalFormatting sqref="R32:R39">
    <cfRule type="cellIs" dxfId="18063" priority="1333" operator="lessThan">
      <formula>0.8</formula>
    </cfRule>
    <cfRule type="cellIs" dxfId="18062" priority="1334" operator="greaterThan">
      <formula>1</formula>
    </cfRule>
  </conditionalFormatting>
  <conditionalFormatting sqref="R32:R39">
    <cfRule type="cellIs" dxfId="18061" priority="1331" operator="greaterThan">
      <formula>1</formula>
    </cfRule>
    <cfRule type="cellIs" dxfId="18060" priority="1332" operator="lessThan">
      <formula>0.8</formula>
    </cfRule>
  </conditionalFormatting>
  <conditionalFormatting sqref="P32:P39">
    <cfRule type="cellIs" dxfId="18059" priority="1330" operator="greaterThan">
      <formula>0</formula>
    </cfRule>
  </conditionalFormatting>
  <conditionalFormatting sqref="P32:P39">
    <cfRule type="cellIs" dxfId="18058" priority="1324" operator="greaterThan">
      <formula>0</formula>
    </cfRule>
  </conditionalFormatting>
  <conditionalFormatting sqref="Q32:Q39">
    <cfRule type="cellIs" dxfId="18057" priority="1329" operator="lessThan">
      <formula>0</formula>
    </cfRule>
  </conditionalFormatting>
  <conditionalFormatting sqref="R32:R39">
    <cfRule type="cellIs" dxfId="18056" priority="1327" operator="lessThan">
      <formula>0.8</formula>
    </cfRule>
    <cfRule type="cellIs" dxfId="18055" priority="1328" operator="greaterThan">
      <formula>1</formula>
    </cfRule>
  </conditionalFormatting>
  <conditionalFormatting sqref="R32:R39">
    <cfRule type="cellIs" dxfId="18054" priority="1325" operator="greaterThan">
      <formula>1</formula>
    </cfRule>
    <cfRule type="cellIs" dxfId="18053" priority="1326" operator="lessThan">
      <formula>0.8</formula>
    </cfRule>
  </conditionalFormatting>
  <conditionalFormatting sqref="P32:P39">
    <cfRule type="cellIs" dxfId="18052" priority="1318" operator="greaterThan">
      <formula>0</formula>
    </cfRule>
  </conditionalFormatting>
  <conditionalFormatting sqref="Q32:Q39">
    <cfRule type="cellIs" dxfId="18051" priority="1323" operator="lessThan">
      <formula>0</formula>
    </cfRule>
  </conditionalFormatting>
  <conditionalFormatting sqref="R32:R39">
    <cfRule type="cellIs" dxfId="18050" priority="1321" operator="lessThan">
      <formula>0.8</formula>
    </cfRule>
    <cfRule type="cellIs" dxfId="18049" priority="1322" operator="greaterThan">
      <formula>1</formula>
    </cfRule>
  </conditionalFormatting>
  <conditionalFormatting sqref="R32:R39">
    <cfRule type="cellIs" dxfId="18048" priority="1319" operator="greaterThan">
      <formula>1</formula>
    </cfRule>
    <cfRule type="cellIs" dxfId="18047" priority="1320" operator="lessThan">
      <formula>0.8</formula>
    </cfRule>
  </conditionalFormatting>
  <conditionalFormatting sqref="R32:R39">
    <cfRule type="cellIs" dxfId="18046" priority="1315" operator="lessThan">
      <formula>0.8</formula>
    </cfRule>
    <cfRule type="cellIs" dxfId="18045" priority="1316" operator="greaterThan">
      <formula>1</formula>
    </cfRule>
  </conditionalFormatting>
  <conditionalFormatting sqref="R32:R39">
    <cfRule type="cellIs" dxfId="18044" priority="1313" operator="greaterThan">
      <formula>1</formula>
    </cfRule>
    <cfRule type="cellIs" dxfId="18043" priority="1314" operator="lessThan">
      <formula>0.8</formula>
    </cfRule>
  </conditionalFormatting>
  <conditionalFormatting sqref="P32:P39">
    <cfRule type="cellIs" dxfId="18042" priority="1312" operator="greaterThan">
      <formula>0</formula>
    </cfRule>
  </conditionalFormatting>
  <conditionalFormatting sqref="Q32:Q39">
    <cfRule type="cellIs" dxfId="18041" priority="1317" operator="lessThan">
      <formula>0</formula>
    </cfRule>
  </conditionalFormatting>
  <conditionalFormatting sqref="P32:P39">
    <cfRule type="cellIs" dxfId="18040" priority="1306" operator="greaterThan">
      <formula>0</formula>
    </cfRule>
  </conditionalFormatting>
  <conditionalFormatting sqref="Q32:Q39">
    <cfRule type="cellIs" dxfId="18039" priority="1311" operator="lessThan">
      <formula>0</formula>
    </cfRule>
  </conditionalFormatting>
  <conditionalFormatting sqref="R32:R39">
    <cfRule type="cellIs" dxfId="18038" priority="1309" operator="lessThan">
      <formula>0.8</formula>
    </cfRule>
    <cfRule type="cellIs" dxfId="18037" priority="1310" operator="greaterThan">
      <formula>1</formula>
    </cfRule>
  </conditionalFormatting>
  <conditionalFormatting sqref="R32:R39">
    <cfRule type="cellIs" dxfId="18036" priority="1307" operator="greaterThan">
      <formula>1</formula>
    </cfRule>
    <cfRule type="cellIs" dxfId="18035" priority="1308" operator="lessThan">
      <formula>0.8</formula>
    </cfRule>
  </conditionalFormatting>
  <conditionalFormatting sqref="R32:R39">
    <cfRule type="cellIs" dxfId="18034" priority="1303" operator="lessThan">
      <formula>0.8</formula>
    </cfRule>
    <cfRule type="cellIs" dxfId="18033" priority="1304" operator="greaterThan">
      <formula>1</formula>
    </cfRule>
  </conditionalFormatting>
  <conditionalFormatting sqref="R32:R39">
    <cfRule type="cellIs" dxfId="18032" priority="1301" operator="greaterThan">
      <formula>1</formula>
    </cfRule>
    <cfRule type="cellIs" dxfId="18031" priority="1302" operator="lessThan">
      <formula>0.8</formula>
    </cfRule>
  </conditionalFormatting>
  <conditionalFormatting sqref="P32:P39">
    <cfRule type="cellIs" dxfId="18030" priority="1300" operator="greaterThan">
      <formula>0</formula>
    </cfRule>
  </conditionalFormatting>
  <conditionalFormatting sqref="Q32:Q39">
    <cfRule type="cellIs" dxfId="18029" priority="1305" operator="lessThan">
      <formula>0</formula>
    </cfRule>
  </conditionalFormatting>
  <conditionalFormatting sqref="R32:R39">
    <cfRule type="cellIs" dxfId="18028" priority="1297" operator="lessThan">
      <formula>0.8</formula>
    </cfRule>
    <cfRule type="cellIs" dxfId="18027" priority="1298" operator="greaterThan">
      <formula>1</formula>
    </cfRule>
  </conditionalFormatting>
  <conditionalFormatting sqref="R32:R39">
    <cfRule type="cellIs" dxfId="18026" priority="1295" operator="greaterThan">
      <formula>1</formula>
    </cfRule>
    <cfRule type="cellIs" dxfId="18025" priority="1296" operator="lessThan">
      <formula>0.8</formula>
    </cfRule>
  </conditionalFormatting>
  <conditionalFormatting sqref="P32:P39">
    <cfRule type="cellIs" dxfId="18024" priority="1294" operator="greaterThan">
      <formula>0</formula>
    </cfRule>
  </conditionalFormatting>
  <conditionalFormatting sqref="Q32:Q39">
    <cfRule type="cellIs" dxfId="18023" priority="1299" operator="lessThan">
      <formula>0</formula>
    </cfRule>
  </conditionalFormatting>
  <conditionalFormatting sqref="Q32:Q39">
    <cfRule type="cellIs" dxfId="18022" priority="1293" operator="lessThan">
      <formula>0</formula>
    </cfRule>
  </conditionalFormatting>
  <conditionalFormatting sqref="R32:R39">
    <cfRule type="cellIs" dxfId="18021" priority="1291" operator="lessThan">
      <formula>0.8</formula>
    </cfRule>
    <cfRule type="cellIs" dxfId="18020" priority="1292" operator="greaterThan">
      <formula>1</formula>
    </cfRule>
  </conditionalFormatting>
  <conditionalFormatting sqref="R32:R39">
    <cfRule type="cellIs" dxfId="18019" priority="1289" operator="greaterThan">
      <formula>1</formula>
    </cfRule>
    <cfRule type="cellIs" dxfId="18018" priority="1290" operator="lessThan">
      <formula>0.8</formula>
    </cfRule>
  </conditionalFormatting>
  <conditionalFormatting sqref="P32:P39">
    <cfRule type="cellIs" dxfId="18017" priority="1288" operator="greaterThan">
      <formula>0</formula>
    </cfRule>
  </conditionalFormatting>
  <conditionalFormatting sqref="Q32:Q39">
    <cfRule type="cellIs" dxfId="18016" priority="1282" operator="lessThan">
      <formula>0</formula>
    </cfRule>
  </conditionalFormatting>
  <conditionalFormatting sqref="R32:R39">
    <cfRule type="cellIs" dxfId="18015" priority="1286" operator="lessThan">
      <formula>0.8</formula>
    </cfRule>
    <cfRule type="cellIs" dxfId="18014" priority="1287" operator="greaterThan">
      <formula>1</formula>
    </cfRule>
  </conditionalFormatting>
  <conditionalFormatting sqref="R32:R39">
    <cfRule type="cellIs" dxfId="18013" priority="1284" operator="greaterThan">
      <formula>1</formula>
    </cfRule>
    <cfRule type="cellIs" dxfId="18012" priority="1285" operator="lessThan">
      <formula>0.8</formula>
    </cfRule>
  </conditionalFormatting>
  <conditionalFormatting sqref="P32:P39">
    <cfRule type="cellIs" dxfId="18011" priority="1283" operator="greaterThan">
      <formula>0</formula>
    </cfRule>
  </conditionalFormatting>
  <conditionalFormatting sqref="Q32:Q39">
    <cfRule type="cellIs" dxfId="18010" priority="1281" operator="lessThan">
      <formula>0</formula>
    </cfRule>
  </conditionalFormatting>
  <conditionalFormatting sqref="R32:R39">
    <cfRule type="cellIs" dxfId="18009" priority="1279" operator="lessThan">
      <formula>0.8</formula>
    </cfRule>
    <cfRule type="cellIs" dxfId="18008" priority="1280" operator="greaterThan">
      <formula>1</formula>
    </cfRule>
  </conditionalFormatting>
  <conditionalFormatting sqref="R32:R39">
    <cfRule type="cellIs" dxfId="18007" priority="1277" operator="greaterThan">
      <formula>1</formula>
    </cfRule>
    <cfRule type="cellIs" dxfId="18006" priority="1278" operator="lessThan">
      <formula>0.8</formula>
    </cfRule>
  </conditionalFormatting>
  <conditionalFormatting sqref="P32:P39">
    <cfRule type="cellIs" dxfId="18005" priority="1276" operator="greaterThan">
      <formula>0</formula>
    </cfRule>
  </conditionalFormatting>
  <conditionalFormatting sqref="Q32:Q39">
    <cfRule type="cellIs" dxfId="18004" priority="1275" operator="lessThan">
      <formula>0</formula>
    </cfRule>
  </conditionalFormatting>
  <conditionalFormatting sqref="R32:R39">
    <cfRule type="cellIs" dxfId="18003" priority="1273" operator="lessThan">
      <formula>0.8</formula>
    </cfRule>
    <cfRule type="cellIs" dxfId="18002" priority="1274" operator="greaterThan">
      <formula>1</formula>
    </cfRule>
  </conditionalFormatting>
  <conditionalFormatting sqref="R32:R39">
    <cfRule type="cellIs" dxfId="18001" priority="1271" operator="greaterThan">
      <formula>1</formula>
    </cfRule>
    <cfRule type="cellIs" dxfId="18000" priority="1272" operator="lessThan">
      <formula>0.8</formula>
    </cfRule>
  </conditionalFormatting>
  <conditionalFormatting sqref="P32:P39">
    <cfRule type="cellIs" dxfId="17999" priority="1270" operator="greaterThan">
      <formula>0</formula>
    </cfRule>
  </conditionalFormatting>
  <conditionalFormatting sqref="Q32:Q39">
    <cfRule type="cellIs" dxfId="17998" priority="1269" operator="lessThan">
      <formula>0</formula>
    </cfRule>
  </conditionalFormatting>
  <conditionalFormatting sqref="R32:R39">
    <cfRule type="cellIs" dxfId="17997" priority="1267" operator="lessThan">
      <formula>0.8</formula>
    </cfRule>
    <cfRule type="cellIs" dxfId="17996" priority="1268" operator="greaterThan">
      <formula>1</formula>
    </cfRule>
  </conditionalFormatting>
  <conditionalFormatting sqref="R32:R39">
    <cfRule type="cellIs" dxfId="17995" priority="1265" operator="greaterThan">
      <formula>1</formula>
    </cfRule>
    <cfRule type="cellIs" dxfId="17994" priority="1266" operator="lessThan">
      <formula>0.8</formula>
    </cfRule>
  </conditionalFormatting>
  <conditionalFormatting sqref="P32:P39">
    <cfRule type="cellIs" dxfId="17993" priority="1264" operator="greaterThan">
      <formula>0</formula>
    </cfRule>
  </conditionalFormatting>
  <conditionalFormatting sqref="Q32:Q39">
    <cfRule type="cellIs" dxfId="17992" priority="1263" operator="lessThan">
      <formula>0</formula>
    </cfRule>
  </conditionalFormatting>
  <conditionalFormatting sqref="R32:R39">
    <cfRule type="cellIs" dxfId="17991" priority="1261" operator="lessThan">
      <formula>0.8</formula>
    </cfRule>
    <cfRule type="cellIs" dxfId="17990" priority="1262" operator="greaterThan">
      <formula>1</formula>
    </cfRule>
  </conditionalFormatting>
  <conditionalFormatting sqref="R32:R39">
    <cfRule type="cellIs" dxfId="17989" priority="1259" operator="greaterThan">
      <formula>1</formula>
    </cfRule>
    <cfRule type="cellIs" dxfId="17988" priority="1260" operator="lessThan">
      <formula>0.8</formula>
    </cfRule>
  </conditionalFormatting>
  <conditionalFormatting sqref="P32:P39">
    <cfRule type="cellIs" dxfId="17987" priority="1258" operator="greaterThan">
      <formula>0</formula>
    </cfRule>
  </conditionalFormatting>
  <conditionalFormatting sqref="Q32:Q39">
    <cfRule type="cellIs" dxfId="17986" priority="1257" operator="lessThan">
      <formula>0</formula>
    </cfRule>
  </conditionalFormatting>
  <conditionalFormatting sqref="R32:R39">
    <cfRule type="cellIs" dxfId="17985" priority="1255" operator="lessThan">
      <formula>0.8</formula>
    </cfRule>
    <cfRule type="cellIs" dxfId="17984" priority="1256" operator="greaterThan">
      <formula>1</formula>
    </cfRule>
  </conditionalFormatting>
  <conditionalFormatting sqref="R32:R39">
    <cfRule type="cellIs" dxfId="17983" priority="1253" operator="greaterThan">
      <formula>1</formula>
    </cfRule>
    <cfRule type="cellIs" dxfId="17982" priority="1254" operator="lessThan">
      <formula>0.8</formula>
    </cfRule>
  </conditionalFormatting>
  <conditionalFormatting sqref="P32:P39">
    <cfRule type="cellIs" dxfId="17981" priority="1252" operator="greaterThan">
      <formula>0</formula>
    </cfRule>
  </conditionalFormatting>
  <conditionalFormatting sqref="P32:P39">
    <cfRule type="cellIs" dxfId="17980" priority="1246" operator="greaterThan">
      <formula>0</formula>
    </cfRule>
  </conditionalFormatting>
  <conditionalFormatting sqref="Q32:Q39">
    <cfRule type="cellIs" dxfId="17979" priority="1251" operator="lessThan">
      <formula>0</formula>
    </cfRule>
  </conditionalFormatting>
  <conditionalFormatting sqref="R32:R39">
    <cfRule type="cellIs" dxfId="17978" priority="1249" operator="lessThan">
      <formula>0.8</formula>
    </cfRule>
    <cfRule type="cellIs" dxfId="17977" priority="1250" operator="greaterThan">
      <formula>1</formula>
    </cfRule>
  </conditionalFormatting>
  <conditionalFormatting sqref="R32:R39">
    <cfRule type="cellIs" dxfId="17976" priority="1247" operator="greaterThan">
      <formula>1</formula>
    </cfRule>
    <cfRule type="cellIs" dxfId="17975" priority="1248" operator="lessThan">
      <formula>0.8</formula>
    </cfRule>
  </conditionalFormatting>
  <conditionalFormatting sqref="P32:P39">
    <cfRule type="cellIs" dxfId="17974" priority="1240" operator="greaterThan">
      <formula>0</formula>
    </cfRule>
  </conditionalFormatting>
  <conditionalFormatting sqref="Q32:Q39">
    <cfRule type="cellIs" dxfId="17973" priority="1245" operator="lessThan">
      <formula>0</formula>
    </cfRule>
  </conditionalFormatting>
  <conditionalFormatting sqref="R32:R39">
    <cfRule type="cellIs" dxfId="17972" priority="1243" operator="lessThan">
      <formula>0.8</formula>
    </cfRule>
    <cfRule type="cellIs" dxfId="17971" priority="1244" operator="greaterThan">
      <formula>1</formula>
    </cfRule>
  </conditionalFormatting>
  <conditionalFormatting sqref="R32:R39">
    <cfRule type="cellIs" dxfId="17970" priority="1241" operator="greaterThan">
      <formula>1</formula>
    </cfRule>
    <cfRule type="cellIs" dxfId="17969" priority="1242" operator="lessThan">
      <formula>0.8</formula>
    </cfRule>
  </conditionalFormatting>
  <conditionalFormatting sqref="R32:R39">
    <cfRule type="cellIs" dxfId="17968" priority="1237" operator="lessThan">
      <formula>0.8</formula>
    </cfRule>
    <cfRule type="cellIs" dxfId="17967" priority="1238" operator="greaterThan">
      <formula>1</formula>
    </cfRule>
  </conditionalFormatting>
  <conditionalFormatting sqref="R32:R39">
    <cfRule type="cellIs" dxfId="17966" priority="1235" operator="greaterThan">
      <formula>1</formula>
    </cfRule>
    <cfRule type="cellIs" dxfId="17965" priority="1236" operator="lessThan">
      <formula>0.8</formula>
    </cfRule>
  </conditionalFormatting>
  <conditionalFormatting sqref="P32:P39">
    <cfRule type="cellIs" dxfId="17964" priority="1234" operator="greaterThan">
      <formula>0</formula>
    </cfRule>
  </conditionalFormatting>
  <conditionalFormatting sqref="Q32:Q39">
    <cfRule type="cellIs" dxfId="17963" priority="1239" operator="lessThan">
      <formula>0</formula>
    </cfRule>
  </conditionalFormatting>
  <conditionalFormatting sqref="Q32:Q39">
    <cfRule type="cellIs" dxfId="17962" priority="1228" operator="lessThan">
      <formula>0</formula>
    </cfRule>
  </conditionalFormatting>
  <conditionalFormatting sqref="P32:P39">
    <cfRule type="cellIs" dxfId="17961" priority="1229" operator="greaterThan">
      <formula>0</formula>
    </cfRule>
  </conditionalFormatting>
  <conditionalFormatting sqref="R32:R39">
    <cfRule type="cellIs" dxfId="17960" priority="1232" operator="lessThan">
      <formula>0.8</formula>
    </cfRule>
    <cfRule type="cellIs" dxfId="17959" priority="1233" operator="greaterThan">
      <formula>1</formula>
    </cfRule>
  </conditionalFormatting>
  <conditionalFormatting sqref="R32:R39">
    <cfRule type="cellIs" dxfId="17958" priority="1230" operator="greaterThan">
      <formula>1</formula>
    </cfRule>
    <cfRule type="cellIs" dxfId="17957" priority="1231" operator="lessThan">
      <formula>0.8</formula>
    </cfRule>
  </conditionalFormatting>
  <conditionalFormatting sqref="Q32:Q39">
    <cfRule type="cellIs" dxfId="17956" priority="1222" operator="lessThan">
      <formula>0</formula>
    </cfRule>
  </conditionalFormatting>
  <conditionalFormatting sqref="R32:R39">
    <cfRule type="cellIs" dxfId="17955" priority="1226" operator="lessThan">
      <formula>0.8</formula>
    </cfRule>
    <cfRule type="cellIs" dxfId="17954" priority="1227" operator="greaterThan">
      <formula>1</formula>
    </cfRule>
  </conditionalFormatting>
  <conditionalFormatting sqref="R32:R39">
    <cfRule type="cellIs" dxfId="17953" priority="1224" operator="greaterThan">
      <formula>1</formula>
    </cfRule>
    <cfRule type="cellIs" dxfId="17952" priority="1225" operator="lessThan">
      <formula>0.8</formula>
    </cfRule>
  </conditionalFormatting>
  <conditionalFormatting sqref="P32:P39">
    <cfRule type="cellIs" dxfId="17951" priority="1223" operator="greaterThan">
      <formula>0</formula>
    </cfRule>
  </conditionalFormatting>
  <conditionalFormatting sqref="Q32:Q39">
    <cfRule type="cellIs" dxfId="17950" priority="1221" operator="lessThan">
      <formula>0</formula>
    </cfRule>
  </conditionalFormatting>
  <conditionalFormatting sqref="R32:R39">
    <cfRule type="cellIs" dxfId="17949" priority="1219" operator="lessThan">
      <formula>0.8</formula>
    </cfRule>
    <cfRule type="cellIs" dxfId="17948" priority="1220" operator="greaterThan">
      <formula>1</formula>
    </cfRule>
  </conditionalFormatting>
  <conditionalFormatting sqref="R32:R39">
    <cfRule type="cellIs" dxfId="17947" priority="1217" operator="greaterThan">
      <formula>1</formula>
    </cfRule>
    <cfRule type="cellIs" dxfId="17946" priority="1218" operator="lessThan">
      <formula>0.8</formula>
    </cfRule>
  </conditionalFormatting>
  <conditionalFormatting sqref="P32:P39">
    <cfRule type="cellIs" dxfId="17945" priority="1216" operator="greaterThan">
      <formula>0</formula>
    </cfRule>
  </conditionalFormatting>
  <conditionalFormatting sqref="Q32:Q39">
    <cfRule type="cellIs" dxfId="17944" priority="1215" operator="lessThan">
      <formula>0</formula>
    </cfRule>
  </conditionalFormatting>
  <conditionalFormatting sqref="R32:R39">
    <cfRule type="cellIs" dxfId="17943" priority="1213" operator="lessThan">
      <formula>0.8</formula>
    </cfRule>
    <cfRule type="cellIs" dxfId="17942" priority="1214" operator="greaterThan">
      <formula>1</formula>
    </cfRule>
  </conditionalFormatting>
  <conditionalFormatting sqref="R32:R39">
    <cfRule type="cellIs" dxfId="17941" priority="1211" operator="greaterThan">
      <formula>1</formula>
    </cfRule>
    <cfRule type="cellIs" dxfId="17940" priority="1212" operator="lessThan">
      <formula>0.8</formula>
    </cfRule>
  </conditionalFormatting>
  <conditionalFormatting sqref="P32:P39">
    <cfRule type="cellIs" dxfId="17939" priority="1210" operator="greaterThan">
      <formula>0</formula>
    </cfRule>
  </conditionalFormatting>
  <conditionalFormatting sqref="Q32:Q39">
    <cfRule type="cellIs" dxfId="17938" priority="1209" operator="lessThan">
      <formula>0</formula>
    </cfRule>
  </conditionalFormatting>
  <conditionalFormatting sqref="R32:R39">
    <cfRule type="cellIs" dxfId="17937" priority="1207" operator="lessThan">
      <formula>0.8</formula>
    </cfRule>
    <cfRule type="cellIs" dxfId="17936" priority="1208" operator="greaterThan">
      <formula>1</formula>
    </cfRule>
  </conditionalFormatting>
  <conditionalFormatting sqref="R32:R39">
    <cfRule type="cellIs" dxfId="17935" priority="1205" operator="greaterThan">
      <formula>1</formula>
    </cfRule>
    <cfRule type="cellIs" dxfId="17934" priority="1206" operator="lessThan">
      <formula>0.8</formula>
    </cfRule>
  </conditionalFormatting>
  <conditionalFormatting sqref="P32:P39">
    <cfRule type="cellIs" dxfId="17933" priority="1204" operator="greaterThan">
      <formula>0</formula>
    </cfRule>
  </conditionalFormatting>
  <conditionalFormatting sqref="Q32:Q39">
    <cfRule type="cellIs" dxfId="17932" priority="1203" operator="lessThan">
      <formula>0</formula>
    </cfRule>
  </conditionalFormatting>
  <conditionalFormatting sqref="R32:R39">
    <cfRule type="cellIs" dxfId="17931" priority="1201" operator="lessThan">
      <formula>0.8</formula>
    </cfRule>
    <cfRule type="cellIs" dxfId="17930" priority="1202" operator="greaterThan">
      <formula>1</formula>
    </cfRule>
  </conditionalFormatting>
  <conditionalFormatting sqref="R32:R39">
    <cfRule type="cellIs" dxfId="17929" priority="1199" operator="greaterThan">
      <formula>1</formula>
    </cfRule>
    <cfRule type="cellIs" dxfId="17928" priority="1200" operator="lessThan">
      <formula>0.8</formula>
    </cfRule>
  </conditionalFormatting>
  <conditionalFormatting sqref="P32:P39">
    <cfRule type="cellIs" dxfId="17927" priority="1198" operator="greaterThan">
      <formula>0</formula>
    </cfRule>
  </conditionalFormatting>
  <conditionalFormatting sqref="Q96:Q105">
    <cfRule type="cellIs" dxfId="17926" priority="1192" operator="lessThan">
      <formula>0</formula>
    </cfRule>
  </conditionalFormatting>
  <conditionalFormatting sqref="P96:P105">
    <cfRule type="cellIs" dxfId="17925" priority="1193" operator="greaterThan">
      <formula>0</formula>
    </cfRule>
  </conditionalFormatting>
  <conditionalFormatting sqref="R96:R105">
    <cfRule type="cellIs" dxfId="17924" priority="1196" operator="lessThan">
      <formula>0.8</formula>
    </cfRule>
    <cfRule type="cellIs" dxfId="17923" priority="1197" operator="greaterThan">
      <formula>1</formula>
    </cfRule>
  </conditionalFormatting>
  <conditionalFormatting sqref="R96:R105">
    <cfRule type="cellIs" dxfId="17922" priority="1194" operator="greaterThan">
      <formula>1</formula>
    </cfRule>
    <cfRule type="cellIs" dxfId="17921" priority="1195" operator="lessThan">
      <formula>0.8</formula>
    </cfRule>
  </conditionalFormatting>
  <conditionalFormatting sqref="Q96:Q105">
    <cfRule type="cellIs" dxfId="17920" priority="1186" operator="lessThan">
      <formula>0</formula>
    </cfRule>
  </conditionalFormatting>
  <conditionalFormatting sqref="R96:R105">
    <cfRule type="cellIs" dxfId="17919" priority="1190" operator="lessThan">
      <formula>0.8</formula>
    </cfRule>
    <cfRule type="cellIs" dxfId="17918" priority="1191" operator="greaterThan">
      <formula>1</formula>
    </cfRule>
  </conditionalFormatting>
  <conditionalFormatting sqref="R96:R105">
    <cfRule type="cellIs" dxfId="17917" priority="1188" operator="greaterThan">
      <formula>1</formula>
    </cfRule>
    <cfRule type="cellIs" dxfId="17916" priority="1189" operator="lessThan">
      <formula>0.8</formula>
    </cfRule>
  </conditionalFormatting>
  <conditionalFormatting sqref="P96:P105">
    <cfRule type="cellIs" dxfId="17915" priority="1187" operator="greaterThan">
      <formula>0</formula>
    </cfRule>
  </conditionalFormatting>
  <conditionalFormatting sqref="Q96:Q105">
    <cfRule type="cellIs" dxfId="17914" priority="1185" operator="lessThan">
      <formula>0</formula>
    </cfRule>
  </conditionalFormatting>
  <conditionalFormatting sqref="R96:R105">
    <cfRule type="cellIs" dxfId="17913" priority="1183" operator="lessThan">
      <formula>0.8</formula>
    </cfRule>
    <cfRule type="cellIs" dxfId="17912" priority="1184" operator="greaterThan">
      <formula>1</formula>
    </cfRule>
  </conditionalFormatting>
  <conditionalFormatting sqref="R96:R105">
    <cfRule type="cellIs" dxfId="17911" priority="1181" operator="greaterThan">
      <formula>1</formula>
    </cfRule>
    <cfRule type="cellIs" dxfId="17910" priority="1182" operator="lessThan">
      <formula>0.8</formula>
    </cfRule>
  </conditionalFormatting>
  <conditionalFormatting sqref="P96:P105">
    <cfRule type="cellIs" dxfId="17909" priority="1180" operator="greaterThan">
      <formula>0</formula>
    </cfRule>
  </conditionalFormatting>
  <conditionalFormatting sqref="Q96:Q105">
    <cfRule type="cellIs" dxfId="17908" priority="1179" operator="lessThan">
      <formula>0</formula>
    </cfRule>
  </conditionalFormatting>
  <conditionalFormatting sqref="R96:R105">
    <cfRule type="cellIs" dxfId="17907" priority="1177" operator="lessThan">
      <formula>0.8</formula>
    </cfRule>
    <cfRule type="cellIs" dxfId="17906" priority="1178" operator="greaterThan">
      <formula>1</formula>
    </cfRule>
  </conditionalFormatting>
  <conditionalFormatting sqref="R96:R105">
    <cfRule type="cellIs" dxfId="17905" priority="1175" operator="greaterThan">
      <formula>1</formula>
    </cfRule>
    <cfRule type="cellIs" dxfId="17904" priority="1176" operator="lessThan">
      <formula>0.8</formula>
    </cfRule>
  </conditionalFormatting>
  <conditionalFormatting sqref="P96:P105">
    <cfRule type="cellIs" dxfId="17903" priority="1174" operator="greaterThan">
      <formula>0</formula>
    </cfRule>
  </conditionalFormatting>
  <conditionalFormatting sqref="Q96:Q105">
    <cfRule type="cellIs" dxfId="17902" priority="1168" operator="lessThan">
      <formula>0</formula>
    </cfRule>
  </conditionalFormatting>
  <conditionalFormatting sqref="R96:R105">
    <cfRule type="cellIs" dxfId="17901" priority="1172" operator="lessThan">
      <formula>0.8</formula>
    </cfRule>
    <cfRule type="cellIs" dxfId="17900" priority="1173" operator="greaterThan">
      <formula>1</formula>
    </cfRule>
  </conditionalFormatting>
  <conditionalFormatting sqref="R96:R105">
    <cfRule type="cellIs" dxfId="17899" priority="1170" operator="greaterThan">
      <formula>1</formula>
    </cfRule>
    <cfRule type="cellIs" dxfId="17898" priority="1171" operator="lessThan">
      <formula>0.8</formula>
    </cfRule>
  </conditionalFormatting>
  <conditionalFormatting sqref="P96:P105">
    <cfRule type="cellIs" dxfId="17897" priority="1169" operator="greaterThan">
      <formula>0</formula>
    </cfRule>
  </conditionalFormatting>
  <conditionalFormatting sqref="Q96:Q105">
    <cfRule type="cellIs" dxfId="17896" priority="1167" operator="lessThan">
      <formula>0</formula>
    </cfRule>
  </conditionalFormatting>
  <conditionalFormatting sqref="R96:R105">
    <cfRule type="cellIs" dxfId="17895" priority="1165" operator="lessThan">
      <formula>0.8</formula>
    </cfRule>
    <cfRule type="cellIs" dxfId="17894" priority="1166" operator="greaterThan">
      <formula>1</formula>
    </cfRule>
  </conditionalFormatting>
  <conditionalFormatting sqref="R96:R105">
    <cfRule type="cellIs" dxfId="17893" priority="1163" operator="greaterThan">
      <formula>1</formula>
    </cfRule>
    <cfRule type="cellIs" dxfId="17892" priority="1164" operator="lessThan">
      <formula>0.8</formula>
    </cfRule>
  </conditionalFormatting>
  <conditionalFormatting sqref="P96:P105">
    <cfRule type="cellIs" dxfId="17891" priority="1162" operator="greaterThan">
      <formula>0</formula>
    </cfRule>
  </conditionalFormatting>
  <conditionalFormatting sqref="Q96:Q105">
    <cfRule type="cellIs" dxfId="17890" priority="1161" operator="lessThan">
      <formula>0</formula>
    </cfRule>
  </conditionalFormatting>
  <conditionalFormatting sqref="R96:R105">
    <cfRule type="cellIs" dxfId="17889" priority="1159" operator="lessThan">
      <formula>0.8</formula>
    </cfRule>
    <cfRule type="cellIs" dxfId="17888" priority="1160" operator="greaterThan">
      <formula>1</formula>
    </cfRule>
  </conditionalFormatting>
  <conditionalFormatting sqref="R96:R105">
    <cfRule type="cellIs" dxfId="17887" priority="1157" operator="greaterThan">
      <formula>1</formula>
    </cfRule>
    <cfRule type="cellIs" dxfId="17886" priority="1158" operator="lessThan">
      <formula>0.8</formula>
    </cfRule>
  </conditionalFormatting>
  <conditionalFormatting sqref="P96:P105">
    <cfRule type="cellIs" dxfId="17885" priority="1156" operator="greaterThan">
      <formula>0</formula>
    </cfRule>
  </conditionalFormatting>
  <conditionalFormatting sqref="Q96:Q105">
    <cfRule type="cellIs" dxfId="17884" priority="1155" operator="lessThan">
      <formula>0</formula>
    </cfRule>
  </conditionalFormatting>
  <conditionalFormatting sqref="R96:R105">
    <cfRule type="cellIs" dxfId="17883" priority="1153" operator="lessThan">
      <formula>0.8</formula>
    </cfRule>
    <cfRule type="cellIs" dxfId="17882" priority="1154" operator="greaterThan">
      <formula>1</formula>
    </cfRule>
  </conditionalFormatting>
  <conditionalFormatting sqref="R96:R105">
    <cfRule type="cellIs" dxfId="17881" priority="1151" operator="greaterThan">
      <formula>1</formula>
    </cfRule>
    <cfRule type="cellIs" dxfId="17880" priority="1152" operator="lessThan">
      <formula>0.8</formula>
    </cfRule>
  </conditionalFormatting>
  <conditionalFormatting sqref="P96:P105">
    <cfRule type="cellIs" dxfId="17879" priority="1150" operator="greaterThan">
      <formula>0</formula>
    </cfRule>
  </conditionalFormatting>
  <conditionalFormatting sqref="Q96:Q105">
    <cfRule type="cellIs" dxfId="17878" priority="1149" operator="lessThan">
      <formula>0</formula>
    </cfRule>
  </conditionalFormatting>
  <conditionalFormatting sqref="R96:R105">
    <cfRule type="cellIs" dxfId="17877" priority="1147" operator="lessThan">
      <formula>0.8</formula>
    </cfRule>
    <cfRule type="cellIs" dxfId="17876" priority="1148" operator="greaterThan">
      <formula>1</formula>
    </cfRule>
  </conditionalFormatting>
  <conditionalFormatting sqref="R96:R105">
    <cfRule type="cellIs" dxfId="17875" priority="1145" operator="greaterThan">
      <formula>1</formula>
    </cfRule>
    <cfRule type="cellIs" dxfId="17874" priority="1146" operator="lessThan">
      <formula>0.8</formula>
    </cfRule>
  </conditionalFormatting>
  <conditionalFormatting sqref="P96:P105">
    <cfRule type="cellIs" dxfId="17873" priority="1144" operator="greaterThan">
      <formula>0</formula>
    </cfRule>
  </conditionalFormatting>
  <conditionalFormatting sqref="Q96:Q105">
    <cfRule type="cellIs" dxfId="17872" priority="1143" operator="lessThan">
      <formula>0</formula>
    </cfRule>
  </conditionalFormatting>
  <conditionalFormatting sqref="R96:R105">
    <cfRule type="cellIs" dxfId="17871" priority="1141" operator="lessThan">
      <formula>0.8</formula>
    </cfRule>
    <cfRule type="cellIs" dxfId="17870" priority="1142" operator="greaterThan">
      <formula>1</formula>
    </cfRule>
  </conditionalFormatting>
  <conditionalFormatting sqref="R96:R105">
    <cfRule type="cellIs" dxfId="17869" priority="1139" operator="greaterThan">
      <formula>1</formula>
    </cfRule>
    <cfRule type="cellIs" dxfId="17868" priority="1140" operator="lessThan">
      <formula>0.8</formula>
    </cfRule>
  </conditionalFormatting>
  <conditionalFormatting sqref="P96:P105">
    <cfRule type="cellIs" dxfId="17867" priority="1138" operator="greaterThan">
      <formula>0</formula>
    </cfRule>
  </conditionalFormatting>
  <conditionalFormatting sqref="P96:P105">
    <cfRule type="cellIs" dxfId="17866" priority="1132" operator="greaterThan">
      <formula>0</formula>
    </cfRule>
  </conditionalFormatting>
  <conditionalFormatting sqref="Q96:Q105">
    <cfRule type="cellIs" dxfId="17865" priority="1137" operator="lessThan">
      <formula>0</formula>
    </cfRule>
  </conditionalFormatting>
  <conditionalFormatting sqref="R96:R105">
    <cfRule type="cellIs" dxfId="17864" priority="1135" operator="lessThan">
      <formula>0.8</formula>
    </cfRule>
    <cfRule type="cellIs" dxfId="17863" priority="1136" operator="greaterThan">
      <formula>1</formula>
    </cfRule>
  </conditionalFormatting>
  <conditionalFormatting sqref="R96:R105">
    <cfRule type="cellIs" dxfId="17862" priority="1133" operator="greaterThan">
      <formula>1</formula>
    </cfRule>
    <cfRule type="cellIs" dxfId="17861" priority="1134" operator="lessThan">
      <formula>0.8</formula>
    </cfRule>
  </conditionalFormatting>
  <conditionalFormatting sqref="P96:P105">
    <cfRule type="cellIs" dxfId="17860" priority="1126" operator="greaterThan">
      <formula>0</formula>
    </cfRule>
  </conditionalFormatting>
  <conditionalFormatting sqref="Q96:Q105">
    <cfRule type="cellIs" dxfId="17859" priority="1131" operator="lessThan">
      <formula>0</formula>
    </cfRule>
  </conditionalFormatting>
  <conditionalFormatting sqref="R96:R105">
    <cfRule type="cellIs" dxfId="17858" priority="1129" operator="lessThan">
      <formula>0.8</formula>
    </cfRule>
    <cfRule type="cellIs" dxfId="17857" priority="1130" operator="greaterThan">
      <formula>1</formula>
    </cfRule>
  </conditionalFormatting>
  <conditionalFormatting sqref="R96:R105">
    <cfRule type="cellIs" dxfId="17856" priority="1127" operator="greaterThan">
      <formula>1</formula>
    </cfRule>
    <cfRule type="cellIs" dxfId="17855" priority="1128" operator="lessThan">
      <formula>0.8</formula>
    </cfRule>
  </conditionalFormatting>
  <conditionalFormatting sqref="R96:R105">
    <cfRule type="cellIs" dxfId="17854" priority="1123" operator="lessThan">
      <formula>0.8</formula>
    </cfRule>
    <cfRule type="cellIs" dxfId="17853" priority="1124" operator="greaterThan">
      <formula>1</formula>
    </cfRule>
  </conditionalFormatting>
  <conditionalFormatting sqref="R96:R105">
    <cfRule type="cellIs" dxfId="17852" priority="1121" operator="greaterThan">
      <formula>1</formula>
    </cfRule>
    <cfRule type="cellIs" dxfId="17851" priority="1122" operator="lessThan">
      <formula>0.8</formula>
    </cfRule>
  </conditionalFormatting>
  <conditionalFormatting sqref="P96:P105">
    <cfRule type="cellIs" dxfId="17850" priority="1120" operator="greaterThan">
      <formula>0</formula>
    </cfRule>
  </conditionalFormatting>
  <conditionalFormatting sqref="Q96:Q105">
    <cfRule type="cellIs" dxfId="17849" priority="1125" operator="lessThan">
      <formula>0</formula>
    </cfRule>
  </conditionalFormatting>
  <conditionalFormatting sqref="Q96:Q105">
    <cfRule type="cellIs" dxfId="17848" priority="1114" operator="lessThan">
      <formula>0</formula>
    </cfRule>
  </conditionalFormatting>
  <conditionalFormatting sqref="P96:P105">
    <cfRule type="cellIs" dxfId="17847" priority="1115" operator="greaterThan">
      <formula>0</formula>
    </cfRule>
  </conditionalFormatting>
  <conditionalFormatting sqref="R96:R105">
    <cfRule type="cellIs" dxfId="17846" priority="1118" operator="lessThan">
      <formula>0.8</formula>
    </cfRule>
    <cfRule type="cellIs" dxfId="17845" priority="1119" operator="greaterThan">
      <formula>1</formula>
    </cfRule>
  </conditionalFormatting>
  <conditionalFormatting sqref="R96:R105">
    <cfRule type="cellIs" dxfId="17844" priority="1116" operator="greaterThan">
      <formula>1</formula>
    </cfRule>
    <cfRule type="cellIs" dxfId="17843" priority="1117" operator="lessThan">
      <formula>0.8</formula>
    </cfRule>
  </conditionalFormatting>
  <conditionalFormatting sqref="Q96:Q105">
    <cfRule type="cellIs" dxfId="17842" priority="1108" operator="lessThan">
      <formula>0</formula>
    </cfRule>
  </conditionalFormatting>
  <conditionalFormatting sqref="R96:R105">
    <cfRule type="cellIs" dxfId="17841" priority="1112" operator="lessThan">
      <formula>0.8</formula>
    </cfRule>
    <cfRule type="cellIs" dxfId="17840" priority="1113" operator="greaterThan">
      <formula>1</formula>
    </cfRule>
  </conditionalFormatting>
  <conditionalFormatting sqref="R96:R105">
    <cfRule type="cellIs" dxfId="17839" priority="1110" operator="greaterThan">
      <formula>1</formula>
    </cfRule>
    <cfRule type="cellIs" dxfId="17838" priority="1111" operator="lessThan">
      <formula>0.8</formula>
    </cfRule>
  </conditionalFormatting>
  <conditionalFormatting sqref="P96:P105">
    <cfRule type="cellIs" dxfId="17837" priority="1109" operator="greaterThan">
      <formula>0</formula>
    </cfRule>
  </conditionalFormatting>
  <conditionalFormatting sqref="Q96:Q105">
    <cfRule type="cellIs" dxfId="17836" priority="1107" operator="lessThan">
      <formula>0</formula>
    </cfRule>
  </conditionalFormatting>
  <conditionalFormatting sqref="R96:R105">
    <cfRule type="cellIs" dxfId="17835" priority="1105" operator="lessThan">
      <formula>0.8</formula>
    </cfRule>
    <cfRule type="cellIs" dxfId="17834" priority="1106" operator="greaterThan">
      <formula>1</formula>
    </cfRule>
  </conditionalFormatting>
  <conditionalFormatting sqref="R96:R105">
    <cfRule type="cellIs" dxfId="17833" priority="1103" operator="greaterThan">
      <formula>1</formula>
    </cfRule>
    <cfRule type="cellIs" dxfId="17832" priority="1104" operator="lessThan">
      <formula>0.8</formula>
    </cfRule>
  </conditionalFormatting>
  <conditionalFormatting sqref="P96:P105">
    <cfRule type="cellIs" dxfId="17831" priority="1102" operator="greaterThan">
      <formula>0</formula>
    </cfRule>
  </conditionalFormatting>
  <conditionalFormatting sqref="Q96:Q105">
    <cfRule type="cellIs" dxfId="17830" priority="1101" operator="lessThan">
      <formula>0</formula>
    </cfRule>
  </conditionalFormatting>
  <conditionalFormatting sqref="R96:R105">
    <cfRule type="cellIs" dxfId="17829" priority="1099" operator="lessThan">
      <formula>0.8</formula>
    </cfRule>
    <cfRule type="cellIs" dxfId="17828" priority="1100" operator="greaterThan">
      <formula>1</formula>
    </cfRule>
  </conditionalFormatting>
  <conditionalFormatting sqref="R96:R105">
    <cfRule type="cellIs" dxfId="17827" priority="1097" operator="greaterThan">
      <formula>1</formula>
    </cfRule>
    <cfRule type="cellIs" dxfId="17826" priority="1098" operator="lessThan">
      <formula>0.8</formula>
    </cfRule>
  </conditionalFormatting>
  <conditionalFormatting sqref="P96:P105">
    <cfRule type="cellIs" dxfId="17825" priority="1096" operator="greaterThan">
      <formula>0</formula>
    </cfRule>
  </conditionalFormatting>
  <conditionalFormatting sqref="Q96:Q105">
    <cfRule type="cellIs" dxfId="17824" priority="1090" operator="lessThan">
      <formula>0</formula>
    </cfRule>
  </conditionalFormatting>
  <conditionalFormatting sqref="P96:P105">
    <cfRule type="cellIs" dxfId="17823" priority="1091" operator="greaterThan">
      <formula>0</formula>
    </cfRule>
  </conditionalFormatting>
  <conditionalFormatting sqref="R96:R105">
    <cfRule type="cellIs" dxfId="17822" priority="1094" operator="lessThan">
      <formula>0.8</formula>
    </cfRule>
    <cfRule type="cellIs" dxfId="17821" priority="1095" operator="greaterThan">
      <formula>1</formula>
    </cfRule>
  </conditionalFormatting>
  <conditionalFormatting sqref="R96:R105">
    <cfRule type="cellIs" dxfId="17820" priority="1092" operator="greaterThan">
      <formula>1</formula>
    </cfRule>
    <cfRule type="cellIs" dxfId="17819" priority="1093" operator="lessThan">
      <formula>0.8</formula>
    </cfRule>
  </conditionalFormatting>
  <conditionalFormatting sqref="Q96:Q105">
    <cfRule type="cellIs" dxfId="17818" priority="1084" operator="lessThan">
      <formula>0</formula>
    </cfRule>
  </conditionalFormatting>
  <conditionalFormatting sqref="R96:R105">
    <cfRule type="cellIs" dxfId="17817" priority="1088" operator="lessThan">
      <formula>0.8</formula>
    </cfRule>
    <cfRule type="cellIs" dxfId="17816" priority="1089" operator="greaterThan">
      <formula>1</formula>
    </cfRule>
  </conditionalFormatting>
  <conditionalFormatting sqref="R96:R105">
    <cfRule type="cellIs" dxfId="17815" priority="1086" operator="greaterThan">
      <formula>1</formula>
    </cfRule>
    <cfRule type="cellIs" dxfId="17814" priority="1087" operator="lessThan">
      <formula>0.8</formula>
    </cfRule>
  </conditionalFormatting>
  <conditionalFormatting sqref="P96:P105">
    <cfRule type="cellIs" dxfId="17813" priority="1085" operator="greaterThan">
      <formula>0</formula>
    </cfRule>
  </conditionalFormatting>
  <conditionalFormatting sqref="Q96:Q105">
    <cfRule type="cellIs" dxfId="17812" priority="1083" operator="lessThan">
      <formula>0</formula>
    </cfRule>
  </conditionalFormatting>
  <conditionalFormatting sqref="R96:R105">
    <cfRule type="cellIs" dxfId="17811" priority="1081" operator="lessThan">
      <formula>0.8</formula>
    </cfRule>
    <cfRule type="cellIs" dxfId="17810" priority="1082" operator="greaterThan">
      <formula>1</formula>
    </cfRule>
  </conditionalFormatting>
  <conditionalFormatting sqref="R96:R105">
    <cfRule type="cellIs" dxfId="17809" priority="1079" operator="greaterThan">
      <formula>1</formula>
    </cfRule>
    <cfRule type="cellIs" dxfId="17808" priority="1080" operator="lessThan">
      <formula>0.8</formula>
    </cfRule>
  </conditionalFormatting>
  <conditionalFormatting sqref="P96:P105">
    <cfRule type="cellIs" dxfId="17807" priority="1078" operator="greaterThan">
      <formula>0</formula>
    </cfRule>
  </conditionalFormatting>
  <conditionalFormatting sqref="Q96:Q105">
    <cfRule type="cellIs" dxfId="17806" priority="1077" operator="lessThan">
      <formula>0</formula>
    </cfRule>
  </conditionalFormatting>
  <conditionalFormatting sqref="R96:R105">
    <cfRule type="cellIs" dxfId="17805" priority="1075" operator="lessThan">
      <formula>0.8</formula>
    </cfRule>
    <cfRule type="cellIs" dxfId="17804" priority="1076" operator="greaterThan">
      <formula>1</formula>
    </cfRule>
  </conditionalFormatting>
  <conditionalFormatting sqref="R96:R105">
    <cfRule type="cellIs" dxfId="17803" priority="1073" operator="greaterThan">
      <formula>1</formula>
    </cfRule>
    <cfRule type="cellIs" dxfId="17802" priority="1074" operator="lessThan">
      <formula>0.8</formula>
    </cfRule>
  </conditionalFormatting>
  <conditionalFormatting sqref="P96:P105">
    <cfRule type="cellIs" dxfId="17801" priority="1072" operator="greaterThan">
      <formula>0</formula>
    </cfRule>
  </conditionalFormatting>
  <conditionalFormatting sqref="P124 P131 P127">
    <cfRule type="cellIs" dxfId="17800" priority="1066" operator="greaterThan">
      <formula>0</formula>
    </cfRule>
  </conditionalFormatting>
  <conditionalFormatting sqref="Q124 Q131 Q127">
    <cfRule type="cellIs" dxfId="17799" priority="1071" operator="lessThan">
      <formula>0</formula>
    </cfRule>
  </conditionalFormatting>
  <conditionalFormatting sqref="R124 R131 R127">
    <cfRule type="cellIs" dxfId="17798" priority="1069" operator="lessThan">
      <formula>0.8</formula>
    </cfRule>
    <cfRule type="cellIs" dxfId="17797" priority="1070" operator="greaterThan">
      <formula>1</formula>
    </cfRule>
  </conditionalFormatting>
  <conditionalFormatting sqref="R124 R131 R127">
    <cfRule type="cellIs" dxfId="17796" priority="1067" operator="greaterThan">
      <formula>1</formula>
    </cfRule>
    <cfRule type="cellIs" dxfId="17795" priority="1068" operator="lessThan">
      <formula>0.8</formula>
    </cfRule>
  </conditionalFormatting>
  <conditionalFormatting sqref="Q124 Q131 Q127">
    <cfRule type="cellIs" dxfId="17794" priority="1065" operator="lessThan">
      <formula>0</formula>
    </cfRule>
  </conditionalFormatting>
  <conditionalFormatting sqref="R124 R131 R127">
    <cfRule type="cellIs" dxfId="17793" priority="1063" operator="lessThan">
      <formula>0.8</formula>
    </cfRule>
    <cfRule type="cellIs" dxfId="17792" priority="1064" operator="greaterThan">
      <formula>1</formula>
    </cfRule>
  </conditionalFormatting>
  <conditionalFormatting sqref="R124 R131 R127">
    <cfRule type="cellIs" dxfId="17791" priority="1061" operator="greaterThan">
      <formula>1</formula>
    </cfRule>
    <cfRule type="cellIs" dxfId="17790" priority="1062" operator="lessThan">
      <formula>0.8</formula>
    </cfRule>
  </conditionalFormatting>
  <conditionalFormatting sqref="P124 P131 P127">
    <cfRule type="cellIs" dxfId="17789" priority="1060" operator="greaterThan">
      <formula>0</formula>
    </cfRule>
  </conditionalFormatting>
  <conditionalFormatting sqref="Q123 Q125:Q126 Q128:Q130">
    <cfRule type="cellIs" dxfId="17788" priority="1059" operator="lessThan">
      <formula>0</formula>
    </cfRule>
  </conditionalFormatting>
  <conditionalFormatting sqref="R123 R125:R126 R128:R130">
    <cfRule type="cellIs" dxfId="17787" priority="1057" operator="lessThan">
      <formula>0.8</formula>
    </cfRule>
    <cfRule type="cellIs" dxfId="17786" priority="1058" operator="greaterThan">
      <formula>1</formula>
    </cfRule>
  </conditionalFormatting>
  <conditionalFormatting sqref="R123 R125:R126 R128:R130">
    <cfRule type="cellIs" dxfId="17785" priority="1055" operator="greaterThan">
      <formula>1</formula>
    </cfRule>
    <cfRule type="cellIs" dxfId="17784" priority="1056" operator="lessThan">
      <formula>0.8</formula>
    </cfRule>
  </conditionalFormatting>
  <conditionalFormatting sqref="P123 P125:P126 P128:P130">
    <cfRule type="cellIs" dxfId="17783" priority="1054" operator="greaterThan">
      <formula>0</formula>
    </cfRule>
  </conditionalFormatting>
  <conditionalFormatting sqref="P123 P125:P126 P128:P130">
    <cfRule type="cellIs" dxfId="17782" priority="1048" operator="greaterThan">
      <formula>0</formula>
    </cfRule>
  </conditionalFormatting>
  <conditionalFormatting sqref="Q123 Q125:Q126 Q128:Q130">
    <cfRule type="cellIs" dxfId="17781" priority="1053" operator="lessThan">
      <formula>0</formula>
    </cfRule>
  </conditionalFormatting>
  <conditionalFormatting sqref="R123 R125:R126 R128:R130">
    <cfRule type="cellIs" dxfId="17780" priority="1051" operator="lessThan">
      <formula>0.8</formula>
    </cfRule>
    <cfRule type="cellIs" dxfId="17779" priority="1052" operator="greaterThan">
      <formula>1</formula>
    </cfRule>
  </conditionalFormatting>
  <conditionalFormatting sqref="R123 R125:R126 R128:R130">
    <cfRule type="cellIs" dxfId="17778" priority="1049" operator="greaterThan">
      <formula>1</formula>
    </cfRule>
    <cfRule type="cellIs" dxfId="17777" priority="1050" operator="lessThan">
      <formula>0.8</formula>
    </cfRule>
  </conditionalFormatting>
  <conditionalFormatting sqref="P122">
    <cfRule type="cellIs" dxfId="17776" priority="1042" operator="greaterThan">
      <formula>0</formula>
    </cfRule>
  </conditionalFormatting>
  <conditionalFormatting sqref="Q122">
    <cfRule type="cellIs" dxfId="17775" priority="1047" operator="lessThan">
      <formula>0</formula>
    </cfRule>
  </conditionalFormatting>
  <conditionalFormatting sqref="R122">
    <cfRule type="cellIs" dxfId="17774" priority="1045" operator="lessThan">
      <formula>0.8</formula>
    </cfRule>
    <cfRule type="cellIs" dxfId="17773" priority="1046" operator="greaterThan">
      <formula>1</formula>
    </cfRule>
  </conditionalFormatting>
  <conditionalFormatting sqref="R122">
    <cfRule type="cellIs" dxfId="17772" priority="1043" operator="greaterThan">
      <formula>1</formula>
    </cfRule>
    <cfRule type="cellIs" dxfId="17771" priority="1044" operator="lessThan">
      <formula>0.8</formula>
    </cfRule>
  </conditionalFormatting>
  <conditionalFormatting sqref="Q109:Q116">
    <cfRule type="cellIs" dxfId="17770" priority="1041" operator="lessThan">
      <formula>0</formula>
    </cfRule>
  </conditionalFormatting>
  <conditionalFormatting sqref="R109:R116">
    <cfRule type="cellIs" dxfId="17769" priority="1039" operator="lessThan">
      <formula>0.8</formula>
    </cfRule>
    <cfRule type="cellIs" dxfId="17768" priority="1040" operator="greaterThan">
      <formula>1</formula>
    </cfRule>
  </conditionalFormatting>
  <conditionalFormatting sqref="R109:R116">
    <cfRule type="cellIs" dxfId="17767" priority="1037" operator="greaterThan">
      <formula>1</formula>
    </cfRule>
    <cfRule type="cellIs" dxfId="17766" priority="1038" operator="lessThan">
      <formula>0.8</formula>
    </cfRule>
  </conditionalFormatting>
  <conditionalFormatting sqref="P109:P116">
    <cfRule type="cellIs" dxfId="17765" priority="1036" operator="greaterThan">
      <formula>0</formula>
    </cfRule>
  </conditionalFormatting>
  <conditionalFormatting sqref="P137 P140 P143">
    <cfRule type="cellIs" dxfId="17764" priority="1035" operator="greaterThan">
      <formula>0</formula>
    </cfRule>
  </conditionalFormatting>
  <conditionalFormatting sqref="Q137 Q140 Q143">
    <cfRule type="cellIs" dxfId="17763" priority="1034" operator="lessThan">
      <formula>0</formula>
    </cfRule>
  </conditionalFormatting>
  <conditionalFormatting sqref="R137 R140 R143">
    <cfRule type="cellIs" dxfId="17762" priority="1032" operator="lessThan">
      <formula>0.8</formula>
    </cfRule>
    <cfRule type="cellIs" dxfId="17761" priority="1033" operator="greaterThan">
      <formula>1</formula>
    </cfRule>
  </conditionalFormatting>
  <conditionalFormatting sqref="R137 R140 R143">
    <cfRule type="cellIs" dxfId="17760" priority="1030" operator="greaterThan">
      <formula>1</formula>
    </cfRule>
    <cfRule type="cellIs" dxfId="17759" priority="1031" operator="lessThan">
      <formula>0.8</formula>
    </cfRule>
  </conditionalFormatting>
  <conditionalFormatting sqref="P137 P140 P143">
    <cfRule type="cellIs" dxfId="17758" priority="1029" operator="greaterThan">
      <formula>0</formula>
    </cfRule>
  </conditionalFormatting>
  <conditionalFormatting sqref="Q137 Q140 Q143">
    <cfRule type="cellIs" dxfId="17757" priority="1028" operator="lessThan">
      <formula>0</formula>
    </cfRule>
  </conditionalFormatting>
  <conditionalFormatting sqref="R137 R140 R143">
    <cfRule type="cellIs" dxfId="17756" priority="1026" operator="lessThan">
      <formula>0.8</formula>
    </cfRule>
    <cfRule type="cellIs" dxfId="17755" priority="1027" operator="greaterThan">
      <formula>1</formula>
    </cfRule>
  </conditionalFormatting>
  <conditionalFormatting sqref="R137 R140 R143">
    <cfRule type="cellIs" dxfId="17754" priority="1024" operator="greaterThan">
      <formula>1</formula>
    </cfRule>
    <cfRule type="cellIs" dxfId="17753" priority="1025" operator="lessThan">
      <formula>0.8</formula>
    </cfRule>
  </conditionalFormatting>
  <conditionalFormatting sqref="P137 P140 P143">
    <cfRule type="cellIs" dxfId="17752" priority="1023" operator="greaterThan">
      <formula>0</formula>
    </cfRule>
  </conditionalFormatting>
  <conditionalFormatting sqref="P137 P140 P143">
    <cfRule type="cellIs" dxfId="17751" priority="1017" operator="greaterThan">
      <formula>0</formula>
    </cfRule>
  </conditionalFormatting>
  <conditionalFormatting sqref="Q137 Q140 Q143">
    <cfRule type="cellIs" dxfId="17750" priority="1022" operator="lessThan">
      <formula>0</formula>
    </cfRule>
  </conditionalFormatting>
  <conditionalFormatting sqref="R137 R140 R143">
    <cfRule type="cellIs" dxfId="17749" priority="1020" operator="lessThan">
      <formula>0.8</formula>
    </cfRule>
    <cfRule type="cellIs" dxfId="17748" priority="1021" operator="greaterThan">
      <formula>1</formula>
    </cfRule>
  </conditionalFormatting>
  <conditionalFormatting sqref="R137 R140 R143">
    <cfRule type="cellIs" dxfId="17747" priority="1018" operator="greaterThan">
      <formula>1</formula>
    </cfRule>
    <cfRule type="cellIs" dxfId="17746" priority="1019" operator="lessThan">
      <formula>0.8</formula>
    </cfRule>
  </conditionalFormatting>
  <conditionalFormatting sqref="Q137 Q140 Q143">
    <cfRule type="cellIs" dxfId="17745" priority="1016" operator="lessThan">
      <formula>0</formula>
    </cfRule>
  </conditionalFormatting>
  <conditionalFormatting sqref="R137 R140 R143">
    <cfRule type="cellIs" dxfId="17744" priority="1014" operator="lessThan">
      <formula>0.8</formula>
    </cfRule>
    <cfRule type="cellIs" dxfId="17743" priority="1015" operator="greaterThan">
      <formula>1</formula>
    </cfRule>
  </conditionalFormatting>
  <conditionalFormatting sqref="R137 R140 R143">
    <cfRule type="cellIs" dxfId="17742" priority="1012" operator="greaterThan">
      <formula>1</formula>
    </cfRule>
    <cfRule type="cellIs" dxfId="17741" priority="1013" operator="lessThan">
      <formula>0.8</formula>
    </cfRule>
  </conditionalFormatting>
  <conditionalFormatting sqref="P137 P140 P143">
    <cfRule type="cellIs" dxfId="17740" priority="1011" operator="greaterThan">
      <formula>0</formula>
    </cfRule>
  </conditionalFormatting>
  <conditionalFormatting sqref="Q137 Q140 Q143">
    <cfRule type="cellIs" dxfId="17739" priority="1010" operator="lessThan">
      <formula>0</formula>
    </cfRule>
  </conditionalFormatting>
  <conditionalFormatting sqref="R137 R140 R143">
    <cfRule type="cellIs" dxfId="17738" priority="1008" operator="lessThan">
      <formula>0.8</formula>
    </cfRule>
    <cfRule type="cellIs" dxfId="17737" priority="1009" operator="greaterThan">
      <formula>1</formula>
    </cfRule>
  </conditionalFormatting>
  <conditionalFormatting sqref="R137 R140 R143">
    <cfRule type="cellIs" dxfId="17736" priority="1006" operator="greaterThan">
      <formula>1</formula>
    </cfRule>
    <cfRule type="cellIs" dxfId="17735" priority="1007" operator="lessThan">
      <formula>0.8</formula>
    </cfRule>
  </conditionalFormatting>
  <conditionalFormatting sqref="P137 P140 P143">
    <cfRule type="cellIs" dxfId="17734" priority="1005" operator="greaterThan">
      <formula>0</formula>
    </cfRule>
  </conditionalFormatting>
  <conditionalFormatting sqref="P137 P140 P143">
    <cfRule type="cellIs" dxfId="17733" priority="999" operator="greaterThan">
      <formula>0</formula>
    </cfRule>
  </conditionalFormatting>
  <conditionalFormatting sqref="Q137 Q140 Q143">
    <cfRule type="cellIs" dxfId="17732" priority="1004" operator="lessThan">
      <formula>0</formula>
    </cfRule>
  </conditionalFormatting>
  <conditionalFormatting sqref="R137 R140 R143">
    <cfRule type="cellIs" dxfId="17731" priority="1002" operator="lessThan">
      <formula>0.8</formula>
    </cfRule>
    <cfRule type="cellIs" dxfId="17730" priority="1003" operator="greaterThan">
      <formula>1</formula>
    </cfRule>
  </conditionalFormatting>
  <conditionalFormatting sqref="R137 R140 R143">
    <cfRule type="cellIs" dxfId="17729" priority="1000" operator="greaterThan">
      <formula>1</formula>
    </cfRule>
    <cfRule type="cellIs" dxfId="17728" priority="1001" operator="lessThan">
      <formula>0.8</formula>
    </cfRule>
  </conditionalFormatting>
  <conditionalFormatting sqref="Q137 Q140 Q143">
    <cfRule type="cellIs" dxfId="17727" priority="998" operator="lessThan">
      <formula>0</formula>
    </cfRule>
  </conditionalFormatting>
  <conditionalFormatting sqref="R137 R140 R143">
    <cfRule type="cellIs" dxfId="17726" priority="996" operator="lessThan">
      <formula>0.8</formula>
    </cfRule>
    <cfRule type="cellIs" dxfId="17725" priority="997" operator="greaterThan">
      <formula>1</formula>
    </cfRule>
  </conditionalFormatting>
  <conditionalFormatting sqref="R137 R140 R143">
    <cfRule type="cellIs" dxfId="17724" priority="994" operator="greaterThan">
      <formula>1</formula>
    </cfRule>
    <cfRule type="cellIs" dxfId="17723" priority="995" operator="lessThan">
      <formula>0.8</formula>
    </cfRule>
  </conditionalFormatting>
  <conditionalFormatting sqref="P137 P140 P143">
    <cfRule type="cellIs" dxfId="17722" priority="993" operator="greaterThan">
      <formula>0</formula>
    </cfRule>
  </conditionalFormatting>
  <conditionalFormatting sqref="Q137 Q140 Q143">
    <cfRule type="cellIs" dxfId="17721" priority="992" operator="lessThan">
      <formula>0</formula>
    </cfRule>
  </conditionalFormatting>
  <conditionalFormatting sqref="R137 R140 R143">
    <cfRule type="cellIs" dxfId="17720" priority="990" operator="lessThan">
      <formula>0.8</formula>
    </cfRule>
    <cfRule type="cellIs" dxfId="17719" priority="991" operator="greaterThan">
      <formula>1</formula>
    </cfRule>
  </conditionalFormatting>
  <conditionalFormatting sqref="R137 R140 R143">
    <cfRule type="cellIs" dxfId="17718" priority="988" operator="greaterThan">
      <formula>1</formula>
    </cfRule>
    <cfRule type="cellIs" dxfId="17717" priority="989" operator="lessThan">
      <formula>0.8</formula>
    </cfRule>
  </conditionalFormatting>
  <conditionalFormatting sqref="P137 P140 P143">
    <cfRule type="cellIs" dxfId="17716" priority="987" operator="greaterThan">
      <formula>0</formula>
    </cfRule>
  </conditionalFormatting>
  <conditionalFormatting sqref="P137 P140 P143">
    <cfRule type="cellIs" dxfId="17715" priority="981" operator="greaterThan">
      <formula>0</formula>
    </cfRule>
  </conditionalFormatting>
  <conditionalFormatting sqref="Q137 Q140 Q143">
    <cfRule type="cellIs" dxfId="17714" priority="986" operator="lessThan">
      <formula>0</formula>
    </cfRule>
  </conditionalFormatting>
  <conditionalFormatting sqref="R137 R140 R143">
    <cfRule type="cellIs" dxfId="17713" priority="984" operator="lessThan">
      <formula>0.8</formula>
    </cfRule>
    <cfRule type="cellIs" dxfId="17712" priority="985" operator="greaterThan">
      <formula>1</formula>
    </cfRule>
  </conditionalFormatting>
  <conditionalFormatting sqref="R137 R140 R143">
    <cfRule type="cellIs" dxfId="17711" priority="982" operator="greaterThan">
      <formula>1</formula>
    </cfRule>
    <cfRule type="cellIs" dxfId="17710" priority="983" operator="lessThan">
      <formula>0.8</formula>
    </cfRule>
  </conditionalFormatting>
  <conditionalFormatting sqref="Q137 Q140 Q143">
    <cfRule type="cellIs" dxfId="17709" priority="980" operator="lessThan">
      <formula>0</formula>
    </cfRule>
  </conditionalFormatting>
  <conditionalFormatting sqref="R137 R140 R143">
    <cfRule type="cellIs" dxfId="17708" priority="978" operator="lessThan">
      <formula>0.8</formula>
    </cfRule>
    <cfRule type="cellIs" dxfId="17707" priority="979" operator="greaterThan">
      <formula>1</formula>
    </cfRule>
  </conditionalFormatting>
  <conditionalFormatting sqref="R137 R140 R143">
    <cfRule type="cellIs" dxfId="17706" priority="976" operator="greaterThan">
      <formula>1</formula>
    </cfRule>
    <cfRule type="cellIs" dxfId="17705" priority="977" operator="lessThan">
      <formula>0.8</formula>
    </cfRule>
  </conditionalFormatting>
  <conditionalFormatting sqref="P137 P140 P143">
    <cfRule type="cellIs" dxfId="17704" priority="975" operator="greaterThan">
      <formula>0</formula>
    </cfRule>
  </conditionalFormatting>
  <conditionalFormatting sqref="P138 P144 P141">
    <cfRule type="cellIs" dxfId="17703" priority="969" operator="greaterThan">
      <formula>0</formula>
    </cfRule>
  </conditionalFormatting>
  <conditionalFormatting sqref="Q138 Q144 Q141">
    <cfRule type="cellIs" dxfId="17702" priority="974" operator="lessThan">
      <formula>0</formula>
    </cfRule>
  </conditionalFormatting>
  <conditionalFormatting sqref="R138 R144 R141">
    <cfRule type="cellIs" dxfId="17701" priority="972" operator="lessThan">
      <formula>0.8</formula>
    </cfRule>
    <cfRule type="cellIs" dxfId="17700" priority="973" operator="greaterThan">
      <formula>1</formula>
    </cfRule>
  </conditionalFormatting>
  <conditionalFormatting sqref="R138 R144 R141">
    <cfRule type="cellIs" dxfId="17699" priority="970" operator="greaterThan">
      <formula>1</formula>
    </cfRule>
    <cfRule type="cellIs" dxfId="17698" priority="971" operator="lessThan">
      <formula>0.8</formula>
    </cfRule>
  </conditionalFormatting>
  <conditionalFormatting sqref="Q138 Q144 Q141">
    <cfRule type="cellIs" dxfId="17697" priority="968" operator="lessThan">
      <formula>0</formula>
    </cfRule>
  </conditionalFormatting>
  <conditionalFormatting sqref="R138 R144 R141">
    <cfRule type="cellIs" dxfId="17696" priority="966" operator="lessThan">
      <formula>0.8</formula>
    </cfRule>
    <cfRule type="cellIs" dxfId="17695" priority="967" operator="greaterThan">
      <formula>1</formula>
    </cfRule>
  </conditionalFormatting>
  <conditionalFormatting sqref="R138 R144 R141">
    <cfRule type="cellIs" dxfId="17694" priority="964" operator="greaterThan">
      <formula>1</formula>
    </cfRule>
    <cfRule type="cellIs" dxfId="17693" priority="965" operator="lessThan">
      <formula>0.8</formula>
    </cfRule>
  </conditionalFormatting>
  <conditionalFormatting sqref="P138 P144 P141">
    <cfRule type="cellIs" dxfId="17692" priority="963" operator="greaterThan">
      <formula>0</formula>
    </cfRule>
  </conditionalFormatting>
  <conditionalFormatting sqref="Q138 Q144 Q141">
    <cfRule type="cellIs" dxfId="17691" priority="962" operator="lessThan">
      <formula>0</formula>
    </cfRule>
  </conditionalFormatting>
  <conditionalFormatting sqref="R138 R144 R141">
    <cfRule type="cellIs" dxfId="17690" priority="960" operator="lessThan">
      <formula>0.8</formula>
    </cfRule>
    <cfRule type="cellIs" dxfId="17689" priority="961" operator="greaterThan">
      <formula>1</formula>
    </cfRule>
  </conditionalFormatting>
  <conditionalFormatting sqref="R138 R144 R141">
    <cfRule type="cellIs" dxfId="17688" priority="958" operator="greaterThan">
      <formula>1</formula>
    </cfRule>
    <cfRule type="cellIs" dxfId="17687" priority="959" operator="lessThan">
      <formula>0.8</formula>
    </cfRule>
  </conditionalFormatting>
  <conditionalFormatting sqref="P138 P144 P141">
    <cfRule type="cellIs" dxfId="17686" priority="957" operator="greaterThan">
      <formula>0</formula>
    </cfRule>
  </conditionalFormatting>
  <conditionalFormatting sqref="Q138 Q144 Q141">
    <cfRule type="cellIs" dxfId="17685" priority="956" operator="lessThan">
      <formula>0</formula>
    </cfRule>
  </conditionalFormatting>
  <conditionalFormatting sqref="R138 R144 R141">
    <cfRule type="cellIs" dxfId="17684" priority="954" operator="lessThan">
      <formula>0.8</formula>
    </cfRule>
    <cfRule type="cellIs" dxfId="17683" priority="955" operator="greaterThan">
      <formula>1</formula>
    </cfRule>
  </conditionalFormatting>
  <conditionalFormatting sqref="R138 R144 R141">
    <cfRule type="cellIs" dxfId="17682" priority="952" operator="greaterThan">
      <formula>1</formula>
    </cfRule>
    <cfRule type="cellIs" dxfId="17681" priority="953" operator="lessThan">
      <formula>0.8</formula>
    </cfRule>
  </conditionalFormatting>
  <conditionalFormatting sqref="P138 P144 P141">
    <cfRule type="cellIs" dxfId="17680" priority="951" operator="greaterThan">
      <formula>0</formula>
    </cfRule>
  </conditionalFormatting>
  <conditionalFormatting sqref="Q138 Q144 Q141">
    <cfRule type="cellIs" dxfId="17679" priority="950" operator="lessThan">
      <formula>0</formula>
    </cfRule>
  </conditionalFormatting>
  <conditionalFormatting sqref="R138 R144 R141">
    <cfRule type="cellIs" dxfId="17678" priority="948" operator="lessThan">
      <formula>0.8</formula>
    </cfRule>
    <cfRule type="cellIs" dxfId="17677" priority="949" operator="greaterThan">
      <formula>1</formula>
    </cfRule>
  </conditionalFormatting>
  <conditionalFormatting sqref="R138 R144 R141">
    <cfRule type="cellIs" dxfId="17676" priority="946" operator="greaterThan">
      <formula>1</formula>
    </cfRule>
    <cfRule type="cellIs" dxfId="17675" priority="947" operator="lessThan">
      <formula>0.8</formula>
    </cfRule>
  </conditionalFormatting>
  <conditionalFormatting sqref="Q138 Q144 Q141">
    <cfRule type="cellIs" dxfId="17674" priority="945" operator="lessThan">
      <formula>0</formula>
    </cfRule>
  </conditionalFormatting>
  <conditionalFormatting sqref="R138 R144 R141">
    <cfRule type="cellIs" dxfId="17673" priority="943" operator="lessThan">
      <formula>0.8</formula>
    </cfRule>
    <cfRule type="cellIs" dxfId="17672" priority="944" operator="greaterThan">
      <formula>1</formula>
    </cfRule>
  </conditionalFormatting>
  <conditionalFormatting sqref="R138 R144 R141">
    <cfRule type="cellIs" dxfId="17671" priority="941" operator="greaterThan">
      <formula>1</formula>
    </cfRule>
    <cfRule type="cellIs" dxfId="17670" priority="942" operator="lessThan">
      <formula>0.8</formula>
    </cfRule>
  </conditionalFormatting>
  <conditionalFormatting sqref="P138 P144 P141">
    <cfRule type="cellIs" dxfId="17669" priority="940" operator="greaterThan">
      <formula>0</formula>
    </cfRule>
  </conditionalFormatting>
  <conditionalFormatting sqref="P138 P144 P141">
    <cfRule type="cellIs" dxfId="17668" priority="934" operator="greaterThan">
      <formula>0</formula>
    </cfRule>
  </conditionalFormatting>
  <conditionalFormatting sqref="Q138 Q144 Q141">
    <cfRule type="cellIs" dxfId="17667" priority="939" operator="lessThan">
      <formula>0</formula>
    </cfRule>
  </conditionalFormatting>
  <conditionalFormatting sqref="R138 R144 R141">
    <cfRule type="cellIs" dxfId="17666" priority="937" operator="lessThan">
      <formula>0.8</formula>
    </cfRule>
    <cfRule type="cellIs" dxfId="17665" priority="938" operator="greaterThan">
      <formula>1</formula>
    </cfRule>
  </conditionalFormatting>
  <conditionalFormatting sqref="R138 R144 R141">
    <cfRule type="cellIs" dxfId="17664" priority="935" operator="greaterThan">
      <formula>1</formula>
    </cfRule>
    <cfRule type="cellIs" dxfId="17663" priority="936" operator="lessThan">
      <formula>0.8</formula>
    </cfRule>
  </conditionalFormatting>
  <conditionalFormatting sqref="Q138 Q144 Q141">
    <cfRule type="cellIs" dxfId="17662" priority="933" operator="lessThan">
      <formula>0</formula>
    </cfRule>
  </conditionalFormatting>
  <conditionalFormatting sqref="R138 R144 R141">
    <cfRule type="cellIs" dxfId="17661" priority="931" operator="lessThan">
      <formula>0.8</formula>
    </cfRule>
    <cfRule type="cellIs" dxfId="17660" priority="932" operator="greaterThan">
      <formula>1</formula>
    </cfRule>
  </conditionalFormatting>
  <conditionalFormatting sqref="R138 R144 R141">
    <cfRule type="cellIs" dxfId="17659" priority="929" operator="greaterThan">
      <formula>1</formula>
    </cfRule>
    <cfRule type="cellIs" dxfId="17658" priority="930" operator="lessThan">
      <formula>0.8</formula>
    </cfRule>
  </conditionalFormatting>
  <conditionalFormatting sqref="P138 P144 P141">
    <cfRule type="cellIs" dxfId="17657" priority="928" operator="greaterThan">
      <formula>0</formula>
    </cfRule>
  </conditionalFormatting>
  <conditionalFormatting sqref="Q148:Q153">
    <cfRule type="cellIs" dxfId="17656" priority="927" operator="lessThan">
      <formula>0</formula>
    </cfRule>
  </conditionalFormatting>
  <conditionalFormatting sqref="R148:R153">
    <cfRule type="cellIs" dxfId="17655" priority="925" operator="lessThan">
      <formula>0.8</formula>
    </cfRule>
    <cfRule type="cellIs" dxfId="17654" priority="926" operator="greaterThan">
      <formula>1</formula>
    </cfRule>
  </conditionalFormatting>
  <conditionalFormatting sqref="R148:R153">
    <cfRule type="cellIs" dxfId="17653" priority="923" operator="greaterThan">
      <formula>1</formula>
    </cfRule>
    <cfRule type="cellIs" dxfId="17652" priority="924" operator="lessThan">
      <formula>0.8</formula>
    </cfRule>
  </conditionalFormatting>
  <conditionalFormatting sqref="P148:P153">
    <cfRule type="cellIs" dxfId="17651" priority="922" operator="greaterThan">
      <formula>0</formula>
    </cfRule>
  </conditionalFormatting>
  <conditionalFormatting sqref="P148:P153">
    <cfRule type="cellIs" dxfId="17650" priority="916" operator="greaterThan">
      <formula>0</formula>
    </cfRule>
  </conditionalFormatting>
  <conditionalFormatting sqref="Q148:Q153">
    <cfRule type="cellIs" dxfId="17649" priority="921" operator="lessThan">
      <formula>0</formula>
    </cfRule>
  </conditionalFormatting>
  <conditionalFormatting sqref="R148:R153">
    <cfRule type="cellIs" dxfId="17648" priority="919" operator="lessThan">
      <formula>0.8</formula>
    </cfRule>
    <cfRule type="cellIs" dxfId="17647" priority="920" operator="greaterThan">
      <formula>1</formula>
    </cfRule>
  </conditionalFormatting>
  <conditionalFormatting sqref="R148:R153">
    <cfRule type="cellIs" dxfId="17646" priority="917" operator="greaterThan">
      <formula>1</formula>
    </cfRule>
    <cfRule type="cellIs" dxfId="17645" priority="918" operator="lessThan">
      <formula>0.8</formula>
    </cfRule>
  </conditionalFormatting>
  <conditionalFormatting sqref="Q148:Q153">
    <cfRule type="cellIs" dxfId="17644" priority="915" operator="lessThan">
      <formula>0</formula>
    </cfRule>
  </conditionalFormatting>
  <conditionalFormatting sqref="R148:R153">
    <cfRule type="cellIs" dxfId="17643" priority="913" operator="lessThan">
      <formula>0.8</formula>
    </cfRule>
    <cfRule type="cellIs" dxfId="17642" priority="914" operator="greaterThan">
      <formula>1</formula>
    </cfRule>
  </conditionalFormatting>
  <conditionalFormatting sqref="R148:R153">
    <cfRule type="cellIs" dxfId="17641" priority="911" operator="greaterThan">
      <formula>1</formula>
    </cfRule>
    <cfRule type="cellIs" dxfId="17640" priority="912" operator="lessThan">
      <formula>0.8</formula>
    </cfRule>
  </conditionalFormatting>
  <conditionalFormatting sqref="P148:P153">
    <cfRule type="cellIs" dxfId="17639" priority="910" operator="greaterThan">
      <formula>0</formula>
    </cfRule>
  </conditionalFormatting>
  <conditionalFormatting sqref="Q148:Q153">
    <cfRule type="cellIs" dxfId="17638" priority="909" operator="lessThan">
      <formula>0</formula>
    </cfRule>
  </conditionalFormatting>
  <conditionalFormatting sqref="R148:R153">
    <cfRule type="cellIs" dxfId="17637" priority="907" operator="lessThan">
      <formula>0.8</formula>
    </cfRule>
    <cfRule type="cellIs" dxfId="17636" priority="908" operator="greaterThan">
      <formula>1</formula>
    </cfRule>
  </conditionalFormatting>
  <conditionalFormatting sqref="R148:R153">
    <cfRule type="cellIs" dxfId="17635" priority="905" operator="greaterThan">
      <formula>1</formula>
    </cfRule>
    <cfRule type="cellIs" dxfId="17634" priority="906" operator="lessThan">
      <formula>0.8</formula>
    </cfRule>
  </conditionalFormatting>
  <conditionalFormatting sqref="P148:P153">
    <cfRule type="cellIs" dxfId="17633" priority="904" operator="greaterThan">
      <formula>0</formula>
    </cfRule>
  </conditionalFormatting>
  <conditionalFormatting sqref="P148:P153">
    <cfRule type="cellIs" dxfId="17632" priority="898" operator="greaterThan">
      <formula>0</formula>
    </cfRule>
  </conditionalFormatting>
  <conditionalFormatting sqref="Q148:Q153">
    <cfRule type="cellIs" dxfId="17631" priority="903" operator="lessThan">
      <formula>0</formula>
    </cfRule>
  </conditionalFormatting>
  <conditionalFormatting sqref="R148:R153">
    <cfRule type="cellIs" dxfId="17630" priority="901" operator="lessThan">
      <formula>0.8</formula>
    </cfRule>
    <cfRule type="cellIs" dxfId="17629" priority="902" operator="greaterThan">
      <formula>1</formula>
    </cfRule>
  </conditionalFormatting>
  <conditionalFormatting sqref="R148:R153">
    <cfRule type="cellIs" dxfId="17628" priority="899" operator="greaterThan">
      <formula>1</formula>
    </cfRule>
    <cfRule type="cellIs" dxfId="17627" priority="900" operator="lessThan">
      <formula>0.8</formula>
    </cfRule>
  </conditionalFormatting>
  <conditionalFormatting sqref="Q148:Q153">
    <cfRule type="cellIs" dxfId="17626" priority="897" operator="lessThan">
      <formula>0</formula>
    </cfRule>
  </conditionalFormatting>
  <conditionalFormatting sqref="R148:R153">
    <cfRule type="cellIs" dxfId="17625" priority="895" operator="lessThan">
      <formula>0.8</formula>
    </cfRule>
    <cfRule type="cellIs" dxfId="17624" priority="896" operator="greaterThan">
      <formula>1</formula>
    </cfRule>
  </conditionalFormatting>
  <conditionalFormatting sqref="R148:R153">
    <cfRule type="cellIs" dxfId="17623" priority="893" operator="greaterThan">
      <formula>1</formula>
    </cfRule>
    <cfRule type="cellIs" dxfId="17622" priority="894" operator="lessThan">
      <formula>0.8</formula>
    </cfRule>
  </conditionalFormatting>
  <conditionalFormatting sqref="P148:P153">
    <cfRule type="cellIs" dxfId="17621" priority="892" operator="greaterThan">
      <formula>0</formula>
    </cfRule>
  </conditionalFormatting>
  <conditionalFormatting sqref="Q148:Q153">
    <cfRule type="cellIs" dxfId="17620" priority="886" operator="lessThan">
      <formula>0</formula>
    </cfRule>
  </conditionalFormatting>
  <conditionalFormatting sqref="P148:P153">
    <cfRule type="cellIs" dxfId="17619" priority="887" operator="greaterThan">
      <formula>0</formula>
    </cfRule>
  </conditionalFormatting>
  <conditionalFormatting sqref="R148:R153">
    <cfRule type="cellIs" dxfId="17618" priority="890" operator="lessThan">
      <formula>0.8</formula>
    </cfRule>
    <cfRule type="cellIs" dxfId="17617" priority="891" operator="greaterThan">
      <formula>1</formula>
    </cfRule>
  </conditionalFormatting>
  <conditionalFormatting sqref="R148:R153">
    <cfRule type="cellIs" dxfId="17616" priority="888" operator="greaterThan">
      <formula>1</formula>
    </cfRule>
    <cfRule type="cellIs" dxfId="17615" priority="889" operator="lessThan">
      <formula>0.8</formula>
    </cfRule>
  </conditionalFormatting>
  <conditionalFormatting sqref="Q148:Q153">
    <cfRule type="cellIs" dxfId="17614" priority="880" operator="lessThan">
      <formula>0</formula>
    </cfRule>
  </conditionalFormatting>
  <conditionalFormatting sqref="R148:R153">
    <cfRule type="cellIs" dxfId="17613" priority="884" operator="lessThan">
      <formula>0.8</formula>
    </cfRule>
    <cfRule type="cellIs" dxfId="17612" priority="885" operator="greaterThan">
      <formula>1</formula>
    </cfRule>
  </conditionalFormatting>
  <conditionalFormatting sqref="R148:R153">
    <cfRule type="cellIs" dxfId="17611" priority="882" operator="greaterThan">
      <formula>1</formula>
    </cfRule>
    <cfRule type="cellIs" dxfId="17610" priority="883" operator="lessThan">
      <formula>0.8</formula>
    </cfRule>
  </conditionalFormatting>
  <conditionalFormatting sqref="P148:P153">
    <cfRule type="cellIs" dxfId="17609" priority="881" operator="greaterThan">
      <formula>0</formula>
    </cfRule>
  </conditionalFormatting>
  <conditionalFormatting sqref="Q148:Q153">
    <cfRule type="cellIs" dxfId="17608" priority="879" operator="lessThan">
      <formula>0</formula>
    </cfRule>
  </conditionalFormatting>
  <conditionalFormatting sqref="R148:R153">
    <cfRule type="cellIs" dxfId="17607" priority="877" operator="lessThan">
      <formula>0.8</formula>
    </cfRule>
    <cfRule type="cellIs" dxfId="17606" priority="878" operator="greaterThan">
      <formula>1</formula>
    </cfRule>
  </conditionalFormatting>
  <conditionalFormatting sqref="R148:R153">
    <cfRule type="cellIs" dxfId="17605" priority="875" operator="greaterThan">
      <formula>1</formula>
    </cfRule>
    <cfRule type="cellIs" dxfId="17604" priority="876" operator="lessThan">
      <formula>0.8</formula>
    </cfRule>
  </conditionalFormatting>
  <conditionalFormatting sqref="P148:P153">
    <cfRule type="cellIs" dxfId="17603" priority="874" operator="greaterThan">
      <formula>0</formula>
    </cfRule>
  </conditionalFormatting>
  <conditionalFormatting sqref="Q148:Q153">
    <cfRule type="cellIs" dxfId="17602" priority="873" operator="lessThan">
      <formula>0</formula>
    </cfRule>
  </conditionalFormatting>
  <conditionalFormatting sqref="R148:R153">
    <cfRule type="cellIs" dxfId="17601" priority="871" operator="lessThan">
      <formula>0.8</formula>
    </cfRule>
    <cfRule type="cellIs" dxfId="17600" priority="872" operator="greaterThan">
      <formula>1</formula>
    </cfRule>
  </conditionalFormatting>
  <conditionalFormatting sqref="R148:R153">
    <cfRule type="cellIs" dxfId="17599" priority="869" operator="greaterThan">
      <formula>1</formula>
    </cfRule>
    <cfRule type="cellIs" dxfId="17598" priority="870" operator="lessThan">
      <formula>0.8</formula>
    </cfRule>
  </conditionalFormatting>
  <conditionalFormatting sqref="P148:P153">
    <cfRule type="cellIs" dxfId="17597" priority="868" operator="greaterThan">
      <formula>0</formula>
    </cfRule>
  </conditionalFormatting>
  <conditionalFormatting sqref="Q148:Q153">
    <cfRule type="cellIs" dxfId="17596" priority="867" operator="lessThan">
      <formula>0</formula>
    </cfRule>
  </conditionalFormatting>
  <conditionalFormatting sqref="R148:R153">
    <cfRule type="cellIs" dxfId="17595" priority="865" operator="lessThan">
      <formula>0.8</formula>
    </cfRule>
    <cfRule type="cellIs" dxfId="17594" priority="866" operator="greaterThan">
      <formula>1</formula>
    </cfRule>
  </conditionalFormatting>
  <conditionalFormatting sqref="R148:R153">
    <cfRule type="cellIs" dxfId="17593" priority="863" operator="greaterThan">
      <formula>1</formula>
    </cfRule>
    <cfRule type="cellIs" dxfId="17592" priority="864" operator="lessThan">
      <formula>0.8</formula>
    </cfRule>
  </conditionalFormatting>
  <conditionalFormatting sqref="P148:P153">
    <cfRule type="cellIs" dxfId="17591" priority="862" operator="greaterThan">
      <formula>0</formula>
    </cfRule>
  </conditionalFormatting>
  <conditionalFormatting sqref="Q148:Q153">
    <cfRule type="cellIs" dxfId="17590" priority="861" operator="lessThan">
      <formula>0</formula>
    </cfRule>
  </conditionalFormatting>
  <conditionalFormatting sqref="R148:R153">
    <cfRule type="cellIs" dxfId="17589" priority="859" operator="lessThan">
      <formula>0.8</formula>
    </cfRule>
    <cfRule type="cellIs" dxfId="17588" priority="860" operator="greaterThan">
      <formula>1</formula>
    </cfRule>
  </conditionalFormatting>
  <conditionalFormatting sqref="R148:R153">
    <cfRule type="cellIs" dxfId="17587" priority="857" operator="greaterThan">
      <formula>1</formula>
    </cfRule>
    <cfRule type="cellIs" dxfId="17586" priority="858" operator="lessThan">
      <formula>0.8</formula>
    </cfRule>
  </conditionalFormatting>
  <conditionalFormatting sqref="P148:P153">
    <cfRule type="cellIs" dxfId="17585" priority="856" operator="greaterThan">
      <formula>0</formula>
    </cfRule>
  </conditionalFormatting>
  <conditionalFormatting sqref="Q148:Q153">
    <cfRule type="cellIs" dxfId="17584" priority="855" operator="lessThan">
      <formula>0</formula>
    </cfRule>
  </conditionalFormatting>
  <conditionalFormatting sqref="R148:R153">
    <cfRule type="cellIs" dxfId="17583" priority="853" operator="lessThan">
      <formula>0.8</formula>
    </cfRule>
    <cfRule type="cellIs" dxfId="17582" priority="854" operator="greaterThan">
      <formula>1</formula>
    </cfRule>
  </conditionalFormatting>
  <conditionalFormatting sqref="R148:R153">
    <cfRule type="cellIs" dxfId="17581" priority="851" operator="greaterThan">
      <formula>1</formula>
    </cfRule>
    <cfRule type="cellIs" dxfId="17580" priority="852" operator="lessThan">
      <formula>0.8</formula>
    </cfRule>
  </conditionalFormatting>
  <conditionalFormatting sqref="P148:P153">
    <cfRule type="cellIs" dxfId="17579" priority="850" operator="greaterThan">
      <formula>0</formula>
    </cfRule>
  </conditionalFormatting>
  <conditionalFormatting sqref="Q148:Q153">
    <cfRule type="cellIs" dxfId="17578" priority="849" operator="lessThan">
      <formula>0</formula>
    </cfRule>
  </conditionalFormatting>
  <conditionalFormatting sqref="R148:R153">
    <cfRule type="cellIs" dxfId="17577" priority="847" operator="lessThan">
      <formula>0.8</formula>
    </cfRule>
    <cfRule type="cellIs" dxfId="17576" priority="848" operator="greaterThan">
      <formula>1</formula>
    </cfRule>
  </conditionalFormatting>
  <conditionalFormatting sqref="R148:R153">
    <cfRule type="cellIs" dxfId="17575" priority="845" operator="greaterThan">
      <formula>1</formula>
    </cfRule>
    <cfRule type="cellIs" dxfId="17574" priority="846" operator="lessThan">
      <formula>0.8</formula>
    </cfRule>
  </conditionalFormatting>
  <conditionalFormatting sqref="P148:P153">
    <cfRule type="cellIs" dxfId="17573" priority="844" operator="greaterThan">
      <formula>0</formula>
    </cfRule>
  </conditionalFormatting>
  <conditionalFormatting sqref="Q148:Q153">
    <cfRule type="cellIs" dxfId="17572" priority="843" operator="lessThan">
      <formula>0</formula>
    </cfRule>
  </conditionalFormatting>
  <conditionalFormatting sqref="R148:R153">
    <cfRule type="cellIs" dxfId="17571" priority="841" operator="lessThan">
      <formula>0.8</formula>
    </cfRule>
    <cfRule type="cellIs" dxfId="17570" priority="842" operator="greaterThan">
      <formula>1</formula>
    </cfRule>
  </conditionalFormatting>
  <conditionalFormatting sqref="R148:R153">
    <cfRule type="cellIs" dxfId="17569" priority="839" operator="greaterThan">
      <formula>1</formula>
    </cfRule>
    <cfRule type="cellIs" dxfId="17568" priority="840" operator="lessThan">
      <formula>0.8</formula>
    </cfRule>
  </conditionalFormatting>
  <conditionalFormatting sqref="P148:P153">
    <cfRule type="cellIs" dxfId="17567" priority="838" operator="greaterThan">
      <formula>0</formula>
    </cfRule>
  </conditionalFormatting>
  <conditionalFormatting sqref="P148:P153">
    <cfRule type="cellIs" dxfId="17566" priority="832" operator="greaterThan">
      <formula>0</formula>
    </cfRule>
  </conditionalFormatting>
  <conditionalFormatting sqref="Q148:Q153">
    <cfRule type="cellIs" dxfId="17565" priority="837" operator="lessThan">
      <formula>0</formula>
    </cfRule>
  </conditionalFormatting>
  <conditionalFormatting sqref="R148:R153">
    <cfRule type="cellIs" dxfId="17564" priority="835" operator="lessThan">
      <formula>0.8</formula>
    </cfRule>
    <cfRule type="cellIs" dxfId="17563" priority="836" operator="greaterThan">
      <formula>1</formula>
    </cfRule>
  </conditionalFormatting>
  <conditionalFormatting sqref="R148:R153">
    <cfRule type="cellIs" dxfId="17562" priority="833" operator="greaterThan">
      <formula>1</formula>
    </cfRule>
    <cfRule type="cellIs" dxfId="17561" priority="834" operator="lessThan">
      <formula>0.8</formula>
    </cfRule>
  </conditionalFormatting>
  <conditionalFormatting sqref="P148:P153">
    <cfRule type="cellIs" dxfId="17560" priority="826" operator="greaterThan">
      <formula>0</formula>
    </cfRule>
  </conditionalFormatting>
  <conditionalFormatting sqref="Q148:Q153">
    <cfRule type="cellIs" dxfId="17559" priority="831" operator="lessThan">
      <formula>0</formula>
    </cfRule>
  </conditionalFormatting>
  <conditionalFormatting sqref="R148:R153">
    <cfRule type="cellIs" dxfId="17558" priority="829" operator="lessThan">
      <formula>0.8</formula>
    </cfRule>
    <cfRule type="cellIs" dxfId="17557" priority="830" operator="greaterThan">
      <formula>1</formula>
    </cfRule>
  </conditionalFormatting>
  <conditionalFormatting sqref="R148:R153">
    <cfRule type="cellIs" dxfId="17556" priority="827" operator="greaterThan">
      <formula>1</formula>
    </cfRule>
    <cfRule type="cellIs" dxfId="17555" priority="828" operator="lessThan">
      <formula>0.8</formula>
    </cfRule>
  </conditionalFormatting>
  <conditionalFormatting sqref="R148:R153">
    <cfRule type="cellIs" dxfId="17554" priority="823" operator="lessThan">
      <formula>0.8</formula>
    </cfRule>
    <cfRule type="cellIs" dxfId="17553" priority="824" operator="greaterThan">
      <formula>1</formula>
    </cfRule>
  </conditionalFormatting>
  <conditionalFormatting sqref="R148:R153">
    <cfRule type="cellIs" dxfId="17552" priority="821" operator="greaterThan">
      <formula>1</formula>
    </cfRule>
    <cfRule type="cellIs" dxfId="17551" priority="822" operator="lessThan">
      <formula>0.8</formula>
    </cfRule>
  </conditionalFormatting>
  <conditionalFormatting sqref="P148:P153">
    <cfRule type="cellIs" dxfId="17550" priority="820" operator="greaterThan">
      <formula>0</formula>
    </cfRule>
  </conditionalFormatting>
  <conditionalFormatting sqref="Q148:Q153">
    <cfRule type="cellIs" dxfId="17549" priority="825" operator="lessThan">
      <formula>0</formula>
    </cfRule>
  </conditionalFormatting>
  <conditionalFormatting sqref="Q148:Q153">
    <cfRule type="cellIs" dxfId="17548" priority="819" operator="lessThan">
      <formula>0</formula>
    </cfRule>
  </conditionalFormatting>
  <conditionalFormatting sqref="R148:R153">
    <cfRule type="cellIs" dxfId="17547" priority="817" operator="lessThan">
      <formula>0.8</formula>
    </cfRule>
    <cfRule type="cellIs" dxfId="17546" priority="818" operator="greaterThan">
      <formula>1</formula>
    </cfRule>
  </conditionalFormatting>
  <conditionalFormatting sqref="R148:R153">
    <cfRule type="cellIs" dxfId="17545" priority="815" operator="greaterThan">
      <formula>1</formula>
    </cfRule>
    <cfRule type="cellIs" dxfId="17544" priority="816" operator="lessThan">
      <formula>0.8</formula>
    </cfRule>
  </conditionalFormatting>
  <conditionalFormatting sqref="P148:P153">
    <cfRule type="cellIs" dxfId="17543" priority="814" operator="greaterThan">
      <formula>0</formula>
    </cfRule>
  </conditionalFormatting>
  <conditionalFormatting sqref="P148:P153">
    <cfRule type="cellIs" dxfId="17542" priority="808" operator="greaterThan">
      <formula>0</formula>
    </cfRule>
  </conditionalFormatting>
  <conditionalFormatting sqref="Q148:Q153">
    <cfRule type="cellIs" dxfId="17541" priority="813" operator="lessThan">
      <formula>0</formula>
    </cfRule>
  </conditionalFormatting>
  <conditionalFormatting sqref="R148:R153">
    <cfRule type="cellIs" dxfId="17540" priority="811" operator="lessThan">
      <formula>0.8</formula>
    </cfRule>
    <cfRule type="cellIs" dxfId="17539" priority="812" operator="greaterThan">
      <formula>1</formula>
    </cfRule>
  </conditionalFormatting>
  <conditionalFormatting sqref="R148:R153">
    <cfRule type="cellIs" dxfId="17538" priority="809" operator="greaterThan">
      <formula>1</formula>
    </cfRule>
    <cfRule type="cellIs" dxfId="17537" priority="810" operator="lessThan">
      <formula>0.8</formula>
    </cfRule>
  </conditionalFormatting>
  <conditionalFormatting sqref="P148:P153">
    <cfRule type="cellIs" dxfId="17536" priority="802" operator="greaterThan">
      <formula>0</formula>
    </cfRule>
  </conditionalFormatting>
  <conditionalFormatting sqref="Q148:Q153">
    <cfRule type="cellIs" dxfId="17535" priority="807" operator="lessThan">
      <formula>0</formula>
    </cfRule>
  </conditionalFormatting>
  <conditionalFormatting sqref="R148:R153">
    <cfRule type="cellIs" dxfId="17534" priority="805" operator="lessThan">
      <formula>0.8</formula>
    </cfRule>
    <cfRule type="cellIs" dxfId="17533" priority="806" operator="greaterThan">
      <formula>1</formula>
    </cfRule>
  </conditionalFormatting>
  <conditionalFormatting sqref="R148:R153">
    <cfRule type="cellIs" dxfId="17532" priority="803" operator="greaterThan">
      <formula>1</formula>
    </cfRule>
    <cfRule type="cellIs" dxfId="17531" priority="804" operator="lessThan">
      <formula>0.8</formula>
    </cfRule>
  </conditionalFormatting>
  <conditionalFormatting sqref="R148:R153">
    <cfRule type="cellIs" dxfId="17530" priority="799" operator="lessThan">
      <formula>0.8</formula>
    </cfRule>
    <cfRule type="cellIs" dxfId="17529" priority="800" operator="greaterThan">
      <formula>1</formula>
    </cfRule>
  </conditionalFormatting>
  <conditionalFormatting sqref="R148:R153">
    <cfRule type="cellIs" dxfId="17528" priority="797" operator="greaterThan">
      <formula>1</formula>
    </cfRule>
    <cfRule type="cellIs" dxfId="17527" priority="798" operator="lessThan">
      <formula>0.8</formula>
    </cfRule>
  </conditionalFormatting>
  <conditionalFormatting sqref="P148:P153">
    <cfRule type="cellIs" dxfId="17526" priority="796" operator="greaterThan">
      <formula>0</formula>
    </cfRule>
  </conditionalFormatting>
  <conditionalFormatting sqref="Q148:Q153">
    <cfRule type="cellIs" dxfId="17525" priority="801" operator="lessThan">
      <formula>0</formula>
    </cfRule>
  </conditionalFormatting>
  <conditionalFormatting sqref="P148:P153">
    <cfRule type="cellIs" dxfId="17524" priority="790" operator="greaterThan">
      <formula>0</formula>
    </cfRule>
  </conditionalFormatting>
  <conditionalFormatting sqref="Q148:Q153">
    <cfRule type="cellIs" dxfId="17523" priority="795" operator="lessThan">
      <formula>0</formula>
    </cfRule>
  </conditionalFormatting>
  <conditionalFormatting sqref="R148:R153">
    <cfRule type="cellIs" dxfId="17522" priority="793" operator="lessThan">
      <formula>0.8</formula>
    </cfRule>
    <cfRule type="cellIs" dxfId="17521" priority="794" operator="greaterThan">
      <formula>1</formula>
    </cfRule>
  </conditionalFormatting>
  <conditionalFormatting sqref="R148:R153">
    <cfRule type="cellIs" dxfId="17520" priority="791" operator="greaterThan">
      <formula>1</formula>
    </cfRule>
    <cfRule type="cellIs" dxfId="17519" priority="792" operator="lessThan">
      <formula>0.8</formula>
    </cfRule>
  </conditionalFormatting>
  <conditionalFormatting sqref="R148:R153">
    <cfRule type="cellIs" dxfId="17518" priority="787" operator="lessThan">
      <formula>0.8</formula>
    </cfRule>
    <cfRule type="cellIs" dxfId="17517" priority="788" operator="greaterThan">
      <formula>1</formula>
    </cfRule>
  </conditionalFormatting>
  <conditionalFormatting sqref="R148:R153">
    <cfRule type="cellIs" dxfId="17516" priority="785" operator="greaterThan">
      <formula>1</formula>
    </cfRule>
    <cfRule type="cellIs" dxfId="17515" priority="786" operator="lessThan">
      <formula>0.8</formula>
    </cfRule>
  </conditionalFormatting>
  <conditionalFormatting sqref="P148:P153">
    <cfRule type="cellIs" dxfId="17514" priority="784" operator="greaterThan">
      <formula>0</formula>
    </cfRule>
  </conditionalFormatting>
  <conditionalFormatting sqref="Q148:Q153">
    <cfRule type="cellIs" dxfId="17513" priority="789" operator="lessThan">
      <formula>0</formula>
    </cfRule>
  </conditionalFormatting>
  <conditionalFormatting sqref="R148:R153">
    <cfRule type="cellIs" dxfId="17512" priority="781" operator="lessThan">
      <formula>0.8</formula>
    </cfRule>
    <cfRule type="cellIs" dxfId="17511" priority="782" operator="greaterThan">
      <formula>1</formula>
    </cfRule>
  </conditionalFormatting>
  <conditionalFormatting sqref="R148:R153">
    <cfRule type="cellIs" dxfId="17510" priority="779" operator="greaterThan">
      <formula>1</formula>
    </cfRule>
    <cfRule type="cellIs" dxfId="17509" priority="780" operator="lessThan">
      <formula>0.8</formula>
    </cfRule>
  </conditionalFormatting>
  <conditionalFormatting sqref="P148:P153">
    <cfRule type="cellIs" dxfId="17508" priority="778" operator="greaterThan">
      <formula>0</formula>
    </cfRule>
  </conditionalFormatting>
  <conditionalFormatting sqref="Q148:Q153">
    <cfRule type="cellIs" dxfId="17507" priority="783" operator="lessThan">
      <formula>0</formula>
    </cfRule>
  </conditionalFormatting>
  <conditionalFormatting sqref="Q148:Q153">
    <cfRule type="cellIs" dxfId="17506" priority="777" operator="lessThan">
      <formula>0</formula>
    </cfRule>
  </conditionalFormatting>
  <conditionalFormatting sqref="R148:R153">
    <cfRule type="cellIs" dxfId="17505" priority="775" operator="lessThan">
      <formula>0.8</formula>
    </cfRule>
    <cfRule type="cellIs" dxfId="17504" priority="776" operator="greaterThan">
      <formula>1</formula>
    </cfRule>
  </conditionalFormatting>
  <conditionalFormatting sqref="R148:R153">
    <cfRule type="cellIs" dxfId="17503" priority="773" operator="greaterThan">
      <formula>1</formula>
    </cfRule>
    <cfRule type="cellIs" dxfId="17502" priority="774" operator="lessThan">
      <formula>0.8</formula>
    </cfRule>
  </conditionalFormatting>
  <conditionalFormatting sqref="P148:P153">
    <cfRule type="cellIs" dxfId="17501" priority="772" operator="greaterThan">
      <formula>0</formula>
    </cfRule>
  </conditionalFormatting>
  <conditionalFormatting sqref="Q148:Q153">
    <cfRule type="cellIs" dxfId="17500" priority="766" operator="lessThan">
      <formula>0</formula>
    </cfRule>
  </conditionalFormatting>
  <conditionalFormatting sqref="R148:R153">
    <cfRule type="cellIs" dxfId="17499" priority="770" operator="lessThan">
      <formula>0.8</formula>
    </cfRule>
    <cfRule type="cellIs" dxfId="17498" priority="771" operator="greaterThan">
      <formula>1</formula>
    </cfRule>
  </conditionalFormatting>
  <conditionalFormatting sqref="R148:R153">
    <cfRule type="cellIs" dxfId="17497" priority="768" operator="greaterThan">
      <formula>1</formula>
    </cfRule>
    <cfRule type="cellIs" dxfId="17496" priority="769" operator="lessThan">
      <formula>0.8</formula>
    </cfRule>
  </conditionalFormatting>
  <conditionalFormatting sqref="P148:P153">
    <cfRule type="cellIs" dxfId="17495" priority="767" operator="greaterThan">
      <formula>0</formula>
    </cfRule>
  </conditionalFormatting>
  <conditionalFormatting sqref="Q148:Q153">
    <cfRule type="cellIs" dxfId="17494" priority="765" operator="lessThan">
      <formula>0</formula>
    </cfRule>
  </conditionalFormatting>
  <conditionalFormatting sqref="R148:R153">
    <cfRule type="cellIs" dxfId="17493" priority="763" operator="lessThan">
      <formula>0.8</formula>
    </cfRule>
    <cfRule type="cellIs" dxfId="17492" priority="764" operator="greaterThan">
      <formula>1</formula>
    </cfRule>
  </conditionalFormatting>
  <conditionalFormatting sqref="R148:R153">
    <cfRule type="cellIs" dxfId="17491" priority="761" operator="greaterThan">
      <formula>1</formula>
    </cfRule>
    <cfRule type="cellIs" dxfId="17490" priority="762" operator="lessThan">
      <formula>0.8</formula>
    </cfRule>
  </conditionalFormatting>
  <conditionalFormatting sqref="P148:P153">
    <cfRule type="cellIs" dxfId="17489" priority="760" operator="greaterThan">
      <formula>0</formula>
    </cfRule>
  </conditionalFormatting>
  <conditionalFormatting sqref="Q148:Q153">
    <cfRule type="cellIs" dxfId="17488" priority="759" operator="lessThan">
      <formula>0</formula>
    </cfRule>
  </conditionalFormatting>
  <conditionalFormatting sqref="R148:R153">
    <cfRule type="cellIs" dxfId="17487" priority="757" operator="lessThan">
      <formula>0.8</formula>
    </cfRule>
    <cfRule type="cellIs" dxfId="17486" priority="758" operator="greaterThan">
      <formula>1</formula>
    </cfRule>
  </conditionalFormatting>
  <conditionalFormatting sqref="R148:R153">
    <cfRule type="cellIs" dxfId="17485" priority="755" operator="greaterThan">
      <formula>1</formula>
    </cfRule>
    <cfRule type="cellIs" dxfId="17484" priority="756" operator="lessThan">
      <formula>0.8</formula>
    </cfRule>
  </conditionalFormatting>
  <conditionalFormatting sqref="P148:P153">
    <cfRule type="cellIs" dxfId="17483" priority="754" operator="greaterThan">
      <formula>0</formula>
    </cfRule>
  </conditionalFormatting>
  <conditionalFormatting sqref="Q148:Q153">
    <cfRule type="cellIs" dxfId="17482" priority="753" operator="lessThan">
      <formula>0</formula>
    </cfRule>
  </conditionalFormatting>
  <conditionalFormatting sqref="R148:R153">
    <cfRule type="cellIs" dxfId="17481" priority="751" operator="lessThan">
      <formula>0.8</formula>
    </cfRule>
    <cfRule type="cellIs" dxfId="17480" priority="752" operator="greaterThan">
      <formula>1</formula>
    </cfRule>
  </conditionalFormatting>
  <conditionalFormatting sqref="R148:R153">
    <cfRule type="cellIs" dxfId="17479" priority="749" operator="greaterThan">
      <formula>1</formula>
    </cfRule>
    <cfRule type="cellIs" dxfId="17478" priority="750" operator="lessThan">
      <formula>0.8</formula>
    </cfRule>
  </conditionalFormatting>
  <conditionalFormatting sqref="P148:P153">
    <cfRule type="cellIs" dxfId="17477" priority="748" operator="greaterThan">
      <formula>0</formula>
    </cfRule>
  </conditionalFormatting>
  <conditionalFormatting sqref="Q148:Q153">
    <cfRule type="cellIs" dxfId="17476" priority="747" operator="lessThan">
      <formula>0</formula>
    </cfRule>
  </conditionalFormatting>
  <conditionalFormatting sqref="R148:R153">
    <cfRule type="cellIs" dxfId="17475" priority="745" operator="lessThan">
      <formula>0.8</formula>
    </cfRule>
    <cfRule type="cellIs" dxfId="17474" priority="746" operator="greaterThan">
      <formula>1</formula>
    </cfRule>
  </conditionalFormatting>
  <conditionalFormatting sqref="R148:R153">
    <cfRule type="cellIs" dxfId="17473" priority="743" operator="greaterThan">
      <formula>1</formula>
    </cfRule>
    <cfRule type="cellIs" dxfId="17472" priority="744" operator="lessThan">
      <formula>0.8</formula>
    </cfRule>
  </conditionalFormatting>
  <conditionalFormatting sqref="P148:P153">
    <cfRule type="cellIs" dxfId="17471" priority="742" operator="greaterThan">
      <formula>0</formula>
    </cfRule>
  </conditionalFormatting>
  <conditionalFormatting sqref="Q148:Q153">
    <cfRule type="cellIs" dxfId="17470" priority="741" operator="lessThan">
      <formula>0</formula>
    </cfRule>
  </conditionalFormatting>
  <conditionalFormatting sqref="R148:R153">
    <cfRule type="cellIs" dxfId="17469" priority="739" operator="lessThan">
      <formula>0.8</formula>
    </cfRule>
    <cfRule type="cellIs" dxfId="17468" priority="740" operator="greaterThan">
      <formula>1</formula>
    </cfRule>
  </conditionalFormatting>
  <conditionalFormatting sqref="R148:R153">
    <cfRule type="cellIs" dxfId="17467" priority="737" operator="greaterThan">
      <formula>1</formula>
    </cfRule>
    <cfRule type="cellIs" dxfId="17466" priority="738" operator="lessThan">
      <formula>0.8</formula>
    </cfRule>
  </conditionalFormatting>
  <conditionalFormatting sqref="P148:P153">
    <cfRule type="cellIs" dxfId="17465" priority="736" operator="greaterThan">
      <formula>0</formula>
    </cfRule>
  </conditionalFormatting>
  <conditionalFormatting sqref="P148:P153">
    <cfRule type="cellIs" dxfId="17464" priority="730" operator="greaterThan">
      <formula>0</formula>
    </cfRule>
  </conditionalFormatting>
  <conditionalFormatting sqref="Q148:Q153">
    <cfRule type="cellIs" dxfId="17463" priority="735" operator="lessThan">
      <formula>0</formula>
    </cfRule>
  </conditionalFormatting>
  <conditionalFormatting sqref="R148:R153">
    <cfRule type="cellIs" dxfId="17462" priority="733" operator="lessThan">
      <formula>0.8</formula>
    </cfRule>
    <cfRule type="cellIs" dxfId="17461" priority="734" operator="greaterThan">
      <formula>1</formula>
    </cfRule>
  </conditionalFormatting>
  <conditionalFormatting sqref="R148:R153">
    <cfRule type="cellIs" dxfId="17460" priority="731" operator="greaterThan">
      <formula>1</formula>
    </cfRule>
    <cfRule type="cellIs" dxfId="17459" priority="732" operator="lessThan">
      <formula>0.8</formula>
    </cfRule>
  </conditionalFormatting>
  <conditionalFormatting sqref="P148:P153">
    <cfRule type="cellIs" dxfId="17458" priority="724" operator="greaterThan">
      <formula>0</formula>
    </cfRule>
  </conditionalFormatting>
  <conditionalFormatting sqref="Q148:Q153">
    <cfRule type="cellIs" dxfId="17457" priority="729" operator="lessThan">
      <formula>0</formula>
    </cfRule>
  </conditionalFormatting>
  <conditionalFormatting sqref="R148:R153">
    <cfRule type="cellIs" dxfId="17456" priority="727" operator="lessThan">
      <formula>0.8</formula>
    </cfRule>
    <cfRule type="cellIs" dxfId="17455" priority="728" operator="greaterThan">
      <formula>1</formula>
    </cfRule>
  </conditionalFormatting>
  <conditionalFormatting sqref="R148:R153">
    <cfRule type="cellIs" dxfId="17454" priority="725" operator="greaterThan">
      <formula>1</formula>
    </cfRule>
    <cfRule type="cellIs" dxfId="17453" priority="726" operator="lessThan">
      <formula>0.8</formula>
    </cfRule>
  </conditionalFormatting>
  <conditionalFormatting sqref="R148:R153">
    <cfRule type="cellIs" dxfId="17452" priority="721" operator="lessThan">
      <formula>0.8</formula>
    </cfRule>
    <cfRule type="cellIs" dxfId="17451" priority="722" operator="greaterThan">
      <formula>1</formula>
    </cfRule>
  </conditionalFormatting>
  <conditionalFormatting sqref="R148:R153">
    <cfRule type="cellIs" dxfId="17450" priority="719" operator="greaterThan">
      <formula>1</formula>
    </cfRule>
    <cfRule type="cellIs" dxfId="17449" priority="720" operator="lessThan">
      <formula>0.8</formula>
    </cfRule>
  </conditionalFormatting>
  <conditionalFormatting sqref="P148:P153">
    <cfRule type="cellIs" dxfId="17448" priority="718" operator="greaterThan">
      <formula>0</formula>
    </cfRule>
  </conditionalFormatting>
  <conditionalFormatting sqref="Q148:Q153">
    <cfRule type="cellIs" dxfId="17447" priority="723" operator="lessThan">
      <formula>0</formula>
    </cfRule>
  </conditionalFormatting>
  <conditionalFormatting sqref="P44:P51">
    <cfRule type="cellIs" dxfId="17446" priority="712" operator="greaterThan">
      <formula>0</formula>
    </cfRule>
  </conditionalFormatting>
  <conditionalFormatting sqref="Q44:Q51">
    <cfRule type="cellIs" dxfId="17445" priority="717" operator="lessThan">
      <formula>0</formula>
    </cfRule>
  </conditionalFormatting>
  <conditionalFormatting sqref="R44:R51">
    <cfRule type="cellIs" dxfId="17444" priority="715" operator="lessThan">
      <formula>0.8</formula>
    </cfRule>
    <cfRule type="cellIs" dxfId="17443" priority="716" operator="greaterThan">
      <formula>1</formula>
    </cfRule>
  </conditionalFormatting>
  <conditionalFormatting sqref="R44:R51">
    <cfRule type="cellIs" dxfId="17442" priority="713" operator="greaterThan">
      <formula>1</formula>
    </cfRule>
    <cfRule type="cellIs" dxfId="17441" priority="714" operator="lessThan">
      <formula>0.8</formula>
    </cfRule>
  </conditionalFormatting>
  <conditionalFormatting sqref="Q84:Q91">
    <cfRule type="cellIs" dxfId="17440" priority="711" operator="lessThan">
      <formula>0</formula>
    </cfRule>
  </conditionalFormatting>
  <conditionalFormatting sqref="R84:R91">
    <cfRule type="cellIs" dxfId="17439" priority="709" operator="lessThan">
      <formula>0.8</formula>
    </cfRule>
    <cfRule type="cellIs" dxfId="17438" priority="710" operator="greaterThan">
      <formula>1</formula>
    </cfRule>
  </conditionalFormatting>
  <conditionalFormatting sqref="R84:R91">
    <cfRule type="cellIs" dxfId="17437" priority="707" operator="greaterThan">
      <formula>1</formula>
    </cfRule>
    <cfRule type="cellIs" dxfId="17436" priority="708" operator="lessThan">
      <formula>0.8</formula>
    </cfRule>
  </conditionalFormatting>
  <conditionalFormatting sqref="P84:P91">
    <cfRule type="cellIs" dxfId="17435" priority="706" operator="greaterThan">
      <formula>0</formula>
    </cfRule>
  </conditionalFormatting>
  <conditionalFormatting sqref="Q84:Q91">
    <cfRule type="cellIs" dxfId="17434" priority="705" operator="lessThan">
      <formula>0</formula>
    </cfRule>
  </conditionalFormatting>
  <conditionalFormatting sqref="R84:R91">
    <cfRule type="cellIs" dxfId="17433" priority="703" operator="lessThan">
      <formula>0.8</formula>
    </cfRule>
    <cfRule type="cellIs" dxfId="17432" priority="704" operator="greaterThan">
      <formula>1</formula>
    </cfRule>
  </conditionalFormatting>
  <conditionalFormatting sqref="R84:R91">
    <cfRule type="cellIs" dxfId="17431" priority="701" operator="greaterThan">
      <formula>1</formula>
    </cfRule>
    <cfRule type="cellIs" dxfId="17430" priority="702" operator="lessThan">
      <formula>0.8</formula>
    </cfRule>
  </conditionalFormatting>
  <conditionalFormatting sqref="P84:P91">
    <cfRule type="cellIs" dxfId="17429" priority="700" operator="greaterThan">
      <formula>0</formula>
    </cfRule>
  </conditionalFormatting>
  <conditionalFormatting sqref="Q84:Q91">
    <cfRule type="cellIs" dxfId="17428" priority="699" operator="lessThan">
      <formula>0</formula>
    </cfRule>
  </conditionalFormatting>
  <conditionalFormatting sqref="R84:R91">
    <cfRule type="cellIs" dxfId="17427" priority="697" operator="lessThan">
      <formula>0.8</formula>
    </cfRule>
    <cfRule type="cellIs" dxfId="17426" priority="698" operator="greaterThan">
      <formula>1</formula>
    </cfRule>
  </conditionalFormatting>
  <conditionalFormatting sqref="R84:R91">
    <cfRule type="cellIs" dxfId="17425" priority="695" operator="greaterThan">
      <formula>1</formula>
    </cfRule>
    <cfRule type="cellIs" dxfId="17424" priority="696" operator="lessThan">
      <formula>0.8</formula>
    </cfRule>
  </conditionalFormatting>
  <conditionalFormatting sqref="P84:P91">
    <cfRule type="cellIs" dxfId="17423" priority="694" operator="greaterThan">
      <formula>0</formula>
    </cfRule>
  </conditionalFormatting>
  <conditionalFormatting sqref="Q84:Q91">
    <cfRule type="cellIs" dxfId="17422" priority="693" operator="lessThan">
      <formula>0</formula>
    </cfRule>
  </conditionalFormatting>
  <conditionalFormatting sqref="R84:R91">
    <cfRule type="cellIs" dxfId="17421" priority="691" operator="lessThan">
      <formula>0.8</formula>
    </cfRule>
    <cfRule type="cellIs" dxfId="17420" priority="692" operator="greaterThan">
      <formula>1</formula>
    </cfRule>
  </conditionalFormatting>
  <conditionalFormatting sqref="R84:R91">
    <cfRule type="cellIs" dxfId="17419" priority="689" operator="greaterThan">
      <formula>1</formula>
    </cfRule>
    <cfRule type="cellIs" dxfId="17418" priority="690" operator="lessThan">
      <formula>0.8</formula>
    </cfRule>
  </conditionalFormatting>
  <conditionalFormatting sqref="P84:P91">
    <cfRule type="cellIs" dxfId="17417" priority="688" operator="greaterThan">
      <formula>0</formula>
    </cfRule>
  </conditionalFormatting>
  <conditionalFormatting sqref="P84:P91">
    <cfRule type="cellIs" dxfId="17416" priority="682" operator="greaterThan">
      <formula>0</formula>
    </cfRule>
  </conditionalFormatting>
  <conditionalFormatting sqref="Q84:Q91">
    <cfRule type="cellIs" dxfId="17415" priority="687" operator="lessThan">
      <formula>0</formula>
    </cfRule>
  </conditionalFormatting>
  <conditionalFormatting sqref="R84:R91">
    <cfRule type="cellIs" dxfId="17414" priority="685" operator="lessThan">
      <formula>0.8</formula>
    </cfRule>
    <cfRule type="cellIs" dxfId="17413" priority="686" operator="greaterThan">
      <formula>1</formula>
    </cfRule>
  </conditionalFormatting>
  <conditionalFormatting sqref="R84:R91">
    <cfRule type="cellIs" dxfId="17412" priority="683" operator="greaterThan">
      <formula>1</formula>
    </cfRule>
    <cfRule type="cellIs" dxfId="17411" priority="684" operator="lessThan">
      <formula>0.8</formula>
    </cfRule>
  </conditionalFormatting>
  <conditionalFormatting sqref="P84:P91">
    <cfRule type="cellIs" dxfId="17410" priority="676" operator="greaterThan">
      <formula>0</formula>
    </cfRule>
  </conditionalFormatting>
  <conditionalFormatting sqref="Q84:Q91">
    <cfRule type="cellIs" dxfId="17409" priority="681" operator="lessThan">
      <formula>0</formula>
    </cfRule>
  </conditionalFormatting>
  <conditionalFormatting sqref="R84:R91">
    <cfRule type="cellIs" dxfId="17408" priority="679" operator="lessThan">
      <formula>0.8</formula>
    </cfRule>
    <cfRule type="cellIs" dxfId="17407" priority="680" operator="greaterThan">
      <formula>1</formula>
    </cfRule>
  </conditionalFormatting>
  <conditionalFormatting sqref="R84:R91">
    <cfRule type="cellIs" dxfId="17406" priority="677" operator="greaterThan">
      <formula>1</formula>
    </cfRule>
    <cfRule type="cellIs" dxfId="17405" priority="678" operator="lessThan">
      <formula>0.8</formula>
    </cfRule>
  </conditionalFormatting>
  <conditionalFormatting sqref="R84:R91">
    <cfRule type="cellIs" dxfId="17404" priority="673" operator="lessThan">
      <formula>0.8</formula>
    </cfRule>
    <cfRule type="cellIs" dxfId="17403" priority="674" operator="greaterThan">
      <formula>1</formula>
    </cfRule>
  </conditionalFormatting>
  <conditionalFormatting sqref="R84:R91">
    <cfRule type="cellIs" dxfId="17402" priority="671" operator="greaterThan">
      <formula>1</formula>
    </cfRule>
    <cfRule type="cellIs" dxfId="17401" priority="672" operator="lessThan">
      <formula>0.8</formula>
    </cfRule>
  </conditionalFormatting>
  <conditionalFormatting sqref="P84:P91">
    <cfRule type="cellIs" dxfId="17400" priority="670" operator="greaterThan">
      <formula>0</formula>
    </cfRule>
  </conditionalFormatting>
  <conditionalFormatting sqref="Q84:Q91">
    <cfRule type="cellIs" dxfId="17399" priority="675" operator="lessThan">
      <formula>0</formula>
    </cfRule>
  </conditionalFormatting>
  <conditionalFormatting sqref="Q84:Q91">
    <cfRule type="cellIs" dxfId="17398" priority="669" operator="lessThan">
      <formula>0</formula>
    </cfRule>
  </conditionalFormatting>
  <conditionalFormatting sqref="R84:R91">
    <cfRule type="cellIs" dxfId="17397" priority="667" operator="lessThan">
      <formula>0.8</formula>
    </cfRule>
    <cfRule type="cellIs" dxfId="17396" priority="668" operator="greaterThan">
      <formula>1</formula>
    </cfRule>
  </conditionalFormatting>
  <conditionalFormatting sqref="R84:R91">
    <cfRule type="cellIs" dxfId="17395" priority="665" operator="greaterThan">
      <formula>1</formula>
    </cfRule>
    <cfRule type="cellIs" dxfId="17394" priority="666" operator="lessThan">
      <formula>0.8</formula>
    </cfRule>
  </conditionalFormatting>
  <conditionalFormatting sqref="P84:P91">
    <cfRule type="cellIs" dxfId="17393" priority="664" operator="greaterThan">
      <formula>0</formula>
    </cfRule>
  </conditionalFormatting>
  <conditionalFormatting sqref="P84:P91">
    <cfRule type="cellIs" dxfId="17392" priority="658" operator="greaterThan">
      <formula>0</formula>
    </cfRule>
  </conditionalFormatting>
  <conditionalFormatting sqref="Q84:Q91">
    <cfRule type="cellIs" dxfId="17391" priority="663" operator="lessThan">
      <formula>0</formula>
    </cfRule>
  </conditionalFormatting>
  <conditionalFormatting sqref="R84:R91">
    <cfRule type="cellIs" dxfId="17390" priority="661" operator="lessThan">
      <formula>0.8</formula>
    </cfRule>
    <cfRule type="cellIs" dxfId="17389" priority="662" operator="greaterThan">
      <formula>1</formula>
    </cfRule>
  </conditionalFormatting>
  <conditionalFormatting sqref="R84:R91">
    <cfRule type="cellIs" dxfId="17388" priority="659" operator="greaterThan">
      <formula>1</formula>
    </cfRule>
    <cfRule type="cellIs" dxfId="17387" priority="660" operator="lessThan">
      <formula>0.8</formula>
    </cfRule>
  </conditionalFormatting>
  <conditionalFormatting sqref="P84:P91">
    <cfRule type="cellIs" dxfId="17386" priority="652" operator="greaterThan">
      <formula>0</formula>
    </cfRule>
  </conditionalFormatting>
  <conditionalFormatting sqref="Q84:Q91">
    <cfRule type="cellIs" dxfId="17385" priority="657" operator="lessThan">
      <formula>0</formula>
    </cfRule>
  </conditionalFormatting>
  <conditionalFormatting sqref="R84:R91">
    <cfRule type="cellIs" dxfId="17384" priority="655" operator="lessThan">
      <formula>0.8</formula>
    </cfRule>
    <cfRule type="cellIs" dxfId="17383" priority="656" operator="greaterThan">
      <formula>1</formula>
    </cfRule>
  </conditionalFormatting>
  <conditionalFormatting sqref="R84:R91">
    <cfRule type="cellIs" dxfId="17382" priority="653" operator="greaterThan">
      <formula>1</formula>
    </cfRule>
    <cfRule type="cellIs" dxfId="17381" priority="654" operator="lessThan">
      <formula>0.8</formula>
    </cfRule>
  </conditionalFormatting>
  <conditionalFormatting sqref="R84:R91">
    <cfRule type="cellIs" dxfId="17380" priority="649" operator="lessThan">
      <formula>0.8</formula>
    </cfRule>
    <cfRule type="cellIs" dxfId="17379" priority="650" operator="greaterThan">
      <formula>1</formula>
    </cfRule>
  </conditionalFormatting>
  <conditionalFormatting sqref="R84:R91">
    <cfRule type="cellIs" dxfId="17378" priority="647" operator="greaterThan">
      <formula>1</formula>
    </cfRule>
    <cfRule type="cellIs" dxfId="17377" priority="648" operator="lessThan">
      <formula>0.8</formula>
    </cfRule>
  </conditionalFormatting>
  <conditionalFormatting sqref="P84:P91">
    <cfRule type="cellIs" dxfId="17376" priority="646" operator="greaterThan">
      <formula>0</formula>
    </cfRule>
  </conditionalFormatting>
  <conditionalFormatting sqref="Q84:Q91">
    <cfRule type="cellIs" dxfId="17375" priority="651" operator="lessThan">
      <formula>0</formula>
    </cfRule>
  </conditionalFormatting>
  <conditionalFormatting sqref="P84:P91">
    <cfRule type="cellIs" dxfId="17374" priority="640" operator="greaterThan">
      <formula>0</formula>
    </cfRule>
  </conditionalFormatting>
  <conditionalFormatting sqref="Q84:Q91">
    <cfRule type="cellIs" dxfId="17373" priority="645" operator="lessThan">
      <formula>0</formula>
    </cfRule>
  </conditionalFormatting>
  <conditionalFormatting sqref="R84:R91">
    <cfRule type="cellIs" dxfId="17372" priority="643" operator="lessThan">
      <formula>0.8</formula>
    </cfRule>
    <cfRule type="cellIs" dxfId="17371" priority="644" operator="greaterThan">
      <formula>1</formula>
    </cfRule>
  </conditionalFormatting>
  <conditionalFormatting sqref="R84:R91">
    <cfRule type="cellIs" dxfId="17370" priority="641" operator="greaterThan">
      <formula>1</formula>
    </cfRule>
    <cfRule type="cellIs" dxfId="17369" priority="642" operator="lessThan">
      <formula>0.8</formula>
    </cfRule>
  </conditionalFormatting>
  <conditionalFormatting sqref="R84:R91">
    <cfRule type="cellIs" dxfId="17368" priority="637" operator="lessThan">
      <formula>0.8</formula>
    </cfRule>
    <cfRule type="cellIs" dxfId="17367" priority="638" operator="greaterThan">
      <formula>1</formula>
    </cfRule>
  </conditionalFormatting>
  <conditionalFormatting sqref="R84:R91">
    <cfRule type="cellIs" dxfId="17366" priority="635" operator="greaterThan">
      <formula>1</formula>
    </cfRule>
    <cfRule type="cellIs" dxfId="17365" priority="636" operator="lessThan">
      <formula>0.8</formula>
    </cfRule>
  </conditionalFormatting>
  <conditionalFormatting sqref="P84:P91">
    <cfRule type="cellIs" dxfId="17364" priority="634" operator="greaterThan">
      <formula>0</formula>
    </cfRule>
  </conditionalFormatting>
  <conditionalFormatting sqref="Q84:Q91">
    <cfRule type="cellIs" dxfId="17363" priority="639" operator="lessThan">
      <formula>0</formula>
    </cfRule>
  </conditionalFormatting>
  <conditionalFormatting sqref="R84:R91">
    <cfRule type="cellIs" dxfId="17362" priority="631" operator="lessThan">
      <formula>0.8</formula>
    </cfRule>
    <cfRule type="cellIs" dxfId="17361" priority="632" operator="greaterThan">
      <formula>1</formula>
    </cfRule>
  </conditionalFormatting>
  <conditionalFormatting sqref="R84:R91">
    <cfRule type="cellIs" dxfId="17360" priority="629" operator="greaterThan">
      <formula>1</formula>
    </cfRule>
    <cfRule type="cellIs" dxfId="17359" priority="630" operator="lessThan">
      <formula>0.8</formula>
    </cfRule>
  </conditionalFormatting>
  <conditionalFormatting sqref="P84:P91">
    <cfRule type="cellIs" dxfId="17358" priority="628" operator="greaterThan">
      <formula>0</formula>
    </cfRule>
  </conditionalFormatting>
  <conditionalFormatting sqref="Q84:Q91">
    <cfRule type="cellIs" dxfId="17357" priority="633" operator="lessThan">
      <formula>0</formula>
    </cfRule>
  </conditionalFormatting>
  <conditionalFormatting sqref="Q84:Q91">
    <cfRule type="cellIs" dxfId="17356" priority="627" operator="lessThan">
      <formula>0</formula>
    </cfRule>
  </conditionalFormatting>
  <conditionalFormatting sqref="R84:R91">
    <cfRule type="cellIs" dxfId="17355" priority="625" operator="lessThan">
      <formula>0.8</formula>
    </cfRule>
    <cfRule type="cellIs" dxfId="17354" priority="626" operator="greaterThan">
      <formula>1</formula>
    </cfRule>
  </conditionalFormatting>
  <conditionalFormatting sqref="R84:R91">
    <cfRule type="cellIs" dxfId="17353" priority="623" operator="greaterThan">
      <formula>1</formula>
    </cfRule>
    <cfRule type="cellIs" dxfId="17352" priority="624" operator="lessThan">
      <formula>0.8</formula>
    </cfRule>
  </conditionalFormatting>
  <conditionalFormatting sqref="P84:P91">
    <cfRule type="cellIs" dxfId="17351" priority="622" operator="greaterThan">
      <formula>0</formula>
    </cfRule>
  </conditionalFormatting>
  <conditionalFormatting sqref="Q84:Q91">
    <cfRule type="cellIs" dxfId="17350" priority="616" operator="lessThan">
      <formula>0</formula>
    </cfRule>
  </conditionalFormatting>
  <conditionalFormatting sqref="R84:R91">
    <cfRule type="cellIs" dxfId="17349" priority="620" operator="lessThan">
      <formula>0.8</formula>
    </cfRule>
    <cfRule type="cellIs" dxfId="17348" priority="621" operator="greaterThan">
      <formula>1</formula>
    </cfRule>
  </conditionalFormatting>
  <conditionalFormatting sqref="R84:R91">
    <cfRule type="cellIs" dxfId="17347" priority="618" operator="greaterThan">
      <formula>1</formula>
    </cfRule>
    <cfRule type="cellIs" dxfId="17346" priority="619" operator="lessThan">
      <formula>0.8</formula>
    </cfRule>
  </conditionalFormatting>
  <conditionalFormatting sqref="P84:P91">
    <cfRule type="cellIs" dxfId="17345" priority="617" operator="greaterThan">
      <formula>0</formula>
    </cfRule>
  </conditionalFormatting>
  <conditionalFormatting sqref="Q84:Q91">
    <cfRule type="cellIs" dxfId="17344" priority="615" operator="lessThan">
      <formula>0</formula>
    </cfRule>
  </conditionalFormatting>
  <conditionalFormatting sqref="R84:R91">
    <cfRule type="cellIs" dxfId="17343" priority="613" operator="lessThan">
      <formula>0.8</formula>
    </cfRule>
    <cfRule type="cellIs" dxfId="17342" priority="614" operator="greaterThan">
      <formula>1</formula>
    </cfRule>
  </conditionalFormatting>
  <conditionalFormatting sqref="R84:R91">
    <cfRule type="cellIs" dxfId="17341" priority="611" operator="greaterThan">
      <formula>1</formula>
    </cfRule>
    <cfRule type="cellIs" dxfId="17340" priority="612" operator="lessThan">
      <formula>0.8</formula>
    </cfRule>
  </conditionalFormatting>
  <conditionalFormatting sqref="P84:P91">
    <cfRule type="cellIs" dxfId="17339" priority="610" operator="greaterThan">
      <formula>0</formula>
    </cfRule>
  </conditionalFormatting>
  <conditionalFormatting sqref="Q84:Q91">
    <cfRule type="cellIs" dxfId="17338" priority="609" operator="lessThan">
      <formula>0</formula>
    </cfRule>
  </conditionalFormatting>
  <conditionalFormatting sqref="R84:R91">
    <cfRule type="cellIs" dxfId="17337" priority="607" operator="lessThan">
      <formula>0.8</formula>
    </cfRule>
    <cfRule type="cellIs" dxfId="17336" priority="608" operator="greaterThan">
      <formula>1</formula>
    </cfRule>
  </conditionalFormatting>
  <conditionalFormatting sqref="R84:R91">
    <cfRule type="cellIs" dxfId="17335" priority="605" operator="greaterThan">
      <formula>1</formula>
    </cfRule>
    <cfRule type="cellIs" dxfId="17334" priority="606" operator="lessThan">
      <formula>0.8</formula>
    </cfRule>
  </conditionalFormatting>
  <conditionalFormatting sqref="P84:P91">
    <cfRule type="cellIs" dxfId="17333" priority="604" operator="greaterThan">
      <formula>0</formula>
    </cfRule>
  </conditionalFormatting>
  <conditionalFormatting sqref="Q84:Q91">
    <cfRule type="cellIs" dxfId="17332" priority="603" operator="lessThan">
      <formula>0</formula>
    </cfRule>
  </conditionalFormatting>
  <conditionalFormatting sqref="R84:R91">
    <cfRule type="cellIs" dxfId="17331" priority="601" operator="lessThan">
      <formula>0.8</formula>
    </cfRule>
    <cfRule type="cellIs" dxfId="17330" priority="602" operator="greaterThan">
      <formula>1</formula>
    </cfRule>
  </conditionalFormatting>
  <conditionalFormatting sqref="R84:R91">
    <cfRule type="cellIs" dxfId="17329" priority="599" operator="greaterThan">
      <formula>1</formula>
    </cfRule>
    <cfRule type="cellIs" dxfId="17328" priority="600" operator="lessThan">
      <formula>0.8</formula>
    </cfRule>
  </conditionalFormatting>
  <conditionalFormatting sqref="P84:P91">
    <cfRule type="cellIs" dxfId="17327" priority="598" operator="greaterThan">
      <formula>0</formula>
    </cfRule>
  </conditionalFormatting>
  <conditionalFormatting sqref="Q84:Q91">
    <cfRule type="cellIs" dxfId="17326" priority="597" operator="lessThan">
      <formula>0</formula>
    </cfRule>
  </conditionalFormatting>
  <conditionalFormatting sqref="R84:R91">
    <cfRule type="cellIs" dxfId="17325" priority="595" operator="lessThan">
      <formula>0.8</formula>
    </cfRule>
    <cfRule type="cellIs" dxfId="17324" priority="596" operator="greaterThan">
      <formula>1</formula>
    </cfRule>
  </conditionalFormatting>
  <conditionalFormatting sqref="R84:R91">
    <cfRule type="cellIs" dxfId="17323" priority="593" operator="greaterThan">
      <formula>1</formula>
    </cfRule>
    <cfRule type="cellIs" dxfId="17322" priority="594" operator="lessThan">
      <formula>0.8</formula>
    </cfRule>
  </conditionalFormatting>
  <conditionalFormatting sqref="P84:P91">
    <cfRule type="cellIs" dxfId="17321" priority="592" operator="greaterThan">
      <formula>0</formula>
    </cfRule>
  </conditionalFormatting>
  <conditionalFormatting sqref="Q84:Q91">
    <cfRule type="cellIs" dxfId="17320" priority="591" operator="lessThan">
      <formula>0</formula>
    </cfRule>
  </conditionalFormatting>
  <conditionalFormatting sqref="R84:R91">
    <cfRule type="cellIs" dxfId="17319" priority="589" operator="lessThan">
      <formula>0.8</formula>
    </cfRule>
    <cfRule type="cellIs" dxfId="17318" priority="590" operator="greaterThan">
      <formula>1</formula>
    </cfRule>
  </conditionalFormatting>
  <conditionalFormatting sqref="R84:R91">
    <cfRule type="cellIs" dxfId="17317" priority="587" operator="greaterThan">
      <formula>1</formula>
    </cfRule>
    <cfRule type="cellIs" dxfId="17316" priority="588" operator="lessThan">
      <formula>0.8</formula>
    </cfRule>
  </conditionalFormatting>
  <conditionalFormatting sqref="P84:P91">
    <cfRule type="cellIs" dxfId="17315" priority="586" operator="greaterThan">
      <formula>0</formula>
    </cfRule>
  </conditionalFormatting>
  <conditionalFormatting sqref="P84:P91">
    <cfRule type="cellIs" dxfId="17314" priority="580" operator="greaterThan">
      <formula>0</formula>
    </cfRule>
  </conditionalFormatting>
  <conditionalFormatting sqref="Q84:Q91">
    <cfRule type="cellIs" dxfId="17313" priority="585" operator="lessThan">
      <formula>0</formula>
    </cfRule>
  </conditionalFormatting>
  <conditionalFormatting sqref="R84:R91">
    <cfRule type="cellIs" dxfId="17312" priority="583" operator="lessThan">
      <formula>0.8</formula>
    </cfRule>
    <cfRule type="cellIs" dxfId="17311" priority="584" operator="greaterThan">
      <formula>1</formula>
    </cfRule>
  </conditionalFormatting>
  <conditionalFormatting sqref="R84:R91">
    <cfRule type="cellIs" dxfId="17310" priority="581" operator="greaterThan">
      <formula>1</formula>
    </cfRule>
    <cfRule type="cellIs" dxfId="17309" priority="582" operator="lessThan">
      <formula>0.8</formula>
    </cfRule>
  </conditionalFormatting>
  <conditionalFormatting sqref="P84:P91">
    <cfRule type="cellIs" dxfId="17308" priority="574" operator="greaterThan">
      <formula>0</formula>
    </cfRule>
  </conditionalFormatting>
  <conditionalFormatting sqref="Q84:Q91">
    <cfRule type="cellIs" dxfId="17307" priority="579" operator="lessThan">
      <formula>0</formula>
    </cfRule>
  </conditionalFormatting>
  <conditionalFormatting sqref="R84:R91">
    <cfRule type="cellIs" dxfId="17306" priority="577" operator="lessThan">
      <formula>0.8</formula>
    </cfRule>
    <cfRule type="cellIs" dxfId="17305" priority="578" operator="greaterThan">
      <formula>1</formula>
    </cfRule>
  </conditionalFormatting>
  <conditionalFormatting sqref="R84:R91">
    <cfRule type="cellIs" dxfId="17304" priority="575" operator="greaterThan">
      <formula>1</formula>
    </cfRule>
    <cfRule type="cellIs" dxfId="17303" priority="576" operator="lessThan">
      <formula>0.8</formula>
    </cfRule>
  </conditionalFormatting>
  <conditionalFormatting sqref="R84:R91">
    <cfRule type="cellIs" dxfId="17302" priority="571" operator="lessThan">
      <formula>0.8</formula>
    </cfRule>
    <cfRule type="cellIs" dxfId="17301" priority="572" operator="greaterThan">
      <formula>1</formula>
    </cfRule>
  </conditionalFormatting>
  <conditionalFormatting sqref="R84:R91">
    <cfRule type="cellIs" dxfId="17300" priority="569" operator="greaterThan">
      <formula>1</formula>
    </cfRule>
    <cfRule type="cellIs" dxfId="17299" priority="570" operator="lessThan">
      <formula>0.8</formula>
    </cfRule>
  </conditionalFormatting>
  <conditionalFormatting sqref="P84:P91">
    <cfRule type="cellIs" dxfId="17298" priority="568" operator="greaterThan">
      <formula>0</formula>
    </cfRule>
  </conditionalFormatting>
  <conditionalFormatting sqref="Q84:Q91">
    <cfRule type="cellIs" dxfId="17297" priority="573" operator="lessThan">
      <formula>0</formula>
    </cfRule>
  </conditionalFormatting>
  <conditionalFormatting sqref="Q84:Q91">
    <cfRule type="cellIs" dxfId="17296" priority="567" operator="lessThan">
      <formula>0</formula>
    </cfRule>
  </conditionalFormatting>
  <conditionalFormatting sqref="R84:R91">
    <cfRule type="cellIs" dxfId="17295" priority="565" operator="lessThan">
      <formula>0.8</formula>
    </cfRule>
    <cfRule type="cellIs" dxfId="17294" priority="566" operator="greaterThan">
      <formula>1</formula>
    </cfRule>
  </conditionalFormatting>
  <conditionalFormatting sqref="R84:R91">
    <cfRule type="cellIs" dxfId="17293" priority="563" operator="greaterThan">
      <formula>1</formula>
    </cfRule>
    <cfRule type="cellIs" dxfId="17292" priority="564" operator="lessThan">
      <formula>0.8</formula>
    </cfRule>
  </conditionalFormatting>
  <conditionalFormatting sqref="P84:P91">
    <cfRule type="cellIs" dxfId="17291" priority="562" operator="greaterThan">
      <formula>0</formula>
    </cfRule>
  </conditionalFormatting>
  <conditionalFormatting sqref="Q84:Q91">
    <cfRule type="cellIs" dxfId="17290" priority="561" operator="lessThan">
      <formula>0</formula>
    </cfRule>
  </conditionalFormatting>
  <conditionalFormatting sqref="R84:R91">
    <cfRule type="cellIs" dxfId="17289" priority="559" operator="lessThan">
      <formula>0.8</formula>
    </cfRule>
    <cfRule type="cellIs" dxfId="17288" priority="560" operator="greaterThan">
      <formula>1</formula>
    </cfRule>
  </conditionalFormatting>
  <conditionalFormatting sqref="R84:R91">
    <cfRule type="cellIs" dxfId="17287" priority="557" operator="greaterThan">
      <formula>1</formula>
    </cfRule>
    <cfRule type="cellIs" dxfId="17286" priority="558" operator="lessThan">
      <formula>0.8</formula>
    </cfRule>
  </conditionalFormatting>
  <conditionalFormatting sqref="P84:P91">
    <cfRule type="cellIs" dxfId="17285" priority="556" operator="greaterThan">
      <formula>0</formula>
    </cfRule>
  </conditionalFormatting>
  <conditionalFormatting sqref="Q84:Q91">
    <cfRule type="cellIs" dxfId="17284" priority="555" operator="lessThan">
      <formula>0</formula>
    </cfRule>
  </conditionalFormatting>
  <conditionalFormatting sqref="R84:R91">
    <cfRule type="cellIs" dxfId="17283" priority="553" operator="lessThan">
      <formula>0.8</formula>
    </cfRule>
    <cfRule type="cellIs" dxfId="17282" priority="554" operator="greaterThan">
      <formula>1</formula>
    </cfRule>
  </conditionalFormatting>
  <conditionalFormatting sqref="R84:R91">
    <cfRule type="cellIs" dxfId="17281" priority="551" operator="greaterThan">
      <formula>1</formula>
    </cfRule>
    <cfRule type="cellIs" dxfId="17280" priority="552" operator="lessThan">
      <formula>0.8</formula>
    </cfRule>
  </conditionalFormatting>
  <conditionalFormatting sqref="P84:P91">
    <cfRule type="cellIs" dxfId="17279" priority="550" operator="greaterThan">
      <formula>0</formula>
    </cfRule>
  </conditionalFormatting>
  <conditionalFormatting sqref="Q84:Q91">
    <cfRule type="cellIs" dxfId="17278" priority="549" operator="lessThan">
      <formula>0</formula>
    </cfRule>
  </conditionalFormatting>
  <conditionalFormatting sqref="R84:R91">
    <cfRule type="cellIs" dxfId="17277" priority="547" operator="lessThan">
      <formula>0.8</formula>
    </cfRule>
    <cfRule type="cellIs" dxfId="17276" priority="548" operator="greaterThan">
      <formula>1</formula>
    </cfRule>
  </conditionalFormatting>
  <conditionalFormatting sqref="R84:R91">
    <cfRule type="cellIs" dxfId="17275" priority="545" operator="greaterThan">
      <formula>1</formula>
    </cfRule>
    <cfRule type="cellIs" dxfId="17274" priority="546" operator="lessThan">
      <formula>0.8</formula>
    </cfRule>
  </conditionalFormatting>
  <conditionalFormatting sqref="P84:P91">
    <cfRule type="cellIs" dxfId="17273" priority="544" operator="greaterThan">
      <formula>0</formula>
    </cfRule>
  </conditionalFormatting>
  <conditionalFormatting sqref="P84:P91">
    <cfRule type="cellIs" dxfId="17272" priority="538" operator="greaterThan">
      <formula>0</formula>
    </cfRule>
  </conditionalFormatting>
  <conditionalFormatting sqref="Q84:Q91">
    <cfRule type="cellIs" dxfId="17271" priority="543" operator="lessThan">
      <formula>0</formula>
    </cfRule>
  </conditionalFormatting>
  <conditionalFormatting sqref="R84:R91">
    <cfRule type="cellIs" dxfId="17270" priority="541" operator="lessThan">
      <formula>0.8</formula>
    </cfRule>
    <cfRule type="cellIs" dxfId="17269" priority="542" operator="greaterThan">
      <formula>1</formula>
    </cfRule>
  </conditionalFormatting>
  <conditionalFormatting sqref="R84:R91">
    <cfRule type="cellIs" dxfId="17268" priority="539" operator="greaterThan">
      <formula>1</formula>
    </cfRule>
    <cfRule type="cellIs" dxfId="17267" priority="540" operator="lessThan">
      <formula>0.8</formula>
    </cfRule>
  </conditionalFormatting>
  <conditionalFormatting sqref="P84:P91">
    <cfRule type="cellIs" dxfId="17266" priority="532" operator="greaterThan">
      <formula>0</formula>
    </cfRule>
  </conditionalFormatting>
  <conditionalFormatting sqref="Q84:Q91">
    <cfRule type="cellIs" dxfId="17265" priority="537" operator="lessThan">
      <formula>0</formula>
    </cfRule>
  </conditionalFormatting>
  <conditionalFormatting sqref="R84:R91">
    <cfRule type="cellIs" dxfId="17264" priority="535" operator="lessThan">
      <formula>0.8</formula>
    </cfRule>
    <cfRule type="cellIs" dxfId="17263" priority="536" operator="greaterThan">
      <formula>1</formula>
    </cfRule>
  </conditionalFormatting>
  <conditionalFormatting sqref="R84:R91">
    <cfRule type="cellIs" dxfId="17262" priority="533" operator="greaterThan">
      <formula>1</formula>
    </cfRule>
    <cfRule type="cellIs" dxfId="17261" priority="534" operator="lessThan">
      <formula>0.8</formula>
    </cfRule>
  </conditionalFormatting>
  <conditionalFormatting sqref="R84:R91">
    <cfRule type="cellIs" dxfId="17260" priority="529" operator="lessThan">
      <formula>0.8</formula>
    </cfRule>
    <cfRule type="cellIs" dxfId="17259" priority="530" operator="greaterThan">
      <formula>1</formula>
    </cfRule>
  </conditionalFormatting>
  <conditionalFormatting sqref="R84:R91">
    <cfRule type="cellIs" dxfId="17258" priority="527" operator="greaterThan">
      <formula>1</formula>
    </cfRule>
    <cfRule type="cellIs" dxfId="17257" priority="528" operator="lessThan">
      <formula>0.8</formula>
    </cfRule>
  </conditionalFormatting>
  <conditionalFormatting sqref="P84:P91">
    <cfRule type="cellIs" dxfId="17256" priority="526" operator="greaterThan">
      <formula>0</formula>
    </cfRule>
  </conditionalFormatting>
  <conditionalFormatting sqref="Q84:Q91">
    <cfRule type="cellIs" dxfId="17255" priority="531" operator="lessThan">
      <formula>0</formula>
    </cfRule>
  </conditionalFormatting>
  <conditionalFormatting sqref="Q84:Q91">
    <cfRule type="cellIs" dxfId="17254" priority="525" operator="lessThan">
      <formula>0</formula>
    </cfRule>
  </conditionalFormatting>
  <conditionalFormatting sqref="R84:R91">
    <cfRule type="cellIs" dxfId="17253" priority="523" operator="lessThan">
      <formula>0.8</formula>
    </cfRule>
    <cfRule type="cellIs" dxfId="17252" priority="524" operator="greaterThan">
      <formula>1</formula>
    </cfRule>
  </conditionalFormatting>
  <conditionalFormatting sqref="R84:R91">
    <cfRule type="cellIs" dxfId="17251" priority="521" operator="greaterThan">
      <formula>1</formula>
    </cfRule>
    <cfRule type="cellIs" dxfId="17250" priority="522" operator="lessThan">
      <formula>0.8</formula>
    </cfRule>
  </conditionalFormatting>
  <conditionalFormatting sqref="P84:P91">
    <cfRule type="cellIs" dxfId="17249" priority="520" operator="greaterThan">
      <formula>0</formula>
    </cfRule>
  </conditionalFormatting>
  <conditionalFormatting sqref="P84:P91">
    <cfRule type="cellIs" dxfId="17248" priority="514" operator="greaterThan">
      <formula>0</formula>
    </cfRule>
  </conditionalFormatting>
  <conditionalFormatting sqref="Q84:Q91">
    <cfRule type="cellIs" dxfId="17247" priority="519" operator="lessThan">
      <formula>0</formula>
    </cfRule>
  </conditionalFormatting>
  <conditionalFormatting sqref="R84:R91">
    <cfRule type="cellIs" dxfId="17246" priority="517" operator="lessThan">
      <formula>0.8</formula>
    </cfRule>
    <cfRule type="cellIs" dxfId="17245" priority="518" operator="greaterThan">
      <formula>1</formula>
    </cfRule>
  </conditionalFormatting>
  <conditionalFormatting sqref="R84:R91">
    <cfRule type="cellIs" dxfId="17244" priority="515" operator="greaterThan">
      <formula>1</formula>
    </cfRule>
    <cfRule type="cellIs" dxfId="17243" priority="516" operator="lessThan">
      <formula>0.8</formula>
    </cfRule>
  </conditionalFormatting>
  <conditionalFormatting sqref="P84:P91">
    <cfRule type="cellIs" dxfId="17242" priority="508" operator="greaterThan">
      <formula>0</formula>
    </cfRule>
  </conditionalFormatting>
  <conditionalFormatting sqref="Q84:Q91">
    <cfRule type="cellIs" dxfId="17241" priority="513" operator="lessThan">
      <formula>0</formula>
    </cfRule>
  </conditionalFormatting>
  <conditionalFormatting sqref="R84:R91">
    <cfRule type="cellIs" dxfId="17240" priority="511" operator="lessThan">
      <formula>0.8</formula>
    </cfRule>
    <cfRule type="cellIs" dxfId="17239" priority="512" operator="greaterThan">
      <formula>1</formula>
    </cfRule>
  </conditionalFormatting>
  <conditionalFormatting sqref="R84:R91">
    <cfRule type="cellIs" dxfId="17238" priority="509" operator="greaterThan">
      <formula>1</formula>
    </cfRule>
    <cfRule type="cellIs" dxfId="17237" priority="510" operator="lessThan">
      <formula>0.8</formula>
    </cfRule>
  </conditionalFormatting>
  <conditionalFormatting sqref="R84:R91">
    <cfRule type="cellIs" dxfId="17236" priority="505" operator="lessThan">
      <formula>0.8</formula>
    </cfRule>
    <cfRule type="cellIs" dxfId="17235" priority="506" operator="greaterThan">
      <formula>1</formula>
    </cfRule>
  </conditionalFormatting>
  <conditionalFormatting sqref="R84:R91">
    <cfRule type="cellIs" dxfId="17234" priority="503" operator="greaterThan">
      <formula>1</formula>
    </cfRule>
    <cfRule type="cellIs" dxfId="17233" priority="504" operator="lessThan">
      <formula>0.8</formula>
    </cfRule>
  </conditionalFormatting>
  <conditionalFormatting sqref="P84:P91">
    <cfRule type="cellIs" dxfId="17232" priority="502" operator="greaterThan">
      <formula>0</formula>
    </cfRule>
  </conditionalFormatting>
  <conditionalFormatting sqref="Q84:Q91">
    <cfRule type="cellIs" dxfId="17231" priority="507" operator="lessThan">
      <formula>0</formula>
    </cfRule>
  </conditionalFormatting>
  <conditionalFormatting sqref="P84:P91">
    <cfRule type="cellIs" dxfId="17230" priority="496" operator="greaterThan">
      <formula>0</formula>
    </cfRule>
  </conditionalFormatting>
  <conditionalFormatting sqref="Q84:Q91">
    <cfRule type="cellIs" dxfId="17229" priority="501" operator="lessThan">
      <formula>0</formula>
    </cfRule>
  </conditionalFormatting>
  <conditionalFormatting sqref="R84:R91">
    <cfRule type="cellIs" dxfId="17228" priority="499" operator="lessThan">
      <formula>0.8</formula>
    </cfRule>
    <cfRule type="cellIs" dxfId="17227" priority="500" operator="greaterThan">
      <formula>1</formula>
    </cfRule>
  </conditionalFormatting>
  <conditionalFormatting sqref="R84:R91">
    <cfRule type="cellIs" dxfId="17226" priority="497" operator="greaterThan">
      <formula>1</formula>
    </cfRule>
    <cfRule type="cellIs" dxfId="17225" priority="498" operator="lessThan">
      <formula>0.8</formula>
    </cfRule>
  </conditionalFormatting>
  <conditionalFormatting sqref="R84:R91">
    <cfRule type="cellIs" dxfId="17224" priority="493" operator="lessThan">
      <formula>0.8</formula>
    </cfRule>
    <cfRule type="cellIs" dxfId="17223" priority="494" operator="greaterThan">
      <formula>1</formula>
    </cfRule>
  </conditionalFormatting>
  <conditionalFormatting sqref="R84:R91">
    <cfRule type="cellIs" dxfId="17222" priority="491" operator="greaterThan">
      <formula>1</formula>
    </cfRule>
    <cfRule type="cellIs" dxfId="17221" priority="492" operator="lessThan">
      <formula>0.8</formula>
    </cfRule>
  </conditionalFormatting>
  <conditionalFormatting sqref="P84:P91">
    <cfRule type="cellIs" dxfId="17220" priority="490" operator="greaterThan">
      <formula>0</formula>
    </cfRule>
  </conditionalFormatting>
  <conditionalFormatting sqref="Q84:Q91">
    <cfRule type="cellIs" dxfId="17219" priority="495" operator="lessThan">
      <formula>0</formula>
    </cfRule>
  </conditionalFormatting>
  <conditionalFormatting sqref="R84:R91">
    <cfRule type="cellIs" dxfId="17218" priority="487" operator="lessThan">
      <formula>0.8</formula>
    </cfRule>
    <cfRule type="cellIs" dxfId="17217" priority="488" operator="greaterThan">
      <formula>1</formula>
    </cfRule>
  </conditionalFormatting>
  <conditionalFormatting sqref="R84:R91">
    <cfRule type="cellIs" dxfId="17216" priority="485" operator="greaterThan">
      <formula>1</formula>
    </cfRule>
    <cfRule type="cellIs" dxfId="17215" priority="486" operator="lessThan">
      <formula>0.8</formula>
    </cfRule>
  </conditionalFormatting>
  <conditionalFormatting sqref="P84:P91">
    <cfRule type="cellIs" dxfId="17214" priority="484" operator="greaterThan">
      <formula>0</formula>
    </cfRule>
  </conditionalFormatting>
  <conditionalFormatting sqref="Q84:Q91">
    <cfRule type="cellIs" dxfId="17213" priority="489" operator="lessThan">
      <formula>0</formula>
    </cfRule>
  </conditionalFormatting>
  <conditionalFormatting sqref="Q84:Q91">
    <cfRule type="cellIs" dxfId="17212" priority="483" operator="lessThan">
      <formula>0</formula>
    </cfRule>
  </conditionalFormatting>
  <conditionalFormatting sqref="R84:R91">
    <cfRule type="cellIs" dxfId="17211" priority="481" operator="lessThan">
      <formula>0.8</formula>
    </cfRule>
    <cfRule type="cellIs" dxfId="17210" priority="482" operator="greaterThan">
      <formula>1</formula>
    </cfRule>
  </conditionalFormatting>
  <conditionalFormatting sqref="R84:R91">
    <cfRule type="cellIs" dxfId="17209" priority="479" operator="greaterThan">
      <formula>1</formula>
    </cfRule>
    <cfRule type="cellIs" dxfId="17208" priority="480" operator="lessThan">
      <formula>0.8</formula>
    </cfRule>
  </conditionalFormatting>
  <conditionalFormatting sqref="P84:P91">
    <cfRule type="cellIs" dxfId="17207" priority="478" operator="greaterThan">
      <formula>0</formula>
    </cfRule>
  </conditionalFormatting>
  <conditionalFormatting sqref="Q84:Q91">
    <cfRule type="cellIs" dxfId="17206" priority="472" operator="lessThan">
      <formula>0</formula>
    </cfRule>
  </conditionalFormatting>
  <conditionalFormatting sqref="R84:R91">
    <cfRule type="cellIs" dxfId="17205" priority="476" operator="lessThan">
      <formula>0.8</formula>
    </cfRule>
    <cfRule type="cellIs" dxfId="17204" priority="477" operator="greaterThan">
      <formula>1</formula>
    </cfRule>
  </conditionalFormatting>
  <conditionalFormatting sqref="R84:R91">
    <cfRule type="cellIs" dxfId="17203" priority="474" operator="greaterThan">
      <formula>1</formula>
    </cfRule>
    <cfRule type="cellIs" dxfId="17202" priority="475" operator="lessThan">
      <formula>0.8</formula>
    </cfRule>
  </conditionalFormatting>
  <conditionalFormatting sqref="P84:P91">
    <cfRule type="cellIs" dxfId="17201" priority="473" operator="greaterThan">
      <formula>0</formula>
    </cfRule>
  </conditionalFormatting>
  <conditionalFormatting sqref="Q84:Q91">
    <cfRule type="cellIs" dxfId="17200" priority="471" operator="lessThan">
      <formula>0</formula>
    </cfRule>
  </conditionalFormatting>
  <conditionalFormatting sqref="R84:R91">
    <cfRule type="cellIs" dxfId="17199" priority="469" operator="lessThan">
      <formula>0.8</formula>
    </cfRule>
    <cfRule type="cellIs" dxfId="17198" priority="470" operator="greaterThan">
      <formula>1</formula>
    </cfRule>
  </conditionalFormatting>
  <conditionalFormatting sqref="R84:R91">
    <cfRule type="cellIs" dxfId="17197" priority="467" operator="greaterThan">
      <formula>1</formula>
    </cfRule>
    <cfRule type="cellIs" dxfId="17196" priority="468" operator="lessThan">
      <formula>0.8</formula>
    </cfRule>
  </conditionalFormatting>
  <conditionalFormatting sqref="P84:P91">
    <cfRule type="cellIs" dxfId="17195" priority="466" operator="greaterThan">
      <formula>0</formula>
    </cfRule>
  </conditionalFormatting>
  <conditionalFormatting sqref="Q84:Q91">
    <cfRule type="cellIs" dxfId="17194" priority="465" operator="lessThan">
      <formula>0</formula>
    </cfRule>
  </conditionalFormatting>
  <conditionalFormatting sqref="R84:R91">
    <cfRule type="cellIs" dxfId="17193" priority="463" operator="lessThan">
      <formula>0.8</formula>
    </cfRule>
    <cfRule type="cellIs" dxfId="17192" priority="464" operator="greaterThan">
      <formula>1</formula>
    </cfRule>
  </conditionalFormatting>
  <conditionalFormatting sqref="R84:R91">
    <cfRule type="cellIs" dxfId="17191" priority="461" operator="greaterThan">
      <formula>1</formula>
    </cfRule>
    <cfRule type="cellIs" dxfId="17190" priority="462" operator="lessThan">
      <formula>0.8</formula>
    </cfRule>
  </conditionalFormatting>
  <conditionalFormatting sqref="P84:P91">
    <cfRule type="cellIs" dxfId="17189" priority="460" operator="greaterThan">
      <formula>0</formula>
    </cfRule>
  </conditionalFormatting>
  <conditionalFormatting sqref="Q84:Q91">
    <cfRule type="cellIs" dxfId="17188" priority="459" operator="lessThan">
      <formula>0</formula>
    </cfRule>
  </conditionalFormatting>
  <conditionalFormatting sqref="R84:R91">
    <cfRule type="cellIs" dxfId="17187" priority="457" operator="lessThan">
      <formula>0.8</formula>
    </cfRule>
    <cfRule type="cellIs" dxfId="17186" priority="458" operator="greaterThan">
      <formula>1</formula>
    </cfRule>
  </conditionalFormatting>
  <conditionalFormatting sqref="R84:R91">
    <cfRule type="cellIs" dxfId="17185" priority="455" operator="greaterThan">
      <formula>1</formula>
    </cfRule>
    <cfRule type="cellIs" dxfId="17184" priority="456" operator="lessThan">
      <formula>0.8</formula>
    </cfRule>
  </conditionalFormatting>
  <conditionalFormatting sqref="P84:P91">
    <cfRule type="cellIs" dxfId="17183" priority="454" operator="greaterThan">
      <formula>0</formula>
    </cfRule>
  </conditionalFormatting>
  <conditionalFormatting sqref="Q84:Q91">
    <cfRule type="cellIs" dxfId="17182" priority="453" operator="lessThan">
      <formula>0</formula>
    </cfRule>
  </conditionalFormatting>
  <conditionalFormatting sqref="R84:R91">
    <cfRule type="cellIs" dxfId="17181" priority="451" operator="lessThan">
      <formula>0.8</formula>
    </cfRule>
    <cfRule type="cellIs" dxfId="17180" priority="452" operator="greaterThan">
      <formula>1</formula>
    </cfRule>
  </conditionalFormatting>
  <conditionalFormatting sqref="R84:R91">
    <cfRule type="cellIs" dxfId="17179" priority="449" operator="greaterThan">
      <formula>1</formula>
    </cfRule>
    <cfRule type="cellIs" dxfId="17178" priority="450" operator="lessThan">
      <formula>0.8</formula>
    </cfRule>
  </conditionalFormatting>
  <conditionalFormatting sqref="P84:P91">
    <cfRule type="cellIs" dxfId="17177" priority="448" operator="greaterThan">
      <formula>0</formula>
    </cfRule>
  </conditionalFormatting>
  <conditionalFormatting sqref="Q84:Q91">
    <cfRule type="cellIs" dxfId="17176" priority="447" operator="lessThan">
      <formula>0</formula>
    </cfRule>
  </conditionalFormatting>
  <conditionalFormatting sqref="R84:R91">
    <cfRule type="cellIs" dxfId="17175" priority="445" operator="lessThan">
      <formula>0.8</formula>
    </cfRule>
    <cfRule type="cellIs" dxfId="17174" priority="446" operator="greaterThan">
      <formula>1</formula>
    </cfRule>
  </conditionalFormatting>
  <conditionalFormatting sqref="R84:R91">
    <cfRule type="cellIs" dxfId="17173" priority="443" operator="greaterThan">
      <formula>1</formula>
    </cfRule>
    <cfRule type="cellIs" dxfId="17172" priority="444" operator="lessThan">
      <formula>0.8</formula>
    </cfRule>
  </conditionalFormatting>
  <conditionalFormatting sqref="P84:P91">
    <cfRule type="cellIs" dxfId="17171" priority="442" operator="greaterThan">
      <formula>0</formula>
    </cfRule>
  </conditionalFormatting>
  <conditionalFormatting sqref="P84:P91">
    <cfRule type="cellIs" dxfId="17170" priority="436" operator="greaterThan">
      <formula>0</formula>
    </cfRule>
  </conditionalFormatting>
  <conditionalFormatting sqref="Q84:Q91">
    <cfRule type="cellIs" dxfId="17169" priority="441" operator="lessThan">
      <formula>0</formula>
    </cfRule>
  </conditionalFormatting>
  <conditionalFormatting sqref="R84:R91">
    <cfRule type="cellIs" dxfId="17168" priority="439" operator="lessThan">
      <formula>0.8</formula>
    </cfRule>
    <cfRule type="cellIs" dxfId="17167" priority="440" operator="greaterThan">
      <formula>1</formula>
    </cfRule>
  </conditionalFormatting>
  <conditionalFormatting sqref="R84:R91">
    <cfRule type="cellIs" dxfId="17166" priority="437" operator="greaterThan">
      <formula>1</formula>
    </cfRule>
    <cfRule type="cellIs" dxfId="17165" priority="438" operator="lessThan">
      <formula>0.8</formula>
    </cfRule>
  </conditionalFormatting>
  <conditionalFormatting sqref="P84:P91">
    <cfRule type="cellIs" dxfId="17164" priority="430" operator="greaterThan">
      <formula>0</formula>
    </cfRule>
  </conditionalFormatting>
  <conditionalFormatting sqref="Q84:Q91">
    <cfRule type="cellIs" dxfId="17163" priority="435" operator="lessThan">
      <formula>0</formula>
    </cfRule>
  </conditionalFormatting>
  <conditionalFormatting sqref="R84:R91">
    <cfRule type="cellIs" dxfId="17162" priority="433" operator="lessThan">
      <formula>0.8</formula>
    </cfRule>
    <cfRule type="cellIs" dxfId="17161" priority="434" operator="greaterThan">
      <formula>1</formula>
    </cfRule>
  </conditionalFormatting>
  <conditionalFormatting sqref="R84:R91">
    <cfRule type="cellIs" dxfId="17160" priority="431" operator="greaterThan">
      <formula>1</formula>
    </cfRule>
    <cfRule type="cellIs" dxfId="17159" priority="432" operator="lessThan">
      <formula>0.8</formula>
    </cfRule>
  </conditionalFormatting>
  <conditionalFormatting sqref="R84:R91">
    <cfRule type="cellIs" dxfId="17158" priority="427" operator="lessThan">
      <formula>0.8</formula>
    </cfRule>
    <cfRule type="cellIs" dxfId="17157" priority="428" operator="greaterThan">
      <formula>1</formula>
    </cfRule>
  </conditionalFormatting>
  <conditionalFormatting sqref="R84:R91">
    <cfRule type="cellIs" dxfId="17156" priority="425" operator="greaterThan">
      <formula>1</formula>
    </cfRule>
    <cfRule type="cellIs" dxfId="17155" priority="426" operator="lessThan">
      <formula>0.8</formula>
    </cfRule>
  </conditionalFormatting>
  <conditionalFormatting sqref="P84:P91">
    <cfRule type="cellIs" dxfId="17154" priority="424" operator="greaterThan">
      <formula>0</formula>
    </cfRule>
  </conditionalFormatting>
  <conditionalFormatting sqref="Q84:Q91">
    <cfRule type="cellIs" dxfId="17153" priority="429" operator="lessThan">
      <formula>0</formula>
    </cfRule>
  </conditionalFormatting>
  <conditionalFormatting sqref="Q84:Q91">
    <cfRule type="cellIs" dxfId="17152" priority="418" operator="lessThan">
      <formula>0</formula>
    </cfRule>
  </conditionalFormatting>
  <conditionalFormatting sqref="P84:P91">
    <cfRule type="cellIs" dxfId="17151" priority="419" operator="greaterThan">
      <formula>0</formula>
    </cfRule>
  </conditionalFormatting>
  <conditionalFormatting sqref="R84:R91">
    <cfRule type="cellIs" dxfId="17150" priority="422" operator="lessThan">
      <formula>0.8</formula>
    </cfRule>
    <cfRule type="cellIs" dxfId="17149" priority="423" operator="greaterThan">
      <formula>1</formula>
    </cfRule>
  </conditionalFormatting>
  <conditionalFormatting sqref="R84:R91">
    <cfRule type="cellIs" dxfId="17148" priority="420" operator="greaterThan">
      <formula>1</formula>
    </cfRule>
    <cfRule type="cellIs" dxfId="17147" priority="421" operator="lessThan">
      <formula>0.8</formula>
    </cfRule>
  </conditionalFormatting>
  <conditionalFormatting sqref="Q84:Q91">
    <cfRule type="cellIs" dxfId="17146" priority="412" operator="lessThan">
      <formula>0</formula>
    </cfRule>
  </conditionalFormatting>
  <conditionalFormatting sqref="R84:R91">
    <cfRule type="cellIs" dxfId="17145" priority="416" operator="lessThan">
      <formula>0.8</formula>
    </cfRule>
    <cfRule type="cellIs" dxfId="17144" priority="417" operator="greaterThan">
      <formula>1</formula>
    </cfRule>
  </conditionalFormatting>
  <conditionalFormatting sqref="R84:R91">
    <cfRule type="cellIs" dxfId="17143" priority="414" operator="greaterThan">
      <formula>1</formula>
    </cfRule>
    <cfRule type="cellIs" dxfId="17142" priority="415" operator="lessThan">
      <formula>0.8</formula>
    </cfRule>
  </conditionalFormatting>
  <conditionalFormatting sqref="P84:P91">
    <cfRule type="cellIs" dxfId="17141" priority="413" operator="greaterThan">
      <formula>0</formula>
    </cfRule>
  </conditionalFormatting>
  <conditionalFormatting sqref="Q84:Q91">
    <cfRule type="cellIs" dxfId="17140" priority="411" operator="lessThan">
      <formula>0</formula>
    </cfRule>
  </conditionalFormatting>
  <conditionalFormatting sqref="R84:R91">
    <cfRule type="cellIs" dxfId="17139" priority="409" operator="lessThan">
      <formula>0.8</formula>
    </cfRule>
    <cfRule type="cellIs" dxfId="17138" priority="410" operator="greaterThan">
      <formula>1</formula>
    </cfRule>
  </conditionalFormatting>
  <conditionalFormatting sqref="R84:R91">
    <cfRule type="cellIs" dxfId="17137" priority="407" operator="greaterThan">
      <formula>1</formula>
    </cfRule>
    <cfRule type="cellIs" dxfId="17136" priority="408" operator="lessThan">
      <formula>0.8</formula>
    </cfRule>
  </conditionalFormatting>
  <conditionalFormatting sqref="P84:P91">
    <cfRule type="cellIs" dxfId="17135" priority="406" operator="greaterThan">
      <formula>0</formula>
    </cfRule>
  </conditionalFormatting>
  <conditionalFormatting sqref="Q84:Q91">
    <cfRule type="cellIs" dxfId="17134" priority="405" operator="lessThan">
      <formula>0</formula>
    </cfRule>
  </conditionalFormatting>
  <conditionalFormatting sqref="R84:R91">
    <cfRule type="cellIs" dxfId="17133" priority="403" operator="lessThan">
      <formula>0.8</formula>
    </cfRule>
    <cfRule type="cellIs" dxfId="17132" priority="404" operator="greaterThan">
      <formula>1</formula>
    </cfRule>
  </conditionalFormatting>
  <conditionalFormatting sqref="R84:R91">
    <cfRule type="cellIs" dxfId="17131" priority="401" operator="greaterThan">
      <formula>1</formula>
    </cfRule>
    <cfRule type="cellIs" dxfId="17130" priority="402" operator="lessThan">
      <formula>0.8</formula>
    </cfRule>
  </conditionalFormatting>
  <conditionalFormatting sqref="P84:P91">
    <cfRule type="cellIs" dxfId="17129" priority="400" operator="greaterThan">
      <formula>0</formula>
    </cfRule>
  </conditionalFormatting>
  <conditionalFormatting sqref="Q84:Q91">
    <cfRule type="cellIs" dxfId="17128" priority="399" operator="lessThan">
      <formula>0</formula>
    </cfRule>
  </conditionalFormatting>
  <conditionalFormatting sqref="R84:R91">
    <cfRule type="cellIs" dxfId="17127" priority="397" operator="lessThan">
      <formula>0.8</formula>
    </cfRule>
    <cfRule type="cellIs" dxfId="17126" priority="398" operator="greaterThan">
      <formula>1</formula>
    </cfRule>
  </conditionalFormatting>
  <conditionalFormatting sqref="R84:R91">
    <cfRule type="cellIs" dxfId="17125" priority="395" operator="greaterThan">
      <formula>1</formula>
    </cfRule>
    <cfRule type="cellIs" dxfId="17124" priority="396" operator="lessThan">
      <formula>0.8</formula>
    </cfRule>
  </conditionalFormatting>
  <conditionalFormatting sqref="P84:P91">
    <cfRule type="cellIs" dxfId="17123" priority="394" operator="greaterThan">
      <formula>0</formula>
    </cfRule>
  </conditionalFormatting>
  <conditionalFormatting sqref="Q84:Q91">
    <cfRule type="cellIs" dxfId="17122" priority="393" operator="lessThan">
      <formula>0</formula>
    </cfRule>
  </conditionalFormatting>
  <conditionalFormatting sqref="R84:R91">
    <cfRule type="cellIs" dxfId="17121" priority="391" operator="lessThan">
      <formula>0.8</formula>
    </cfRule>
    <cfRule type="cellIs" dxfId="17120" priority="392" operator="greaterThan">
      <formula>1</formula>
    </cfRule>
  </conditionalFormatting>
  <conditionalFormatting sqref="R84:R91">
    <cfRule type="cellIs" dxfId="17119" priority="389" operator="greaterThan">
      <formula>1</formula>
    </cfRule>
    <cfRule type="cellIs" dxfId="17118" priority="390" operator="lessThan">
      <formula>0.8</formula>
    </cfRule>
  </conditionalFormatting>
  <conditionalFormatting sqref="P84:P91">
    <cfRule type="cellIs" dxfId="17117" priority="388" operator="greaterThan">
      <formula>0</formula>
    </cfRule>
  </conditionalFormatting>
  <conditionalFormatting sqref="Q84:Q91">
    <cfRule type="cellIs" dxfId="17116" priority="387" operator="lessThan">
      <formula>0</formula>
    </cfRule>
  </conditionalFormatting>
  <conditionalFormatting sqref="R84:R91">
    <cfRule type="cellIs" dxfId="17115" priority="385" operator="lessThan">
      <formula>0.8</formula>
    </cfRule>
    <cfRule type="cellIs" dxfId="17114" priority="386" operator="greaterThan">
      <formula>1</formula>
    </cfRule>
  </conditionalFormatting>
  <conditionalFormatting sqref="R84:R91">
    <cfRule type="cellIs" dxfId="17113" priority="383" operator="greaterThan">
      <formula>1</formula>
    </cfRule>
    <cfRule type="cellIs" dxfId="17112" priority="384" operator="lessThan">
      <formula>0.8</formula>
    </cfRule>
  </conditionalFormatting>
  <conditionalFormatting sqref="P84:P91">
    <cfRule type="cellIs" dxfId="17111" priority="382" operator="greaterThan">
      <formula>0</formula>
    </cfRule>
  </conditionalFormatting>
  <conditionalFormatting sqref="Q84:Q91">
    <cfRule type="cellIs" dxfId="17110" priority="381" operator="lessThan">
      <formula>0</formula>
    </cfRule>
  </conditionalFormatting>
  <conditionalFormatting sqref="R84:R91">
    <cfRule type="cellIs" dxfId="17109" priority="379" operator="lessThan">
      <formula>0.8</formula>
    </cfRule>
    <cfRule type="cellIs" dxfId="17108" priority="380" operator="greaterThan">
      <formula>1</formula>
    </cfRule>
  </conditionalFormatting>
  <conditionalFormatting sqref="R84:R91">
    <cfRule type="cellIs" dxfId="17107" priority="377" operator="greaterThan">
      <formula>1</formula>
    </cfRule>
    <cfRule type="cellIs" dxfId="17106" priority="378" operator="lessThan">
      <formula>0.8</formula>
    </cfRule>
  </conditionalFormatting>
  <conditionalFormatting sqref="P84:P91">
    <cfRule type="cellIs" dxfId="17105" priority="376" operator="greaterThan">
      <formula>0</formula>
    </cfRule>
  </conditionalFormatting>
  <conditionalFormatting sqref="Q84:Q91">
    <cfRule type="cellIs" dxfId="17104" priority="375" operator="lessThan">
      <formula>0</formula>
    </cfRule>
  </conditionalFormatting>
  <conditionalFormatting sqref="R84:R91">
    <cfRule type="cellIs" dxfId="17103" priority="373" operator="lessThan">
      <formula>0.8</formula>
    </cfRule>
    <cfRule type="cellIs" dxfId="17102" priority="374" operator="greaterThan">
      <formula>1</formula>
    </cfRule>
  </conditionalFormatting>
  <conditionalFormatting sqref="R84:R91">
    <cfRule type="cellIs" dxfId="17101" priority="371" operator="greaterThan">
      <formula>1</formula>
    </cfRule>
    <cfRule type="cellIs" dxfId="17100" priority="372" operator="lessThan">
      <formula>0.8</formula>
    </cfRule>
  </conditionalFormatting>
  <conditionalFormatting sqref="P84:P91">
    <cfRule type="cellIs" dxfId="17099" priority="370" operator="greaterThan">
      <formula>0</formula>
    </cfRule>
  </conditionalFormatting>
  <conditionalFormatting sqref="P84:P91">
    <cfRule type="cellIs" dxfId="17098" priority="364" operator="greaterThan">
      <formula>0</formula>
    </cfRule>
  </conditionalFormatting>
  <conditionalFormatting sqref="Q84:Q91">
    <cfRule type="cellIs" dxfId="17097" priority="369" operator="lessThan">
      <formula>0</formula>
    </cfRule>
  </conditionalFormatting>
  <conditionalFormatting sqref="R84:R91">
    <cfRule type="cellIs" dxfId="17096" priority="367" operator="lessThan">
      <formula>0.8</formula>
    </cfRule>
    <cfRule type="cellIs" dxfId="17095" priority="368" operator="greaterThan">
      <formula>1</formula>
    </cfRule>
  </conditionalFormatting>
  <conditionalFormatting sqref="R84:R91">
    <cfRule type="cellIs" dxfId="17094" priority="365" operator="greaterThan">
      <formula>1</formula>
    </cfRule>
    <cfRule type="cellIs" dxfId="17093" priority="366" operator="lessThan">
      <formula>0.8</formula>
    </cfRule>
  </conditionalFormatting>
  <conditionalFormatting sqref="P84:P91">
    <cfRule type="cellIs" dxfId="17092" priority="358" operator="greaterThan">
      <formula>0</formula>
    </cfRule>
  </conditionalFormatting>
  <conditionalFormatting sqref="Q84:Q91">
    <cfRule type="cellIs" dxfId="17091" priority="363" operator="lessThan">
      <formula>0</formula>
    </cfRule>
  </conditionalFormatting>
  <conditionalFormatting sqref="R84:R91">
    <cfRule type="cellIs" dxfId="17090" priority="361" operator="lessThan">
      <formula>0.8</formula>
    </cfRule>
    <cfRule type="cellIs" dxfId="17089" priority="362" operator="greaterThan">
      <formula>1</formula>
    </cfRule>
  </conditionalFormatting>
  <conditionalFormatting sqref="R84:R91">
    <cfRule type="cellIs" dxfId="17088" priority="359" operator="greaterThan">
      <formula>1</formula>
    </cfRule>
    <cfRule type="cellIs" dxfId="17087" priority="360" operator="lessThan">
      <formula>0.8</formula>
    </cfRule>
  </conditionalFormatting>
  <conditionalFormatting sqref="R84:R91">
    <cfRule type="cellIs" dxfId="17086" priority="355" operator="lessThan">
      <formula>0.8</formula>
    </cfRule>
    <cfRule type="cellIs" dxfId="17085" priority="356" operator="greaterThan">
      <formula>1</formula>
    </cfRule>
  </conditionalFormatting>
  <conditionalFormatting sqref="R84:R91">
    <cfRule type="cellIs" dxfId="17084" priority="353" operator="greaterThan">
      <formula>1</formula>
    </cfRule>
    <cfRule type="cellIs" dxfId="17083" priority="354" operator="lessThan">
      <formula>0.8</formula>
    </cfRule>
  </conditionalFormatting>
  <conditionalFormatting sqref="P84:P91">
    <cfRule type="cellIs" dxfId="17082" priority="352" operator="greaterThan">
      <formula>0</formula>
    </cfRule>
  </conditionalFormatting>
  <conditionalFormatting sqref="Q84:Q91">
    <cfRule type="cellIs" dxfId="17081" priority="357" operator="lessThan">
      <formula>0</formula>
    </cfRule>
  </conditionalFormatting>
  <conditionalFormatting sqref="Q84:Q91">
    <cfRule type="cellIs" dxfId="17080" priority="351" operator="lessThan">
      <formula>0</formula>
    </cfRule>
  </conditionalFormatting>
  <conditionalFormatting sqref="R84:R91">
    <cfRule type="cellIs" dxfId="17079" priority="349" operator="lessThan">
      <formula>0.8</formula>
    </cfRule>
    <cfRule type="cellIs" dxfId="17078" priority="350" operator="greaterThan">
      <formula>1</formula>
    </cfRule>
  </conditionalFormatting>
  <conditionalFormatting sqref="R84:R91">
    <cfRule type="cellIs" dxfId="17077" priority="347" operator="greaterThan">
      <formula>1</formula>
    </cfRule>
    <cfRule type="cellIs" dxfId="17076" priority="348" operator="lessThan">
      <formula>0.8</formula>
    </cfRule>
  </conditionalFormatting>
  <conditionalFormatting sqref="P84:P91">
    <cfRule type="cellIs" dxfId="17075" priority="346" operator="greaterThan">
      <formula>0</formula>
    </cfRule>
  </conditionalFormatting>
  <conditionalFormatting sqref="P84:P91">
    <cfRule type="cellIs" dxfId="17074" priority="340" operator="greaterThan">
      <formula>0</formula>
    </cfRule>
  </conditionalFormatting>
  <conditionalFormatting sqref="Q84:Q91">
    <cfRule type="cellIs" dxfId="17073" priority="345" operator="lessThan">
      <formula>0</formula>
    </cfRule>
  </conditionalFormatting>
  <conditionalFormatting sqref="R84:R91">
    <cfRule type="cellIs" dxfId="17072" priority="343" operator="lessThan">
      <formula>0.8</formula>
    </cfRule>
    <cfRule type="cellIs" dxfId="17071" priority="344" operator="greaterThan">
      <formula>1</formula>
    </cfRule>
  </conditionalFormatting>
  <conditionalFormatting sqref="R84:R91">
    <cfRule type="cellIs" dxfId="17070" priority="341" operator="greaterThan">
      <formula>1</formula>
    </cfRule>
    <cfRule type="cellIs" dxfId="17069" priority="342" operator="lessThan">
      <formula>0.8</formula>
    </cfRule>
  </conditionalFormatting>
  <conditionalFormatting sqref="P84:P91">
    <cfRule type="cellIs" dxfId="17068" priority="334" operator="greaterThan">
      <formula>0</formula>
    </cfRule>
  </conditionalFormatting>
  <conditionalFormatting sqref="Q84:Q91">
    <cfRule type="cellIs" dxfId="17067" priority="339" operator="lessThan">
      <formula>0</formula>
    </cfRule>
  </conditionalFormatting>
  <conditionalFormatting sqref="R84:R91">
    <cfRule type="cellIs" dxfId="17066" priority="337" operator="lessThan">
      <formula>0.8</formula>
    </cfRule>
    <cfRule type="cellIs" dxfId="17065" priority="338" operator="greaterThan">
      <formula>1</formula>
    </cfRule>
  </conditionalFormatting>
  <conditionalFormatting sqref="R84:R91">
    <cfRule type="cellIs" dxfId="17064" priority="335" operator="greaterThan">
      <formula>1</formula>
    </cfRule>
    <cfRule type="cellIs" dxfId="17063" priority="336" operator="lessThan">
      <formula>0.8</formula>
    </cfRule>
  </conditionalFormatting>
  <conditionalFormatting sqref="R84:R91">
    <cfRule type="cellIs" dxfId="17062" priority="331" operator="lessThan">
      <formula>0.8</formula>
    </cfRule>
    <cfRule type="cellIs" dxfId="17061" priority="332" operator="greaterThan">
      <formula>1</formula>
    </cfRule>
  </conditionalFormatting>
  <conditionalFormatting sqref="R84:R91">
    <cfRule type="cellIs" dxfId="17060" priority="329" operator="greaterThan">
      <formula>1</formula>
    </cfRule>
    <cfRule type="cellIs" dxfId="17059" priority="330" operator="lessThan">
      <formula>0.8</formula>
    </cfRule>
  </conditionalFormatting>
  <conditionalFormatting sqref="P84:P91">
    <cfRule type="cellIs" dxfId="17058" priority="328" operator="greaterThan">
      <formula>0</formula>
    </cfRule>
  </conditionalFormatting>
  <conditionalFormatting sqref="Q84:Q91">
    <cfRule type="cellIs" dxfId="17057" priority="333" operator="lessThan">
      <formula>0</formula>
    </cfRule>
  </conditionalFormatting>
  <conditionalFormatting sqref="P84:P91">
    <cfRule type="cellIs" dxfId="17056" priority="322" operator="greaterThan">
      <formula>0</formula>
    </cfRule>
  </conditionalFormatting>
  <conditionalFormatting sqref="Q84:Q91">
    <cfRule type="cellIs" dxfId="17055" priority="327" operator="lessThan">
      <formula>0</formula>
    </cfRule>
  </conditionalFormatting>
  <conditionalFormatting sqref="R84:R91">
    <cfRule type="cellIs" dxfId="17054" priority="325" operator="lessThan">
      <formula>0.8</formula>
    </cfRule>
    <cfRule type="cellIs" dxfId="17053" priority="326" operator="greaterThan">
      <formula>1</formula>
    </cfRule>
  </conditionalFormatting>
  <conditionalFormatting sqref="R84:R91">
    <cfRule type="cellIs" dxfId="17052" priority="323" operator="greaterThan">
      <formula>1</formula>
    </cfRule>
    <cfRule type="cellIs" dxfId="17051" priority="324" operator="lessThan">
      <formula>0.8</formula>
    </cfRule>
  </conditionalFormatting>
  <conditionalFormatting sqref="R84:R91">
    <cfRule type="cellIs" dxfId="17050" priority="319" operator="lessThan">
      <formula>0.8</formula>
    </cfRule>
    <cfRule type="cellIs" dxfId="17049" priority="320" operator="greaterThan">
      <formula>1</formula>
    </cfRule>
  </conditionalFormatting>
  <conditionalFormatting sqref="R84:R91">
    <cfRule type="cellIs" dxfId="17048" priority="317" operator="greaterThan">
      <formula>1</formula>
    </cfRule>
    <cfRule type="cellIs" dxfId="17047" priority="318" operator="lessThan">
      <formula>0.8</formula>
    </cfRule>
  </conditionalFormatting>
  <conditionalFormatting sqref="P84:P91">
    <cfRule type="cellIs" dxfId="17046" priority="316" operator="greaterThan">
      <formula>0</formula>
    </cfRule>
  </conditionalFormatting>
  <conditionalFormatting sqref="Q84:Q91">
    <cfRule type="cellIs" dxfId="17045" priority="321" operator="lessThan">
      <formula>0</formula>
    </cfRule>
  </conditionalFormatting>
  <conditionalFormatting sqref="R84:R91">
    <cfRule type="cellIs" dxfId="17044" priority="313" operator="lessThan">
      <formula>0.8</formula>
    </cfRule>
    <cfRule type="cellIs" dxfId="17043" priority="314" operator="greaterThan">
      <formula>1</formula>
    </cfRule>
  </conditionalFormatting>
  <conditionalFormatting sqref="R84:R91">
    <cfRule type="cellIs" dxfId="17042" priority="311" operator="greaterThan">
      <formula>1</formula>
    </cfRule>
    <cfRule type="cellIs" dxfId="17041" priority="312" operator="lessThan">
      <formula>0.8</formula>
    </cfRule>
  </conditionalFormatting>
  <conditionalFormatting sqref="P84:P91">
    <cfRule type="cellIs" dxfId="17040" priority="310" operator="greaterThan">
      <formula>0</formula>
    </cfRule>
  </conditionalFormatting>
  <conditionalFormatting sqref="Q84:Q91">
    <cfRule type="cellIs" dxfId="17039" priority="315" operator="lessThan">
      <formula>0</formula>
    </cfRule>
  </conditionalFormatting>
  <conditionalFormatting sqref="Q84:Q91">
    <cfRule type="cellIs" dxfId="17038" priority="309" operator="lessThan">
      <formula>0</formula>
    </cfRule>
  </conditionalFormatting>
  <conditionalFormatting sqref="R84:R91">
    <cfRule type="cellIs" dxfId="17037" priority="307" operator="lessThan">
      <formula>0.8</formula>
    </cfRule>
    <cfRule type="cellIs" dxfId="17036" priority="308" operator="greaterThan">
      <formula>1</formula>
    </cfRule>
  </conditionalFormatting>
  <conditionalFormatting sqref="R84:R91">
    <cfRule type="cellIs" dxfId="17035" priority="305" operator="greaterThan">
      <formula>1</formula>
    </cfRule>
    <cfRule type="cellIs" dxfId="17034" priority="306" operator="lessThan">
      <formula>0.8</formula>
    </cfRule>
  </conditionalFormatting>
  <conditionalFormatting sqref="P84:P91">
    <cfRule type="cellIs" dxfId="17033" priority="304" operator="greaterThan">
      <formula>0</formula>
    </cfRule>
  </conditionalFormatting>
  <conditionalFormatting sqref="Q84:Q91">
    <cfRule type="cellIs" dxfId="17032" priority="298" operator="lessThan">
      <formula>0</formula>
    </cfRule>
  </conditionalFormatting>
  <conditionalFormatting sqref="R84:R91">
    <cfRule type="cellIs" dxfId="17031" priority="302" operator="lessThan">
      <formula>0.8</formula>
    </cfRule>
    <cfRule type="cellIs" dxfId="17030" priority="303" operator="greaterThan">
      <formula>1</formula>
    </cfRule>
  </conditionalFormatting>
  <conditionalFormatting sqref="R84:R91">
    <cfRule type="cellIs" dxfId="17029" priority="300" operator="greaterThan">
      <formula>1</formula>
    </cfRule>
    <cfRule type="cellIs" dxfId="17028" priority="301" operator="lessThan">
      <formula>0.8</formula>
    </cfRule>
  </conditionalFormatting>
  <conditionalFormatting sqref="P84:P91">
    <cfRule type="cellIs" dxfId="17027" priority="299" operator="greaterThan">
      <formula>0</formula>
    </cfRule>
  </conditionalFormatting>
  <conditionalFormatting sqref="Q84:Q91">
    <cfRule type="cellIs" dxfId="17026" priority="297" operator="lessThan">
      <formula>0</formula>
    </cfRule>
  </conditionalFormatting>
  <conditionalFormatting sqref="R84:R91">
    <cfRule type="cellIs" dxfId="17025" priority="295" operator="lessThan">
      <formula>0.8</formula>
    </cfRule>
    <cfRule type="cellIs" dxfId="17024" priority="296" operator="greaterThan">
      <formula>1</formula>
    </cfRule>
  </conditionalFormatting>
  <conditionalFormatting sqref="R84:R91">
    <cfRule type="cellIs" dxfId="17023" priority="293" operator="greaterThan">
      <formula>1</formula>
    </cfRule>
    <cfRule type="cellIs" dxfId="17022" priority="294" operator="lessThan">
      <formula>0.8</formula>
    </cfRule>
  </conditionalFormatting>
  <conditionalFormatting sqref="P84:P91">
    <cfRule type="cellIs" dxfId="17021" priority="292" operator="greaterThan">
      <formula>0</formula>
    </cfRule>
  </conditionalFormatting>
  <conditionalFormatting sqref="Q84:Q91">
    <cfRule type="cellIs" dxfId="17020" priority="291" operator="lessThan">
      <formula>0</formula>
    </cfRule>
  </conditionalFormatting>
  <conditionalFormatting sqref="R84:R91">
    <cfRule type="cellIs" dxfId="17019" priority="289" operator="lessThan">
      <formula>0.8</formula>
    </cfRule>
    <cfRule type="cellIs" dxfId="17018" priority="290" operator="greaterThan">
      <formula>1</formula>
    </cfRule>
  </conditionalFormatting>
  <conditionalFormatting sqref="R84:R91">
    <cfRule type="cellIs" dxfId="17017" priority="287" operator="greaterThan">
      <formula>1</formula>
    </cfRule>
    <cfRule type="cellIs" dxfId="17016" priority="288" operator="lessThan">
      <formula>0.8</formula>
    </cfRule>
  </conditionalFormatting>
  <conditionalFormatting sqref="P84:P91">
    <cfRule type="cellIs" dxfId="17015" priority="286" operator="greaterThan">
      <formula>0</formula>
    </cfRule>
  </conditionalFormatting>
  <conditionalFormatting sqref="Q84:Q91">
    <cfRule type="cellIs" dxfId="17014" priority="285" operator="lessThan">
      <formula>0</formula>
    </cfRule>
  </conditionalFormatting>
  <conditionalFormatting sqref="R84:R91">
    <cfRule type="cellIs" dxfId="17013" priority="283" operator="lessThan">
      <formula>0.8</formula>
    </cfRule>
    <cfRule type="cellIs" dxfId="17012" priority="284" operator="greaterThan">
      <formula>1</formula>
    </cfRule>
  </conditionalFormatting>
  <conditionalFormatting sqref="R84:R91">
    <cfRule type="cellIs" dxfId="17011" priority="281" operator="greaterThan">
      <formula>1</formula>
    </cfRule>
    <cfRule type="cellIs" dxfId="17010" priority="282" operator="lessThan">
      <formula>0.8</formula>
    </cfRule>
  </conditionalFormatting>
  <conditionalFormatting sqref="P84:P91">
    <cfRule type="cellIs" dxfId="17009" priority="280" operator="greaterThan">
      <formula>0</formula>
    </cfRule>
  </conditionalFormatting>
  <conditionalFormatting sqref="Q84:Q91">
    <cfRule type="cellIs" dxfId="17008" priority="279" operator="lessThan">
      <formula>0</formula>
    </cfRule>
  </conditionalFormatting>
  <conditionalFormatting sqref="R84:R91">
    <cfRule type="cellIs" dxfId="17007" priority="277" operator="lessThan">
      <formula>0.8</formula>
    </cfRule>
    <cfRule type="cellIs" dxfId="17006" priority="278" operator="greaterThan">
      <formula>1</formula>
    </cfRule>
  </conditionalFormatting>
  <conditionalFormatting sqref="R84:R91">
    <cfRule type="cellIs" dxfId="17005" priority="275" operator="greaterThan">
      <formula>1</formula>
    </cfRule>
    <cfRule type="cellIs" dxfId="17004" priority="276" operator="lessThan">
      <formula>0.8</formula>
    </cfRule>
  </conditionalFormatting>
  <conditionalFormatting sqref="P84:P91">
    <cfRule type="cellIs" dxfId="17003" priority="274" operator="greaterThan">
      <formula>0</formula>
    </cfRule>
  </conditionalFormatting>
  <conditionalFormatting sqref="Q84:Q91">
    <cfRule type="cellIs" dxfId="17002" priority="273" operator="lessThan">
      <formula>0</formula>
    </cfRule>
  </conditionalFormatting>
  <conditionalFormatting sqref="R84:R91">
    <cfRule type="cellIs" dxfId="17001" priority="271" operator="lessThan">
      <formula>0.8</formula>
    </cfRule>
    <cfRule type="cellIs" dxfId="17000" priority="272" operator="greaterThan">
      <formula>1</formula>
    </cfRule>
  </conditionalFormatting>
  <conditionalFormatting sqref="R84:R91">
    <cfRule type="cellIs" dxfId="16999" priority="269" operator="greaterThan">
      <formula>1</formula>
    </cfRule>
    <cfRule type="cellIs" dxfId="16998" priority="270" operator="lessThan">
      <formula>0.8</formula>
    </cfRule>
  </conditionalFormatting>
  <conditionalFormatting sqref="P84:P91">
    <cfRule type="cellIs" dxfId="16997" priority="268" operator="greaterThan">
      <formula>0</formula>
    </cfRule>
  </conditionalFormatting>
  <conditionalFormatting sqref="P84:P91">
    <cfRule type="cellIs" dxfId="16996" priority="262" operator="greaterThan">
      <formula>0</formula>
    </cfRule>
  </conditionalFormatting>
  <conditionalFormatting sqref="Q84:Q91">
    <cfRule type="cellIs" dxfId="16995" priority="267" operator="lessThan">
      <formula>0</formula>
    </cfRule>
  </conditionalFormatting>
  <conditionalFormatting sqref="R84:R91">
    <cfRule type="cellIs" dxfId="16994" priority="265" operator="lessThan">
      <formula>0.8</formula>
    </cfRule>
    <cfRule type="cellIs" dxfId="16993" priority="266" operator="greaterThan">
      <formula>1</formula>
    </cfRule>
  </conditionalFormatting>
  <conditionalFormatting sqref="R84:R91">
    <cfRule type="cellIs" dxfId="16992" priority="263" operator="greaterThan">
      <formula>1</formula>
    </cfRule>
    <cfRule type="cellIs" dxfId="16991" priority="264" operator="lessThan">
      <formula>0.8</formula>
    </cfRule>
  </conditionalFormatting>
  <conditionalFormatting sqref="P84:P91">
    <cfRule type="cellIs" dxfId="16990" priority="256" operator="greaterThan">
      <formula>0</formula>
    </cfRule>
  </conditionalFormatting>
  <conditionalFormatting sqref="Q84:Q91">
    <cfRule type="cellIs" dxfId="16989" priority="261" operator="lessThan">
      <formula>0</formula>
    </cfRule>
  </conditionalFormatting>
  <conditionalFormatting sqref="R84:R91">
    <cfRule type="cellIs" dxfId="16988" priority="259" operator="lessThan">
      <formula>0.8</formula>
    </cfRule>
    <cfRule type="cellIs" dxfId="16987" priority="260" operator="greaterThan">
      <formula>1</formula>
    </cfRule>
  </conditionalFormatting>
  <conditionalFormatting sqref="R84:R91">
    <cfRule type="cellIs" dxfId="16986" priority="257" operator="greaterThan">
      <formula>1</formula>
    </cfRule>
    <cfRule type="cellIs" dxfId="16985" priority="258" operator="lessThan">
      <formula>0.8</formula>
    </cfRule>
  </conditionalFormatting>
  <conditionalFormatting sqref="R84:R91">
    <cfRule type="cellIs" dxfId="16984" priority="253" operator="lessThan">
      <formula>0.8</formula>
    </cfRule>
    <cfRule type="cellIs" dxfId="16983" priority="254" operator="greaterThan">
      <formula>1</formula>
    </cfRule>
  </conditionalFormatting>
  <conditionalFormatting sqref="R84:R91">
    <cfRule type="cellIs" dxfId="16982" priority="251" operator="greaterThan">
      <formula>1</formula>
    </cfRule>
    <cfRule type="cellIs" dxfId="16981" priority="252" operator="lessThan">
      <formula>0.8</formula>
    </cfRule>
  </conditionalFormatting>
  <conditionalFormatting sqref="P84:P91">
    <cfRule type="cellIs" dxfId="16980" priority="250" operator="greaterThan">
      <formula>0</formula>
    </cfRule>
  </conditionalFormatting>
  <conditionalFormatting sqref="Q84:Q91">
    <cfRule type="cellIs" dxfId="16979" priority="255" operator="lessThan">
      <formula>0</formula>
    </cfRule>
  </conditionalFormatting>
  <conditionalFormatting sqref="Q84:Q91">
    <cfRule type="cellIs" dxfId="16978" priority="249" operator="lessThan">
      <formula>0</formula>
    </cfRule>
  </conditionalFormatting>
  <conditionalFormatting sqref="R84:R91">
    <cfRule type="cellIs" dxfId="16977" priority="247" operator="lessThan">
      <formula>0.8</formula>
    </cfRule>
    <cfRule type="cellIs" dxfId="16976" priority="248" operator="greaterThan">
      <formula>1</formula>
    </cfRule>
  </conditionalFormatting>
  <conditionalFormatting sqref="R84:R91">
    <cfRule type="cellIs" dxfId="16975" priority="245" operator="greaterThan">
      <formula>1</formula>
    </cfRule>
    <cfRule type="cellIs" dxfId="16974" priority="246" operator="lessThan">
      <formula>0.8</formula>
    </cfRule>
  </conditionalFormatting>
  <conditionalFormatting sqref="P84:P91">
    <cfRule type="cellIs" dxfId="16973" priority="244" operator="greaterThan">
      <formula>0</formula>
    </cfRule>
  </conditionalFormatting>
  <conditionalFormatting sqref="Q84:Q91">
    <cfRule type="cellIs" dxfId="16972" priority="243" operator="lessThan">
      <formula>0</formula>
    </cfRule>
  </conditionalFormatting>
  <conditionalFormatting sqref="R84:R91">
    <cfRule type="cellIs" dxfId="16971" priority="241" operator="lessThan">
      <formula>0.8</formula>
    </cfRule>
    <cfRule type="cellIs" dxfId="16970" priority="242" operator="greaterThan">
      <formula>1</formula>
    </cfRule>
  </conditionalFormatting>
  <conditionalFormatting sqref="R84:R91">
    <cfRule type="cellIs" dxfId="16969" priority="239" operator="greaterThan">
      <formula>1</formula>
    </cfRule>
    <cfRule type="cellIs" dxfId="16968" priority="240" operator="lessThan">
      <formula>0.8</formula>
    </cfRule>
  </conditionalFormatting>
  <conditionalFormatting sqref="P84:P91">
    <cfRule type="cellIs" dxfId="16967" priority="238" operator="greaterThan">
      <formula>0</formula>
    </cfRule>
  </conditionalFormatting>
  <conditionalFormatting sqref="Q84:Q91">
    <cfRule type="cellIs" dxfId="16966" priority="237" operator="lessThan">
      <formula>0</formula>
    </cfRule>
  </conditionalFormatting>
  <conditionalFormatting sqref="R84:R91">
    <cfRule type="cellIs" dxfId="16965" priority="235" operator="lessThan">
      <formula>0.8</formula>
    </cfRule>
    <cfRule type="cellIs" dxfId="16964" priority="236" operator="greaterThan">
      <formula>1</formula>
    </cfRule>
  </conditionalFormatting>
  <conditionalFormatting sqref="R84:R91">
    <cfRule type="cellIs" dxfId="16963" priority="233" operator="greaterThan">
      <formula>1</formula>
    </cfRule>
    <cfRule type="cellIs" dxfId="16962" priority="234" operator="lessThan">
      <formula>0.8</formula>
    </cfRule>
  </conditionalFormatting>
  <conditionalFormatting sqref="P84:P91">
    <cfRule type="cellIs" dxfId="16961" priority="232" operator="greaterThan">
      <formula>0</formula>
    </cfRule>
  </conditionalFormatting>
  <conditionalFormatting sqref="Q84:Q91">
    <cfRule type="cellIs" dxfId="16960" priority="231" operator="lessThan">
      <formula>0</formula>
    </cfRule>
  </conditionalFormatting>
  <conditionalFormatting sqref="R84:R91">
    <cfRule type="cellIs" dxfId="16959" priority="229" operator="lessThan">
      <formula>0.8</formula>
    </cfRule>
    <cfRule type="cellIs" dxfId="16958" priority="230" operator="greaterThan">
      <formula>1</formula>
    </cfRule>
  </conditionalFormatting>
  <conditionalFormatting sqref="R84:R91">
    <cfRule type="cellIs" dxfId="16957" priority="227" operator="greaterThan">
      <formula>1</formula>
    </cfRule>
    <cfRule type="cellIs" dxfId="16956" priority="228" operator="lessThan">
      <formula>0.8</formula>
    </cfRule>
  </conditionalFormatting>
  <conditionalFormatting sqref="P84:P91">
    <cfRule type="cellIs" dxfId="16955" priority="226" operator="greaterThan">
      <formula>0</formula>
    </cfRule>
  </conditionalFormatting>
  <conditionalFormatting sqref="P84:P91">
    <cfRule type="cellIs" dxfId="16954" priority="220" operator="greaterThan">
      <formula>0</formula>
    </cfRule>
  </conditionalFormatting>
  <conditionalFormatting sqref="Q84:Q91">
    <cfRule type="cellIs" dxfId="16953" priority="225" operator="lessThan">
      <formula>0</formula>
    </cfRule>
  </conditionalFormatting>
  <conditionalFormatting sqref="R84:R91">
    <cfRule type="cellIs" dxfId="16952" priority="223" operator="lessThan">
      <formula>0.8</formula>
    </cfRule>
    <cfRule type="cellIs" dxfId="16951" priority="224" operator="greaterThan">
      <formula>1</formula>
    </cfRule>
  </conditionalFormatting>
  <conditionalFormatting sqref="R84:R91">
    <cfRule type="cellIs" dxfId="16950" priority="221" operator="greaterThan">
      <formula>1</formula>
    </cfRule>
    <cfRule type="cellIs" dxfId="16949" priority="222" operator="lessThan">
      <formula>0.8</formula>
    </cfRule>
  </conditionalFormatting>
  <conditionalFormatting sqref="P84:P91">
    <cfRule type="cellIs" dxfId="16948" priority="214" operator="greaterThan">
      <formula>0</formula>
    </cfRule>
  </conditionalFormatting>
  <conditionalFormatting sqref="Q84:Q91">
    <cfRule type="cellIs" dxfId="16947" priority="219" operator="lessThan">
      <formula>0</formula>
    </cfRule>
  </conditionalFormatting>
  <conditionalFormatting sqref="R84:R91">
    <cfRule type="cellIs" dxfId="16946" priority="217" operator="lessThan">
      <formula>0.8</formula>
    </cfRule>
    <cfRule type="cellIs" dxfId="16945" priority="218" operator="greaterThan">
      <formula>1</formula>
    </cfRule>
  </conditionalFormatting>
  <conditionalFormatting sqref="R84:R91">
    <cfRule type="cellIs" dxfId="16944" priority="215" operator="greaterThan">
      <formula>1</formula>
    </cfRule>
    <cfRule type="cellIs" dxfId="16943" priority="216" operator="lessThan">
      <formula>0.8</formula>
    </cfRule>
  </conditionalFormatting>
  <conditionalFormatting sqref="R84:R91">
    <cfRule type="cellIs" dxfId="16942" priority="211" operator="lessThan">
      <formula>0.8</formula>
    </cfRule>
    <cfRule type="cellIs" dxfId="16941" priority="212" operator="greaterThan">
      <formula>1</formula>
    </cfRule>
  </conditionalFormatting>
  <conditionalFormatting sqref="R84:R91">
    <cfRule type="cellIs" dxfId="16940" priority="209" operator="greaterThan">
      <formula>1</formula>
    </cfRule>
    <cfRule type="cellIs" dxfId="16939" priority="210" operator="lessThan">
      <formula>0.8</formula>
    </cfRule>
  </conditionalFormatting>
  <conditionalFormatting sqref="P84:P91">
    <cfRule type="cellIs" dxfId="16938" priority="208" operator="greaterThan">
      <formula>0</formula>
    </cfRule>
  </conditionalFormatting>
  <conditionalFormatting sqref="Q84:Q91">
    <cfRule type="cellIs" dxfId="16937" priority="213" operator="lessThan">
      <formula>0</formula>
    </cfRule>
  </conditionalFormatting>
  <conditionalFormatting sqref="Q84:Q91">
    <cfRule type="cellIs" dxfId="16936" priority="207" operator="lessThan">
      <formula>0</formula>
    </cfRule>
  </conditionalFormatting>
  <conditionalFormatting sqref="R84:R91">
    <cfRule type="cellIs" dxfId="16935" priority="205" operator="lessThan">
      <formula>0.8</formula>
    </cfRule>
    <cfRule type="cellIs" dxfId="16934" priority="206" operator="greaterThan">
      <formula>1</formula>
    </cfRule>
  </conditionalFormatting>
  <conditionalFormatting sqref="R84:R91">
    <cfRule type="cellIs" dxfId="16933" priority="203" operator="greaterThan">
      <formula>1</formula>
    </cfRule>
    <cfRule type="cellIs" dxfId="16932" priority="204" operator="lessThan">
      <formula>0.8</formula>
    </cfRule>
  </conditionalFormatting>
  <conditionalFormatting sqref="P84:P91">
    <cfRule type="cellIs" dxfId="16931" priority="202" operator="greaterThan">
      <formula>0</formula>
    </cfRule>
  </conditionalFormatting>
  <conditionalFormatting sqref="P84:P91">
    <cfRule type="cellIs" dxfId="16930" priority="196" operator="greaterThan">
      <formula>0</formula>
    </cfRule>
  </conditionalFormatting>
  <conditionalFormatting sqref="Q84:Q91">
    <cfRule type="cellIs" dxfId="16929" priority="201" operator="lessThan">
      <formula>0</formula>
    </cfRule>
  </conditionalFormatting>
  <conditionalFormatting sqref="R84:R91">
    <cfRule type="cellIs" dxfId="16928" priority="199" operator="lessThan">
      <formula>0.8</formula>
    </cfRule>
    <cfRule type="cellIs" dxfId="16927" priority="200" operator="greaterThan">
      <formula>1</formula>
    </cfRule>
  </conditionalFormatting>
  <conditionalFormatting sqref="R84:R91">
    <cfRule type="cellIs" dxfId="16926" priority="197" operator="greaterThan">
      <formula>1</formula>
    </cfRule>
    <cfRule type="cellIs" dxfId="16925" priority="198" operator="lessThan">
      <formula>0.8</formula>
    </cfRule>
  </conditionalFormatting>
  <conditionalFormatting sqref="P84:P91">
    <cfRule type="cellIs" dxfId="16924" priority="190" operator="greaterThan">
      <formula>0</formula>
    </cfRule>
  </conditionalFormatting>
  <conditionalFormatting sqref="Q84:Q91">
    <cfRule type="cellIs" dxfId="16923" priority="195" operator="lessThan">
      <formula>0</formula>
    </cfRule>
  </conditionalFormatting>
  <conditionalFormatting sqref="R84:R91">
    <cfRule type="cellIs" dxfId="16922" priority="193" operator="lessThan">
      <formula>0.8</formula>
    </cfRule>
    <cfRule type="cellIs" dxfId="16921" priority="194" operator="greaterThan">
      <formula>1</formula>
    </cfRule>
  </conditionalFormatting>
  <conditionalFormatting sqref="R84:R91">
    <cfRule type="cellIs" dxfId="16920" priority="191" operator="greaterThan">
      <formula>1</formula>
    </cfRule>
    <cfRule type="cellIs" dxfId="16919" priority="192" operator="lessThan">
      <formula>0.8</formula>
    </cfRule>
  </conditionalFormatting>
  <conditionalFormatting sqref="R84:R91">
    <cfRule type="cellIs" dxfId="16918" priority="187" operator="lessThan">
      <formula>0.8</formula>
    </cfRule>
    <cfRule type="cellIs" dxfId="16917" priority="188" operator="greaterThan">
      <formula>1</formula>
    </cfRule>
  </conditionalFormatting>
  <conditionalFormatting sqref="R84:R91">
    <cfRule type="cellIs" dxfId="16916" priority="185" operator="greaterThan">
      <formula>1</formula>
    </cfRule>
    <cfRule type="cellIs" dxfId="16915" priority="186" operator="lessThan">
      <formula>0.8</formula>
    </cfRule>
  </conditionalFormatting>
  <conditionalFormatting sqref="P84:P91">
    <cfRule type="cellIs" dxfId="16914" priority="184" operator="greaterThan">
      <formula>0</formula>
    </cfRule>
  </conditionalFormatting>
  <conditionalFormatting sqref="Q84:Q91">
    <cfRule type="cellIs" dxfId="16913" priority="189" operator="lessThan">
      <formula>0</formula>
    </cfRule>
  </conditionalFormatting>
  <conditionalFormatting sqref="P84:P91">
    <cfRule type="cellIs" dxfId="16912" priority="178" operator="greaterThan">
      <formula>0</formula>
    </cfRule>
  </conditionalFormatting>
  <conditionalFormatting sqref="Q84:Q91">
    <cfRule type="cellIs" dxfId="16911" priority="183" operator="lessThan">
      <formula>0</formula>
    </cfRule>
  </conditionalFormatting>
  <conditionalFormatting sqref="R84:R91">
    <cfRule type="cellIs" dxfId="16910" priority="181" operator="lessThan">
      <formula>0.8</formula>
    </cfRule>
    <cfRule type="cellIs" dxfId="16909" priority="182" operator="greaterThan">
      <formula>1</formula>
    </cfRule>
  </conditionalFormatting>
  <conditionalFormatting sqref="R84:R91">
    <cfRule type="cellIs" dxfId="16908" priority="179" operator="greaterThan">
      <formula>1</formula>
    </cfRule>
    <cfRule type="cellIs" dxfId="16907" priority="180" operator="lessThan">
      <formula>0.8</formula>
    </cfRule>
  </conditionalFormatting>
  <conditionalFormatting sqref="R84:R91">
    <cfRule type="cellIs" dxfId="16906" priority="175" operator="lessThan">
      <formula>0.8</formula>
    </cfRule>
    <cfRule type="cellIs" dxfId="16905" priority="176" operator="greaterThan">
      <formula>1</formula>
    </cfRule>
  </conditionalFormatting>
  <conditionalFormatting sqref="R84:R91">
    <cfRule type="cellIs" dxfId="16904" priority="173" operator="greaterThan">
      <formula>1</formula>
    </cfRule>
    <cfRule type="cellIs" dxfId="16903" priority="174" operator="lessThan">
      <formula>0.8</formula>
    </cfRule>
  </conditionalFormatting>
  <conditionalFormatting sqref="P84:P91">
    <cfRule type="cellIs" dxfId="16902" priority="172" operator="greaterThan">
      <formula>0</formula>
    </cfRule>
  </conditionalFormatting>
  <conditionalFormatting sqref="Q84:Q91">
    <cfRule type="cellIs" dxfId="16901" priority="177" operator="lessThan">
      <formula>0</formula>
    </cfRule>
  </conditionalFormatting>
  <conditionalFormatting sqref="R84:R91">
    <cfRule type="cellIs" dxfId="16900" priority="169" operator="lessThan">
      <formula>0.8</formula>
    </cfRule>
    <cfRule type="cellIs" dxfId="16899" priority="170" operator="greaterThan">
      <formula>1</formula>
    </cfRule>
  </conditionalFormatting>
  <conditionalFormatting sqref="R84:R91">
    <cfRule type="cellIs" dxfId="16898" priority="167" operator="greaterThan">
      <formula>1</formula>
    </cfRule>
    <cfRule type="cellIs" dxfId="16897" priority="168" operator="lessThan">
      <formula>0.8</formula>
    </cfRule>
  </conditionalFormatting>
  <conditionalFormatting sqref="P84:P91">
    <cfRule type="cellIs" dxfId="16896" priority="166" operator="greaterThan">
      <formula>0</formula>
    </cfRule>
  </conditionalFormatting>
  <conditionalFormatting sqref="Q84:Q91">
    <cfRule type="cellIs" dxfId="16895" priority="171" operator="lessThan">
      <formula>0</formula>
    </cfRule>
  </conditionalFormatting>
  <conditionalFormatting sqref="Q84:Q91">
    <cfRule type="cellIs" dxfId="16894" priority="165" operator="lessThan">
      <formula>0</formula>
    </cfRule>
  </conditionalFormatting>
  <conditionalFormatting sqref="R84:R91">
    <cfRule type="cellIs" dxfId="16893" priority="163" operator="lessThan">
      <formula>0.8</formula>
    </cfRule>
    <cfRule type="cellIs" dxfId="16892" priority="164" operator="greaterThan">
      <formula>1</formula>
    </cfRule>
  </conditionalFormatting>
  <conditionalFormatting sqref="R84:R91">
    <cfRule type="cellIs" dxfId="16891" priority="161" operator="greaterThan">
      <formula>1</formula>
    </cfRule>
    <cfRule type="cellIs" dxfId="16890" priority="162" operator="lessThan">
      <formula>0.8</formula>
    </cfRule>
  </conditionalFormatting>
  <conditionalFormatting sqref="P84:P91">
    <cfRule type="cellIs" dxfId="16889" priority="160" operator="greaterThan">
      <formula>0</formula>
    </cfRule>
  </conditionalFormatting>
  <conditionalFormatting sqref="Q84:Q91">
    <cfRule type="cellIs" dxfId="16888" priority="154" operator="lessThan">
      <formula>0</formula>
    </cfRule>
  </conditionalFormatting>
  <conditionalFormatting sqref="R84:R91">
    <cfRule type="cellIs" dxfId="16887" priority="158" operator="lessThan">
      <formula>0.8</formula>
    </cfRule>
    <cfRule type="cellIs" dxfId="16886" priority="159" operator="greaterThan">
      <formula>1</formula>
    </cfRule>
  </conditionalFormatting>
  <conditionalFormatting sqref="R84:R91">
    <cfRule type="cellIs" dxfId="16885" priority="156" operator="greaterThan">
      <formula>1</formula>
    </cfRule>
    <cfRule type="cellIs" dxfId="16884" priority="157" operator="lessThan">
      <formula>0.8</formula>
    </cfRule>
  </conditionalFormatting>
  <conditionalFormatting sqref="P84:P91">
    <cfRule type="cellIs" dxfId="16883" priority="155" operator="greaterThan">
      <formula>0</formula>
    </cfRule>
  </conditionalFormatting>
  <conditionalFormatting sqref="Q84:Q91">
    <cfRule type="cellIs" dxfId="16882" priority="153" operator="lessThan">
      <formula>0</formula>
    </cfRule>
  </conditionalFormatting>
  <conditionalFormatting sqref="R84:R91">
    <cfRule type="cellIs" dxfId="16881" priority="151" operator="lessThan">
      <formula>0.8</formula>
    </cfRule>
    <cfRule type="cellIs" dxfId="16880" priority="152" operator="greaterThan">
      <formula>1</formula>
    </cfRule>
  </conditionalFormatting>
  <conditionalFormatting sqref="R84:R91">
    <cfRule type="cellIs" dxfId="16879" priority="149" operator="greaterThan">
      <formula>1</formula>
    </cfRule>
    <cfRule type="cellIs" dxfId="16878" priority="150" operator="lessThan">
      <formula>0.8</formula>
    </cfRule>
  </conditionalFormatting>
  <conditionalFormatting sqref="P84:P91">
    <cfRule type="cellIs" dxfId="16877" priority="148" operator="greaterThan">
      <formula>0</formula>
    </cfRule>
  </conditionalFormatting>
  <conditionalFormatting sqref="Q84:Q91">
    <cfRule type="cellIs" dxfId="16876" priority="147" operator="lessThan">
      <formula>0</formula>
    </cfRule>
  </conditionalFormatting>
  <conditionalFormatting sqref="R84:R91">
    <cfRule type="cellIs" dxfId="16875" priority="145" operator="lessThan">
      <formula>0.8</formula>
    </cfRule>
    <cfRule type="cellIs" dxfId="16874" priority="146" operator="greaterThan">
      <formula>1</formula>
    </cfRule>
  </conditionalFormatting>
  <conditionalFormatting sqref="R84:R91">
    <cfRule type="cellIs" dxfId="16873" priority="143" operator="greaterThan">
      <formula>1</formula>
    </cfRule>
    <cfRule type="cellIs" dxfId="16872" priority="144" operator="lessThan">
      <formula>0.8</formula>
    </cfRule>
  </conditionalFormatting>
  <conditionalFormatting sqref="P84:P91">
    <cfRule type="cellIs" dxfId="16871" priority="142" operator="greaterThan">
      <formula>0</formula>
    </cfRule>
  </conditionalFormatting>
  <conditionalFormatting sqref="Q84:Q91">
    <cfRule type="cellIs" dxfId="16870" priority="141" operator="lessThan">
      <formula>0</formula>
    </cfRule>
  </conditionalFormatting>
  <conditionalFormatting sqref="R84:R91">
    <cfRule type="cellIs" dxfId="16869" priority="139" operator="lessThan">
      <formula>0.8</formula>
    </cfRule>
    <cfRule type="cellIs" dxfId="16868" priority="140" operator="greaterThan">
      <formula>1</formula>
    </cfRule>
  </conditionalFormatting>
  <conditionalFormatting sqref="R84:R91">
    <cfRule type="cellIs" dxfId="16867" priority="137" operator="greaterThan">
      <formula>1</formula>
    </cfRule>
    <cfRule type="cellIs" dxfId="16866" priority="138" operator="lessThan">
      <formula>0.8</formula>
    </cfRule>
  </conditionalFormatting>
  <conditionalFormatting sqref="P84:P91">
    <cfRule type="cellIs" dxfId="16865" priority="136" operator="greaterThan">
      <formula>0</formula>
    </cfRule>
  </conditionalFormatting>
  <conditionalFormatting sqref="Q84:Q91">
    <cfRule type="cellIs" dxfId="16864" priority="135" operator="lessThan">
      <formula>0</formula>
    </cfRule>
  </conditionalFormatting>
  <conditionalFormatting sqref="R84:R91">
    <cfRule type="cellIs" dxfId="16863" priority="133" operator="lessThan">
      <formula>0.8</formula>
    </cfRule>
    <cfRule type="cellIs" dxfId="16862" priority="134" operator="greaterThan">
      <formula>1</formula>
    </cfRule>
  </conditionalFormatting>
  <conditionalFormatting sqref="R84:R91">
    <cfRule type="cellIs" dxfId="16861" priority="131" operator="greaterThan">
      <formula>1</formula>
    </cfRule>
    <cfRule type="cellIs" dxfId="16860" priority="132" operator="lessThan">
      <formula>0.8</formula>
    </cfRule>
  </conditionalFormatting>
  <conditionalFormatting sqref="P84:P91">
    <cfRule type="cellIs" dxfId="16859" priority="130" operator="greaterThan">
      <formula>0</formula>
    </cfRule>
  </conditionalFormatting>
  <conditionalFormatting sqref="Q84:Q91">
    <cfRule type="cellIs" dxfId="16858" priority="129" operator="lessThan">
      <formula>0</formula>
    </cfRule>
  </conditionalFormatting>
  <conditionalFormatting sqref="R84:R91">
    <cfRule type="cellIs" dxfId="16857" priority="127" operator="lessThan">
      <formula>0.8</formula>
    </cfRule>
    <cfRule type="cellIs" dxfId="16856" priority="128" operator="greaterThan">
      <formula>1</formula>
    </cfRule>
  </conditionalFormatting>
  <conditionalFormatting sqref="R84:R91">
    <cfRule type="cellIs" dxfId="16855" priority="125" operator="greaterThan">
      <formula>1</formula>
    </cfRule>
    <cfRule type="cellIs" dxfId="16854" priority="126" operator="lessThan">
      <formula>0.8</formula>
    </cfRule>
  </conditionalFormatting>
  <conditionalFormatting sqref="P84:P91">
    <cfRule type="cellIs" dxfId="16853" priority="124" operator="greaterThan">
      <formula>0</formula>
    </cfRule>
  </conditionalFormatting>
  <conditionalFormatting sqref="P84:P91">
    <cfRule type="cellIs" dxfId="16852" priority="118" operator="greaterThan">
      <formula>0</formula>
    </cfRule>
  </conditionalFormatting>
  <conditionalFormatting sqref="Q84:Q91">
    <cfRule type="cellIs" dxfId="16851" priority="123" operator="lessThan">
      <formula>0</formula>
    </cfRule>
  </conditionalFormatting>
  <conditionalFormatting sqref="R84:R91">
    <cfRule type="cellIs" dxfId="16850" priority="121" operator="lessThan">
      <formula>0.8</formula>
    </cfRule>
    <cfRule type="cellIs" dxfId="16849" priority="122" operator="greaterThan">
      <formula>1</formula>
    </cfRule>
  </conditionalFormatting>
  <conditionalFormatting sqref="R84:R91">
    <cfRule type="cellIs" dxfId="16848" priority="119" operator="greaterThan">
      <formula>1</formula>
    </cfRule>
    <cfRule type="cellIs" dxfId="16847" priority="120" operator="lessThan">
      <formula>0.8</formula>
    </cfRule>
  </conditionalFormatting>
  <conditionalFormatting sqref="P84:P91">
    <cfRule type="cellIs" dxfId="16846" priority="112" operator="greaterThan">
      <formula>0</formula>
    </cfRule>
  </conditionalFormatting>
  <conditionalFormatting sqref="Q84:Q91">
    <cfRule type="cellIs" dxfId="16845" priority="117" operator="lessThan">
      <formula>0</formula>
    </cfRule>
  </conditionalFormatting>
  <conditionalFormatting sqref="R84:R91">
    <cfRule type="cellIs" dxfId="16844" priority="115" operator="lessThan">
      <formula>0.8</formula>
    </cfRule>
    <cfRule type="cellIs" dxfId="16843" priority="116" operator="greaterThan">
      <formula>1</formula>
    </cfRule>
  </conditionalFormatting>
  <conditionalFormatting sqref="R84:R91">
    <cfRule type="cellIs" dxfId="16842" priority="113" operator="greaterThan">
      <formula>1</formula>
    </cfRule>
    <cfRule type="cellIs" dxfId="16841" priority="114" operator="lessThan">
      <formula>0.8</formula>
    </cfRule>
  </conditionalFormatting>
  <conditionalFormatting sqref="R84:R91">
    <cfRule type="cellIs" dxfId="16840" priority="109" operator="lessThan">
      <formula>0.8</formula>
    </cfRule>
    <cfRule type="cellIs" dxfId="16839" priority="110" operator="greaterThan">
      <formula>1</formula>
    </cfRule>
  </conditionalFormatting>
  <conditionalFormatting sqref="R84:R91">
    <cfRule type="cellIs" dxfId="16838" priority="107" operator="greaterThan">
      <formula>1</formula>
    </cfRule>
    <cfRule type="cellIs" dxfId="16837" priority="108" operator="lessThan">
      <formula>0.8</formula>
    </cfRule>
  </conditionalFormatting>
  <conditionalFormatting sqref="P84:P91">
    <cfRule type="cellIs" dxfId="16836" priority="106" operator="greaterThan">
      <formula>0</formula>
    </cfRule>
  </conditionalFormatting>
  <conditionalFormatting sqref="Q84:Q91">
    <cfRule type="cellIs" dxfId="16835" priority="111" operator="lessThan">
      <formula>0</formula>
    </cfRule>
  </conditionalFormatting>
  <conditionalFormatting sqref="Q84:Q91">
    <cfRule type="cellIs" dxfId="16834" priority="100" operator="lessThan">
      <formula>0</formula>
    </cfRule>
  </conditionalFormatting>
  <conditionalFormatting sqref="P84:P91">
    <cfRule type="cellIs" dxfId="16833" priority="101" operator="greaterThan">
      <formula>0</formula>
    </cfRule>
  </conditionalFormatting>
  <conditionalFormatting sqref="R84:R91">
    <cfRule type="cellIs" dxfId="16832" priority="104" operator="lessThan">
      <formula>0.8</formula>
    </cfRule>
    <cfRule type="cellIs" dxfId="16831" priority="105" operator="greaterThan">
      <formula>1</formula>
    </cfRule>
  </conditionalFormatting>
  <conditionalFormatting sqref="R84:R91">
    <cfRule type="cellIs" dxfId="16830" priority="102" operator="greaterThan">
      <formula>1</formula>
    </cfRule>
    <cfRule type="cellIs" dxfId="16829" priority="103" operator="lessThan">
      <formula>0.8</formula>
    </cfRule>
  </conditionalFormatting>
  <conditionalFormatting sqref="Q84:Q91">
    <cfRule type="cellIs" dxfId="16828" priority="94" operator="lessThan">
      <formula>0</formula>
    </cfRule>
  </conditionalFormatting>
  <conditionalFormatting sqref="R84:R91">
    <cfRule type="cellIs" dxfId="16827" priority="98" operator="lessThan">
      <formula>0.8</formula>
    </cfRule>
    <cfRule type="cellIs" dxfId="16826" priority="99" operator="greaterThan">
      <formula>1</formula>
    </cfRule>
  </conditionalFormatting>
  <conditionalFormatting sqref="R84:R91">
    <cfRule type="cellIs" dxfId="16825" priority="96" operator="greaterThan">
      <formula>1</formula>
    </cfRule>
    <cfRule type="cellIs" dxfId="16824" priority="97" operator="lessThan">
      <formula>0.8</formula>
    </cfRule>
  </conditionalFormatting>
  <conditionalFormatting sqref="P84:P91">
    <cfRule type="cellIs" dxfId="16823" priority="95" operator="greaterThan">
      <formula>0</formula>
    </cfRule>
  </conditionalFormatting>
  <conditionalFormatting sqref="Q84:Q91">
    <cfRule type="cellIs" dxfId="16822" priority="93" operator="lessThan">
      <formula>0</formula>
    </cfRule>
  </conditionalFormatting>
  <conditionalFormatting sqref="R84:R91">
    <cfRule type="cellIs" dxfId="16821" priority="91" operator="lessThan">
      <formula>0.8</formula>
    </cfRule>
    <cfRule type="cellIs" dxfId="16820" priority="92" operator="greaterThan">
      <formula>1</formula>
    </cfRule>
  </conditionalFormatting>
  <conditionalFormatting sqref="R84:R91">
    <cfRule type="cellIs" dxfId="16819" priority="89" operator="greaterThan">
      <formula>1</formula>
    </cfRule>
    <cfRule type="cellIs" dxfId="16818" priority="90" operator="lessThan">
      <formula>0.8</formula>
    </cfRule>
  </conditionalFormatting>
  <conditionalFormatting sqref="P84:P91">
    <cfRule type="cellIs" dxfId="16817" priority="88" operator="greaterThan">
      <formula>0</formula>
    </cfRule>
  </conditionalFormatting>
  <conditionalFormatting sqref="Q84:Q91">
    <cfRule type="cellIs" dxfId="16816" priority="87" operator="lessThan">
      <formula>0</formula>
    </cfRule>
  </conditionalFormatting>
  <conditionalFormatting sqref="R84:R91">
    <cfRule type="cellIs" dxfId="16815" priority="85" operator="lessThan">
      <formula>0.8</formula>
    </cfRule>
    <cfRule type="cellIs" dxfId="16814" priority="86" operator="greaterThan">
      <formula>1</formula>
    </cfRule>
  </conditionalFormatting>
  <conditionalFormatting sqref="R84:R91">
    <cfRule type="cellIs" dxfId="16813" priority="83" operator="greaterThan">
      <formula>1</formula>
    </cfRule>
    <cfRule type="cellIs" dxfId="16812" priority="84" operator="lessThan">
      <formula>0.8</formula>
    </cfRule>
  </conditionalFormatting>
  <conditionalFormatting sqref="P84:P91">
    <cfRule type="cellIs" dxfId="16811" priority="82" operator="greaterThan">
      <formula>0</formula>
    </cfRule>
  </conditionalFormatting>
  <conditionalFormatting sqref="Q84:Q91">
    <cfRule type="cellIs" dxfId="16810" priority="81" operator="lessThan">
      <formula>0</formula>
    </cfRule>
  </conditionalFormatting>
  <conditionalFormatting sqref="R84:R91">
    <cfRule type="cellIs" dxfId="16809" priority="79" operator="lessThan">
      <formula>0.8</formula>
    </cfRule>
    <cfRule type="cellIs" dxfId="16808" priority="80" operator="greaterThan">
      <formula>1</formula>
    </cfRule>
  </conditionalFormatting>
  <conditionalFormatting sqref="R84:R91">
    <cfRule type="cellIs" dxfId="16807" priority="77" operator="greaterThan">
      <formula>1</formula>
    </cfRule>
    <cfRule type="cellIs" dxfId="16806" priority="78" operator="lessThan">
      <formula>0.8</formula>
    </cfRule>
  </conditionalFormatting>
  <conditionalFormatting sqref="P84:P91">
    <cfRule type="cellIs" dxfId="16805" priority="76" operator="greaterThan">
      <formula>0</formula>
    </cfRule>
  </conditionalFormatting>
  <conditionalFormatting sqref="Q162:Q166">
    <cfRule type="cellIs" dxfId="16804" priority="75" operator="lessThan">
      <formula>0</formula>
    </cfRule>
  </conditionalFormatting>
  <conditionalFormatting sqref="R162:R166">
    <cfRule type="cellIs" dxfId="16803" priority="73" operator="lessThan">
      <formula>0.8</formula>
    </cfRule>
    <cfRule type="cellIs" dxfId="16802" priority="74" operator="greaterThan">
      <formula>1</formula>
    </cfRule>
  </conditionalFormatting>
  <conditionalFormatting sqref="R162:R166">
    <cfRule type="cellIs" dxfId="16801" priority="71" operator="greaterThan">
      <formula>1</formula>
    </cfRule>
    <cfRule type="cellIs" dxfId="16800" priority="72" operator="lessThan">
      <formula>0.8</formula>
    </cfRule>
  </conditionalFormatting>
  <conditionalFormatting sqref="P162:P166">
    <cfRule type="cellIs" dxfId="16799" priority="70" operator="greaterThan">
      <formula>0</formula>
    </cfRule>
  </conditionalFormatting>
  <conditionalFormatting sqref="P167:P168">
    <cfRule type="cellIs" dxfId="16798" priority="64" operator="greaterThan">
      <formula>0</formula>
    </cfRule>
  </conditionalFormatting>
  <conditionalFormatting sqref="R167:R168">
    <cfRule type="cellIs" dxfId="16797" priority="67" operator="lessThan">
      <formula>0.8</formula>
    </cfRule>
    <cfRule type="cellIs" dxfId="16796" priority="68" operator="greaterThan">
      <formula>1</formula>
    </cfRule>
  </conditionalFormatting>
  <conditionalFormatting sqref="R167:R168">
    <cfRule type="cellIs" dxfId="16795" priority="65" operator="greaterThan">
      <formula>1</formula>
    </cfRule>
    <cfRule type="cellIs" dxfId="16794" priority="66" operator="lessThan">
      <formula>0.8</formula>
    </cfRule>
  </conditionalFormatting>
  <conditionalFormatting sqref="Q167:Q168">
    <cfRule type="cellIs" dxfId="16793" priority="69" operator="lessThan">
      <formula>0</formula>
    </cfRule>
  </conditionalFormatting>
  <conditionalFormatting sqref="Q161">
    <cfRule type="cellIs" dxfId="16792" priority="63" operator="lessThan">
      <formula>0</formula>
    </cfRule>
  </conditionalFormatting>
  <conditionalFormatting sqref="R161">
    <cfRule type="cellIs" dxfId="16791" priority="61" operator="lessThan">
      <formula>0.8</formula>
    </cfRule>
    <cfRule type="cellIs" dxfId="16790" priority="62" operator="greaterThan">
      <formula>1</formula>
    </cfRule>
  </conditionalFormatting>
  <conditionalFormatting sqref="R161">
    <cfRule type="cellIs" dxfId="16789" priority="59" operator="greaterThan">
      <formula>1</formula>
    </cfRule>
    <cfRule type="cellIs" dxfId="16788" priority="60" operator="lessThan">
      <formula>0.8</formula>
    </cfRule>
  </conditionalFormatting>
  <conditionalFormatting sqref="P161">
    <cfRule type="cellIs" dxfId="16787" priority="58" operator="greaterThan">
      <formula>0</formula>
    </cfRule>
  </conditionalFormatting>
  <conditionalFormatting sqref="Q162:Q166">
    <cfRule type="cellIs" dxfId="16786" priority="57" operator="lessThan">
      <formula>0</formula>
    </cfRule>
  </conditionalFormatting>
  <conditionalFormatting sqref="R162:R166">
    <cfRule type="cellIs" dxfId="16785" priority="55" operator="lessThan">
      <formula>0.8</formula>
    </cfRule>
    <cfRule type="cellIs" dxfId="16784" priority="56" operator="greaterThan">
      <formula>1</formula>
    </cfRule>
  </conditionalFormatting>
  <conditionalFormatting sqref="R162:R166">
    <cfRule type="cellIs" dxfId="16783" priority="53" operator="greaterThan">
      <formula>1</formula>
    </cfRule>
    <cfRule type="cellIs" dxfId="16782" priority="54" operator="lessThan">
      <formula>0.8</formula>
    </cfRule>
  </conditionalFormatting>
  <conditionalFormatting sqref="P162:P166">
    <cfRule type="cellIs" dxfId="16781" priority="52" operator="greaterThan">
      <formula>0</formula>
    </cfRule>
  </conditionalFormatting>
  <conditionalFormatting sqref="Q162:Q166">
    <cfRule type="cellIs" dxfId="16780" priority="51" operator="lessThan">
      <formula>0</formula>
    </cfRule>
  </conditionalFormatting>
  <conditionalFormatting sqref="R162:R166">
    <cfRule type="cellIs" dxfId="16779" priority="49" operator="lessThan">
      <formula>0.8</formula>
    </cfRule>
    <cfRule type="cellIs" dxfId="16778" priority="50" operator="greaterThan">
      <formula>1</formula>
    </cfRule>
  </conditionalFormatting>
  <conditionalFormatting sqref="R162:R166">
    <cfRule type="cellIs" dxfId="16777" priority="47" operator="greaterThan">
      <formula>1</formula>
    </cfRule>
    <cfRule type="cellIs" dxfId="16776" priority="48" operator="lessThan">
      <formula>0.8</formula>
    </cfRule>
  </conditionalFormatting>
  <conditionalFormatting sqref="P162:P166">
    <cfRule type="cellIs" dxfId="16775" priority="46" operator="greaterThan">
      <formula>0</formula>
    </cfRule>
  </conditionalFormatting>
  <conditionalFormatting sqref="Q167:Q168">
    <cfRule type="cellIs" dxfId="16774" priority="45" operator="lessThan">
      <formula>0</formula>
    </cfRule>
  </conditionalFormatting>
  <conditionalFormatting sqref="R167:R168">
    <cfRule type="cellIs" dxfId="16773" priority="43" operator="lessThan">
      <formula>0.8</formula>
    </cfRule>
    <cfRule type="cellIs" dxfId="16772" priority="44" operator="greaterThan">
      <formula>1</formula>
    </cfRule>
  </conditionalFormatting>
  <conditionalFormatting sqref="R167:R168">
    <cfRule type="cellIs" dxfId="16771" priority="41" operator="greaterThan">
      <formula>1</formula>
    </cfRule>
    <cfRule type="cellIs" dxfId="16770" priority="42" operator="lessThan">
      <formula>0.8</formula>
    </cfRule>
  </conditionalFormatting>
  <conditionalFormatting sqref="P167:P168">
    <cfRule type="cellIs" dxfId="16769" priority="40" operator="greaterThan">
      <formula>0</formula>
    </cfRule>
  </conditionalFormatting>
  <conditionalFormatting sqref="Q161">
    <cfRule type="cellIs" dxfId="16768" priority="39" operator="lessThan">
      <formula>0</formula>
    </cfRule>
  </conditionalFormatting>
  <conditionalFormatting sqref="R161">
    <cfRule type="cellIs" dxfId="16767" priority="37" operator="lessThan">
      <formula>0.8</formula>
    </cfRule>
    <cfRule type="cellIs" dxfId="16766" priority="38" operator="greaterThan">
      <formula>1</formula>
    </cfRule>
  </conditionalFormatting>
  <conditionalFormatting sqref="R161">
    <cfRule type="cellIs" dxfId="16765" priority="35" operator="greaterThan">
      <formula>1</formula>
    </cfRule>
    <cfRule type="cellIs" dxfId="16764" priority="36" operator="lessThan">
      <formula>0.8</formula>
    </cfRule>
  </conditionalFormatting>
  <conditionalFormatting sqref="P161">
    <cfRule type="cellIs" dxfId="16763" priority="34" operator="greaterThan">
      <formula>0</formula>
    </cfRule>
  </conditionalFormatting>
  <conditionalFormatting sqref="Q162:Q166">
    <cfRule type="cellIs" dxfId="16762" priority="33" operator="lessThan">
      <formula>0</formula>
    </cfRule>
  </conditionalFormatting>
  <conditionalFormatting sqref="R162:R166">
    <cfRule type="cellIs" dxfId="16761" priority="31" operator="lessThan">
      <formula>0.8</formula>
    </cfRule>
    <cfRule type="cellIs" dxfId="16760" priority="32" operator="greaterThan">
      <formula>1</formula>
    </cfRule>
  </conditionalFormatting>
  <conditionalFormatting sqref="R162:R166">
    <cfRule type="cellIs" dxfId="16759" priority="29" operator="greaterThan">
      <formula>1</formula>
    </cfRule>
    <cfRule type="cellIs" dxfId="16758" priority="30" operator="lessThan">
      <formula>0.8</formula>
    </cfRule>
  </conditionalFormatting>
  <conditionalFormatting sqref="P162:P166">
    <cfRule type="cellIs" dxfId="16757" priority="28" operator="greaterThan">
      <formula>0</formula>
    </cfRule>
  </conditionalFormatting>
  <conditionalFormatting sqref="Q161">
    <cfRule type="cellIs" dxfId="16756" priority="27" operator="lessThan">
      <formula>0</formula>
    </cfRule>
  </conditionalFormatting>
  <conditionalFormatting sqref="R161">
    <cfRule type="cellIs" dxfId="16755" priority="25" operator="lessThan">
      <formula>0.8</formula>
    </cfRule>
    <cfRule type="cellIs" dxfId="16754" priority="26" operator="greaterThan">
      <formula>1</formula>
    </cfRule>
  </conditionalFormatting>
  <conditionalFormatting sqref="R161">
    <cfRule type="cellIs" dxfId="16753" priority="23" operator="greaterThan">
      <formula>1</formula>
    </cfRule>
    <cfRule type="cellIs" dxfId="16752" priority="24" operator="lessThan">
      <formula>0.8</formula>
    </cfRule>
  </conditionalFormatting>
  <conditionalFormatting sqref="P161">
    <cfRule type="cellIs" dxfId="16751" priority="22" operator="greaterThan">
      <formula>0</formula>
    </cfRule>
  </conditionalFormatting>
  <conditionalFormatting sqref="Q162:Q166">
    <cfRule type="cellIs" dxfId="16750" priority="21" operator="lessThan">
      <formula>0</formula>
    </cfRule>
  </conditionalFormatting>
  <conditionalFormatting sqref="R162:R166">
    <cfRule type="cellIs" dxfId="16749" priority="19" operator="lessThan">
      <formula>0.8</formula>
    </cfRule>
    <cfRule type="cellIs" dxfId="16748" priority="20" operator="greaterThan">
      <formula>1</formula>
    </cfRule>
  </conditionalFormatting>
  <conditionalFormatting sqref="R162:R166">
    <cfRule type="cellIs" dxfId="16747" priority="17" operator="greaterThan">
      <formula>1</formula>
    </cfRule>
    <cfRule type="cellIs" dxfId="16746" priority="18" operator="lessThan">
      <formula>0.8</formula>
    </cfRule>
  </conditionalFormatting>
  <conditionalFormatting sqref="P162:P166">
    <cfRule type="cellIs" dxfId="16745" priority="16" operator="greaterThan">
      <formula>0</formula>
    </cfRule>
  </conditionalFormatting>
  <conditionalFormatting sqref="Q161">
    <cfRule type="cellIs" dxfId="16744" priority="15" operator="lessThan">
      <formula>0</formula>
    </cfRule>
  </conditionalFormatting>
  <conditionalFormatting sqref="R161">
    <cfRule type="cellIs" dxfId="16743" priority="13" operator="lessThan">
      <formula>0.8</formula>
    </cfRule>
    <cfRule type="cellIs" dxfId="16742" priority="14" operator="greaterThan">
      <formula>1</formula>
    </cfRule>
  </conditionalFormatting>
  <conditionalFormatting sqref="R161">
    <cfRule type="cellIs" dxfId="16741" priority="11" operator="greaterThan">
      <formula>1</formula>
    </cfRule>
    <cfRule type="cellIs" dxfId="16740" priority="12" operator="lessThan">
      <formula>0.8</formula>
    </cfRule>
  </conditionalFormatting>
  <conditionalFormatting sqref="P161">
    <cfRule type="cellIs" dxfId="16739" priority="10" operator="greaterThan">
      <formula>0</formula>
    </cfRule>
  </conditionalFormatting>
  <conditionalFormatting sqref="P167:P168">
    <cfRule type="cellIs" dxfId="16738" priority="4" operator="greaterThan">
      <formula>0</formula>
    </cfRule>
  </conditionalFormatting>
  <conditionalFormatting sqref="R167:R168">
    <cfRule type="cellIs" dxfId="16737" priority="7" operator="lessThan">
      <formula>0.8</formula>
    </cfRule>
    <cfRule type="cellIs" dxfId="16736" priority="8" operator="greaterThan">
      <formula>1</formula>
    </cfRule>
  </conditionalFormatting>
  <conditionalFormatting sqref="R167:R168">
    <cfRule type="cellIs" dxfId="16735" priority="5" operator="greaterThan">
      <formula>1</formula>
    </cfRule>
    <cfRule type="cellIs" dxfId="16734" priority="6" operator="lessThan">
      <formula>0.8</formula>
    </cfRule>
  </conditionalFormatting>
  <conditionalFormatting sqref="Q167:Q168">
    <cfRule type="cellIs" dxfId="16733" priority="9" operator="lessThan">
      <formula>0</formula>
    </cfRule>
  </conditionalFormatting>
  <conditionalFormatting sqref="AF30">
    <cfRule type="cellIs" dxfId="16732" priority="3" operator="lessThan">
      <formula>0</formula>
    </cfRule>
  </conditionalFormatting>
  <conditionalFormatting sqref="AG30">
    <cfRule type="cellIs" dxfId="16731" priority="1" operator="greaterThan">
      <formula>1</formula>
    </cfRule>
    <cfRule type="cellIs" dxfId="1673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252</v>
      </c>
      <c r="E3" s="501"/>
      <c r="F3" s="491" t="s">
        <v>2</v>
      </c>
      <c r="G3" s="492"/>
      <c r="H3" s="502">
        <v>219457.80000000002</v>
      </c>
      <c r="I3" s="503"/>
      <c r="J3" s="491" t="s">
        <v>3</v>
      </c>
      <c r="K3" s="492"/>
      <c r="L3" s="504">
        <v>7056112.1914243223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13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378.41237776798681</v>
      </c>
      <c r="G6" s="494"/>
      <c r="H6" s="469">
        <f>AVERAGE(D13:P13,Q13)</f>
        <v>137.86230792112212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v>0</v>
      </c>
      <c r="O6" s="458">
        <v>0</v>
      </c>
      <c r="P6" s="474">
        <v>1</v>
      </c>
      <c r="Q6" s="458">
        <v>0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357.43895993814249</v>
      </c>
      <c r="G7" s="462"/>
      <c r="H7" s="463">
        <f>AVERAGE(D14:P14,Q14)</f>
        <v>122.57857912074908</v>
      </c>
      <c r="I7" s="464"/>
      <c r="J7" s="463">
        <f>AVERAGE(D31:H31)</f>
        <v>745.29642830503906</v>
      </c>
      <c r="K7" s="464"/>
      <c r="L7" s="465">
        <f>AVERAGE(J31:M31)</f>
        <v>821.82474897903865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0.90516521426766294</v>
      </c>
      <c r="G8" s="468"/>
      <c r="H8" s="467">
        <f>AVERAGE(D15:O15,P15:Q15)</f>
        <v>0.88441194678877488</v>
      </c>
      <c r="I8" s="468"/>
      <c r="J8" s="467">
        <f>AVERAGE(D32:H32)</f>
        <v>0.96942046831261597</v>
      </c>
      <c r="K8" s="468"/>
      <c r="L8" s="467">
        <f>AVERAGE(J32:M32)</f>
        <v>0.93434020930330886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130.53281351526965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92.599128540305003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123.97829464232973</v>
      </c>
      <c r="E14" s="15">
        <v>89.953752890666507</v>
      </c>
      <c r="F14" s="15">
        <v>115.8682701590201</v>
      </c>
      <c r="G14" s="15">
        <v>317.08008488975531</v>
      </c>
      <c r="H14" s="15">
        <v>210.11765906362544</v>
      </c>
      <c r="I14" s="15">
        <v>80.168760110455906</v>
      </c>
      <c r="J14" s="15">
        <v>62.862716255320322</v>
      </c>
      <c r="K14" s="15">
        <v>96.99462382570006</v>
      </c>
      <c r="L14" s="15">
        <v>74.158531336278571</v>
      </c>
      <c r="M14" s="15">
        <v>70.535632197986999</v>
      </c>
      <c r="N14" s="15">
        <v>75.80967114442582</v>
      </c>
      <c r="O14" s="15">
        <v>72.972307104659976</v>
      </c>
      <c r="P14" s="15">
        <v>189.890189371236</v>
      </c>
      <c r="Q14" s="16">
        <v>135.70961469902645</v>
      </c>
    </row>
    <row r="15" spans="2:17" ht="39.9" customHeight="1">
      <c r="B15" s="446"/>
      <c r="C15" s="10" t="s">
        <v>44</v>
      </c>
      <c r="D15" s="17">
        <f t="shared" ref="D15:P15" si="0">D14/D13</f>
        <v>0.94978642766959753</v>
      </c>
      <c r="E15" s="17">
        <f t="shared" si="0"/>
        <v>0.89761030677740772</v>
      </c>
      <c r="F15" s="17">
        <f t="shared" si="0"/>
        <v>0.88255744852604168</v>
      </c>
      <c r="G15" s="17">
        <f t="shared" si="0"/>
        <v>0.86046156008074715</v>
      </c>
      <c r="H15" s="17">
        <f t="shared" si="0"/>
        <v>0.91926475840336119</v>
      </c>
      <c r="I15" s="17">
        <f t="shared" si="0"/>
        <v>0.86576149661669211</v>
      </c>
      <c r="J15" s="17">
        <f t="shared" si="0"/>
        <v>0.82807864416096244</v>
      </c>
      <c r="K15" s="17">
        <f t="shared" si="0"/>
        <v>0.85475749070067186</v>
      </c>
      <c r="L15" s="17">
        <f t="shared" si="0"/>
        <v>0.86966968251691878</v>
      </c>
      <c r="M15" s="17">
        <f t="shared" si="0"/>
        <v>0.86713927769646892</v>
      </c>
      <c r="N15" s="17">
        <f t="shared" si="0"/>
        <v>0.90512676878074261</v>
      </c>
      <c r="O15" s="17">
        <f t="shared" si="0"/>
        <v>0.83124787683742007</v>
      </c>
      <c r="P15" s="17">
        <f t="shared" si="0"/>
        <v>0.94557475161564097</v>
      </c>
      <c r="Q15" s="18">
        <f>Q14/Q13</f>
        <v>0.90473076466017632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0.73055555555555562</v>
      </c>
      <c r="E17" s="19">
        <v>0.54513888888888884</v>
      </c>
      <c r="F17" s="19">
        <v>0.57847222222222217</v>
      </c>
      <c r="G17" s="19">
        <v>0.65555555555555556</v>
      </c>
      <c r="H17" s="19">
        <v>0.63472222222222219</v>
      </c>
      <c r="I17" s="19">
        <v>0.72638888888888897</v>
      </c>
      <c r="J17" s="19">
        <v>0.78194444444444444</v>
      </c>
      <c r="K17" s="19">
        <v>0.76458333333333339</v>
      </c>
      <c r="L17" s="19">
        <v>0.87430555555555545</v>
      </c>
      <c r="M17" s="19">
        <v>0.90555555555555556</v>
      </c>
      <c r="N17" s="19">
        <v>0.94097222222222232</v>
      </c>
      <c r="O17" s="19">
        <v>0.80972222222222223</v>
      </c>
      <c r="P17" s="19">
        <v>0.57986111111111105</v>
      </c>
      <c r="Q17" s="20">
        <v>0.63194444444444442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 t="s">
        <v>49</v>
      </c>
      <c r="E20" s="21" t="s">
        <v>49</v>
      </c>
      <c r="F20" s="21">
        <v>1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451"/>
      <c r="C21" s="45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428" t="s">
        <v>51</v>
      </c>
      <c r="C22" s="429"/>
      <c r="D22" s="23">
        <v>19.333333333333332</v>
      </c>
      <c r="E22" s="23">
        <v>17</v>
      </c>
      <c r="F22" s="23">
        <v>15.875</v>
      </c>
      <c r="G22" s="23">
        <v>5.75</v>
      </c>
      <c r="H22" s="23">
        <v>7</v>
      </c>
      <c r="I22" s="23">
        <v>16.166666666666668</v>
      </c>
      <c r="J22" s="23">
        <v>19.285714285714285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11.2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270.41904761904755</v>
      </c>
      <c r="E31" s="15">
        <v>681.61319612590842</v>
      </c>
      <c r="F31" s="15">
        <v>921.91666666666663</v>
      </c>
      <c r="G31" s="15">
        <v>866.22412649270291</v>
      </c>
      <c r="H31" s="41">
        <v>986.3091046208699</v>
      </c>
      <c r="I31" s="42">
        <v>0</v>
      </c>
      <c r="J31" s="15">
        <v>839.5833333333303</v>
      </c>
      <c r="K31" s="15">
        <v>642.29953703703802</v>
      </c>
      <c r="L31" s="15">
        <v>909.65541126007133</v>
      </c>
      <c r="M31" s="16">
        <v>895.7607142857147</v>
      </c>
    </row>
    <row r="32" spans="2:17" ht="39.9" customHeight="1">
      <c r="B32" s="446"/>
      <c r="C32" s="43" t="s">
        <v>44</v>
      </c>
      <c r="D32" s="17">
        <f t="shared" ref="D32:M32" si="1">D31/D30</f>
        <v>0.84505952380952354</v>
      </c>
      <c r="E32" s="17">
        <f t="shared" si="1"/>
        <v>0.82619781348594956</v>
      </c>
      <c r="F32" s="17">
        <f t="shared" si="1"/>
        <v>1.1174747474747475</v>
      </c>
      <c r="G32" s="17">
        <f t="shared" si="1"/>
        <v>0.96247125165855874</v>
      </c>
      <c r="H32" s="44">
        <f t="shared" si="1"/>
        <v>1.0958990051342998</v>
      </c>
      <c r="I32" s="45">
        <f t="shared" si="1"/>
        <v>0</v>
      </c>
      <c r="J32" s="17">
        <f t="shared" si="1"/>
        <v>1.017676767676764</v>
      </c>
      <c r="K32" s="17">
        <f t="shared" si="1"/>
        <v>0.7136661522633756</v>
      </c>
      <c r="L32" s="17">
        <f t="shared" si="1"/>
        <v>1.0107282347334126</v>
      </c>
      <c r="M32" s="18">
        <f t="shared" si="1"/>
        <v>0.99528968253968297</v>
      </c>
    </row>
    <row r="33" spans="2:13" ht="25.8" customHeight="1">
      <c r="B33" s="44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3138.9473684210575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0.23541666666666669</v>
      </c>
      <c r="E34" s="19">
        <v>0.33333333333333331</v>
      </c>
      <c r="F34" s="19">
        <v>0.24166666666666667</v>
      </c>
      <c r="G34" s="19">
        <v>1070.5882352941182</v>
      </c>
      <c r="H34" s="46">
        <v>0.42569444444444443</v>
      </c>
      <c r="I34" s="47">
        <v>0</v>
      </c>
      <c r="J34" s="19">
        <v>0.82638888888888884</v>
      </c>
      <c r="K34" s="19">
        <v>0.85416666666666663</v>
      </c>
      <c r="L34" s="19">
        <v>46087.072916666664</v>
      </c>
      <c r="M34" s="20">
        <v>0.90972222222222221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51" priority="6" operator="lessThan">
      <formula>0.8</formula>
    </cfRule>
  </conditionalFormatting>
  <conditionalFormatting sqref="M32">
    <cfRule type="cellIs" dxfId="23450" priority="5" operator="lessThan">
      <formula>0.8</formula>
    </cfRule>
  </conditionalFormatting>
  <conditionalFormatting sqref="K32">
    <cfRule type="cellIs" dxfId="23449" priority="4" operator="lessThan">
      <formula>0.8</formula>
    </cfRule>
  </conditionalFormatting>
  <conditionalFormatting sqref="E32">
    <cfRule type="cellIs" dxfId="23448" priority="3" operator="lessThan">
      <formula>0.8</formula>
    </cfRule>
  </conditionalFormatting>
  <conditionalFormatting sqref="D15:P15">
    <cfRule type="cellIs" dxfId="23447" priority="2" operator="lessThan">
      <formula>0.8</formula>
    </cfRule>
  </conditionalFormatting>
  <conditionalFormatting sqref="Q15">
    <cfRule type="cellIs" dxfId="23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79881</v>
      </c>
      <c r="F1" s="340" t="s">
        <v>3</v>
      </c>
      <c r="G1" s="341">
        <f>SUM(H5:H124)</f>
        <v>1533631.0103968254</v>
      </c>
      <c r="H1" s="342" t="s">
        <v>390</v>
      </c>
      <c r="I1" s="343">
        <f>+J16+J64+J24+J38+J51+J81+J100+J91+J57+J124+J111</f>
        <v>41.68333333333333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403</v>
      </c>
      <c r="B2" s="561"/>
      <c r="C2" s="345"/>
      <c r="D2" s="346" t="s">
        <v>278</v>
      </c>
      <c r="E2" s="347">
        <f>AVERAGE(L16,L24,L38,L51,L100,L111,L91)</f>
        <v>628.74240096301276</v>
      </c>
      <c r="F2" s="348" t="s">
        <v>80</v>
      </c>
      <c r="G2" s="349">
        <f>G1/E1</f>
        <v>19.198946062227883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1541</v>
      </c>
      <c r="H5" s="358">
        <f>F5*G5</f>
        <v>46176.825396825392</v>
      </c>
      <c r="I5" s="359"/>
      <c r="J5" s="360">
        <v>13</v>
      </c>
      <c r="K5" s="361">
        <f t="shared" ref="K5:K12" si="0">G5/P5*60</f>
        <v>1232.8000000000004</v>
      </c>
      <c r="L5" s="362">
        <f t="shared" ref="L5:L12" si="1">K5/J5</f>
        <v>94.830769230769263</v>
      </c>
      <c r="M5" s="363">
        <v>0.17361111111111113</v>
      </c>
      <c r="N5" s="363">
        <v>0.22569444444444445</v>
      </c>
      <c r="O5" s="354">
        <v>10</v>
      </c>
      <c r="P5" s="364">
        <f t="shared" ref="P5:P14" si="2">(N5-M5)*24*60</f>
        <v>74.999999999999972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1356</v>
      </c>
      <c r="H6" s="358">
        <f t="shared" ref="H6:H113" si="3">F6*G6</f>
        <v>0</v>
      </c>
      <c r="I6" s="359"/>
      <c r="J6" s="360">
        <v>9</v>
      </c>
      <c r="K6" s="361">
        <f t="shared" si="0"/>
        <v>1479.2727272727273</v>
      </c>
      <c r="L6" s="362">
        <f t="shared" si="1"/>
        <v>164.36363636363637</v>
      </c>
      <c r="M6" s="363">
        <v>0.22916666666666666</v>
      </c>
      <c r="N6" s="363">
        <v>0.2673611111111111</v>
      </c>
      <c r="O6" s="354">
        <v>5</v>
      </c>
      <c r="P6" s="364">
        <f t="shared" si="2"/>
        <v>55.000000000000007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1445</v>
      </c>
      <c r="H7" s="358">
        <f t="shared" si="3"/>
        <v>0</v>
      </c>
      <c r="I7" s="359"/>
      <c r="J7" s="360">
        <v>9</v>
      </c>
      <c r="K7" s="361">
        <f t="shared" si="0"/>
        <v>1576.3636363636351</v>
      </c>
      <c r="L7" s="362">
        <f t="shared" si="1"/>
        <v>175.15151515151501</v>
      </c>
      <c r="M7" s="363">
        <v>0.27083333333333331</v>
      </c>
      <c r="N7" s="363">
        <v>0.30902777777777779</v>
      </c>
      <c r="O7" s="354">
        <v>5</v>
      </c>
      <c r="P7" s="364">
        <f t="shared" si="2"/>
        <v>55.000000000000043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2077</v>
      </c>
      <c r="H8" s="358">
        <f t="shared" si="3"/>
        <v>75706.650000000009</v>
      </c>
      <c r="I8" s="359"/>
      <c r="J8" s="360">
        <v>10</v>
      </c>
      <c r="K8" s="361">
        <f t="shared" si="0"/>
        <v>1466.1176470588246</v>
      </c>
      <c r="L8" s="362">
        <f t="shared" si="1"/>
        <v>146.61176470588245</v>
      </c>
      <c r="M8" s="363">
        <v>0.3125</v>
      </c>
      <c r="N8" s="363">
        <v>0.37152777777777773</v>
      </c>
      <c r="O8" s="354">
        <v>5</v>
      </c>
      <c r="P8" s="364">
        <f t="shared" si="2"/>
        <v>84.999999999999943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500</v>
      </c>
      <c r="H9" s="358">
        <f t="shared" si="3"/>
        <v>13525</v>
      </c>
      <c r="I9" s="359"/>
      <c r="J9" s="360">
        <v>13</v>
      </c>
      <c r="K9" s="361">
        <f t="shared" si="0"/>
        <v>1499.9999999999995</v>
      </c>
      <c r="L9" s="362">
        <f t="shared" si="1"/>
        <v>115.38461538461534</v>
      </c>
      <c r="M9" s="363">
        <v>0.375</v>
      </c>
      <c r="N9" s="363">
        <v>0.3888888888888889</v>
      </c>
      <c r="O9" s="354">
        <v>5</v>
      </c>
      <c r="P9" s="364">
        <f t="shared" si="2"/>
        <v>20.000000000000007</v>
      </c>
      <c r="Q9" s="365">
        <v>0.3888888888888889</v>
      </c>
      <c r="R9" s="365">
        <v>0.43055555555555558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1536</v>
      </c>
      <c r="H10" s="358">
        <f t="shared" si="3"/>
        <v>27448.32</v>
      </c>
      <c r="I10" s="359"/>
      <c r="J10" s="360">
        <v>12</v>
      </c>
      <c r="K10" s="361">
        <f t="shared" si="0"/>
        <v>1152.0000000000007</v>
      </c>
      <c r="L10" s="362">
        <f t="shared" si="1"/>
        <v>96.000000000000057</v>
      </c>
      <c r="M10" s="363">
        <v>0.43055555555555558</v>
      </c>
      <c r="N10" s="363">
        <v>0.4861111111111111</v>
      </c>
      <c r="O10" s="354">
        <v>5</v>
      </c>
      <c r="P10" s="364">
        <f t="shared" si="2"/>
        <v>79.999999999999957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743</v>
      </c>
      <c r="H11" s="358">
        <f t="shared" si="3"/>
        <v>19050.52</v>
      </c>
      <c r="I11" s="359"/>
      <c r="J11" s="360">
        <v>12</v>
      </c>
      <c r="K11" s="361">
        <f t="shared" si="0"/>
        <v>1486.0000000000014</v>
      </c>
      <c r="L11" s="362">
        <f t="shared" si="1"/>
        <v>123.83333333333344</v>
      </c>
      <c r="M11" s="363">
        <v>0.48958333333333331</v>
      </c>
      <c r="N11" s="363">
        <v>0.51041666666666663</v>
      </c>
      <c r="O11" s="354">
        <v>5</v>
      </c>
      <c r="P11" s="364">
        <f t="shared" si="2"/>
        <v>29.999999999999972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1356</v>
      </c>
      <c r="H12" s="358">
        <f t="shared" si="3"/>
        <v>40029.120000000003</v>
      </c>
      <c r="I12" s="359"/>
      <c r="J12" s="360">
        <v>12</v>
      </c>
      <c r="K12" s="361">
        <f t="shared" si="0"/>
        <v>1808</v>
      </c>
      <c r="L12" s="362">
        <f t="shared" si="1"/>
        <v>150.66666666666666</v>
      </c>
      <c r="M12" s="363">
        <v>0.51388888888888895</v>
      </c>
      <c r="N12" s="363">
        <v>0.54513888888888895</v>
      </c>
      <c r="O12" s="354">
        <v>5</v>
      </c>
      <c r="P12" s="364">
        <f t="shared" si="2"/>
        <v>45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1445</v>
      </c>
      <c r="H13" s="358">
        <f t="shared" si="3"/>
        <v>43143.364999999998</v>
      </c>
      <c r="I13" s="359"/>
      <c r="J13" s="360">
        <v>12</v>
      </c>
      <c r="K13" s="361">
        <f>G13/P13*60</f>
        <v>1733.999999999995</v>
      </c>
      <c r="L13" s="362">
        <f>K13/J13</f>
        <v>144.49999999999957</v>
      </c>
      <c r="M13" s="363">
        <v>0.54861111111111105</v>
      </c>
      <c r="N13" s="363">
        <v>0.58333333333333337</v>
      </c>
      <c r="O13" s="354">
        <v>5</v>
      </c>
      <c r="P13" s="364">
        <f t="shared" si="2"/>
        <v>50.000000000000142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1579</v>
      </c>
      <c r="H14" s="358">
        <f t="shared" si="3"/>
        <v>45112.03</v>
      </c>
      <c r="I14" s="359"/>
      <c r="J14" s="360">
        <v>10</v>
      </c>
      <c r="K14" s="361">
        <f>G14/P14*60</f>
        <v>1457.5384615384633</v>
      </c>
      <c r="L14" s="362">
        <f>K14/J14</f>
        <v>145.75384615384633</v>
      </c>
      <c r="M14" s="363">
        <v>0.58680555555555558</v>
      </c>
      <c r="N14" s="363">
        <v>0.63194444444444442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11.2</v>
      </c>
      <c r="K16" s="375">
        <f>AVERAGE(K5:K15)</f>
        <v>1489.2092472233646</v>
      </c>
      <c r="L16" s="376">
        <f>AVERAGE(L5:L15)</f>
        <v>135.70961469902645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592</v>
      </c>
      <c r="H17" s="377">
        <f t="shared" ref="H17:H23" si="4">F17*G17</f>
        <v>8305.76</v>
      </c>
      <c r="I17" s="378"/>
      <c r="J17" s="360">
        <v>6</v>
      </c>
      <c r="K17" s="361">
        <f>G17/P17*60</f>
        <v>1480.0000000000005</v>
      </c>
      <c r="L17" s="362">
        <f>K17/J17</f>
        <v>246.66666666666674</v>
      </c>
      <c r="M17" s="363">
        <v>0.18055555555555555</v>
      </c>
      <c r="N17" s="363">
        <v>0.19722222222222222</v>
      </c>
      <c r="O17" s="354">
        <v>20</v>
      </c>
      <c r="P17" s="364">
        <f>(N17-M17)*24*60</f>
        <v>23.999999999999993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858</v>
      </c>
      <c r="H18" s="358">
        <f t="shared" si="4"/>
        <v>12432.42</v>
      </c>
      <c r="I18" s="359"/>
      <c r="J18" s="360">
        <v>5</v>
      </c>
      <c r="K18" s="361">
        <f>G18/P18*60</f>
        <v>1470.8571428571415</v>
      </c>
      <c r="L18" s="362">
        <f>K18/J18</f>
        <v>294.17142857142829</v>
      </c>
      <c r="M18" s="363">
        <v>0.21111111111111111</v>
      </c>
      <c r="N18" s="363">
        <v>0.23541666666666669</v>
      </c>
      <c r="O18" s="354">
        <v>20</v>
      </c>
      <c r="P18" s="364">
        <f t="shared" ref="P18" si="5">(N18-M18)*24*60</f>
        <v>35.000000000000036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1475.4285714285711</v>
      </c>
      <c r="L24" s="376">
        <f>AVERAGE(L17:L23)</f>
        <v>270.41904761904755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628</v>
      </c>
      <c r="H25" s="358">
        <f t="shared" ref="H25:H37" si="6">F25*G25</f>
        <v>13992.981818181817</v>
      </c>
      <c r="I25" s="359"/>
      <c r="J25" s="360">
        <v>4</v>
      </c>
      <c r="K25" s="361">
        <f t="shared" ref="K25:K28" si="7">G25/P25*60</f>
        <v>2691.4285714285734</v>
      </c>
      <c r="L25" s="362">
        <f t="shared" ref="L25:L28" si="8">K25/J25</f>
        <v>672.85714285714334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2901</v>
      </c>
      <c r="H26" s="358">
        <f t="shared" si="6"/>
        <v>52740.18</v>
      </c>
      <c r="I26" s="359"/>
      <c r="J26" s="360">
        <v>4</v>
      </c>
      <c r="K26" s="361">
        <f t="shared" si="7"/>
        <v>2762.857142857144</v>
      </c>
      <c r="L26" s="362">
        <f t="shared" si="8"/>
        <v>690.71428571428601</v>
      </c>
      <c r="M26" s="363">
        <v>0.20416666666666669</v>
      </c>
      <c r="N26" s="363">
        <v>0.24791666666666667</v>
      </c>
      <c r="O26" s="354">
        <v>20</v>
      </c>
      <c r="P26" s="364">
        <f t="shared" si="9"/>
        <v>62.999999999999979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1088</v>
      </c>
      <c r="H27" s="358">
        <f t="shared" si="6"/>
        <v>29669.759999999998</v>
      </c>
      <c r="I27" s="359"/>
      <c r="J27" s="360">
        <v>4</v>
      </c>
      <c r="K27" s="361">
        <f t="shared" si="7"/>
        <v>2720.0000000000009</v>
      </c>
      <c r="L27" s="362">
        <f t="shared" si="8"/>
        <v>680.00000000000023</v>
      </c>
      <c r="M27" s="363">
        <v>0.26180555555555557</v>
      </c>
      <c r="N27" s="363">
        <v>0.27847222222222223</v>
      </c>
      <c r="O27" s="354">
        <v>20</v>
      </c>
      <c r="P27" s="364">
        <f t="shared" si="9"/>
        <v>23.999999999999993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2686</v>
      </c>
      <c r="H28" s="358">
        <f t="shared" si="6"/>
        <v>40370.58</v>
      </c>
      <c r="I28" s="359"/>
      <c r="J28" s="360">
        <v>4</v>
      </c>
      <c r="K28" s="361">
        <f t="shared" si="7"/>
        <v>2731.5254237288159</v>
      </c>
      <c r="L28" s="362">
        <f t="shared" si="8"/>
        <v>682.88135593220397</v>
      </c>
      <c r="M28" s="363">
        <v>0.29236111111111113</v>
      </c>
      <c r="N28" s="363">
        <v>0.33333333333333331</v>
      </c>
      <c r="O28" s="354">
        <v>20</v>
      </c>
      <c r="P28" s="364">
        <f t="shared" si="9"/>
        <v>58.99999999999995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2726.4527845036337</v>
      </c>
      <c r="L38" s="376">
        <f>AVERAGE(L25:L37)</f>
        <v>681.61319612590842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913</v>
      </c>
      <c r="H39" s="358">
        <f t="shared" ref="H39:H47" si="10">F39*G39</f>
        <v>19583.849999999999</v>
      </c>
      <c r="I39" s="359"/>
      <c r="J39" s="360">
        <v>3</v>
      </c>
      <c r="K39" s="361">
        <f>G39/P39*60</f>
        <v>2738.9999999999991</v>
      </c>
      <c r="L39" s="362">
        <f>K39/J39</f>
        <v>912.99999999999966</v>
      </c>
      <c r="M39" s="363">
        <v>0.18055555555555555</v>
      </c>
      <c r="N39" s="363">
        <v>0.19444444444444445</v>
      </c>
      <c r="O39" s="354">
        <v>20</v>
      </c>
      <c r="P39" s="391">
        <f t="shared" ref="P39:P40" si="11">(N39-M39)*24*60</f>
        <v>20.000000000000007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2234</v>
      </c>
      <c r="H40" s="358">
        <f t="shared" si="10"/>
        <v>41396.020000000004</v>
      </c>
      <c r="I40" s="359"/>
      <c r="J40" s="360">
        <v>3</v>
      </c>
      <c r="K40" s="361">
        <f>G40/P40*60</f>
        <v>2792.5000000000009</v>
      </c>
      <c r="L40" s="362">
        <f>K40/J40</f>
        <v>930.8333333333336</v>
      </c>
      <c r="M40" s="363">
        <v>0.20833333333333334</v>
      </c>
      <c r="N40" s="363">
        <v>0.24166666666666667</v>
      </c>
      <c r="O40" s="354">
        <v>20</v>
      </c>
      <c r="P40" s="391">
        <f t="shared" si="11"/>
        <v>47.999999999999986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2765.75</v>
      </c>
      <c r="L51" s="376">
        <f>AVERAGE(L39:L50)</f>
        <v>921.91666666666663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757</v>
      </c>
      <c r="H52" s="358">
        <f>F52*G52</f>
        <v>18947.71</v>
      </c>
      <c r="I52" s="359"/>
      <c r="J52" s="360">
        <v>4</v>
      </c>
      <c r="K52" s="361">
        <f>G52/P52*60</f>
        <v>3244.2857142857165</v>
      </c>
      <c r="L52" s="362">
        <f>K52/J52</f>
        <v>811.07142857142912</v>
      </c>
      <c r="M52" s="363">
        <v>0.18055555555555555</v>
      </c>
      <c r="N52" s="363">
        <v>0.19027777777777777</v>
      </c>
      <c r="O52" s="361">
        <v>20</v>
      </c>
      <c r="P52" s="364">
        <f>(N52-M52)*24*60</f>
        <v>13.999999999999989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994</v>
      </c>
      <c r="H53" s="358">
        <f t="shared" ref="H53:H62" si="12">F53*G53</f>
        <v>24671.08</v>
      </c>
      <c r="I53" s="359"/>
      <c r="J53" s="360">
        <v>4</v>
      </c>
      <c r="K53" s="361">
        <f t="shared" ref="K53:K55" si="13">G53/P53*60</f>
        <v>3138.9473684210575</v>
      </c>
      <c r="L53" s="362">
        <f t="shared" ref="L53:L55" si="14">K53/J53</f>
        <v>784.73684210526437</v>
      </c>
      <c r="M53" s="363">
        <v>0.20416666666666669</v>
      </c>
      <c r="N53" s="363">
        <v>0.21736111111111112</v>
      </c>
      <c r="O53" s="361">
        <v>20</v>
      </c>
      <c r="P53" s="364">
        <f t="shared" ref="P53:P63" si="15">(N53-M53)*24*60</f>
        <v>18.999999999999972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1597</v>
      </c>
      <c r="H54" s="358">
        <f t="shared" si="12"/>
        <v>47910</v>
      </c>
      <c r="I54" s="359"/>
      <c r="J54" s="360">
        <v>4</v>
      </c>
      <c r="K54" s="361">
        <f t="shared" si="13"/>
        <v>3193.9999999999982</v>
      </c>
      <c r="L54" s="362">
        <f t="shared" si="14"/>
        <v>798.49999999999955</v>
      </c>
      <c r="M54" s="363">
        <v>0.23124999999999998</v>
      </c>
      <c r="N54" s="363">
        <v>0.25208333333333333</v>
      </c>
      <c r="O54" s="361">
        <v>20</v>
      </c>
      <c r="P54" s="364">
        <f t="shared" si="15"/>
        <v>30.000000000000014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2730</v>
      </c>
      <c r="H55" s="358">
        <f t="shared" si="12"/>
        <v>38301.9</v>
      </c>
      <c r="I55" s="359"/>
      <c r="J55" s="360">
        <v>3</v>
      </c>
      <c r="K55" s="361">
        <f t="shared" si="13"/>
        <v>3211.7647058823545</v>
      </c>
      <c r="L55" s="362">
        <f t="shared" si="14"/>
        <v>1070.5882352941182</v>
      </c>
      <c r="M55" s="363">
        <v>0.26597222222222222</v>
      </c>
      <c r="N55" s="363">
        <v>0.30138888888888887</v>
      </c>
      <c r="O55" s="361">
        <v>20</v>
      </c>
      <c r="P55" s="364">
        <f t="shared" si="15"/>
        <v>50.999999999999979</v>
      </c>
      <c r="Q55" s="365"/>
      <c r="R55" s="365"/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3197.2494471472819</v>
      </c>
      <c r="L64" s="376">
        <f>AVERAGE(L52:L63)</f>
        <v>866.22412649270291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850</v>
      </c>
      <c r="H65" s="358">
        <f>F65*G65</f>
        <v>15453</v>
      </c>
      <c r="I65" s="359"/>
      <c r="J65" s="360">
        <v>3</v>
      </c>
      <c r="K65" s="361">
        <f t="shared" ref="K65:K69" si="16">G65/P65*60</f>
        <v>3187.5000000000036</v>
      </c>
      <c r="L65" s="362">
        <f t="shared" ref="L65:L69" si="17">K65/J65</f>
        <v>1062.5000000000011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2771</v>
      </c>
      <c r="H66" s="358">
        <f t="shared" ref="H66:H74" si="18">F66*G66</f>
        <v>46164.86</v>
      </c>
      <c r="I66" s="359"/>
      <c r="J66" s="360">
        <v>4</v>
      </c>
      <c r="K66" s="361">
        <f t="shared" si="16"/>
        <v>3022.9090909090928</v>
      </c>
      <c r="L66" s="362">
        <f t="shared" si="17"/>
        <v>755.7272727272732</v>
      </c>
      <c r="M66" s="363">
        <v>0.20555555555555557</v>
      </c>
      <c r="N66" s="363">
        <v>0.24374999999999999</v>
      </c>
      <c r="O66" s="361">
        <v>20</v>
      </c>
      <c r="P66" s="364">
        <f t="shared" ref="P66:P69" si="19">(N66-M66)*24*60</f>
        <v>54.999999999999964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1727</v>
      </c>
      <c r="H67" s="358">
        <f t="shared" si="18"/>
        <v>30897.599999999999</v>
      </c>
      <c r="I67" s="359"/>
      <c r="J67" s="360">
        <v>3</v>
      </c>
      <c r="K67" s="361">
        <f t="shared" si="16"/>
        <v>3047.6470588235334</v>
      </c>
      <c r="L67" s="362">
        <f t="shared" si="17"/>
        <v>1015.8823529411778</v>
      </c>
      <c r="M67" s="363">
        <v>0.25763888888888892</v>
      </c>
      <c r="N67" s="363">
        <v>0.28125</v>
      </c>
      <c r="O67" s="361">
        <v>20</v>
      </c>
      <c r="P67" s="364">
        <f t="shared" si="19"/>
        <v>33.999999999999957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1550</v>
      </c>
      <c r="H68" s="358">
        <f t="shared" si="18"/>
        <v>28179</v>
      </c>
      <c r="I68" s="359"/>
      <c r="J68" s="360">
        <v>3</v>
      </c>
      <c r="K68" s="361">
        <f t="shared" si="16"/>
        <v>3100.0000000000027</v>
      </c>
      <c r="L68" s="362">
        <f t="shared" si="17"/>
        <v>1033.3333333333342</v>
      </c>
      <c r="M68" s="363">
        <v>0.2951388888888889</v>
      </c>
      <c r="N68" s="363">
        <v>0.31597222222222221</v>
      </c>
      <c r="O68" s="361">
        <v>20</v>
      </c>
      <c r="P68" s="364">
        <f t="shared" si="19"/>
        <v>29.999999999999972</v>
      </c>
      <c r="Q68" s="365">
        <v>0.31597222222222221</v>
      </c>
      <c r="R68" s="365">
        <v>0.3576388888888889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4150</v>
      </c>
      <c r="H69" s="358">
        <f t="shared" si="18"/>
        <v>59285.714285714275</v>
      </c>
      <c r="I69" s="359"/>
      <c r="J69" s="360">
        <v>3</v>
      </c>
      <c r="K69" s="361">
        <f t="shared" si="16"/>
        <v>3192.3076923076906</v>
      </c>
      <c r="L69" s="362">
        <f t="shared" si="17"/>
        <v>1064.1025641025635</v>
      </c>
      <c r="M69" s="363">
        <v>0.37152777777777773</v>
      </c>
      <c r="N69" s="363">
        <v>0.42569444444444443</v>
      </c>
      <c r="O69" s="361">
        <v>20</v>
      </c>
      <c r="P69" s="364">
        <f t="shared" si="19"/>
        <v>78.000000000000043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3110.0727684080653</v>
      </c>
      <c r="L75" s="376">
        <f>AVERAGE(L65:L74)</f>
        <v>986.3091046208699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421</v>
      </c>
      <c r="H82" s="414">
        <f t="shared" ref="H82:H90" si="20">F82*G82</f>
        <v>7653.78</v>
      </c>
      <c r="I82" s="359"/>
      <c r="J82" s="360">
        <v>4</v>
      </c>
      <c r="K82" s="361">
        <f t="shared" ref="K82:K84" si="21">G82/P82*60</f>
        <v>2526.0000000000091</v>
      </c>
      <c r="L82" s="362">
        <f t="shared" ref="L82:L84" si="22">K82/J82</f>
        <v>631.50000000000227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1120</v>
      </c>
      <c r="H83" s="414">
        <f t="shared" si="20"/>
        <v>18704</v>
      </c>
      <c r="I83" s="359"/>
      <c r="J83" s="360">
        <v>3</v>
      </c>
      <c r="K83" s="361">
        <f t="shared" si="21"/>
        <v>3359.9999999999582</v>
      </c>
      <c r="L83" s="362">
        <f t="shared" si="22"/>
        <v>1119.9999999999861</v>
      </c>
      <c r="M83" s="363">
        <v>0.74305555555555547</v>
      </c>
      <c r="N83" s="363">
        <v>0.75694444444444453</v>
      </c>
      <c r="O83" s="361">
        <v>20</v>
      </c>
      <c r="P83" s="364">
        <f>(N83-M83)*24*60</f>
        <v>20.000000000000249</v>
      </c>
      <c r="Q83" s="365">
        <v>0.75694444444444453</v>
      </c>
      <c r="R83" s="365">
        <v>0.79861111111111116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1023</v>
      </c>
      <c r="H84" s="414">
        <f t="shared" si="20"/>
        <v>22794.3</v>
      </c>
      <c r="I84" s="359"/>
      <c r="J84" s="360">
        <v>4</v>
      </c>
      <c r="K84" s="361">
        <f t="shared" si="21"/>
        <v>3069.0000000000109</v>
      </c>
      <c r="L84" s="362">
        <f t="shared" si="22"/>
        <v>767.25000000000273</v>
      </c>
      <c r="M84" s="363">
        <v>0.8125</v>
      </c>
      <c r="N84" s="363">
        <v>0.82638888888888884</v>
      </c>
      <c r="O84" s="361">
        <v>20</v>
      </c>
      <c r="P84" s="391">
        <f t="shared" ref="P84" si="23">(N84-M84)*24*60</f>
        <v>19.999999999999929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2984.9999999999927</v>
      </c>
      <c r="L91" s="376">
        <f>AVERAGE(L82:L90)</f>
        <v>839.5833333333303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1654</v>
      </c>
      <c r="H92" s="358">
        <f t="shared" ref="H92:H97" si="24">F92*G92</f>
        <v>40589.159999999996</v>
      </c>
      <c r="I92" s="359"/>
      <c r="J92" s="360">
        <v>3</v>
      </c>
      <c r="K92" s="361">
        <f>G92/P92*60</f>
        <v>2205.333333333333</v>
      </c>
      <c r="L92" s="362">
        <f t="shared" ref="L92:L94" si="25">K92/J92</f>
        <v>735.11111111111097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1021</v>
      </c>
      <c r="H93" s="358">
        <f t="shared" si="24"/>
        <v>22952.080000000002</v>
      </c>
      <c r="I93" s="359"/>
      <c r="J93" s="360">
        <v>4</v>
      </c>
      <c r="K93" s="361">
        <f t="shared" ref="K93:K94" si="26">G93/P93*60</f>
        <v>2450.4000000000087</v>
      </c>
      <c r="L93" s="362">
        <f t="shared" si="25"/>
        <v>612.60000000000218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3089</v>
      </c>
      <c r="H94" s="358">
        <f t="shared" si="24"/>
        <v>68606.69</v>
      </c>
      <c r="I94" s="359"/>
      <c r="J94" s="360">
        <v>4</v>
      </c>
      <c r="K94" s="361">
        <f t="shared" si="26"/>
        <v>2316.7500000000036</v>
      </c>
      <c r="L94" s="362">
        <f t="shared" si="25"/>
        <v>579.18750000000091</v>
      </c>
      <c r="M94" s="363">
        <v>0.79861111111111116</v>
      </c>
      <c r="N94" s="363">
        <v>0.85416666666666663</v>
      </c>
      <c r="O94" s="354">
        <v>20</v>
      </c>
      <c r="P94" s="364">
        <f>(N94-M94)*24*60</f>
        <v>79.999999999999872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2324.1611111111151</v>
      </c>
      <c r="L100" s="376">
        <f>AVERAGE(L92:L99)</f>
        <v>642.29953703703802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1068</v>
      </c>
      <c r="H101" s="358">
        <f t="shared" ref="H101:H110" si="27">F101*G101</f>
        <v>26732.04</v>
      </c>
      <c r="I101" s="359"/>
      <c r="J101" s="360">
        <v>4</v>
      </c>
      <c r="K101" s="361">
        <f>G101/P101*60</f>
        <v>3203.9999999999859</v>
      </c>
      <c r="L101" s="362">
        <f t="shared" ref="L101:L105" si="28">K101/J101</f>
        <v>800.99999999999648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9">(N101-M101)*24*60</f>
        <v>20.000000000000089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1693</v>
      </c>
      <c r="H102" s="358">
        <f t="shared" si="27"/>
        <v>42020.26</v>
      </c>
      <c r="I102" s="359"/>
      <c r="J102" s="360">
        <v>4</v>
      </c>
      <c r="K102" s="361">
        <f t="shared" ref="K102:K105" si="30">G102/P102*60</f>
        <v>2902.2857142857251</v>
      </c>
      <c r="L102" s="362">
        <f t="shared" si="28"/>
        <v>725.57142857143128</v>
      </c>
      <c r="M102" s="363">
        <v>0.75</v>
      </c>
      <c r="N102" s="363">
        <v>0.77430555555555547</v>
      </c>
      <c r="O102" s="354">
        <v>20</v>
      </c>
      <c r="P102" s="361">
        <f t="shared" si="29"/>
        <v>34.999999999999872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2778</v>
      </c>
      <c r="H103" s="358">
        <f t="shared" si="27"/>
        <v>79367.460000000006</v>
      </c>
      <c r="I103" s="359"/>
      <c r="J103" s="360">
        <v>3</v>
      </c>
      <c r="K103" s="361">
        <f t="shared" si="30"/>
        <v>3030.5454545454654</v>
      </c>
      <c r="L103" s="362">
        <f t="shared" si="28"/>
        <v>1010.1818181818218</v>
      </c>
      <c r="M103" s="363">
        <v>0.78819444444444453</v>
      </c>
      <c r="N103" s="363">
        <v>0.82638888888888884</v>
      </c>
      <c r="O103" s="354">
        <v>20</v>
      </c>
      <c r="P103" s="361">
        <f t="shared" si="29"/>
        <v>54.999999999999801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5307</v>
      </c>
      <c r="H104" s="358">
        <f t="shared" si="27"/>
        <v>74457.209999999992</v>
      </c>
      <c r="I104" s="359"/>
      <c r="J104" s="360">
        <v>3</v>
      </c>
      <c r="K104" s="361">
        <f t="shared" si="30"/>
        <v>3032.5714285714253</v>
      </c>
      <c r="L104" s="362">
        <f t="shared" si="28"/>
        <v>1010.8571428571418</v>
      </c>
      <c r="M104" s="363">
        <v>0.84027777777777779</v>
      </c>
      <c r="N104" s="363">
        <v>0.91319444444444453</v>
      </c>
      <c r="O104" s="354">
        <v>20</v>
      </c>
      <c r="P104" s="361">
        <f>(N104-M104)*24*60</f>
        <v>105.00000000000011</v>
      </c>
      <c r="Q104" s="365">
        <v>0.91319444444444453</v>
      </c>
      <c r="R104" s="365">
        <v>0.95486111111111116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7505</v>
      </c>
      <c r="H105" s="358">
        <f t="shared" si="27"/>
        <v>107214.2857142857</v>
      </c>
      <c r="I105" s="359"/>
      <c r="J105" s="360">
        <v>3</v>
      </c>
      <c r="K105" s="361">
        <f t="shared" si="30"/>
        <v>3002.0000000698956</v>
      </c>
      <c r="L105" s="362">
        <f t="shared" si="28"/>
        <v>1000.6666666899652</v>
      </c>
      <c r="M105" s="363">
        <v>46086.96875</v>
      </c>
      <c r="N105" s="363">
        <v>46087.072916666664</v>
      </c>
      <c r="O105" s="354">
        <v>20</v>
      </c>
      <c r="P105" s="361">
        <f>(N105-M105)*24*60</f>
        <v>149.99999999650754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3034.2805194944995</v>
      </c>
      <c r="L111" s="376">
        <f>AVERAGE(L101:L110)</f>
        <v>909.65541126007133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988</v>
      </c>
      <c r="H112" s="414">
        <f t="shared" si="3"/>
        <v>17961.84</v>
      </c>
      <c r="I112" s="359"/>
      <c r="J112" s="360">
        <v>4</v>
      </c>
      <c r="K112" s="361">
        <f t="shared" ref="K112:K115" si="31">G112/P112*60</f>
        <v>2963.9999999999868</v>
      </c>
      <c r="L112" s="362">
        <f t="shared" ref="L112:L115" si="32">K112/J112</f>
        <v>740.9999999999967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1086</v>
      </c>
      <c r="H113" s="414">
        <f t="shared" si="3"/>
        <v>19743.48</v>
      </c>
      <c r="I113" s="359"/>
      <c r="J113" s="360">
        <v>3</v>
      </c>
      <c r="K113" s="361">
        <f t="shared" si="31"/>
        <v>3258.0000000000118</v>
      </c>
      <c r="L113" s="362">
        <f t="shared" si="32"/>
        <v>1086.0000000000039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5006</v>
      </c>
      <c r="H114" s="414">
        <f>F114*G114</f>
        <v>83399.960000000006</v>
      </c>
      <c r="I114" s="359"/>
      <c r="J114" s="360">
        <v>4</v>
      </c>
      <c r="K114" s="361">
        <f t="shared" si="31"/>
        <v>3003.6000000000008</v>
      </c>
      <c r="L114" s="362">
        <f t="shared" si="32"/>
        <v>750.9000000000002</v>
      </c>
      <c r="M114" s="363">
        <v>0.77777777777777779</v>
      </c>
      <c r="N114" s="363">
        <v>0.84722222222222221</v>
      </c>
      <c r="O114" s="354">
        <v>20</v>
      </c>
      <c r="P114" s="364">
        <f t="shared" si="33"/>
        <v>99.999999999999972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3518</v>
      </c>
      <c r="H115" s="414">
        <f t="shared" ref="H115:H123" si="34">F115*G115</f>
        <v>62940.218181818178</v>
      </c>
      <c r="I115" s="359"/>
      <c r="J115" s="360">
        <v>3</v>
      </c>
      <c r="K115" s="361">
        <f t="shared" si="31"/>
        <v>3015.4285714285752</v>
      </c>
      <c r="L115" s="362">
        <f t="shared" si="32"/>
        <v>1005.1428571428584</v>
      </c>
      <c r="M115" s="363">
        <v>0.86111111111111116</v>
      </c>
      <c r="N115" s="363">
        <v>0.90972222222222221</v>
      </c>
      <c r="O115" s="354">
        <v>20</v>
      </c>
      <c r="P115" s="364">
        <f t="shared" si="33"/>
        <v>69.999999999999915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3060.2571428571437</v>
      </c>
      <c r="L124" s="376">
        <f>AVERAGE(L112:L123)</f>
        <v>895.7607142857147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139576.80000000002</v>
      </c>
      <c r="F1" s="75" t="s">
        <v>3</v>
      </c>
      <c r="G1" s="64">
        <f>SUM(H5:H173)</f>
        <v>5522481.1810274972</v>
      </c>
      <c r="H1" s="67" t="s">
        <v>77</v>
      </c>
      <c r="I1" s="65">
        <f>M17+M30+M43+M56+M69+M82+M95+M108+M121+M134+M147+M160+M173</f>
        <v>199.74047619047619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350</v>
      </c>
      <c r="B2" s="637"/>
      <c r="C2" s="69"/>
      <c r="D2" s="69" t="s">
        <v>181</v>
      </c>
      <c r="E2" s="70">
        <f>AVERAGE(O17,O30,O43,O56,O69,O82,O95,O108,O121,O134,O147,O160,O173)</f>
        <v>121.56849946088161</v>
      </c>
      <c r="F2" s="71" t="s">
        <v>80</v>
      </c>
      <c r="G2" s="72">
        <f>G1/E1</f>
        <v>39.5658962021446</v>
      </c>
      <c r="H2" s="67" t="s">
        <v>81</v>
      </c>
      <c r="I2" s="67">
        <f>COUNT(I5:I173)</f>
        <v>6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1</v>
      </c>
      <c r="AE2" s="74">
        <f>AE17+AE30+AE43+AE56+AE69+AE82+AE95+AE108+AE121+AE134+AE147+AE160+AE173</f>
        <v>0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2737.8</v>
      </c>
      <c r="H5" s="83">
        <f t="shared" ref="H5:H16" si="0">F5*G5</f>
        <v>103872.132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2281.5000000000009</v>
      </c>
      <c r="O5" s="86">
        <f t="shared" ref="O5:O13" si="2">N5/M5</f>
        <v>114.07500000000005</v>
      </c>
      <c r="P5" s="88">
        <f t="shared" ref="P5:P13" si="3">M5-J5</f>
        <v>0</v>
      </c>
      <c r="Q5" s="89">
        <f t="shared" ref="Q5:Q13" si="4">O5-L5</f>
        <v>-5.9249999999999545</v>
      </c>
      <c r="R5" s="90">
        <f t="shared" ref="R5:R13" si="5">O5/L5</f>
        <v>0.95062500000000039</v>
      </c>
      <c r="S5" s="590">
        <f>R17</f>
        <v>0.94978642766959753</v>
      </c>
      <c r="T5" s="91">
        <v>0.29166666666666669</v>
      </c>
      <c r="U5" s="91">
        <v>0.34166666666666667</v>
      </c>
      <c r="V5" s="75">
        <v>5</v>
      </c>
      <c r="W5" s="84">
        <f>(U5-T5)*24*60</f>
        <v>71.999999999999986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-118.49999999999909</v>
      </c>
      <c r="AG5" s="90">
        <f t="shared" ref="AG5:AG70" si="7">N5/K5</f>
        <v>0.95062500000000039</v>
      </c>
      <c r="AH5" s="590">
        <f>AG17</f>
        <v>0.98684619021262809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1180.4000000000001</v>
      </c>
      <c r="H6" s="83">
        <f t="shared" si="0"/>
        <v>36906.541994478961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2623.1111111111127</v>
      </c>
      <c r="O6" s="86">
        <f t="shared" si="2"/>
        <v>138.05847953216383</v>
      </c>
      <c r="P6" s="88">
        <f t="shared" si="3"/>
        <v>1</v>
      </c>
      <c r="Q6" s="89">
        <f t="shared" si="4"/>
        <v>-6.3859649122806275</v>
      </c>
      <c r="R6" s="90">
        <f t="shared" si="5"/>
        <v>0.95578947368421108</v>
      </c>
      <c r="S6" s="590"/>
      <c r="T6" s="91">
        <v>0.34722222222222221</v>
      </c>
      <c r="U6" s="91">
        <v>0.3659722222222222</v>
      </c>
      <c r="V6" s="75">
        <v>8</v>
      </c>
      <c r="W6" s="84">
        <f t="shared" ref="W6:W17" si="8">(U6-T6)*24*60</f>
        <v>26.999999999999986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23.111111111112677</v>
      </c>
      <c r="AG6" s="90">
        <f t="shared" si="7"/>
        <v>1.0088888888888894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1933.75</v>
      </c>
      <c r="H7" s="83">
        <f t="shared" si="0"/>
        <v>74702.604166666657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2636.931818181818</v>
      </c>
      <c r="O7" s="86">
        <f t="shared" si="2"/>
        <v>138.7858851674641</v>
      </c>
      <c r="P7" s="88">
        <f t="shared" si="3"/>
        <v>1</v>
      </c>
      <c r="Q7" s="89">
        <f t="shared" si="4"/>
        <v>-5.6585592769803554</v>
      </c>
      <c r="R7" s="90">
        <f t="shared" si="5"/>
        <v>0.96082535885167442</v>
      </c>
      <c r="S7" s="590"/>
      <c r="T7" s="91">
        <v>0.38263888888888886</v>
      </c>
      <c r="U7" s="91">
        <v>0.41319444444444442</v>
      </c>
      <c r="V7" s="75">
        <v>24</v>
      </c>
      <c r="W7" s="84">
        <f t="shared" si="8"/>
        <v>44</v>
      </c>
      <c r="X7" s="94">
        <v>0.36944444444444446</v>
      </c>
      <c r="Y7" s="94">
        <v>0.37986111111111115</v>
      </c>
      <c r="Z7" s="95"/>
      <c r="AA7" s="95"/>
      <c r="AB7" s="571"/>
      <c r="AC7" s="571"/>
      <c r="AD7" s="332"/>
      <c r="AE7" s="332"/>
      <c r="AF7" s="88">
        <f t="shared" si="6"/>
        <v>36.931818181818016</v>
      </c>
      <c r="AG7" s="90">
        <f t="shared" si="7"/>
        <v>1.0142045454545454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3367.7</v>
      </c>
      <c r="H8" s="83">
        <f t="shared" si="0"/>
        <v>127972.59999999999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2624.1818181818189</v>
      </c>
      <c r="O8" s="86">
        <f t="shared" si="2"/>
        <v>131.20909090909095</v>
      </c>
      <c r="P8" s="88">
        <f t="shared" si="3"/>
        <v>1</v>
      </c>
      <c r="Q8" s="89">
        <f t="shared" si="4"/>
        <v>-5.633014354066944</v>
      </c>
      <c r="R8" s="90">
        <f t="shared" si="5"/>
        <v>0.95883566433566458</v>
      </c>
      <c r="S8" s="590"/>
      <c r="T8" s="91">
        <v>0.41736111111111107</v>
      </c>
      <c r="U8" s="91">
        <v>0.47083333333333327</v>
      </c>
      <c r="V8" s="75">
        <v>6</v>
      </c>
      <c r="W8" s="84">
        <f t="shared" si="8"/>
        <v>76.999999999999972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24.181818181818926</v>
      </c>
      <c r="AG8" s="90">
        <f t="shared" si="7"/>
        <v>1.0093006993006997</v>
      </c>
      <c r="AH8" s="590"/>
    </row>
    <row r="9" spans="1:34" ht="19.2" customHeight="1">
      <c r="A9" s="627"/>
      <c r="B9" s="78" t="s">
        <v>242</v>
      </c>
      <c r="C9" s="96"/>
      <c r="D9" s="80" t="s">
        <v>98</v>
      </c>
      <c r="E9" s="97"/>
      <c r="F9" s="650">
        <v>38</v>
      </c>
      <c r="G9" s="98">
        <v>1443.3</v>
      </c>
      <c r="H9" s="83">
        <f t="shared" si="0"/>
        <v>54845.4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2624.1818181818148</v>
      </c>
      <c r="O9" s="86">
        <f t="shared" si="2"/>
        <v>131.20909090909075</v>
      </c>
      <c r="P9" s="88">
        <f t="shared" si="3"/>
        <v>1</v>
      </c>
      <c r="Q9" s="89">
        <f t="shared" si="4"/>
        <v>-5.6330143540671429</v>
      </c>
      <c r="R9" s="90">
        <f t="shared" si="5"/>
        <v>0.95883566433566314</v>
      </c>
      <c r="S9" s="590"/>
      <c r="T9" s="91">
        <v>0.51249999999999984</v>
      </c>
      <c r="U9" s="91">
        <v>0.53541666666666654</v>
      </c>
      <c r="V9" s="75">
        <v>7</v>
      </c>
      <c r="W9" s="84">
        <f t="shared" si="8"/>
        <v>33.000000000000043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24.181818181814833</v>
      </c>
      <c r="AG9" s="90">
        <f t="shared" si="7"/>
        <v>1.0093006993006981</v>
      </c>
      <c r="AH9" s="590"/>
    </row>
    <row r="10" spans="1:34" ht="19.2" customHeight="1">
      <c r="A10" s="628"/>
      <c r="B10" s="78" t="s">
        <v>242</v>
      </c>
      <c r="C10" s="79"/>
      <c r="D10" s="80" t="s">
        <v>97</v>
      </c>
      <c r="E10" s="81"/>
      <c r="F10" s="650">
        <v>38.630952380952372</v>
      </c>
      <c r="G10" s="82">
        <v>1041.25</v>
      </c>
      <c r="H10" s="83">
        <f t="shared" si="0"/>
        <v>40224.479166666657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2603.1249999999918</v>
      </c>
      <c r="O10" s="86">
        <f t="shared" si="2"/>
        <v>137.00657894736798</v>
      </c>
      <c r="P10" s="88">
        <f t="shared" si="3"/>
        <v>1</v>
      </c>
      <c r="Q10" s="89">
        <f t="shared" si="4"/>
        <v>-7.4378654970764728</v>
      </c>
      <c r="R10" s="90">
        <f t="shared" si="5"/>
        <v>0.94850708502023984</v>
      </c>
      <c r="S10" s="593"/>
      <c r="T10" s="91">
        <v>0.54097222222222208</v>
      </c>
      <c r="U10" s="91">
        <v>0.5576388888888888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3.1249999999918145</v>
      </c>
      <c r="AG10" s="90">
        <f t="shared" si="7"/>
        <v>1.00120192307692</v>
      </c>
      <c r="AH10" s="593"/>
    </row>
    <row r="11" spans="1:34" ht="19.2" customHeight="1">
      <c r="A11" s="628"/>
      <c r="B11" s="78" t="s">
        <v>242</v>
      </c>
      <c r="C11" s="79"/>
      <c r="D11" s="80" t="s">
        <v>96</v>
      </c>
      <c r="E11" s="81"/>
      <c r="F11" s="650">
        <v>31.266131815044861</v>
      </c>
      <c r="G11" s="82">
        <v>635.59999999999991</v>
      </c>
      <c r="H11" s="83">
        <f t="shared" si="0"/>
        <v>19872.753381642509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2542.4000000000087</v>
      </c>
      <c r="O11" s="86">
        <f t="shared" si="2"/>
        <v>133.81052631578993</v>
      </c>
      <c r="P11" s="88">
        <f t="shared" si="3"/>
        <v>1</v>
      </c>
      <c r="Q11" s="89">
        <f t="shared" si="4"/>
        <v>-10.633918128654528</v>
      </c>
      <c r="R11" s="90">
        <f t="shared" si="5"/>
        <v>0.92638056680162251</v>
      </c>
      <c r="S11" s="593"/>
      <c r="T11" s="91">
        <v>0.56111111111111101</v>
      </c>
      <c r="U11" s="91">
        <v>0.57152777777777763</v>
      </c>
      <c r="V11" s="75">
        <v>5</v>
      </c>
      <c r="W11" s="84">
        <f t="shared" si="8"/>
        <v>14.999999999999947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-57.599999999991269</v>
      </c>
      <c r="AG11" s="90">
        <f t="shared" si="7"/>
        <v>0.97784615384615725</v>
      </c>
      <c r="AH11" s="593"/>
    </row>
    <row r="12" spans="1:34" ht="19.2" customHeight="1">
      <c r="A12" s="628"/>
      <c r="B12" s="78" t="s">
        <v>242</v>
      </c>
      <c r="C12" s="79"/>
      <c r="D12" s="80" t="s">
        <v>95</v>
      </c>
      <c r="E12" s="81"/>
      <c r="F12" s="650">
        <v>37.94</v>
      </c>
      <c r="G12" s="82">
        <v>1474.1999999999998</v>
      </c>
      <c r="H12" s="83">
        <f t="shared" si="0"/>
        <v>55931.147999999986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2267.9999999999986</v>
      </c>
      <c r="O12" s="86">
        <f t="shared" si="2"/>
        <v>113.39999999999993</v>
      </c>
      <c r="P12" s="88">
        <f t="shared" si="3"/>
        <v>0</v>
      </c>
      <c r="Q12" s="89">
        <f t="shared" si="4"/>
        <v>-6.6000000000000654</v>
      </c>
      <c r="R12" s="90">
        <f t="shared" si="5"/>
        <v>0.94499999999999951</v>
      </c>
      <c r="S12" s="593"/>
      <c r="T12" s="91">
        <v>0.58749999999999991</v>
      </c>
      <c r="U12" s="91">
        <v>0.61458333333333326</v>
      </c>
      <c r="V12" s="75">
        <v>23</v>
      </c>
      <c r="W12" s="84">
        <f t="shared" si="8"/>
        <v>39.000000000000021</v>
      </c>
      <c r="X12" s="94">
        <v>0.57500000000000007</v>
      </c>
      <c r="Y12" s="94">
        <v>0.58472222222222225</v>
      </c>
      <c r="Z12" s="95"/>
      <c r="AA12" s="95"/>
      <c r="AB12" s="571"/>
      <c r="AC12" s="571"/>
      <c r="AD12" s="332"/>
      <c r="AE12" s="332"/>
      <c r="AF12" s="88">
        <f t="shared" si="6"/>
        <v>-132.00000000000136</v>
      </c>
      <c r="AG12" s="90">
        <f t="shared" si="7"/>
        <v>0.9449999999999994</v>
      </c>
      <c r="AH12" s="593"/>
    </row>
    <row r="13" spans="1:34" ht="19.2" customHeight="1">
      <c r="A13" s="628"/>
      <c r="B13" s="78" t="s">
        <v>247</v>
      </c>
      <c r="C13" s="99"/>
      <c r="D13" s="100" t="s">
        <v>298</v>
      </c>
      <c r="E13" s="101"/>
      <c r="F13" s="650">
        <v>50.67</v>
      </c>
      <c r="G13" s="102">
        <v>751.19999999999993</v>
      </c>
      <c r="H13" s="83">
        <f t="shared" si="0"/>
        <v>38063.303999999996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1408.499999999998</v>
      </c>
      <c r="O13" s="86">
        <f t="shared" si="2"/>
        <v>78.249999999999886</v>
      </c>
      <c r="P13" s="88">
        <f t="shared" si="3"/>
        <v>0</v>
      </c>
      <c r="Q13" s="89">
        <f t="shared" si="4"/>
        <v>-5.0833333333334423</v>
      </c>
      <c r="R13" s="90">
        <f t="shared" si="5"/>
        <v>0.93899999999999872</v>
      </c>
      <c r="S13" s="593"/>
      <c r="T13" s="105">
        <v>0.70833333333333337</v>
      </c>
      <c r="U13" s="105">
        <v>0.73055555555555562</v>
      </c>
      <c r="V13" s="103">
        <v>5</v>
      </c>
      <c r="W13" s="84">
        <f t="shared" si="8"/>
        <v>32.000000000000043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-91.500000000002046</v>
      </c>
      <c r="AG13" s="90">
        <f t="shared" si="7"/>
        <v>0.93899999999999861</v>
      </c>
      <c r="AH13" s="593"/>
    </row>
    <row r="14" spans="1:34" ht="19.2" customHeight="1">
      <c r="A14" s="628"/>
      <c r="B14" s="78">
        <v>0</v>
      </c>
      <c r="C14" s="109"/>
      <c r="D14" s="80"/>
      <c r="E14" s="81"/>
      <c r="F14" s="650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593"/>
      <c r="T14" s="105"/>
      <c r="U14" s="105"/>
      <c r="V14" s="103"/>
      <c r="W14" s="84"/>
      <c r="X14" s="106"/>
      <c r="Y14" s="106"/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J17:O17" si="9">AVERAGE(M5:M16)</f>
        <v>19.333333333333332</v>
      </c>
      <c r="N17" s="113">
        <f t="shared" si="9"/>
        <v>2401.3257295173953</v>
      </c>
      <c r="O17" s="116">
        <f t="shared" si="9"/>
        <v>123.97829464232973</v>
      </c>
      <c r="P17" s="107">
        <f t="shared" ref="P17:P22" si="10">M17-J17</f>
        <v>0.6666666666666643</v>
      </c>
      <c r="Q17" s="117">
        <f t="shared" ref="Q17:Q22" si="11">O17-L17</f>
        <v>-6.5545188729399229</v>
      </c>
      <c r="R17" s="118">
        <f>O17/L17</f>
        <v>0.94978642766959753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0</v>
      </c>
      <c r="AE17" s="122">
        <f>SUM(AE5:AE16)</f>
        <v>0</v>
      </c>
      <c r="AF17" s="107">
        <f t="shared" si="6"/>
        <v>-32.007603815938182</v>
      </c>
      <c r="AG17" s="108">
        <f t="shared" si="7"/>
        <v>0.98684619021262809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2370</v>
      </c>
      <c r="H18" s="127">
        <f t="shared" ref="H18:H29" si="12">F18*G18</f>
        <v>87358.2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2187.6923076923072</v>
      </c>
      <c r="O18" s="129">
        <f t="shared" ref="O18:O22" si="14">N18/M18</f>
        <v>121.5384615384615</v>
      </c>
      <c r="P18" s="95">
        <f t="shared" si="10"/>
        <v>1</v>
      </c>
      <c r="Q18" s="131">
        <f t="shared" si="11"/>
        <v>-10.814479638009075</v>
      </c>
      <c r="R18" s="132">
        <f t="shared" ref="R18:R22" si="15">O18/L18</f>
        <v>0.91829059829059811</v>
      </c>
      <c r="S18" s="575">
        <f>R30</f>
        <v>0.89761030677740772</v>
      </c>
      <c r="T18" s="133">
        <v>0.16666666666666666</v>
      </c>
      <c r="U18" s="133">
        <v>0.21180555555555555</v>
      </c>
      <c r="V18" s="332">
        <v>5</v>
      </c>
      <c r="W18" s="134">
        <f>(U18-T18)*24*60</f>
        <v>65.000000000000014</v>
      </c>
      <c r="X18" s="129"/>
      <c r="Y18" s="129"/>
      <c r="Z18" s="95"/>
      <c r="AA18" s="95"/>
      <c r="AB18" s="571"/>
      <c r="AC18" s="571"/>
      <c r="AD18" s="332"/>
      <c r="AE18" s="332"/>
      <c r="AF18" s="135">
        <f t="shared" si="6"/>
        <v>-62.307692307692832</v>
      </c>
      <c r="AG18" s="136">
        <f t="shared" si="7"/>
        <v>0.9723076923076921</v>
      </c>
      <c r="AH18" s="616">
        <f>AG30</f>
        <v>0.92237100992958032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1917.3</v>
      </c>
      <c r="H19" s="127">
        <f t="shared" si="12"/>
        <v>73605.146999999997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1456.1772151898726</v>
      </c>
      <c r="O19" s="139">
        <f t="shared" si="14"/>
        <v>85.657483246463102</v>
      </c>
      <c r="P19" s="95">
        <f t="shared" si="10"/>
        <v>1</v>
      </c>
      <c r="Q19" s="131">
        <f t="shared" si="11"/>
        <v>-16.592516753536898</v>
      </c>
      <c r="R19" s="132">
        <f t="shared" si="15"/>
        <v>0.83772599752042154</v>
      </c>
      <c r="S19" s="575"/>
      <c r="T19" s="133">
        <v>0.21666666666666667</v>
      </c>
      <c r="U19" s="133">
        <v>0.27152777777777781</v>
      </c>
      <c r="V19" s="332">
        <v>7</v>
      </c>
      <c r="W19" s="134">
        <f>(U19-T19)*24*60</f>
        <v>79.000000000000043</v>
      </c>
      <c r="X19" s="140"/>
      <c r="Y19" s="140"/>
      <c r="Z19" s="95"/>
      <c r="AA19" s="95"/>
      <c r="AB19" s="571"/>
      <c r="AC19" s="571"/>
      <c r="AD19" s="332"/>
      <c r="AE19" s="332"/>
      <c r="AF19" s="88">
        <f t="shared" si="6"/>
        <v>-179.82278481012736</v>
      </c>
      <c r="AG19" s="90">
        <f t="shared" si="7"/>
        <v>0.89008387236544784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1970</v>
      </c>
      <c r="H20" s="127">
        <f t="shared" si="12"/>
        <v>84985.8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1407.1428571428567</v>
      </c>
      <c r="O20" s="139">
        <f t="shared" si="14"/>
        <v>87.946428571428541</v>
      </c>
      <c r="P20" s="95">
        <f t="shared" si="10"/>
        <v>0</v>
      </c>
      <c r="Q20" s="131">
        <f t="shared" si="11"/>
        <v>-2.053571428571459</v>
      </c>
      <c r="R20" s="132">
        <f t="shared" si="15"/>
        <v>0.97718253968253932</v>
      </c>
      <c r="S20" s="575"/>
      <c r="T20" s="133">
        <v>0.28680555555555559</v>
      </c>
      <c r="U20" s="133">
        <v>0.34513888888888894</v>
      </c>
      <c r="V20" s="332">
        <v>22</v>
      </c>
      <c r="W20" s="134">
        <f t="shared" ref="W20:W29" si="16">(U20-T20)*24*60</f>
        <v>84.000000000000028</v>
      </c>
      <c r="X20" s="140">
        <v>0.27499999999999997</v>
      </c>
      <c r="Y20" s="140">
        <v>0.28402777777777777</v>
      </c>
      <c r="Z20" s="95"/>
      <c r="AA20" s="95"/>
      <c r="AB20" s="571"/>
      <c r="AC20" s="571"/>
      <c r="AD20" s="332"/>
      <c r="AE20" s="332"/>
      <c r="AF20" s="135">
        <f t="shared" si="6"/>
        <v>-32.857142857143344</v>
      </c>
      <c r="AG20" s="136">
        <f t="shared" si="7"/>
        <v>0.97718253968253932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2431.5</v>
      </c>
      <c r="H21" s="127">
        <f t="shared" si="12"/>
        <v>92640.150000000009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1314.3243243243244</v>
      </c>
      <c r="O21" s="139">
        <f t="shared" si="14"/>
        <v>77.313195548489674</v>
      </c>
      <c r="P21" s="95">
        <f t="shared" si="10"/>
        <v>0</v>
      </c>
      <c r="Q21" s="131">
        <f t="shared" si="11"/>
        <v>-10.922098569157384</v>
      </c>
      <c r="R21" s="132">
        <f t="shared" si="15"/>
        <v>0.87621621621621626</v>
      </c>
      <c r="S21" s="575"/>
      <c r="T21" s="133">
        <v>0.35000000000000003</v>
      </c>
      <c r="U21" s="133">
        <v>0.42708333333333337</v>
      </c>
      <c r="V21" s="332">
        <v>7</v>
      </c>
      <c r="W21" s="134">
        <f t="shared" si="16"/>
        <v>111</v>
      </c>
      <c r="X21" s="140"/>
      <c r="Y21" s="140"/>
      <c r="Z21" s="95"/>
      <c r="AA21" s="95"/>
      <c r="AB21" s="571"/>
      <c r="AC21" s="571"/>
      <c r="AD21" s="332"/>
      <c r="AE21" s="332"/>
      <c r="AF21" s="88">
        <f t="shared" si="6"/>
        <v>-185.67567567567562</v>
      </c>
      <c r="AG21" s="90">
        <f t="shared" si="7"/>
        <v>0.87621621621621626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2431.5</v>
      </c>
      <c r="H22" s="127">
        <f t="shared" si="12"/>
        <v>92640.150000000009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1314.3243243243251</v>
      </c>
      <c r="O22" s="139">
        <f t="shared" si="14"/>
        <v>77.313195548489716</v>
      </c>
      <c r="P22" s="95">
        <f t="shared" si="10"/>
        <v>0</v>
      </c>
      <c r="Q22" s="131">
        <f t="shared" si="11"/>
        <v>-10.922098569157342</v>
      </c>
      <c r="R22" s="132">
        <f t="shared" si="15"/>
        <v>0.87621621621621681</v>
      </c>
      <c r="S22" s="575"/>
      <c r="T22" s="133">
        <v>0.46805555555555556</v>
      </c>
      <c r="U22" s="133">
        <v>0.54513888888888884</v>
      </c>
      <c r="V22" s="332">
        <v>6</v>
      </c>
      <c r="W22" s="134">
        <f t="shared" si="16"/>
        <v>110.99999999999993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-185.67567567567494</v>
      </c>
      <c r="AG22" s="136">
        <f t="shared" si="7"/>
        <v>0.8762162162162167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1535.9322057347372</v>
      </c>
      <c r="O30" s="148">
        <f t="shared" si="17"/>
        <v>89.953752890666507</v>
      </c>
      <c r="P30" s="95">
        <f t="shared" ref="P30:P38" si="18">M30-J30</f>
        <v>0.39999999999999858</v>
      </c>
      <c r="Q30" s="131">
        <f t="shared" ref="Q30:Q38" si="19">O30-L30</f>
        <v>-10.260952991686437</v>
      </c>
      <c r="R30" s="149">
        <f t="shared" ref="R30:R38" si="20">O30/L30</f>
        <v>0.89761030677740772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0</v>
      </c>
      <c r="AF30" s="152">
        <f t="shared" si="6"/>
        <v>-129.26779426526286</v>
      </c>
      <c r="AG30" s="153">
        <f t="shared" ref="AG30" si="21">N30/K30</f>
        <v>0.92237100992958032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2003</v>
      </c>
      <c r="H31" s="157">
        <f t="shared" ref="H31:H40" si="22">F31*G31</f>
        <v>68562.689999999988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2072.0689655172414</v>
      </c>
      <c r="O31" s="160">
        <f t="shared" ref="O31:O38" si="24">N31/M31</f>
        <v>159.38992042440319</v>
      </c>
      <c r="P31" s="161">
        <f t="shared" si="18"/>
        <v>0</v>
      </c>
      <c r="Q31" s="162">
        <f t="shared" si="19"/>
        <v>-13.68700265251988</v>
      </c>
      <c r="R31" s="166">
        <f t="shared" si="20"/>
        <v>0.92091954022988509</v>
      </c>
      <c r="S31" s="614">
        <f>R43</f>
        <v>0.88255744852604168</v>
      </c>
      <c r="T31" s="163">
        <v>0.16666666666666666</v>
      </c>
      <c r="U31" s="163">
        <v>0.20694444444444443</v>
      </c>
      <c r="V31" s="93">
        <v>5</v>
      </c>
      <c r="W31" s="164">
        <f t="shared" ref="W31:W42" si="25">(U31-T31)*24*60</f>
        <v>57.999999999999993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-177.93103448275861</v>
      </c>
      <c r="AG31" s="165">
        <f t="shared" si="7"/>
        <v>0.92091954022988509</v>
      </c>
      <c r="AH31" s="592">
        <f>AG43</f>
        <v>0.88608951909063649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2124</v>
      </c>
      <c r="H32" s="127">
        <f t="shared" si="22"/>
        <v>75040.92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2089.1803278688531</v>
      </c>
      <c r="O32" s="86">
        <f t="shared" si="24"/>
        <v>174.09836065573776</v>
      </c>
      <c r="P32" s="88">
        <f t="shared" si="18"/>
        <v>0</v>
      </c>
      <c r="Q32" s="89">
        <f t="shared" si="19"/>
        <v>-2.4016393442622359</v>
      </c>
      <c r="R32" s="90">
        <f t="shared" si="20"/>
        <v>0.98639297821947747</v>
      </c>
      <c r="S32" s="575"/>
      <c r="T32" s="133">
        <v>0.21180555555555555</v>
      </c>
      <c r="U32" s="133">
        <v>0.25416666666666665</v>
      </c>
      <c r="V32" s="332">
        <v>7</v>
      </c>
      <c r="W32" s="134">
        <f t="shared" si="25"/>
        <v>60.999999999999986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-28.819672131146945</v>
      </c>
      <c r="AG32" s="90">
        <f t="shared" si="7"/>
        <v>0.98639297821947736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2324.35</v>
      </c>
      <c r="H33" s="127">
        <f t="shared" si="22"/>
        <v>84629.583499999993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2324.349999999999</v>
      </c>
      <c r="O33" s="86">
        <f t="shared" si="24"/>
        <v>232.43499999999989</v>
      </c>
      <c r="P33" s="88">
        <f t="shared" si="18"/>
        <v>0</v>
      </c>
      <c r="Q33" s="89">
        <f t="shared" si="19"/>
        <v>-44.465000000000089</v>
      </c>
      <c r="R33" s="90">
        <f t="shared" si="20"/>
        <v>0.83941856265799897</v>
      </c>
      <c r="S33" s="575"/>
      <c r="T33" s="133">
        <v>0.27013888888888887</v>
      </c>
      <c r="U33" s="133">
        <v>0.31180555555555556</v>
      </c>
      <c r="V33" s="332">
        <v>23</v>
      </c>
      <c r="W33" s="134">
        <f t="shared" si="25"/>
        <v>60.000000000000028</v>
      </c>
      <c r="X33" s="169">
        <v>0.26111111111111113</v>
      </c>
      <c r="Y33" s="169">
        <v>0.27083333333333331</v>
      </c>
      <c r="Z33" s="170"/>
      <c r="AA33" s="170"/>
      <c r="AB33" s="571"/>
      <c r="AC33" s="571"/>
      <c r="AD33" s="332"/>
      <c r="AE33" s="332"/>
      <c r="AF33" s="88">
        <f t="shared" si="6"/>
        <v>-444.650000000001</v>
      </c>
      <c r="AG33" s="171">
        <f t="shared" si="7"/>
        <v>0.83941856265799897</v>
      </c>
      <c r="AH33" s="590"/>
    </row>
    <row r="34" spans="1:34" ht="19.2" customHeight="1">
      <c r="A34" s="613"/>
      <c r="B34" s="167" t="s">
        <v>247</v>
      </c>
      <c r="C34" s="172"/>
      <c r="D34" s="125" t="s">
        <v>109</v>
      </c>
      <c r="E34" s="126"/>
      <c r="F34" s="650">
        <v>49.91</v>
      </c>
      <c r="G34" s="98">
        <v>669</v>
      </c>
      <c r="H34" s="127">
        <f t="shared" si="22"/>
        <v>33389.79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1294.8387096774204</v>
      </c>
      <c r="O34" s="86">
        <f t="shared" si="24"/>
        <v>76.1669829222012</v>
      </c>
      <c r="P34" s="88">
        <f t="shared" si="18"/>
        <v>0</v>
      </c>
      <c r="Q34" s="89">
        <f t="shared" si="19"/>
        <v>-12.068311195445858</v>
      </c>
      <c r="R34" s="90">
        <f t="shared" si="20"/>
        <v>0.86322580645161362</v>
      </c>
      <c r="S34" s="575"/>
      <c r="T34" s="133">
        <v>0.31597222222222221</v>
      </c>
      <c r="U34" s="133">
        <v>0.33749999999999997</v>
      </c>
      <c r="V34" s="332">
        <v>6</v>
      </c>
      <c r="W34" s="134">
        <f t="shared" si="25"/>
        <v>30.999999999999972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-205.16129032257959</v>
      </c>
      <c r="AG34" s="171">
        <f t="shared" si="7"/>
        <v>0.86322580645161362</v>
      </c>
      <c r="AH34" s="590"/>
    </row>
    <row r="35" spans="1:34" ht="19.2" customHeight="1">
      <c r="A35" s="613"/>
      <c r="B35" s="167" t="s">
        <v>247</v>
      </c>
      <c r="C35" s="79"/>
      <c r="D35" s="80" t="s">
        <v>110</v>
      </c>
      <c r="E35" s="81"/>
      <c r="F35" s="650">
        <v>53.27</v>
      </c>
      <c r="G35" s="173">
        <v>1180</v>
      </c>
      <c r="H35" s="127">
        <f t="shared" si="22"/>
        <v>62858.600000000006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1311.1111111111118</v>
      </c>
      <c r="O35" s="86">
        <f t="shared" si="24"/>
        <v>72.839506172839549</v>
      </c>
      <c r="P35" s="88">
        <f t="shared" si="18"/>
        <v>0</v>
      </c>
      <c r="Q35" s="89">
        <f t="shared" si="19"/>
        <v>-10.49382716049378</v>
      </c>
      <c r="R35" s="90">
        <f t="shared" si="20"/>
        <v>0.87407407407407467</v>
      </c>
      <c r="S35" s="575"/>
      <c r="T35" s="133">
        <v>0.35624999999999996</v>
      </c>
      <c r="U35" s="133">
        <v>0.39374999999999993</v>
      </c>
      <c r="V35" s="332">
        <v>22</v>
      </c>
      <c r="W35" s="134">
        <f t="shared" si="25"/>
        <v>53.999999999999972</v>
      </c>
      <c r="X35" s="169">
        <v>0.34097222222222223</v>
      </c>
      <c r="Y35" s="169">
        <v>0.35000000000000003</v>
      </c>
      <c r="Z35" s="170"/>
      <c r="AA35" s="170"/>
      <c r="AB35" s="571"/>
      <c r="AC35" s="571"/>
      <c r="AD35" s="332"/>
      <c r="AE35" s="332"/>
      <c r="AF35" s="161">
        <f t="shared" si="6"/>
        <v>-188.88888888888823</v>
      </c>
      <c r="AG35" s="165">
        <f t="shared" si="7"/>
        <v>0.87407407407407456</v>
      </c>
      <c r="AH35" s="593"/>
    </row>
    <row r="36" spans="1:34" ht="19.2" customHeight="1">
      <c r="A36" s="613"/>
      <c r="B36" s="167" t="s">
        <v>245</v>
      </c>
      <c r="C36" s="175"/>
      <c r="D36" s="80" t="s">
        <v>111</v>
      </c>
      <c r="E36" s="126"/>
      <c r="F36" s="650">
        <v>29.113149847094796</v>
      </c>
      <c r="G36" s="98">
        <v>2458.56</v>
      </c>
      <c r="H36" s="127">
        <f t="shared" si="22"/>
        <v>71576.425688073374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1328.9513513513514</v>
      </c>
      <c r="O36" s="86">
        <f t="shared" si="24"/>
        <v>66.447567567567575</v>
      </c>
      <c r="P36" s="88">
        <f t="shared" si="18"/>
        <v>0</v>
      </c>
      <c r="Q36" s="89">
        <f t="shared" si="19"/>
        <v>-8.5524324324324255</v>
      </c>
      <c r="R36" s="90">
        <f t="shared" si="20"/>
        <v>0.88596756756756767</v>
      </c>
      <c r="S36" s="575"/>
      <c r="T36" s="133">
        <v>0.40833333333333327</v>
      </c>
      <c r="U36" s="133">
        <v>0.48541666666666661</v>
      </c>
      <c r="V36" s="332">
        <v>21</v>
      </c>
      <c r="W36" s="134">
        <f t="shared" si="25"/>
        <v>111</v>
      </c>
      <c r="X36" s="169">
        <v>0.3972222222222222</v>
      </c>
      <c r="Y36" s="169">
        <v>0.4055555555555555</v>
      </c>
      <c r="Z36" s="170"/>
      <c r="AA36" s="170"/>
      <c r="AB36" s="571"/>
      <c r="AC36" s="571"/>
      <c r="AD36" s="332"/>
      <c r="AE36" s="332"/>
      <c r="AF36" s="88">
        <f t="shared" si="6"/>
        <v>-171.04864864864862</v>
      </c>
      <c r="AG36" s="90">
        <f t="shared" si="7"/>
        <v>0.88596756756756756</v>
      </c>
      <c r="AH36" s="593"/>
    </row>
    <row r="37" spans="1:34" ht="19.2" customHeight="1">
      <c r="A37" s="613"/>
      <c r="B37" s="167" t="s">
        <v>244</v>
      </c>
      <c r="C37" s="175"/>
      <c r="D37" s="125" t="s">
        <v>105</v>
      </c>
      <c r="E37" s="126"/>
      <c r="F37" s="650">
        <v>38.39</v>
      </c>
      <c r="G37" s="98">
        <v>821.69999999999993</v>
      </c>
      <c r="H37" s="127">
        <f t="shared" si="22"/>
        <v>31545.062999999998</v>
      </c>
      <c r="I37" s="332">
        <v>2</v>
      </c>
      <c r="J37" s="85">
        <v>16</v>
      </c>
      <c r="K37" s="82">
        <v>1636</v>
      </c>
      <c r="L37" s="86">
        <v>102.25</v>
      </c>
      <c r="M37" s="85">
        <v>17</v>
      </c>
      <c r="N37" s="82">
        <f t="shared" si="23"/>
        <v>1369.4999999999989</v>
      </c>
      <c r="O37" s="86">
        <f t="shared" si="24"/>
        <v>80.558823529411697</v>
      </c>
      <c r="P37" s="88">
        <f t="shared" si="18"/>
        <v>1</v>
      </c>
      <c r="Q37" s="89">
        <f t="shared" si="19"/>
        <v>-21.691176470588303</v>
      </c>
      <c r="R37" s="90">
        <f t="shared" si="20"/>
        <v>0.78786135481087238</v>
      </c>
      <c r="S37" s="575"/>
      <c r="T37" s="133">
        <v>0.5263888888888888</v>
      </c>
      <c r="U37" s="133">
        <v>0.55138888888888882</v>
      </c>
      <c r="V37" s="332">
        <v>6</v>
      </c>
      <c r="W37" s="134">
        <f t="shared" si="25"/>
        <v>36.000000000000028</v>
      </c>
      <c r="X37" s="169"/>
      <c r="Y37" s="169"/>
      <c r="Z37" s="170"/>
      <c r="AA37" s="170"/>
      <c r="AB37" s="571"/>
      <c r="AC37" s="571"/>
      <c r="AD37" s="332">
        <v>1</v>
      </c>
      <c r="AE37" s="332"/>
      <c r="AF37" s="88">
        <f t="shared" si="6"/>
        <v>-266.50000000000114</v>
      </c>
      <c r="AG37" s="171">
        <f t="shared" si="7"/>
        <v>0.83710268948655187</v>
      </c>
      <c r="AH37" s="593"/>
    </row>
    <row r="38" spans="1:34" ht="19.2" customHeight="1">
      <c r="A38" s="613"/>
      <c r="B38" s="167" t="s">
        <v>245</v>
      </c>
      <c r="C38" s="175"/>
      <c r="D38" s="125" t="s">
        <v>111</v>
      </c>
      <c r="E38" s="126"/>
      <c r="F38" s="650">
        <v>29.113149847094796</v>
      </c>
      <c r="G38" s="98">
        <v>693.44</v>
      </c>
      <c r="H38" s="127">
        <f t="shared" si="22"/>
        <v>20188.222629969416</v>
      </c>
      <c r="I38" s="332">
        <v>2</v>
      </c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1300.1999999999985</v>
      </c>
      <c r="O38" s="86">
        <f t="shared" si="24"/>
        <v>65.00999999999992</v>
      </c>
      <c r="P38" s="88">
        <f t="shared" si="18"/>
        <v>0</v>
      </c>
      <c r="Q38" s="89">
        <f t="shared" si="19"/>
        <v>-9.9900000000000801</v>
      </c>
      <c r="R38" s="90">
        <f t="shared" si="20"/>
        <v>0.8667999999999989</v>
      </c>
      <c r="S38" s="575"/>
      <c r="T38" s="133">
        <v>0.55624999999999991</v>
      </c>
      <c r="U38" s="133">
        <v>0.57847222222222217</v>
      </c>
      <c r="V38" s="332">
        <v>7</v>
      </c>
      <c r="W38" s="134">
        <f t="shared" si="25"/>
        <v>32.000000000000043</v>
      </c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-199.80000000000155</v>
      </c>
      <c r="AG38" s="171">
        <f t="shared" si="7"/>
        <v>0.86679999999999902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J43:O43" si="26">AVERAGE(M31:M42)</f>
        <v>15.875</v>
      </c>
      <c r="N43" s="145">
        <f t="shared" si="26"/>
        <v>1636.2750581907467</v>
      </c>
      <c r="O43" s="148">
        <f t="shared" si="26"/>
        <v>115.8682701590201</v>
      </c>
      <c r="P43" s="95">
        <f>M43-J43</f>
        <v>0.125</v>
      </c>
      <c r="Q43" s="131">
        <f>N43-K43</f>
        <v>-210.34994180925332</v>
      </c>
      <c r="R43" s="149">
        <f t="shared" ref="R43:R51" si="27">O43/L43</f>
        <v>0.88255744852604168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1</v>
      </c>
      <c r="AE43" s="151">
        <f>SUM(AE31:AE42)</f>
        <v>0</v>
      </c>
      <c r="AF43" s="88">
        <f t="shared" ref="AF43:AF54" si="28">N43-K43</f>
        <v>-210.34994180925332</v>
      </c>
      <c r="AG43" s="108">
        <f t="shared" si="7"/>
        <v>0.88608951909063649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498</v>
      </c>
      <c r="H44" s="83">
        <f>F44*G44</f>
        <v>11090.46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1757.6470588235318</v>
      </c>
      <c r="O44" s="187">
        <f>N44/M44</f>
        <v>351.52941176470637</v>
      </c>
      <c r="P44" s="92">
        <f t="shared" ref="P44:P51" si="29">M44-J44</f>
        <v>1</v>
      </c>
      <c r="Q44" s="188">
        <f t="shared" ref="Q44:Q51" si="30">O44-L44</f>
        <v>-148.47058823529363</v>
      </c>
      <c r="R44" s="189">
        <f t="shared" si="27"/>
        <v>0.70305882352941274</v>
      </c>
      <c r="S44" s="590">
        <f>R56</f>
        <v>0.86046156008074715</v>
      </c>
      <c r="T44" s="190">
        <v>0.16666666666666666</v>
      </c>
      <c r="U44" s="190">
        <v>0.1784722222222222</v>
      </c>
      <c r="V44" s="191">
        <v>5</v>
      </c>
      <c r="W44" s="192">
        <f t="shared" ref="W44:W56" si="31">(U44-T44)*24*60</f>
        <v>16.999999999999979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-242.35294117646822</v>
      </c>
      <c r="AG44" s="194">
        <f t="shared" si="7"/>
        <v>0.87882352941176589</v>
      </c>
      <c r="AH44" s="611">
        <f>AG56</f>
        <v>0.99135769644409255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2139</v>
      </c>
      <c r="H45" s="83">
        <f>F45*G45</f>
        <v>52897.47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2139.0000000000005</v>
      </c>
      <c r="O45" s="187">
        <f>N45/M45</f>
        <v>427.80000000000007</v>
      </c>
      <c r="P45" s="92">
        <f t="shared" si="29"/>
        <v>1</v>
      </c>
      <c r="Q45" s="188">
        <f t="shared" si="30"/>
        <v>-72.199999999999932</v>
      </c>
      <c r="R45" s="189">
        <f t="shared" si="27"/>
        <v>0.85560000000000014</v>
      </c>
      <c r="S45" s="590"/>
      <c r="T45" s="190">
        <v>0.18194444444444441</v>
      </c>
      <c r="U45" s="190">
        <v>0.22361111111111107</v>
      </c>
      <c r="V45" s="191">
        <v>5</v>
      </c>
      <c r="W45" s="192">
        <f t="shared" si="31"/>
        <v>59.999999999999986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139.00000000000045</v>
      </c>
      <c r="AG45" s="194">
        <f t="shared" si="7"/>
        <v>1.0695000000000001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2060</v>
      </c>
      <c r="H46" s="83">
        <f t="shared" ref="H46:H51" si="32">F46*G46</f>
        <v>50943.8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2131.0344827586209</v>
      </c>
      <c r="O46" s="187">
        <f>N46/M46</f>
        <v>426.20689655172418</v>
      </c>
      <c r="P46" s="92">
        <f t="shared" si="29"/>
        <v>1</v>
      </c>
      <c r="Q46" s="188">
        <f t="shared" si="30"/>
        <v>-73.793103448275815</v>
      </c>
      <c r="R46" s="189">
        <f t="shared" si="27"/>
        <v>0.85241379310344834</v>
      </c>
      <c r="S46" s="590"/>
      <c r="T46" s="190">
        <v>0.22708333333333328</v>
      </c>
      <c r="U46" s="190">
        <v>0.26736111111111105</v>
      </c>
      <c r="V46" s="191">
        <v>5</v>
      </c>
      <c r="W46" s="192">
        <f t="shared" si="31"/>
        <v>57.999999999999993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131.03448275862092</v>
      </c>
      <c r="AG46" s="194">
        <f t="shared" si="7"/>
        <v>1.0655172413793104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2852</v>
      </c>
      <c r="H47" s="83">
        <f t="shared" si="32"/>
        <v>89638.36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1475.1724137931035</v>
      </c>
      <c r="O47" s="187">
        <f>N47/M47</f>
        <v>210.73891625615764</v>
      </c>
      <c r="P47" s="92">
        <f t="shared" si="29"/>
        <v>0</v>
      </c>
      <c r="Q47" s="188">
        <f t="shared" si="30"/>
        <v>-3.5467980295566406</v>
      </c>
      <c r="R47" s="189">
        <f t="shared" si="27"/>
        <v>0.98344827586206895</v>
      </c>
      <c r="S47" s="590"/>
      <c r="T47" s="190">
        <v>0.28472222222222215</v>
      </c>
      <c r="U47" s="190">
        <v>0.3652777777777777</v>
      </c>
      <c r="V47" s="186">
        <v>25</v>
      </c>
      <c r="W47" s="192">
        <f t="shared" si="31"/>
        <v>115.99999999999999</v>
      </c>
      <c r="X47" s="169">
        <v>0.27083333333333331</v>
      </c>
      <c r="Y47" s="169">
        <v>0.28194444444444444</v>
      </c>
      <c r="Z47" s="170"/>
      <c r="AA47" s="170"/>
      <c r="AB47" s="571"/>
      <c r="AC47" s="571"/>
      <c r="AD47" s="332"/>
      <c r="AE47" s="332"/>
      <c r="AF47" s="193">
        <f t="shared" si="28"/>
        <v>-24.827586206896513</v>
      </c>
      <c r="AG47" s="194">
        <f t="shared" si="7"/>
        <v>0.98344827586206895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2372</v>
      </c>
      <c r="H48" s="83">
        <f t="shared" si="32"/>
        <v>27515.200000000001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1482.5000000000005</v>
      </c>
      <c r="O48" s="187">
        <f t="shared" ref="O48:O51" si="34">N48/M48</f>
        <v>211.78571428571436</v>
      </c>
      <c r="P48" s="92">
        <f t="shared" si="29"/>
        <v>0</v>
      </c>
      <c r="Q48" s="188">
        <f t="shared" si="30"/>
        <v>-21.92857142857136</v>
      </c>
      <c r="R48" s="189">
        <f t="shared" si="27"/>
        <v>0.90617359413202969</v>
      </c>
      <c r="S48" s="590"/>
      <c r="T48" s="201">
        <v>0.38263888888888881</v>
      </c>
      <c r="U48" s="201">
        <v>0.44930555555555546</v>
      </c>
      <c r="V48" s="183">
        <v>25</v>
      </c>
      <c r="W48" s="192">
        <f t="shared" si="31"/>
        <v>95.999999999999972</v>
      </c>
      <c r="X48" s="169">
        <v>0.36874999999999997</v>
      </c>
      <c r="Y48" s="169">
        <v>0.37986111111111115</v>
      </c>
      <c r="Z48" s="170"/>
      <c r="AA48" s="170"/>
      <c r="AB48" s="571"/>
      <c r="AC48" s="571"/>
      <c r="AD48" s="332"/>
      <c r="AE48" s="332"/>
      <c r="AF48" s="193">
        <f t="shared" si="28"/>
        <v>-153.49999999999955</v>
      </c>
      <c r="AG48" s="194">
        <f t="shared" si="7"/>
        <v>0.90617359413202958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2546.4</v>
      </c>
      <c r="H49" s="83">
        <f t="shared" si="32"/>
        <v>25693.175999999999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1455.0857142857139</v>
      </c>
      <c r="O49" s="187">
        <f t="shared" si="34"/>
        <v>242.51428571428565</v>
      </c>
      <c r="P49" s="92">
        <f t="shared" si="29"/>
        <v>0</v>
      </c>
      <c r="Q49" s="188">
        <f t="shared" si="30"/>
        <v>-7.4857142857143515</v>
      </c>
      <c r="R49" s="189">
        <f t="shared" si="27"/>
        <v>0.97005714285714262</v>
      </c>
      <c r="S49" s="590"/>
      <c r="T49" s="201">
        <v>0.45624999999999988</v>
      </c>
      <c r="U49" s="201">
        <v>0.52916666666666656</v>
      </c>
      <c r="V49" s="183">
        <v>10</v>
      </c>
      <c r="W49" s="192">
        <f t="shared" si="31"/>
        <v>105.00000000000003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-44.914285714286052</v>
      </c>
      <c r="AG49" s="194">
        <f t="shared" si="7"/>
        <v>0.97005714285714262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2673.72</v>
      </c>
      <c r="H50" s="83">
        <f t="shared" si="32"/>
        <v>26977.834799999997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1458.392727272726</v>
      </c>
      <c r="O50" s="187">
        <f t="shared" si="34"/>
        <v>243.06545454545434</v>
      </c>
      <c r="P50" s="92">
        <f t="shared" si="29"/>
        <v>0</v>
      </c>
      <c r="Q50" s="188">
        <f t="shared" si="30"/>
        <v>-6.9345454545456562</v>
      </c>
      <c r="R50" s="189">
        <f t="shared" si="27"/>
        <v>0.97226181818181734</v>
      </c>
      <c r="S50" s="590"/>
      <c r="T50" s="201">
        <v>0.54999999999999993</v>
      </c>
      <c r="U50" s="201">
        <v>0.62638888888888888</v>
      </c>
      <c r="V50" s="183">
        <v>30</v>
      </c>
      <c r="W50" s="192">
        <f t="shared" si="31"/>
        <v>110.00000000000009</v>
      </c>
      <c r="X50" s="202">
        <v>0.53263888888888888</v>
      </c>
      <c r="Y50" s="202">
        <v>0.54722222222222217</v>
      </c>
      <c r="Z50" s="203"/>
      <c r="AA50" s="203"/>
      <c r="AB50" s="571"/>
      <c r="AC50" s="571"/>
      <c r="AD50" s="332"/>
      <c r="AE50" s="332"/>
      <c r="AF50" s="193">
        <f t="shared" si="28"/>
        <v>-41.607272727273994</v>
      </c>
      <c r="AG50" s="194">
        <f t="shared" si="7"/>
        <v>0.97226181818181734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1128</v>
      </c>
      <c r="H51" s="83">
        <f t="shared" si="32"/>
        <v>24725.760000000002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2114.9999999999968</v>
      </c>
      <c r="O51" s="187">
        <f t="shared" si="34"/>
        <v>422.99999999999937</v>
      </c>
      <c r="P51" s="92">
        <f t="shared" si="29"/>
        <v>1</v>
      </c>
      <c r="Q51" s="188">
        <f t="shared" si="30"/>
        <v>-77.000000000000625</v>
      </c>
      <c r="R51" s="189">
        <f t="shared" si="27"/>
        <v>0.84599999999999875</v>
      </c>
      <c r="S51" s="590"/>
      <c r="T51" s="201">
        <v>0.6333333333333333</v>
      </c>
      <c r="U51" s="201">
        <v>0.65555555555555556</v>
      </c>
      <c r="V51" s="183">
        <v>10</v>
      </c>
      <c r="W51" s="192">
        <f t="shared" si="31"/>
        <v>32.000000000000043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114.99999999999682</v>
      </c>
      <c r="AG51" s="194">
        <f t="shared" si="7"/>
        <v>1.0574999999999983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1751.7290496167116</v>
      </c>
      <c r="O56" s="148">
        <f t="shared" si="35"/>
        <v>317.08008488975531</v>
      </c>
      <c r="P56" s="208">
        <f>M56-J56</f>
        <v>0.5</v>
      </c>
      <c r="Q56" s="162">
        <f>N56-K56</f>
        <v>-15.270950383288437</v>
      </c>
      <c r="R56" s="209">
        <f t="shared" ref="R56:R61" si="36">O56/L56</f>
        <v>0.86046156008074715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-15.270950383288437</v>
      </c>
      <c r="AG56" s="132">
        <f>N56/K56</f>
        <v>0.99135769644409255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1696</v>
      </c>
      <c r="H57" s="127">
        <f t="shared" ref="H57:H66" si="37">F57*G57</f>
        <v>47928.959999999999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1453.714285714286</v>
      </c>
      <c r="O57" s="129">
        <f t="shared" ref="O57:O61" si="39">N57/M57</f>
        <v>207.67346938775515</v>
      </c>
      <c r="P57" s="216">
        <f t="shared" ref="P57:P61" si="40">M57-J57</f>
        <v>0</v>
      </c>
      <c r="Q57" s="89">
        <f t="shared" ref="Q57:Q61" si="41">O57-L57</f>
        <v>-6.6122448979591297</v>
      </c>
      <c r="R57" s="90">
        <f t="shared" si="36"/>
        <v>0.96914285714285742</v>
      </c>
      <c r="S57" s="590">
        <f>R69</f>
        <v>0.91926475840336119</v>
      </c>
      <c r="T57" s="190">
        <v>0.16666666666666666</v>
      </c>
      <c r="U57" s="190">
        <v>0.21527777777777776</v>
      </c>
      <c r="V57" s="75">
        <v>5</v>
      </c>
      <c r="W57" s="84">
        <f>(U57-T57)*24*60</f>
        <v>69.999999999999986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-46.285714285713993</v>
      </c>
      <c r="AG57" s="166">
        <f t="shared" si="7"/>
        <v>0.96914285714285731</v>
      </c>
      <c r="AH57" s="592">
        <f>AG69</f>
        <v>0.98054907563025195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2424</v>
      </c>
      <c r="H58" s="83">
        <f t="shared" si="37"/>
        <v>67581.119999999995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1469.0909090909095</v>
      </c>
      <c r="O58" s="86">
        <f t="shared" si="39"/>
        <v>209.87012987012992</v>
      </c>
      <c r="P58" s="216">
        <f t="shared" si="40"/>
        <v>0</v>
      </c>
      <c r="Q58" s="89">
        <f t="shared" si="41"/>
        <v>-4.4155844155843624</v>
      </c>
      <c r="R58" s="90">
        <f t="shared" si="36"/>
        <v>0.97939393939393959</v>
      </c>
      <c r="S58" s="590"/>
      <c r="T58" s="217">
        <v>0.22222222222222221</v>
      </c>
      <c r="U58" s="217">
        <v>0.29097222222222219</v>
      </c>
      <c r="V58" s="75">
        <v>10</v>
      </c>
      <c r="W58" s="84">
        <f>(U58-T58)*24*60</f>
        <v>98.999999999999972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-30.909090909090537</v>
      </c>
      <c r="AG58" s="90">
        <f t="shared" si="7"/>
        <v>0.97939393939393959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2739</v>
      </c>
      <c r="H59" s="83">
        <f t="shared" si="37"/>
        <v>76692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1467.3214285714284</v>
      </c>
      <c r="O59" s="86">
        <f t="shared" si="39"/>
        <v>209.61734693877548</v>
      </c>
      <c r="P59" s="216">
        <f t="shared" si="40"/>
        <v>0</v>
      </c>
      <c r="Q59" s="89">
        <f t="shared" si="41"/>
        <v>-4.6683673469387941</v>
      </c>
      <c r="R59" s="90">
        <f t="shared" si="36"/>
        <v>0.97821428571428559</v>
      </c>
      <c r="S59" s="590"/>
      <c r="T59" s="217">
        <v>0.30833333333333329</v>
      </c>
      <c r="U59" s="217">
        <v>0.38611111111111107</v>
      </c>
      <c r="V59" s="191">
        <v>25</v>
      </c>
      <c r="W59" s="84">
        <f>(U59-T59)*24*60</f>
        <v>112</v>
      </c>
      <c r="X59" s="94">
        <v>0.29444444444444445</v>
      </c>
      <c r="Y59" s="94">
        <v>0.30555555555555552</v>
      </c>
      <c r="Z59" s="95"/>
      <c r="AA59" s="95"/>
      <c r="AB59" s="571"/>
      <c r="AC59" s="571"/>
      <c r="AD59" s="332"/>
      <c r="AE59" s="332"/>
      <c r="AF59" s="88">
        <f t="shared" si="6"/>
        <v>-32.678571428571558</v>
      </c>
      <c r="AG59" s="90">
        <f t="shared" si="7"/>
        <v>0.97821428571428559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2419.08</v>
      </c>
      <c r="H60" s="83">
        <f t="shared" si="37"/>
        <v>24408.517199999998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1466.1090909090901</v>
      </c>
      <c r="O60" s="86">
        <f t="shared" si="39"/>
        <v>209.44415584415574</v>
      </c>
      <c r="P60" s="216">
        <f t="shared" si="40"/>
        <v>1</v>
      </c>
      <c r="Q60" s="89">
        <f t="shared" si="41"/>
        <v>-40.555844155844255</v>
      </c>
      <c r="R60" s="90">
        <f t="shared" si="36"/>
        <v>0.83777662337662295</v>
      </c>
      <c r="S60" s="590"/>
      <c r="T60" s="217">
        <v>0.40347222222222218</v>
      </c>
      <c r="U60" s="217">
        <v>0.47222222222222221</v>
      </c>
      <c r="V60" s="191">
        <v>25</v>
      </c>
      <c r="W60" s="84">
        <f>(U60-T60)*24*60</f>
        <v>99.000000000000043</v>
      </c>
      <c r="X60" s="94">
        <v>0.38958333333333334</v>
      </c>
      <c r="Y60" s="94">
        <v>0.40069444444444446</v>
      </c>
      <c r="Z60" s="95"/>
      <c r="AA60" s="95"/>
      <c r="AB60" s="571"/>
      <c r="AC60" s="571"/>
      <c r="AD60" s="332"/>
      <c r="AE60" s="332"/>
      <c r="AF60" s="88">
        <f t="shared" si="6"/>
        <v>-33.890909090909872</v>
      </c>
      <c r="AG60" s="166">
        <f t="shared" si="7"/>
        <v>0.97740606060606006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5092.8</v>
      </c>
      <c r="H61" s="83">
        <f t="shared" si="37"/>
        <v>51386.351999999999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1497.8823529411766</v>
      </c>
      <c r="O61" s="86">
        <f t="shared" si="39"/>
        <v>213.98319327731093</v>
      </c>
      <c r="P61" s="216">
        <f t="shared" si="40"/>
        <v>1</v>
      </c>
      <c r="Q61" s="89">
        <f t="shared" si="41"/>
        <v>-36.016806722689068</v>
      </c>
      <c r="R61" s="90">
        <f t="shared" si="36"/>
        <v>0.85593277310924376</v>
      </c>
      <c r="S61" s="590"/>
      <c r="T61" s="217">
        <v>0.49305555555555552</v>
      </c>
      <c r="U61" s="217">
        <v>0.63472222222222219</v>
      </c>
      <c r="V61" s="191">
        <v>30</v>
      </c>
      <c r="W61" s="84">
        <f t="shared" ref="W61:W69" si="42">(U61-T61)*24*60</f>
        <v>204</v>
      </c>
      <c r="X61" s="94">
        <v>0.47569444444444442</v>
      </c>
      <c r="Y61" s="94">
        <v>0.49027777777777781</v>
      </c>
      <c r="Z61" s="95"/>
      <c r="AA61" s="95"/>
      <c r="AB61" s="571"/>
      <c r="AC61" s="571"/>
      <c r="AD61" s="332"/>
      <c r="AE61" s="332"/>
      <c r="AF61" s="88">
        <f t="shared" si="6"/>
        <v>-2.1176470588234224</v>
      </c>
      <c r="AG61" s="90">
        <f t="shared" si="7"/>
        <v>0.99858823529411767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>
        <f t="shared" si="42"/>
        <v>0</v>
      </c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>
        <f t="shared" si="42"/>
        <v>0</v>
      </c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>
        <f t="shared" si="42"/>
        <v>0</v>
      </c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si="42"/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1470.823613445378</v>
      </c>
      <c r="O69" s="116">
        <f t="shared" si="43"/>
        <v>210.11765906362544</v>
      </c>
      <c r="P69" s="88">
        <f>M69-J69</f>
        <v>0.40000000000000036</v>
      </c>
      <c r="Q69" s="89">
        <f>N69-K69</f>
        <v>-29.176386554622013</v>
      </c>
      <c r="R69" s="225">
        <f t="shared" ref="R69:R70" si="44">O69/L69</f>
        <v>0.91926475840336119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-29.176386554622013</v>
      </c>
      <c r="AG69" s="90">
        <f t="shared" si="7"/>
        <v>0.98054907563025195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390</v>
      </c>
      <c r="H70" s="83">
        <f>F70*G70</f>
        <v>24230.7</v>
      </c>
      <c r="I70" s="75"/>
      <c r="J70" s="85">
        <v>14</v>
      </c>
      <c r="K70" s="82">
        <v>1500</v>
      </c>
      <c r="L70" s="86">
        <v>107.14285714285714</v>
      </c>
      <c r="M70" s="87">
        <v>13</v>
      </c>
      <c r="N70" s="82">
        <f t="shared" ref="N70:N75" si="45">G70/W70*60</f>
        <v>1231.5789473684201</v>
      </c>
      <c r="O70" s="86">
        <f t="shared" ref="O70:O75" si="46">N70/M70</f>
        <v>94.736842105263094</v>
      </c>
      <c r="P70" s="88">
        <f t="shared" ref="P70:P75" si="47">M70-J70</f>
        <v>-1</v>
      </c>
      <c r="Q70" s="89">
        <f t="shared" ref="Q70" si="48">O70-L70</f>
        <v>-12.406015037594045</v>
      </c>
      <c r="R70" s="90">
        <f t="shared" si="44"/>
        <v>0.88421052631578889</v>
      </c>
      <c r="S70" s="590">
        <f>R82</f>
        <v>0.86576149661669211</v>
      </c>
      <c r="T70" s="91">
        <v>0.29166666666666669</v>
      </c>
      <c r="U70" s="91">
        <v>0.30486111111111114</v>
      </c>
      <c r="V70" s="75">
        <v>5</v>
      </c>
      <c r="W70" s="84">
        <f>(U70-T70)*24*60</f>
        <v>19.000000000000014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-268.42105263157987</v>
      </c>
      <c r="AG70" s="90">
        <f t="shared" si="7"/>
        <v>0.8210526315789467</v>
      </c>
      <c r="AH70" s="590">
        <f>AG82</f>
        <v>0.86719573817512419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2278</v>
      </c>
      <c r="H71" s="83">
        <f>F71*G71</f>
        <v>108546.7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1326.9902912621365</v>
      </c>
      <c r="O71" s="86">
        <f t="shared" si="46"/>
        <v>73.721682847896474</v>
      </c>
      <c r="P71" s="88">
        <f t="shared" si="47"/>
        <v>0</v>
      </c>
      <c r="Q71" s="89">
        <f>O71-L71</f>
        <v>-6.2783171521035257</v>
      </c>
      <c r="R71" s="90">
        <f>O71/L71</f>
        <v>0.92152103559870591</v>
      </c>
      <c r="S71" s="590"/>
      <c r="T71" s="91">
        <v>0.31041666666666667</v>
      </c>
      <c r="U71" s="91">
        <v>0.38194444444444442</v>
      </c>
      <c r="V71" s="75">
        <v>8</v>
      </c>
      <c r="W71" s="84">
        <f t="shared" ref="W71:W81" si="49">(U71-T71)*24*60</f>
        <v>102.99999999999996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-113.00970873786355</v>
      </c>
      <c r="AG71" s="90">
        <f>N71/K71</f>
        <v>0.92152103559870591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1353.5200000000002</v>
      </c>
      <c r="H72" s="83">
        <f t="shared" ref="H72:H80" si="50">F72*G72</f>
        <v>76947.612000000008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1376.4610169491521</v>
      </c>
      <c r="O72" s="86">
        <f t="shared" si="46"/>
        <v>76.470056497175108</v>
      </c>
      <c r="P72" s="88">
        <f t="shared" si="47"/>
        <v>0</v>
      </c>
      <c r="Q72" s="89">
        <f>O72-L72</f>
        <v>-14.418832391713778</v>
      </c>
      <c r="R72" s="90">
        <f>O72/L72</f>
        <v>0.84135758982222009</v>
      </c>
      <c r="S72" s="590"/>
      <c r="T72" s="91">
        <v>0.3972222222222222</v>
      </c>
      <c r="U72" s="91">
        <v>0.43819444444444444</v>
      </c>
      <c r="V72" s="75">
        <v>22</v>
      </c>
      <c r="W72" s="84">
        <f t="shared" si="49"/>
        <v>59.000000000000028</v>
      </c>
      <c r="X72" s="94">
        <v>0.38541666666666669</v>
      </c>
      <c r="Y72" s="94">
        <v>0.39444444444444443</v>
      </c>
      <c r="Z72" s="95"/>
      <c r="AA72" s="95"/>
      <c r="AB72" s="571"/>
      <c r="AC72" s="571"/>
      <c r="AD72" s="332"/>
      <c r="AE72" s="332"/>
      <c r="AF72" s="88">
        <f>N72-K72</f>
        <v>-259.53898305084795</v>
      </c>
      <c r="AG72" s="90">
        <f>N72/K72</f>
        <v>0.84135758982222009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2200</v>
      </c>
      <c r="H73" s="83">
        <f t="shared" si="50"/>
        <v>118272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1320.0000000000005</v>
      </c>
      <c r="O73" s="86">
        <f t="shared" si="46"/>
        <v>82.500000000000028</v>
      </c>
      <c r="P73" s="88">
        <f t="shared" si="47"/>
        <v>0</v>
      </c>
      <c r="Q73" s="89">
        <f>O73-L73</f>
        <v>-7.4999999999999716</v>
      </c>
      <c r="R73" s="90">
        <f>O73/L73</f>
        <v>0.91666666666666696</v>
      </c>
      <c r="S73" s="590"/>
      <c r="T73" s="91">
        <v>0.47916666666666663</v>
      </c>
      <c r="U73" s="91">
        <v>0.54861111111111105</v>
      </c>
      <c r="V73" s="75">
        <v>6</v>
      </c>
      <c r="W73" s="84">
        <f t="shared" si="49"/>
        <v>99.999999999999972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-119.99999999999955</v>
      </c>
      <c r="AG73" s="90">
        <f>N73/K73</f>
        <v>0.91666666666666696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2229</v>
      </c>
      <c r="H74" s="83">
        <f t="shared" si="50"/>
        <v>105899.79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1324.1584158415847</v>
      </c>
      <c r="O74" s="86">
        <f t="shared" si="46"/>
        <v>77.891671520093212</v>
      </c>
      <c r="P74" s="88">
        <f t="shared" si="47"/>
        <v>0</v>
      </c>
      <c r="Q74" s="89">
        <f>O74-L74</f>
        <v>-6.8142108328479623</v>
      </c>
      <c r="R74" s="90">
        <f>O74/L74</f>
        <v>0.91955445544554493</v>
      </c>
      <c r="S74" s="590"/>
      <c r="T74" s="91">
        <v>0.56458333333333321</v>
      </c>
      <c r="U74" s="91">
        <v>0.63472222222222208</v>
      </c>
      <c r="V74" s="75">
        <v>23</v>
      </c>
      <c r="W74" s="84">
        <f t="shared" si="49"/>
        <v>100.99999999999996</v>
      </c>
      <c r="X74" s="233">
        <v>0.55208333333333337</v>
      </c>
      <c r="Y74" s="233">
        <v>0.56180555555555556</v>
      </c>
      <c r="Z74" s="170"/>
      <c r="AA74" s="170"/>
      <c r="AB74" s="571"/>
      <c r="AC74" s="571"/>
      <c r="AD74" s="332"/>
      <c r="AE74" s="332"/>
      <c r="AF74" s="88">
        <f t="shared" ref="AF74:AF80" si="51">N74-K74</f>
        <v>-115.84158415841534</v>
      </c>
      <c r="AG74" s="90">
        <f t="shared" ref="AG74:AG80" si="52">N74/K74</f>
        <v>0.91955445544554493</v>
      </c>
      <c r="AH74" s="590"/>
    </row>
    <row r="75" spans="1:34" ht="19.2" customHeight="1">
      <c r="A75" s="602"/>
      <c r="B75" s="75" t="s">
        <v>247</v>
      </c>
      <c r="C75" s="109"/>
      <c r="D75" s="226" t="s">
        <v>136</v>
      </c>
      <c r="E75" s="81"/>
      <c r="F75" s="650">
        <v>55.32</v>
      </c>
      <c r="G75" s="98">
        <v>492</v>
      </c>
      <c r="H75" s="83">
        <f t="shared" si="50"/>
        <v>27217.439999999999</v>
      </c>
      <c r="I75" s="75"/>
      <c r="J75" s="231">
        <v>14</v>
      </c>
      <c r="K75" s="232">
        <v>1440</v>
      </c>
      <c r="L75" s="129">
        <v>102.85714285714286</v>
      </c>
      <c r="M75" s="87">
        <v>15</v>
      </c>
      <c r="N75" s="82">
        <f t="shared" si="45"/>
        <v>1135.3846153846125</v>
      </c>
      <c r="O75" s="86">
        <f t="shared" si="46"/>
        <v>75.692307692307494</v>
      </c>
      <c r="P75" s="88">
        <f t="shared" si="47"/>
        <v>1</v>
      </c>
      <c r="Q75" s="89">
        <f t="shared" ref="Q75" si="53">O75-L75</f>
        <v>-27.164835164835367</v>
      </c>
      <c r="R75" s="90">
        <f t="shared" ref="R75" si="54">O75/L75</f>
        <v>0.73589743589743395</v>
      </c>
      <c r="S75" s="590"/>
      <c r="T75" s="91">
        <v>0.70833333333333337</v>
      </c>
      <c r="U75" s="91">
        <v>0.72638888888888897</v>
      </c>
      <c r="V75" s="75">
        <v>5</v>
      </c>
      <c r="W75" s="84">
        <f t="shared" si="49"/>
        <v>26.000000000000068</v>
      </c>
      <c r="X75" s="233"/>
      <c r="Y75" s="233"/>
      <c r="Z75" s="170"/>
      <c r="AA75" s="170"/>
      <c r="AB75" s="571"/>
      <c r="AC75" s="571"/>
      <c r="AD75" s="332"/>
      <c r="AE75" s="332"/>
      <c r="AF75" s="88">
        <f t="shared" si="51"/>
        <v>-304.61538461538748</v>
      </c>
      <c r="AG75" s="90">
        <f t="shared" si="52"/>
        <v>0.78846153846153644</v>
      </c>
      <c r="AH75" s="590"/>
    </row>
    <row r="76" spans="1:34" ht="19.2" customHeight="1">
      <c r="A76" s="602"/>
      <c r="B76" s="75">
        <v>0</v>
      </c>
      <c r="C76" s="228"/>
      <c r="D76" s="229"/>
      <c r="E76" s="230"/>
      <c r="F76" s="650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590"/>
      <c r="T76" s="91"/>
      <c r="U76" s="91"/>
      <c r="V76" s="75"/>
      <c r="W76" s="84"/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0</v>
      </c>
      <c r="AG76" s="90" t="e">
        <f t="shared" si="52"/>
        <v>#DIV/0!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/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J82:O82" si="55">AVERAGE(M70:M81)</f>
        <v>16.166666666666668</v>
      </c>
      <c r="N82" s="145">
        <f t="shared" si="55"/>
        <v>1285.7622144676509</v>
      </c>
      <c r="O82" s="237">
        <f t="shared" si="55"/>
        <v>80.168760110455906</v>
      </c>
      <c r="P82" s="161">
        <f>M82-J82</f>
        <v>0</v>
      </c>
      <c r="Q82" s="162">
        <f>N82-K82</f>
        <v>-196.90445219901585</v>
      </c>
      <c r="R82" s="225">
        <f>O82/L82</f>
        <v>0.86576149661669211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-196.90445219901585</v>
      </c>
      <c r="AG82" s="90">
        <f>N82/K82</f>
        <v>0.86719573817512419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1904.02</v>
      </c>
      <c r="H83" s="127">
        <f t="shared" ref="H83:H94" si="56">F83*G83</f>
        <v>101598.50719999999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1255.3978021978021</v>
      </c>
      <c r="O83" s="236">
        <f t="shared" ref="O83:O89" si="58">N83/M83</f>
        <v>66.073568536726427</v>
      </c>
      <c r="P83" s="95">
        <f t="shared" ref="P83:P89" si="59">M83-J83</f>
        <v>0</v>
      </c>
      <c r="Q83" s="131">
        <f t="shared" ref="Q83:Q89" si="60">O83-L83</f>
        <v>-9.7159051474840936</v>
      </c>
      <c r="R83" s="239">
        <f t="shared" ref="R83:R89" si="61">O83/L83</f>
        <v>0.87180402930402934</v>
      </c>
      <c r="S83" s="590">
        <f>R95</f>
        <v>0.82807864416096244</v>
      </c>
      <c r="T83" s="91">
        <v>0.33333333333333331</v>
      </c>
      <c r="U83" s="91">
        <v>0.39652777777777776</v>
      </c>
      <c r="V83" s="75">
        <v>5</v>
      </c>
      <c r="W83" s="84">
        <f t="shared" ref="W83:W93" si="62">(U83-T83)*24*60</f>
        <v>91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-184.60219780219791</v>
      </c>
      <c r="AG83" s="90">
        <f t="shared" ref="AG83:AG173" si="64">N83/K83</f>
        <v>0.87180402930402923</v>
      </c>
      <c r="AH83" s="590">
        <f>AG95</f>
        <v>0.83539830665965298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2333.96</v>
      </c>
      <c r="H84" s="127">
        <f t="shared" si="56"/>
        <v>124540.1056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1228.3999999999999</v>
      </c>
      <c r="O84" s="236">
        <f t="shared" si="58"/>
        <v>64.652631578947364</v>
      </c>
      <c r="P84" s="95">
        <f t="shared" si="59"/>
        <v>0</v>
      </c>
      <c r="Q84" s="131">
        <f t="shared" si="60"/>
        <v>-11.136842105263156</v>
      </c>
      <c r="R84" s="239">
        <f t="shared" si="61"/>
        <v>0.85305555555555557</v>
      </c>
      <c r="S84" s="590"/>
      <c r="T84" s="91">
        <v>0.41249999999999998</v>
      </c>
      <c r="U84" s="91">
        <v>0.49166666666666664</v>
      </c>
      <c r="V84" s="75">
        <v>23</v>
      </c>
      <c r="W84" s="84">
        <f t="shared" si="62"/>
        <v>114</v>
      </c>
      <c r="X84" s="94">
        <v>0.39999999999999997</v>
      </c>
      <c r="Y84" s="94">
        <v>0.40972222222222227</v>
      </c>
      <c r="Z84" s="95"/>
      <c r="AA84" s="95"/>
      <c r="AB84" s="571"/>
      <c r="AC84" s="571"/>
      <c r="AD84" s="332"/>
      <c r="AE84" s="332"/>
      <c r="AF84" s="88">
        <f t="shared" si="63"/>
        <v>-211.60000000000014</v>
      </c>
      <c r="AG84" s="90">
        <f t="shared" si="64"/>
        <v>0.85305555555555546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1007</v>
      </c>
      <c r="H85" s="127">
        <f t="shared" si="56"/>
        <v>52112.25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1313.4782608695652</v>
      </c>
      <c r="O85" s="236">
        <f t="shared" si="58"/>
        <v>62.546583850931675</v>
      </c>
      <c r="P85" s="95">
        <f t="shared" si="59"/>
        <v>0</v>
      </c>
      <c r="Q85" s="131">
        <f t="shared" si="60"/>
        <v>-8.8819875776397552</v>
      </c>
      <c r="R85" s="239">
        <f t="shared" si="61"/>
        <v>0.8756521739130434</v>
      </c>
      <c r="S85" s="590"/>
      <c r="T85" s="91">
        <v>0.53263888888888888</v>
      </c>
      <c r="U85" s="91">
        <v>0.56458333333333333</v>
      </c>
      <c r="V85" s="75">
        <v>6</v>
      </c>
      <c r="W85" s="84">
        <f t="shared" si="62"/>
        <v>46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-186.52173913043475</v>
      </c>
      <c r="AG85" s="90">
        <f t="shared" si="64"/>
        <v>0.87565217391304351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574</v>
      </c>
      <c r="H86" s="127">
        <f t="shared" si="56"/>
        <v>34061.160000000003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1076.2499999999984</v>
      </c>
      <c r="O86" s="236">
        <f t="shared" si="58"/>
        <v>63.308823529411669</v>
      </c>
      <c r="P86" s="95">
        <f t="shared" si="59"/>
        <v>0</v>
      </c>
      <c r="Q86" s="131">
        <f t="shared" si="60"/>
        <v>-21.397058823529505</v>
      </c>
      <c r="R86" s="239">
        <f t="shared" si="61"/>
        <v>0.74739583333333226</v>
      </c>
      <c r="S86" s="590"/>
      <c r="T86" s="91">
        <v>0.56944444444444442</v>
      </c>
      <c r="U86" s="91">
        <v>0.59166666666666667</v>
      </c>
      <c r="V86" s="75">
        <v>7</v>
      </c>
      <c r="W86" s="84">
        <f t="shared" si="62"/>
        <v>32.000000000000043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-363.75000000000159</v>
      </c>
      <c r="AG86" s="90">
        <f t="shared" si="64"/>
        <v>0.74739583333333226</v>
      </c>
      <c r="AH86" s="590"/>
    </row>
    <row r="87" spans="1:34" ht="19.2" customHeight="1">
      <c r="A87" s="601"/>
      <c r="B87" s="154" t="s">
        <v>243</v>
      </c>
      <c r="C87" s="141"/>
      <c r="D87" s="240" t="s">
        <v>122</v>
      </c>
      <c r="E87" s="81"/>
      <c r="F87" s="657">
        <v>53.36</v>
      </c>
      <c r="G87" s="82">
        <v>1904.02</v>
      </c>
      <c r="H87" s="127">
        <f t="shared" si="56"/>
        <v>101598.50719999999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1283.6089887640449</v>
      </c>
      <c r="O87" s="236">
        <f t="shared" si="58"/>
        <v>67.558367829686574</v>
      </c>
      <c r="P87" s="95">
        <f t="shared" si="59"/>
        <v>0</v>
      </c>
      <c r="Q87" s="131">
        <f t="shared" si="60"/>
        <v>-8.2311058545239462</v>
      </c>
      <c r="R87" s="239">
        <f t="shared" si="61"/>
        <v>0.89139513108614232</v>
      </c>
      <c r="S87" s="590"/>
      <c r="T87" s="91">
        <v>0.6069444444444444</v>
      </c>
      <c r="U87" s="91">
        <v>0.66874999999999996</v>
      </c>
      <c r="V87" s="75">
        <v>22</v>
      </c>
      <c r="W87" s="84">
        <f t="shared" si="62"/>
        <v>89</v>
      </c>
      <c r="X87" s="94">
        <v>0.59513888888888888</v>
      </c>
      <c r="Y87" s="94">
        <v>0.60416666666666663</v>
      </c>
      <c r="Z87" s="95"/>
      <c r="AA87" s="95"/>
      <c r="AB87" s="571"/>
      <c r="AC87" s="571"/>
      <c r="AD87" s="332"/>
      <c r="AE87" s="332"/>
      <c r="AF87" s="88">
        <f t="shared" si="63"/>
        <v>-156.39101123595515</v>
      </c>
      <c r="AG87" s="90">
        <f t="shared" si="64"/>
        <v>0.89139513108614221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923</v>
      </c>
      <c r="H88" s="127">
        <f t="shared" si="56"/>
        <v>53690.91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1153.7500000000002</v>
      </c>
      <c r="O88" s="236">
        <f t="shared" si="58"/>
        <v>57.687500000000014</v>
      </c>
      <c r="P88" s="95">
        <f t="shared" si="59"/>
        <v>1</v>
      </c>
      <c r="Q88" s="131">
        <f t="shared" si="60"/>
        <v>-15.207236842105246</v>
      </c>
      <c r="R88" s="239">
        <f t="shared" si="61"/>
        <v>0.79138086642599303</v>
      </c>
      <c r="S88" s="590"/>
      <c r="T88" s="91">
        <v>0.70833333333333337</v>
      </c>
      <c r="U88" s="91">
        <v>0.7416666666666667</v>
      </c>
      <c r="V88" s="75">
        <v>5</v>
      </c>
      <c r="W88" s="84">
        <f t="shared" si="62"/>
        <v>47.999999999999986</v>
      </c>
      <c r="X88" s="94"/>
      <c r="Y88" s="94"/>
      <c r="Z88" s="95"/>
      <c r="AA88" s="95"/>
      <c r="AB88" s="571"/>
      <c r="AC88" s="571"/>
      <c r="AD88" s="332"/>
      <c r="AE88" s="332"/>
      <c r="AF88" s="88">
        <f t="shared" si="63"/>
        <v>-231.24999999999977</v>
      </c>
      <c r="AG88" s="90">
        <f t="shared" si="64"/>
        <v>0.83303249097472942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1009</v>
      </c>
      <c r="H89" s="127">
        <f t="shared" si="56"/>
        <v>54163.12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1164.2307692307697</v>
      </c>
      <c r="O89" s="236">
        <f t="shared" si="58"/>
        <v>58.211538461538488</v>
      </c>
      <c r="P89" s="95">
        <f t="shared" si="59"/>
        <v>0</v>
      </c>
      <c r="Q89" s="131">
        <f t="shared" si="60"/>
        <v>-16.788461538461512</v>
      </c>
      <c r="R89" s="239">
        <f t="shared" si="61"/>
        <v>0.77615384615384653</v>
      </c>
      <c r="S89" s="590"/>
      <c r="T89" s="91">
        <v>0.74583333333333335</v>
      </c>
      <c r="U89" s="91">
        <v>0.78194444444444444</v>
      </c>
      <c r="V89" s="75">
        <v>6</v>
      </c>
      <c r="W89" s="84">
        <f t="shared" si="62"/>
        <v>51.999999999999972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-335.76923076923026</v>
      </c>
      <c r="AG89" s="90">
        <f t="shared" si="64"/>
        <v>0.77615384615384653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J95:O95" si="65">AVERAGE(M83:M94)</f>
        <v>19.285714285714285</v>
      </c>
      <c r="N95" s="257">
        <f t="shared" si="65"/>
        <v>1210.7308315803114</v>
      </c>
      <c r="O95" s="258">
        <f t="shared" si="65"/>
        <v>62.862716255320322</v>
      </c>
      <c r="P95" s="259">
        <f>M95-J95</f>
        <v>0.14285714285714235</v>
      </c>
      <c r="Q95" s="260">
        <f t="shared" ref="Q95:Q102" si="66">O95-L95</f>
        <v>-13.051228269858171</v>
      </c>
      <c r="R95" s="261">
        <f>O95/L95</f>
        <v>0.82807864416096244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-238.55488270540286</v>
      </c>
      <c r="AG95" s="108">
        <f t="shared" si="64"/>
        <v>0.83539830665965298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417</v>
      </c>
      <c r="H96" s="83">
        <f t="shared" ref="H96:H106" si="67">F96*G96</f>
        <v>15395.640000000001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1316.842105263157</v>
      </c>
      <c r="O96" s="86">
        <f t="shared" ref="O96:O102" si="69">N96/M96</f>
        <v>219.47368421052616</v>
      </c>
      <c r="P96" s="88">
        <f t="shared" ref="P96:P102" si="70">M96-J96</f>
        <v>0</v>
      </c>
      <c r="Q96" s="89">
        <f t="shared" si="66"/>
        <v>-53.192982456140527</v>
      </c>
      <c r="R96" s="90">
        <f t="shared" ref="R96:R102" si="71">O96/L96</f>
        <v>0.8049157122635433</v>
      </c>
      <c r="S96" s="590">
        <f>R108</f>
        <v>0.85475749070067186</v>
      </c>
      <c r="T96" s="133">
        <v>0.33333333333333331</v>
      </c>
      <c r="U96" s="133">
        <v>0.34652777777777777</v>
      </c>
      <c r="V96" s="332">
        <v>5</v>
      </c>
      <c r="W96" s="134">
        <f t="shared" ref="W96:W122" si="72">(U96-T96)*24*60</f>
        <v>19.000000000000014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-319.15789473684299</v>
      </c>
      <c r="AG96" s="132">
        <f t="shared" si="64"/>
        <v>0.80491571226354341</v>
      </c>
      <c r="AH96" s="575">
        <f>AG108</f>
        <v>0.86686977825200051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1933.6000000000001</v>
      </c>
      <c r="H97" s="265">
        <f t="shared" si="67"/>
        <v>109925.16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1303.5505617977528</v>
      </c>
      <c r="O97" s="86">
        <f t="shared" si="69"/>
        <v>72.419475655430716</v>
      </c>
      <c r="P97" s="88">
        <f t="shared" si="70"/>
        <v>0</v>
      </c>
      <c r="Q97" s="89">
        <f t="shared" si="66"/>
        <v>-18.46941323345817</v>
      </c>
      <c r="R97" s="90">
        <f t="shared" si="71"/>
        <v>0.79679129694239181</v>
      </c>
      <c r="S97" s="590"/>
      <c r="T97" s="266">
        <v>0.35138888888888886</v>
      </c>
      <c r="U97" s="266">
        <v>0.41319444444444442</v>
      </c>
      <c r="V97" s="267">
        <v>7</v>
      </c>
      <c r="W97" s="134">
        <f t="shared" si="72"/>
        <v>89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-332.44943820224717</v>
      </c>
      <c r="AG97" s="269">
        <f t="shared" si="64"/>
        <v>0.7967912969423917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1220</v>
      </c>
      <c r="H98" s="265">
        <f t="shared" si="67"/>
        <v>87291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1284.2105263157903</v>
      </c>
      <c r="O98" s="86">
        <f t="shared" si="69"/>
        <v>71.34502923976612</v>
      </c>
      <c r="P98" s="88">
        <f t="shared" si="70"/>
        <v>0</v>
      </c>
      <c r="Q98" s="89">
        <f t="shared" si="66"/>
        <v>-5.5994152046783228</v>
      </c>
      <c r="R98" s="90">
        <f t="shared" si="71"/>
        <v>0.9272278168345055</v>
      </c>
      <c r="S98" s="590"/>
      <c r="T98" s="133">
        <v>0.45416666666666661</v>
      </c>
      <c r="U98" s="133">
        <v>0.49374999999999991</v>
      </c>
      <c r="V98" s="332">
        <v>6</v>
      </c>
      <c r="W98" s="134">
        <f t="shared" si="72"/>
        <v>56.999999999999957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-100.78947368420972</v>
      </c>
      <c r="AG98" s="132">
        <f t="shared" si="64"/>
        <v>0.92722781683450561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1673</v>
      </c>
      <c r="H99" s="265">
        <f t="shared" si="67"/>
        <v>99610.42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1286.9230769230762</v>
      </c>
      <c r="O99" s="86">
        <f t="shared" si="69"/>
        <v>71.495726495726458</v>
      </c>
      <c r="P99" s="88">
        <f t="shared" si="70"/>
        <v>0</v>
      </c>
      <c r="Q99" s="89">
        <f t="shared" si="66"/>
        <v>-5.4487179487179844</v>
      </c>
      <c r="R99" s="90">
        <f t="shared" si="71"/>
        <v>0.9291863371285749</v>
      </c>
      <c r="S99" s="590"/>
      <c r="T99" s="133">
        <v>0.49861111111111101</v>
      </c>
      <c r="U99" s="133">
        <v>0.5527777777777777</v>
      </c>
      <c r="V99" s="332">
        <v>7</v>
      </c>
      <c r="W99" s="134">
        <f t="shared" si="72"/>
        <v>78.000000000000043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-98.076923076923777</v>
      </c>
      <c r="AG99" s="269">
        <f t="shared" si="64"/>
        <v>0.9291863371285749</v>
      </c>
      <c r="AH99" s="575"/>
    </row>
    <row r="100" spans="1:34" s="274" customFormat="1" ht="19.2" customHeight="1">
      <c r="A100" s="598"/>
      <c r="B100" s="75" t="s">
        <v>247</v>
      </c>
      <c r="C100" s="96"/>
      <c r="D100" s="80" t="s">
        <v>314</v>
      </c>
      <c r="E100" s="126"/>
      <c r="F100" s="661">
        <v>56.85</v>
      </c>
      <c r="G100" s="98">
        <v>1546.88</v>
      </c>
      <c r="H100" s="265">
        <f t="shared" si="67"/>
        <v>87940.128000000012</v>
      </c>
      <c r="I100" s="332">
        <v>2</v>
      </c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1289.0666666666657</v>
      </c>
      <c r="O100" s="86">
        <f t="shared" si="69"/>
        <v>71.614814814814764</v>
      </c>
      <c r="P100" s="88">
        <f t="shared" si="70"/>
        <v>0</v>
      </c>
      <c r="Q100" s="89">
        <f t="shared" si="66"/>
        <v>-19.274074074074122</v>
      </c>
      <c r="R100" s="90">
        <f t="shared" si="71"/>
        <v>0.78793806030969793</v>
      </c>
      <c r="S100" s="590"/>
      <c r="T100" s="266">
        <v>0.56805555555555542</v>
      </c>
      <c r="U100" s="266">
        <v>0.61805555555555547</v>
      </c>
      <c r="V100" s="267">
        <v>22</v>
      </c>
      <c r="W100" s="134">
        <f t="shared" si="72"/>
        <v>72.000000000000057</v>
      </c>
      <c r="X100" s="275">
        <v>0.55625000000000002</v>
      </c>
      <c r="Y100" s="275">
        <v>0.56527777777777777</v>
      </c>
      <c r="Z100" s="272"/>
      <c r="AA100" s="272"/>
      <c r="AB100" s="571"/>
      <c r="AC100" s="571"/>
      <c r="AD100" s="332"/>
      <c r="AE100" s="332"/>
      <c r="AF100" s="95">
        <f t="shared" si="63"/>
        <v>-346.9333333333343</v>
      </c>
      <c r="AG100" s="132">
        <f t="shared" si="64"/>
        <v>0.78793806030969782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900</v>
      </c>
      <c r="H101" s="265">
        <f t="shared" si="67"/>
        <v>48861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1349.9999999999995</v>
      </c>
      <c r="O101" s="86">
        <f t="shared" si="69"/>
        <v>89.999999999999972</v>
      </c>
      <c r="P101" s="88">
        <f t="shared" si="70"/>
        <v>0</v>
      </c>
      <c r="Q101" s="89">
        <f t="shared" si="66"/>
        <v>-6.0000000000000284</v>
      </c>
      <c r="R101" s="90">
        <f t="shared" si="71"/>
        <v>0.93749999999999967</v>
      </c>
      <c r="S101" s="590"/>
      <c r="T101" s="266">
        <v>0.70833333333333337</v>
      </c>
      <c r="U101" s="133">
        <v>0.73611111111111116</v>
      </c>
      <c r="V101" s="267">
        <v>5</v>
      </c>
      <c r="W101" s="134">
        <f t="shared" si="72"/>
        <v>40.000000000000014</v>
      </c>
      <c r="X101" s="276"/>
      <c r="Y101" s="276"/>
      <c r="Z101" s="272"/>
      <c r="AA101" s="272"/>
      <c r="AB101" s="571"/>
      <c r="AC101" s="571"/>
      <c r="AD101" s="332"/>
      <c r="AE101" s="332"/>
      <c r="AF101" s="268">
        <f t="shared" si="63"/>
        <v>-90.000000000000455</v>
      </c>
      <c r="AG101" s="269">
        <f t="shared" si="64"/>
        <v>0.93749999999999967</v>
      </c>
      <c r="AH101" s="575"/>
    </row>
    <row r="102" spans="1:34" s="274" customFormat="1" ht="19.2" customHeight="1">
      <c r="A102" s="598"/>
      <c r="B102" s="75" t="s">
        <v>247</v>
      </c>
      <c r="C102" s="228"/>
      <c r="D102" s="229" t="s">
        <v>137</v>
      </c>
      <c r="E102" s="230"/>
      <c r="F102" s="661">
        <v>55.56</v>
      </c>
      <c r="G102" s="98">
        <v>727</v>
      </c>
      <c r="H102" s="265">
        <f t="shared" si="67"/>
        <v>40392.120000000003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1321.8181818181802</v>
      </c>
      <c r="O102" s="86">
        <f t="shared" si="69"/>
        <v>82.61363636363626</v>
      </c>
      <c r="P102" s="88">
        <f t="shared" si="70"/>
        <v>0</v>
      </c>
      <c r="Q102" s="89">
        <f t="shared" si="66"/>
        <v>-7.3863636363637397</v>
      </c>
      <c r="R102" s="90">
        <f t="shared" si="71"/>
        <v>0.91792929292929182</v>
      </c>
      <c r="S102" s="590"/>
      <c r="T102" s="266">
        <v>0.7416666666666667</v>
      </c>
      <c r="U102" s="266">
        <v>0.76458333333333339</v>
      </c>
      <c r="V102" s="267">
        <v>8</v>
      </c>
      <c r="W102" s="134">
        <f t="shared" si="72"/>
        <v>33.000000000000043</v>
      </c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-118.18181818181984</v>
      </c>
      <c r="AG102" s="132">
        <f t="shared" si="64"/>
        <v>0.91792929292929182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J108:O108" si="73">AVERAGE(M96:M107)</f>
        <v>15.571428571428571</v>
      </c>
      <c r="N108" s="145">
        <f t="shared" si="73"/>
        <v>1307.4873026835173</v>
      </c>
      <c r="O108" s="148">
        <f t="shared" si="73"/>
        <v>96.99462382570006</v>
      </c>
      <c r="P108" s="95">
        <f t="shared" ref="P108:P116" si="74">M108-J108</f>
        <v>0</v>
      </c>
      <c r="Q108" s="131">
        <f t="shared" ref="Q108:Q116" si="75">O108-L108</f>
        <v>-16.481566650490421</v>
      </c>
      <c r="R108" s="149">
        <f t="shared" ref="R108:R116" si="76">O108/L108</f>
        <v>0.85475749070067186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-200.79841160219689</v>
      </c>
      <c r="AG108" s="132">
        <f t="shared" si="64"/>
        <v>0.86686977825200051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841</v>
      </c>
      <c r="H109" s="83">
        <f t="shared" ref="H109:H118" si="77">F109*G109</f>
        <v>65042.94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1327.8947368421043</v>
      </c>
      <c r="O109" s="86">
        <f t="shared" ref="O109:O116" si="79">N109/M109</f>
        <v>73.771929824561354</v>
      </c>
      <c r="P109" s="88">
        <f t="shared" si="74"/>
        <v>0</v>
      </c>
      <c r="Q109" s="89">
        <f t="shared" si="75"/>
        <v>-6.2280701754386456</v>
      </c>
      <c r="R109" s="90">
        <f t="shared" si="76"/>
        <v>0.92214912280701689</v>
      </c>
      <c r="S109" s="597">
        <f>R121</f>
        <v>0.86966968251691878</v>
      </c>
      <c r="T109" s="283">
        <v>0.5</v>
      </c>
      <c r="U109" s="283">
        <v>0.52638888888888891</v>
      </c>
      <c r="V109" s="284">
        <v>5</v>
      </c>
      <c r="W109" s="84">
        <f t="shared" si="72"/>
        <v>38.000000000000028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-112.10526315789571</v>
      </c>
      <c r="AG109" s="171">
        <f t="shared" si="64"/>
        <v>0.92214912280701689</v>
      </c>
      <c r="AH109" s="575">
        <f>AG121</f>
        <v>0.87526402609260512</v>
      </c>
    </row>
    <row r="110" spans="1:34" ht="19.2" customHeight="1">
      <c r="A110" s="595"/>
      <c r="B110" s="75" t="s">
        <v>247</v>
      </c>
      <c r="C110" s="228"/>
      <c r="D110" s="80" t="s">
        <v>133</v>
      </c>
      <c r="E110" s="230"/>
      <c r="F110" s="650">
        <v>56.43</v>
      </c>
      <c r="G110" s="227">
        <v>967</v>
      </c>
      <c r="H110" s="83">
        <f t="shared" si="77"/>
        <v>54567.81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1381.4285714285709</v>
      </c>
      <c r="O110" s="86">
        <f t="shared" si="79"/>
        <v>76.746031746031719</v>
      </c>
      <c r="P110" s="88">
        <f t="shared" si="74"/>
        <v>0</v>
      </c>
      <c r="Q110" s="89">
        <f t="shared" si="75"/>
        <v>-6.5873015873016101</v>
      </c>
      <c r="R110" s="90">
        <f t="shared" si="76"/>
        <v>0.92095238095238063</v>
      </c>
      <c r="S110" s="586"/>
      <c r="T110" s="283">
        <v>0.53055555555555556</v>
      </c>
      <c r="U110" s="283">
        <v>0.55972222222222223</v>
      </c>
      <c r="V110" s="284">
        <v>6</v>
      </c>
      <c r="W110" s="84">
        <f t="shared" si="72"/>
        <v>42.000000000000014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-118.57142857142912</v>
      </c>
      <c r="AG110" s="171">
        <f t="shared" si="64"/>
        <v>0.92095238095238063</v>
      </c>
      <c r="AH110" s="575"/>
    </row>
    <row r="111" spans="1:34" ht="19.2" customHeight="1">
      <c r="A111" s="595"/>
      <c r="B111" s="75" t="s">
        <v>247</v>
      </c>
      <c r="C111" s="228"/>
      <c r="D111" s="80" t="s">
        <v>131</v>
      </c>
      <c r="E111" s="230"/>
      <c r="F111" s="650">
        <v>53.68</v>
      </c>
      <c r="G111" s="98">
        <v>917</v>
      </c>
      <c r="H111" s="83">
        <f t="shared" si="77"/>
        <v>49224.56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1375.4999999999995</v>
      </c>
      <c r="O111" s="86">
        <f t="shared" si="79"/>
        <v>85.968749999999972</v>
      </c>
      <c r="P111" s="88">
        <f t="shared" si="74"/>
        <v>0</v>
      </c>
      <c r="Q111" s="89">
        <f t="shared" si="75"/>
        <v>-7.7812500000000284</v>
      </c>
      <c r="R111" s="90">
        <f t="shared" si="76"/>
        <v>0.9169999999999997</v>
      </c>
      <c r="S111" s="586"/>
      <c r="T111" s="283">
        <v>0.57499999999999996</v>
      </c>
      <c r="U111" s="283">
        <v>0.60277777777777775</v>
      </c>
      <c r="V111" s="284">
        <v>22</v>
      </c>
      <c r="W111" s="84">
        <f t="shared" si="72"/>
        <v>40.000000000000014</v>
      </c>
      <c r="X111" s="94">
        <v>0.56319444444444444</v>
      </c>
      <c r="Y111" s="94">
        <v>0.57222222222222219</v>
      </c>
      <c r="Z111" s="95"/>
      <c r="AA111" s="95"/>
      <c r="AB111" s="571"/>
      <c r="AC111" s="571"/>
      <c r="AD111" s="332"/>
      <c r="AE111" s="332"/>
      <c r="AF111" s="88">
        <f t="shared" si="63"/>
        <v>-124.50000000000045</v>
      </c>
      <c r="AG111" s="171">
        <f t="shared" si="64"/>
        <v>0.9169999999999997</v>
      </c>
      <c r="AH111" s="575"/>
    </row>
    <row r="112" spans="1:34" ht="19.2" customHeight="1">
      <c r="A112" s="595"/>
      <c r="B112" s="75" t="s">
        <v>247</v>
      </c>
      <c r="C112" s="228"/>
      <c r="D112" s="229" t="s">
        <v>132</v>
      </c>
      <c r="E112" s="230"/>
      <c r="F112" s="650">
        <v>57.734999999999999</v>
      </c>
      <c r="G112" s="98">
        <v>1264.8</v>
      </c>
      <c r="H112" s="83">
        <f t="shared" si="77"/>
        <v>73023.228000000003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1355.1428571428582</v>
      </c>
      <c r="O112" s="86">
        <f t="shared" si="79"/>
        <v>84.69642857142864</v>
      </c>
      <c r="P112" s="88">
        <f t="shared" si="74"/>
        <v>0</v>
      </c>
      <c r="Q112" s="89">
        <f t="shared" si="75"/>
        <v>-13.11607142857136</v>
      </c>
      <c r="R112" s="90">
        <f t="shared" si="76"/>
        <v>0.8659059790050212</v>
      </c>
      <c r="S112" s="586"/>
      <c r="T112" s="283">
        <v>0.6069444444444444</v>
      </c>
      <c r="U112" s="283">
        <v>0.64583333333333326</v>
      </c>
      <c r="V112" s="284">
        <v>6</v>
      </c>
      <c r="W112" s="84">
        <f t="shared" si="72"/>
        <v>55.999999999999957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-209.85714285714175</v>
      </c>
      <c r="AG112" s="171">
        <f t="shared" si="64"/>
        <v>0.8659059790050212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322</v>
      </c>
      <c r="E113" s="230"/>
      <c r="F113" s="650">
        <v>44.98</v>
      </c>
      <c r="G113" s="98">
        <v>2824</v>
      </c>
      <c r="H113" s="83">
        <f t="shared" si="77"/>
        <v>127023.51999999999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1255.1111111111111</v>
      </c>
      <c r="O113" s="86">
        <f t="shared" si="79"/>
        <v>66.058479532163744</v>
      </c>
      <c r="P113" s="88">
        <f t="shared" si="74"/>
        <v>0</v>
      </c>
      <c r="Q113" s="89">
        <f t="shared" si="75"/>
        <v>-12.888888888888886</v>
      </c>
      <c r="R113" s="90">
        <f t="shared" si="76"/>
        <v>0.83674074074074078</v>
      </c>
      <c r="S113" s="586"/>
      <c r="T113" s="283">
        <v>0.70833333333333337</v>
      </c>
      <c r="U113" s="283">
        <v>0.80208333333333337</v>
      </c>
      <c r="V113" s="284">
        <v>5</v>
      </c>
      <c r="W113" s="84">
        <f t="shared" si="72"/>
        <v>135</v>
      </c>
      <c r="X113" s="271"/>
      <c r="Y113" s="271"/>
      <c r="Z113" s="272"/>
      <c r="AA113" s="272"/>
      <c r="AB113" s="571"/>
      <c r="AC113" s="571"/>
      <c r="AD113" s="277"/>
      <c r="AE113" s="277"/>
      <c r="AF113" s="152">
        <f t="shared" si="63"/>
        <v>-244.88888888888891</v>
      </c>
      <c r="AG113" s="171">
        <f t="shared" si="64"/>
        <v>0.83674074074074067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298</v>
      </c>
      <c r="E114" s="230"/>
      <c r="F114" s="650">
        <v>50.67</v>
      </c>
      <c r="G114" s="98">
        <v>500.8</v>
      </c>
      <c r="H114" s="83">
        <f t="shared" si="77"/>
        <v>25375.536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1365.8181818181865</v>
      </c>
      <c r="O114" s="86">
        <f t="shared" si="79"/>
        <v>75.878787878788145</v>
      </c>
      <c r="P114" s="88">
        <f t="shared" si="74"/>
        <v>0</v>
      </c>
      <c r="Q114" s="89">
        <f t="shared" si="75"/>
        <v>-7.4545454545451832</v>
      </c>
      <c r="R114" s="90">
        <f t="shared" si="76"/>
        <v>0.91054545454545777</v>
      </c>
      <c r="S114" s="586"/>
      <c r="T114" s="283">
        <v>0.81805555555555554</v>
      </c>
      <c r="U114" s="283">
        <v>0.83333333333333326</v>
      </c>
      <c r="V114" s="284">
        <v>23</v>
      </c>
      <c r="W114" s="84">
        <f t="shared" si="72"/>
        <v>21.999999999999922</v>
      </c>
      <c r="X114" s="271">
        <v>0.80555555555555547</v>
      </c>
      <c r="Y114" s="271">
        <v>0.81527777777777777</v>
      </c>
      <c r="Z114" s="272"/>
      <c r="AA114" s="272"/>
      <c r="AB114" s="571"/>
      <c r="AC114" s="571"/>
      <c r="AD114" s="277"/>
      <c r="AE114" s="277"/>
      <c r="AF114" s="88">
        <f t="shared" si="63"/>
        <v>-134.18181818181347</v>
      </c>
      <c r="AG114" s="171">
        <f t="shared" si="64"/>
        <v>0.91054545454545766</v>
      </c>
      <c r="AH114" s="575"/>
    </row>
    <row r="115" spans="1:34" s="274" customFormat="1" ht="19.2" customHeight="1">
      <c r="A115" s="595"/>
      <c r="B115" s="75" t="s">
        <v>247</v>
      </c>
      <c r="C115" s="228"/>
      <c r="D115" s="229" t="s">
        <v>138</v>
      </c>
      <c r="E115" s="230"/>
      <c r="F115" s="650">
        <v>57.73</v>
      </c>
      <c r="G115" s="227">
        <v>710</v>
      </c>
      <c r="H115" s="83">
        <f t="shared" si="77"/>
        <v>40988.299999999996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1183.3333333333323</v>
      </c>
      <c r="O115" s="86">
        <f t="shared" si="79"/>
        <v>69.607843137254847</v>
      </c>
      <c r="P115" s="88">
        <f t="shared" si="74"/>
        <v>1</v>
      </c>
      <c r="Q115" s="89">
        <f t="shared" si="75"/>
        <v>-20.392156862745153</v>
      </c>
      <c r="R115" s="90">
        <f t="shared" si="76"/>
        <v>0.77342047930283164</v>
      </c>
      <c r="S115" s="586"/>
      <c r="T115" s="283">
        <v>0.83819444444444435</v>
      </c>
      <c r="U115" s="283">
        <v>0.86319444444444438</v>
      </c>
      <c r="V115" s="284">
        <v>7</v>
      </c>
      <c r="W115" s="84">
        <f t="shared" si="72"/>
        <v>36.000000000000028</v>
      </c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-256.66666666666765</v>
      </c>
      <c r="AG115" s="171">
        <f t="shared" si="64"/>
        <v>0.82175925925925852</v>
      </c>
      <c r="AH115" s="575"/>
    </row>
    <row r="116" spans="1:34" s="274" customFormat="1" ht="19.2" customHeight="1">
      <c r="A116" s="595"/>
      <c r="B116" s="75" t="s">
        <v>247</v>
      </c>
      <c r="C116" s="96"/>
      <c r="D116" s="125" t="s">
        <v>126</v>
      </c>
      <c r="E116" s="126"/>
      <c r="F116" s="650">
        <v>53.68</v>
      </c>
      <c r="G116" s="98">
        <v>201.8</v>
      </c>
      <c r="H116" s="83">
        <f t="shared" si="77"/>
        <v>10832.624</v>
      </c>
      <c r="I116" s="332">
        <v>2</v>
      </c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1210.8000000000045</v>
      </c>
      <c r="O116" s="86">
        <f t="shared" si="79"/>
        <v>60.540000000000227</v>
      </c>
      <c r="P116" s="88">
        <f t="shared" si="74"/>
        <v>0</v>
      </c>
      <c r="Q116" s="89">
        <f t="shared" si="75"/>
        <v>-14.459999999999773</v>
      </c>
      <c r="R116" s="90">
        <f t="shared" si="76"/>
        <v>0.80720000000000303</v>
      </c>
      <c r="S116" s="586"/>
      <c r="T116" s="283">
        <v>0.86736111111111103</v>
      </c>
      <c r="U116" s="283">
        <v>0.87430555555555545</v>
      </c>
      <c r="V116" s="284">
        <v>6</v>
      </c>
      <c r="W116" s="84">
        <f t="shared" si="72"/>
        <v>9.9999999999999645</v>
      </c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-289.1999999999955</v>
      </c>
      <c r="AG116" s="171">
        <f t="shared" si="64"/>
        <v>0.80720000000000303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J121:O121" si="80">AVERAGE(M109:M120)</f>
        <v>17.75</v>
      </c>
      <c r="N121" s="257">
        <f t="shared" si="80"/>
        <v>1306.878598959521</v>
      </c>
      <c r="O121" s="258">
        <f t="shared" si="80"/>
        <v>74.158531336278571</v>
      </c>
      <c r="P121" s="88">
        <f t="shared" ref="P121:P129" si="81">M121-J121</f>
        <v>0.125</v>
      </c>
      <c r="Q121" s="89">
        <f t="shared" ref="Q121:Q129" si="82">O121-L121</f>
        <v>-11.113535549686347</v>
      </c>
      <c r="R121" s="225">
        <f t="shared" ref="R121:R129" si="83">O121/L121</f>
        <v>0.86966968251691878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0</v>
      </c>
      <c r="AE121" s="151">
        <f>SUM(AE109:AE120)</f>
        <v>0</v>
      </c>
      <c r="AF121" s="88">
        <f>N121-K121</f>
        <v>-186.24640104047899</v>
      </c>
      <c r="AG121" s="171">
        <f>N121/K121</f>
        <v>0.87526402609260512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1767</v>
      </c>
      <c r="H122" s="83">
        <f t="shared" ref="H122:H132" si="84">F122*G122</f>
        <v>103669.89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1342.0253164556955</v>
      </c>
      <c r="O122" s="294">
        <f t="shared" ref="O122:O129" si="86">N122/M122</f>
        <v>70.63291139240502</v>
      </c>
      <c r="P122" s="152">
        <f t="shared" si="81"/>
        <v>0</v>
      </c>
      <c r="Q122" s="235">
        <f t="shared" si="82"/>
        <v>-5.1565622918054999</v>
      </c>
      <c r="R122" s="153">
        <f t="shared" si="83"/>
        <v>0.93196202531645522</v>
      </c>
      <c r="S122" s="590">
        <f>R134</f>
        <v>0.86713927769646892</v>
      </c>
      <c r="T122" s="91">
        <v>0.5</v>
      </c>
      <c r="U122" s="91">
        <v>0.55486111111111114</v>
      </c>
      <c r="V122" s="284">
        <v>5</v>
      </c>
      <c r="W122" s="84">
        <f t="shared" si="72"/>
        <v>79.000000000000043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-97.974683544304526</v>
      </c>
      <c r="AG122" s="90">
        <f t="shared" si="64"/>
        <v>0.93196202531645522</v>
      </c>
      <c r="AH122" s="592">
        <f>AG134</f>
        <v>0.885770086048568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2086</v>
      </c>
      <c r="H123" s="83">
        <f t="shared" si="84"/>
        <v>124158.72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1290.3092783505158</v>
      </c>
      <c r="O123" s="129">
        <f t="shared" si="86"/>
        <v>61.443298969072181</v>
      </c>
      <c r="P123" s="95">
        <f t="shared" si="81"/>
        <v>0</v>
      </c>
      <c r="Q123" s="131">
        <f t="shared" si="82"/>
        <v>-4.5090819833087679</v>
      </c>
      <c r="R123" s="132">
        <f t="shared" si="83"/>
        <v>0.93163124790650964</v>
      </c>
      <c r="S123" s="590"/>
      <c r="T123" s="91">
        <v>0.56041666666666667</v>
      </c>
      <c r="U123" s="91">
        <v>0.62777777777777777</v>
      </c>
      <c r="V123" s="284">
        <v>8</v>
      </c>
      <c r="W123" s="84">
        <f>(U123-T123)*24*60</f>
        <v>96.999999999999972</v>
      </c>
      <c r="X123" s="94"/>
      <c r="Y123" s="94"/>
      <c r="Z123" s="95"/>
      <c r="AA123" s="95"/>
      <c r="AB123" s="571"/>
      <c r="AC123" s="571"/>
      <c r="AD123" s="332"/>
      <c r="AE123" s="332"/>
      <c r="AF123" s="88">
        <f t="shared" si="63"/>
        <v>-94.690721649484203</v>
      </c>
      <c r="AG123" s="90">
        <f t="shared" si="64"/>
        <v>0.93163124790650964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1141</v>
      </c>
      <c r="H124" s="83">
        <f t="shared" si="84"/>
        <v>64797.39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1521.3333333333333</v>
      </c>
      <c r="O124" s="294">
        <f t="shared" si="86"/>
        <v>84.518518518518519</v>
      </c>
      <c r="P124" s="152">
        <f t="shared" si="81"/>
        <v>0</v>
      </c>
      <c r="Q124" s="235">
        <f t="shared" si="82"/>
        <v>-6.3703703703703667</v>
      </c>
      <c r="R124" s="153">
        <f t="shared" si="83"/>
        <v>0.92991035044824777</v>
      </c>
      <c r="S124" s="591"/>
      <c r="T124" s="91">
        <v>0.70833333333333337</v>
      </c>
      <c r="U124" s="91">
        <v>0.73958333333333337</v>
      </c>
      <c r="V124" s="284">
        <v>5</v>
      </c>
      <c r="W124" s="297">
        <f>(U124-T124)*24*60</f>
        <v>45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-114.66666666666674</v>
      </c>
      <c r="AG124" s="153">
        <f t="shared" si="64"/>
        <v>0.92991035044824766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864</v>
      </c>
      <c r="H125" s="83">
        <f t="shared" si="84"/>
        <v>49135.68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1481.1428571428557</v>
      </c>
      <c r="O125" s="129">
        <f t="shared" si="86"/>
        <v>82.285714285714207</v>
      </c>
      <c r="P125" s="95">
        <f t="shared" si="81"/>
        <v>0</v>
      </c>
      <c r="Q125" s="131">
        <f t="shared" si="82"/>
        <v>-8.6031746031746792</v>
      </c>
      <c r="R125" s="132">
        <f t="shared" si="83"/>
        <v>0.90534404470834706</v>
      </c>
      <c r="S125" s="591"/>
      <c r="T125" s="91">
        <v>0.74375000000000002</v>
      </c>
      <c r="U125" s="91">
        <v>0.7680555555555556</v>
      </c>
      <c r="V125" s="284">
        <v>6</v>
      </c>
      <c r="W125" s="297">
        <f t="shared" ref="W125:W133" si="87">(U125-T125)*24*60</f>
        <v>35.000000000000036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-154.85714285714425</v>
      </c>
      <c r="AG125" s="90">
        <f t="shared" si="64"/>
        <v>0.90534404470834706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1085</v>
      </c>
      <c r="H126" s="83">
        <f t="shared" si="84"/>
        <v>58687.65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1385.1063829787236</v>
      </c>
      <c r="O126" s="129">
        <f t="shared" si="86"/>
        <v>69.255319148936181</v>
      </c>
      <c r="P126" s="95">
        <f t="shared" si="81"/>
        <v>3</v>
      </c>
      <c r="Q126" s="131">
        <f t="shared" si="82"/>
        <v>-22.803504380475587</v>
      </c>
      <c r="R126" s="132">
        <f t="shared" si="83"/>
        <v>0.75229420161783711</v>
      </c>
      <c r="S126" s="591"/>
      <c r="T126" s="91">
        <v>0.7729166666666667</v>
      </c>
      <c r="U126" s="91">
        <v>0.80555555555555558</v>
      </c>
      <c r="V126" s="284">
        <v>7</v>
      </c>
      <c r="W126" s="297">
        <f t="shared" si="87"/>
        <v>46.999999999999993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-179.89361702127644</v>
      </c>
      <c r="AG126" s="153">
        <f t="shared" si="64"/>
        <v>0.88505200190333777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1187</v>
      </c>
      <c r="H127" s="83">
        <f t="shared" si="84"/>
        <v>56501.200000000004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1343.773584905661</v>
      </c>
      <c r="O127" s="294">
        <f t="shared" si="86"/>
        <v>70.724925521350585</v>
      </c>
      <c r="P127" s="152">
        <f t="shared" si="81"/>
        <v>0</v>
      </c>
      <c r="Q127" s="235">
        <f t="shared" si="82"/>
        <v>-5.0645481628599356</v>
      </c>
      <c r="R127" s="153">
        <f t="shared" si="83"/>
        <v>0.93317610062893142</v>
      </c>
      <c r="S127" s="591"/>
      <c r="T127" s="91">
        <v>0.8222222222222223</v>
      </c>
      <c r="U127" s="91">
        <v>0.85902777777777783</v>
      </c>
      <c r="V127" s="75">
        <v>24</v>
      </c>
      <c r="W127" s="297">
        <f t="shared" si="87"/>
        <v>52.999999999999972</v>
      </c>
      <c r="X127" s="106">
        <v>0.80902777777777779</v>
      </c>
      <c r="Y127" s="106">
        <v>0.81944444444444453</v>
      </c>
      <c r="Z127" s="95"/>
      <c r="AA127" s="95"/>
      <c r="AB127" s="571"/>
      <c r="AC127" s="571"/>
      <c r="AD127" s="332"/>
      <c r="AE127" s="332"/>
      <c r="AF127" s="152">
        <f t="shared" si="63"/>
        <v>-96.226415094339018</v>
      </c>
      <c r="AG127" s="153">
        <f t="shared" si="64"/>
        <v>0.93317610062893119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588</v>
      </c>
      <c r="H128" s="83">
        <f t="shared" si="84"/>
        <v>33692.400000000001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1102.4999999999984</v>
      </c>
      <c r="O128" s="129">
        <f t="shared" si="86"/>
        <v>64.852941176470495</v>
      </c>
      <c r="P128" s="95">
        <f t="shared" si="81"/>
        <v>0</v>
      </c>
      <c r="Q128" s="131">
        <f t="shared" si="82"/>
        <v>-16.617647058823621</v>
      </c>
      <c r="R128" s="132">
        <f t="shared" si="83"/>
        <v>0.79602888086642487</v>
      </c>
      <c r="S128" s="591"/>
      <c r="T128" s="91">
        <v>0.86458333333333337</v>
      </c>
      <c r="U128" s="91">
        <v>0.88680555555555562</v>
      </c>
      <c r="V128" s="75">
        <v>8</v>
      </c>
      <c r="W128" s="297">
        <f t="shared" si="87"/>
        <v>32.000000000000043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-282.50000000000159</v>
      </c>
      <c r="AG128" s="153">
        <f t="shared" si="64"/>
        <v>0.79602888086642487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424</v>
      </c>
      <c r="H129" s="83">
        <f t="shared" si="84"/>
        <v>21484.080000000002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1272.0000000000045</v>
      </c>
      <c r="O129" s="129">
        <f t="shared" si="86"/>
        <v>60.57142857142879</v>
      </c>
      <c r="P129" s="95">
        <f t="shared" si="81"/>
        <v>0</v>
      </c>
      <c r="Q129" s="131">
        <f t="shared" si="82"/>
        <v>-17.333333333333108</v>
      </c>
      <c r="R129" s="132">
        <f t="shared" si="83"/>
        <v>0.77750611246944057</v>
      </c>
      <c r="S129" s="591"/>
      <c r="T129" s="91">
        <v>0.89166666666666672</v>
      </c>
      <c r="U129" s="91">
        <v>0.90555555555555556</v>
      </c>
      <c r="V129" s="75">
        <v>7</v>
      </c>
      <c r="W129" s="297">
        <f t="shared" si="87"/>
        <v>19.999999999999929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1342.2738441458487</v>
      </c>
      <c r="O134" s="301">
        <f t="shared" si="88"/>
        <v>70.535632197986999</v>
      </c>
      <c r="P134" s="92">
        <f t="shared" ref="P134:P140" si="89">M134-J134</f>
        <v>0.375</v>
      </c>
      <c r="Q134" s="188">
        <f t="shared" ref="Q134:Q140" si="90">O134-L134</f>
        <v>-10.807277773018953</v>
      </c>
      <c r="R134" s="302">
        <f t="shared" ref="R134:R140" si="91">O134/L134</f>
        <v>0.86713927769646892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-173.10115585415133</v>
      </c>
      <c r="AG134" s="90">
        <f t="shared" si="64"/>
        <v>0.885770086048568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704</v>
      </c>
      <c r="H135" s="303">
        <f t="shared" ref="H135:H146" si="92">F135*G135</f>
        <v>35671.68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1362.580645161288</v>
      </c>
      <c r="O135" s="160">
        <f t="shared" ref="O135:O140" si="94">N135/M135</f>
        <v>80.151802656546351</v>
      </c>
      <c r="P135" s="95">
        <f t="shared" si="89"/>
        <v>0</v>
      </c>
      <c r="Q135" s="131">
        <f t="shared" si="90"/>
        <v>-8.0834914611007065</v>
      </c>
      <c r="R135" s="132">
        <f t="shared" si="91"/>
        <v>0.90838709677419194</v>
      </c>
      <c r="S135" s="586">
        <f>R147</f>
        <v>0.90512676878074261</v>
      </c>
      <c r="T135" s="304">
        <v>0.70833333333333337</v>
      </c>
      <c r="U135" s="91">
        <v>0.72986111111111118</v>
      </c>
      <c r="V135" s="191">
        <v>5</v>
      </c>
      <c r="W135" s="305">
        <f t="shared" ref="W135:W147" si="95">(U135-T135)*24*60</f>
        <v>31.00000000000005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-137.41935483871202</v>
      </c>
      <c r="AG135" s="165">
        <f t="shared" si="64"/>
        <v>0.90838709677419194</v>
      </c>
      <c r="AH135" s="575">
        <f>AG147</f>
        <v>0.91779529616583333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1413</v>
      </c>
      <c r="H136" s="127">
        <f t="shared" si="92"/>
        <v>72034.739999999991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1324.6875000000016</v>
      </c>
      <c r="O136" s="129">
        <f t="shared" si="94"/>
        <v>66.234375000000085</v>
      </c>
      <c r="P136" s="95">
        <f t="shared" si="89"/>
        <v>0</v>
      </c>
      <c r="Q136" s="131">
        <f t="shared" si="90"/>
        <v>-5.7656249999999147</v>
      </c>
      <c r="R136" s="132">
        <f t="shared" si="91"/>
        <v>0.91992187500000122</v>
      </c>
      <c r="S136" s="586"/>
      <c r="T136" s="304">
        <v>0.73541666666666672</v>
      </c>
      <c r="U136" s="91">
        <v>0.77986111111111112</v>
      </c>
      <c r="V136" s="191">
        <v>8</v>
      </c>
      <c r="W136" s="84">
        <f t="shared" si="95"/>
        <v>63.999999999999929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-115.31249999999841</v>
      </c>
      <c r="AG136" s="171">
        <f t="shared" si="64"/>
        <v>0.91992187500000111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783</v>
      </c>
      <c r="H137" s="127">
        <f t="shared" si="92"/>
        <v>42352.47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1381.7647058823511</v>
      </c>
      <c r="O137" s="129">
        <f t="shared" si="94"/>
        <v>72.724458204334269</v>
      </c>
      <c r="P137" s="95">
        <f t="shared" si="89"/>
        <v>0</v>
      </c>
      <c r="Q137" s="131">
        <f t="shared" si="90"/>
        <v>-6.2229102167183612</v>
      </c>
      <c r="R137" s="132">
        <f t="shared" si="91"/>
        <v>0.92117647058823404</v>
      </c>
      <c r="S137" s="586"/>
      <c r="T137" s="91">
        <v>0.78472222222222221</v>
      </c>
      <c r="U137" s="91">
        <v>0.80833333333333335</v>
      </c>
      <c r="V137" s="307">
        <v>7</v>
      </c>
      <c r="W137" s="84">
        <f t="shared" si="95"/>
        <v>34.000000000000043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-118.23529411764889</v>
      </c>
      <c r="AG137" s="171">
        <f t="shared" si="64"/>
        <v>0.92117647058823404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1546</v>
      </c>
      <c r="H138" s="127">
        <f t="shared" si="92"/>
        <v>78722.320000000007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1325.1428571428557</v>
      </c>
      <c r="O138" s="129">
        <f t="shared" si="94"/>
        <v>69.744360902255565</v>
      </c>
      <c r="P138" s="95">
        <f t="shared" si="89"/>
        <v>0</v>
      </c>
      <c r="Q138" s="131">
        <f t="shared" si="90"/>
        <v>-6.0451127819549555</v>
      </c>
      <c r="R138" s="296">
        <f t="shared" si="91"/>
        <v>0.9202380952380943</v>
      </c>
      <c r="S138" s="586"/>
      <c r="T138" s="91">
        <v>0.82430555555555562</v>
      </c>
      <c r="U138" s="91">
        <v>0.87291666666666679</v>
      </c>
      <c r="V138" s="307">
        <v>23</v>
      </c>
      <c r="W138" s="84">
        <f t="shared" si="95"/>
        <v>70.000000000000071</v>
      </c>
      <c r="X138" s="94">
        <v>0.81180555555555556</v>
      </c>
      <c r="Y138" s="94">
        <v>0.82152777777777775</v>
      </c>
      <c r="Z138" s="95"/>
      <c r="AA138" s="95"/>
      <c r="AB138" s="571"/>
      <c r="AC138" s="571"/>
      <c r="AD138" s="332"/>
      <c r="AE138" s="332"/>
      <c r="AF138" s="88">
        <f t="shared" si="63"/>
        <v>-114.85714285714425</v>
      </c>
      <c r="AG138" s="171">
        <f t="shared" si="64"/>
        <v>0.9202380952380943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838</v>
      </c>
      <c r="H139" s="127">
        <f t="shared" si="92"/>
        <v>42461.46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1323.1578947368412</v>
      </c>
      <c r="O139" s="129">
        <f t="shared" si="94"/>
        <v>77.83281733746125</v>
      </c>
      <c r="P139" s="95">
        <f t="shared" si="89"/>
        <v>0</v>
      </c>
      <c r="Q139" s="131">
        <f t="shared" si="90"/>
        <v>-6.8730650154799235</v>
      </c>
      <c r="R139" s="132">
        <f t="shared" si="91"/>
        <v>0.91885964912280649</v>
      </c>
      <c r="S139" s="586"/>
      <c r="T139" s="91">
        <v>0.87708333333333344</v>
      </c>
      <c r="U139" s="91">
        <v>0.90347222222222234</v>
      </c>
      <c r="V139" s="308">
        <v>6</v>
      </c>
      <c r="W139" s="84">
        <f t="shared" si="95"/>
        <v>38.000000000000028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-116.84210526315883</v>
      </c>
      <c r="AG139" s="171">
        <f t="shared" si="64"/>
        <v>0.91885964912280638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1036</v>
      </c>
      <c r="H140" s="127">
        <f t="shared" si="92"/>
        <v>52307.64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1322.5531914893618</v>
      </c>
      <c r="O140" s="129">
        <f t="shared" si="94"/>
        <v>88.170212765957459</v>
      </c>
      <c r="P140" s="95">
        <f t="shared" si="89"/>
        <v>1</v>
      </c>
      <c r="Q140" s="131">
        <f t="shared" si="90"/>
        <v>-14.686930091185403</v>
      </c>
      <c r="R140" s="132">
        <f t="shared" si="91"/>
        <v>0.85721040189125308</v>
      </c>
      <c r="S140" s="587"/>
      <c r="T140" s="105">
        <v>0.90833333333333344</v>
      </c>
      <c r="U140" s="310">
        <v>0.94097222222222232</v>
      </c>
      <c r="V140" s="311">
        <v>7</v>
      </c>
      <c r="W140" s="84">
        <f t="shared" si="95"/>
        <v>46.999999999999993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-117.44680851063822</v>
      </c>
      <c r="AG140" s="171">
        <f t="shared" si="64"/>
        <v>0.91843971631205679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1339.9811324021166</v>
      </c>
      <c r="O147" s="301">
        <f t="shared" si="96"/>
        <v>75.80967114442582</v>
      </c>
      <c r="P147" s="92">
        <f t="shared" ref="P147:P151" si="97">M147-J147</f>
        <v>0.1666666666666643</v>
      </c>
      <c r="Q147" s="188">
        <f t="shared" ref="Q147:Q151" si="98">O147-L147</f>
        <v>-7.9461890944065487</v>
      </c>
      <c r="R147" s="316">
        <f t="shared" ref="R147:R151" si="99">O147/L147</f>
        <v>0.90512676878074261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-120.0188675978834</v>
      </c>
      <c r="AG147" s="317">
        <f t="shared" si="64"/>
        <v>0.91779529616583333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522</v>
      </c>
      <c r="H148" s="127">
        <f t="shared" ref="H148:H172" si="100">F148*G148</f>
        <v>26449.74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1118.5714285714262</v>
      </c>
      <c r="O148" s="86">
        <f>N148/M148</f>
        <v>65.798319327730951</v>
      </c>
      <c r="P148" s="88">
        <f t="shared" si="97"/>
        <v>1</v>
      </c>
      <c r="Q148" s="89">
        <f t="shared" si="98"/>
        <v>-24.201680672269049</v>
      </c>
      <c r="R148" s="90">
        <f t="shared" si="99"/>
        <v>0.73109243697478832</v>
      </c>
      <c r="S148" s="579">
        <f>R160</f>
        <v>0.83124787683742007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-321.42857142857383</v>
      </c>
      <c r="AG148" s="171">
        <f t="shared" si="64"/>
        <v>0.77678571428571264</v>
      </c>
      <c r="AH148" s="575">
        <f>AG160</f>
        <v>0.84710277107249254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1242</v>
      </c>
      <c r="H149" s="127">
        <f t="shared" si="100"/>
        <v>71166.599999999991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1380.0000000000007</v>
      </c>
      <c r="O149" s="86">
        <f>N149/M149</f>
        <v>76.6666666666667</v>
      </c>
      <c r="P149" s="88">
        <f t="shared" si="97"/>
        <v>0</v>
      </c>
      <c r="Q149" s="89">
        <f t="shared" si="98"/>
        <v>-6.6666666666666288</v>
      </c>
      <c r="R149" s="90">
        <f t="shared" si="99"/>
        <v>0.92000000000000048</v>
      </c>
      <c r="S149" s="580"/>
      <c r="T149" s="304">
        <v>0.73333333333333339</v>
      </c>
      <c r="U149" s="91">
        <v>0.77083333333333337</v>
      </c>
      <c r="V149" s="75">
        <v>8</v>
      </c>
      <c r="W149" s="84">
        <f t="shared" ref="W149:W159" si="101">(U149-T149)*24*60</f>
        <v>53.999999999999972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-119.99999999999932</v>
      </c>
      <c r="AG149" s="171">
        <f t="shared" si="64"/>
        <v>0.92000000000000048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223.2</v>
      </c>
      <c r="H150" s="127">
        <f t="shared" si="100"/>
        <v>12886.451999999999</v>
      </c>
      <c r="I150" s="318">
        <v>2</v>
      </c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1217.4545454545496</v>
      </c>
      <c r="O150" s="86">
        <f>N150/M150</f>
        <v>76.090909090909349</v>
      </c>
      <c r="P150" s="88">
        <f t="shared" si="97"/>
        <v>0</v>
      </c>
      <c r="Q150" s="89">
        <f t="shared" si="98"/>
        <v>-21.721590909090651</v>
      </c>
      <c r="R150" s="90">
        <f t="shared" si="99"/>
        <v>0.7779262271275077</v>
      </c>
      <c r="S150" s="580"/>
      <c r="T150" s="304">
        <v>0.78611111111111109</v>
      </c>
      <c r="U150" s="91">
        <v>0.79374999999999996</v>
      </c>
      <c r="V150" s="75">
        <v>22</v>
      </c>
      <c r="W150" s="84">
        <f t="shared" si="101"/>
        <v>10.999999999999961</v>
      </c>
      <c r="X150" s="271">
        <v>0.77430555555555547</v>
      </c>
      <c r="Y150" s="271">
        <v>0.78333333333333333</v>
      </c>
      <c r="Z150" s="272"/>
      <c r="AA150" s="272"/>
      <c r="AB150" s="571"/>
      <c r="AC150" s="571"/>
      <c r="AD150" s="332"/>
      <c r="AE150" s="332"/>
      <c r="AF150" s="88">
        <f t="shared" si="63"/>
        <v>-347.54545454545041</v>
      </c>
      <c r="AG150" s="171">
        <f t="shared" si="64"/>
        <v>0.7779262271275077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374</v>
      </c>
      <c r="H151" s="127">
        <f t="shared" si="100"/>
        <v>18808.46</v>
      </c>
      <c r="I151" s="318">
        <v>2</v>
      </c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1319.9999999999923</v>
      </c>
      <c r="O151" s="86">
        <f>N151/M151</f>
        <v>73.333333333332902</v>
      </c>
      <c r="P151" s="88">
        <f t="shared" si="97"/>
        <v>0</v>
      </c>
      <c r="Q151" s="89">
        <f t="shared" si="98"/>
        <v>-6.6666666666670977</v>
      </c>
      <c r="R151" s="90">
        <f t="shared" si="99"/>
        <v>0.9166666666666613</v>
      </c>
      <c r="S151" s="580"/>
      <c r="T151" s="304">
        <v>0.79791666666666661</v>
      </c>
      <c r="U151" s="91">
        <v>0.80972222222222223</v>
      </c>
      <c r="V151" s="75">
        <v>6</v>
      </c>
      <c r="W151" s="84">
        <f t="shared" si="101"/>
        <v>17.000000000000099</v>
      </c>
      <c r="X151" s="271"/>
      <c r="Y151" s="271"/>
      <c r="Z151" s="272"/>
      <c r="AA151" s="272"/>
      <c r="AB151" s="571"/>
      <c r="AC151" s="571"/>
      <c r="AD151" s="277"/>
      <c r="AE151" s="277"/>
      <c r="AF151" s="88">
        <f t="shared" si="63"/>
        <v>-120.00000000000773</v>
      </c>
      <c r="AG151" s="171">
        <f t="shared" si="64"/>
        <v>0.9166666666666613</v>
      </c>
      <c r="AH151" s="581"/>
    </row>
    <row r="152" spans="1:34" s="274" customFormat="1" ht="19.2" customHeight="1">
      <c r="A152" s="578"/>
      <c r="B152" s="332">
        <v>0</v>
      </c>
      <c r="C152" s="277"/>
      <c r="D152" s="309"/>
      <c r="E152" s="101"/>
      <c r="F152" s="657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580"/>
      <c r="T152" s="319"/>
      <c r="U152" s="105"/>
      <c r="V152" s="103"/>
      <c r="W152" s="84"/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0</v>
      </c>
      <c r="AG152" s="171" t="e">
        <f t="shared" si="64"/>
        <v>#DIV/0!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J160:O160" si="102">AVERAGE(M148:M159)</f>
        <v>17.25</v>
      </c>
      <c r="N160" s="327">
        <f t="shared" si="102"/>
        <v>1259.006493506492</v>
      </c>
      <c r="O160" s="328">
        <f t="shared" si="102"/>
        <v>72.972307104659976</v>
      </c>
      <c r="P160" s="107">
        <f t="shared" ref="P160:P165" si="103">M160-J160</f>
        <v>0.25</v>
      </c>
      <c r="Q160" s="117">
        <f t="shared" ref="Q160:Q165" si="104">O160-L160</f>
        <v>-14.814151228673353</v>
      </c>
      <c r="R160" s="329">
        <f>O160/L160</f>
        <v>0.83124787683742007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0</v>
      </c>
      <c r="AE160" s="122">
        <f>SUM(AE148:AE159)</f>
        <v>0</v>
      </c>
      <c r="AF160" s="107">
        <f t="shared" si="63"/>
        <v>-227.24350649350799</v>
      </c>
      <c r="AG160" s="176">
        <f t="shared" si="64"/>
        <v>0.84710277107249254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2891</v>
      </c>
      <c r="H161" s="127">
        <f t="shared" ref="H161:H170" si="105">F161*G161</f>
        <v>98958.93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2168.25</v>
      </c>
      <c r="O161" s="129">
        <f t="shared" ref="O161:O165" si="107">N161/M161</f>
        <v>166.78846153846155</v>
      </c>
      <c r="P161" s="95">
        <f t="shared" si="103"/>
        <v>0</v>
      </c>
      <c r="Q161" s="131">
        <f t="shared" si="104"/>
        <v>-6.2884615384615188</v>
      </c>
      <c r="R161" s="132">
        <f t="shared" ref="R161:R165" si="108">O161/L161</f>
        <v>0.96366666666666678</v>
      </c>
      <c r="S161" s="575">
        <f>R173</f>
        <v>0.94557475161564097</v>
      </c>
      <c r="T161" s="133">
        <v>0.16666666666666666</v>
      </c>
      <c r="U161" s="133">
        <v>0.22222222222222221</v>
      </c>
      <c r="V161" s="332">
        <v>5</v>
      </c>
      <c r="W161" s="134">
        <f t="shared" ref="W161:W165" si="109">(U161-T161)*24*60</f>
        <v>80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-81.75</v>
      </c>
      <c r="AG161" s="132">
        <f t="shared" si="64"/>
        <v>0.96366666666666667</v>
      </c>
      <c r="AH161" s="575">
        <f>AG173</f>
        <v>0.94860151233232504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3472</v>
      </c>
      <c r="H162" s="127">
        <f t="shared" si="105"/>
        <v>118846.55999999998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2170</v>
      </c>
      <c r="O162" s="129">
        <f t="shared" si="107"/>
        <v>166.92307692307693</v>
      </c>
      <c r="P162" s="95">
        <f t="shared" si="103"/>
        <v>0</v>
      </c>
      <c r="Q162" s="131">
        <f t="shared" si="104"/>
        <v>-6.153846153846132</v>
      </c>
      <c r="R162" s="132">
        <f t="shared" si="108"/>
        <v>0.96444444444444455</v>
      </c>
      <c r="S162" s="575"/>
      <c r="T162" s="133">
        <v>0.22708333333333333</v>
      </c>
      <c r="U162" s="133">
        <v>0.29375000000000001</v>
      </c>
      <c r="V162" s="332">
        <v>7</v>
      </c>
      <c r="W162" s="134">
        <f t="shared" si="109"/>
        <v>96.000000000000014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-80</v>
      </c>
      <c r="AG162" s="132">
        <f t="shared" si="64"/>
        <v>0.96444444444444444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2440</v>
      </c>
      <c r="H163" s="127">
        <f t="shared" si="105"/>
        <v>83521.2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2061.9718309859159</v>
      </c>
      <c r="O163" s="129">
        <f t="shared" si="107"/>
        <v>171.83098591549299</v>
      </c>
      <c r="P163" s="95">
        <f t="shared" si="103"/>
        <v>0</v>
      </c>
      <c r="Q163" s="131">
        <f t="shared" si="104"/>
        <v>-4.6690140845070118</v>
      </c>
      <c r="R163" s="132">
        <f t="shared" si="108"/>
        <v>0.97354666241072518</v>
      </c>
      <c r="S163" s="575"/>
      <c r="T163" s="133">
        <v>0.3347222222222222</v>
      </c>
      <c r="U163" s="133">
        <v>0.38402777777777775</v>
      </c>
      <c r="V163" s="332">
        <v>6</v>
      </c>
      <c r="W163" s="134">
        <f t="shared" si="109"/>
        <v>70.999999999999986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-56.028169014084142</v>
      </c>
      <c r="AG163" s="132">
        <f t="shared" si="64"/>
        <v>0.97354666241072518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4793</v>
      </c>
      <c r="H164" s="127">
        <f t="shared" si="105"/>
        <v>171733.19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2195.2671755725191</v>
      </c>
      <c r="O164" s="129">
        <f t="shared" si="107"/>
        <v>199.56974323386538</v>
      </c>
      <c r="P164" s="95">
        <f t="shared" si="103"/>
        <v>0</v>
      </c>
      <c r="Q164" s="131">
        <f t="shared" si="104"/>
        <v>-4.9757113115891514</v>
      </c>
      <c r="R164" s="132">
        <f t="shared" si="108"/>
        <v>0.97567430025445301</v>
      </c>
      <c r="S164" s="575"/>
      <c r="T164" s="133">
        <v>0.39930555555555552</v>
      </c>
      <c r="U164" s="133">
        <v>0.49027777777777776</v>
      </c>
      <c r="V164" s="332">
        <v>22</v>
      </c>
      <c r="W164" s="134">
        <f t="shared" si="109"/>
        <v>131</v>
      </c>
      <c r="X164" s="140">
        <v>0.38750000000000001</v>
      </c>
      <c r="Y164" s="140">
        <v>0.39652777777777781</v>
      </c>
      <c r="Z164" s="95"/>
      <c r="AA164" s="95"/>
      <c r="AB164" s="571"/>
      <c r="AC164" s="571"/>
      <c r="AD164" s="332"/>
      <c r="AE164" s="332"/>
      <c r="AF164" s="95">
        <f t="shared" si="63"/>
        <v>-54.732824427480864</v>
      </c>
      <c r="AG164" s="132">
        <f t="shared" si="64"/>
        <v>0.9756743002544529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4316.6500000000005</v>
      </c>
      <c r="H165" s="127">
        <f t="shared" si="105"/>
        <v>157169.22650000002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2443.3867924528317</v>
      </c>
      <c r="O165" s="129">
        <f t="shared" si="107"/>
        <v>244.33867924528317</v>
      </c>
      <c r="P165" s="95">
        <f t="shared" si="103"/>
        <v>0</v>
      </c>
      <c r="Q165" s="131">
        <f t="shared" si="104"/>
        <v>-32.561320754716803</v>
      </c>
      <c r="R165" s="132">
        <f t="shared" si="108"/>
        <v>0.88240765346797834</v>
      </c>
      <c r="S165" s="575"/>
      <c r="T165" s="133">
        <v>0.50624999999999998</v>
      </c>
      <c r="U165" s="133">
        <v>0.57986111111111105</v>
      </c>
      <c r="V165" s="332">
        <v>23</v>
      </c>
      <c r="W165" s="134">
        <f t="shared" si="109"/>
        <v>105.99999999999994</v>
      </c>
      <c r="X165" s="140">
        <v>0.49374999999999997</v>
      </c>
      <c r="Y165" s="140">
        <v>0.50347222222222221</v>
      </c>
      <c r="Z165" s="95"/>
      <c r="AA165" s="95"/>
      <c r="AB165" s="571"/>
      <c r="AC165" s="571"/>
      <c r="AD165" s="332"/>
      <c r="AE165" s="332"/>
      <c r="AF165" s="95">
        <f t="shared" si="63"/>
        <v>-325.61320754716826</v>
      </c>
      <c r="AG165" s="132">
        <f t="shared" si="64"/>
        <v>0.88240765346797823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2207.7751598022533</v>
      </c>
      <c r="O173" s="148">
        <f t="shared" si="110"/>
        <v>189.890189371236</v>
      </c>
      <c r="P173" s="95">
        <f>M173-J173</f>
        <v>0</v>
      </c>
      <c r="Q173" s="131">
        <f>O173-L173</f>
        <v>-10.929670768624135</v>
      </c>
      <c r="R173" s="149">
        <f>O173/L173</f>
        <v>0.94557475161564097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0</v>
      </c>
      <c r="AF173" s="95">
        <f t="shared" si="63"/>
        <v>-119.62484019774683</v>
      </c>
      <c r="AG173" s="132">
        <f t="shared" si="64"/>
        <v>0.94860151233232504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6729" priority="3346" operator="lessThan">
      <formula>0</formula>
    </cfRule>
  </conditionalFormatting>
  <conditionalFormatting sqref="AH57 AH70 S43 S123 S95 AH95 S5:S9 AH5:AH9 S134 AH17:AH18 S17:S18 S32 S82 AH82 S57:S70">
    <cfRule type="cellIs" dxfId="16728" priority="3345" operator="lessThan">
      <formula>0.8</formula>
    </cfRule>
  </conditionalFormatting>
  <conditionalFormatting sqref="R147 R173 R30 R121 R95 R43 R134 R82 R154:R159 R17:R18 R57:R70">
    <cfRule type="cellIs" dxfId="16727" priority="3343" operator="lessThan">
      <formula>0.8</formula>
    </cfRule>
    <cfRule type="cellIs" dxfId="16726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6725" priority="3341" operator="greaterThan">
      <formula>1</formula>
    </cfRule>
    <cfRule type="cellIs" dxfId="16724" priority="3342" operator="lessThan">
      <formula>0.8</formula>
    </cfRule>
  </conditionalFormatting>
  <conditionalFormatting sqref="P147 P30 P121 P95 P43 P134 P82 P154:P159 P17:P18 P57:P70">
    <cfRule type="cellIs" dxfId="16723" priority="3340" operator="greaterThan">
      <formula>0</formula>
    </cfRule>
  </conditionalFormatting>
  <conditionalFormatting sqref="S161">
    <cfRule type="cellIs" dxfId="16722" priority="3339" operator="lessThan">
      <formula>0.8</formula>
    </cfRule>
  </conditionalFormatting>
  <conditionalFormatting sqref="Q161:Q166">
    <cfRule type="cellIs" dxfId="16721" priority="3338" operator="lessThan">
      <formula>0</formula>
    </cfRule>
  </conditionalFormatting>
  <conditionalFormatting sqref="R161:R166">
    <cfRule type="cellIs" dxfId="16720" priority="3336" operator="lessThan">
      <formula>0.8</formula>
    </cfRule>
    <cfRule type="cellIs" dxfId="16719" priority="3337" operator="greaterThan">
      <formula>1</formula>
    </cfRule>
  </conditionalFormatting>
  <conditionalFormatting sqref="R161:R166">
    <cfRule type="cellIs" dxfId="16718" priority="3334" operator="greaterThan">
      <formula>1</formula>
    </cfRule>
    <cfRule type="cellIs" dxfId="16717" priority="3335" operator="lessThan">
      <formula>0.8</formula>
    </cfRule>
  </conditionalFormatting>
  <conditionalFormatting sqref="P161:P166">
    <cfRule type="cellIs" dxfId="16716" priority="3333" operator="greaterThan">
      <formula>0</formula>
    </cfRule>
  </conditionalFormatting>
  <conditionalFormatting sqref="Q169:Q172 AF161:AF172">
    <cfRule type="cellIs" dxfId="16715" priority="3332" operator="lessThan">
      <formula>0</formula>
    </cfRule>
  </conditionalFormatting>
  <conditionalFormatting sqref="R169:R172">
    <cfRule type="cellIs" dxfId="16714" priority="3330" operator="lessThan">
      <formula>0.8</formula>
    </cfRule>
    <cfRule type="cellIs" dxfId="16713" priority="3331" operator="greaterThan">
      <formula>1</formula>
    </cfRule>
  </conditionalFormatting>
  <conditionalFormatting sqref="R169:R172 AG161:AG172">
    <cfRule type="cellIs" dxfId="16712" priority="3328" operator="greaterThan">
      <formula>1</formula>
    </cfRule>
    <cfRule type="cellIs" dxfId="16711" priority="3329" operator="lessThan">
      <formula>0.8</formula>
    </cfRule>
  </conditionalFormatting>
  <conditionalFormatting sqref="P169:P172">
    <cfRule type="cellIs" dxfId="16710" priority="3327" operator="greaterThan">
      <formula>0</formula>
    </cfRule>
  </conditionalFormatting>
  <conditionalFormatting sqref="AF145">
    <cfRule type="cellIs" dxfId="16709" priority="3326" operator="lessThan">
      <formula>0</formula>
    </cfRule>
  </conditionalFormatting>
  <conditionalFormatting sqref="AG145">
    <cfRule type="cellIs" dxfId="16708" priority="3324" operator="greaterThan">
      <formula>1</formula>
    </cfRule>
    <cfRule type="cellIs" dxfId="16707" priority="3325" operator="lessThan">
      <formula>0.8</formula>
    </cfRule>
  </conditionalFormatting>
  <conditionalFormatting sqref="AF44:AF54">
    <cfRule type="cellIs" dxfId="16706" priority="3323" operator="lessThan">
      <formula>0</formula>
    </cfRule>
  </conditionalFormatting>
  <conditionalFormatting sqref="AG44:AG54">
    <cfRule type="cellIs" dxfId="16705" priority="3321" operator="greaterThan">
      <formula>1</formula>
    </cfRule>
    <cfRule type="cellIs" dxfId="16704" priority="3322" operator="lessThan">
      <formula>0.8</formula>
    </cfRule>
  </conditionalFormatting>
  <conditionalFormatting sqref="AF83:AF94">
    <cfRule type="cellIs" dxfId="16703" priority="3320" operator="lessThan">
      <formula>0</formula>
    </cfRule>
  </conditionalFormatting>
  <conditionalFormatting sqref="AH83">
    <cfRule type="cellIs" dxfId="16702" priority="3319" operator="lessThan">
      <formula>0.8</formula>
    </cfRule>
  </conditionalFormatting>
  <conditionalFormatting sqref="AG83:AG94">
    <cfRule type="cellIs" dxfId="16701" priority="3317" operator="greaterThan">
      <formula>1</formula>
    </cfRule>
    <cfRule type="cellIs" dxfId="16700" priority="3318" operator="lessThan">
      <formula>0.8</formula>
    </cfRule>
  </conditionalFormatting>
  <conditionalFormatting sqref="S83">
    <cfRule type="cellIs" dxfId="16699" priority="3316" operator="lessThan">
      <formula>0.8</formula>
    </cfRule>
  </conditionalFormatting>
  <conditionalFormatting sqref="AH84">
    <cfRule type="cellIs" dxfId="16698" priority="3315" operator="lessThan">
      <formula>0.8</formula>
    </cfRule>
  </conditionalFormatting>
  <conditionalFormatting sqref="S84">
    <cfRule type="cellIs" dxfId="16697" priority="3314" operator="lessThan">
      <formula>0.8</formula>
    </cfRule>
  </conditionalFormatting>
  <conditionalFormatting sqref="S90">
    <cfRule type="cellIs" dxfId="16696" priority="3313" operator="lessThan">
      <formula>0.8</formula>
    </cfRule>
  </conditionalFormatting>
  <conditionalFormatting sqref="AH90">
    <cfRule type="cellIs" dxfId="16695" priority="3312" operator="lessThan">
      <formula>0.8</formula>
    </cfRule>
  </conditionalFormatting>
  <conditionalFormatting sqref="AF122">
    <cfRule type="cellIs" dxfId="16694" priority="3311" operator="lessThan">
      <formula>0</formula>
    </cfRule>
  </conditionalFormatting>
  <conditionalFormatting sqref="S122">
    <cfRule type="cellIs" dxfId="16693" priority="3310" operator="lessThan">
      <formula>0.8</formula>
    </cfRule>
  </conditionalFormatting>
  <conditionalFormatting sqref="AG122">
    <cfRule type="cellIs" dxfId="16692" priority="3308" operator="greaterThan">
      <formula>1</formula>
    </cfRule>
    <cfRule type="cellIs" dxfId="16691" priority="3309" operator="lessThan">
      <formula>0.8</formula>
    </cfRule>
  </conditionalFormatting>
  <conditionalFormatting sqref="P162:P168">
    <cfRule type="cellIs" dxfId="16690" priority="3302" operator="greaterThan">
      <formula>0</formula>
    </cfRule>
  </conditionalFormatting>
  <conditionalFormatting sqref="R162:R168">
    <cfRule type="cellIs" dxfId="16689" priority="3305" operator="lessThan">
      <formula>0.8</formula>
    </cfRule>
    <cfRule type="cellIs" dxfId="16688" priority="3306" operator="greaterThan">
      <formula>1</formula>
    </cfRule>
  </conditionalFormatting>
  <conditionalFormatting sqref="R162:R168">
    <cfRule type="cellIs" dxfId="16687" priority="3303" operator="greaterThan">
      <formula>1</formula>
    </cfRule>
    <cfRule type="cellIs" dxfId="16686" priority="3304" operator="lessThan">
      <formula>0.8</formula>
    </cfRule>
  </conditionalFormatting>
  <conditionalFormatting sqref="Q162:Q168">
    <cfRule type="cellIs" dxfId="16685" priority="3307" operator="lessThan">
      <formula>0</formula>
    </cfRule>
  </conditionalFormatting>
  <conditionalFormatting sqref="P132:P133">
    <cfRule type="cellIs" dxfId="16684" priority="3295" operator="greaterThan">
      <formula>0</formula>
    </cfRule>
  </conditionalFormatting>
  <conditionalFormatting sqref="AF124 Q132:Q133 AF126:AF133">
    <cfRule type="cellIs" dxfId="16683" priority="3301" operator="lessThan">
      <formula>0</formula>
    </cfRule>
  </conditionalFormatting>
  <conditionalFormatting sqref="S124:S133">
    <cfRule type="cellIs" dxfId="16682" priority="3300" operator="lessThan">
      <formula>0.8</formula>
    </cfRule>
  </conditionalFormatting>
  <conditionalFormatting sqref="R132:R133">
    <cfRule type="cellIs" dxfId="16681" priority="3298" operator="lessThan">
      <formula>0.8</formula>
    </cfRule>
    <cfRule type="cellIs" dxfId="16680" priority="3299" operator="greaterThan">
      <formula>1</formula>
    </cfRule>
  </conditionalFormatting>
  <conditionalFormatting sqref="AG124 R132:R133 AG126:AG133">
    <cfRule type="cellIs" dxfId="16679" priority="3296" operator="greaterThan">
      <formula>1</formula>
    </cfRule>
    <cfRule type="cellIs" dxfId="16678" priority="3297" operator="lessThan">
      <formula>0.8</formula>
    </cfRule>
  </conditionalFormatting>
  <conditionalFormatting sqref="AF112 AF115">
    <cfRule type="cellIs" dxfId="16677" priority="3294" operator="lessThan">
      <formula>0</formula>
    </cfRule>
  </conditionalFormatting>
  <conditionalFormatting sqref="AG112 AG115">
    <cfRule type="cellIs" dxfId="16676" priority="3292" operator="greaterThan">
      <formula>1</formula>
    </cfRule>
    <cfRule type="cellIs" dxfId="16675" priority="3293" operator="lessThan">
      <formula>0.8</formula>
    </cfRule>
  </conditionalFormatting>
  <conditionalFormatting sqref="AF111 AF114 AF117">
    <cfRule type="cellIs" dxfId="16674" priority="3291" operator="lessThan">
      <formula>0</formula>
    </cfRule>
  </conditionalFormatting>
  <conditionalFormatting sqref="AH109">
    <cfRule type="cellIs" dxfId="16673" priority="3290" operator="lessThan">
      <formula>0.8</formula>
    </cfRule>
  </conditionalFormatting>
  <conditionalFormatting sqref="AG111 AG114 AG117">
    <cfRule type="cellIs" dxfId="16672" priority="3288" operator="greaterThan">
      <formula>1</formula>
    </cfRule>
    <cfRule type="cellIs" dxfId="16671" priority="3289" operator="lessThan">
      <formula>0.8</formula>
    </cfRule>
  </conditionalFormatting>
  <conditionalFormatting sqref="R160 AG160">
    <cfRule type="cellIs" dxfId="16670" priority="3283" operator="greaterThan">
      <formula>1</formula>
    </cfRule>
    <cfRule type="cellIs" dxfId="16669" priority="3284" operator="lessThan">
      <formula>0.8</formula>
    </cfRule>
  </conditionalFormatting>
  <conditionalFormatting sqref="R160">
    <cfRule type="cellIs" dxfId="16668" priority="3285" operator="lessThan">
      <formula>0.8</formula>
    </cfRule>
    <cfRule type="cellIs" dxfId="16667" priority="3286" operator="greaterThan">
      <formula>1</formula>
    </cfRule>
  </conditionalFormatting>
  <conditionalFormatting sqref="P160">
    <cfRule type="cellIs" dxfId="16666" priority="3282" operator="greaterThan">
      <formula>0</formula>
    </cfRule>
  </conditionalFormatting>
  <conditionalFormatting sqref="AH148">
    <cfRule type="cellIs" dxfId="16665" priority="3281" operator="lessThan">
      <formula>0.8</formula>
    </cfRule>
  </conditionalFormatting>
  <conditionalFormatting sqref="Q160 AF160">
    <cfRule type="cellIs" dxfId="16664" priority="3287" operator="lessThan">
      <formula>0</formula>
    </cfRule>
  </conditionalFormatting>
  <conditionalFormatting sqref="AF148:AF154">
    <cfRule type="cellIs" dxfId="16663" priority="3280" operator="lessThan">
      <formula>0</formula>
    </cfRule>
  </conditionalFormatting>
  <conditionalFormatting sqref="S148">
    <cfRule type="cellIs" dxfId="16662" priority="3279" operator="lessThan">
      <formula>0.8</formula>
    </cfRule>
  </conditionalFormatting>
  <conditionalFormatting sqref="AG148:AG154">
    <cfRule type="cellIs" dxfId="16661" priority="3277" operator="greaterThan">
      <formula>1</formula>
    </cfRule>
    <cfRule type="cellIs" dxfId="16660" priority="3278" operator="lessThan">
      <formula>0.8</formula>
    </cfRule>
  </conditionalFormatting>
  <conditionalFormatting sqref="S86">
    <cfRule type="cellIs" dxfId="16659" priority="3276" operator="lessThan">
      <formula>0.8</formula>
    </cfRule>
  </conditionalFormatting>
  <conditionalFormatting sqref="S88 AH88">
    <cfRule type="cellIs" dxfId="16658" priority="3271" operator="lessThan">
      <formula>0.8</formula>
    </cfRule>
  </conditionalFormatting>
  <conditionalFormatting sqref="AH86">
    <cfRule type="cellIs" dxfId="16657" priority="3275" operator="lessThan">
      <formula>0.8</formula>
    </cfRule>
  </conditionalFormatting>
  <conditionalFormatting sqref="S87">
    <cfRule type="cellIs" dxfId="16656" priority="3274" operator="lessThan">
      <formula>0.8</formula>
    </cfRule>
  </conditionalFormatting>
  <conditionalFormatting sqref="AH87">
    <cfRule type="cellIs" dxfId="16655" priority="3273" operator="lessThan">
      <formula>0.8</formula>
    </cfRule>
  </conditionalFormatting>
  <conditionalFormatting sqref="S89 AH89">
    <cfRule type="cellIs" dxfId="16654" priority="3272" operator="lessThan">
      <formula>0.8</formula>
    </cfRule>
  </conditionalFormatting>
  <conditionalFormatting sqref="AF31 AF35 AF39">
    <cfRule type="cellIs" dxfId="16653" priority="3270" operator="lessThan">
      <formula>0</formula>
    </cfRule>
  </conditionalFormatting>
  <conditionalFormatting sqref="AH31 S31">
    <cfRule type="cellIs" dxfId="16652" priority="3269" operator="lessThan">
      <formula>0.8</formula>
    </cfRule>
  </conditionalFormatting>
  <conditionalFormatting sqref="AG31 AG35 AG39">
    <cfRule type="cellIs" dxfId="16651" priority="3267" operator="greaterThan">
      <formula>1</formula>
    </cfRule>
    <cfRule type="cellIs" dxfId="16650" priority="3268" operator="lessThan">
      <formula>0.8</formula>
    </cfRule>
  </conditionalFormatting>
  <conditionalFormatting sqref="AF135">
    <cfRule type="cellIs" dxfId="16649" priority="3266" operator="lessThan">
      <formula>0</formula>
    </cfRule>
  </conditionalFormatting>
  <conditionalFormatting sqref="AH135 S135">
    <cfRule type="cellIs" dxfId="16648" priority="3265" operator="lessThan">
      <formula>0.8</formula>
    </cfRule>
  </conditionalFormatting>
  <conditionalFormatting sqref="AG135">
    <cfRule type="cellIs" dxfId="16647" priority="3263" operator="greaterThan">
      <formula>1</formula>
    </cfRule>
    <cfRule type="cellIs" dxfId="16646" priority="3264" operator="lessThan">
      <formula>0.8</formula>
    </cfRule>
  </conditionalFormatting>
  <conditionalFormatting sqref="AF110 AF113 AF116">
    <cfRule type="cellIs" dxfId="16645" priority="3262" operator="lessThan">
      <formula>0</formula>
    </cfRule>
  </conditionalFormatting>
  <conditionalFormatting sqref="AG110 AG113 AG116">
    <cfRule type="cellIs" dxfId="16644" priority="3260" operator="greaterThan">
      <formula>1</formula>
    </cfRule>
    <cfRule type="cellIs" dxfId="16643" priority="3261" operator="lessThan">
      <formula>0.8</formula>
    </cfRule>
  </conditionalFormatting>
  <conditionalFormatting sqref="AF108 Q108">
    <cfRule type="cellIs" dxfId="16642" priority="3259" operator="lessThan">
      <formula>0</formula>
    </cfRule>
  </conditionalFormatting>
  <conditionalFormatting sqref="R108">
    <cfRule type="cellIs" dxfId="16641" priority="3257" operator="lessThan">
      <formula>0.8</formula>
    </cfRule>
    <cfRule type="cellIs" dxfId="16640" priority="3258" operator="greaterThan">
      <formula>1</formula>
    </cfRule>
  </conditionalFormatting>
  <conditionalFormatting sqref="AG108 R108">
    <cfRule type="cellIs" dxfId="16639" priority="3255" operator="greaterThan">
      <formula>1</formula>
    </cfRule>
    <cfRule type="cellIs" dxfId="16638" priority="3256" operator="lessThan">
      <formula>0.8</formula>
    </cfRule>
  </conditionalFormatting>
  <conditionalFormatting sqref="P108">
    <cfRule type="cellIs" dxfId="16637" priority="3254" operator="greaterThan">
      <formula>0</formula>
    </cfRule>
  </conditionalFormatting>
  <conditionalFormatting sqref="AH97">
    <cfRule type="cellIs" dxfId="16636" priority="3249" operator="lessThan">
      <formula>0.8</formula>
    </cfRule>
  </conditionalFormatting>
  <conditionalFormatting sqref="AG96 AG98 AG100 AG102 AG104">
    <cfRule type="cellIs" dxfId="16635" priority="3251" operator="greaterThan">
      <formula>1</formula>
    </cfRule>
    <cfRule type="cellIs" dxfId="16634" priority="3252" operator="lessThan">
      <formula>0.8</formula>
    </cfRule>
  </conditionalFormatting>
  <conditionalFormatting sqref="AF96 AF98 AF100 AF102 AF104">
    <cfRule type="cellIs" dxfId="16633" priority="3253" operator="lessThan">
      <formula>0</formula>
    </cfRule>
  </conditionalFormatting>
  <conditionalFormatting sqref="AG97 AG99 AG101 AG103 AG105">
    <cfRule type="cellIs" dxfId="16632" priority="3247" operator="greaterThan">
      <formula>1</formula>
    </cfRule>
    <cfRule type="cellIs" dxfId="16631" priority="3248" operator="lessThan">
      <formula>0.8</formula>
    </cfRule>
  </conditionalFormatting>
  <conditionalFormatting sqref="AF97 AF99 AF101 AF103 AF105">
    <cfRule type="cellIs" dxfId="16630" priority="3250" operator="lessThan">
      <formula>0</formula>
    </cfRule>
  </conditionalFormatting>
  <conditionalFormatting sqref="AF71 AF73 AF75 AF79 AF77">
    <cfRule type="cellIs" dxfId="16629" priority="3244" operator="lessThan">
      <formula>0</formula>
    </cfRule>
  </conditionalFormatting>
  <conditionalFormatting sqref="S71 AH71">
    <cfRule type="cellIs" dxfId="16628" priority="3243" operator="lessThan">
      <formula>0.8</formula>
    </cfRule>
  </conditionalFormatting>
  <conditionalFormatting sqref="AG71 AG73 AG75 AG79 AG77">
    <cfRule type="cellIs" dxfId="16627" priority="3241" operator="greaterThan">
      <formula>1</formula>
    </cfRule>
    <cfRule type="cellIs" dxfId="16626" priority="3242" operator="lessThan">
      <formula>0.8</formula>
    </cfRule>
  </conditionalFormatting>
  <conditionalFormatting sqref="AF72 AF76 AF80">
    <cfRule type="cellIs" dxfId="16625" priority="3240" operator="lessThan">
      <formula>0</formula>
    </cfRule>
  </conditionalFormatting>
  <conditionalFormatting sqref="S72 AH72">
    <cfRule type="cellIs" dxfId="16624" priority="3239" operator="lessThan">
      <formula>0.8</formula>
    </cfRule>
  </conditionalFormatting>
  <conditionalFormatting sqref="S11">
    <cfRule type="cellIs" dxfId="16623" priority="3246" operator="lessThan">
      <formula>0.8</formula>
    </cfRule>
  </conditionalFormatting>
  <conditionalFormatting sqref="S10">
    <cfRule type="cellIs" dxfId="16622" priority="3245" operator="lessThan">
      <formula>0.8</formula>
    </cfRule>
  </conditionalFormatting>
  <conditionalFormatting sqref="AG72 AG76 AG80">
    <cfRule type="cellIs" dxfId="16621" priority="3237" operator="greaterThan">
      <formula>1</formula>
    </cfRule>
    <cfRule type="cellIs" dxfId="16620" priority="3238" operator="lessThan">
      <formula>0.8</formula>
    </cfRule>
  </conditionalFormatting>
  <conditionalFormatting sqref="AF14:AF16 Q15:Q16">
    <cfRule type="cellIs" dxfId="16619" priority="3236" operator="lessThan">
      <formula>0</formula>
    </cfRule>
  </conditionalFormatting>
  <conditionalFormatting sqref="R15:R16">
    <cfRule type="cellIs" dxfId="16618" priority="3234" operator="lessThan">
      <formula>0.8</formula>
    </cfRule>
    <cfRule type="cellIs" dxfId="16617" priority="3235" operator="greaterThan">
      <formula>1</formula>
    </cfRule>
  </conditionalFormatting>
  <conditionalFormatting sqref="AG14:AG16 R15:R16">
    <cfRule type="cellIs" dxfId="16616" priority="3232" operator="greaterThan">
      <formula>1</formula>
    </cfRule>
    <cfRule type="cellIs" dxfId="16615" priority="3233" operator="lessThan">
      <formula>0.8</formula>
    </cfRule>
  </conditionalFormatting>
  <conditionalFormatting sqref="P15:P16">
    <cfRule type="cellIs" dxfId="16614" priority="3231" operator="greaterThan">
      <formula>0</formula>
    </cfRule>
  </conditionalFormatting>
  <conditionalFormatting sqref="AH98">
    <cfRule type="cellIs" dxfId="16613" priority="3230" operator="lessThan">
      <formula>0.8</formula>
    </cfRule>
  </conditionalFormatting>
  <conditionalFormatting sqref="AF33 AF37">
    <cfRule type="cellIs" dxfId="16612" priority="3229" operator="lessThan">
      <formula>0</formula>
    </cfRule>
  </conditionalFormatting>
  <conditionalFormatting sqref="AG33 AG37">
    <cfRule type="cellIs" dxfId="16611" priority="3227" operator="greaterThan">
      <formula>1</formula>
    </cfRule>
    <cfRule type="cellIs" dxfId="16610" priority="3228" operator="lessThan">
      <formula>0.8</formula>
    </cfRule>
  </conditionalFormatting>
  <conditionalFormatting sqref="P41:P42">
    <cfRule type="cellIs" dxfId="16609" priority="3221" operator="greaterThan">
      <formula>0</formula>
    </cfRule>
  </conditionalFormatting>
  <conditionalFormatting sqref="Q41:Q42 AF34 AF41:AF42 AF38">
    <cfRule type="cellIs" dxfId="16608" priority="3226" operator="lessThan">
      <formula>0</formula>
    </cfRule>
  </conditionalFormatting>
  <conditionalFormatting sqref="R41:R42">
    <cfRule type="cellIs" dxfId="16607" priority="3224" operator="lessThan">
      <formula>0.8</formula>
    </cfRule>
    <cfRule type="cellIs" dxfId="16606" priority="3225" operator="greaterThan">
      <formula>1</formula>
    </cfRule>
  </conditionalFormatting>
  <conditionalFormatting sqref="R41:R42 AG34 AG41:AG42 AG38">
    <cfRule type="cellIs" dxfId="16605" priority="3222" operator="greaterThan">
      <formula>1</formula>
    </cfRule>
    <cfRule type="cellIs" dxfId="16604" priority="3223" operator="lessThan">
      <formula>0.8</formula>
    </cfRule>
  </conditionalFormatting>
  <conditionalFormatting sqref="AF137:AF144">
    <cfRule type="cellIs" dxfId="16603" priority="3220" operator="lessThan">
      <formula>0</formula>
    </cfRule>
  </conditionalFormatting>
  <conditionalFormatting sqref="AH137 S137">
    <cfRule type="cellIs" dxfId="16602" priority="3219" operator="lessThan">
      <formula>0.8</formula>
    </cfRule>
  </conditionalFormatting>
  <conditionalFormatting sqref="AG137:AG144">
    <cfRule type="cellIs" dxfId="16601" priority="3217" operator="greaterThan">
      <formula>1</formula>
    </cfRule>
    <cfRule type="cellIs" dxfId="16600" priority="3218" operator="lessThan">
      <formula>0.8</formula>
    </cfRule>
  </conditionalFormatting>
  <conditionalFormatting sqref="AF55">
    <cfRule type="cellIs" dxfId="16599" priority="3216" operator="lessThan">
      <formula>0</formula>
    </cfRule>
  </conditionalFormatting>
  <conditionalFormatting sqref="AG55">
    <cfRule type="cellIs" dxfId="16598" priority="3214" operator="greaterThan">
      <formula>1</formula>
    </cfRule>
    <cfRule type="cellIs" dxfId="16597" priority="3215" operator="lessThan">
      <formula>0.8</formula>
    </cfRule>
  </conditionalFormatting>
  <conditionalFormatting sqref="AF56 Q56">
    <cfRule type="cellIs" dxfId="16596" priority="3213" operator="lessThan">
      <formula>0</formula>
    </cfRule>
  </conditionalFormatting>
  <conditionalFormatting sqref="R56">
    <cfRule type="cellIs" dxfId="16595" priority="3211" operator="lessThan">
      <formula>0.8</formula>
    </cfRule>
    <cfRule type="cellIs" dxfId="16594" priority="3212" operator="greaterThan">
      <formula>1</formula>
    </cfRule>
  </conditionalFormatting>
  <conditionalFormatting sqref="AG56 R56">
    <cfRule type="cellIs" dxfId="16593" priority="3209" operator="greaterThan">
      <formula>1</formula>
    </cfRule>
    <cfRule type="cellIs" dxfId="16592" priority="3210" operator="lessThan">
      <formula>0.8</formula>
    </cfRule>
  </conditionalFormatting>
  <conditionalFormatting sqref="P56">
    <cfRule type="cellIs" dxfId="16591" priority="3208" operator="greaterThan">
      <formula>0</formula>
    </cfRule>
  </conditionalFormatting>
  <conditionalFormatting sqref="P52:P55">
    <cfRule type="cellIs" dxfId="16590" priority="3202" operator="greaterThan">
      <formula>0</formula>
    </cfRule>
  </conditionalFormatting>
  <conditionalFormatting sqref="Q52:Q55">
    <cfRule type="cellIs" dxfId="16589" priority="3207" operator="lessThan">
      <formula>0</formula>
    </cfRule>
  </conditionalFormatting>
  <conditionalFormatting sqref="R52:R55">
    <cfRule type="cellIs" dxfId="16588" priority="3205" operator="lessThan">
      <formula>0.8</formula>
    </cfRule>
    <cfRule type="cellIs" dxfId="16587" priority="3206" operator="greaterThan">
      <formula>1</formula>
    </cfRule>
  </conditionalFormatting>
  <conditionalFormatting sqref="R52:R55">
    <cfRule type="cellIs" dxfId="16586" priority="3203" operator="greaterThan">
      <formula>1</formula>
    </cfRule>
    <cfRule type="cellIs" dxfId="16585" priority="3204" operator="lessThan">
      <formula>0.8</formula>
    </cfRule>
  </conditionalFormatting>
  <conditionalFormatting sqref="P80:P81">
    <cfRule type="cellIs" dxfId="16584" priority="3196" operator="greaterThan">
      <formula>0</formula>
    </cfRule>
  </conditionalFormatting>
  <conditionalFormatting sqref="AF81 Q80:Q81">
    <cfRule type="cellIs" dxfId="16583" priority="3201" operator="lessThan">
      <formula>0</formula>
    </cfRule>
  </conditionalFormatting>
  <conditionalFormatting sqref="R80:R81">
    <cfRule type="cellIs" dxfId="16582" priority="3199" operator="lessThan">
      <formula>0.8</formula>
    </cfRule>
    <cfRule type="cellIs" dxfId="16581" priority="3200" operator="greaterThan">
      <formula>1</formula>
    </cfRule>
  </conditionalFormatting>
  <conditionalFormatting sqref="AG81 R80:R81">
    <cfRule type="cellIs" dxfId="16580" priority="3197" operator="greaterThan">
      <formula>1</formula>
    </cfRule>
    <cfRule type="cellIs" dxfId="16579" priority="3198" operator="lessThan">
      <formula>0.8</formula>
    </cfRule>
  </conditionalFormatting>
  <conditionalFormatting sqref="AH85">
    <cfRule type="cellIs" dxfId="16578" priority="3195" operator="lessThan">
      <formula>0.8</formula>
    </cfRule>
  </conditionalFormatting>
  <conditionalFormatting sqref="S85">
    <cfRule type="cellIs" dxfId="16577" priority="3194" operator="lessThan">
      <formula>0.8</formula>
    </cfRule>
  </conditionalFormatting>
  <conditionalFormatting sqref="AF106:AF107">
    <cfRule type="cellIs" dxfId="16576" priority="3193" operator="lessThan">
      <formula>0</formula>
    </cfRule>
  </conditionalFormatting>
  <conditionalFormatting sqref="AH100:AH107">
    <cfRule type="cellIs" dxfId="16575" priority="3192" operator="lessThan">
      <formula>0.8</formula>
    </cfRule>
  </conditionalFormatting>
  <conditionalFormatting sqref="AG106:AG107">
    <cfRule type="cellIs" dxfId="16574" priority="3190" operator="greaterThan">
      <formula>1</formula>
    </cfRule>
    <cfRule type="cellIs" dxfId="16573" priority="3191" operator="lessThan">
      <formula>0.8</formula>
    </cfRule>
  </conditionalFormatting>
  <conditionalFormatting sqref="P106:P107">
    <cfRule type="cellIs" dxfId="16572" priority="3184" operator="greaterThan">
      <formula>0</formula>
    </cfRule>
  </conditionalFormatting>
  <conditionalFormatting sqref="Q106:Q107">
    <cfRule type="cellIs" dxfId="16571" priority="3189" operator="lessThan">
      <formula>0</formula>
    </cfRule>
  </conditionalFormatting>
  <conditionalFormatting sqref="R106:R107">
    <cfRule type="cellIs" dxfId="16570" priority="3187" operator="lessThan">
      <formula>0.8</formula>
    </cfRule>
    <cfRule type="cellIs" dxfId="16569" priority="3188" operator="greaterThan">
      <formula>1</formula>
    </cfRule>
  </conditionalFormatting>
  <conditionalFormatting sqref="R106:R107">
    <cfRule type="cellIs" dxfId="16568" priority="3185" operator="greaterThan">
      <formula>1</formula>
    </cfRule>
    <cfRule type="cellIs" dxfId="16567" priority="3186" operator="lessThan">
      <formula>0.8</formula>
    </cfRule>
  </conditionalFormatting>
  <conditionalFormatting sqref="AF109">
    <cfRule type="cellIs" dxfId="16566" priority="3183" operator="lessThan">
      <formula>0</formula>
    </cfRule>
  </conditionalFormatting>
  <conditionalFormatting sqref="S109">
    <cfRule type="cellIs" dxfId="16565" priority="3182" operator="lessThan">
      <formula>0.8</formula>
    </cfRule>
  </conditionalFormatting>
  <conditionalFormatting sqref="AG109">
    <cfRule type="cellIs" dxfId="16564" priority="3180" operator="greaterThan">
      <formula>1</formula>
    </cfRule>
    <cfRule type="cellIs" dxfId="16563" priority="3181" operator="lessThan">
      <formula>0.8</formula>
    </cfRule>
  </conditionalFormatting>
  <conditionalFormatting sqref="S150">
    <cfRule type="cellIs" dxfId="16562" priority="3179" operator="lessThan">
      <formula>0.8</formula>
    </cfRule>
  </conditionalFormatting>
  <conditionalFormatting sqref="AH150">
    <cfRule type="cellIs" dxfId="16561" priority="3178" operator="lessThan">
      <formula>0.8</formula>
    </cfRule>
  </conditionalFormatting>
  <conditionalFormatting sqref="S149">
    <cfRule type="cellIs" dxfId="16560" priority="3177" operator="lessThan">
      <formula>0.8</formula>
    </cfRule>
  </conditionalFormatting>
  <conditionalFormatting sqref="Q26:Q29">
    <cfRule type="cellIs" dxfId="16559" priority="3176" operator="lessThan">
      <formula>0</formula>
    </cfRule>
  </conditionalFormatting>
  <conditionalFormatting sqref="S21:S29 AH21:AH29">
    <cfRule type="cellIs" dxfId="16558" priority="3175" operator="lessThan">
      <formula>0.8</formula>
    </cfRule>
  </conditionalFormatting>
  <conditionalFormatting sqref="R26:R29">
    <cfRule type="cellIs" dxfId="16557" priority="3173" operator="lessThan">
      <formula>0.8</formula>
    </cfRule>
    <cfRule type="cellIs" dxfId="16556" priority="3174" operator="greaterThan">
      <formula>1</formula>
    </cfRule>
  </conditionalFormatting>
  <conditionalFormatting sqref="R26:R29">
    <cfRule type="cellIs" dxfId="16555" priority="3171" operator="greaterThan">
      <formula>1</formula>
    </cfRule>
    <cfRule type="cellIs" dxfId="16554" priority="3172" operator="lessThan">
      <formula>0.8</formula>
    </cfRule>
  </conditionalFormatting>
  <conditionalFormatting sqref="P26:P29">
    <cfRule type="cellIs" dxfId="16553" priority="3170" operator="greaterThan">
      <formula>0</formula>
    </cfRule>
  </conditionalFormatting>
  <conditionalFormatting sqref="AH91 S91">
    <cfRule type="cellIs" dxfId="16552" priority="3169" operator="lessThan">
      <formula>0.8</formula>
    </cfRule>
  </conditionalFormatting>
  <conditionalFormatting sqref="P92:P94">
    <cfRule type="cellIs" dxfId="16551" priority="3163" operator="greaterThan">
      <formula>0</formula>
    </cfRule>
  </conditionalFormatting>
  <conditionalFormatting sqref="Q92:Q94">
    <cfRule type="cellIs" dxfId="16550" priority="3168" operator="lessThan">
      <formula>0</formula>
    </cfRule>
  </conditionalFormatting>
  <conditionalFormatting sqref="R92:R94">
    <cfRule type="cellIs" dxfId="16549" priority="3166" operator="lessThan">
      <formula>0.8</formula>
    </cfRule>
    <cfRule type="cellIs" dxfId="16548" priority="3167" operator="greaterThan">
      <formula>1</formula>
    </cfRule>
  </conditionalFormatting>
  <conditionalFormatting sqref="R92:R94">
    <cfRule type="cellIs" dxfId="16547" priority="3164" operator="greaterThan">
      <formula>1</formula>
    </cfRule>
    <cfRule type="cellIs" dxfId="16546" priority="3165" operator="lessThan">
      <formula>0.8</formula>
    </cfRule>
  </conditionalFormatting>
  <conditionalFormatting sqref="AF146 Q145:Q146">
    <cfRule type="cellIs" dxfId="16545" priority="3162" operator="lessThan">
      <formula>0</formula>
    </cfRule>
  </conditionalFormatting>
  <conditionalFormatting sqref="AH139:AH146 S139:S146">
    <cfRule type="cellIs" dxfId="16544" priority="3161" operator="lessThan">
      <formula>0.8</formula>
    </cfRule>
  </conditionalFormatting>
  <conditionalFormatting sqref="R145:R146">
    <cfRule type="cellIs" dxfId="16543" priority="3159" operator="lessThan">
      <formula>0.8</formula>
    </cfRule>
    <cfRule type="cellIs" dxfId="16542" priority="3160" operator="greaterThan">
      <formula>1</formula>
    </cfRule>
  </conditionalFormatting>
  <conditionalFormatting sqref="AG146 R145:R146">
    <cfRule type="cellIs" dxfId="16541" priority="3157" operator="greaterThan">
      <formula>1</formula>
    </cfRule>
    <cfRule type="cellIs" dxfId="16540" priority="3158" operator="lessThan">
      <formula>0.8</formula>
    </cfRule>
  </conditionalFormatting>
  <conditionalFormatting sqref="P145:P146">
    <cfRule type="cellIs" dxfId="16539" priority="3156" operator="greaterThan">
      <formula>0</formula>
    </cfRule>
  </conditionalFormatting>
  <conditionalFormatting sqref="Q119:Q120">
    <cfRule type="cellIs" dxfId="16538" priority="3155" operator="lessThan">
      <formula>0</formula>
    </cfRule>
  </conditionalFormatting>
  <conditionalFormatting sqref="R119:R120">
    <cfRule type="cellIs" dxfId="16537" priority="3153" operator="lessThan">
      <formula>0.8</formula>
    </cfRule>
    <cfRule type="cellIs" dxfId="16536" priority="3154" operator="greaterThan">
      <formula>1</formula>
    </cfRule>
  </conditionalFormatting>
  <conditionalFormatting sqref="R119:R120">
    <cfRule type="cellIs" dxfId="16535" priority="3151" operator="greaterThan">
      <formula>1</formula>
    </cfRule>
    <cfRule type="cellIs" dxfId="16534" priority="3152" operator="lessThan">
      <formula>0.8</formula>
    </cfRule>
  </conditionalFormatting>
  <conditionalFormatting sqref="P119:P120">
    <cfRule type="cellIs" dxfId="16533" priority="3150" operator="greaterThan">
      <formula>0</formula>
    </cfRule>
  </conditionalFormatting>
  <conditionalFormatting sqref="AF118:AF120">
    <cfRule type="cellIs" dxfId="16532" priority="3149" operator="lessThan">
      <formula>0</formula>
    </cfRule>
  </conditionalFormatting>
  <conditionalFormatting sqref="AG118:AG120">
    <cfRule type="cellIs" dxfId="16531" priority="3147" operator="greaterThan">
      <formula>1</formula>
    </cfRule>
    <cfRule type="cellIs" dxfId="16530" priority="3148" operator="lessThan">
      <formula>0.8</formula>
    </cfRule>
  </conditionalFormatting>
  <conditionalFormatting sqref="S44:S56">
    <cfRule type="cellIs" dxfId="16529" priority="3146" operator="lessThan">
      <formula>0.8</formula>
    </cfRule>
  </conditionalFormatting>
  <conditionalFormatting sqref="S108">
    <cfRule type="cellIs" dxfId="16528" priority="3145" operator="lessThan">
      <formula>0.8</formula>
    </cfRule>
  </conditionalFormatting>
  <conditionalFormatting sqref="S96">
    <cfRule type="cellIs" dxfId="16527" priority="3144" operator="lessThan">
      <formula>0.8</formula>
    </cfRule>
  </conditionalFormatting>
  <conditionalFormatting sqref="S97">
    <cfRule type="cellIs" dxfId="16526" priority="3143" operator="lessThan">
      <formula>0.8</formula>
    </cfRule>
  </conditionalFormatting>
  <conditionalFormatting sqref="S103">
    <cfRule type="cellIs" dxfId="16525" priority="3142" operator="lessThan">
      <formula>0.8</formula>
    </cfRule>
  </conditionalFormatting>
  <conditionalFormatting sqref="S99">
    <cfRule type="cellIs" dxfId="16524" priority="3141" operator="lessThan">
      <formula>0.8</formula>
    </cfRule>
  </conditionalFormatting>
  <conditionalFormatting sqref="S101">
    <cfRule type="cellIs" dxfId="16523" priority="3138" operator="lessThan">
      <formula>0.8</formula>
    </cfRule>
  </conditionalFormatting>
  <conditionalFormatting sqref="S100">
    <cfRule type="cellIs" dxfId="16522" priority="3140" operator="lessThan">
      <formula>0.8</formula>
    </cfRule>
  </conditionalFormatting>
  <conditionalFormatting sqref="S102">
    <cfRule type="cellIs" dxfId="16521" priority="3139" operator="lessThan">
      <formula>0.8</formula>
    </cfRule>
  </conditionalFormatting>
  <conditionalFormatting sqref="S98">
    <cfRule type="cellIs" dxfId="16520" priority="3137" operator="lessThan">
      <formula>0.8</formula>
    </cfRule>
  </conditionalFormatting>
  <conditionalFormatting sqref="S104">
    <cfRule type="cellIs" dxfId="16519" priority="3136" operator="lessThan">
      <formula>0.8</formula>
    </cfRule>
  </conditionalFormatting>
  <conditionalFormatting sqref="P118">
    <cfRule type="cellIs" dxfId="16518" priority="3130" operator="greaterThan">
      <formula>0</formula>
    </cfRule>
  </conditionalFormatting>
  <conditionalFormatting sqref="Q118">
    <cfRule type="cellIs" dxfId="16517" priority="3135" operator="lessThan">
      <formula>0</formula>
    </cfRule>
  </conditionalFormatting>
  <conditionalFormatting sqref="R118">
    <cfRule type="cellIs" dxfId="16516" priority="3133" operator="lessThan">
      <formula>0.8</formula>
    </cfRule>
    <cfRule type="cellIs" dxfId="16515" priority="3134" operator="greaterThan">
      <formula>1</formula>
    </cfRule>
  </conditionalFormatting>
  <conditionalFormatting sqref="R118">
    <cfRule type="cellIs" dxfId="16514" priority="3131" operator="greaterThan">
      <formula>1</formula>
    </cfRule>
    <cfRule type="cellIs" dxfId="16513" priority="3132" operator="lessThan">
      <formula>0.8</formula>
    </cfRule>
  </conditionalFormatting>
  <conditionalFormatting sqref="Q162:Q166">
    <cfRule type="cellIs" dxfId="16512" priority="3129" operator="lessThan">
      <formula>0</formula>
    </cfRule>
  </conditionalFormatting>
  <conditionalFormatting sqref="R162:R166">
    <cfRule type="cellIs" dxfId="16511" priority="3127" operator="lessThan">
      <formula>0.8</formula>
    </cfRule>
    <cfRule type="cellIs" dxfId="16510" priority="3128" operator="greaterThan">
      <formula>1</formula>
    </cfRule>
  </conditionalFormatting>
  <conditionalFormatting sqref="R162:R166">
    <cfRule type="cellIs" dxfId="16509" priority="3125" operator="greaterThan">
      <formula>1</formula>
    </cfRule>
    <cfRule type="cellIs" dxfId="16508" priority="3126" operator="lessThan">
      <formula>0.8</formula>
    </cfRule>
  </conditionalFormatting>
  <conditionalFormatting sqref="P162:P166">
    <cfRule type="cellIs" dxfId="16507" priority="3124" operator="greaterThan">
      <formula>0</formula>
    </cfRule>
  </conditionalFormatting>
  <conditionalFormatting sqref="P167:P168">
    <cfRule type="cellIs" dxfId="16506" priority="3118" operator="greaterThan">
      <formula>0</formula>
    </cfRule>
  </conditionalFormatting>
  <conditionalFormatting sqref="R167:R168">
    <cfRule type="cellIs" dxfId="16505" priority="3121" operator="lessThan">
      <formula>0.8</formula>
    </cfRule>
    <cfRule type="cellIs" dxfId="16504" priority="3122" operator="greaterThan">
      <formula>1</formula>
    </cfRule>
  </conditionalFormatting>
  <conditionalFormatting sqref="R167:R168">
    <cfRule type="cellIs" dxfId="16503" priority="3119" operator="greaterThan">
      <formula>1</formula>
    </cfRule>
    <cfRule type="cellIs" dxfId="16502" priority="3120" operator="lessThan">
      <formula>0.8</formula>
    </cfRule>
  </conditionalFormatting>
  <conditionalFormatting sqref="Q167:Q168">
    <cfRule type="cellIs" dxfId="16501" priority="3123" operator="lessThan">
      <formula>0</formula>
    </cfRule>
  </conditionalFormatting>
  <conditionalFormatting sqref="Q117">
    <cfRule type="cellIs" dxfId="16500" priority="3117" operator="lessThan">
      <formula>0</formula>
    </cfRule>
  </conditionalFormatting>
  <conditionalFormatting sqref="R117">
    <cfRule type="cellIs" dxfId="16499" priority="3115" operator="lessThan">
      <formula>0.8</formula>
    </cfRule>
    <cfRule type="cellIs" dxfId="16498" priority="3116" operator="greaterThan">
      <formula>1</formula>
    </cfRule>
  </conditionalFormatting>
  <conditionalFormatting sqref="R117">
    <cfRule type="cellIs" dxfId="16497" priority="3113" operator="greaterThan">
      <formula>1</formula>
    </cfRule>
    <cfRule type="cellIs" dxfId="16496" priority="3114" operator="lessThan">
      <formula>0.8</formula>
    </cfRule>
  </conditionalFormatting>
  <conditionalFormatting sqref="P117">
    <cfRule type="cellIs" dxfId="16495" priority="3112" operator="greaterThan">
      <formula>0</formula>
    </cfRule>
  </conditionalFormatting>
  <conditionalFormatting sqref="Q117">
    <cfRule type="cellIs" dxfId="16494" priority="3111" operator="lessThan">
      <formula>0</formula>
    </cfRule>
  </conditionalFormatting>
  <conditionalFormatting sqref="R117">
    <cfRule type="cellIs" dxfId="16493" priority="3109" operator="lessThan">
      <formula>0.8</formula>
    </cfRule>
    <cfRule type="cellIs" dxfId="16492" priority="3110" operator="greaterThan">
      <formula>1</formula>
    </cfRule>
  </conditionalFormatting>
  <conditionalFormatting sqref="R117">
    <cfRule type="cellIs" dxfId="16491" priority="3107" operator="greaterThan">
      <formula>1</formula>
    </cfRule>
    <cfRule type="cellIs" dxfId="16490" priority="3108" operator="lessThan">
      <formula>0.8</formula>
    </cfRule>
  </conditionalFormatting>
  <conditionalFormatting sqref="P117">
    <cfRule type="cellIs" dxfId="16489" priority="3106" operator="greaterThan">
      <formula>0</formula>
    </cfRule>
  </conditionalFormatting>
  <conditionalFormatting sqref="P117">
    <cfRule type="cellIs" dxfId="16488" priority="3100" operator="greaterThan">
      <formula>0</formula>
    </cfRule>
  </conditionalFormatting>
  <conditionalFormatting sqref="Q117">
    <cfRule type="cellIs" dxfId="16487" priority="3105" operator="lessThan">
      <formula>0</formula>
    </cfRule>
  </conditionalFormatting>
  <conditionalFormatting sqref="R117">
    <cfRule type="cellIs" dxfId="16486" priority="3103" operator="lessThan">
      <formula>0.8</formula>
    </cfRule>
    <cfRule type="cellIs" dxfId="16485" priority="3104" operator="greaterThan">
      <formula>1</formula>
    </cfRule>
  </conditionalFormatting>
  <conditionalFormatting sqref="R117">
    <cfRule type="cellIs" dxfId="16484" priority="3101" operator="greaterThan">
      <formula>1</formula>
    </cfRule>
    <cfRule type="cellIs" dxfId="16483" priority="3102" operator="lessThan">
      <formula>0.8</formula>
    </cfRule>
  </conditionalFormatting>
  <conditionalFormatting sqref="P117">
    <cfRule type="cellIs" dxfId="16482" priority="3094" operator="greaterThan">
      <formula>0</formula>
    </cfRule>
  </conditionalFormatting>
  <conditionalFormatting sqref="Q117">
    <cfRule type="cellIs" dxfId="16481" priority="3099" operator="lessThan">
      <formula>0</formula>
    </cfRule>
  </conditionalFormatting>
  <conditionalFormatting sqref="R117">
    <cfRule type="cellIs" dxfId="16480" priority="3097" operator="lessThan">
      <formula>0.8</formula>
    </cfRule>
    <cfRule type="cellIs" dxfId="16479" priority="3098" operator="greaterThan">
      <formula>1</formula>
    </cfRule>
  </conditionalFormatting>
  <conditionalFormatting sqref="R117">
    <cfRule type="cellIs" dxfId="16478" priority="3095" operator="greaterThan">
      <formula>1</formula>
    </cfRule>
    <cfRule type="cellIs" dxfId="16477" priority="3096" operator="lessThan">
      <formula>0.8</formula>
    </cfRule>
  </conditionalFormatting>
  <conditionalFormatting sqref="P117">
    <cfRule type="cellIs" dxfId="16476" priority="3088" operator="greaterThan">
      <formula>0</formula>
    </cfRule>
  </conditionalFormatting>
  <conditionalFormatting sqref="Q117">
    <cfRule type="cellIs" dxfId="16475" priority="3093" operator="lessThan">
      <formula>0</formula>
    </cfRule>
  </conditionalFormatting>
  <conditionalFormatting sqref="R117">
    <cfRule type="cellIs" dxfId="16474" priority="3091" operator="lessThan">
      <formula>0.8</formula>
    </cfRule>
    <cfRule type="cellIs" dxfId="16473" priority="3092" operator="greaterThan">
      <formula>1</formula>
    </cfRule>
  </conditionalFormatting>
  <conditionalFormatting sqref="R117">
    <cfRule type="cellIs" dxfId="16472" priority="3089" operator="greaterThan">
      <formula>1</formula>
    </cfRule>
    <cfRule type="cellIs" dxfId="16471" priority="3090" operator="lessThan">
      <formula>0.8</formula>
    </cfRule>
  </conditionalFormatting>
  <conditionalFormatting sqref="Q117">
    <cfRule type="cellIs" dxfId="16470" priority="3087" operator="lessThan">
      <formula>0</formula>
    </cfRule>
  </conditionalFormatting>
  <conditionalFormatting sqref="R117">
    <cfRule type="cellIs" dxfId="16469" priority="3085" operator="lessThan">
      <formula>0.8</formula>
    </cfRule>
    <cfRule type="cellIs" dxfId="16468" priority="3086" operator="greaterThan">
      <formula>1</formula>
    </cfRule>
  </conditionalFormatting>
  <conditionalFormatting sqref="R117">
    <cfRule type="cellIs" dxfId="16467" priority="3083" operator="greaterThan">
      <formula>1</formula>
    </cfRule>
    <cfRule type="cellIs" dxfId="16466" priority="3084" operator="lessThan">
      <formula>0.8</formula>
    </cfRule>
  </conditionalFormatting>
  <conditionalFormatting sqref="P117">
    <cfRule type="cellIs" dxfId="16465" priority="3082" operator="greaterThan">
      <formula>0</formula>
    </cfRule>
  </conditionalFormatting>
  <conditionalFormatting sqref="P117">
    <cfRule type="cellIs" dxfId="16464" priority="3076" operator="greaterThan">
      <formula>0</formula>
    </cfRule>
  </conditionalFormatting>
  <conditionalFormatting sqref="Q117">
    <cfRule type="cellIs" dxfId="16463" priority="3081" operator="lessThan">
      <formula>0</formula>
    </cfRule>
  </conditionalFormatting>
  <conditionalFormatting sqref="R117">
    <cfRule type="cellIs" dxfId="16462" priority="3079" operator="lessThan">
      <formula>0.8</formula>
    </cfRule>
    <cfRule type="cellIs" dxfId="16461" priority="3080" operator="greaterThan">
      <formula>1</formula>
    </cfRule>
  </conditionalFormatting>
  <conditionalFormatting sqref="R117">
    <cfRule type="cellIs" dxfId="16460" priority="3077" operator="greaterThan">
      <formula>1</formula>
    </cfRule>
    <cfRule type="cellIs" dxfId="16459" priority="3078" operator="lessThan">
      <formula>0.8</formula>
    </cfRule>
  </conditionalFormatting>
  <conditionalFormatting sqref="P117">
    <cfRule type="cellIs" dxfId="16458" priority="3070" operator="greaterThan">
      <formula>0</formula>
    </cfRule>
  </conditionalFormatting>
  <conditionalFormatting sqref="Q117">
    <cfRule type="cellIs" dxfId="16457" priority="3075" operator="lessThan">
      <formula>0</formula>
    </cfRule>
  </conditionalFormatting>
  <conditionalFormatting sqref="R117">
    <cfRule type="cellIs" dxfId="16456" priority="3073" operator="lessThan">
      <formula>0.8</formula>
    </cfRule>
    <cfRule type="cellIs" dxfId="16455" priority="3074" operator="greaterThan">
      <formula>1</formula>
    </cfRule>
  </conditionalFormatting>
  <conditionalFormatting sqref="R117">
    <cfRule type="cellIs" dxfId="16454" priority="3071" operator="greaterThan">
      <formula>1</formula>
    </cfRule>
    <cfRule type="cellIs" dxfId="16453" priority="3072" operator="lessThan">
      <formula>0.8</formula>
    </cfRule>
  </conditionalFormatting>
  <conditionalFormatting sqref="Q117">
    <cfRule type="cellIs" dxfId="16452" priority="3069" operator="lessThan">
      <formula>0</formula>
    </cfRule>
  </conditionalFormatting>
  <conditionalFormatting sqref="R117">
    <cfRule type="cellIs" dxfId="16451" priority="3067" operator="lessThan">
      <formula>0.8</formula>
    </cfRule>
    <cfRule type="cellIs" dxfId="16450" priority="3068" operator="greaterThan">
      <formula>1</formula>
    </cfRule>
  </conditionalFormatting>
  <conditionalFormatting sqref="R117">
    <cfRule type="cellIs" dxfId="16449" priority="3065" operator="greaterThan">
      <formula>1</formula>
    </cfRule>
    <cfRule type="cellIs" dxfId="16448" priority="3066" operator="lessThan">
      <formula>0.8</formula>
    </cfRule>
  </conditionalFormatting>
  <conditionalFormatting sqref="P117">
    <cfRule type="cellIs" dxfId="16447" priority="3064" operator="greaterThan">
      <formula>0</formula>
    </cfRule>
  </conditionalFormatting>
  <conditionalFormatting sqref="P117">
    <cfRule type="cellIs" dxfId="16446" priority="3058" operator="greaterThan">
      <formula>0</formula>
    </cfRule>
  </conditionalFormatting>
  <conditionalFormatting sqref="Q117">
    <cfRule type="cellIs" dxfId="16445" priority="3063" operator="lessThan">
      <formula>0</formula>
    </cfRule>
  </conditionalFormatting>
  <conditionalFormatting sqref="R117">
    <cfRule type="cellIs" dxfId="16444" priority="3061" operator="lessThan">
      <formula>0.8</formula>
    </cfRule>
    <cfRule type="cellIs" dxfId="16443" priority="3062" operator="greaterThan">
      <formula>1</formula>
    </cfRule>
  </conditionalFormatting>
  <conditionalFormatting sqref="R117">
    <cfRule type="cellIs" dxfId="16442" priority="3059" operator="greaterThan">
      <formula>1</formula>
    </cfRule>
    <cfRule type="cellIs" dxfId="16441" priority="3060" operator="lessThan">
      <formula>0.8</formula>
    </cfRule>
  </conditionalFormatting>
  <conditionalFormatting sqref="Q117">
    <cfRule type="cellIs" dxfId="16440" priority="3057" operator="lessThan">
      <formula>0</formula>
    </cfRule>
  </conditionalFormatting>
  <conditionalFormatting sqref="R117">
    <cfRule type="cellIs" dxfId="16439" priority="3055" operator="lessThan">
      <formula>0.8</formula>
    </cfRule>
    <cfRule type="cellIs" dxfId="16438" priority="3056" operator="greaterThan">
      <formula>1</formula>
    </cfRule>
  </conditionalFormatting>
  <conditionalFormatting sqref="R117">
    <cfRule type="cellIs" dxfId="16437" priority="3053" operator="greaterThan">
      <formula>1</formula>
    </cfRule>
    <cfRule type="cellIs" dxfId="16436" priority="3054" operator="lessThan">
      <formula>0.8</formula>
    </cfRule>
  </conditionalFormatting>
  <conditionalFormatting sqref="P117">
    <cfRule type="cellIs" dxfId="16435" priority="3052" operator="greaterThan">
      <formula>0</formula>
    </cfRule>
  </conditionalFormatting>
  <conditionalFormatting sqref="Q117">
    <cfRule type="cellIs" dxfId="16434" priority="3051" operator="lessThan">
      <formula>0</formula>
    </cfRule>
  </conditionalFormatting>
  <conditionalFormatting sqref="R117">
    <cfRule type="cellIs" dxfId="16433" priority="3049" operator="lessThan">
      <formula>0.8</formula>
    </cfRule>
    <cfRule type="cellIs" dxfId="16432" priority="3050" operator="greaterThan">
      <formula>1</formula>
    </cfRule>
  </conditionalFormatting>
  <conditionalFormatting sqref="R117">
    <cfRule type="cellIs" dxfId="16431" priority="3047" operator="greaterThan">
      <formula>1</formula>
    </cfRule>
    <cfRule type="cellIs" dxfId="16430" priority="3048" operator="lessThan">
      <formula>0.8</formula>
    </cfRule>
  </conditionalFormatting>
  <conditionalFormatting sqref="P117">
    <cfRule type="cellIs" dxfId="16429" priority="3046" operator="greaterThan">
      <formula>0</formula>
    </cfRule>
  </conditionalFormatting>
  <conditionalFormatting sqref="Q83">
    <cfRule type="cellIs" dxfId="16428" priority="3045" operator="lessThan">
      <formula>0</formula>
    </cfRule>
  </conditionalFormatting>
  <conditionalFormatting sqref="R83">
    <cfRule type="cellIs" dxfId="16427" priority="3043" operator="lessThan">
      <formula>0.8</formula>
    </cfRule>
    <cfRule type="cellIs" dxfId="16426" priority="3044" operator="greaterThan">
      <formula>1</formula>
    </cfRule>
  </conditionalFormatting>
  <conditionalFormatting sqref="R83">
    <cfRule type="cellIs" dxfId="16425" priority="3041" operator="greaterThan">
      <formula>1</formula>
    </cfRule>
    <cfRule type="cellIs" dxfId="16424" priority="3042" operator="lessThan">
      <formula>0.8</formula>
    </cfRule>
  </conditionalFormatting>
  <conditionalFormatting sqref="P83">
    <cfRule type="cellIs" dxfId="16423" priority="3040" operator="greaterThan">
      <formula>0</formula>
    </cfRule>
  </conditionalFormatting>
  <conditionalFormatting sqref="Q83">
    <cfRule type="cellIs" dxfId="16422" priority="3039" operator="lessThan">
      <formula>0</formula>
    </cfRule>
  </conditionalFormatting>
  <conditionalFormatting sqref="R83">
    <cfRule type="cellIs" dxfId="16421" priority="3037" operator="lessThan">
      <formula>0.8</formula>
    </cfRule>
    <cfRule type="cellIs" dxfId="16420" priority="3038" operator="greaterThan">
      <formula>1</formula>
    </cfRule>
  </conditionalFormatting>
  <conditionalFormatting sqref="R83">
    <cfRule type="cellIs" dxfId="16419" priority="3035" operator="greaterThan">
      <formula>1</formula>
    </cfRule>
    <cfRule type="cellIs" dxfId="16418" priority="3036" operator="lessThan">
      <formula>0.8</formula>
    </cfRule>
  </conditionalFormatting>
  <conditionalFormatting sqref="P83">
    <cfRule type="cellIs" dxfId="16417" priority="3034" operator="greaterThan">
      <formula>0</formula>
    </cfRule>
  </conditionalFormatting>
  <conditionalFormatting sqref="Q83">
    <cfRule type="cellIs" dxfId="16416" priority="3033" operator="lessThan">
      <formula>0</formula>
    </cfRule>
  </conditionalFormatting>
  <conditionalFormatting sqref="R83">
    <cfRule type="cellIs" dxfId="16415" priority="3031" operator="lessThan">
      <formula>0.8</formula>
    </cfRule>
    <cfRule type="cellIs" dxfId="16414" priority="3032" operator="greaterThan">
      <formula>1</formula>
    </cfRule>
  </conditionalFormatting>
  <conditionalFormatting sqref="R83">
    <cfRule type="cellIs" dxfId="16413" priority="3029" operator="greaterThan">
      <formula>1</formula>
    </cfRule>
    <cfRule type="cellIs" dxfId="16412" priority="3030" operator="lessThan">
      <formula>0.8</formula>
    </cfRule>
  </conditionalFormatting>
  <conditionalFormatting sqref="P83">
    <cfRule type="cellIs" dxfId="16411" priority="3028" operator="greaterThan">
      <formula>0</formula>
    </cfRule>
  </conditionalFormatting>
  <conditionalFormatting sqref="Q83">
    <cfRule type="cellIs" dxfId="16410" priority="3027" operator="lessThan">
      <formula>0</formula>
    </cfRule>
  </conditionalFormatting>
  <conditionalFormatting sqref="R83">
    <cfRule type="cellIs" dxfId="16409" priority="3025" operator="lessThan">
      <formula>0.8</formula>
    </cfRule>
    <cfRule type="cellIs" dxfId="16408" priority="3026" operator="greaterThan">
      <formula>1</formula>
    </cfRule>
  </conditionalFormatting>
  <conditionalFormatting sqref="R83">
    <cfRule type="cellIs" dxfId="16407" priority="3023" operator="greaterThan">
      <formula>1</formula>
    </cfRule>
    <cfRule type="cellIs" dxfId="16406" priority="3024" operator="lessThan">
      <formula>0.8</formula>
    </cfRule>
  </conditionalFormatting>
  <conditionalFormatting sqref="P83">
    <cfRule type="cellIs" dxfId="16405" priority="3022" operator="greaterThan">
      <formula>0</formula>
    </cfRule>
  </conditionalFormatting>
  <conditionalFormatting sqref="P83">
    <cfRule type="cellIs" dxfId="16404" priority="3016" operator="greaterThan">
      <formula>0</formula>
    </cfRule>
  </conditionalFormatting>
  <conditionalFormatting sqref="Q83">
    <cfRule type="cellIs" dxfId="16403" priority="3021" operator="lessThan">
      <formula>0</formula>
    </cfRule>
  </conditionalFormatting>
  <conditionalFormatting sqref="R83">
    <cfRule type="cellIs" dxfId="16402" priority="3019" operator="lessThan">
      <formula>0.8</formula>
    </cfRule>
    <cfRule type="cellIs" dxfId="16401" priority="3020" operator="greaterThan">
      <formula>1</formula>
    </cfRule>
  </conditionalFormatting>
  <conditionalFormatting sqref="R83">
    <cfRule type="cellIs" dxfId="16400" priority="3017" operator="greaterThan">
      <formula>1</formula>
    </cfRule>
    <cfRule type="cellIs" dxfId="16399" priority="3018" operator="lessThan">
      <formula>0.8</formula>
    </cfRule>
  </conditionalFormatting>
  <conditionalFormatting sqref="P83">
    <cfRule type="cellIs" dxfId="16398" priority="3010" operator="greaterThan">
      <formula>0</formula>
    </cfRule>
  </conditionalFormatting>
  <conditionalFormatting sqref="Q83">
    <cfRule type="cellIs" dxfId="16397" priority="3015" operator="lessThan">
      <formula>0</formula>
    </cfRule>
  </conditionalFormatting>
  <conditionalFormatting sqref="R83">
    <cfRule type="cellIs" dxfId="16396" priority="3013" operator="lessThan">
      <formula>0.8</formula>
    </cfRule>
    <cfRule type="cellIs" dxfId="16395" priority="3014" operator="greaterThan">
      <formula>1</formula>
    </cfRule>
  </conditionalFormatting>
  <conditionalFormatting sqref="R83">
    <cfRule type="cellIs" dxfId="16394" priority="3011" operator="greaterThan">
      <formula>1</formula>
    </cfRule>
    <cfRule type="cellIs" dxfId="16393" priority="3012" operator="lessThan">
      <formula>0.8</formula>
    </cfRule>
  </conditionalFormatting>
  <conditionalFormatting sqref="R83">
    <cfRule type="cellIs" dxfId="16392" priority="3007" operator="lessThan">
      <formula>0.8</formula>
    </cfRule>
    <cfRule type="cellIs" dxfId="16391" priority="3008" operator="greaterThan">
      <formula>1</formula>
    </cfRule>
  </conditionalFormatting>
  <conditionalFormatting sqref="R83">
    <cfRule type="cellIs" dxfId="16390" priority="3005" operator="greaterThan">
      <formula>1</formula>
    </cfRule>
    <cfRule type="cellIs" dxfId="16389" priority="3006" operator="lessThan">
      <formula>0.8</formula>
    </cfRule>
  </conditionalFormatting>
  <conditionalFormatting sqref="P83">
    <cfRule type="cellIs" dxfId="16388" priority="3004" operator="greaterThan">
      <formula>0</formula>
    </cfRule>
  </conditionalFormatting>
  <conditionalFormatting sqref="Q83">
    <cfRule type="cellIs" dxfId="16387" priority="3009" operator="lessThan">
      <formula>0</formula>
    </cfRule>
  </conditionalFormatting>
  <conditionalFormatting sqref="Q83">
    <cfRule type="cellIs" dxfId="16386" priority="3003" operator="lessThan">
      <formula>0</formula>
    </cfRule>
  </conditionalFormatting>
  <conditionalFormatting sqref="R83">
    <cfRule type="cellIs" dxfId="16385" priority="3001" operator="lessThan">
      <formula>0.8</formula>
    </cfRule>
    <cfRule type="cellIs" dxfId="16384" priority="3002" operator="greaterThan">
      <formula>1</formula>
    </cfRule>
  </conditionalFormatting>
  <conditionalFormatting sqref="R83">
    <cfRule type="cellIs" dxfId="16383" priority="2999" operator="greaterThan">
      <formula>1</formula>
    </cfRule>
    <cfRule type="cellIs" dxfId="16382" priority="3000" operator="lessThan">
      <formula>0.8</formula>
    </cfRule>
  </conditionalFormatting>
  <conditionalFormatting sqref="P83">
    <cfRule type="cellIs" dxfId="16381" priority="2998" operator="greaterThan">
      <formula>0</formula>
    </cfRule>
  </conditionalFormatting>
  <conditionalFormatting sqref="P83">
    <cfRule type="cellIs" dxfId="16380" priority="2992" operator="greaterThan">
      <formula>0</formula>
    </cfRule>
  </conditionalFormatting>
  <conditionalFormatting sqref="Q83">
    <cfRule type="cellIs" dxfId="16379" priority="2997" operator="lessThan">
      <formula>0</formula>
    </cfRule>
  </conditionalFormatting>
  <conditionalFormatting sqref="R83">
    <cfRule type="cellIs" dxfId="16378" priority="2995" operator="lessThan">
      <formula>0.8</formula>
    </cfRule>
    <cfRule type="cellIs" dxfId="16377" priority="2996" operator="greaterThan">
      <formula>1</formula>
    </cfRule>
  </conditionalFormatting>
  <conditionalFormatting sqref="R83">
    <cfRule type="cellIs" dxfId="16376" priority="2993" operator="greaterThan">
      <formula>1</formula>
    </cfRule>
    <cfRule type="cellIs" dxfId="16375" priority="2994" operator="lessThan">
      <formula>0.8</formula>
    </cfRule>
  </conditionalFormatting>
  <conditionalFormatting sqref="P83">
    <cfRule type="cellIs" dxfId="16374" priority="2986" operator="greaterThan">
      <formula>0</formula>
    </cfRule>
  </conditionalFormatting>
  <conditionalFormatting sqref="Q83">
    <cfRule type="cellIs" dxfId="16373" priority="2991" operator="lessThan">
      <formula>0</formula>
    </cfRule>
  </conditionalFormatting>
  <conditionalFormatting sqref="R83">
    <cfRule type="cellIs" dxfId="16372" priority="2989" operator="lessThan">
      <formula>0.8</formula>
    </cfRule>
    <cfRule type="cellIs" dxfId="16371" priority="2990" operator="greaterThan">
      <formula>1</formula>
    </cfRule>
  </conditionalFormatting>
  <conditionalFormatting sqref="R83">
    <cfRule type="cellIs" dxfId="16370" priority="2987" operator="greaterThan">
      <formula>1</formula>
    </cfRule>
    <cfRule type="cellIs" dxfId="16369" priority="2988" operator="lessThan">
      <formula>0.8</formula>
    </cfRule>
  </conditionalFormatting>
  <conditionalFormatting sqref="R83">
    <cfRule type="cellIs" dxfId="16368" priority="2983" operator="lessThan">
      <formula>0.8</formula>
    </cfRule>
    <cfRule type="cellIs" dxfId="16367" priority="2984" operator="greaterThan">
      <formula>1</formula>
    </cfRule>
  </conditionalFormatting>
  <conditionalFormatting sqref="R83">
    <cfRule type="cellIs" dxfId="16366" priority="2981" operator="greaterThan">
      <formula>1</formula>
    </cfRule>
    <cfRule type="cellIs" dxfId="16365" priority="2982" operator="lessThan">
      <formula>0.8</formula>
    </cfRule>
  </conditionalFormatting>
  <conditionalFormatting sqref="P83">
    <cfRule type="cellIs" dxfId="16364" priority="2980" operator="greaterThan">
      <formula>0</formula>
    </cfRule>
  </conditionalFormatting>
  <conditionalFormatting sqref="Q83">
    <cfRule type="cellIs" dxfId="16363" priority="2985" operator="lessThan">
      <formula>0</formula>
    </cfRule>
  </conditionalFormatting>
  <conditionalFormatting sqref="P83">
    <cfRule type="cellIs" dxfId="16362" priority="2974" operator="greaterThan">
      <formula>0</formula>
    </cfRule>
  </conditionalFormatting>
  <conditionalFormatting sqref="Q83">
    <cfRule type="cellIs" dxfId="16361" priority="2979" operator="lessThan">
      <formula>0</formula>
    </cfRule>
  </conditionalFormatting>
  <conditionalFormatting sqref="R83">
    <cfRule type="cellIs" dxfId="16360" priority="2977" operator="lessThan">
      <formula>0.8</formula>
    </cfRule>
    <cfRule type="cellIs" dxfId="16359" priority="2978" operator="greaterThan">
      <formula>1</formula>
    </cfRule>
  </conditionalFormatting>
  <conditionalFormatting sqref="R83">
    <cfRule type="cellIs" dxfId="16358" priority="2975" operator="greaterThan">
      <formula>1</formula>
    </cfRule>
    <cfRule type="cellIs" dxfId="16357" priority="2976" operator="lessThan">
      <formula>0.8</formula>
    </cfRule>
  </conditionalFormatting>
  <conditionalFormatting sqref="R83">
    <cfRule type="cellIs" dxfId="16356" priority="2971" operator="lessThan">
      <formula>0.8</formula>
    </cfRule>
    <cfRule type="cellIs" dxfId="16355" priority="2972" operator="greaterThan">
      <formula>1</formula>
    </cfRule>
  </conditionalFormatting>
  <conditionalFormatting sqref="R83">
    <cfRule type="cellIs" dxfId="16354" priority="2969" operator="greaterThan">
      <formula>1</formula>
    </cfRule>
    <cfRule type="cellIs" dxfId="16353" priority="2970" operator="lessThan">
      <formula>0.8</formula>
    </cfRule>
  </conditionalFormatting>
  <conditionalFormatting sqref="P83">
    <cfRule type="cellIs" dxfId="16352" priority="2968" operator="greaterThan">
      <formula>0</formula>
    </cfRule>
  </conditionalFormatting>
  <conditionalFormatting sqref="Q83">
    <cfRule type="cellIs" dxfId="16351" priority="2973" operator="lessThan">
      <formula>0</formula>
    </cfRule>
  </conditionalFormatting>
  <conditionalFormatting sqref="R83">
    <cfRule type="cellIs" dxfId="16350" priority="2965" operator="lessThan">
      <formula>0.8</formula>
    </cfRule>
    <cfRule type="cellIs" dxfId="16349" priority="2966" operator="greaterThan">
      <formula>1</formula>
    </cfRule>
  </conditionalFormatting>
  <conditionalFormatting sqref="R83">
    <cfRule type="cellIs" dxfId="16348" priority="2963" operator="greaterThan">
      <formula>1</formula>
    </cfRule>
    <cfRule type="cellIs" dxfId="16347" priority="2964" operator="lessThan">
      <formula>0.8</formula>
    </cfRule>
  </conditionalFormatting>
  <conditionalFormatting sqref="P83">
    <cfRule type="cellIs" dxfId="16346" priority="2962" operator="greaterThan">
      <formula>0</formula>
    </cfRule>
  </conditionalFormatting>
  <conditionalFormatting sqref="Q83">
    <cfRule type="cellIs" dxfId="16345" priority="2967" operator="lessThan">
      <formula>0</formula>
    </cfRule>
  </conditionalFormatting>
  <conditionalFormatting sqref="Q83">
    <cfRule type="cellIs" dxfId="16344" priority="2961" operator="lessThan">
      <formula>0</formula>
    </cfRule>
  </conditionalFormatting>
  <conditionalFormatting sqref="R83">
    <cfRule type="cellIs" dxfId="16343" priority="2959" operator="lessThan">
      <formula>0.8</formula>
    </cfRule>
    <cfRule type="cellIs" dxfId="16342" priority="2960" operator="greaterThan">
      <formula>1</formula>
    </cfRule>
  </conditionalFormatting>
  <conditionalFormatting sqref="R83">
    <cfRule type="cellIs" dxfId="16341" priority="2957" operator="greaterThan">
      <formula>1</formula>
    </cfRule>
    <cfRule type="cellIs" dxfId="16340" priority="2958" operator="lessThan">
      <formula>0.8</formula>
    </cfRule>
  </conditionalFormatting>
  <conditionalFormatting sqref="P83">
    <cfRule type="cellIs" dxfId="16339" priority="2956" operator="greaterThan">
      <formula>0</formula>
    </cfRule>
  </conditionalFormatting>
  <conditionalFormatting sqref="Q83">
    <cfRule type="cellIs" dxfId="16338" priority="2950" operator="lessThan">
      <formula>0</formula>
    </cfRule>
  </conditionalFormatting>
  <conditionalFormatting sqref="R83">
    <cfRule type="cellIs" dxfId="16337" priority="2954" operator="lessThan">
      <formula>0.8</formula>
    </cfRule>
    <cfRule type="cellIs" dxfId="16336" priority="2955" operator="greaterThan">
      <formula>1</formula>
    </cfRule>
  </conditionalFormatting>
  <conditionalFormatting sqref="R83">
    <cfRule type="cellIs" dxfId="16335" priority="2952" operator="greaterThan">
      <formula>1</formula>
    </cfRule>
    <cfRule type="cellIs" dxfId="16334" priority="2953" operator="lessThan">
      <formula>0.8</formula>
    </cfRule>
  </conditionalFormatting>
  <conditionalFormatting sqref="P83">
    <cfRule type="cellIs" dxfId="16333" priority="2951" operator="greaterThan">
      <formula>0</formula>
    </cfRule>
  </conditionalFormatting>
  <conditionalFormatting sqref="Q83">
    <cfRule type="cellIs" dxfId="16332" priority="2949" operator="lessThan">
      <formula>0</formula>
    </cfRule>
  </conditionalFormatting>
  <conditionalFormatting sqref="R83">
    <cfRule type="cellIs" dxfId="16331" priority="2947" operator="lessThan">
      <formula>0.8</formula>
    </cfRule>
    <cfRule type="cellIs" dxfId="16330" priority="2948" operator="greaterThan">
      <formula>1</formula>
    </cfRule>
  </conditionalFormatting>
  <conditionalFormatting sqref="R83">
    <cfRule type="cellIs" dxfId="16329" priority="2945" operator="greaterThan">
      <formula>1</formula>
    </cfRule>
    <cfRule type="cellIs" dxfId="16328" priority="2946" operator="lessThan">
      <formula>0.8</formula>
    </cfRule>
  </conditionalFormatting>
  <conditionalFormatting sqref="P83">
    <cfRule type="cellIs" dxfId="16327" priority="2944" operator="greaterThan">
      <formula>0</formula>
    </cfRule>
  </conditionalFormatting>
  <conditionalFormatting sqref="Q83">
    <cfRule type="cellIs" dxfId="16326" priority="2943" operator="lessThan">
      <formula>0</formula>
    </cfRule>
  </conditionalFormatting>
  <conditionalFormatting sqref="R83">
    <cfRule type="cellIs" dxfId="16325" priority="2941" operator="lessThan">
      <formula>0.8</formula>
    </cfRule>
    <cfRule type="cellIs" dxfId="16324" priority="2942" operator="greaterThan">
      <formula>1</formula>
    </cfRule>
  </conditionalFormatting>
  <conditionalFormatting sqref="R83">
    <cfRule type="cellIs" dxfId="16323" priority="2939" operator="greaterThan">
      <formula>1</formula>
    </cfRule>
    <cfRule type="cellIs" dxfId="16322" priority="2940" operator="lessThan">
      <formula>0.8</formula>
    </cfRule>
  </conditionalFormatting>
  <conditionalFormatting sqref="P83">
    <cfRule type="cellIs" dxfId="16321" priority="2938" operator="greaterThan">
      <formula>0</formula>
    </cfRule>
  </conditionalFormatting>
  <conditionalFormatting sqref="Q83">
    <cfRule type="cellIs" dxfId="16320" priority="2937" operator="lessThan">
      <formula>0</formula>
    </cfRule>
  </conditionalFormatting>
  <conditionalFormatting sqref="R83">
    <cfRule type="cellIs" dxfId="16319" priority="2935" operator="lessThan">
      <formula>0.8</formula>
    </cfRule>
    <cfRule type="cellIs" dxfId="16318" priority="2936" operator="greaterThan">
      <formula>1</formula>
    </cfRule>
  </conditionalFormatting>
  <conditionalFormatting sqref="R83">
    <cfRule type="cellIs" dxfId="16317" priority="2933" operator="greaterThan">
      <formula>1</formula>
    </cfRule>
    <cfRule type="cellIs" dxfId="16316" priority="2934" operator="lessThan">
      <formula>0.8</formula>
    </cfRule>
  </conditionalFormatting>
  <conditionalFormatting sqref="P83">
    <cfRule type="cellIs" dxfId="16315" priority="2932" operator="greaterThan">
      <formula>0</formula>
    </cfRule>
  </conditionalFormatting>
  <conditionalFormatting sqref="Q83">
    <cfRule type="cellIs" dxfId="16314" priority="2931" operator="lessThan">
      <formula>0</formula>
    </cfRule>
  </conditionalFormatting>
  <conditionalFormatting sqref="R83">
    <cfRule type="cellIs" dxfId="16313" priority="2929" operator="lessThan">
      <formula>0.8</formula>
    </cfRule>
    <cfRule type="cellIs" dxfId="16312" priority="2930" operator="greaterThan">
      <formula>1</formula>
    </cfRule>
  </conditionalFormatting>
  <conditionalFormatting sqref="R83">
    <cfRule type="cellIs" dxfId="16311" priority="2927" operator="greaterThan">
      <formula>1</formula>
    </cfRule>
    <cfRule type="cellIs" dxfId="16310" priority="2928" operator="lessThan">
      <formula>0.8</formula>
    </cfRule>
  </conditionalFormatting>
  <conditionalFormatting sqref="P83">
    <cfRule type="cellIs" dxfId="16309" priority="2926" operator="greaterThan">
      <formula>0</formula>
    </cfRule>
  </conditionalFormatting>
  <conditionalFormatting sqref="Q83">
    <cfRule type="cellIs" dxfId="16308" priority="2925" operator="lessThan">
      <formula>0</formula>
    </cfRule>
  </conditionalFormatting>
  <conditionalFormatting sqref="R83">
    <cfRule type="cellIs" dxfId="16307" priority="2923" operator="lessThan">
      <formula>0.8</formula>
    </cfRule>
    <cfRule type="cellIs" dxfId="16306" priority="2924" operator="greaterThan">
      <formula>1</formula>
    </cfRule>
  </conditionalFormatting>
  <conditionalFormatting sqref="R83">
    <cfRule type="cellIs" dxfId="16305" priority="2921" operator="greaterThan">
      <formula>1</formula>
    </cfRule>
    <cfRule type="cellIs" dxfId="16304" priority="2922" operator="lessThan">
      <formula>0.8</formula>
    </cfRule>
  </conditionalFormatting>
  <conditionalFormatting sqref="P83">
    <cfRule type="cellIs" dxfId="16303" priority="2920" operator="greaterThan">
      <formula>0</formula>
    </cfRule>
  </conditionalFormatting>
  <conditionalFormatting sqref="P83">
    <cfRule type="cellIs" dxfId="16302" priority="2914" operator="greaterThan">
      <formula>0</formula>
    </cfRule>
  </conditionalFormatting>
  <conditionalFormatting sqref="Q83">
    <cfRule type="cellIs" dxfId="16301" priority="2919" operator="lessThan">
      <formula>0</formula>
    </cfRule>
  </conditionalFormatting>
  <conditionalFormatting sqref="R83">
    <cfRule type="cellIs" dxfId="16300" priority="2917" operator="lessThan">
      <formula>0.8</formula>
    </cfRule>
    <cfRule type="cellIs" dxfId="16299" priority="2918" operator="greaterThan">
      <formula>1</formula>
    </cfRule>
  </conditionalFormatting>
  <conditionalFormatting sqref="R83">
    <cfRule type="cellIs" dxfId="16298" priority="2915" operator="greaterThan">
      <formula>1</formula>
    </cfRule>
    <cfRule type="cellIs" dxfId="16297" priority="2916" operator="lessThan">
      <formula>0.8</formula>
    </cfRule>
  </conditionalFormatting>
  <conditionalFormatting sqref="P83">
    <cfRule type="cellIs" dxfId="16296" priority="2908" operator="greaterThan">
      <formula>0</formula>
    </cfRule>
  </conditionalFormatting>
  <conditionalFormatting sqref="Q83">
    <cfRule type="cellIs" dxfId="16295" priority="2913" operator="lessThan">
      <formula>0</formula>
    </cfRule>
  </conditionalFormatting>
  <conditionalFormatting sqref="R83">
    <cfRule type="cellIs" dxfId="16294" priority="2911" operator="lessThan">
      <formula>0.8</formula>
    </cfRule>
    <cfRule type="cellIs" dxfId="16293" priority="2912" operator="greaterThan">
      <formula>1</formula>
    </cfRule>
  </conditionalFormatting>
  <conditionalFormatting sqref="R83">
    <cfRule type="cellIs" dxfId="16292" priority="2909" operator="greaterThan">
      <formula>1</formula>
    </cfRule>
    <cfRule type="cellIs" dxfId="16291" priority="2910" operator="lessThan">
      <formula>0.8</formula>
    </cfRule>
  </conditionalFormatting>
  <conditionalFormatting sqref="R83">
    <cfRule type="cellIs" dxfId="16290" priority="2905" operator="lessThan">
      <formula>0.8</formula>
    </cfRule>
    <cfRule type="cellIs" dxfId="16289" priority="2906" operator="greaterThan">
      <formula>1</formula>
    </cfRule>
  </conditionalFormatting>
  <conditionalFormatting sqref="R83">
    <cfRule type="cellIs" dxfId="16288" priority="2903" operator="greaterThan">
      <formula>1</formula>
    </cfRule>
    <cfRule type="cellIs" dxfId="16287" priority="2904" operator="lessThan">
      <formula>0.8</formula>
    </cfRule>
  </conditionalFormatting>
  <conditionalFormatting sqref="P83">
    <cfRule type="cellIs" dxfId="16286" priority="2902" operator="greaterThan">
      <formula>0</formula>
    </cfRule>
  </conditionalFormatting>
  <conditionalFormatting sqref="Q83">
    <cfRule type="cellIs" dxfId="16285" priority="2907" operator="lessThan">
      <formula>0</formula>
    </cfRule>
  </conditionalFormatting>
  <conditionalFormatting sqref="Q83">
    <cfRule type="cellIs" dxfId="16284" priority="2901" operator="lessThan">
      <formula>0</formula>
    </cfRule>
  </conditionalFormatting>
  <conditionalFormatting sqref="R83">
    <cfRule type="cellIs" dxfId="16283" priority="2899" operator="lessThan">
      <formula>0.8</formula>
    </cfRule>
    <cfRule type="cellIs" dxfId="16282" priority="2900" operator="greaterThan">
      <formula>1</formula>
    </cfRule>
  </conditionalFormatting>
  <conditionalFormatting sqref="R83">
    <cfRule type="cellIs" dxfId="16281" priority="2897" operator="greaterThan">
      <formula>1</formula>
    </cfRule>
    <cfRule type="cellIs" dxfId="16280" priority="2898" operator="lessThan">
      <formula>0.8</formula>
    </cfRule>
  </conditionalFormatting>
  <conditionalFormatting sqref="P83">
    <cfRule type="cellIs" dxfId="16279" priority="2896" operator="greaterThan">
      <formula>0</formula>
    </cfRule>
  </conditionalFormatting>
  <conditionalFormatting sqref="Q83">
    <cfRule type="cellIs" dxfId="16278" priority="2895" operator="lessThan">
      <formula>0</formula>
    </cfRule>
  </conditionalFormatting>
  <conditionalFormatting sqref="R83">
    <cfRule type="cellIs" dxfId="16277" priority="2893" operator="lessThan">
      <formula>0.8</formula>
    </cfRule>
    <cfRule type="cellIs" dxfId="16276" priority="2894" operator="greaterThan">
      <formula>1</formula>
    </cfRule>
  </conditionalFormatting>
  <conditionalFormatting sqref="R83">
    <cfRule type="cellIs" dxfId="16275" priority="2891" operator="greaterThan">
      <formula>1</formula>
    </cfRule>
    <cfRule type="cellIs" dxfId="16274" priority="2892" operator="lessThan">
      <formula>0.8</formula>
    </cfRule>
  </conditionalFormatting>
  <conditionalFormatting sqref="P83">
    <cfRule type="cellIs" dxfId="16273" priority="2890" operator="greaterThan">
      <formula>0</formula>
    </cfRule>
  </conditionalFormatting>
  <conditionalFormatting sqref="Q83">
    <cfRule type="cellIs" dxfId="16272" priority="2889" operator="lessThan">
      <formula>0</formula>
    </cfRule>
  </conditionalFormatting>
  <conditionalFormatting sqref="R83">
    <cfRule type="cellIs" dxfId="16271" priority="2887" operator="lessThan">
      <formula>0.8</formula>
    </cfRule>
    <cfRule type="cellIs" dxfId="16270" priority="2888" operator="greaterThan">
      <formula>1</formula>
    </cfRule>
  </conditionalFormatting>
  <conditionalFormatting sqref="R83">
    <cfRule type="cellIs" dxfId="16269" priority="2885" operator="greaterThan">
      <formula>1</formula>
    </cfRule>
    <cfRule type="cellIs" dxfId="16268" priority="2886" operator="lessThan">
      <formula>0.8</formula>
    </cfRule>
  </conditionalFormatting>
  <conditionalFormatting sqref="P83">
    <cfRule type="cellIs" dxfId="16267" priority="2884" operator="greaterThan">
      <formula>0</formula>
    </cfRule>
  </conditionalFormatting>
  <conditionalFormatting sqref="Q83">
    <cfRule type="cellIs" dxfId="16266" priority="2883" operator="lessThan">
      <formula>0</formula>
    </cfRule>
  </conditionalFormatting>
  <conditionalFormatting sqref="R83">
    <cfRule type="cellIs" dxfId="16265" priority="2881" operator="lessThan">
      <formula>0.8</formula>
    </cfRule>
    <cfRule type="cellIs" dxfId="16264" priority="2882" operator="greaterThan">
      <formula>1</formula>
    </cfRule>
  </conditionalFormatting>
  <conditionalFormatting sqref="R83">
    <cfRule type="cellIs" dxfId="16263" priority="2879" operator="greaterThan">
      <formula>1</formula>
    </cfRule>
    <cfRule type="cellIs" dxfId="16262" priority="2880" operator="lessThan">
      <formula>0.8</formula>
    </cfRule>
  </conditionalFormatting>
  <conditionalFormatting sqref="P83">
    <cfRule type="cellIs" dxfId="16261" priority="2878" operator="greaterThan">
      <formula>0</formula>
    </cfRule>
  </conditionalFormatting>
  <conditionalFormatting sqref="P83">
    <cfRule type="cellIs" dxfId="16260" priority="2872" operator="greaterThan">
      <formula>0</formula>
    </cfRule>
  </conditionalFormatting>
  <conditionalFormatting sqref="Q83">
    <cfRule type="cellIs" dxfId="16259" priority="2877" operator="lessThan">
      <formula>0</formula>
    </cfRule>
  </conditionalFormatting>
  <conditionalFormatting sqref="R83">
    <cfRule type="cellIs" dxfId="16258" priority="2875" operator="lessThan">
      <formula>0.8</formula>
    </cfRule>
    <cfRule type="cellIs" dxfId="16257" priority="2876" operator="greaterThan">
      <formula>1</formula>
    </cfRule>
  </conditionalFormatting>
  <conditionalFormatting sqref="R83">
    <cfRule type="cellIs" dxfId="16256" priority="2873" operator="greaterThan">
      <formula>1</formula>
    </cfRule>
    <cfRule type="cellIs" dxfId="16255" priority="2874" operator="lessThan">
      <formula>0.8</formula>
    </cfRule>
  </conditionalFormatting>
  <conditionalFormatting sqref="P83">
    <cfRule type="cellIs" dxfId="16254" priority="2866" operator="greaterThan">
      <formula>0</formula>
    </cfRule>
  </conditionalFormatting>
  <conditionalFormatting sqref="Q83">
    <cfRule type="cellIs" dxfId="16253" priority="2871" operator="lessThan">
      <formula>0</formula>
    </cfRule>
  </conditionalFormatting>
  <conditionalFormatting sqref="R83">
    <cfRule type="cellIs" dxfId="16252" priority="2869" operator="lessThan">
      <formula>0.8</formula>
    </cfRule>
    <cfRule type="cellIs" dxfId="16251" priority="2870" operator="greaterThan">
      <formula>1</formula>
    </cfRule>
  </conditionalFormatting>
  <conditionalFormatting sqref="R83">
    <cfRule type="cellIs" dxfId="16250" priority="2867" operator="greaterThan">
      <formula>1</formula>
    </cfRule>
    <cfRule type="cellIs" dxfId="16249" priority="2868" operator="lessThan">
      <formula>0.8</formula>
    </cfRule>
  </conditionalFormatting>
  <conditionalFormatting sqref="R83">
    <cfRule type="cellIs" dxfId="16248" priority="2863" operator="lessThan">
      <formula>0.8</formula>
    </cfRule>
    <cfRule type="cellIs" dxfId="16247" priority="2864" operator="greaterThan">
      <formula>1</formula>
    </cfRule>
  </conditionalFormatting>
  <conditionalFormatting sqref="R83">
    <cfRule type="cellIs" dxfId="16246" priority="2861" operator="greaterThan">
      <formula>1</formula>
    </cfRule>
    <cfRule type="cellIs" dxfId="16245" priority="2862" operator="lessThan">
      <formula>0.8</formula>
    </cfRule>
  </conditionalFormatting>
  <conditionalFormatting sqref="P83">
    <cfRule type="cellIs" dxfId="16244" priority="2860" operator="greaterThan">
      <formula>0</formula>
    </cfRule>
  </conditionalFormatting>
  <conditionalFormatting sqref="Q83">
    <cfRule type="cellIs" dxfId="16243" priority="2865" operator="lessThan">
      <formula>0</formula>
    </cfRule>
  </conditionalFormatting>
  <conditionalFormatting sqref="Q83">
    <cfRule type="cellIs" dxfId="16242" priority="2859" operator="lessThan">
      <formula>0</formula>
    </cfRule>
  </conditionalFormatting>
  <conditionalFormatting sqref="R83">
    <cfRule type="cellIs" dxfId="16241" priority="2857" operator="lessThan">
      <formula>0.8</formula>
    </cfRule>
    <cfRule type="cellIs" dxfId="16240" priority="2858" operator="greaterThan">
      <formula>1</formula>
    </cfRule>
  </conditionalFormatting>
  <conditionalFormatting sqref="R83">
    <cfRule type="cellIs" dxfId="16239" priority="2855" operator="greaterThan">
      <formula>1</formula>
    </cfRule>
    <cfRule type="cellIs" dxfId="16238" priority="2856" operator="lessThan">
      <formula>0.8</formula>
    </cfRule>
  </conditionalFormatting>
  <conditionalFormatting sqref="P83">
    <cfRule type="cellIs" dxfId="16237" priority="2854" operator="greaterThan">
      <formula>0</formula>
    </cfRule>
  </conditionalFormatting>
  <conditionalFormatting sqref="P83">
    <cfRule type="cellIs" dxfId="16236" priority="2848" operator="greaterThan">
      <formula>0</formula>
    </cfRule>
  </conditionalFormatting>
  <conditionalFormatting sqref="Q83">
    <cfRule type="cellIs" dxfId="16235" priority="2853" operator="lessThan">
      <formula>0</formula>
    </cfRule>
  </conditionalFormatting>
  <conditionalFormatting sqref="R83">
    <cfRule type="cellIs" dxfId="16234" priority="2851" operator="lessThan">
      <formula>0.8</formula>
    </cfRule>
    <cfRule type="cellIs" dxfId="16233" priority="2852" operator="greaterThan">
      <formula>1</formula>
    </cfRule>
  </conditionalFormatting>
  <conditionalFormatting sqref="R83">
    <cfRule type="cellIs" dxfId="16232" priority="2849" operator="greaterThan">
      <formula>1</formula>
    </cfRule>
    <cfRule type="cellIs" dxfId="16231" priority="2850" operator="lessThan">
      <formula>0.8</formula>
    </cfRule>
  </conditionalFormatting>
  <conditionalFormatting sqref="P83">
    <cfRule type="cellIs" dxfId="16230" priority="2842" operator="greaterThan">
      <formula>0</formula>
    </cfRule>
  </conditionalFormatting>
  <conditionalFormatting sqref="Q83">
    <cfRule type="cellIs" dxfId="16229" priority="2847" operator="lessThan">
      <formula>0</formula>
    </cfRule>
  </conditionalFormatting>
  <conditionalFormatting sqref="R83">
    <cfRule type="cellIs" dxfId="16228" priority="2845" operator="lessThan">
      <formula>0.8</formula>
    </cfRule>
    <cfRule type="cellIs" dxfId="16227" priority="2846" operator="greaterThan">
      <formula>1</formula>
    </cfRule>
  </conditionalFormatting>
  <conditionalFormatting sqref="R83">
    <cfRule type="cellIs" dxfId="16226" priority="2843" operator="greaterThan">
      <formula>1</formula>
    </cfRule>
    <cfRule type="cellIs" dxfId="16225" priority="2844" operator="lessThan">
      <formula>0.8</formula>
    </cfRule>
  </conditionalFormatting>
  <conditionalFormatting sqref="R83">
    <cfRule type="cellIs" dxfId="16224" priority="2839" operator="lessThan">
      <formula>0.8</formula>
    </cfRule>
    <cfRule type="cellIs" dxfId="16223" priority="2840" operator="greaterThan">
      <formula>1</formula>
    </cfRule>
  </conditionalFormatting>
  <conditionalFormatting sqref="R83">
    <cfRule type="cellIs" dxfId="16222" priority="2837" operator="greaterThan">
      <formula>1</formula>
    </cfRule>
    <cfRule type="cellIs" dxfId="16221" priority="2838" operator="lessThan">
      <formula>0.8</formula>
    </cfRule>
  </conditionalFormatting>
  <conditionalFormatting sqref="P83">
    <cfRule type="cellIs" dxfId="16220" priority="2836" operator="greaterThan">
      <formula>0</formula>
    </cfRule>
  </conditionalFormatting>
  <conditionalFormatting sqref="Q83">
    <cfRule type="cellIs" dxfId="16219" priority="2841" operator="lessThan">
      <formula>0</formula>
    </cfRule>
  </conditionalFormatting>
  <conditionalFormatting sqref="P83">
    <cfRule type="cellIs" dxfId="16218" priority="2830" operator="greaterThan">
      <formula>0</formula>
    </cfRule>
  </conditionalFormatting>
  <conditionalFormatting sqref="Q83">
    <cfRule type="cellIs" dxfId="16217" priority="2835" operator="lessThan">
      <formula>0</formula>
    </cfRule>
  </conditionalFormatting>
  <conditionalFormatting sqref="R83">
    <cfRule type="cellIs" dxfId="16216" priority="2833" operator="lessThan">
      <formula>0.8</formula>
    </cfRule>
    <cfRule type="cellIs" dxfId="16215" priority="2834" operator="greaterThan">
      <formula>1</formula>
    </cfRule>
  </conditionalFormatting>
  <conditionalFormatting sqref="R83">
    <cfRule type="cellIs" dxfId="16214" priority="2831" operator="greaterThan">
      <formula>1</formula>
    </cfRule>
    <cfRule type="cellIs" dxfId="16213" priority="2832" operator="lessThan">
      <formula>0.8</formula>
    </cfRule>
  </conditionalFormatting>
  <conditionalFormatting sqref="R83">
    <cfRule type="cellIs" dxfId="16212" priority="2827" operator="lessThan">
      <formula>0.8</formula>
    </cfRule>
    <cfRule type="cellIs" dxfId="16211" priority="2828" operator="greaterThan">
      <formula>1</formula>
    </cfRule>
  </conditionalFormatting>
  <conditionalFormatting sqref="R83">
    <cfRule type="cellIs" dxfId="16210" priority="2825" operator="greaterThan">
      <formula>1</formula>
    </cfRule>
    <cfRule type="cellIs" dxfId="16209" priority="2826" operator="lessThan">
      <formula>0.8</formula>
    </cfRule>
  </conditionalFormatting>
  <conditionalFormatting sqref="P83">
    <cfRule type="cellIs" dxfId="16208" priority="2824" operator="greaterThan">
      <formula>0</formula>
    </cfRule>
  </conditionalFormatting>
  <conditionalFormatting sqref="Q83">
    <cfRule type="cellIs" dxfId="16207" priority="2829" operator="lessThan">
      <formula>0</formula>
    </cfRule>
  </conditionalFormatting>
  <conditionalFormatting sqref="R83">
    <cfRule type="cellIs" dxfId="16206" priority="2821" operator="lessThan">
      <formula>0.8</formula>
    </cfRule>
    <cfRule type="cellIs" dxfId="16205" priority="2822" operator="greaterThan">
      <formula>1</formula>
    </cfRule>
  </conditionalFormatting>
  <conditionalFormatting sqref="R83">
    <cfRule type="cellIs" dxfId="16204" priority="2819" operator="greaterThan">
      <formula>1</formula>
    </cfRule>
    <cfRule type="cellIs" dxfId="16203" priority="2820" operator="lessThan">
      <formula>0.8</formula>
    </cfRule>
  </conditionalFormatting>
  <conditionalFormatting sqref="P83">
    <cfRule type="cellIs" dxfId="16202" priority="2818" operator="greaterThan">
      <formula>0</formula>
    </cfRule>
  </conditionalFormatting>
  <conditionalFormatting sqref="Q83">
    <cfRule type="cellIs" dxfId="16201" priority="2823" operator="lessThan">
      <formula>0</formula>
    </cfRule>
  </conditionalFormatting>
  <conditionalFormatting sqref="Q83">
    <cfRule type="cellIs" dxfId="16200" priority="2817" operator="lessThan">
      <formula>0</formula>
    </cfRule>
  </conditionalFormatting>
  <conditionalFormatting sqref="R83">
    <cfRule type="cellIs" dxfId="16199" priority="2815" operator="lessThan">
      <formula>0.8</formula>
    </cfRule>
    <cfRule type="cellIs" dxfId="16198" priority="2816" operator="greaterThan">
      <formula>1</formula>
    </cfRule>
  </conditionalFormatting>
  <conditionalFormatting sqref="R83">
    <cfRule type="cellIs" dxfId="16197" priority="2813" operator="greaterThan">
      <formula>1</formula>
    </cfRule>
    <cfRule type="cellIs" dxfId="16196" priority="2814" operator="lessThan">
      <formula>0.8</formula>
    </cfRule>
  </conditionalFormatting>
  <conditionalFormatting sqref="P83">
    <cfRule type="cellIs" dxfId="16195" priority="2812" operator="greaterThan">
      <formula>0</formula>
    </cfRule>
  </conditionalFormatting>
  <conditionalFormatting sqref="Q83">
    <cfRule type="cellIs" dxfId="16194" priority="2806" operator="lessThan">
      <formula>0</formula>
    </cfRule>
  </conditionalFormatting>
  <conditionalFormatting sqref="R83">
    <cfRule type="cellIs" dxfId="16193" priority="2810" operator="lessThan">
      <formula>0.8</formula>
    </cfRule>
    <cfRule type="cellIs" dxfId="16192" priority="2811" operator="greaterThan">
      <formula>1</formula>
    </cfRule>
  </conditionalFormatting>
  <conditionalFormatting sqref="R83">
    <cfRule type="cellIs" dxfId="16191" priority="2808" operator="greaterThan">
      <formula>1</formula>
    </cfRule>
    <cfRule type="cellIs" dxfId="16190" priority="2809" operator="lessThan">
      <formula>0.8</formula>
    </cfRule>
  </conditionalFormatting>
  <conditionalFormatting sqref="P83">
    <cfRule type="cellIs" dxfId="16189" priority="2807" operator="greaterThan">
      <formula>0</formula>
    </cfRule>
  </conditionalFormatting>
  <conditionalFormatting sqref="Q83">
    <cfRule type="cellIs" dxfId="16188" priority="2805" operator="lessThan">
      <formula>0</formula>
    </cfRule>
  </conditionalFormatting>
  <conditionalFormatting sqref="R83">
    <cfRule type="cellIs" dxfId="16187" priority="2803" operator="lessThan">
      <formula>0.8</formula>
    </cfRule>
    <cfRule type="cellIs" dxfId="16186" priority="2804" operator="greaterThan">
      <formula>1</formula>
    </cfRule>
  </conditionalFormatting>
  <conditionalFormatting sqref="R83">
    <cfRule type="cellIs" dxfId="16185" priority="2801" operator="greaterThan">
      <formula>1</formula>
    </cfRule>
    <cfRule type="cellIs" dxfId="16184" priority="2802" operator="lessThan">
      <formula>0.8</formula>
    </cfRule>
  </conditionalFormatting>
  <conditionalFormatting sqref="P83">
    <cfRule type="cellIs" dxfId="16183" priority="2800" operator="greaterThan">
      <formula>0</formula>
    </cfRule>
  </conditionalFormatting>
  <conditionalFormatting sqref="Q83">
    <cfRule type="cellIs" dxfId="16182" priority="2799" operator="lessThan">
      <formula>0</formula>
    </cfRule>
  </conditionalFormatting>
  <conditionalFormatting sqref="R83">
    <cfRule type="cellIs" dxfId="16181" priority="2797" operator="lessThan">
      <formula>0.8</formula>
    </cfRule>
    <cfRule type="cellIs" dxfId="16180" priority="2798" operator="greaterThan">
      <formula>1</formula>
    </cfRule>
  </conditionalFormatting>
  <conditionalFormatting sqref="R83">
    <cfRule type="cellIs" dxfId="16179" priority="2795" operator="greaterThan">
      <formula>1</formula>
    </cfRule>
    <cfRule type="cellIs" dxfId="16178" priority="2796" operator="lessThan">
      <formula>0.8</formula>
    </cfRule>
  </conditionalFormatting>
  <conditionalFormatting sqref="P83">
    <cfRule type="cellIs" dxfId="16177" priority="2794" operator="greaterThan">
      <formula>0</formula>
    </cfRule>
  </conditionalFormatting>
  <conditionalFormatting sqref="Q83">
    <cfRule type="cellIs" dxfId="16176" priority="2793" operator="lessThan">
      <formula>0</formula>
    </cfRule>
  </conditionalFormatting>
  <conditionalFormatting sqref="R83">
    <cfRule type="cellIs" dxfId="16175" priority="2791" operator="lessThan">
      <formula>0.8</formula>
    </cfRule>
    <cfRule type="cellIs" dxfId="16174" priority="2792" operator="greaterThan">
      <formula>1</formula>
    </cfRule>
  </conditionalFormatting>
  <conditionalFormatting sqref="R83">
    <cfRule type="cellIs" dxfId="16173" priority="2789" operator="greaterThan">
      <formula>1</formula>
    </cfRule>
    <cfRule type="cellIs" dxfId="16172" priority="2790" operator="lessThan">
      <formula>0.8</formula>
    </cfRule>
  </conditionalFormatting>
  <conditionalFormatting sqref="P83">
    <cfRule type="cellIs" dxfId="16171" priority="2788" operator="greaterThan">
      <formula>0</formula>
    </cfRule>
  </conditionalFormatting>
  <conditionalFormatting sqref="Q83">
    <cfRule type="cellIs" dxfId="16170" priority="2787" operator="lessThan">
      <formula>0</formula>
    </cfRule>
  </conditionalFormatting>
  <conditionalFormatting sqref="R83">
    <cfRule type="cellIs" dxfId="16169" priority="2785" operator="lessThan">
      <formula>0.8</formula>
    </cfRule>
    <cfRule type="cellIs" dxfId="16168" priority="2786" operator="greaterThan">
      <formula>1</formula>
    </cfRule>
  </conditionalFormatting>
  <conditionalFormatting sqref="R83">
    <cfRule type="cellIs" dxfId="16167" priority="2783" operator="greaterThan">
      <formula>1</formula>
    </cfRule>
    <cfRule type="cellIs" dxfId="16166" priority="2784" operator="lessThan">
      <formula>0.8</formula>
    </cfRule>
  </conditionalFormatting>
  <conditionalFormatting sqref="P83">
    <cfRule type="cellIs" dxfId="16165" priority="2782" operator="greaterThan">
      <formula>0</formula>
    </cfRule>
  </conditionalFormatting>
  <conditionalFormatting sqref="Q83">
    <cfRule type="cellIs" dxfId="16164" priority="2781" operator="lessThan">
      <formula>0</formula>
    </cfRule>
  </conditionalFormatting>
  <conditionalFormatting sqref="R83">
    <cfRule type="cellIs" dxfId="16163" priority="2779" operator="lessThan">
      <formula>0.8</formula>
    </cfRule>
    <cfRule type="cellIs" dxfId="16162" priority="2780" operator="greaterThan">
      <formula>1</formula>
    </cfRule>
  </conditionalFormatting>
  <conditionalFormatting sqref="R83">
    <cfRule type="cellIs" dxfId="16161" priority="2777" operator="greaterThan">
      <formula>1</formula>
    </cfRule>
    <cfRule type="cellIs" dxfId="16160" priority="2778" operator="lessThan">
      <formula>0.8</formula>
    </cfRule>
  </conditionalFormatting>
  <conditionalFormatting sqref="P83">
    <cfRule type="cellIs" dxfId="16159" priority="2776" operator="greaterThan">
      <formula>0</formula>
    </cfRule>
  </conditionalFormatting>
  <conditionalFormatting sqref="P83">
    <cfRule type="cellIs" dxfId="16158" priority="2770" operator="greaterThan">
      <formula>0</formula>
    </cfRule>
  </conditionalFormatting>
  <conditionalFormatting sqref="Q83">
    <cfRule type="cellIs" dxfId="16157" priority="2775" operator="lessThan">
      <formula>0</formula>
    </cfRule>
  </conditionalFormatting>
  <conditionalFormatting sqref="R83">
    <cfRule type="cellIs" dxfId="16156" priority="2773" operator="lessThan">
      <formula>0.8</formula>
    </cfRule>
    <cfRule type="cellIs" dxfId="16155" priority="2774" operator="greaterThan">
      <formula>1</formula>
    </cfRule>
  </conditionalFormatting>
  <conditionalFormatting sqref="R83">
    <cfRule type="cellIs" dxfId="16154" priority="2771" operator="greaterThan">
      <formula>1</formula>
    </cfRule>
    <cfRule type="cellIs" dxfId="16153" priority="2772" operator="lessThan">
      <formula>0.8</formula>
    </cfRule>
  </conditionalFormatting>
  <conditionalFormatting sqref="P83">
    <cfRule type="cellIs" dxfId="16152" priority="2764" operator="greaterThan">
      <formula>0</formula>
    </cfRule>
  </conditionalFormatting>
  <conditionalFormatting sqref="Q83">
    <cfRule type="cellIs" dxfId="16151" priority="2769" operator="lessThan">
      <formula>0</formula>
    </cfRule>
  </conditionalFormatting>
  <conditionalFormatting sqref="R83">
    <cfRule type="cellIs" dxfId="16150" priority="2767" operator="lessThan">
      <formula>0.8</formula>
    </cfRule>
    <cfRule type="cellIs" dxfId="16149" priority="2768" operator="greaterThan">
      <formula>1</formula>
    </cfRule>
  </conditionalFormatting>
  <conditionalFormatting sqref="R83">
    <cfRule type="cellIs" dxfId="16148" priority="2765" operator="greaterThan">
      <formula>1</formula>
    </cfRule>
    <cfRule type="cellIs" dxfId="16147" priority="2766" operator="lessThan">
      <formula>0.8</formula>
    </cfRule>
  </conditionalFormatting>
  <conditionalFormatting sqref="R83">
    <cfRule type="cellIs" dxfId="16146" priority="2761" operator="lessThan">
      <formula>0.8</formula>
    </cfRule>
    <cfRule type="cellIs" dxfId="16145" priority="2762" operator="greaterThan">
      <formula>1</formula>
    </cfRule>
  </conditionalFormatting>
  <conditionalFormatting sqref="R83">
    <cfRule type="cellIs" dxfId="16144" priority="2759" operator="greaterThan">
      <formula>1</formula>
    </cfRule>
    <cfRule type="cellIs" dxfId="16143" priority="2760" operator="lessThan">
      <formula>0.8</formula>
    </cfRule>
  </conditionalFormatting>
  <conditionalFormatting sqref="P83">
    <cfRule type="cellIs" dxfId="16142" priority="2758" operator="greaterThan">
      <formula>0</formula>
    </cfRule>
  </conditionalFormatting>
  <conditionalFormatting sqref="Q83">
    <cfRule type="cellIs" dxfId="16141" priority="2763" operator="lessThan">
      <formula>0</formula>
    </cfRule>
  </conditionalFormatting>
  <conditionalFormatting sqref="Q83">
    <cfRule type="cellIs" dxfId="16140" priority="2752" operator="lessThan">
      <formula>0</formula>
    </cfRule>
  </conditionalFormatting>
  <conditionalFormatting sqref="P83">
    <cfRule type="cellIs" dxfId="16139" priority="2753" operator="greaterThan">
      <formula>0</formula>
    </cfRule>
  </conditionalFormatting>
  <conditionalFormatting sqref="R83">
    <cfRule type="cellIs" dxfId="16138" priority="2756" operator="lessThan">
      <formula>0.8</formula>
    </cfRule>
    <cfRule type="cellIs" dxfId="16137" priority="2757" operator="greaterThan">
      <formula>1</formula>
    </cfRule>
  </conditionalFormatting>
  <conditionalFormatting sqref="R83">
    <cfRule type="cellIs" dxfId="16136" priority="2754" operator="greaterThan">
      <formula>1</formula>
    </cfRule>
    <cfRule type="cellIs" dxfId="16135" priority="2755" operator="lessThan">
      <formula>0.8</formula>
    </cfRule>
  </conditionalFormatting>
  <conditionalFormatting sqref="Q83">
    <cfRule type="cellIs" dxfId="16134" priority="2746" operator="lessThan">
      <formula>0</formula>
    </cfRule>
  </conditionalFormatting>
  <conditionalFormatting sqref="R83">
    <cfRule type="cellIs" dxfId="16133" priority="2750" operator="lessThan">
      <formula>0.8</formula>
    </cfRule>
    <cfRule type="cellIs" dxfId="16132" priority="2751" operator="greaterThan">
      <formula>1</formula>
    </cfRule>
  </conditionalFormatting>
  <conditionalFormatting sqref="R83">
    <cfRule type="cellIs" dxfId="16131" priority="2748" operator="greaterThan">
      <formula>1</formula>
    </cfRule>
    <cfRule type="cellIs" dxfId="16130" priority="2749" operator="lessThan">
      <formula>0.8</formula>
    </cfRule>
  </conditionalFormatting>
  <conditionalFormatting sqref="P83">
    <cfRule type="cellIs" dxfId="16129" priority="2747" operator="greaterThan">
      <formula>0</formula>
    </cfRule>
  </conditionalFormatting>
  <conditionalFormatting sqref="Q83">
    <cfRule type="cellIs" dxfId="16128" priority="2745" operator="lessThan">
      <formula>0</formula>
    </cfRule>
  </conditionalFormatting>
  <conditionalFormatting sqref="R83">
    <cfRule type="cellIs" dxfId="16127" priority="2743" operator="lessThan">
      <formula>0.8</formula>
    </cfRule>
    <cfRule type="cellIs" dxfId="16126" priority="2744" operator="greaterThan">
      <formula>1</formula>
    </cfRule>
  </conditionalFormatting>
  <conditionalFormatting sqref="R83">
    <cfRule type="cellIs" dxfId="16125" priority="2741" operator="greaterThan">
      <formula>1</formula>
    </cfRule>
    <cfRule type="cellIs" dxfId="16124" priority="2742" operator="lessThan">
      <formula>0.8</formula>
    </cfRule>
  </conditionalFormatting>
  <conditionalFormatting sqref="P83">
    <cfRule type="cellIs" dxfId="16123" priority="2740" operator="greaterThan">
      <formula>0</formula>
    </cfRule>
  </conditionalFormatting>
  <conditionalFormatting sqref="Q83">
    <cfRule type="cellIs" dxfId="16122" priority="2739" operator="lessThan">
      <formula>0</formula>
    </cfRule>
  </conditionalFormatting>
  <conditionalFormatting sqref="R83">
    <cfRule type="cellIs" dxfId="16121" priority="2737" operator="lessThan">
      <formula>0.8</formula>
    </cfRule>
    <cfRule type="cellIs" dxfId="16120" priority="2738" operator="greaterThan">
      <formula>1</formula>
    </cfRule>
  </conditionalFormatting>
  <conditionalFormatting sqref="R83">
    <cfRule type="cellIs" dxfId="16119" priority="2735" operator="greaterThan">
      <formula>1</formula>
    </cfRule>
    <cfRule type="cellIs" dxfId="16118" priority="2736" operator="lessThan">
      <formula>0.8</formula>
    </cfRule>
  </conditionalFormatting>
  <conditionalFormatting sqref="P83">
    <cfRule type="cellIs" dxfId="16117" priority="2734" operator="greaterThan">
      <formula>0</formula>
    </cfRule>
  </conditionalFormatting>
  <conditionalFormatting sqref="Q83">
    <cfRule type="cellIs" dxfId="16116" priority="2733" operator="lessThan">
      <formula>0</formula>
    </cfRule>
  </conditionalFormatting>
  <conditionalFormatting sqref="R83">
    <cfRule type="cellIs" dxfId="16115" priority="2731" operator="lessThan">
      <formula>0.8</formula>
    </cfRule>
    <cfRule type="cellIs" dxfId="16114" priority="2732" operator="greaterThan">
      <formula>1</formula>
    </cfRule>
  </conditionalFormatting>
  <conditionalFormatting sqref="R83">
    <cfRule type="cellIs" dxfId="16113" priority="2729" operator="greaterThan">
      <formula>1</formula>
    </cfRule>
    <cfRule type="cellIs" dxfId="16112" priority="2730" operator="lessThan">
      <formula>0.8</formula>
    </cfRule>
  </conditionalFormatting>
  <conditionalFormatting sqref="P83">
    <cfRule type="cellIs" dxfId="16111" priority="2728" operator="greaterThan">
      <formula>0</formula>
    </cfRule>
  </conditionalFormatting>
  <conditionalFormatting sqref="Q83">
    <cfRule type="cellIs" dxfId="16110" priority="2727" operator="lessThan">
      <formula>0</formula>
    </cfRule>
  </conditionalFormatting>
  <conditionalFormatting sqref="R83">
    <cfRule type="cellIs" dxfId="16109" priority="2725" operator="lessThan">
      <formula>0.8</formula>
    </cfRule>
    <cfRule type="cellIs" dxfId="16108" priority="2726" operator="greaterThan">
      <formula>1</formula>
    </cfRule>
  </conditionalFormatting>
  <conditionalFormatting sqref="R83">
    <cfRule type="cellIs" dxfId="16107" priority="2723" operator="greaterThan">
      <formula>1</formula>
    </cfRule>
    <cfRule type="cellIs" dxfId="16106" priority="2724" operator="lessThan">
      <formula>0.8</formula>
    </cfRule>
  </conditionalFormatting>
  <conditionalFormatting sqref="P83">
    <cfRule type="cellIs" dxfId="16105" priority="2722" operator="greaterThan">
      <formula>0</formula>
    </cfRule>
  </conditionalFormatting>
  <conditionalFormatting sqref="Q83">
    <cfRule type="cellIs" dxfId="16104" priority="2721" operator="lessThan">
      <formula>0</formula>
    </cfRule>
  </conditionalFormatting>
  <conditionalFormatting sqref="R83">
    <cfRule type="cellIs" dxfId="16103" priority="2719" operator="lessThan">
      <formula>0.8</formula>
    </cfRule>
    <cfRule type="cellIs" dxfId="16102" priority="2720" operator="greaterThan">
      <formula>1</formula>
    </cfRule>
  </conditionalFormatting>
  <conditionalFormatting sqref="R83">
    <cfRule type="cellIs" dxfId="16101" priority="2717" operator="greaterThan">
      <formula>1</formula>
    </cfRule>
    <cfRule type="cellIs" dxfId="16100" priority="2718" operator="lessThan">
      <formula>0.8</formula>
    </cfRule>
  </conditionalFormatting>
  <conditionalFormatting sqref="P83">
    <cfRule type="cellIs" dxfId="16099" priority="2716" operator="greaterThan">
      <formula>0</formula>
    </cfRule>
  </conditionalFormatting>
  <conditionalFormatting sqref="Q83">
    <cfRule type="cellIs" dxfId="16098" priority="2715" operator="lessThan">
      <formula>0</formula>
    </cfRule>
  </conditionalFormatting>
  <conditionalFormatting sqref="R83">
    <cfRule type="cellIs" dxfId="16097" priority="2713" operator="lessThan">
      <formula>0.8</formula>
    </cfRule>
    <cfRule type="cellIs" dxfId="16096" priority="2714" operator="greaterThan">
      <formula>1</formula>
    </cfRule>
  </conditionalFormatting>
  <conditionalFormatting sqref="R83">
    <cfRule type="cellIs" dxfId="16095" priority="2711" operator="greaterThan">
      <formula>1</formula>
    </cfRule>
    <cfRule type="cellIs" dxfId="16094" priority="2712" operator="lessThan">
      <formula>0.8</formula>
    </cfRule>
  </conditionalFormatting>
  <conditionalFormatting sqref="P83">
    <cfRule type="cellIs" dxfId="16093" priority="2710" operator="greaterThan">
      <formula>0</formula>
    </cfRule>
  </conditionalFormatting>
  <conditionalFormatting sqref="Q83">
    <cfRule type="cellIs" dxfId="16092" priority="2709" operator="lessThan">
      <formula>0</formula>
    </cfRule>
  </conditionalFormatting>
  <conditionalFormatting sqref="R83">
    <cfRule type="cellIs" dxfId="16091" priority="2707" operator="lessThan">
      <formula>0.8</formula>
    </cfRule>
    <cfRule type="cellIs" dxfId="16090" priority="2708" operator="greaterThan">
      <formula>1</formula>
    </cfRule>
  </conditionalFormatting>
  <conditionalFormatting sqref="R83">
    <cfRule type="cellIs" dxfId="16089" priority="2705" operator="greaterThan">
      <formula>1</formula>
    </cfRule>
    <cfRule type="cellIs" dxfId="16088" priority="2706" operator="lessThan">
      <formula>0.8</formula>
    </cfRule>
  </conditionalFormatting>
  <conditionalFormatting sqref="P83">
    <cfRule type="cellIs" dxfId="16087" priority="2704" operator="greaterThan">
      <formula>0</formula>
    </cfRule>
  </conditionalFormatting>
  <conditionalFormatting sqref="P83">
    <cfRule type="cellIs" dxfId="16086" priority="2698" operator="greaterThan">
      <formula>0</formula>
    </cfRule>
  </conditionalFormatting>
  <conditionalFormatting sqref="Q83">
    <cfRule type="cellIs" dxfId="16085" priority="2703" operator="lessThan">
      <formula>0</formula>
    </cfRule>
  </conditionalFormatting>
  <conditionalFormatting sqref="R83">
    <cfRule type="cellIs" dxfId="16084" priority="2701" operator="lessThan">
      <formula>0.8</formula>
    </cfRule>
    <cfRule type="cellIs" dxfId="16083" priority="2702" operator="greaterThan">
      <formula>1</formula>
    </cfRule>
  </conditionalFormatting>
  <conditionalFormatting sqref="R83">
    <cfRule type="cellIs" dxfId="16082" priority="2699" operator="greaterThan">
      <formula>1</formula>
    </cfRule>
    <cfRule type="cellIs" dxfId="16081" priority="2700" operator="lessThan">
      <formula>0.8</formula>
    </cfRule>
  </conditionalFormatting>
  <conditionalFormatting sqref="P83">
    <cfRule type="cellIs" dxfId="16080" priority="2692" operator="greaterThan">
      <formula>0</formula>
    </cfRule>
  </conditionalFormatting>
  <conditionalFormatting sqref="Q83">
    <cfRule type="cellIs" dxfId="16079" priority="2697" operator="lessThan">
      <formula>0</formula>
    </cfRule>
  </conditionalFormatting>
  <conditionalFormatting sqref="R83">
    <cfRule type="cellIs" dxfId="16078" priority="2695" operator="lessThan">
      <formula>0.8</formula>
    </cfRule>
    <cfRule type="cellIs" dxfId="16077" priority="2696" operator="greaterThan">
      <formula>1</formula>
    </cfRule>
  </conditionalFormatting>
  <conditionalFormatting sqref="R83">
    <cfRule type="cellIs" dxfId="16076" priority="2693" operator="greaterThan">
      <formula>1</formula>
    </cfRule>
    <cfRule type="cellIs" dxfId="16075" priority="2694" operator="lessThan">
      <formula>0.8</formula>
    </cfRule>
  </conditionalFormatting>
  <conditionalFormatting sqref="R83">
    <cfRule type="cellIs" dxfId="16074" priority="2689" operator="lessThan">
      <formula>0.8</formula>
    </cfRule>
    <cfRule type="cellIs" dxfId="16073" priority="2690" operator="greaterThan">
      <formula>1</formula>
    </cfRule>
  </conditionalFormatting>
  <conditionalFormatting sqref="R83">
    <cfRule type="cellIs" dxfId="16072" priority="2687" operator="greaterThan">
      <formula>1</formula>
    </cfRule>
    <cfRule type="cellIs" dxfId="16071" priority="2688" operator="lessThan">
      <formula>0.8</formula>
    </cfRule>
  </conditionalFormatting>
  <conditionalFormatting sqref="P83">
    <cfRule type="cellIs" dxfId="16070" priority="2686" operator="greaterThan">
      <formula>0</formula>
    </cfRule>
  </conditionalFormatting>
  <conditionalFormatting sqref="Q83">
    <cfRule type="cellIs" dxfId="16069" priority="2691" operator="lessThan">
      <formula>0</formula>
    </cfRule>
  </conditionalFormatting>
  <conditionalFormatting sqref="Q83">
    <cfRule type="cellIs" dxfId="16068" priority="2685" operator="lessThan">
      <formula>0</formula>
    </cfRule>
  </conditionalFormatting>
  <conditionalFormatting sqref="R83">
    <cfRule type="cellIs" dxfId="16067" priority="2683" operator="lessThan">
      <formula>0.8</formula>
    </cfRule>
    <cfRule type="cellIs" dxfId="16066" priority="2684" operator="greaterThan">
      <formula>1</formula>
    </cfRule>
  </conditionalFormatting>
  <conditionalFormatting sqref="R83">
    <cfRule type="cellIs" dxfId="16065" priority="2681" operator="greaterThan">
      <formula>1</formula>
    </cfRule>
    <cfRule type="cellIs" dxfId="16064" priority="2682" operator="lessThan">
      <formula>0.8</formula>
    </cfRule>
  </conditionalFormatting>
  <conditionalFormatting sqref="P83">
    <cfRule type="cellIs" dxfId="16063" priority="2680" operator="greaterThan">
      <formula>0</formula>
    </cfRule>
  </conditionalFormatting>
  <conditionalFormatting sqref="P83">
    <cfRule type="cellIs" dxfId="16062" priority="2674" operator="greaterThan">
      <formula>0</formula>
    </cfRule>
  </conditionalFormatting>
  <conditionalFormatting sqref="Q83">
    <cfRule type="cellIs" dxfId="16061" priority="2679" operator="lessThan">
      <formula>0</formula>
    </cfRule>
  </conditionalFormatting>
  <conditionalFormatting sqref="R83">
    <cfRule type="cellIs" dxfId="16060" priority="2677" operator="lessThan">
      <formula>0.8</formula>
    </cfRule>
    <cfRule type="cellIs" dxfId="16059" priority="2678" operator="greaterThan">
      <formula>1</formula>
    </cfRule>
  </conditionalFormatting>
  <conditionalFormatting sqref="R83">
    <cfRule type="cellIs" dxfId="16058" priority="2675" operator="greaterThan">
      <formula>1</formula>
    </cfRule>
    <cfRule type="cellIs" dxfId="16057" priority="2676" operator="lessThan">
      <formula>0.8</formula>
    </cfRule>
  </conditionalFormatting>
  <conditionalFormatting sqref="P83">
    <cfRule type="cellIs" dxfId="16056" priority="2668" operator="greaterThan">
      <formula>0</formula>
    </cfRule>
  </conditionalFormatting>
  <conditionalFormatting sqref="Q83">
    <cfRule type="cellIs" dxfId="16055" priority="2673" operator="lessThan">
      <formula>0</formula>
    </cfRule>
  </conditionalFormatting>
  <conditionalFormatting sqref="R83">
    <cfRule type="cellIs" dxfId="16054" priority="2671" operator="lessThan">
      <formula>0.8</formula>
    </cfRule>
    <cfRule type="cellIs" dxfId="16053" priority="2672" operator="greaterThan">
      <formula>1</formula>
    </cfRule>
  </conditionalFormatting>
  <conditionalFormatting sqref="R83">
    <cfRule type="cellIs" dxfId="16052" priority="2669" operator="greaterThan">
      <formula>1</formula>
    </cfRule>
    <cfRule type="cellIs" dxfId="16051" priority="2670" operator="lessThan">
      <formula>0.8</formula>
    </cfRule>
  </conditionalFormatting>
  <conditionalFormatting sqref="R83">
    <cfRule type="cellIs" dxfId="16050" priority="2665" operator="lessThan">
      <formula>0.8</formula>
    </cfRule>
    <cfRule type="cellIs" dxfId="16049" priority="2666" operator="greaterThan">
      <formula>1</formula>
    </cfRule>
  </conditionalFormatting>
  <conditionalFormatting sqref="R83">
    <cfRule type="cellIs" dxfId="16048" priority="2663" operator="greaterThan">
      <formula>1</formula>
    </cfRule>
    <cfRule type="cellIs" dxfId="16047" priority="2664" operator="lessThan">
      <formula>0.8</formula>
    </cfRule>
  </conditionalFormatting>
  <conditionalFormatting sqref="P83">
    <cfRule type="cellIs" dxfId="16046" priority="2662" operator="greaterThan">
      <formula>0</formula>
    </cfRule>
  </conditionalFormatting>
  <conditionalFormatting sqref="Q83">
    <cfRule type="cellIs" dxfId="16045" priority="2667" operator="lessThan">
      <formula>0</formula>
    </cfRule>
  </conditionalFormatting>
  <conditionalFormatting sqref="P83">
    <cfRule type="cellIs" dxfId="16044" priority="2656" operator="greaterThan">
      <formula>0</formula>
    </cfRule>
  </conditionalFormatting>
  <conditionalFormatting sqref="Q83">
    <cfRule type="cellIs" dxfId="16043" priority="2661" operator="lessThan">
      <formula>0</formula>
    </cfRule>
  </conditionalFormatting>
  <conditionalFormatting sqref="R83">
    <cfRule type="cellIs" dxfId="16042" priority="2659" operator="lessThan">
      <formula>0.8</formula>
    </cfRule>
    <cfRule type="cellIs" dxfId="16041" priority="2660" operator="greaterThan">
      <formula>1</formula>
    </cfRule>
  </conditionalFormatting>
  <conditionalFormatting sqref="R83">
    <cfRule type="cellIs" dxfId="16040" priority="2657" operator="greaterThan">
      <formula>1</formula>
    </cfRule>
    <cfRule type="cellIs" dxfId="16039" priority="2658" operator="lessThan">
      <formula>0.8</formula>
    </cfRule>
  </conditionalFormatting>
  <conditionalFormatting sqref="R83">
    <cfRule type="cellIs" dxfId="16038" priority="2653" operator="lessThan">
      <formula>0.8</formula>
    </cfRule>
    <cfRule type="cellIs" dxfId="16037" priority="2654" operator="greaterThan">
      <formula>1</formula>
    </cfRule>
  </conditionalFormatting>
  <conditionalFormatting sqref="R83">
    <cfRule type="cellIs" dxfId="16036" priority="2651" operator="greaterThan">
      <formula>1</formula>
    </cfRule>
    <cfRule type="cellIs" dxfId="16035" priority="2652" operator="lessThan">
      <formula>0.8</formula>
    </cfRule>
  </conditionalFormatting>
  <conditionalFormatting sqref="P83">
    <cfRule type="cellIs" dxfId="16034" priority="2650" operator="greaterThan">
      <formula>0</formula>
    </cfRule>
  </conditionalFormatting>
  <conditionalFormatting sqref="Q83">
    <cfRule type="cellIs" dxfId="16033" priority="2655" operator="lessThan">
      <formula>0</formula>
    </cfRule>
  </conditionalFormatting>
  <conditionalFormatting sqref="R83">
    <cfRule type="cellIs" dxfId="16032" priority="2647" operator="lessThan">
      <formula>0.8</formula>
    </cfRule>
    <cfRule type="cellIs" dxfId="16031" priority="2648" operator="greaterThan">
      <formula>1</formula>
    </cfRule>
  </conditionalFormatting>
  <conditionalFormatting sqref="R83">
    <cfRule type="cellIs" dxfId="16030" priority="2645" operator="greaterThan">
      <formula>1</formula>
    </cfRule>
    <cfRule type="cellIs" dxfId="16029" priority="2646" operator="lessThan">
      <formula>0.8</formula>
    </cfRule>
  </conditionalFormatting>
  <conditionalFormatting sqref="P83">
    <cfRule type="cellIs" dxfId="16028" priority="2644" operator="greaterThan">
      <formula>0</formula>
    </cfRule>
  </conditionalFormatting>
  <conditionalFormatting sqref="Q83">
    <cfRule type="cellIs" dxfId="16027" priority="2649" operator="lessThan">
      <formula>0</formula>
    </cfRule>
  </conditionalFormatting>
  <conditionalFormatting sqref="Q83">
    <cfRule type="cellIs" dxfId="16026" priority="2643" operator="lessThan">
      <formula>0</formula>
    </cfRule>
  </conditionalFormatting>
  <conditionalFormatting sqref="R83">
    <cfRule type="cellIs" dxfId="16025" priority="2641" operator="lessThan">
      <formula>0.8</formula>
    </cfRule>
    <cfRule type="cellIs" dxfId="16024" priority="2642" operator="greaterThan">
      <formula>1</formula>
    </cfRule>
  </conditionalFormatting>
  <conditionalFormatting sqref="R83">
    <cfRule type="cellIs" dxfId="16023" priority="2639" operator="greaterThan">
      <formula>1</formula>
    </cfRule>
    <cfRule type="cellIs" dxfId="16022" priority="2640" operator="lessThan">
      <formula>0.8</formula>
    </cfRule>
  </conditionalFormatting>
  <conditionalFormatting sqref="P83">
    <cfRule type="cellIs" dxfId="16021" priority="2638" operator="greaterThan">
      <formula>0</formula>
    </cfRule>
  </conditionalFormatting>
  <conditionalFormatting sqref="Q83">
    <cfRule type="cellIs" dxfId="16020" priority="2632" operator="lessThan">
      <formula>0</formula>
    </cfRule>
  </conditionalFormatting>
  <conditionalFormatting sqref="R83">
    <cfRule type="cellIs" dxfId="16019" priority="2636" operator="lessThan">
      <formula>0.8</formula>
    </cfRule>
    <cfRule type="cellIs" dxfId="16018" priority="2637" operator="greaterThan">
      <formula>1</formula>
    </cfRule>
  </conditionalFormatting>
  <conditionalFormatting sqref="R83">
    <cfRule type="cellIs" dxfId="16017" priority="2634" operator="greaterThan">
      <formula>1</formula>
    </cfRule>
    <cfRule type="cellIs" dxfId="16016" priority="2635" operator="lessThan">
      <formula>0.8</formula>
    </cfRule>
  </conditionalFormatting>
  <conditionalFormatting sqref="P83">
    <cfRule type="cellIs" dxfId="16015" priority="2633" operator="greaterThan">
      <formula>0</formula>
    </cfRule>
  </conditionalFormatting>
  <conditionalFormatting sqref="Q83">
    <cfRule type="cellIs" dxfId="16014" priority="2631" operator="lessThan">
      <formula>0</formula>
    </cfRule>
  </conditionalFormatting>
  <conditionalFormatting sqref="R83">
    <cfRule type="cellIs" dxfId="16013" priority="2629" operator="lessThan">
      <formula>0.8</formula>
    </cfRule>
    <cfRule type="cellIs" dxfId="16012" priority="2630" operator="greaterThan">
      <formula>1</formula>
    </cfRule>
  </conditionalFormatting>
  <conditionalFormatting sqref="R83">
    <cfRule type="cellIs" dxfId="16011" priority="2627" operator="greaterThan">
      <formula>1</formula>
    </cfRule>
    <cfRule type="cellIs" dxfId="16010" priority="2628" operator="lessThan">
      <formula>0.8</formula>
    </cfRule>
  </conditionalFormatting>
  <conditionalFormatting sqref="P83">
    <cfRule type="cellIs" dxfId="16009" priority="2626" operator="greaterThan">
      <formula>0</formula>
    </cfRule>
  </conditionalFormatting>
  <conditionalFormatting sqref="Q83">
    <cfRule type="cellIs" dxfId="16008" priority="2625" operator="lessThan">
      <formula>0</formula>
    </cfRule>
  </conditionalFormatting>
  <conditionalFormatting sqref="R83">
    <cfRule type="cellIs" dxfId="16007" priority="2623" operator="lessThan">
      <formula>0.8</formula>
    </cfRule>
    <cfRule type="cellIs" dxfId="16006" priority="2624" operator="greaterThan">
      <formula>1</formula>
    </cfRule>
  </conditionalFormatting>
  <conditionalFormatting sqref="R83">
    <cfRule type="cellIs" dxfId="16005" priority="2621" operator="greaterThan">
      <formula>1</formula>
    </cfRule>
    <cfRule type="cellIs" dxfId="16004" priority="2622" operator="lessThan">
      <formula>0.8</formula>
    </cfRule>
  </conditionalFormatting>
  <conditionalFormatting sqref="P83">
    <cfRule type="cellIs" dxfId="16003" priority="2620" operator="greaterThan">
      <formula>0</formula>
    </cfRule>
  </conditionalFormatting>
  <conditionalFormatting sqref="Q83">
    <cfRule type="cellIs" dxfId="16002" priority="2619" operator="lessThan">
      <formula>0</formula>
    </cfRule>
  </conditionalFormatting>
  <conditionalFormatting sqref="R83">
    <cfRule type="cellIs" dxfId="16001" priority="2617" operator="lessThan">
      <formula>0.8</formula>
    </cfRule>
    <cfRule type="cellIs" dxfId="16000" priority="2618" operator="greaterThan">
      <formula>1</formula>
    </cfRule>
  </conditionalFormatting>
  <conditionalFormatting sqref="R83">
    <cfRule type="cellIs" dxfId="15999" priority="2615" operator="greaterThan">
      <formula>1</formula>
    </cfRule>
    <cfRule type="cellIs" dxfId="15998" priority="2616" operator="lessThan">
      <formula>0.8</formula>
    </cfRule>
  </conditionalFormatting>
  <conditionalFormatting sqref="P83">
    <cfRule type="cellIs" dxfId="15997" priority="2614" operator="greaterThan">
      <formula>0</formula>
    </cfRule>
  </conditionalFormatting>
  <conditionalFormatting sqref="Q83">
    <cfRule type="cellIs" dxfId="15996" priority="2613" operator="lessThan">
      <formula>0</formula>
    </cfRule>
  </conditionalFormatting>
  <conditionalFormatting sqref="R83">
    <cfRule type="cellIs" dxfId="15995" priority="2611" operator="lessThan">
      <formula>0.8</formula>
    </cfRule>
    <cfRule type="cellIs" dxfId="15994" priority="2612" operator="greaterThan">
      <formula>1</formula>
    </cfRule>
  </conditionalFormatting>
  <conditionalFormatting sqref="R83">
    <cfRule type="cellIs" dxfId="15993" priority="2609" operator="greaterThan">
      <formula>1</formula>
    </cfRule>
    <cfRule type="cellIs" dxfId="15992" priority="2610" operator="lessThan">
      <formula>0.8</formula>
    </cfRule>
  </conditionalFormatting>
  <conditionalFormatting sqref="P83">
    <cfRule type="cellIs" dxfId="15991" priority="2608" operator="greaterThan">
      <formula>0</formula>
    </cfRule>
  </conditionalFormatting>
  <conditionalFormatting sqref="Q83">
    <cfRule type="cellIs" dxfId="15990" priority="2607" operator="lessThan">
      <formula>0</formula>
    </cfRule>
  </conditionalFormatting>
  <conditionalFormatting sqref="R83">
    <cfRule type="cellIs" dxfId="15989" priority="2605" operator="lessThan">
      <formula>0.8</formula>
    </cfRule>
    <cfRule type="cellIs" dxfId="15988" priority="2606" operator="greaterThan">
      <formula>1</formula>
    </cfRule>
  </conditionalFormatting>
  <conditionalFormatting sqref="R83">
    <cfRule type="cellIs" dxfId="15987" priority="2603" operator="greaterThan">
      <formula>1</formula>
    </cfRule>
    <cfRule type="cellIs" dxfId="15986" priority="2604" operator="lessThan">
      <formula>0.8</formula>
    </cfRule>
  </conditionalFormatting>
  <conditionalFormatting sqref="P83">
    <cfRule type="cellIs" dxfId="15985" priority="2602" operator="greaterThan">
      <formula>0</formula>
    </cfRule>
  </conditionalFormatting>
  <conditionalFormatting sqref="P83">
    <cfRule type="cellIs" dxfId="15984" priority="2596" operator="greaterThan">
      <formula>0</formula>
    </cfRule>
  </conditionalFormatting>
  <conditionalFormatting sqref="Q83">
    <cfRule type="cellIs" dxfId="15983" priority="2601" operator="lessThan">
      <formula>0</formula>
    </cfRule>
  </conditionalFormatting>
  <conditionalFormatting sqref="R83">
    <cfRule type="cellIs" dxfId="15982" priority="2599" operator="lessThan">
      <formula>0.8</formula>
    </cfRule>
    <cfRule type="cellIs" dxfId="15981" priority="2600" operator="greaterThan">
      <formula>1</formula>
    </cfRule>
  </conditionalFormatting>
  <conditionalFormatting sqref="R83">
    <cfRule type="cellIs" dxfId="15980" priority="2597" operator="greaterThan">
      <formula>1</formula>
    </cfRule>
    <cfRule type="cellIs" dxfId="15979" priority="2598" operator="lessThan">
      <formula>0.8</formula>
    </cfRule>
  </conditionalFormatting>
  <conditionalFormatting sqref="P83">
    <cfRule type="cellIs" dxfId="15978" priority="2590" operator="greaterThan">
      <formula>0</formula>
    </cfRule>
  </conditionalFormatting>
  <conditionalFormatting sqref="Q83">
    <cfRule type="cellIs" dxfId="15977" priority="2595" operator="lessThan">
      <formula>0</formula>
    </cfRule>
  </conditionalFormatting>
  <conditionalFormatting sqref="R83">
    <cfRule type="cellIs" dxfId="15976" priority="2593" operator="lessThan">
      <formula>0.8</formula>
    </cfRule>
    <cfRule type="cellIs" dxfId="15975" priority="2594" operator="greaterThan">
      <formula>1</formula>
    </cfRule>
  </conditionalFormatting>
  <conditionalFormatting sqref="R83">
    <cfRule type="cellIs" dxfId="15974" priority="2591" operator="greaterThan">
      <formula>1</formula>
    </cfRule>
    <cfRule type="cellIs" dxfId="15973" priority="2592" operator="lessThan">
      <formula>0.8</formula>
    </cfRule>
  </conditionalFormatting>
  <conditionalFormatting sqref="R83">
    <cfRule type="cellIs" dxfId="15972" priority="2587" operator="lessThan">
      <formula>0.8</formula>
    </cfRule>
    <cfRule type="cellIs" dxfId="15971" priority="2588" operator="greaterThan">
      <formula>1</formula>
    </cfRule>
  </conditionalFormatting>
  <conditionalFormatting sqref="R83">
    <cfRule type="cellIs" dxfId="15970" priority="2585" operator="greaterThan">
      <formula>1</formula>
    </cfRule>
    <cfRule type="cellIs" dxfId="15969" priority="2586" operator="lessThan">
      <formula>0.8</formula>
    </cfRule>
  </conditionalFormatting>
  <conditionalFormatting sqref="P83">
    <cfRule type="cellIs" dxfId="15968" priority="2584" operator="greaterThan">
      <formula>0</formula>
    </cfRule>
  </conditionalFormatting>
  <conditionalFormatting sqref="Q83">
    <cfRule type="cellIs" dxfId="15967" priority="2589" operator="lessThan">
      <formula>0</formula>
    </cfRule>
  </conditionalFormatting>
  <conditionalFormatting sqref="P123 P125:P126 P128:P130">
    <cfRule type="cellIs" dxfId="15966" priority="2578" operator="greaterThan">
      <formula>0</formula>
    </cfRule>
  </conditionalFormatting>
  <conditionalFormatting sqref="Q123 Q125:Q126 Q128:Q130">
    <cfRule type="cellIs" dxfId="15965" priority="2583" operator="lessThan">
      <formula>0</formula>
    </cfRule>
  </conditionalFormatting>
  <conditionalFormatting sqref="R123 R125:R126 R128:R130">
    <cfRule type="cellIs" dxfId="15964" priority="2581" operator="lessThan">
      <formula>0.8</formula>
    </cfRule>
    <cfRule type="cellIs" dxfId="15963" priority="2582" operator="greaterThan">
      <formula>1</formula>
    </cfRule>
  </conditionalFormatting>
  <conditionalFormatting sqref="R123 R125:R126 R128:R130">
    <cfRule type="cellIs" dxfId="15962" priority="2579" operator="greaterThan">
      <formula>1</formula>
    </cfRule>
    <cfRule type="cellIs" dxfId="15961" priority="2580" operator="lessThan">
      <formula>0.8</formula>
    </cfRule>
  </conditionalFormatting>
  <conditionalFormatting sqref="Q123 Q125:Q126 Q128:Q130">
    <cfRule type="cellIs" dxfId="15960" priority="2577" operator="lessThan">
      <formula>0</formula>
    </cfRule>
  </conditionalFormatting>
  <conditionalFormatting sqref="R123 R125:R126 R128:R130">
    <cfRule type="cellIs" dxfId="15959" priority="2575" operator="lessThan">
      <formula>0.8</formula>
    </cfRule>
    <cfRule type="cellIs" dxfId="15958" priority="2576" operator="greaterThan">
      <formula>1</formula>
    </cfRule>
  </conditionalFormatting>
  <conditionalFormatting sqref="R123 R125:R126 R128:R130">
    <cfRule type="cellIs" dxfId="15957" priority="2573" operator="greaterThan">
      <formula>1</formula>
    </cfRule>
    <cfRule type="cellIs" dxfId="15956" priority="2574" operator="lessThan">
      <formula>0.8</formula>
    </cfRule>
  </conditionalFormatting>
  <conditionalFormatting sqref="P123 P125:P126 P128:P130">
    <cfRule type="cellIs" dxfId="15955" priority="2572" operator="greaterThan">
      <formula>0</formula>
    </cfRule>
  </conditionalFormatting>
  <conditionalFormatting sqref="Q31">
    <cfRule type="cellIs" dxfId="15954" priority="2571" operator="lessThan">
      <formula>0</formula>
    </cfRule>
  </conditionalFormatting>
  <conditionalFormatting sqref="R31">
    <cfRule type="cellIs" dxfId="15953" priority="2569" operator="lessThan">
      <formula>0.8</formula>
    </cfRule>
    <cfRule type="cellIs" dxfId="15952" priority="2570" operator="greaterThan">
      <formula>1</formula>
    </cfRule>
  </conditionalFormatting>
  <conditionalFormatting sqref="R31">
    <cfRule type="cellIs" dxfId="15951" priority="2567" operator="greaterThan">
      <formula>1</formula>
    </cfRule>
    <cfRule type="cellIs" dxfId="15950" priority="2568" operator="lessThan">
      <formula>0.8</formula>
    </cfRule>
  </conditionalFormatting>
  <conditionalFormatting sqref="P31">
    <cfRule type="cellIs" dxfId="15949" priority="2566" operator="greaterThan">
      <formula>0</formula>
    </cfRule>
  </conditionalFormatting>
  <conditionalFormatting sqref="Q31">
    <cfRule type="cellIs" dxfId="15948" priority="2565" operator="lessThan">
      <formula>0</formula>
    </cfRule>
  </conditionalFormatting>
  <conditionalFormatting sqref="R31">
    <cfRule type="cellIs" dxfId="15947" priority="2563" operator="lessThan">
      <formula>0.8</formula>
    </cfRule>
    <cfRule type="cellIs" dxfId="15946" priority="2564" operator="greaterThan">
      <formula>1</formula>
    </cfRule>
  </conditionalFormatting>
  <conditionalFormatting sqref="R31">
    <cfRule type="cellIs" dxfId="15945" priority="2561" operator="greaterThan">
      <formula>1</formula>
    </cfRule>
    <cfRule type="cellIs" dxfId="15944" priority="2562" operator="lessThan">
      <formula>0.8</formula>
    </cfRule>
  </conditionalFormatting>
  <conditionalFormatting sqref="P31">
    <cfRule type="cellIs" dxfId="15943" priority="2560" operator="greaterThan">
      <formula>0</formula>
    </cfRule>
  </conditionalFormatting>
  <conditionalFormatting sqref="Q31">
    <cfRule type="cellIs" dxfId="15942" priority="2559" operator="lessThan">
      <formula>0</formula>
    </cfRule>
  </conditionalFormatting>
  <conditionalFormatting sqref="R31">
    <cfRule type="cellIs" dxfId="15941" priority="2557" operator="lessThan">
      <formula>0.8</formula>
    </cfRule>
    <cfRule type="cellIs" dxfId="15940" priority="2558" operator="greaterThan">
      <formula>1</formula>
    </cfRule>
  </conditionalFormatting>
  <conditionalFormatting sqref="R31">
    <cfRule type="cellIs" dxfId="15939" priority="2555" operator="greaterThan">
      <formula>1</formula>
    </cfRule>
    <cfRule type="cellIs" dxfId="15938" priority="2556" operator="lessThan">
      <formula>0.8</formula>
    </cfRule>
  </conditionalFormatting>
  <conditionalFormatting sqref="P31">
    <cfRule type="cellIs" dxfId="15937" priority="2554" operator="greaterThan">
      <formula>0</formula>
    </cfRule>
  </conditionalFormatting>
  <conditionalFormatting sqref="Q31">
    <cfRule type="cellIs" dxfId="15936" priority="2553" operator="lessThan">
      <formula>0</formula>
    </cfRule>
  </conditionalFormatting>
  <conditionalFormatting sqref="R31">
    <cfRule type="cellIs" dxfId="15935" priority="2551" operator="lessThan">
      <formula>0.8</formula>
    </cfRule>
    <cfRule type="cellIs" dxfId="15934" priority="2552" operator="greaterThan">
      <formula>1</formula>
    </cfRule>
  </conditionalFormatting>
  <conditionalFormatting sqref="R31">
    <cfRule type="cellIs" dxfId="15933" priority="2549" operator="greaterThan">
      <formula>1</formula>
    </cfRule>
    <cfRule type="cellIs" dxfId="15932" priority="2550" operator="lessThan">
      <formula>0.8</formula>
    </cfRule>
  </conditionalFormatting>
  <conditionalFormatting sqref="P31">
    <cfRule type="cellIs" dxfId="15931" priority="2548" operator="greaterThan">
      <formula>0</formula>
    </cfRule>
  </conditionalFormatting>
  <conditionalFormatting sqref="P31">
    <cfRule type="cellIs" dxfId="15930" priority="2542" operator="greaterThan">
      <formula>0</formula>
    </cfRule>
  </conditionalFormatting>
  <conditionalFormatting sqref="Q31">
    <cfRule type="cellIs" dxfId="15929" priority="2547" operator="lessThan">
      <formula>0</formula>
    </cfRule>
  </conditionalFormatting>
  <conditionalFormatting sqref="R31">
    <cfRule type="cellIs" dxfId="15928" priority="2545" operator="lessThan">
      <formula>0.8</formula>
    </cfRule>
    <cfRule type="cellIs" dxfId="15927" priority="2546" operator="greaterThan">
      <formula>1</formula>
    </cfRule>
  </conditionalFormatting>
  <conditionalFormatting sqref="R31">
    <cfRule type="cellIs" dxfId="15926" priority="2543" operator="greaterThan">
      <formula>1</formula>
    </cfRule>
    <cfRule type="cellIs" dxfId="15925" priority="2544" operator="lessThan">
      <formula>0.8</formula>
    </cfRule>
  </conditionalFormatting>
  <conditionalFormatting sqref="P31">
    <cfRule type="cellIs" dxfId="15924" priority="2536" operator="greaterThan">
      <formula>0</formula>
    </cfRule>
  </conditionalFormatting>
  <conditionalFormatting sqref="Q31">
    <cfRule type="cellIs" dxfId="15923" priority="2541" operator="lessThan">
      <formula>0</formula>
    </cfRule>
  </conditionalFormatting>
  <conditionalFormatting sqref="R31">
    <cfRule type="cellIs" dxfId="15922" priority="2539" operator="lessThan">
      <formula>0.8</formula>
    </cfRule>
    <cfRule type="cellIs" dxfId="15921" priority="2540" operator="greaterThan">
      <formula>1</formula>
    </cfRule>
  </conditionalFormatting>
  <conditionalFormatting sqref="R31">
    <cfRule type="cellIs" dxfId="15920" priority="2537" operator="greaterThan">
      <formula>1</formula>
    </cfRule>
    <cfRule type="cellIs" dxfId="15919" priority="2538" operator="lessThan">
      <formula>0.8</formula>
    </cfRule>
  </conditionalFormatting>
  <conditionalFormatting sqref="R31">
    <cfRule type="cellIs" dxfId="15918" priority="2533" operator="lessThan">
      <formula>0.8</formula>
    </cfRule>
    <cfRule type="cellIs" dxfId="15917" priority="2534" operator="greaterThan">
      <formula>1</formula>
    </cfRule>
  </conditionalFormatting>
  <conditionalFormatting sqref="R31">
    <cfRule type="cellIs" dxfId="15916" priority="2531" operator="greaterThan">
      <formula>1</formula>
    </cfRule>
    <cfRule type="cellIs" dxfId="15915" priority="2532" operator="lessThan">
      <formula>0.8</formula>
    </cfRule>
  </conditionalFormatting>
  <conditionalFormatting sqref="P31">
    <cfRule type="cellIs" dxfId="15914" priority="2530" operator="greaterThan">
      <formula>0</formula>
    </cfRule>
  </conditionalFormatting>
  <conditionalFormatting sqref="Q31">
    <cfRule type="cellIs" dxfId="15913" priority="2535" operator="lessThan">
      <formula>0</formula>
    </cfRule>
  </conditionalFormatting>
  <conditionalFormatting sqref="Q31">
    <cfRule type="cellIs" dxfId="15912" priority="2529" operator="lessThan">
      <formula>0</formula>
    </cfRule>
  </conditionalFormatting>
  <conditionalFormatting sqref="R31">
    <cfRule type="cellIs" dxfId="15911" priority="2527" operator="lessThan">
      <formula>0.8</formula>
    </cfRule>
    <cfRule type="cellIs" dxfId="15910" priority="2528" operator="greaterThan">
      <formula>1</formula>
    </cfRule>
  </conditionalFormatting>
  <conditionalFormatting sqref="R31">
    <cfRule type="cellIs" dxfId="15909" priority="2525" operator="greaterThan">
      <formula>1</formula>
    </cfRule>
    <cfRule type="cellIs" dxfId="15908" priority="2526" operator="lessThan">
      <formula>0.8</formula>
    </cfRule>
  </conditionalFormatting>
  <conditionalFormatting sqref="P31">
    <cfRule type="cellIs" dxfId="15907" priority="2524" operator="greaterThan">
      <formula>0</formula>
    </cfRule>
  </conditionalFormatting>
  <conditionalFormatting sqref="P31">
    <cfRule type="cellIs" dxfId="15906" priority="2518" operator="greaterThan">
      <formula>0</formula>
    </cfRule>
  </conditionalFormatting>
  <conditionalFormatting sqref="Q31">
    <cfRule type="cellIs" dxfId="15905" priority="2523" operator="lessThan">
      <formula>0</formula>
    </cfRule>
  </conditionalFormatting>
  <conditionalFormatting sqref="R31">
    <cfRule type="cellIs" dxfId="15904" priority="2521" operator="lessThan">
      <formula>0.8</formula>
    </cfRule>
    <cfRule type="cellIs" dxfId="15903" priority="2522" operator="greaterThan">
      <formula>1</formula>
    </cfRule>
  </conditionalFormatting>
  <conditionalFormatting sqref="R31">
    <cfRule type="cellIs" dxfId="15902" priority="2519" operator="greaterThan">
      <formula>1</formula>
    </cfRule>
    <cfRule type="cellIs" dxfId="15901" priority="2520" operator="lessThan">
      <formula>0.8</formula>
    </cfRule>
  </conditionalFormatting>
  <conditionalFormatting sqref="P31">
    <cfRule type="cellIs" dxfId="15900" priority="2512" operator="greaterThan">
      <formula>0</formula>
    </cfRule>
  </conditionalFormatting>
  <conditionalFormatting sqref="Q31">
    <cfRule type="cellIs" dxfId="15899" priority="2517" operator="lessThan">
      <formula>0</formula>
    </cfRule>
  </conditionalFormatting>
  <conditionalFormatting sqref="R31">
    <cfRule type="cellIs" dxfId="15898" priority="2515" operator="lessThan">
      <formula>0.8</formula>
    </cfRule>
    <cfRule type="cellIs" dxfId="15897" priority="2516" operator="greaterThan">
      <formula>1</formula>
    </cfRule>
  </conditionalFormatting>
  <conditionalFormatting sqref="R31">
    <cfRule type="cellIs" dxfId="15896" priority="2513" operator="greaterThan">
      <formula>1</formula>
    </cfRule>
    <cfRule type="cellIs" dxfId="15895" priority="2514" operator="lessThan">
      <formula>0.8</formula>
    </cfRule>
  </conditionalFormatting>
  <conditionalFormatting sqref="R31">
    <cfRule type="cellIs" dxfId="15894" priority="2509" operator="lessThan">
      <formula>0.8</formula>
    </cfRule>
    <cfRule type="cellIs" dxfId="15893" priority="2510" operator="greaterThan">
      <formula>1</formula>
    </cfRule>
  </conditionalFormatting>
  <conditionalFormatting sqref="R31">
    <cfRule type="cellIs" dxfId="15892" priority="2507" operator="greaterThan">
      <formula>1</formula>
    </cfRule>
    <cfRule type="cellIs" dxfId="15891" priority="2508" operator="lessThan">
      <formula>0.8</formula>
    </cfRule>
  </conditionalFormatting>
  <conditionalFormatting sqref="P31">
    <cfRule type="cellIs" dxfId="15890" priority="2506" operator="greaterThan">
      <formula>0</formula>
    </cfRule>
  </conditionalFormatting>
  <conditionalFormatting sqref="Q31">
    <cfRule type="cellIs" dxfId="15889" priority="2511" operator="lessThan">
      <formula>0</formula>
    </cfRule>
  </conditionalFormatting>
  <conditionalFormatting sqref="P31">
    <cfRule type="cellIs" dxfId="15888" priority="2500" operator="greaterThan">
      <formula>0</formula>
    </cfRule>
  </conditionalFormatting>
  <conditionalFormatting sqref="Q31">
    <cfRule type="cellIs" dxfId="15887" priority="2505" operator="lessThan">
      <formula>0</formula>
    </cfRule>
  </conditionalFormatting>
  <conditionalFormatting sqref="R31">
    <cfRule type="cellIs" dxfId="15886" priority="2503" operator="lessThan">
      <formula>0.8</formula>
    </cfRule>
    <cfRule type="cellIs" dxfId="15885" priority="2504" operator="greaterThan">
      <formula>1</formula>
    </cfRule>
  </conditionalFormatting>
  <conditionalFormatting sqref="R31">
    <cfRule type="cellIs" dxfId="15884" priority="2501" operator="greaterThan">
      <formula>1</formula>
    </cfRule>
    <cfRule type="cellIs" dxfId="15883" priority="2502" operator="lessThan">
      <formula>0.8</formula>
    </cfRule>
  </conditionalFormatting>
  <conditionalFormatting sqref="R31">
    <cfRule type="cellIs" dxfId="15882" priority="2497" operator="lessThan">
      <formula>0.8</formula>
    </cfRule>
    <cfRule type="cellIs" dxfId="15881" priority="2498" operator="greaterThan">
      <formula>1</formula>
    </cfRule>
  </conditionalFormatting>
  <conditionalFormatting sqref="R31">
    <cfRule type="cellIs" dxfId="15880" priority="2495" operator="greaterThan">
      <formula>1</formula>
    </cfRule>
    <cfRule type="cellIs" dxfId="15879" priority="2496" operator="lessThan">
      <formula>0.8</formula>
    </cfRule>
  </conditionalFormatting>
  <conditionalFormatting sqref="P31">
    <cfRule type="cellIs" dxfId="15878" priority="2494" operator="greaterThan">
      <formula>0</formula>
    </cfRule>
  </conditionalFormatting>
  <conditionalFormatting sqref="Q31">
    <cfRule type="cellIs" dxfId="15877" priority="2499" operator="lessThan">
      <formula>0</formula>
    </cfRule>
  </conditionalFormatting>
  <conditionalFormatting sqref="R31">
    <cfRule type="cellIs" dxfId="15876" priority="2491" operator="lessThan">
      <formula>0.8</formula>
    </cfRule>
    <cfRule type="cellIs" dxfId="15875" priority="2492" operator="greaterThan">
      <formula>1</formula>
    </cfRule>
  </conditionalFormatting>
  <conditionalFormatting sqref="R31">
    <cfRule type="cellIs" dxfId="15874" priority="2489" operator="greaterThan">
      <formula>1</formula>
    </cfRule>
    <cfRule type="cellIs" dxfId="15873" priority="2490" operator="lessThan">
      <formula>0.8</formula>
    </cfRule>
  </conditionalFormatting>
  <conditionalFormatting sqref="P31">
    <cfRule type="cellIs" dxfId="15872" priority="2488" operator="greaterThan">
      <formula>0</formula>
    </cfRule>
  </conditionalFormatting>
  <conditionalFormatting sqref="Q31">
    <cfRule type="cellIs" dxfId="15871" priority="2493" operator="lessThan">
      <formula>0</formula>
    </cfRule>
  </conditionalFormatting>
  <conditionalFormatting sqref="Q31">
    <cfRule type="cellIs" dxfId="15870" priority="2487" operator="lessThan">
      <formula>0</formula>
    </cfRule>
  </conditionalFormatting>
  <conditionalFormatting sqref="R31">
    <cfRule type="cellIs" dxfId="15869" priority="2485" operator="lessThan">
      <formula>0.8</formula>
    </cfRule>
    <cfRule type="cellIs" dxfId="15868" priority="2486" operator="greaterThan">
      <formula>1</formula>
    </cfRule>
  </conditionalFormatting>
  <conditionalFormatting sqref="R31">
    <cfRule type="cellIs" dxfId="15867" priority="2483" operator="greaterThan">
      <formula>1</formula>
    </cfRule>
    <cfRule type="cellIs" dxfId="15866" priority="2484" operator="lessThan">
      <formula>0.8</formula>
    </cfRule>
  </conditionalFormatting>
  <conditionalFormatting sqref="P31">
    <cfRule type="cellIs" dxfId="15865" priority="2482" operator="greaterThan">
      <formula>0</formula>
    </cfRule>
  </conditionalFormatting>
  <conditionalFormatting sqref="Q31">
    <cfRule type="cellIs" dxfId="15864" priority="2476" operator="lessThan">
      <formula>0</formula>
    </cfRule>
  </conditionalFormatting>
  <conditionalFormatting sqref="R31">
    <cfRule type="cellIs" dxfId="15863" priority="2480" operator="lessThan">
      <formula>0.8</formula>
    </cfRule>
    <cfRule type="cellIs" dxfId="15862" priority="2481" operator="greaterThan">
      <formula>1</formula>
    </cfRule>
  </conditionalFormatting>
  <conditionalFormatting sqref="R31">
    <cfRule type="cellIs" dxfId="15861" priority="2478" operator="greaterThan">
      <formula>1</formula>
    </cfRule>
    <cfRule type="cellIs" dxfId="15860" priority="2479" operator="lessThan">
      <formula>0.8</formula>
    </cfRule>
  </conditionalFormatting>
  <conditionalFormatting sqref="P31">
    <cfRule type="cellIs" dxfId="15859" priority="2477" operator="greaterThan">
      <formula>0</formula>
    </cfRule>
  </conditionalFormatting>
  <conditionalFormatting sqref="Q31">
    <cfRule type="cellIs" dxfId="15858" priority="2475" operator="lessThan">
      <formula>0</formula>
    </cfRule>
  </conditionalFormatting>
  <conditionalFormatting sqref="R31">
    <cfRule type="cellIs" dxfId="15857" priority="2473" operator="lessThan">
      <formula>0.8</formula>
    </cfRule>
    <cfRule type="cellIs" dxfId="15856" priority="2474" operator="greaterThan">
      <formula>1</formula>
    </cfRule>
  </conditionalFormatting>
  <conditionalFormatting sqref="R31">
    <cfRule type="cellIs" dxfId="15855" priority="2471" operator="greaterThan">
      <formula>1</formula>
    </cfRule>
    <cfRule type="cellIs" dxfId="15854" priority="2472" operator="lessThan">
      <formula>0.8</formula>
    </cfRule>
  </conditionalFormatting>
  <conditionalFormatting sqref="P31">
    <cfRule type="cellIs" dxfId="15853" priority="2470" operator="greaterThan">
      <formula>0</formula>
    </cfRule>
  </conditionalFormatting>
  <conditionalFormatting sqref="Q31">
    <cfRule type="cellIs" dxfId="15852" priority="2469" operator="lessThan">
      <formula>0</formula>
    </cfRule>
  </conditionalFormatting>
  <conditionalFormatting sqref="R31">
    <cfRule type="cellIs" dxfId="15851" priority="2467" operator="lessThan">
      <formula>0.8</formula>
    </cfRule>
    <cfRule type="cellIs" dxfId="15850" priority="2468" operator="greaterThan">
      <formula>1</formula>
    </cfRule>
  </conditionalFormatting>
  <conditionalFormatting sqref="R31">
    <cfRule type="cellIs" dxfId="15849" priority="2465" operator="greaterThan">
      <formula>1</formula>
    </cfRule>
    <cfRule type="cellIs" dxfId="15848" priority="2466" operator="lessThan">
      <formula>0.8</formula>
    </cfRule>
  </conditionalFormatting>
  <conditionalFormatting sqref="P31">
    <cfRule type="cellIs" dxfId="15847" priority="2464" operator="greaterThan">
      <formula>0</formula>
    </cfRule>
  </conditionalFormatting>
  <conditionalFormatting sqref="Q31">
    <cfRule type="cellIs" dxfId="15846" priority="2463" operator="lessThan">
      <formula>0</formula>
    </cfRule>
  </conditionalFormatting>
  <conditionalFormatting sqref="R31">
    <cfRule type="cellIs" dxfId="15845" priority="2461" operator="lessThan">
      <formula>0.8</formula>
    </cfRule>
    <cfRule type="cellIs" dxfId="15844" priority="2462" operator="greaterThan">
      <formula>1</formula>
    </cfRule>
  </conditionalFormatting>
  <conditionalFormatting sqref="R31">
    <cfRule type="cellIs" dxfId="15843" priority="2459" operator="greaterThan">
      <formula>1</formula>
    </cfRule>
    <cfRule type="cellIs" dxfId="15842" priority="2460" operator="lessThan">
      <formula>0.8</formula>
    </cfRule>
  </conditionalFormatting>
  <conditionalFormatting sqref="P31">
    <cfRule type="cellIs" dxfId="15841" priority="2458" operator="greaterThan">
      <formula>0</formula>
    </cfRule>
  </conditionalFormatting>
  <conditionalFormatting sqref="Q31">
    <cfRule type="cellIs" dxfId="15840" priority="2457" operator="lessThan">
      <formula>0</formula>
    </cfRule>
  </conditionalFormatting>
  <conditionalFormatting sqref="R31">
    <cfRule type="cellIs" dxfId="15839" priority="2455" operator="lessThan">
      <formula>0.8</formula>
    </cfRule>
    <cfRule type="cellIs" dxfId="15838" priority="2456" operator="greaterThan">
      <formula>1</formula>
    </cfRule>
  </conditionalFormatting>
  <conditionalFormatting sqref="R31">
    <cfRule type="cellIs" dxfId="15837" priority="2453" operator="greaterThan">
      <formula>1</formula>
    </cfRule>
    <cfRule type="cellIs" dxfId="15836" priority="2454" operator="lessThan">
      <formula>0.8</formula>
    </cfRule>
  </conditionalFormatting>
  <conditionalFormatting sqref="P31">
    <cfRule type="cellIs" dxfId="15835" priority="2452" operator="greaterThan">
      <formula>0</formula>
    </cfRule>
  </conditionalFormatting>
  <conditionalFormatting sqref="Q31">
    <cfRule type="cellIs" dxfId="15834" priority="2451" operator="lessThan">
      <formula>0</formula>
    </cfRule>
  </conditionalFormatting>
  <conditionalFormatting sqref="R31">
    <cfRule type="cellIs" dxfId="15833" priority="2449" operator="lessThan">
      <formula>0.8</formula>
    </cfRule>
    <cfRule type="cellIs" dxfId="15832" priority="2450" operator="greaterThan">
      <formula>1</formula>
    </cfRule>
  </conditionalFormatting>
  <conditionalFormatting sqref="R31">
    <cfRule type="cellIs" dxfId="15831" priority="2447" operator="greaterThan">
      <formula>1</formula>
    </cfRule>
    <cfRule type="cellIs" dxfId="15830" priority="2448" operator="lessThan">
      <formula>0.8</formula>
    </cfRule>
  </conditionalFormatting>
  <conditionalFormatting sqref="P31">
    <cfRule type="cellIs" dxfId="15829" priority="2446" operator="greaterThan">
      <formula>0</formula>
    </cfRule>
  </conditionalFormatting>
  <conditionalFormatting sqref="P31">
    <cfRule type="cellIs" dxfId="15828" priority="2440" operator="greaterThan">
      <formula>0</formula>
    </cfRule>
  </conditionalFormatting>
  <conditionalFormatting sqref="Q31">
    <cfRule type="cellIs" dxfId="15827" priority="2445" operator="lessThan">
      <formula>0</formula>
    </cfRule>
  </conditionalFormatting>
  <conditionalFormatting sqref="R31">
    <cfRule type="cellIs" dxfId="15826" priority="2443" operator="lessThan">
      <formula>0.8</formula>
    </cfRule>
    <cfRule type="cellIs" dxfId="15825" priority="2444" operator="greaterThan">
      <formula>1</formula>
    </cfRule>
  </conditionalFormatting>
  <conditionalFormatting sqref="R31">
    <cfRule type="cellIs" dxfId="15824" priority="2441" operator="greaterThan">
      <formula>1</formula>
    </cfRule>
    <cfRule type="cellIs" dxfId="15823" priority="2442" operator="lessThan">
      <formula>0.8</formula>
    </cfRule>
  </conditionalFormatting>
  <conditionalFormatting sqref="P31">
    <cfRule type="cellIs" dxfId="15822" priority="2434" operator="greaterThan">
      <formula>0</formula>
    </cfRule>
  </conditionalFormatting>
  <conditionalFormatting sqref="Q31">
    <cfRule type="cellIs" dxfId="15821" priority="2439" operator="lessThan">
      <formula>0</formula>
    </cfRule>
  </conditionalFormatting>
  <conditionalFormatting sqref="R31">
    <cfRule type="cellIs" dxfId="15820" priority="2437" operator="lessThan">
      <formula>0.8</formula>
    </cfRule>
    <cfRule type="cellIs" dxfId="15819" priority="2438" operator="greaterThan">
      <formula>1</formula>
    </cfRule>
  </conditionalFormatting>
  <conditionalFormatting sqref="R31">
    <cfRule type="cellIs" dxfId="15818" priority="2435" operator="greaterThan">
      <formula>1</formula>
    </cfRule>
    <cfRule type="cellIs" dxfId="15817" priority="2436" operator="lessThan">
      <formula>0.8</formula>
    </cfRule>
  </conditionalFormatting>
  <conditionalFormatting sqref="R31">
    <cfRule type="cellIs" dxfId="15816" priority="2431" operator="lessThan">
      <formula>0.8</formula>
    </cfRule>
    <cfRule type="cellIs" dxfId="15815" priority="2432" operator="greaterThan">
      <formula>1</formula>
    </cfRule>
  </conditionalFormatting>
  <conditionalFormatting sqref="R31">
    <cfRule type="cellIs" dxfId="15814" priority="2429" operator="greaterThan">
      <formula>1</formula>
    </cfRule>
    <cfRule type="cellIs" dxfId="15813" priority="2430" operator="lessThan">
      <formula>0.8</formula>
    </cfRule>
  </conditionalFormatting>
  <conditionalFormatting sqref="P31">
    <cfRule type="cellIs" dxfId="15812" priority="2428" operator="greaterThan">
      <formula>0</formula>
    </cfRule>
  </conditionalFormatting>
  <conditionalFormatting sqref="Q31">
    <cfRule type="cellIs" dxfId="15811" priority="2433" operator="lessThan">
      <formula>0</formula>
    </cfRule>
  </conditionalFormatting>
  <conditionalFormatting sqref="Q31">
    <cfRule type="cellIs" dxfId="15810" priority="2427" operator="lessThan">
      <formula>0</formula>
    </cfRule>
  </conditionalFormatting>
  <conditionalFormatting sqref="R31">
    <cfRule type="cellIs" dxfId="15809" priority="2425" operator="lessThan">
      <formula>0.8</formula>
    </cfRule>
    <cfRule type="cellIs" dxfId="15808" priority="2426" operator="greaterThan">
      <formula>1</formula>
    </cfRule>
  </conditionalFormatting>
  <conditionalFormatting sqref="R31">
    <cfRule type="cellIs" dxfId="15807" priority="2423" operator="greaterThan">
      <formula>1</formula>
    </cfRule>
    <cfRule type="cellIs" dxfId="15806" priority="2424" operator="lessThan">
      <formula>0.8</formula>
    </cfRule>
  </conditionalFormatting>
  <conditionalFormatting sqref="P31">
    <cfRule type="cellIs" dxfId="15805" priority="2422" operator="greaterThan">
      <formula>0</formula>
    </cfRule>
  </conditionalFormatting>
  <conditionalFormatting sqref="Q31">
    <cfRule type="cellIs" dxfId="15804" priority="2421" operator="lessThan">
      <formula>0</formula>
    </cfRule>
  </conditionalFormatting>
  <conditionalFormatting sqref="R31">
    <cfRule type="cellIs" dxfId="15803" priority="2419" operator="lessThan">
      <formula>0.8</formula>
    </cfRule>
    <cfRule type="cellIs" dxfId="15802" priority="2420" operator="greaterThan">
      <formula>1</formula>
    </cfRule>
  </conditionalFormatting>
  <conditionalFormatting sqref="R31">
    <cfRule type="cellIs" dxfId="15801" priority="2417" operator="greaterThan">
      <formula>1</formula>
    </cfRule>
    <cfRule type="cellIs" dxfId="15800" priority="2418" operator="lessThan">
      <formula>0.8</formula>
    </cfRule>
  </conditionalFormatting>
  <conditionalFormatting sqref="P31">
    <cfRule type="cellIs" dxfId="15799" priority="2416" operator="greaterThan">
      <formula>0</formula>
    </cfRule>
  </conditionalFormatting>
  <conditionalFormatting sqref="Q31">
    <cfRule type="cellIs" dxfId="15798" priority="2415" operator="lessThan">
      <formula>0</formula>
    </cfRule>
  </conditionalFormatting>
  <conditionalFormatting sqref="R31">
    <cfRule type="cellIs" dxfId="15797" priority="2413" operator="lessThan">
      <formula>0.8</formula>
    </cfRule>
    <cfRule type="cellIs" dxfId="15796" priority="2414" operator="greaterThan">
      <formula>1</formula>
    </cfRule>
  </conditionalFormatting>
  <conditionalFormatting sqref="R31">
    <cfRule type="cellIs" dxfId="15795" priority="2411" operator="greaterThan">
      <formula>1</formula>
    </cfRule>
    <cfRule type="cellIs" dxfId="15794" priority="2412" operator="lessThan">
      <formula>0.8</formula>
    </cfRule>
  </conditionalFormatting>
  <conditionalFormatting sqref="P31">
    <cfRule type="cellIs" dxfId="15793" priority="2410" operator="greaterThan">
      <formula>0</formula>
    </cfRule>
  </conditionalFormatting>
  <conditionalFormatting sqref="Q31">
    <cfRule type="cellIs" dxfId="15792" priority="2409" operator="lessThan">
      <formula>0</formula>
    </cfRule>
  </conditionalFormatting>
  <conditionalFormatting sqref="R31">
    <cfRule type="cellIs" dxfId="15791" priority="2407" operator="lessThan">
      <formula>0.8</formula>
    </cfRule>
    <cfRule type="cellIs" dxfId="15790" priority="2408" operator="greaterThan">
      <formula>1</formula>
    </cfRule>
  </conditionalFormatting>
  <conditionalFormatting sqref="R31">
    <cfRule type="cellIs" dxfId="15789" priority="2405" operator="greaterThan">
      <formula>1</formula>
    </cfRule>
    <cfRule type="cellIs" dxfId="15788" priority="2406" operator="lessThan">
      <formula>0.8</formula>
    </cfRule>
  </conditionalFormatting>
  <conditionalFormatting sqref="P31">
    <cfRule type="cellIs" dxfId="15787" priority="2404" operator="greaterThan">
      <formula>0</formula>
    </cfRule>
  </conditionalFormatting>
  <conditionalFormatting sqref="P31">
    <cfRule type="cellIs" dxfId="15786" priority="2398" operator="greaterThan">
      <formula>0</formula>
    </cfRule>
  </conditionalFormatting>
  <conditionalFormatting sqref="Q31">
    <cfRule type="cellIs" dxfId="15785" priority="2403" operator="lessThan">
      <formula>0</formula>
    </cfRule>
  </conditionalFormatting>
  <conditionalFormatting sqref="R31">
    <cfRule type="cellIs" dxfId="15784" priority="2401" operator="lessThan">
      <formula>0.8</formula>
    </cfRule>
    <cfRule type="cellIs" dxfId="15783" priority="2402" operator="greaterThan">
      <formula>1</formula>
    </cfRule>
  </conditionalFormatting>
  <conditionalFormatting sqref="R31">
    <cfRule type="cellIs" dxfId="15782" priority="2399" operator="greaterThan">
      <formula>1</formula>
    </cfRule>
    <cfRule type="cellIs" dxfId="15781" priority="2400" operator="lessThan">
      <formula>0.8</formula>
    </cfRule>
  </conditionalFormatting>
  <conditionalFormatting sqref="P31">
    <cfRule type="cellIs" dxfId="15780" priority="2392" operator="greaterThan">
      <formula>0</formula>
    </cfRule>
  </conditionalFormatting>
  <conditionalFormatting sqref="Q31">
    <cfRule type="cellIs" dxfId="15779" priority="2397" operator="lessThan">
      <formula>0</formula>
    </cfRule>
  </conditionalFormatting>
  <conditionalFormatting sqref="R31">
    <cfRule type="cellIs" dxfId="15778" priority="2395" operator="lessThan">
      <formula>0.8</formula>
    </cfRule>
    <cfRule type="cellIs" dxfId="15777" priority="2396" operator="greaterThan">
      <formula>1</formula>
    </cfRule>
  </conditionalFormatting>
  <conditionalFormatting sqref="R31">
    <cfRule type="cellIs" dxfId="15776" priority="2393" operator="greaterThan">
      <formula>1</formula>
    </cfRule>
    <cfRule type="cellIs" dxfId="15775" priority="2394" operator="lessThan">
      <formula>0.8</formula>
    </cfRule>
  </conditionalFormatting>
  <conditionalFormatting sqref="R31">
    <cfRule type="cellIs" dxfId="15774" priority="2389" operator="lessThan">
      <formula>0.8</formula>
    </cfRule>
    <cfRule type="cellIs" dxfId="15773" priority="2390" operator="greaterThan">
      <formula>1</formula>
    </cfRule>
  </conditionalFormatting>
  <conditionalFormatting sqref="R31">
    <cfRule type="cellIs" dxfId="15772" priority="2387" operator="greaterThan">
      <formula>1</formula>
    </cfRule>
    <cfRule type="cellIs" dxfId="15771" priority="2388" operator="lessThan">
      <formula>0.8</formula>
    </cfRule>
  </conditionalFormatting>
  <conditionalFormatting sqref="P31">
    <cfRule type="cellIs" dxfId="15770" priority="2386" operator="greaterThan">
      <formula>0</formula>
    </cfRule>
  </conditionalFormatting>
  <conditionalFormatting sqref="Q31">
    <cfRule type="cellIs" dxfId="15769" priority="2391" operator="lessThan">
      <formula>0</formula>
    </cfRule>
  </conditionalFormatting>
  <conditionalFormatting sqref="Q31">
    <cfRule type="cellIs" dxfId="15768" priority="2385" operator="lessThan">
      <formula>0</formula>
    </cfRule>
  </conditionalFormatting>
  <conditionalFormatting sqref="R31">
    <cfRule type="cellIs" dxfId="15767" priority="2383" operator="lessThan">
      <formula>0.8</formula>
    </cfRule>
    <cfRule type="cellIs" dxfId="15766" priority="2384" operator="greaterThan">
      <formula>1</formula>
    </cfRule>
  </conditionalFormatting>
  <conditionalFormatting sqref="R31">
    <cfRule type="cellIs" dxfId="15765" priority="2381" operator="greaterThan">
      <formula>1</formula>
    </cfRule>
    <cfRule type="cellIs" dxfId="15764" priority="2382" operator="lessThan">
      <formula>0.8</formula>
    </cfRule>
  </conditionalFormatting>
  <conditionalFormatting sqref="P31">
    <cfRule type="cellIs" dxfId="15763" priority="2380" operator="greaterThan">
      <formula>0</formula>
    </cfRule>
  </conditionalFormatting>
  <conditionalFormatting sqref="P31">
    <cfRule type="cellIs" dxfId="15762" priority="2374" operator="greaterThan">
      <formula>0</formula>
    </cfRule>
  </conditionalFormatting>
  <conditionalFormatting sqref="Q31">
    <cfRule type="cellIs" dxfId="15761" priority="2379" operator="lessThan">
      <formula>0</formula>
    </cfRule>
  </conditionalFormatting>
  <conditionalFormatting sqref="R31">
    <cfRule type="cellIs" dxfId="15760" priority="2377" operator="lessThan">
      <formula>0.8</formula>
    </cfRule>
    <cfRule type="cellIs" dxfId="15759" priority="2378" operator="greaterThan">
      <formula>1</formula>
    </cfRule>
  </conditionalFormatting>
  <conditionalFormatting sqref="R31">
    <cfRule type="cellIs" dxfId="15758" priority="2375" operator="greaterThan">
      <formula>1</formula>
    </cfRule>
    <cfRule type="cellIs" dxfId="15757" priority="2376" operator="lessThan">
      <formula>0.8</formula>
    </cfRule>
  </conditionalFormatting>
  <conditionalFormatting sqref="P31">
    <cfRule type="cellIs" dxfId="15756" priority="2368" operator="greaterThan">
      <formula>0</formula>
    </cfRule>
  </conditionalFormatting>
  <conditionalFormatting sqref="Q31">
    <cfRule type="cellIs" dxfId="15755" priority="2373" operator="lessThan">
      <formula>0</formula>
    </cfRule>
  </conditionalFormatting>
  <conditionalFormatting sqref="R31">
    <cfRule type="cellIs" dxfId="15754" priority="2371" operator="lessThan">
      <formula>0.8</formula>
    </cfRule>
    <cfRule type="cellIs" dxfId="15753" priority="2372" operator="greaterThan">
      <formula>1</formula>
    </cfRule>
  </conditionalFormatting>
  <conditionalFormatting sqref="R31">
    <cfRule type="cellIs" dxfId="15752" priority="2369" operator="greaterThan">
      <formula>1</formula>
    </cfRule>
    <cfRule type="cellIs" dxfId="15751" priority="2370" operator="lessThan">
      <formula>0.8</formula>
    </cfRule>
  </conditionalFormatting>
  <conditionalFormatting sqref="R31">
    <cfRule type="cellIs" dxfId="15750" priority="2365" operator="lessThan">
      <formula>0.8</formula>
    </cfRule>
    <cfRule type="cellIs" dxfId="15749" priority="2366" operator="greaterThan">
      <formula>1</formula>
    </cfRule>
  </conditionalFormatting>
  <conditionalFormatting sqref="R31">
    <cfRule type="cellIs" dxfId="15748" priority="2363" operator="greaterThan">
      <formula>1</formula>
    </cfRule>
    <cfRule type="cellIs" dxfId="15747" priority="2364" operator="lessThan">
      <formula>0.8</formula>
    </cfRule>
  </conditionalFormatting>
  <conditionalFormatting sqref="P31">
    <cfRule type="cellIs" dxfId="15746" priority="2362" operator="greaterThan">
      <formula>0</formula>
    </cfRule>
  </conditionalFormatting>
  <conditionalFormatting sqref="Q31">
    <cfRule type="cellIs" dxfId="15745" priority="2367" operator="lessThan">
      <formula>0</formula>
    </cfRule>
  </conditionalFormatting>
  <conditionalFormatting sqref="P31">
    <cfRule type="cellIs" dxfId="15744" priority="2356" operator="greaterThan">
      <formula>0</formula>
    </cfRule>
  </conditionalFormatting>
  <conditionalFormatting sqref="Q31">
    <cfRule type="cellIs" dxfId="15743" priority="2361" operator="lessThan">
      <formula>0</formula>
    </cfRule>
  </conditionalFormatting>
  <conditionalFormatting sqref="R31">
    <cfRule type="cellIs" dxfId="15742" priority="2359" operator="lessThan">
      <formula>0.8</formula>
    </cfRule>
    <cfRule type="cellIs" dxfId="15741" priority="2360" operator="greaterThan">
      <formula>1</formula>
    </cfRule>
  </conditionalFormatting>
  <conditionalFormatting sqref="R31">
    <cfRule type="cellIs" dxfId="15740" priority="2357" operator="greaterThan">
      <formula>1</formula>
    </cfRule>
    <cfRule type="cellIs" dxfId="15739" priority="2358" operator="lessThan">
      <formula>0.8</formula>
    </cfRule>
  </conditionalFormatting>
  <conditionalFormatting sqref="R31">
    <cfRule type="cellIs" dxfId="15738" priority="2353" operator="lessThan">
      <formula>0.8</formula>
    </cfRule>
    <cfRule type="cellIs" dxfId="15737" priority="2354" operator="greaterThan">
      <formula>1</formula>
    </cfRule>
  </conditionalFormatting>
  <conditionalFormatting sqref="R31">
    <cfRule type="cellIs" dxfId="15736" priority="2351" operator="greaterThan">
      <formula>1</formula>
    </cfRule>
    <cfRule type="cellIs" dxfId="15735" priority="2352" operator="lessThan">
      <formula>0.8</formula>
    </cfRule>
  </conditionalFormatting>
  <conditionalFormatting sqref="P31">
    <cfRule type="cellIs" dxfId="15734" priority="2350" operator="greaterThan">
      <formula>0</formula>
    </cfRule>
  </conditionalFormatting>
  <conditionalFormatting sqref="Q31">
    <cfRule type="cellIs" dxfId="15733" priority="2355" operator="lessThan">
      <formula>0</formula>
    </cfRule>
  </conditionalFormatting>
  <conditionalFormatting sqref="R31">
    <cfRule type="cellIs" dxfId="15732" priority="2347" operator="lessThan">
      <formula>0.8</formula>
    </cfRule>
    <cfRule type="cellIs" dxfId="15731" priority="2348" operator="greaterThan">
      <formula>1</formula>
    </cfRule>
  </conditionalFormatting>
  <conditionalFormatting sqref="R31">
    <cfRule type="cellIs" dxfId="15730" priority="2345" operator="greaterThan">
      <formula>1</formula>
    </cfRule>
    <cfRule type="cellIs" dxfId="15729" priority="2346" operator="lessThan">
      <formula>0.8</formula>
    </cfRule>
  </conditionalFormatting>
  <conditionalFormatting sqref="P31">
    <cfRule type="cellIs" dxfId="15728" priority="2344" operator="greaterThan">
      <formula>0</formula>
    </cfRule>
  </conditionalFormatting>
  <conditionalFormatting sqref="Q31">
    <cfRule type="cellIs" dxfId="15727" priority="2349" operator="lessThan">
      <formula>0</formula>
    </cfRule>
  </conditionalFormatting>
  <conditionalFormatting sqref="Q31">
    <cfRule type="cellIs" dxfId="15726" priority="2343" operator="lessThan">
      <formula>0</formula>
    </cfRule>
  </conditionalFormatting>
  <conditionalFormatting sqref="R31">
    <cfRule type="cellIs" dxfId="15725" priority="2341" operator="lessThan">
      <formula>0.8</formula>
    </cfRule>
    <cfRule type="cellIs" dxfId="15724" priority="2342" operator="greaterThan">
      <formula>1</formula>
    </cfRule>
  </conditionalFormatting>
  <conditionalFormatting sqref="R31">
    <cfRule type="cellIs" dxfId="15723" priority="2339" operator="greaterThan">
      <formula>1</formula>
    </cfRule>
    <cfRule type="cellIs" dxfId="15722" priority="2340" operator="lessThan">
      <formula>0.8</formula>
    </cfRule>
  </conditionalFormatting>
  <conditionalFormatting sqref="P31">
    <cfRule type="cellIs" dxfId="15721" priority="2338" operator="greaterThan">
      <formula>0</formula>
    </cfRule>
  </conditionalFormatting>
  <conditionalFormatting sqref="Q31">
    <cfRule type="cellIs" dxfId="15720" priority="2332" operator="lessThan">
      <formula>0</formula>
    </cfRule>
  </conditionalFormatting>
  <conditionalFormatting sqref="R31">
    <cfRule type="cellIs" dxfId="15719" priority="2336" operator="lessThan">
      <formula>0.8</formula>
    </cfRule>
    <cfRule type="cellIs" dxfId="15718" priority="2337" operator="greaterThan">
      <formula>1</formula>
    </cfRule>
  </conditionalFormatting>
  <conditionalFormatting sqref="R31">
    <cfRule type="cellIs" dxfId="15717" priority="2334" operator="greaterThan">
      <formula>1</formula>
    </cfRule>
    <cfRule type="cellIs" dxfId="15716" priority="2335" operator="lessThan">
      <formula>0.8</formula>
    </cfRule>
  </conditionalFormatting>
  <conditionalFormatting sqref="P31">
    <cfRule type="cellIs" dxfId="15715" priority="2333" operator="greaterThan">
      <formula>0</formula>
    </cfRule>
  </conditionalFormatting>
  <conditionalFormatting sqref="Q31">
    <cfRule type="cellIs" dxfId="15714" priority="2331" operator="lessThan">
      <formula>0</formula>
    </cfRule>
  </conditionalFormatting>
  <conditionalFormatting sqref="R31">
    <cfRule type="cellIs" dxfId="15713" priority="2329" operator="lessThan">
      <formula>0.8</formula>
    </cfRule>
    <cfRule type="cellIs" dxfId="15712" priority="2330" operator="greaterThan">
      <formula>1</formula>
    </cfRule>
  </conditionalFormatting>
  <conditionalFormatting sqref="R31">
    <cfRule type="cellIs" dxfId="15711" priority="2327" operator="greaterThan">
      <formula>1</formula>
    </cfRule>
    <cfRule type="cellIs" dxfId="15710" priority="2328" operator="lessThan">
      <formula>0.8</formula>
    </cfRule>
  </conditionalFormatting>
  <conditionalFormatting sqref="P31">
    <cfRule type="cellIs" dxfId="15709" priority="2326" operator="greaterThan">
      <formula>0</formula>
    </cfRule>
  </conditionalFormatting>
  <conditionalFormatting sqref="Q31">
    <cfRule type="cellIs" dxfId="15708" priority="2325" operator="lessThan">
      <formula>0</formula>
    </cfRule>
  </conditionalFormatting>
  <conditionalFormatting sqref="R31">
    <cfRule type="cellIs" dxfId="15707" priority="2323" operator="lessThan">
      <formula>0.8</formula>
    </cfRule>
    <cfRule type="cellIs" dxfId="15706" priority="2324" operator="greaterThan">
      <formula>1</formula>
    </cfRule>
  </conditionalFormatting>
  <conditionalFormatting sqref="R31">
    <cfRule type="cellIs" dxfId="15705" priority="2321" operator="greaterThan">
      <formula>1</formula>
    </cfRule>
    <cfRule type="cellIs" dxfId="15704" priority="2322" operator="lessThan">
      <formula>0.8</formula>
    </cfRule>
  </conditionalFormatting>
  <conditionalFormatting sqref="P31">
    <cfRule type="cellIs" dxfId="15703" priority="2320" operator="greaterThan">
      <formula>0</formula>
    </cfRule>
  </conditionalFormatting>
  <conditionalFormatting sqref="Q31">
    <cfRule type="cellIs" dxfId="15702" priority="2319" operator="lessThan">
      <formula>0</formula>
    </cfRule>
  </conditionalFormatting>
  <conditionalFormatting sqref="R31">
    <cfRule type="cellIs" dxfId="15701" priority="2317" operator="lessThan">
      <formula>0.8</formula>
    </cfRule>
    <cfRule type="cellIs" dxfId="15700" priority="2318" operator="greaterThan">
      <formula>1</formula>
    </cfRule>
  </conditionalFormatting>
  <conditionalFormatting sqref="R31">
    <cfRule type="cellIs" dxfId="15699" priority="2315" operator="greaterThan">
      <formula>1</formula>
    </cfRule>
    <cfRule type="cellIs" dxfId="15698" priority="2316" operator="lessThan">
      <formula>0.8</formula>
    </cfRule>
  </conditionalFormatting>
  <conditionalFormatting sqref="P31">
    <cfRule type="cellIs" dxfId="15697" priority="2314" operator="greaterThan">
      <formula>0</formula>
    </cfRule>
  </conditionalFormatting>
  <conditionalFormatting sqref="Q31">
    <cfRule type="cellIs" dxfId="15696" priority="2313" operator="lessThan">
      <formula>0</formula>
    </cfRule>
  </conditionalFormatting>
  <conditionalFormatting sqref="R31">
    <cfRule type="cellIs" dxfId="15695" priority="2311" operator="lessThan">
      <formula>0.8</formula>
    </cfRule>
    <cfRule type="cellIs" dxfId="15694" priority="2312" operator="greaterThan">
      <formula>1</formula>
    </cfRule>
  </conditionalFormatting>
  <conditionalFormatting sqref="R31">
    <cfRule type="cellIs" dxfId="15693" priority="2309" operator="greaterThan">
      <formula>1</formula>
    </cfRule>
    <cfRule type="cellIs" dxfId="15692" priority="2310" operator="lessThan">
      <formula>0.8</formula>
    </cfRule>
  </conditionalFormatting>
  <conditionalFormatting sqref="P31">
    <cfRule type="cellIs" dxfId="15691" priority="2308" operator="greaterThan">
      <formula>0</formula>
    </cfRule>
  </conditionalFormatting>
  <conditionalFormatting sqref="Q31">
    <cfRule type="cellIs" dxfId="15690" priority="2307" operator="lessThan">
      <formula>0</formula>
    </cfRule>
  </conditionalFormatting>
  <conditionalFormatting sqref="R31">
    <cfRule type="cellIs" dxfId="15689" priority="2305" operator="lessThan">
      <formula>0.8</formula>
    </cfRule>
    <cfRule type="cellIs" dxfId="15688" priority="2306" operator="greaterThan">
      <formula>1</formula>
    </cfRule>
  </conditionalFormatting>
  <conditionalFormatting sqref="R31">
    <cfRule type="cellIs" dxfId="15687" priority="2303" operator="greaterThan">
      <formula>1</formula>
    </cfRule>
    <cfRule type="cellIs" dxfId="15686" priority="2304" operator="lessThan">
      <formula>0.8</formula>
    </cfRule>
  </conditionalFormatting>
  <conditionalFormatting sqref="P31">
    <cfRule type="cellIs" dxfId="15685" priority="2302" operator="greaterThan">
      <formula>0</formula>
    </cfRule>
  </conditionalFormatting>
  <conditionalFormatting sqref="P31">
    <cfRule type="cellIs" dxfId="15684" priority="2296" operator="greaterThan">
      <formula>0</formula>
    </cfRule>
  </conditionalFormatting>
  <conditionalFormatting sqref="Q31">
    <cfRule type="cellIs" dxfId="15683" priority="2301" operator="lessThan">
      <formula>0</formula>
    </cfRule>
  </conditionalFormatting>
  <conditionalFormatting sqref="R31">
    <cfRule type="cellIs" dxfId="15682" priority="2299" operator="lessThan">
      <formula>0.8</formula>
    </cfRule>
    <cfRule type="cellIs" dxfId="15681" priority="2300" operator="greaterThan">
      <formula>1</formula>
    </cfRule>
  </conditionalFormatting>
  <conditionalFormatting sqref="R31">
    <cfRule type="cellIs" dxfId="15680" priority="2297" operator="greaterThan">
      <formula>1</formula>
    </cfRule>
    <cfRule type="cellIs" dxfId="15679" priority="2298" operator="lessThan">
      <formula>0.8</formula>
    </cfRule>
  </conditionalFormatting>
  <conditionalFormatting sqref="P31">
    <cfRule type="cellIs" dxfId="15678" priority="2290" operator="greaterThan">
      <formula>0</formula>
    </cfRule>
  </conditionalFormatting>
  <conditionalFormatting sqref="Q31">
    <cfRule type="cellIs" dxfId="15677" priority="2295" operator="lessThan">
      <formula>0</formula>
    </cfRule>
  </conditionalFormatting>
  <conditionalFormatting sqref="R31">
    <cfRule type="cellIs" dxfId="15676" priority="2293" operator="lessThan">
      <formula>0.8</formula>
    </cfRule>
    <cfRule type="cellIs" dxfId="15675" priority="2294" operator="greaterThan">
      <formula>1</formula>
    </cfRule>
  </conditionalFormatting>
  <conditionalFormatting sqref="R31">
    <cfRule type="cellIs" dxfId="15674" priority="2291" operator="greaterThan">
      <formula>1</formula>
    </cfRule>
    <cfRule type="cellIs" dxfId="15673" priority="2292" operator="lessThan">
      <formula>0.8</formula>
    </cfRule>
  </conditionalFormatting>
  <conditionalFormatting sqref="R31">
    <cfRule type="cellIs" dxfId="15672" priority="2287" operator="lessThan">
      <formula>0.8</formula>
    </cfRule>
    <cfRule type="cellIs" dxfId="15671" priority="2288" operator="greaterThan">
      <formula>1</formula>
    </cfRule>
  </conditionalFormatting>
  <conditionalFormatting sqref="R31">
    <cfRule type="cellIs" dxfId="15670" priority="2285" operator="greaterThan">
      <formula>1</formula>
    </cfRule>
    <cfRule type="cellIs" dxfId="15669" priority="2286" operator="lessThan">
      <formula>0.8</formula>
    </cfRule>
  </conditionalFormatting>
  <conditionalFormatting sqref="P31">
    <cfRule type="cellIs" dxfId="15668" priority="2284" operator="greaterThan">
      <formula>0</formula>
    </cfRule>
  </conditionalFormatting>
  <conditionalFormatting sqref="Q31">
    <cfRule type="cellIs" dxfId="15667" priority="2289" operator="lessThan">
      <formula>0</formula>
    </cfRule>
  </conditionalFormatting>
  <conditionalFormatting sqref="P79">
    <cfRule type="cellIs" dxfId="15666" priority="2278" operator="greaterThan">
      <formula>0</formula>
    </cfRule>
  </conditionalFormatting>
  <conditionalFormatting sqref="Q79">
    <cfRule type="cellIs" dxfId="15665" priority="2283" operator="lessThan">
      <formula>0</formula>
    </cfRule>
  </conditionalFormatting>
  <conditionalFormatting sqref="R79">
    <cfRule type="cellIs" dxfId="15664" priority="2281" operator="lessThan">
      <formula>0.8</formula>
    </cfRule>
    <cfRule type="cellIs" dxfId="15663" priority="2282" operator="greaterThan">
      <formula>1</formula>
    </cfRule>
  </conditionalFormatting>
  <conditionalFormatting sqref="R79">
    <cfRule type="cellIs" dxfId="15662" priority="2279" operator="greaterThan">
      <formula>1</formula>
    </cfRule>
    <cfRule type="cellIs" dxfId="15661" priority="2280" operator="lessThan">
      <formula>0.8</formula>
    </cfRule>
  </conditionalFormatting>
  <conditionalFormatting sqref="Q79">
    <cfRule type="cellIs" dxfId="15660" priority="2277" operator="lessThan">
      <formula>0</formula>
    </cfRule>
  </conditionalFormatting>
  <conditionalFormatting sqref="R79">
    <cfRule type="cellIs" dxfId="15659" priority="2275" operator="lessThan">
      <formula>0.8</formula>
    </cfRule>
    <cfRule type="cellIs" dxfId="15658" priority="2276" operator="greaterThan">
      <formula>1</formula>
    </cfRule>
  </conditionalFormatting>
  <conditionalFormatting sqref="R79">
    <cfRule type="cellIs" dxfId="15657" priority="2273" operator="greaterThan">
      <formula>1</formula>
    </cfRule>
    <cfRule type="cellIs" dxfId="15656" priority="2274" operator="lessThan">
      <formula>0.8</formula>
    </cfRule>
  </conditionalFormatting>
  <conditionalFormatting sqref="P79">
    <cfRule type="cellIs" dxfId="15655" priority="2272" operator="greaterThan">
      <formula>0</formula>
    </cfRule>
  </conditionalFormatting>
  <conditionalFormatting sqref="P79">
    <cfRule type="cellIs" dxfId="15654" priority="2266" operator="greaterThan">
      <formula>0</formula>
    </cfRule>
  </conditionalFormatting>
  <conditionalFormatting sqref="Q79">
    <cfRule type="cellIs" dxfId="15653" priority="2271" operator="lessThan">
      <formula>0</formula>
    </cfRule>
  </conditionalFormatting>
  <conditionalFormatting sqref="R79">
    <cfRule type="cellIs" dxfId="15652" priority="2269" operator="lessThan">
      <formula>0.8</formula>
    </cfRule>
    <cfRule type="cellIs" dxfId="15651" priority="2270" operator="greaterThan">
      <formula>1</formula>
    </cfRule>
  </conditionalFormatting>
  <conditionalFormatting sqref="R79">
    <cfRule type="cellIs" dxfId="15650" priority="2267" operator="greaterThan">
      <formula>1</formula>
    </cfRule>
    <cfRule type="cellIs" dxfId="15649" priority="2268" operator="lessThan">
      <formula>0.8</formula>
    </cfRule>
  </conditionalFormatting>
  <conditionalFormatting sqref="Q79">
    <cfRule type="cellIs" dxfId="15648" priority="2260" operator="lessThan">
      <formula>0</formula>
    </cfRule>
  </conditionalFormatting>
  <conditionalFormatting sqref="P79">
    <cfRule type="cellIs" dxfId="15647" priority="2261" operator="greaterThan">
      <formula>0</formula>
    </cfRule>
  </conditionalFormatting>
  <conditionalFormatting sqref="R79">
    <cfRule type="cellIs" dxfId="15646" priority="2264" operator="lessThan">
      <formula>0.8</formula>
    </cfRule>
    <cfRule type="cellIs" dxfId="15645" priority="2265" operator="greaterThan">
      <formula>1</formula>
    </cfRule>
  </conditionalFormatting>
  <conditionalFormatting sqref="R79">
    <cfRule type="cellIs" dxfId="15644" priority="2262" operator="greaterThan">
      <formula>1</formula>
    </cfRule>
    <cfRule type="cellIs" dxfId="15643" priority="2263" operator="lessThan">
      <formula>0.8</formula>
    </cfRule>
  </conditionalFormatting>
  <conditionalFormatting sqref="Q79">
    <cfRule type="cellIs" dxfId="15642" priority="2254" operator="lessThan">
      <formula>0</formula>
    </cfRule>
  </conditionalFormatting>
  <conditionalFormatting sqref="R79">
    <cfRule type="cellIs" dxfId="15641" priority="2258" operator="lessThan">
      <formula>0.8</formula>
    </cfRule>
    <cfRule type="cellIs" dxfId="15640" priority="2259" operator="greaterThan">
      <formula>1</formula>
    </cfRule>
  </conditionalFormatting>
  <conditionalFormatting sqref="R79">
    <cfRule type="cellIs" dxfId="15639" priority="2256" operator="greaterThan">
      <formula>1</formula>
    </cfRule>
    <cfRule type="cellIs" dxfId="15638" priority="2257" operator="lessThan">
      <formula>0.8</formula>
    </cfRule>
  </conditionalFormatting>
  <conditionalFormatting sqref="P79">
    <cfRule type="cellIs" dxfId="15637" priority="2255" operator="greaterThan">
      <formula>0</formula>
    </cfRule>
  </conditionalFormatting>
  <conditionalFormatting sqref="Q79">
    <cfRule type="cellIs" dxfId="15636" priority="2253" operator="lessThan">
      <formula>0</formula>
    </cfRule>
  </conditionalFormatting>
  <conditionalFormatting sqref="R79">
    <cfRule type="cellIs" dxfId="15635" priority="2251" operator="lessThan">
      <formula>0.8</formula>
    </cfRule>
    <cfRule type="cellIs" dxfId="15634" priority="2252" operator="greaterThan">
      <formula>1</formula>
    </cfRule>
  </conditionalFormatting>
  <conditionalFormatting sqref="R79">
    <cfRule type="cellIs" dxfId="15633" priority="2249" operator="greaterThan">
      <formula>1</formula>
    </cfRule>
    <cfRule type="cellIs" dxfId="15632" priority="2250" operator="lessThan">
      <formula>0.8</formula>
    </cfRule>
  </conditionalFormatting>
  <conditionalFormatting sqref="P79">
    <cfRule type="cellIs" dxfId="15631" priority="2248" operator="greaterThan">
      <formula>0</formula>
    </cfRule>
  </conditionalFormatting>
  <conditionalFormatting sqref="Q79">
    <cfRule type="cellIs" dxfId="15630" priority="2247" operator="lessThan">
      <formula>0</formula>
    </cfRule>
  </conditionalFormatting>
  <conditionalFormatting sqref="R79">
    <cfRule type="cellIs" dxfId="15629" priority="2245" operator="lessThan">
      <formula>0.8</formula>
    </cfRule>
    <cfRule type="cellIs" dxfId="15628" priority="2246" operator="greaterThan">
      <formula>1</formula>
    </cfRule>
  </conditionalFormatting>
  <conditionalFormatting sqref="R79">
    <cfRule type="cellIs" dxfId="15627" priority="2243" operator="greaterThan">
      <formula>1</formula>
    </cfRule>
    <cfRule type="cellIs" dxfId="15626" priority="2244" operator="lessThan">
      <formula>0.8</formula>
    </cfRule>
  </conditionalFormatting>
  <conditionalFormatting sqref="P79">
    <cfRule type="cellIs" dxfId="15625" priority="2242" operator="greaterThan">
      <formula>0</formula>
    </cfRule>
  </conditionalFormatting>
  <conditionalFormatting sqref="P79">
    <cfRule type="cellIs" dxfId="15624" priority="2236" operator="greaterThan">
      <formula>0</formula>
    </cfRule>
  </conditionalFormatting>
  <conditionalFormatting sqref="Q79">
    <cfRule type="cellIs" dxfId="15623" priority="2241" operator="lessThan">
      <formula>0</formula>
    </cfRule>
  </conditionalFormatting>
  <conditionalFormatting sqref="R79">
    <cfRule type="cellIs" dxfId="15622" priority="2239" operator="lessThan">
      <formula>0.8</formula>
    </cfRule>
    <cfRule type="cellIs" dxfId="15621" priority="2240" operator="greaterThan">
      <formula>1</formula>
    </cfRule>
  </conditionalFormatting>
  <conditionalFormatting sqref="R79">
    <cfRule type="cellIs" dxfId="15620" priority="2237" operator="greaterThan">
      <formula>1</formula>
    </cfRule>
    <cfRule type="cellIs" dxfId="15619" priority="2238" operator="lessThan">
      <formula>0.8</formula>
    </cfRule>
  </conditionalFormatting>
  <conditionalFormatting sqref="P71:P78">
    <cfRule type="cellIs" dxfId="15618" priority="2230" operator="greaterThan">
      <formula>0</formula>
    </cfRule>
  </conditionalFormatting>
  <conditionalFormatting sqref="Q71:Q78">
    <cfRule type="cellIs" dxfId="15617" priority="2235" operator="lessThan">
      <formula>0</formula>
    </cfRule>
  </conditionalFormatting>
  <conditionalFormatting sqref="R71:R78">
    <cfRule type="cellIs" dxfId="15616" priority="2233" operator="lessThan">
      <formula>0.8</formula>
    </cfRule>
    <cfRule type="cellIs" dxfId="15615" priority="2234" operator="greaterThan">
      <formula>1</formula>
    </cfRule>
  </conditionalFormatting>
  <conditionalFormatting sqref="R71:R78">
    <cfRule type="cellIs" dxfId="15614" priority="2231" operator="greaterThan">
      <formula>1</formula>
    </cfRule>
    <cfRule type="cellIs" dxfId="15613" priority="2232" operator="lessThan">
      <formula>0.8</formula>
    </cfRule>
  </conditionalFormatting>
  <conditionalFormatting sqref="Q148:Q153">
    <cfRule type="cellIs" dxfId="15612" priority="2229" operator="lessThan">
      <formula>0</formula>
    </cfRule>
  </conditionalFormatting>
  <conditionalFormatting sqref="R148:R153">
    <cfRule type="cellIs" dxfId="15611" priority="2227" operator="lessThan">
      <formula>0.8</formula>
    </cfRule>
    <cfRule type="cellIs" dxfId="15610" priority="2228" operator="greaterThan">
      <formula>1</formula>
    </cfRule>
  </conditionalFormatting>
  <conditionalFormatting sqref="R148:R153">
    <cfRule type="cellIs" dxfId="15609" priority="2225" operator="greaterThan">
      <formula>1</formula>
    </cfRule>
    <cfRule type="cellIs" dxfId="15608" priority="2226" operator="lessThan">
      <formula>0.8</formula>
    </cfRule>
  </conditionalFormatting>
  <conditionalFormatting sqref="P148:P153">
    <cfRule type="cellIs" dxfId="15607" priority="2224" operator="greaterThan">
      <formula>0</formula>
    </cfRule>
  </conditionalFormatting>
  <conditionalFormatting sqref="Q148:Q153">
    <cfRule type="cellIs" dxfId="15606" priority="2223" operator="lessThan">
      <formula>0</formula>
    </cfRule>
  </conditionalFormatting>
  <conditionalFormatting sqref="R148:R153">
    <cfRule type="cellIs" dxfId="15605" priority="2221" operator="lessThan">
      <formula>0.8</formula>
    </cfRule>
    <cfRule type="cellIs" dxfId="15604" priority="2222" operator="greaterThan">
      <formula>1</formula>
    </cfRule>
  </conditionalFormatting>
  <conditionalFormatting sqref="R148:R153">
    <cfRule type="cellIs" dxfId="15603" priority="2219" operator="greaterThan">
      <formula>1</formula>
    </cfRule>
    <cfRule type="cellIs" dxfId="15602" priority="2220" operator="lessThan">
      <formula>0.8</formula>
    </cfRule>
  </conditionalFormatting>
  <conditionalFormatting sqref="P148:P153">
    <cfRule type="cellIs" dxfId="15601" priority="2218" operator="greaterThan">
      <formula>0</formula>
    </cfRule>
  </conditionalFormatting>
  <conditionalFormatting sqref="Q148:Q153">
    <cfRule type="cellIs" dxfId="15600" priority="2217" operator="lessThan">
      <formula>0</formula>
    </cfRule>
  </conditionalFormatting>
  <conditionalFormatting sqref="R148:R153">
    <cfRule type="cellIs" dxfId="15599" priority="2215" operator="lessThan">
      <formula>0.8</formula>
    </cfRule>
    <cfRule type="cellIs" dxfId="15598" priority="2216" operator="greaterThan">
      <formula>1</formula>
    </cfRule>
  </conditionalFormatting>
  <conditionalFormatting sqref="R148:R153">
    <cfRule type="cellIs" dxfId="15597" priority="2213" operator="greaterThan">
      <formula>1</formula>
    </cfRule>
    <cfRule type="cellIs" dxfId="15596" priority="2214" operator="lessThan">
      <formula>0.8</formula>
    </cfRule>
  </conditionalFormatting>
  <conditionalFormatting sqref="P148:P153">
    <cfRule type="cellIs" dxfId="15595" priority="2212" operator="greaterThan">
      <formula>0</formula>
    </cfRule>
  </conditionalFormatting>
  <conditionalFormatting sqref="Q148:Q153">
    <cfRule type="cellIs" dxfId="15594" priority="2211" operator="lessThan">
      <formula>0</formula>
    </cfRule>
  </conditionalFormatting>
  <conditionalFormatting sqref="R148:R153">
    <cfRule type="cellIs" dxfId="15593" priority="2209" operator="lessThan">
      <formula>0.8</formula>
    </cfRule>
    <cfRule type="cellIs" dxfId="15592" priority="2210" operator="greaterThan">
      <formula>1</formula>
    </cfRule>
  </conditionalFormatting>
  <conditionalFormatting sqref="R148:R153">
    <cfRule type="cellIs" dxfId="15591" priority="2207" operator="greaterThan">
      <formula>1</formula>
    </cfRule>
    <cfRule type="cellIs" dxfId="15590" priority="2208" operator="lessThan">
      <formula>0.8</formula>
    </cfRule>
  </conditionalFormatting>
  <conditionalFormatting sqref="P148:P153">
    <cfRule type="cellIs" dxfId="15589" priority="2206" operator="greaterThan">
      <formula>0</formula>
    </cfRule>
  </conditionalFormatting>
  <conditionalFormatting sqref="P148:P153">
    <cfRule type="cellIs" dxfId="15588" priority="2200" operator="greaterThan">
      <formula>0</formula>
    </cfRule>
  </conditionalFormatting>
  <conditionalFormatting sqref="Q148:Q153">
    <cfRule type="cellIs" dxfId="15587" priority="2205" operator="lessThan">
      <formula>0</formula>
    </cfRule>
  </conditionalFormatting>
  <conditionalFormatting sqref="R148:R153">
    <cfRule type="cellIs" dxfId="15586" priority="2203" operator="lessThan">
      <formula>0.8</formula>
    </cfRule>
    <cfRule type="cellIs" dxfId="15585" priority="2204" operator="greaterThan">
      <formula>1</formula>
    </cfRule>
  </conditionalFormatting>
  <conditionalFormatting sqref="R148:R153">
    <cfRule type="cellIs" dxfId="15584" priority="2201" operator="greaterThan">
      <formula>1</formula>
    </cfRule>
    <cfRule type="cellIs" dxfId="15583" priority="2202" operator="lessThan">
      <formula>0.8</formula>
    </cfRule>
  </conditionalFormatting>
  <conditionalFormatting sqref="P148:P153">
    <cfRule type="cellIs" dxfId="15582" priority="2194" operator="greaterThan">
      <formula>0</formula>
    </cfRule>
  </conditionalFormatting>
  <conditionalFormatting sqref="Q148:Q153">
    <cfRule type="cellIs" dxfId="15581" priority="2199" operator="lessThan">
      <formula>0</formula>
    </cfRule>
  </conditionalFormatting>
  <conditionalFormatting sqref="R148:R153">
    <cfRule type="cellIs" dxfId="15580" priority="2197" operator="lessThan">
      <formula>0.8</formula>
    </cfRule>
    <cfRule type="cellIs" dxfId="15579" priority="2198" operator="greaterThan">
      <formula>1</formula>
    </cfRule>
  </conditionalFormatting>
  <conditionalFormatting sqref="R148:R153">
    <cfRule type="cellIs" dxfId="15578" priority="2195" operator="greaterThan">
      <formula>1</formula>
    </cfRule>
    <cfRule type="cellIs" dxfId="15577" priority="2196" operator="lessThan">
      <formula>0.8</formula>
    </cfRule>
  </conditionalFormatting>
  <conditionalFormatting sqref="R148:R153">
    <cfRule type="cellIs" dxfId="15576" priority="2191" operator="lessThan">
      <formula>0.8</formula>
    </cfRule>
    <cfRule type="cellIs" dxfId="15575" priority="2192" operator="greaterThan">
      <formula>1</formula>
    </cfRule>
  </conditionalFormatting>
  <conditionalFormatting sqref="R148:R153">
    <cfRule type="cellIs" dxfId="15574" priority="2189" operator="greaterThan">
      <formula>1</formula>
    </cfRule>
    <cfRule type="cellIs" dxfId="15573" priority="2190" operator="lessThan">
      <formula>0.8</formula>
    </cfRule>
  </conditionalFormatting>
  <conditionalFormatting sqref="P148:P153">
    <cfRule type="cellIs" dxfId="15572" priority="2188" operator="greaterThan">
      <formula>0</formula>
    </cfRule>
  </conditionalFormatting>
  <conditionalFormatting sqref="Q148:Q153">
    <cfRule type="cellIs" dxfId="15571" priority="2193" operator="lessThan">
      <formula>0</formula>
    </cfRule>
  </conditionalFormatting>
  <conditionalFormatting sqref="Q148:Q153">
    <cfRule type="cellIs" dxfId="15570" priority="2187" operator="lessThan">
      <formula>0</formula>
    </cfRule>
  </conditionalFormatting>
  <conditionalFormatting sqref="R148:R153">
    <cfRule type="cellIs" dxfId="15569" priority="2185" operator="lessThan">
      <formula>0.8</formula>
    </cfRule>
    <cfRule type="cellIs" dxfId="15568" priority="2186" operator="greaterThan">
      <formula>1</formula>
    </cfRule>
  </conditionalFormatting>
  <conditionalFormatting sqref="R148:R153">
    <cfRule type="cellIs" dxfId="15567" priority="2183" operator="greaterThan">
      <formula>1</formula>
    </cfRule>
    <cfRule type="cellIs" dxfId="15566" priority="2184" operator="lessThan">
      <formula>0.8</formula>
    </cfRule>
  </conditionalFormatting>
  <conditionalFormatting sqref="P148:P153">
    <cfRule type="cellIs" dxfId="15565" priority="2182" operator="greaterThan">
      <formula>0</formula>
    </cfRule>
  </conditionalFormatting>
  <conditionalFormatting sqref="P148:P153">
    <cfRule type="cellIs" dxfId="15564" priority="2176" operator="greaterThan">
      <formula>0</formula>
    </cfRule>
  </conditionalFormatting>
  <conditionalFormatting sqref="Q148:Q153">
    <cfRule type="cellIs" dxfId="15563" priority="2181" operator="lessThan">
      <formula>0</formula>
    </cfRule>
  </conditionalFormatting>
  <conditionalFormatting sqref="R148:R153">
    <cfRule type="cellIs" dxfId="15562" priority="2179" operator="lessThan">
      <formula>0.8</formula>
    </cfRule>
    <cfRule type="cellIs" dxfId="15561" priority="2180" operator="greaterThan">
      <formula>1</formula>
    </cfRule>
  </conditionalFormatting>
  <conditionalFormatting sqref="R148:R153">
    <cfRule type="cellIs" dxfId="15560" priority="2177" operator="greaterThan">
      <formula>1</formula>
    </cfRule>
    <cfRule type="cellIs" dxfId="15559" priority="2178" operator="lessThan">
      <formula>0.8</formula>
    </cfRule>
  </conditionalFormatting>
  <conditionalFormatting sqref="P148:P153">
    <cfRule type="cellIs" dxfId="15558" priority="2170" operator="greaterThan">
      <formula>0</formula>
    </cfRule>
  </conditionalFormatting>
  <conditionalFormatting sqref="Q148:Q153">
    <cfRule type="cellIs" dxfId="15557" priority="2175" operator="lessThan">
      <formula>0</formula>
    </cfRule>
  </conditionalFormatting>
  <conditionalFormatting sqref="R148:R153">
    <cfRule type="cellIs" dxfId="15556" priority="2173" operator="lessThan">
      <formula>0.8</formula>
    </cfRule>
    <cfRule type="cellIs" dxfId="15555" priority="2174" operator="greaterThan">
      <formula>1</formula>
    </cfRule>
  </conditionalFormatting>
  <conditionalFormatting sqref="R148:R153">
    <cfRule type="cellIs" dxfId="15554" priority="2171" operator="greaterThan">
      <formula>1</formula>
    </cfRule>
    <cfRule type="cellIs" dxfId="15553" priority="2172" operator="lessThan">
      <formula>0.8</formula>
    </cfRule>
  </conditionalFormatting>
  <conditionalFormatting sqref="R148:R153">
    <cfRule type="cellIs" dxfId="15552" priority="2167" operator="lessThan">
      <formula>0.8</formula>
    </cfRule>
    <cfRule type="cellIs" dxfId="15551" priority="2168" operator="greaterThan">
      <formula>1</formula>
    </cfRule>
  </conditionalFormatting>
  <conditionalFormatting sqref="R148:R153">
    <cfRule type="cellIs" dxfId="15550" priority="2165" operator="greaterThan">
      <formula>1</formula>
    </cfRule>
    <cfRule type="cellIs" dxfId="15549" priority="2166" operator="lessThan">
      <formula>0.8</formula>
    </cfRule>
  </conditionalFormatting>
  <conditionalFormatting sqref="P148:P153">
    <cfRule type="cellIs" dxfId="15548" priority="2164" operator="greaterThan">
      <formula>0</formula>
    </cfRule>
  </conditionalFormatting>
  <conditionalFormatting sqref="Q148:Q153">
    <cfRule type="cellIs" dxfId="15547" priority="2169" operator="lessThan">
      <formula>0</formula>
    </cfRule>
  </conditionalFormatting>
  <conditionalFormatting sqref="P148:P153">
    <cfRule type="cellIs" dxfId="15546" priority="2158" operator="greaterThan">
      <formula>0</formula>
    </cfRule>
  </conditionalFormatting>
  <conditionalFormatting sqref="Q148:Q153">
    <cfRule type="cellIs" dxfId="15545" priority="2163" operator="lessThan">
      <formula>0</formula>
    </cfRule>
  </conditionalFormatting>
  <conditionalFormatting sqref="R148:R153">
    <cfRule type="cellIs" dxfId="15544" priority="2161" operator="lessThan">
      <formula>0.8</formula>
    </cfRule>
    <cfRule type="cellIs" dxfId="15543" priority="2162" operator="greaterThan">
      <formula>1</formula>
    </cfRule>
  </conditionalFormatting>
  <conditionalFormatting sqref="R148:R153">
    <cfRule type="cellIs" dxfId="15542" priority="2159" operator="greaterThan">
      <formula>1</formula>
    </cfRule>
    <cfRule type="cellIs" dxfId="15541" priority="2160" operator="lessThan">
      <formula>0.8</formula>
    </cfRule>
  </conditionalFormatting>
  <conditionalFormatting sqref="R148:R153">
    <cfRule type="cellIs" dxfId="15540" priority="2155" operator="lessThan">
      <formula>0.8</formula>
    </cfRule>
    <cfRule type="cellIs" dxfId="15539" priority="2156" operator="greaterThan">
      <formula>1</formula>
    </cfRule>
  </conditionalFormatting>
  <conditionalFormatting sqref="R148:R153">
    <cfRule type="cellIs" dxfId="15538" priority="2153" operator="greaterThan">
      <formula>1</formula>
    </cfRule>
    <cfRule type="cellIs" dxfId="15537" priority="2154" operator="lessThan">
      <formula>0.8</formula>
    </cfRule>
  </conditionalFormatting>
  <conditionalFormatting sqref="P148:P153">
    <cfRule type="cellIs" dxfId="15536" priority="2152" operator="greaterThan">
      <formula>0</formula>
    </cfRule>
  </conditionalFormatting>
  <conditionalFormatting sqref="Q148:Q153">
    <cfRule type="cellIs" dxfId="15535" priority="2157" operator="lessThan">
      <formula>0</formula>
    </cfRule>
  </conditionalFormatting>
  <conditionalFormatting sqref="R148:R153">
    <cfRule type="cellIs" dxfId="15534" priority="2149" operator="lessThan">
      <formula>0.8</formula>
    </cfRule>
    <cfRule type="cellIs" dxfId="15533" priority="2150" operator="greaterThan">
      <formula>1</formula>
    </cfRule>
  </conditionalFormatting>
  <conditionalFormatting sqref="R148:R153">
    <cfRule type="cellIs" dxfId="15532" priority="2147" operator="greaterThan">
      <formula>1</formula>
    </cfRule>
    <cfRule type="cellIs" dxfId="15531" priority="2148" operator="lessThan">
      <formula>0.8</formula>
    </cfRule>
  </conditionalFormatting>
  <conditionalFormatting sqref="P148:P153">
    <cfRule type="cellIs" dxfId="15530" priority="2146" operator="greaterThan">
      <formula>0</formula>
    </cfRule>
  </conditionalFormatting>
  <conditionalFormatting sqref="Q148:Q153">
    <cfRule type="cellIs" dxfId="15529" priority="2151" operator="lessThan">
      <formula>0</formula>
    </cfRule>
  </conditionalFormatting>
  <conditionalFormatting sqref="Q148:Q153">
    <cfRule type="cellIs" dxfId="15528" priority="2145" operator="lessThan">
      <formula>0</formula>
    </cfRule>
  </conditionalFormatting>
  <conditionalFormatting sqref="R148:R153">
    <cfRule type="cellIs" dxfId="15527" priority="2143" operator="lessThan">
      <formula>0.8</formula>
    </cfRule>
    <cfRule type="cellIs" dxfId="15526" priority="2144" operator="greaterThan">
      <formula>1</formula>
    </cfRule>
  </conditionalFormatting>
  <conditionalFormatting sqref="R148:R153">
    <cfRule type="cellIs" dxfId="15525" priority="2141" operator="greaterThan">
      <formula>1</formula>
    </cfRule>
    <cfRule type="cellIs" dxfId="15524" priority="2142" operator="lessThan">
      <formula>0.8</formula>
    </cfRule>
  </conditionalFormatting>
  <conditionalFormatting sqref="P148:P153">
    <cfRule type="cellIs" dxfId="15523" priority="2140" operator="greaterThan">
      <formula>0</formula>
    </cfRule>
  </conditionalFormatting>
  <conditionalFormatting sqref="Q148:Q153">
    <cfRule type="cellIs" dxfId="15522" priority="2134" operator="lessThan">
      <formula>0</formula>
    </cfRule>
  </conditionalFormatting>
  <conditionalFormatting sqref="R148:R153">
    <cfRule type="cellIs" dxfId="15521" priority="2138" operator="lessThan">
      <formula>0.8</formula>
    </cfRule>
    <cfRule type="cellIs" dxfId="15520" priority="2139" operator="greaterThan">
      <formula>1</formula>
    </cfRule>
  </conditionalFormatting>
  <conditionalFormatting sqref="R148:R153">
    <cfRule type="cellIs" dxfId="15519" priority="2136" operator="greaterThan">
      <formula>1</formula>
    </cfRule>
    <cfRule type="cellIs" dxfId="15518" priority="2137" operator="lessThan">
      <formula>0.8</formula>
    </cfRule>
  </conditionalFormatting>
  <conditionalFormatting sqref="P148:P153">
    <cfRule type="cellIs" dxfId="15517" priority="2135" operator="greaterThan">
      <formula>0</formula>
    </cfRule>
  </conditionalFormatting>
  <conditionalFormatting sqref="Q148:Q153">
    <cfRule type="cellIs" dxfId="15516" priority="2133" operator="lessThan">
      <formula>0</formula>
    </cfRule>
  </conditionalFormatting>
  <conditionalFormatting sqref="R148:R153">
    <cfRule type="cellIs" dxfId="15515" priority="2131" operator="lessThan">
      <formula>0.8</formula>
    </cfRule>
    <cfRule type="cellIs" dxfId="15514" priority="2132" operator="greaterThan">
      <formula>1</formula>
    </cfRule>
  </conditionalFormatting>
  <conditionalFormatting sqref="R148:R153">
    <cfRule type="cellIs" dxfId="15513" priority="2129" operator="greaterThan">
      <formula>1</formula>
    </cfRule>
    <cfRule type="cellIs" dxfId="15512" priority="2130" operator="lessThan">
      <formula>0.8</formula>
    </cfRule>
  </conditionalFormatting>
  <conditionalFormatting sqref="P148:P153">
    <cfRule type="cellIs" dxfId="15511" priority="2128" operator="greaterThan">
      <formula>0</formula>
    </cfRule>
  </conditionalFormatting>
  <conditionalFormatting sqref="Q148:Q153">
    <cfRule type="cellIs" dxfId="15510" priority="2127" operator="lessThan">
      <formula>0</formula>
    </cfRule>
  </conditionalFormatting>
  <conditionalFormatting sqref="R148:R153">
    <cfRule type="cellIs" dxfId="15509" priority="2125" operator="lessThan">
      <formula>0.8</formula>
    </cfRule>
    <cfRule type="cellIs" dxfId="15508" priority="2126" operator="greaterThan">
      <formula>1</formula>
    </cfRule>
  </conditionalFormatting>
  <conditionalFormatting sqref="R148:R153">
    <cfRule type="cellIs" dxfId="15507" priority="2123" operator="greaterThan">
      <formula>1</formula>
    </cfRule>
    <cfRule type="cellIs" dxfId="15506" priority="2124" operator="lessThan">
      <formula>0.8</formula>
    </cfRule>
  </conditionalFormatting>
  <conditionalFormatting sqref="P148:P153">
    <cfRule type="cellIs" dxfId="15505" priority="2122" operator="greaterThan">
      <formula>0</formula>
    </cfRule>
  </conditionalFormatting>
  <conditionalFormatting sqref="Q148:Q153">
    <cfRule type="cellIs" dxfId="15504" priority="2121" operator="lessThan">
      <formula>0</formula>
    </cfRule>
  </conditionalFormatting>
  <conditionalFormatting sqref="R148:R153">
    <cfRule type="cellIs" dxfId="15503" priority="2119" operator="lessThan">
      <formula>0.8</formula>
    </cfRule>
    <cfRule type="cellIs" dxfId="15502" priority="2120" operator="greaterThan">
      <formula>1</formula>
    </cfRule>
  </conditionalFormatting>
  <conditionalFormatting sqref="R148:R153">
    <cfRule type="cellIs" dxfId="15501" priority="2117" operator="greaterThan">
      <formula>1</formula>
    </cfRule>
    <cfRule type="cellIs" dxfId="15500" priority="2118" operator="lessThan">
      <formula>0.8</formula>
    </cfRule>
  </conditionalFormatting>
  <conditionalFormatting sqref="P148:P153">
    <cfRule type="cellIs" dxfId="15499" priority="2116" operator="greaterThan">
      <formula>0</formula>
    </cfRule>
  </conditionalFormatting>
  <conditionalFormatting sqref="Q148:Q153">
    <cfRule type="cellIs" dxfId="15498" priority="2115" operator="lessThan">
      <formula>0</formula>
    </cfRule>
  </conditionalFormatting>
  <conditionalFormatting sqref="R148:R153">
    <cfRule type="cellIs" dxfId="15497" priority="2113" operator="lessThan">
      <formula>0.8</formula>
    </cfRule>
    <cfRule type="cellIs" dxfId="15496" priority="2114" operator="greaterThan">
      <formula>1</formula>
    </cfRule>
  </conditionalFormatting>
  <conditionalFormatting sqref="R148:R153">
    <cfRule type="cellIs" dxfId="15495" priority="2111" operator="greaterThan">
      <formula>1</formula>
    </cfRule>
    <cfRule type="cellIs" dxfId="15494" priority="2112" operator="lessThan">
      <formula>0.8</formula>
    </cfRule>
  </conditionalFormatting>
  <conditionalFormatting sqref="P148:P153">
    <cfRule type="cellIs" dxfId="15493" priority="2110" operator="greaterThan">
      <formula>0</formula>
    </cfRule>
  </conditionalFormatting>
  <conditionalFormatting sqref="Q148:Q153">
    <cfRule type="cellIs" dxfId="15492" priority="2109" operator="lessThan">
      <formula>0</formula>
    </cfRule>
  </conditionalFormatting>
  <conditionalFormatting sqref="R148:R153">
    <cfRule type="cellIs" dxfId="15491" priority="2107" operator="lessThan">
      <formula>0.8</formula>
    </cfRule>
    <cfRule type="cellIs" dxfId="15490" priority="2108" operator="greaterThan">
      <formula>1</formula>
    </cfRule>
  </conditionalFormatting>
  <conditionalFormatting sqref="R148:R153">
    <cfRule type="cellIs" dxfId="15489" priority="2105" operator="greaterThan">
      <formula>1</formula>
    </cfRule>
    <cfRule type="cellIs" dxfId="15488" priority="2106" operator="lessThan">
      <formula>0.8</formula>
    </cfRule>
  </conditionalFormatting>
  <conditionalFormatting sqref="P148:P153">
    <cfRule type="cellIs" dxfId="15487" priority="2104" operator="greaterThan">
      <formula>0</formula>
    </cfRule>
  </conditionalFormatting>
  <conditionalFormatting sqref="P148:P153">
    <cfRule type="cellIs" dxfId="15486" priority="2098" operator="greaterThan">
      <formula>0</formula>
    </cfRule>
  </conditionalFormatting>
  <conditionalFormatting sqref="Q148:Q153">
    <cfRule type="cellIs" dxfId="15485" priority="2103" operator="lessThan">
      <formula>0</formula>
    </cfRule>
  </conditionalFormatting>
  <conditionalFormatting sqref="R148:R153">
    <cfRule type="cellIs" dxfId="15484" priority="2101" operator="lessThan">
      <formula>0.8</formula>
    </cfRule>
    <cfRule type="cellIs" dxfId="15483" priority="2102" operator="greaterThan">
      <formula>1</formula>
    </cfRule>
  </conditionalFormatting>
  <conditionalFormatting sqref="R148:R153">
    <cfRule type="cellIs" dxfId="15482" priority="2099" operator="greaterThan">
      <formula>1</formula>
    </cfRule>
    <cfRule type="cellIs" dxfId="15481" priority="2100" operator="lessThan">
      <formula>0.8</formula>
    </cfRule>
  </conditionalFormatting>
  <conditionalFormatting sqref="P148:P153">
    <cfRule type="cellIs" dxfId="15480" priority="2092" operator="greaterThan">
      <formula>0</formula>
    </cfRule>
  </conditionalFormatting>
  <conditionalFormatting sqref="Q148:Q153">
    <cfRule type="cellIs" dxfId="15479" priority="2097" operator="lessThan">
      <formula>0</formula>
    </cfRule>
  </conditionalFormatting>
  <conditionalFormatting sqref="R148:R153">
    <cfRule type="cellIs" dxfId="15478" priority="2095" operator="lessThan">
      <formula>0.8</formula>
    </cfRule>
    <cfRule type="cellIs" dxfId="15477" priority="2096" operator="greaterThan">
      <formula>1</formula>
    </cfRule>
  </conditionalFormatting>
  <conditionalFormatting sqref="R148:R153">
    <cfRule type="cellIs" dxfId="15476" priority="2093" operator="greaterThan">
      <formula>1</formula>
    </cfRule>
    <cfRule type="cellIs" dxfId="15475" priority="2094" operator="lessThan">
      <formula>0.8</formula>
    </cfRule>
  </conditionalFormatting>
  <conditionalFormatting sqref="R148:R153">
    <cfRule type="cellIs" dxfId="15474" priority="2089" operator="lessThan">
      <formula>0.8</formula>
    </cfRule>
    <cfRule type="cellIs" dxfId="15473" priority="2090" operator="greaterThan">
      <formula>1</formula>
    </cfRule>
  </conditionalFormatting>
  <conditionalFormatting sqref="R148:R153">
    <cfRule type="cellIs" dxfId="15472" priority="2087" operator="greaterThan">
      <formula>1</formula>
    </cfRule>
    <cfRule type="cellIs" dxfId="15471" priority="2088" operator="lessThan">
      <formula>0.8</formula>
    </cfRule>
  </conditionalFormatting>
  <conditionalFormatting sqref="P148:P153">
    <cfRule type="cellIs" dxfId="15470" priority="2086" operator="greaterThan">
      <formula>0</formula>
    </cfRule>
  </conditionalFormatting>
  <conditionalFormatting sqref="Q148:Q153">
    <cfRule type="cellIs" dxfId="15469" priority="2091" operator="lessThan">
      <formula>0</formula>
    </cfRule>
  </conditionalFormatting>
  <conditionalFormatting sqref="Q148:Q153">
    <cfRule type="cellIs" dxfId="15468" priority="2080" operator="lessThan">
      <formula>0</formula>
    </cfRule>
  </conditionalFormatting>
  <conditionalFormatting sqref="P148:P153">
    <cfRule type="cellIs" dxfId="15467" priority="2081" operator="greaterThan">
      <formula>0</formula>
    </cfRule>
  </conditionalFormatting>
  <conditionalFormatting sqref="R148:R153">
    <cfRule type="cellIs" dxfId="15466" priority="2084" operator="lessThan">
      <formula>0.8</formula>
    </cfRule>
    <cfRule type="cellIs" dxfId="15465" priority="2085" operator="greaterThan">
      <formula>1</formula>
    </cfRule>
  </conditionalFormatting>
  <conditionalFormatting sqref="R148:R153">
    <cfRule type="cellIs" dxfId="15464" priority="2082" operator="greaterThan">
      <formula>1</formula>
    </cfRule>
    <cfRule type="cellIs" dxfId="15463" priority="2083" operator="lessThan">
      <formula>0.8</formula>
    </cfRule>
  </conditionalFormatting>
  <conditionalFormatting sqref="Q148:Q153">
    <cfRule type="cellIs" dxfId="15462" priority="2074" operator="lessThan">
      <formula>0</formula>
    </cfRule>
  </conditionalFormatting>
  <conditionalFormatting sqref="R148:R153">
    <cfRule type="cellIs" dxfId="15461" priority="2078" operator="lessThan">
      <formula>0.8</formula>
    </cfRule>
    <cfRule type="cellIs" dxfId="15460" priority="2079" operator="greaterThan">
      <formula>1</formula>
    </cfRule>
  </conditionalFormatting>
  <conditionalFormatting sqref="R148:R153">
    <cfRule type="cellIs" dxfId="15459" priority="2076" operator="greaterThan">
      <formula>1</formula>
    </cfRule>
    <cfRule type="cellIs" dxfId="15458" priority="2077" operator="lessThan">
      <formula>0.8</formula>
    </cfRule>
  </conditionalFormatting>
  <conditionalFormatting sqref="P148:P153">
    <cfRule type="cellIs" dxfId="15457" priority="2075" operator="greaterThan">
      <formula>0</formula>
    </cfRule>
  </conditionalFormatting>
  <conditionalFormatting sqref="Q148:Q153">
    <cfRule type="cellIs" dxfId="15456" priority="2073" operator="lessThan">
      <formula>0</formula>
    </cfRule>
  </conditionalFormatting>
  <conditionalFormatting sqref="R148:R153">
    <cfRule type="cellIs" dxfId="15455" priority="2071" operator="lessThan">
      <formula>0.8</formula>
    </cfRule>
    <cfRule type="cellIs" dxfId="15454" priority="2072" operator="greaterThan">
      <formula>1</formula>
    </cfRule>
  </conditionalFormatting>
  <conditionalFormatting sqref="R148:R153">
    <cfRule type="cellIs" dxfId="15453" priority="2069" operator="greaterThan">
      <formula>1</formula>
    </cfRule>
    <cfRule type="cellIs" dxfId="15452" priority="2070" operator="lessThan">
      <formula>0.8</formula>
    </cfRule>
  </conditionalFormatting>
  <conditionalFormatting sqref="P148:P153">
    <cfRule type="cellIs" dxfId="15451" priority="2068" operator="greaterThan">
      <formula>0</formula>
    </cfRule>
  </conditionalFormatting>
  <conditionalFormatting sqref="Q148:Q153">
    <cfRule type="cellIs" dxfId="15450" priority="2067" operator="lessThan">
      <formula>0</formula>
    </cfRule>
  </conditionalFormatting>
  <conditionalFormatting sqref="R148:R153">
    <cfRule type="cellIs" dxfId="15449" priority="2065" operator="lessThan">
      <formula>0.8</formula>
    </cfRule>
    <cfRule type="cellIs" dxfId="15448" priority="2066" operator="greaterThan">
      <formula>1</formula>
    </cfRule>
  </conditionalFormatting>
  <conditionalFormatting sqref="R148:R153">
    <cfRule type="cellIs" dxfId="15447" priority="2063" operator="greaterThan">
      <formula>1</formula>
    </cfRule>
    <cfRule type="cellIs" dxfId="15446" priority="2064" operator="lessThan">
      <formula>0.8</formula>
    </cfRule>
  </conditionalFormatting>
  <conditionalFormatting sqref="P148:P153">
    <cfRule type="cellIs" dxfId="15445" priority="2062" operator="greaterThan">
      <formula>0</formula>
    </cfRule>
  </conditionalFormatting>
  <conditionalFormatting sqref="Q148:Q153">
    <cfRule type="cellIs" dxfId="15444" priority="2061" operator="lessThan">
      <formula>0</formula>
    </cfRule>
  </conditionalFormatting>
  <conditionalFormatting sqref="R148:R153">
    <cfRule type="cellIs" dxfId="15443" priority="2059" operator="lessThan">
      <formula>0.8</formula>
    </cfRule>
    <cfRule type="cellIs" dxfId="15442" priority="2060" operator="greaterThan">
      <formula>1</formula>
    </cfRule>
  </conditionalFormatting>
  <conditionalFormatting sqref="R148:R153">
    <cfRule type="cellIs" dxfId="15441" priority="2057" operator="greaterThan">
      <formula>1</formula>
    </cfRule>
    <cfRule type="cellIs" dxfId="15440" priority="2058" operator="lessThan">
      <formula>0.8</formula>
    </cfRule>
  </conditionalFormatting>
  <conditionalFormatting sqref="P148:P153">
    <cfRule type="cellIs" dxfId="15439" priority="2056" operator="greaterThan">
      <formula>0</formula>
    </cfRule>
  </conditionalFormatting>
  <conditionalFormatting sqref="Q148:Q153">
    <cfRule type="cellIs" dxfId="15438" priority="2055" operator="lessThan">
      <formula>0</formula>
    </cfRule>
  </conditionalFormatting>
  <conditionalFormatting sqref="R148:R153">
    <cfRule type="cellIs" dxfId="15437" priority="2053" operator="lessThan">
      <formula>0.8</formula>
    </cfRule>
    <cfRule type="cellIs" dxfId="15436" priority="2054" operator="greaterThan">
      <formula>1</formula>
    </cfRule>
  </conditionalFormatting>
  <conditionalFormatting sqref="R148:R153">
    <cfRule type="cellIs" dxfId="15435" priority="2051" operator="greaterThan">
      <formula>1</formula>
    </cfRule>
    <cfRule type="cellIs" dxfId="15434" priority="2052" operator="lessThan">
      <formula>0.8</formula>
    </cfRule>
  </conditionalFormatting>
  <conditionalFormatting sqref="P148:P153">
    <cfRule type="cellIs" dxfId="15433" priority="2050" operator="greaterThan">
      <formula>0</formula>
    </cfRule>
  </conditionalFormatting>
  <conditionalFormatting sqref="Q124 Q131 Q127">
    <cfRule type="cellIs" dxfId="15432" priority="2044" operator="lessThan">
      <formula>0</formula>
    </cfRule>
  </conditionalFormatting>
  <conditionalFormatting sqref="P124 P131 P127">
    <cfRule type="cellIs" dxfId="15431" priority="2045" operator="greaterThan">
      <formula>0</formula>
    </cfRule>
  </conditionalFormatting>
  <conditionalFormatting sqref="R124 R131 R127">
    <cfRule type="cellIs" dxfId="15430" priority="2048" operator="lessThan">
      <formula>0.8</formula>
    </cfRule>
    <cfRule type="cellIs" dxfId="15429" priority="2049" operator="greaterThan">
      <formula>1</formula>
    </cfRule>
  </conditionalFormatting>
  <conditionalFormatting sqref="R124 R131 R127">
    <cfRule type="cellIs" dxfId="15428" priority="2046" operator="greaterThan">
      <formula>1</formula>
    </cfRule>
    <cfRule type="cellIs" dxfId="15427" priority="2047" operator="lessThan">
      <formula>0.8</formula>
    </cfRule>
  </conditionalFormatting>
  <conditionalFormatting sqref="Q124 Q131 Q127">
    <cfRule type="cellIs" dxfId="15426" priority="2038" operator="lessThan">
      <formula>0</formula>
    </cfRule>
  </conditionalFormatting>
  <conditionalFormatting sqref="R124 R131 R127">
    <cfRule type="cellIs" dxfId="15425" priority="2042" operator="lessThan">
      <formula>0.8</formula>
    </cfRule>
    <cfRule type="cellIs" dxfId="15424" priority="2043" operator="greaterThan">
      <formula>1</formula>
    </cfRule>
  </conditionalFormatting>
  <conditionalFormatting sqref="R124 R131 R127">
    <cfRule type="cellIs" dxfId="15423" priority="2040" operator="greaterThan">
      <formula>1</formula>
    </cfRule>
    <cfRule type="cellIs" dxfId="15422" priority="2041" operator="lessThan">
      <formula>0.8</formula>
    </cfRule>
  </conditionalFormatting>
  <conditionalFormatting sqref="P124 P131 P127">
    <cfRule type="cellIs" dxfId="15421" priority="2039" operator="greaterThan">
      <formula>0</formula>
    </cfRule>
  </conditionalFormatting>
  <conditionalFormatting sqref="Q124 Q131 Q127">
    <cfRule type="cellIs" dxfId="15420" priority="2037" operator="lessThan">
      <formula>0</formula>
    </cfRule>
  </conditionalFormatting>
  <conditionalFormatting sqref="R124 R131 R127">
    <cfRule type="cellIs" dxfId="15419" priority="2035" operator="lessThan">
      <formula>0.8</formula>
    </cfRule>
    <cfRule type="cellIs" dxfId="15418" priority="2036" operator="greaterThan">
      <formula>1</formula>
    </cfRule>
  </conditionalFormatting>
  <conditionalFormatting sqref="R124 R131 R127">
    <cfRule type="cellIs" dxfId="15417" priority="2033" operator="greaterThan">
      <formula>1</formula>
    </cfRule>
    <cfRule type="cellIs" dxfId="15416" priority="2034" operator="lessThan">
      <formula>0.8</formula>
    </cfRule>
  </conditionalFormatting>
  <conditionalFormatting sqref="P124 P131 P127">
    <cfRule type="cellIs" dxfId="15415" priority="2032" operator="greaterThan">
      <formula>0</formula>
    </cfRule>
  </conditionalFormatting>
  <conditionalFormatting sqref="Q124 Q131 Q127">
    <cfRule type="cellIs" dxfId="15414" priority="2031" operator="lessThan">
      <formula>0</formula>
    </cfRule>
  </conditionalFormatting>
  <conditionalFormatting sqref="R124 R131 R127">
    <cfRule type="cellIs" dxfId="15413" priority="2029" operator="lessThan">
      <formula>0.8</formula>
    </cfRule>
    <cfRule type="cellIs" dxfId="15412" priority="2030" operator="greaterThan">
      <formula>1</formula>
    </cfRule>
  </conditionalFormatting>
  <conditionalFormatting sqref="R124 R131 R127">
    <cfRule type="cellIs" dxfId="15411" priority="2027" operator="greaterThan">
      <formula>1</formula>
    </cfRule>
    <cfRule type="cellIs" dxfId="15410" priority="2028" operator="lessThan">
      <formula>0.8</formula>
    </cfRule>
  </conditionalFormatting>
  <conditionalFormatting sqref="P124 P131 P127">
    <cfRule type="cellIs" dxfId="15409" priority="2026" operator="greaterThan">
      <formula>0</formula>
    </cfRule>
  </conditionalFormatting>
  <conditionalFormatting sqref="Q124 Q131 Q127">
    <cfRule type="cellIs" dxfId="15408" priority="2025" operator="lessThan">
      <formula>0</formula>
    </cfRule>
  </conditionalFormatting>
  <conditionalFormatting sqref="R124 R131 R127">
    <cfRule type="cellIs" dxfId="15407" priority="2023" operator="lessThan">
      <formula>0.8</formula>
    </cfRule>
    <cfRule type="cellIs" dxfId="15406" priority="2024" operator="greaterThan">
      <formula>1</formula>
    </cfRule>
  </conditionalFormatting>
  <conditionalFormatting sqref="R124 R131 R127">
    <cfRule type="cellIs" dxfId="15405" priority="2021" operator="greaterThan">
      <formula>1</formula>
    </cfRule>
    <cfRule type="cellIs" dxfId="15404" priority="2022" operator="lessThan">
      <formula>0.8</formula>
    </cfRule>
  </conditionalFormatting>
  <conditionalFormatting sqref="P124 P131 P127">
    <cfRule type="cellIs" dxfId="15403" priority="2020" operator="greaterThan">
      <formula>0</formula>
    </cfRule>
  </conditionalFormatting>
  <conditionalFormatting sqref="Q124 Q131 Q127">
    <cfRule type="cellIs" dxfId="15402" priority="2019" operator="lessThan">
      <formula>0</formula>
    </cfRule>
  </conditionalFormatting>
  <conditionalFormatting sqref="R124 R131 R127">
    <cfRule type="cellIs" dxfId="15401" priority="2017" operator="lessThan">
      <formula>0.8</formula>
    </cfRule>
    <cfRule type="cellIs" dxfId="15400" priority="2018" operator="greaterThan">
      <formula>1</formula>
    </cfRule>
  </conditionalFormatting>
  <conditionalFormatting sqref="R124 R131 R127">
    <cfRule type="cellIs" dxfId="15399" priority="2015" operator="greaterThan">
      <formula>1</formula>
    </cfRule>
    <cfRule type="cellIs" dxfId="15398" priority="2016" operator="lessThan">
      <formula>0.8</formula>
    </cfRule>
  </conditionalFormatting>
  <conditionalFormatting sqref="P124 P131 P127">
    <cfRule type="cellIs" dxfId="15397" priority="2014" operator="greaterThan">
      <formula>0</formula>
    </cfRule>
  </conditionalFormatting>
  <conditionalFormatting sqref="Q124 Q131 Q127">
    <cfRule type="cellIs" dxfId="15396" priority="2013" operator="lessThan">
      <formula>0</formula>
    </cfRule>
  </conditionalFormatting>
  <conditionalFormatting sqref="R124 R131 R127">
    <cfRule type="cellIs" dxfId="15395" priority="2011" operator="lessThan">
      <formula>0.8</formula>
    </cfRule>
    <cfRule type="cellIs" dxfId="15394" priority="2012" operator="greaterThan">
      <formula>1</formula>
    </cfRule>
  </conditionalFormatting>
  <conditionalFormatting sqref="R124 R131 R127">
    <cfRule type="cellIs" dxfId="15393" priority="2009" operator="greaterThan">
      <formula>1</formula>
    </cfRule>
    <cfRule type="cellIs" dxfId="15392" priority="2010" operator="lessThan">
      <formula>0.8</formula>
    </cfRule>
  </conditionalFormatting>
  <conditionalFormatting sqref="P124 P131 P127">
    <cfRule type="cellIs" dxfId="15391" priority="2008" operator="greaterThan">
      <formula>0</formula>
    </cfRule>
  </conditionalFormatting>
  <conditionalFormatting sqref="Q124 Q131 Q127">
    <cfRule type="cellIs" dxfId="15390" priority="2007" operator="lessThan">
      <formula>0</formula>
    </cfRule>
  </conditionalFormatting>
  <conditionalFormatting sqref="R124 R131 R127">
    <cfRule type="cellIs" dxfId="15389" priority="2005" operator="lessThan">
      <formula>0.8</formula>
    </cfRule>
    <cfRule type="cellIs" dxfId="15388" priority="2006" operator="greaterThan">
      <formula>1</formula>
    </cfRule>
  </conditionalFormatting>
  <conditionalFormatting sqref="R124 R131 R127">
    <cfRule type="cellIs" dxfId="15387" priority="2003" operator="greaterThan">
      <formula>1</formula>
    </cfRule>
    <cfRule type="cellIs" dxfId="15386" priority="2004" operator="lessThan">
      <formula>0.8</formula>
    </cfRule>
  </conditionalFormatting>
  <conditionalFormatting sqref="P124 P131 P127">
    <cfRule type="cellIs" dxfId="15385" priority="2002" operator="greaterThan">
      <formula>0</formula>
    </cfRule>
  </conditionalFormatting>
  <conditionalFormatting sqref="Q124 Q131 Q127">
    <cfRule type="cellIs" dxfId="15384" priority="2001" operator="lessThan">
      <formula>0</formula>
    </cfRule>
  </conditionalFormatting>
  <conditionalFormatting sqref="R124 R131 R127">
    <cfRule type="cellIs" dxfId="15383" priority="1999" operator="lessThan">
      <formula>0.8</formula>
    </cfRule>
    <cfRule type="cellIs" dxfId="15382" priority="2000" operator="greaterThan">
      <formula>1</formula>
    </cfRule>
  </conditionalFormatting>
  <conditionalFormatting sqref="R124 R131 R127">
    <cfRule type="cellIs" dxfId="15381" priority="1997" operator="greaterThan">
      <formula>1</formula>
    </cfRule>
    <cfRule type="cellIs" dxfId="15380" priority="1998" operator="lessThan">
      <formula>0.8</formula>
    </cfRule>
  </conditionalFormatting>
  <conditionalFormatting sqref="P124 P131 P127">
    <cfRule type="cellIs" dxfId="15379" priority="1996" operator="greaterThan">
      <formula>0</formula>
    </cfRule>
  </conditionalFormatting>
  <conditionalFormatting sqref="P124 P131 P127">
    <cfRule type="cellIs" dxfId="15378" priority="1990" operator="greaterThan">
      <formula>0</formula>
    </cfRule>
  </conditionalFormatting>
  <conditionalFormatting sqref="Q124 Q131 Q127">
    <cfRule type="cellIs" dxfId="15377" priority="1995" operator="lessThan">
      <formula>0</formula>
    </cfRule>
  </conditionalFormatting>
  <conditionalFormatting sqref="R124 R131 R127">
    <cfRule type="cellIs" dxfId="15376" priority="1993" operator="lessThan">
      <formula>0.8</formula>
    </cfRule>
    <cfRule type="cellIs" dxfId="15375" priority="1994" operator="greaterThan">
      <formula>1</formula>
    </cfRule>
  </conditionalFormatting>
  <conditionalFormatting sqref="R124 R131 R127">
    <cfRule type="cellIs" dxfId="15374" priority="1991" operator="greaterThan">
      <formula>1</formula>
    </cfRule>
    <cfRule type="cellIs" dxfId="15373" priority="1992" operator="lessThan">
      <formula>0.8</formula>
    </cfRule>
  </conditionalFormatting>
  <conditionalFormatting sqref="P124 P131 P127">
    <cfRule type="cellIs" dxfId="15372" priority="1984" operator="greaterThan">
      <formula>0</formula>
    </cfRule>
  </conditionalFormatting>
  <conditionalFormatting sqref="Q124 Q131 Q127">
    <cfRule type="cellIs" dxfId="15371" priority="1989" operator="lessThan">
      <formula>0</formula>
    </cfRule>
  </conditionalFormatting>
  <conditionalFormatting sqref="R124 R131 R127">
    <cfRule type="cellIs" dxfId="15370" priority="1987" operator="lessThan">
      <formula>0.8</formula>
    </cfRule>
    <cfRule type="cellIs" dxfId="15369" priority="1988" operator="greaterThan">
      <formula>1</formula>
    </cfRule>
  </conditionalFormatting>
  <conditionalFormatting sqref="R124 R131 R127">
    <cfRule type="cellIs" dxfId="15368" priority="1985" operator="greaterThan">
      <formula>1</formula>
    </cfRule>
    <cfRule type="cellIs" dxfId="15367" priority="1986" operator="lessThan">
      <formula>0.8</formula>
    </cfRule>
  </conditionalFormatting>
  <conditionalFormatting sqref="R124 R131 R127">
    <cfRule type="cellIs" dxfId="15366" priority="1981" operator="lessThan">
      <formula>0.8</formula>
    </cfRule>
    <cfRule type="cellIs" dxfId="15365" priority="1982" operator="greaterThan">
      <formula>1</formula>
    </cfRule>
  </conditionalFormatting>
  <conditionalFormatting sqref="R124 R131 R127">
    <cfRule type="cellIs" dxfId="15364" priority="1979" operator="greaterThan">
      <formula>1</formula>
    </cfRule>
    <cfRule type="cellIs" dxfId="15363" priority="1980" operator="lessThan">
      <formula>0.8</formula>
    </cfRule>
  </conditionalFormatting>
  <conditionalFormatting sqref="P124 P131 P127">
    <cfRule type="cellIs" dxfId="15362" priority="1978" operator="greaterThan">
      <formula>0</formula>
    </cfRule>
  </conditionalFormatting>
  <conditionalFormatting sqref="Q124 Q131 Q127">
    <cfRule type="cellIs" dxfId="15361" priority="1983" operator="lessThan">
      <formula>0</formula>
    </cfRule>
  </conditionalFormatting>
  <conditionalFormatting sqref="Q124 Q131 Q127">
    <cfRule type="cellIs" dxfId="15360" priority="1977" operator="lessThan">
      <formula>0</formula>
    </cfRule>
  </conditionalFormatting>
  <conditionalFormatting sqref="R124 R131 R127">
    <cfRule type="cellIs" dxfId="15359" priority="1975" operator="lessThan">
      <formula>0.8</formula>
    </cfRule>
    <cfRule type="cellIs" dxfId="15358" priority="1976" operator="greaterThan">
      <formula>1</formula>
    </cfRule>
  </conditionalFormatting>
  <conditionalFormatting sqref="R124 R131 R127">
    <cfRule type="cellIs" dxfId="15357" priority="1973" operator="greaterThan">
      <formula>1</formula>
    </cfRule>
    <cfRule type="cellIs" dxfId="15356" priority="1974" operator="lessThan">
      <formula>0.8</formula>
    </cfRule>
  </conditionalFormatting>
  <conditionalFormatting sqref="P124 P131 P127">
    <cfRule type="cellIs" dxfId="15355" priority="1972" operator="greaterThan">
      <formula>0</formula>
    </cfRule>
  </conditionalFormatting>
  <conditionalFormatting sqref="P124 P131 P127">
    <cfRule type="cellIs" dxfId="15354" priority="1966" operator="greaterThan">
      <formula>0</formula>
    </cfRule>
  </conditionalFormatting>
  <conditionalFormatting sqref="Q124 Q131 Q127">
    <cfRule type="cellIs" dxfId="15353" priority="1971" operator="lessThan">
      <formula>0</formula>
    </cfRule>
  </conditionalFormatting>
  <conditionalFormatting sqref="R124 R131 R127">
    <cfRule type="cellIs" dxfId="15352" priority="1969" operator="lessThan">
      <formula>0.8</formula>
    </cfRule>
    <cfRule type="cellIs" dxfId="15351" priority="1970" operator="greaterThan">
      <formula>1</formula>
    </cfRule>
  </conditionalFormatting>
  <conditionalFormatting sqref="R124 R131 R127">
    <cfRule type="cellIs" dxfId="15350" priority="1967" operator="greaterThan">
      <formula>1</formula>
    </cfRule>
    <cfRule type="cellIs" dxfId="15349" priority="1968" operator="lessThan">
      <formula>0.8</formula>
    </cfRule>
  </conditionalFormatting>
  <conditionalFormatting sqref="P124 P131 P127">
    <cfRule type="cellIs" dxfId="15348" priority="1960" operator="greaterThan">
      <formula>0</formula>
    </cfRule>
  </conditionalFormatting>
  <conditionalFormatting sqref="Q124 Q131 Q127">
    <cfRule type="cellIs" dxfId="15347" priority="1965" operator="lessThan">
      <formula>0</formula>
    </cfRule>
  </conditionalFormatting>
  <conditionalFormatting sqref="R124 R131 R127">
    <cfRule type="cellIs" dxfId="15346" priority="1963" operator="lessThan">
      <formula>0.8</formula>
    </cfRule>
    <cfRule type="cellIs" dxfId="15345" priority="1964" operator="greaterThan">
      <formula>1</formula>
    </cfRule>
  </conditionalFormatting>
  <conditionalFormatting sqref="R124 R131 R127">
    <cfRule type="cellIs" dxfId="15344" priority="1961" operator="greaterThan">
      <formula>1</formula>
    </cfRule>
    <cfRule type="cellIs" dxfId="15343" priority="1962" operator="lessThan">
      <formula>0.8</formula>
    </cfRule>
  </conditionalFormatting>
  <conditionalFormatting sqref="R124 R131 R127">
    <cfRule type="cellIs" dxfId="15342" priority="1957" operator="lessThan">
      <formula>0.8</formula>
    </cfRule>
    <cfRule type="cellIs" dxfId="15341" priority="1958" operator="greaterThan">
      <formula>1</formula>
    </cfRule>
  </conditionalFormatting>
  <conditionalFormatting sqref="R124 R131 R127">
    <cfRule type="cellIs" dxfId="15340" priority="1955" operator="greaterThan">
      <formula>1</formula>
    </cfRule>
    <cfRule type="cellIs" dxfId="15339" priority="1956" operator="lessThan">
      <formula>0.8</formula>
    </cfRule>
  </conditionalFormatting>
  <conditionalFormatting sqref="P124 P131 P127">
    <cfRule type="cellIs" dxfId="15338" priority="1954" operator="greaterThan">
      <formula>0</formula>
    </cfRule>
  </conditionalFormatting>
  <conditionalFormatting sqref="Q124 Q131 Q127">
    <cfRule type="cellIs" dxfId="15337" priority="1959" operator="lessThan">
      <formula>0</formula>
    </cfRule>
  </conditionalFormatting>
  <conditionalFormatting sqref="P124 P131 P127">
    <cfRule type="cellIs" dxfId="15336" priority="1948" operator="greaterThan">
      <formula>0</formula>
    </cfRule>
  </conditionalFormatting>
  <conditionalFormatting sqref="Q124 Q131 Q127">
    <cfRule type="cellIs" dxfId="15335" priority="1953" operator="lessThan">
      <formula>0</formula>
    </cfRule>
  </conditionalFormatting>
  <conditionalFormatting sqref="R124 R131 R127">
    <cfRule type="cellIs" dxfId="15334" priority="1951" operator="lessThan">
      <formula>0.8</formula>
    </cfRule>
    <cfRule type="cellIs" dxfId="15333" priority="1952" operator="greaterThan">
      <formula>1</formula>
    </cfRule>
  </conditionalFormatting>
  <conditionalFormatting sqref="R124 R131 R127">
    <cfRule type="cellIs" dxfId="15332" priority="1949" operator="greaterThan">
      <formula>1</formula>
    </cfRule>
    <cfRule type="cellIs" dxfId="15331" priority="1950" operator="lessThan">
      <formula>0.8</formula>
    </cfRule>
  </conditionalFormatting>
  <conditionalFormatting sqref="R124 R131 R127">
    <cfRule type="cellIs" dxfId="15330" priority="1945" operator="lessThan">
      <formula>0.8</formula>
    </cfRule>
    <cfRule type="cellIs" dxfId="15329" priority="1946" operator="greaterThan">
      <formula>1</formula>
    </cfRule>
  </conditionalFormatting>
  <conditionalFormatting sqref="R124 R131 R127">
    <cfRule type="cellIs" dxfId="15328" priority="1943" operator="greaterThan">
      <formula>1</formula>
    </cfRule>
    <cfRule type="cellIs" dxfId="15327" priority="1944" operator="lessThan">
      <formula>0.8</formula>
    </cfRule>
  </conditionalFormatting>
  <conditionalFormatting sqref="P124 P131 P127">
    <cfRule type="cellIs" dxfId="15326" priority="1942" operator="greaterThan">
      <formula>0</formula>
    </cfRule>
  </conditionalFormatting>
  <conditionalFormatting sqref="Q124 Q131 Q127">
    <cfRule type="cellIs" dxfId="15325" priority="1947" operator="lessThan">
      <formula>0</formula>
    </cfRule>
  </conditionalFormatting>
  <conditionalFormatting sqref="R124 R131 R127">
    <cfRule type="cellIs" dxfId="15324" priority="1939" operator="lessThan">
      <formula>0.8</formula>
    </cfRule>
    <cfRule type="cellIs" dxfId="15323" priority="1940" operator="greaterThan">
      <formula>1</formula>
    </cfRule>
  </conditionalFormatting>
  <conditionalFormatting sqref="R124 R131 R127">
    <cfRule type="cellIs" dxfId="15322" priority="1937" operator="greaterThan">
      <formula>1</formula>
    </cfRule>
    <cfRule type="cellIs" dxfId="15321" priority="1938" operator="lessThan">
      <formula>0.8</formula>
    </cfRule>
  </conditionalFormatting>
  <conditionalFormatting sqref="P124 P131 P127">
    <cfRule type="cellIs" dxfId="15320" priority="1936" operator="greaterThan">
      <formula>0</formula>
    </cfRule>
  </conditionalFormatting>
  <conditionalFormatting sqref="Q124 Q131 Q127">
    <cfRule type="cellIs" dxfId="15319" priority="1941" operator="lessThan">
      <formula>0</formula>
    </cfRule>
  </conditionalFormatting>
  <conditionalFormatting sqref="Q124 Q131 Q127">
    <cfRule type="cellIs" dxfId="15318" priority="1935" operator="lessThan">
      <formula>0</formula>
    </cfRule>
  </conditionalFormatting>
  <conditionalFormatting sqref="R124 R131 R127">
    <cfRule type="cellIs" dxfId="15317" priority="1933" operator="lessThan">
      <formula>0.8</formula>
    </cfRule>
    <cfRule type="cellIs" dxfId="15316" priority="1934" operator="greaterThan">
      <formula>1</formula>
    </cfRule>
  </conditionalFormatting>
  <conditionalFormatting sqref="R124 R131 R127">
    <cfRule type="cellIs" dxfId="15315" priority="1931" operator="greaterThan">
      <formula>1</formula>
    </cfRule>
    <cfRule type="cellIs" dxfId="15314" priority="1932" operator="lessThan">
      <formula>0.8</formula>
    </cfRule>
  </conditionalFormatting>
  <conditionalFormatting sqref="P124 P131 P127">
    <cfRule type="cellIs" dxfId="15313" priority="1930" operator="greaterThan">
      <formula>0</formula>
    </cfRule>
  </conditionalFormatting>
  <conditionalFormatting sqref="Q124 Q131 Q127">
    <cfRule type="cellIs" dxfId="15312" priority="1924" operator="lessThan">
      <formula>0</formula>
    </cfRule>
  </conditionalFormatting>
  <conditionalFormatting sqref="R124 R131 R127">
    <cfRule type="cellIs" dxfId="15311" priority="1928" operator="lessThan">
      <formula>0.8</formula>
    </cfRule>
    <cfRule type="cellIs" dxfId="15310" priority="1929" operator="greaterThan">
      <formula>1</formula>
    </cfRule>
  </conditionalFormatting>
  <conditionalFormatting sqref="R124 R131 R127">
    <cfRule type="cellIs" dxfId="15309" priority="1926" operator="greaterThan">
      <formula>1</formula>
    </cfRule>
    <cfRule type="cellIs" dxfId="15308" priority="1927" operator="lessThan">
      <formula>0.8</formula>
    </cfRule>
  </conditionalFormatting>
  <conditionalFormatting sqref="P124 P131 P127">
    <cfRule type="cellIs" dxfId="15307" priority="1925" operator="greaterThan">
      <formula>0</formula>
    </cfRule>
  </conditionalFormatting>
  <conditionalFormatting sqref="Q124 Q131 Q127">
    <cfRule type="cellIs" dxfId="15306" priority="1923" operator="lessThan">
      <formula>0</formula>
    </cfRule>
  </conditionalFormatting>
  <conditionalFormatting sqref="R124 R131 R127">
    <cfRule type="cellIs" dxfId="15305" priority="1921" operator="lessThan">
      <formula>0.8</formula>
    </cfRule>
    <cfRule type="cellIs" dxfId="15304" priority="1922" operator="greaterThan">
      <formula>1</formula>
    </cfRule>
  </conditionalFormatting>
  <conditionalFormatting sqref="R124 R131 R127">
    <cfRule type="cellIs" dxfId="15303" priority="1919" operator="greaterThan">
      <formula>1</formula>
    </cfRule>
    <cfRule type="cellIs" dxfId="15302" priority="1920" operator="lessThan">
      <formula>0.8</formula>
    </cfRule>
  </conditionalFormatting>
  <conditionalFormatting sqref="P124 P131 P127">
    <cfRule type="cellIs" dxfId="15301" priority="1918" operator="greaterThan">
      <formula>0</formula>
    </cfRule>
  </conditionalFormatting>
  <conditionalFormatting sqref="Q124 Q131 Q127">
    <cfRule type="cellIs" dxfId="15300" priority="1917" operator="lessThan">
      <formula>0</formula>
    </cfRule>
  </conditionalFormatting>
  <conditionalFormatting sqref="R124 R131 R127">
    <cfRule type="cellIs" dxfId="15299" priority="1915" operator="lessThan">
      <formula>0.8</formula>
    </cfRule>
    <cfRule type="cellIs" dxfId="15298" priority="1916" operator="greaterThan">
      <formula>1</formula>
    </cfRule>
  </conditionalFormatting>
  <conditionalFormatting sqref="R124 R131 R127">
    <cfRule type="cellIs" dxfId="15297" priority="1913" operator="greaterThan">
      <formula>1</formula>
    </cfRule>
    <cfRule type="cellIs" dxfId="15296" priority="1914" operator="lessThan">
      <formula>0.8</formula>
    </cfRule>
  </conditionalFormatting>
  <conditionalFormatting sqref="P124 P131 P127">
    <cfRule type="cellIs" dxfId="15295" priority="1912" operator="greaterThan">
      <formula>0</formula>
    </cfRule>
  </conditionalFormatting>
  <conditionalFormatting sqref="Q124 Q131 Q127">
    <cfRule type="cellIs" dxfId="15294" priority="1911" operator="lessThan">
      <formula>0</formula>
    </cfRule>
  </conditionalFormatting>
  <conditionalFormatting sqref="R124 R131 R127">
    <cfRule type="cellIs" dxfId="15293" priority="1909" operator="lessThan">
      <formula>0.8</formula>
    </cfRule>
    <cfRule type="cellIs" dxfId="15292" priority="1910" operator="greaterThan">
      <formula>1</formula>
    </cfRule>
  </conditionalFormatting>
  <conditionalFormatting sqref="R124 R131 R127">
    <cfRule type="cellIs" dxfId="15291" priority="1907" operator="greaterThan">
      <formula>1</formula>
    </cfRule>
    <cfRule type="cellIs" dxfId="15290" priority="1908" operator="lessThan">
      <formula>0.8</formula>
    </cfRule>
  </conditionalFormatting>
  <conditionalFormatting sqref="P124 P131 P127">
    <cfRule type="cellIs" dxfId="15289" priority="1906" operator="greaterThan">
      <formula>0</formula>
    </cfRule>
  </conditionalFormatting>
  <conditionalFormatting sqref="Q124 Q131 Q127">
    <cfRule type="cellIs" dxfId="15288" priority="1905" operator="lessThan">
      <formula>0</formula>
    </cfRule>
  </conditionalFormatting>
  <conditionalFormatting sqref="R124 R131 R127">
    <cfRule type="cellIs" dxfId="15287" priority="1903" operator="lessThan">
      <formula>0.8</formula>
    </cfRule>
    <cfRule type="cellIs" dxfId="15286" priority="1904" operator="greaterThan">
      <formula>1</formula>
    </cfRule>
  </conditionalFormatting>
  <conditionalFormatting sqref="R124 R131 R127">
    <cfRule type="cellIs" dxfId="15285" priority="1901" operator="greaterThan">
      <formula>1</formula>
    </cfRule>
    <cfRule type="cellIs" dxfId="15284" priority="1902" operator="lessThan">
      <formula>0.8</formula>
    </cfRule>
  </conditionalFormatting>
  <conditionalFormatting sqref="P124 P131 P127">
    <cfRule type="cellIs" dxfId="15283" priority="1900" operator="greaterThan">
      <formula>0</formula>
    </cfRule>
  </conditionalFormatting>
  <conditionalFormatting sqref="Q124 Q131 Q127">
    <cfRule type="cellIs" dxfId="15282" priority="1899" operator="lessThan">
      <formula>0</formula>
    </cfRule>
  </conditionalFormatting>
  <conditionalFormatting sqref="R124 R131 R127">
    <cfRule type="cellIs" dxfId="15281" priority="1897" operator="lessThan">
      <formula>0.8</formula>
    </cfRule>
    <cfRule type="cellIs" dxfId="15280" priority="1898" operator="greaterThan">
      <formula>1</formula>
    </cfRule>
  </conditionalFormatting>
  <conditionalFormatting sqref="R124 R131 R127">
    <cfRule type="cellIs" dxfId="15279" priority="1895" operator="greaterThan">
      <formula>1</formula>
    </cfRule>
    <cfRule type="cellIs" dxfId="15278" priority="1896" operator="lessThan">
      <formula>0.8</formula>
    </cfRule>
  </conditionalFormatting>
  <conditionalFormatting sqref="P124 P131 P127">
    <cfRule type="cellIs" dxfId="15277" priority="1894" operator="greaterThan">
      <formula>0</formula>
    </cfRule>
  </conditionalFormatting>
  <conditionalFormatting sqref="P124 P131 P127">
    <cfRule type="cellIs" dxfId="15276" priority="1888" operator="greaterThan">
      <formula>0</formula>
    </cfRule>
  </conditionalFormatting>
  <conditionalFormatting sqref="Q124 Q131 Q127">
    <cfRule type="cellIs" dxfId="15275" priority="1893" operator="lessThan">
      <formula>0</formula>
    </cfRule>
  </conditionalFormatting>
  <conditionalFormatting sqref="R124 R131 R127">
    <cfRule type="cellIs" dxfId="15274" priority="1891" operator="lessThan">
      <formula>0.8</formula>
    </cfRule>
    <cfRule type="cellIs" dxfId="15273" priority="1892" operator="greaterThan">
      <formula>1</formula>
    </cfRule>
  </conditionalFormatting>
  <conditionalFormatting sqref="R124 R131 R127">
    <cfRule type="cellIs" dxfId="15272" priority="1889" operator="greaterThan">
      <formula>1</formula>
    </cfRule>
    <cfRule type="cellIs" dxfId="15271" priority="1890" operator="lessThan">
      <formula>0.8</formula>
    </cfRule>
  </conditionalFormatting>
  <conditionalFormatting sqref="P124 P131 P127">
    <cfRule type="cellIs" dxfId="15270" priority="1882" operator="greaterThan">
      <formula>0</formula>
    </cfRule>
  </conditionalFormatting>
  <conditionalFormatting sqref="Q124 Q131 Q127">
    <cfRule type="cellIs" dxfId="15269" priority="1887" operator="lessThan">
      <formula>0</formula>
    </cfRule>
  </conditionalFormatting>
  <conditionalFormatting sqref="R124 R131 R127">
    <cfRule type="cellIs" dxfId="15268" priority="1885" operator="lessThan">
      <formula>0.8</formula>
    </cfRule>
    <cfRule type="cellIs" dxfId="15267" priority="1886" operator="greaterThan">
      <formula>1</formula>
    </cfRule>
  </conditionalFormatting>
  <conditionalFormatting sqref="R124 R131 R127">
    <cfRule type="cellIs" dxfId="15266" priority="1883" operator="greaterThan">
      <formula>1</formula>
    </cfRule>
    <cfRule type="cellIs" dxfId="15265" priority="1884" operator="lessThan">
      <formula>0.8</formula>
    </cfRule>
  </conditionalFormatting>
  <conditionalFormatting sqref="R124 R131 R127">
    <cfRule type="cellIs" dxfId="15264" priority="1879" operator="lessThan">
      <formula>0.8</formula>
    </cfRule>
    <cfRule type="cellIs" dxfId="15263" priority="1880" operator="greaterThan">
      <formula>1</formula>
    </cfRule>
  </conditionalFormatting>
  <conditionalFormatting sqref="R124 R131 R127">
    <cfRule type="cellIs" dxfId="15262" priority="1877" operator="greaterThan">
      <formula>1</formula>
    </cfRule>
    <cfRule type="cellIs" dxfId="15261" priority="1878" operator="lessThan">
      <formula>0.8</formula>
    </cfRule>
  </conditionalFormatting>
  <conditionalFormatting sqref="P124 P131 P127">
    <cfRule type="cellIs" dxfId="15260" priority="1876" operator="greaterThan">
      <formula>0</formula>
    </cfRule>
  </conditionalFormatting>
  <conditionalFormatting sqref="Q124 Q131 Q127">
    <cfRule type="cellIs" dxfId="15259" priority="1881" operator="lessThan">
      <formula>0</formula>
    </cfRule>
  </conditionalFormatting>
  <conditionalFormatting sqref="Q5:Q14">
    <cfRule type="cellIs" dxfId="15258" priority="1875" operator="lessThan">
      <formula>0</formula>
    </cfRule>
  </conditionalFormatting>
  <conditionalFormatting sqref="R5:R14">
    <cfRule type="cellIs" dxfId="15257" priority="1873" operator="lessThan">
      <formula>0.8</formula>
    </cfRule>
    <cfRule type="cellIs" dxfId="15256" priority="1874" operator="greaterThan">
      <formula>1</formula>
    </cfRule>
  </conditionalFormatting>
  <conditionalFormatting sqref="R5:R14">
    <cfRule type="cellIs" dxfId="15255" priority="1871" operator="greaterThan">
      <formula>1</formula>
    </cfRule>
    <cfRule type="cellIs" dxfId="15254" priority="1872" operator="lessThan">
      <formula>0.8</formula>
    </cfRule>
  </conditionalFormatting>
  <conditionalFormatting sqref="P5:P14">
    <cfRule type="cellIs" dxfId="15253" priority="1870" operator="greaterThan">
      <formula>0</formula>
    </cfRule>
  </conditionalFormatting>
  <conditionalFormatting sqref="Q83">
    <cfRule type="cellIs" dxfId="15252" priority="1869" operator="lessThan">
      <formula>0</formula>
    </cfRule>
  </conditionalFormatting>
  <conditionalFormatting sqref="R83">
    <cfRule type="cellIs" dxfId="15251" priority="1867" operator="lessThan">
      <formula>0.8</formula>
    </cfRule>
    <cfRule type="cellIs" dxfId="15250" priority="1868" operator="greaterThan">
      <formula>1</formula>
    </cfRule>
  </conditionalFormatting>
  <conditionalFormatting sqref="R83">
    <cfRule type="cellIs" dxfId="15249" priority="1865" operator="greaterThan">
      <formula>1</formula>
    </cfRule>
    <cfRule type="cellIs" dxfId="15248" priority="1866" operator="lessThan">
      <formula>0.8</formula>
    </cfRule>
  </conditionalFormatting>
  <conditionalFormatting sqref="P83">
    <cfRule type="cellIs" dxfId="15247" priority="1864" operator="greaterThan">
      <formula>0</formula>
    </cfRule>
  </conditionalFormatting>
  <conditionalFormatting sqref="Q83">
    <cfRule type="cellIs" dxfId="15246" priority="1863" operator="lessThan">
      <formula>0</formula>
    </cfRule>
  </conditionalFormatting>
  <conditionalFormatting sqref="R83">
    <cfRule type="cellIs" dxfId="15245" priority="1861" operator="lessThan">
      <formula>0.8</formula>
    </cfRule>
    <cfRule type="cellIs" dxfId="15244" priority="1862" operator="greaterThan">
      <formula>1</formula>
    </cfRule>
  </conditionalFormatting>
  <conditionalFormatting sqref="R83">
    <cfRule type="cellIs" dxfId="15243" priority="1859" operator="greaterThan">
      <formula>1</formula>
    </cfRule>
    <cfRule type="cellIs" dxfId="15242" priority="1860" operator="lessThan">
      <formula>0.8</formula>
    </cfRule>
  </conditionalFormatting>
  <conditionalFormatting sqref="P83">
    <cfRule type="cellIs" dxfId="15241" priority="1858" operator="greaterThan">
      <formula>0</formula>
    </cfRule>
  </conditionalFormatting>
  <conditionalFormatting sqref="Q83">
    <cfRule type="cellIs" dxfId="15240" priority="1857" operator="lessThan">
      <formula>0</formula>
    </cfRule>
  </conditionalFormatting>
  <conditionalFormatting sqref="R83">
    <cfRule type="cellIs" dxfId="15239" priority="1855" operator="lessThan">
      <formula>0.8</formula>
    </cfRule>
    <cfRule type="cellIs" dxfId="15238" priority="1856" operator="greaterThan">
      <formula>1</formula>
    </cfRule>
  </conditionalFormatting>
  <conditionalFormatting sqref="R83">
    <cfRule type="cellIs" dxfId="15237" priority="1853" operator="greaterThan">
      <formula>1</formula>
    </cfRule>
    <cfRule type="cellIs" dxfId="15236" priority="1854" operator="lessThan">
      <formula>0.8</formula>
    </cfRule>
  </conditionalFormatting>
  <conditionalFormatting sqref="P83">
    <cfRule type="cellIs" dxfId="15235" priority="1852" operator="greaterThan">
      <formula>0</formula>
    </cfRule>
  </conditionalFormatting>
  <conditionalFormatting sqref="Q83">
    <cfRule type="cellIs" dxfId="15234" priority="1851" operator="lessThan">
      <formula>0</formula>
    </cfRule>
  </conditionalFormatting>
  <conditionalFormatting sqref="R83">
    <cfRule type="cellIs" dxfId="15233" priority="1849" operator="lessThan">
      <formula>0.8</formula>
    </cfRule>
    <cfRule type="cellIs" dxfId="15232" priority="1850" operator="greaterThan">
      <formula>1</formula>
    </cfRule>
  </conditionalFormatting>
  <conditionalFormatting sqref="R83">
    <cfRule type="cellIs" dxfId="15231" priority="1847" operator="greaterThan">
      <formula>1</formula>
    </cfRule>
    <cfRule type="cellIs" dxfId="15230" priority="1848" operator="lessThan">
      <formula>0.8</formula>
    </cfRule>
  </conditionalFormatting>
  <conditionalFormatting sqref="P83">
    <cfRule type="cellIs" dxfId="15229" priority="1846" operator="greaterThan">
      <formula>0</formula>
    </cfRule>
  </conditionalFormatting>
  <conditionalFormatting sqref="P83">
    <cfRule type="cellIs" dxfId="15228" priority="1840" operator="greaterThan">
      <formula>0</formula>
    </cfRule>
  </conditionalFormatting>
  <conditionalFormatting sqref="Q83">
    <cfRule type="cellIs" dxfId="15227" priority="1845" operator="lessThan">
      <formula>0</formula>
    </cfRule>
  </conditionalFormatting>
  <conditionalFormatting sqref="R83">
    <cfRule type="cellIs" dxfId="15226" priority="1843" operator="lessThan">
      <formula>0.8</formula>
    </cfRule>
    <cfRule type="cellIs" dxfId="15225" priority="1844" operator="greaterThan">
      <formula>1</formula>
    </cfRule>
  </conditionalFormatting>
  <conditionalFormatting sqref="R83">
    <cfRule type="cellIs" dxfId="15224" priority="1841" operator="greaterThan">
      <formula>1</formula>
    </cfRule>
    <cfRule type="cellIs" dxfId="15223" priority="1842" operator="lessThan">
      <formula>0.8</formula>
    </cfRule>
  </conditionalFormatting>
  <conditionalFormatting sqref="P83">
    <cfRule type="cellIs" dxfId="15222" priority="1834" operator="greaterThan">
      <formula>0</formula>
    </cfRule>
  </conditionalFormatting>
  <conditionalFormatting sqref="Q83">
    <cfRule type="cellIs" dxfId="15221" priority="1839" operator="lessThan">
      <formula>0</formula>
    </cfRule>
  </conditionalFormatting>
  <conditionalFormatting sqref="R83">
    <cfRule type="cellIs" dxfId="15220" priority="1837" operator="lessThan">
      <formula>0.8</formula>
    </cfRule>
    <cfRule type="cellIs" dxfId="15219" priority="1838" operator="greaterThan">
      <formula>1</formula>
    </cfRule>
  </conditionalFormatting>
  <conditionalFormatting sqref="R83">
    <cfRule type="cellIs" dxfId="15218" priority="1835" operator="greaterThan">
      <formula>1</formula>
    </cfRule>
    <cfRule type="cellIs" dxfId="15217" priority="1836" operator="lessThan">
      <formula>0.8</formula>
    </cfRule>
  </conditionalFormatting>
  <conditionalFormatting sqref="R83">
    <cfRule type="cellIs" dxfId="15216" priority="1831" operator="lessThan">
      <formula>0.8</formula>
    </cfRule>
    <cfRule type="cellIs" dxfId="15215" priority="1832" operator="greaterThan">
      <formula>1</formula>
    </cfRule>
  </conditionalFormatting>
  <conditionalFormatting sqref="R83">
    <cfRule type="cellIs" dxfId="15214" priority="1829" operator="greaterThan">
      <formula>1</formula>
    </cfRule>
    <cfRule type="cellIs" dxfId="15213" priority="1830" operator="lessThan">
      <formula>0.8</formula>
    </cfRule>
  </conditionalFormatting>
  <conditionalFormatting sqref="P83">
    <cfRule type="cellIs" dxfId="15212" priority="1828" operator="greaterThan">
      <formula>0</formula>
    </cfRule>
  </conditionalFormatting>
  <conditionalFormatting sqref="Q83">
    <cfRule type="cellIs" dxfId="15211" priority="1833" operator="lessThan">
      <formula>0</formula>
    </cfRule>
  </conditionalFormatting>
  <conditionalFormatting sqref="Q83">
    <cfRule type="cellIs" dxfId="15210" priority="1827" operator="lessThan">
      <formula>0</formula>
    </cfRule>
  </conditionalFormatting>
  <conditionalFormatting sqref="R83">
    <cfRule type="cellIs" dxfId="15209" priority="1825" operator="lessThan">
      <formula>0.8</formula>
    </cfRule>
    <cfRule type="cellIs" dxfId="15208" priority="1826" operator="greaterThan">
      <formula>1</formula>
    </cfRule>
  </conditionalFormatting>
  <conditionalFormatting sqref="R83">
    <cfRule type="cellIs" dxfId="15207" priority="1823" operator="greaterThan">
      <formula>1</formula>
    </cfRule>
    <cfRule type="cellIs" dxfId="15206" priority="1824" operator="lessThan">
      <formula>0.8</formula>
    </cfRule>
  </conditionalFormatting>
  <conditionalFormatting sqref="P83">
    <cfRule type="cellIs" dxfId="15205" priority="1822" operator="greaterThan">
      <formula>0</formula>
    </cfRule>
  </conditionalFormatting>
  <conditionalFormatting sqref="P83">
    <cfRule type="cellIs" dxfId="15204" priority="1816" operator="greaterThan">
      <formula>0</formula>
    </cfRule>
  </conditionalFormatting>
  <conditionalFormatting sqref="Q83">
    <cfRule type="cellIs" dxfId="15203" priority="1821" operator="lessThan">
      <formula>0</formula>
    </cfRule>
  </conditionalFormatting>
  <conditionalFormatting sqref="R83">
    <cfRule type="cellIs" dxfId="15202" priority="1819" operator="lessThan">
      <formula>0.8</formula>
    </cfRule>
    <cfRule type="cellIs" dxfId="15201" priority="1820" operator="greaterThan">
      <formula>1</formula>
    </cfRule>
  </conditionalFormatting>
  <conditionalFormatting sqref="R83">
    <cfRule type="cellIs" dxfId="15200" priority="1817" operator="greaterThan">
      <formula>1</formula>
    </cfRule>
    <cfRule type="cellIs" dxfId="15199" priority="1818" operator="lessThan">
      <formula>0.8</formula>
    </cfRule>
  </conditionalFormatting>
  <conditionalFormatting sqref="P83">
    <cfRule type="cellIs" dxfId="15198" priority="1810" operator="greaterThan">
      <formula>0</formula>
    </cfRule>
  </conditionalFormatting>
  <conditionalFormatting sqref="Q83">
    <cfRule type="cellIs" dxfId="15197" priority="1815" operator="lessThan">
      <formula>0</formula>
    </cfRule>
  </conditionalFormatting>
  <conditionalFormatting sqref="R83">
    <cfRule type="cellIs" dxfId="15196" priority="1813" operator="lessThan">
      <formula>0.8</formula>
    </cfRule>
    <cfRule type="cellIs" dxfId="15195" priority="1814" operator="greaterThan">
      <formula>1</formula>
    </cfRule>
  </conditionalFormatting>
  <conditionalFormatting sqref="R83">
    <cfRule type="cellIs" dxfId="15194" priority="1811" operator="greaterThan">
      <formula>1</formula>
    </cfRule>
    <cfRule type="cellIs" dxfId="15193" priority="1812" operator="lessThan">
      <formula>0.8</formula>
    </cfRule>
  </conditionalFormatting>
  <conditionalFormatting sqref="R83">
    <cfRule type="cellIs" dxfId="15192" priority="1807" operator="lessThan">
      <formula>0.8</formula>
    </cfRule>
    <cfRule type="cellIs" dxfId="15191" priority="1808" operator="greaterThan">
      <formula>1</formula>
    </cfRule>
  </conditionalFormatting>
  <conditionalFormatting sqref="R83">
    <cfRule type="cellIs" dxfId="15190" priority="1805" operator="greaterThan">
      <formula>1</formula>
    </cfRule>
    <cfRule type="cellIs" dxfId="15189" priority="1806" operator="lessThan">
      <formula>0.8</formula>
    </cfRule>
  </conditionalFormatting>
  <conditionalFormatting sqref="P83">
    <cfRule type="cellIs" dxfId="15188" priority="1804" operator="greaterThan">
      <formula>0</formula>
    </cfRule>
  </conditionalFormatting>
  <conditionalFormatting sqref="Q83">
    <cfRule type="cellIs" dxfId="15187" priority="1809" operator="lessThan">
      <formula>0</formula>
    </cfRule>
  </conditionalFormatting>
  <conditionalFormatting sqref="P83">
    <cfRule type="cellIs" dxfId="15186" priority="1798" operator="greaterThan">
      <formula>0</formula>
    </cfRule>
  </conditionalFormatting>
  <conditionalFormatting sqref="Q83">
    <cfRule type="cellIs" dxfId="15185" priority="1803" operator="lessThan">
      <formula>0</formula>
    </cfRule>
  </conditionalFormatting>
  <conditionalFormatting sqref="R83">
    <cfRule type="cellIs" dxfId="15184" priority="1801" operator="lessThan">
      <formula>0.8</formula>
    </cfRule>
    <cfRule type="cellIs" dxfId="15183" priority="1802" operator="greaterThan">
      <formula>1</formula>
    </cfRule>
  </conditionalFormatting>
  <conditionalFormatting sqref="R83">
    <cfRule type="cellIs" dxfId="15182" priority="1799" operator="greaterThan">
      <formula>1</formula>
    </cfRule>
    <cfRule type="cellIs" dxfId="15181" priority="1800" operator="lessThan">
      <formula>0.8</formula>
    </cfRule>
  </conditionalFormatting>
  <conditionalFormatting sqref="R83">
    <cfRule type="cellIs" dxfId="15180" priority="1795" operator="lessThan">
      <formula>0.8</formula>
    </cfRule>
    <cfRule type="cellIs" dxfId="15179" priority="1796" operator="greaterThan">
      <formula>1</formula>
    </cfRule>
  </conditionalFormatting>
  <conditionalFormatting sqref="R83">
    <cfRule type="cellIs" dxfId="15178" priority="1793" operator="greaterThan">
      <formula>1</formula>
    </cfRule>
    <cfRule type="cellIs" dxfId="15177" priority="1794" operator="lessThan">
      <formula>0.8</formula>
    </cfRule>
  </conditionalFormatting>
  <conditionalFormatting sqref="P83">
    <cfRule type="cellIs" dxfId="15176" priority="1792" operator="greaterThan">
      <formula>0</formula>
    </cfRule>
  </conditionalFormatting>
  <conditionalFormatting sqref="Q83">
    <cfRule type="cellIs" dxfId="15175" priority="1797" operator="lessThan">
      <formula>0</formula>
    </cfRule>
  </conditionalFormatting>
  <conditionalFormatting sqref="R83">
    <cfRule type="cellIs" dxfId="15174" priority="1789" operator="lessThan">
      <formula>0.8</formula>
    </cfRule>
    <cfRule type="cellIs" dxfId="15173" priority="1790" operator="greaterThan">
      <formula>1</formula>
    </cfRule>
  </conditionalFormatting>
  <conditionalFormatting sqref="R83">
    <cfRule type="cellIs" dxfId="15172" priority="1787" operator="greaterThan">
      <formula>1</formula>
    </cfRule>
    <cfRule type="cellIs" dxfId="15171" priority="1788" operator="lessThan">
      <formula>0.8</formula>
    </cfRule>
  </conditionalFormatting>
  <conditionalFormatting sqref="P83">
    <cfRule type="cellIs" dxfId="15170" priority="1786" operator="greaterThan">
      <formula>0</formula>
    </cfRule>
  </conditionalFormatting>
  <conditionalFormatting sqref="Q83">
    <cfRule type="cellIs" dxfId="15169" priority="1791" operator="lessThan">
      <formula>0</formula>
    </cfRule>
  </conditionalFormatting>
  <conditionalFormatting sqref="Q83">
    <cfRule type="cellIs" dxfId="15168" priority="1785" operator="lessThan">
      <formula>0</formula>
    </cfRule>
  </conditionalFormatting>
  <conditionalFormatting sqref="R83">
    <cfRule type="cellIs" dxfId="15167" priority="1783" operator="lessThan">
      <formula>0.8</formula>
    </cfRule>
    <cfRule type="cellIs" dxfId="15166" priority="1784" operator="greaterThan">
      <formula>1</formula>
    </cfRule>
  </conditionalFormatting>
  <conditionalFormatting sqref="R83">
    <cfRule type="cellIs" dxfId="15165" priority="1781" operator="greaterThan">
      <formula>1</formula>
    </cfRule>
    <cfRule type="cellIs" dxfId="15164" priority="1782" operator="lessThan">
      <formula>0.8</formula>
    </cfRule>
  </conditionalFormatting>
  <conditionalFormatting sqref="P83">
    <cfRule type="cellIs" dxfId="15163" priority="1780" operator="greaterThan">
      <formula>0</formula>
    </cfRule>
  </conditionalFormatting>
  <conditionalFormatting sqref="Q83">
    <cfRule type="cellIs" dxfId="15162" priority="1774" operator="lessThan">
      <formula>0</formula>
    </cfRule>
  </conditionalFormatting>
  <conditionalFormatting sqref="R83">
    <cfRule type="cellIs" dxfId="15161" priority="1778" operator="lessThan">
      <formula>0.8</formula>
    </cfRule>
    <cfRule type="cellIs" dxfId="15160" priority="1779" operator="greaterThan">
      <formula>1</formula>
    </cfRule>
  </conditionalFormatting>
  <conditionalFormatting sqref="R83">
    <cfRule type="cellIs" dxfId="15159" priority="1776" operator="greaterThan">
      <formula>1</formula>
    </cfRule>
    <cfRule type="cellIs" dxfId="15158" priority="1777" operator="lessThan">
      <formula>0.8</formula>
    </cfRule>
  </conditionalFormatting>
  <conditionalFormatting sqref="P83">
    <cfRule type="cellIs" dxfId="15157" priority="1775" operator="greaterThan">
      <formula>0</formula>
    </cfRule>
  </conditionalFormatting>
  <conditionalFormatting sqref="Q83">
    <cfRule type="cellIs" dxfId="15156" priority="1773" operator="lessThan">
      <formula>0</formula>
    </cfRule>
  </conditionalFormatting>
  <conditionalFormatting sqref="R83">
    <cfRule type="cellIs" dxfId="15155" priority="1771" operator="lessThan">
      <formula>0.8</formula>
    </cfRule>
    <cfRule type="cellIs" dxfId="15154" priority="1772" operator="greaterThan">
      <formula>1</formula>
    </cfRule>
  </conditionalFormatting>
  <conditionalFormatting sqref="R83">
    <cfRule type="cellIs" dxfId="15153" priority="1769" operator="greaterThan">
      <formula>1</formula>
    </cfRule>
    <cfRule type="cellIs" dxfId="15152" priority="1770" operator="lessThan">
      <formula>0.8</formula>
    </cfRule>
  </conditionalFormatting>
  <conditionalFormatting sqref="P83">
    <cfRule type="cellIs" dxfId="15151" priority="1768" operator="greaterThan">
      <formula>0</formula>
    </cfRule>
  </conditionalFormatting>
  <conditionalFormatting sqref="Q83">
    <cfRule type="cellIs" dxfId="15150" priority="1767" operator="lessThan">
      <formula>0</formula>
    </cfRule>
  </conditionalFormatting>
  <conditionalFormatting sqref="R83">
    <cfRule type="cellIs" dxfId="15149" priority="1765" operator="lessThan">
      <formula>0.8</formula>
    </cfRule>
    <cfRule type="cellIs" dxfId="15148" priority="1766" operator="greaterThan">
      <formula>1</formula>
    </cfRule>
  </conditionalFormatting>
  <conditionalFormatting sqref="R83">
    <cfRule type="cellIs" dxfId="15147" priority="1763" operator="greaterThan">
      <formula>1</formula>
    </cfRule>
    <cfRule type="cellIs" dxfId="15146" priority="1764" operator="lessThan">
      <formula>0.8</formula>
    </cfRule>
  </conditionalFormatting>
  <conditionalFormatting sqref="P83">
    <cfRule type="cellIs" dxfId="15145" priority="1762" operator="greaterThan">
      <formula>0</formula>
    </cfRule>
  </conditionalFormatting>
  <conditionalFormatting sqref="Q83">
    <cfRule type="cellIs" dxfId="15144" priority="1761" operator="lessThan">
      <formula>0</formula>
    </cfRule>
  </conditionalFormatting>
  <conditionalFormatting sqref="R83">
    <cfRule type="cellIs" dxfId="15143" priority="1759" operator="lessThan">
      <formula>0.8</formula>
    </cfRule>
    <cfRule type="cellIs" dxfId="15142" priority="1760" operator="greaterThan">
      <formula>1</formula>
    </cfRule>
  </conditionalFormatting>
  <conditionalFormatting sqref="R83">
    <cfRule type="cellIs" dxfId="15141" priority="1757" operator="greaterThan">
      <formula>1</formula>
    </cfRule>
    <cfRule type="cellIs" dxfId="15140" priority="1758" operator="lessThan">
      <formula>0.8</formula>
    </cfRule>
  </conditionalFormatting>
  <conditionalFormatting sqref="P83">
    <cfRule type="cellIs" dxfId="15139" priority="1756" operator="greaterThan">
      <formula>0</formula>
    </cfRule>
  </conditionalFormatting>
  <conditionalFormatting sqref="Q83">
    <cfRule type="cellIs" dxfId="15138" priority="1755" operator="lessThan">
      <formula>0</formula>
    </cfRule>
  </conditionalFormatting>
  <conditionalFormatting sqref="R83">
    <cfRule type="cellIs" dxfId="15137" priority="1753" operator="lessThan">
      <formula>0.8</formula>
    </cfRule>
    <cfRule type="cellIs" dxfId="15136" priority="1754" operator="greaterThan">
      <formula>1</formula>
    </cfRule>
  </conditionalFormatting>
  <conditionalFormatting sqref="R83">
    <cfRule type="cellIs" dxfId="15135" priority="1751" operator="greaterThan">
      <formula>1</formula>
    </cfRule>
    <cfRule type="cellIs" dxfId="15134" priority="1752" operator="lessThan">
      <formula>0.8</formula>
    </cfRule>
  </conditionalFormatting>
  <conditionalFormatting sqref="P83">
    <cfRule type="cellIs" dxfId="15133" priority="1750" operator="greaterThan">
      <formula>0</formula>
    </cfRule>
  </conditionalFormatting>
  <conditionalFormatting sqref="Q83">
    <cfRule type="cellIs" dxfId="15132" priority="1749" operator="lessThan">
      <formula>0</formula>
    </cfRule>
  </conditionalFormatting>
  <conditionalFormatting sqref="R83">
    <cfRule type="cellIs" dxfId="15131" priority="1747" operator="lessThan">
      <formula>0.8</formula>
    </cfRule>
    <cfRule type="cellIs" dxfId="15130" priority="1748" operator="greaterThan">
      <formula>1</formula>
    </cfRule>
  </conditionalFormatting>
  <conditionalFormatting sqref="R83">
    <cfRule type="cellIs" dxfId="15129" priority="1745" operator="greaterThan">
      <formula>1</formula>
    </cfRule>
    <cfRule type="cellIs" dxfId="15128" priority="1746" operator="lessThan">
      <formula>0.8</formula>
    </cfRule>
  </conditionalFormatting>
  <conditionalFormatting sqref="P83">
    <cfRule type="cellIs" dxfId="15127" priority="1744" operator="greaterThan">
      <formula>0</formula>
    </cfRule>
  </conditionalFormatting>
  <conditionalFormatting sqref="P83">
    <cfRule type="cellIs" dxfId="15126" priority="1738" operator="greaterThan">
      <formula>0</formula>
    </cfRule>
  </conditionalFormatting>
  <conditionalFormatting sqref="Q83">
    <cfRule type="cellIs" dxfId="15125" priority="1743" operator="lessThan">
      <formula>0</formula>
    </cfRule>
  </conditionalFormatting>
  <conditionalFormatting sqref="R83">
    <cfRule type="cellIs" dxfId="15124" priority="1741" operator="lessThan">
      <formula>0.8</formula>
    </cfRule>
    <cfRule type="cellIs" dxfId="15123" priority="1742" operator="greaterThan">
      <formula>1</formula>
    </cfRule>
  </conditionalFormatting>
  <conditionalFormatting sqref="R83">
    <cfRule type="cellIs" dxfId="15122" priority="1739" operator="greaterThan">
      <formula>1</formula>
    </cfRule>
    <cfRule type="cellIs" dxfId="15121" priority="1740" operator="lessThan">
      <formula>0.8</formula>
    </cfRule>
  </conditionalFormatting>
  <conditionalFormatting sqref="P83">
    <cfRule type="cellIs" dxfId="15120" priority="1732" operator="greaterThan">
      <formula>0</formula>
    </cfRule>
  </conditionalFormatting>
  <conditionalFormatting sqref="Q83">
    <cfRule type="cellIs" dxfId="15119" priority="1737" operator="lessThan">
      <formula>0</formula>
    </cfRule>
  </conditionalFormatting>
  <conditionalFormatting sqref="R83">
    <cfRule type="cellIs" dxfId="15118" priority="1735" operator="lessThan">
      <formula>0.8</formula>
    </cfRule>
    <cfRule type="cellIs" dxfId="15117" priority="1736" operator="greaterThan">
      <formula>1</formula>
    </cfRule>
  </conditionalFormatting>
  <conditionalFormatting sqref="R83">
    <cfRule type="cellIs" dxfId="15116" priority="1733" operator="greaterThan">
      <formula>1</formula>
    </cfRule>
    <cfRule type="cellIs" dxfId="15115" priority="1734" operator="lessThan">
      <formula>0.8</formula>
    </cfRule>
  </conditionalFormatting>
  <conditionalFormatting sqref="R83">
    <cfRule type="cellIs" dxfId="15114" priority="1729" operator="lessThan">
      <formula>0.8</formula>
    </cfRule>
    <cfRule type="cellIs" dxfId="15113" priority="1730" operator="greaterThan">
      <formula>1</formula>
    </cfRule>
  </conditionalFormatting>
  <conditionalFormatting sqref="R83">
    <cfRule type="cellIs" dxfId="15112" priority="1727" operator="greaterThan">
      <formula>1</formula>
    </cfRule>
    <cfRule type="cellIs" dxfId="15111" priority="1728" operator="lessThan">
      <formula>0.8</formula>
    </cfRule>
  </conditionalFormatting>
  <conditionalFormatting sqref="P83">
    <cfRule type="cellIs" dxfId="15110" priority="1726" operator="greaterThan">
      <formula>0</formula>
    </cfRule>
  </conditionalFormatting>
  <conditionalFormatting sqref="Q83">
    <cfRule type="cellIs" dxfId="15109" priority="1731" operator="lessThan">
      <formula>0</formula>
    </cfRule>
  </conditionalFormatting>
  <conditionalFormatting sqref="Q83">
    <cfRule type="cellIs" dxfId="15108" priority="1720" operator="lessThan">
      <formula>0</formula>
    </cfRule>
  </conditionalFormatting>
  <conditionalFormatting sqref="P83">
    <cfRule type="cellIs" dxfId="15107" priority="1721" operator="greaterThan">
      <formula>0</formula>
    </cfRule>
  </conditionalFormatting>
  <conditionalFormatting sqref="R83">
    <cfRule type="cellIs" dxfId="15106" priority="1724" operator="lessThan">
      <formula>0.8</formula>
    </cfRule>
    <cfRule type="cellIs" dxfId="15105" priority="1725" operator="greaterThan">
      <formula>1</formula>
    </cfRule>
  </conditionalFormatting>
  <conditionalFormatting sqref="R83">
    <cfRule type="cellIs" dxfId="15104" priority="1722" operator="greaterThan">
      <formula>1</formula>
    </cfRule>
    <cfRule type="cellIs" dxfId="15103" priority="1723" operator="lessThan">
      <formula>0.8</formula>
    </cfRule>
  </conditionalFormatting>
  <conditionalFormatting sqref="Q83">
    <cfRule type="cellIs" dxfId="15102" priority="1714" operator="lessThan">
      <formula>0</formula>
    </cfRule>
  </conditionalFormatting>
  <conditionalFormatting sqref="R83">
    <cfRule type="cellIs" dxfId="15101" priority="1718" operator="lessThan">
      <formula>0.8</formula>
    </cfRule>
    <cfRule type="cellIs" dxfId="15100" priority="1719" operator="greaterThan">
      <formula>1</formula>
    </cfRule>
  </conditionalFormatting>
  <conditionalFormatting sqref="R83">
    <cfRule type="cellIs" dxfId="15099" priority="1716" operator="greaterThan">
      <formula>1</formula>
    </cfRule>
    <cfRule type="cellIs" dxfId="15098" priority="1717" operator="lessThan">
      <formula>0.8</formula>
    </cfRule>
  </conditionalFormatting>
  <conditionalFormatting sqref="P83">
    <cfRule type="cellIs" dxfId="15097" priority="1715" operator="greaterThan">
      <formula>0</formula>
    </cfRule>
  </conditionalFormatting>
  <conditionalFormatting sqref="Q83">
    <cfRule type="cellIs" dxfId="15096" priority="1713" operator="lessThan">
      <formula>0</formula>
    </cfRule>
  </conditionalFormatting>
  <conditionalFormatting sqref="R83">
    <cfRule type="cellIs" dxfId="15095" priority="1711" operator="lessThan">
      <formula>0.8</formula>
    </cfRule>
    <cfRule type="cellIs" dxfId="15094" priority="1712" operator="greaterThan">
      <formula>1</formula>
    </cfRule>
  </conditionalFormatting>
  <conditionalFormatting sqref="R83">
    <cfRule type="cellIs" dxfId="15093" priority="1709" operator="greaterThan">
      <formula>1</formula>
    </cfRule>
    <cfRule type="cellIs" dxfId="15092" priority="1710" operator="lessThan">
      <formula>0.8</formula>
    </cfRule>
  </conditionalFormatting>
  <conditionalFormatting sqref="P83">
    <cfRule type="cellIs" dxfId="15091" priority="1708" operator="greaterThan">
      <formula>0</formula>
    </cfRule>
  </conditionalFormatting>
  <conditionalFormatting sqref="Q83">
    <cfRule type="cellIs" dxfId="15090" priority="1707" operator="lessThan">
      <formula>0</formula>
    </cfRule>
  </conditionalFormatting>
  <conditionalFormatting sqref="R83">
    <cfRule type="cellIs" dxfId="15089" priority="1705" operator="lessThan">
      <formula>0.8</formula>
    </cfRule>
    <cfRule type="cellIs" dxfId="15088" priority="1706" operator="greaterThan">
      <formula>1</formula>
    </cfRule>
  </conditionalFormatting>
  <conditionalFormatting sqref="R83">
    <cfRule type="cellIs" dxfId="15087" priority="1703" operator="greaterThan">
      <formula>1</formula>
    </cfRule>
    <cfRule type="cellIs" dxfId="15086" priority="1704" operator="lessThan">
      <formula>0.8</formula>
    </cfRule>
  </conditionalFormatting>
  <conditionalFormatting sqref="P83">
    <cfRule type="cellIs" dxfId="15085" priority="1702" operator="greaterThan">
      <formula>0</formula>
    </cfRule>
  </conditionalFormatting>
  <conditionalFormatting sqref="Q83">
    <cfRule type="cellIs" dxfId="15084" priority="1701" operator="lessThan">
      <formula>0</formula>
    </cfRule>
  </conditionalFormatting>
  <conditionalFormatting sqref="R83">
    <cfRule type="cellIs" dxfId="15083" priority="1699" operator="lessThan">
      <formula>0.8</formula>
    </cfRule>
    <cfRule type="cellIs" dxfId="15082" priority="1700" operator="greaterThan">
      <formula>1</formula>
    </cfRule>
  </conditionalFormatting>
  <conditionalFormatting sqref="R83">
    <cfRule type="cellIs" dxfId="15081" priority="1697" operator="greaterThan">
      <formula>1</formula>
    </cfRule>
    <cfRule type="cellIs" dxfId="15080" priority="1698" operator="lessThan">
      <formula>0.8</formula>
    </cfRule>
  </conditionalFormatting>
  <conditionalFormatting sqref="P83">
    <cfRule type="cellIs" dxfId="15079" priority="1696" operator="greaterThan">
      <formula>0</formula>
    </cfRule>
  </conditionalFormatting>
  <conditionalFormatting sqref="Q32:Q39">
    <cfRule type="cellIs" dxfId="15078" priority="1690" operator="lessThan">
      <formula>0</formula>
    </cfRule>
  </conditionalFormatting>
  <conditionalFormatting sqref="P32:P39">
    <cfRule type="cellIs" dxfId="15077" priority="1691" operator="greaterThan">
      <formula>0</formula>
    </cfRule>
  </conditionalFormatting>
  <conditionalFormatting sqref="R32:R39">
    <cfRule type="cellIs" dxfId="15076" priority="1694" operator="lessThan">
      <formula>0.8</formula>
    </cfRule>
    <cfRule type="cellIs" dxfId="15075" priority="1695" operator="greaterThan">
      <formula>1</formula>
    </cfRule>
  </conditionalFormatting>
  <conditionalFormatting sqref="R32:R39">
    <cfRule type="cellIs" dxfId="15074" priority="1692" operator="greaterThan">
      <formula>1</formula>
    </cfRule>
    <cfRule type="cellIs" dxfId="15073" priority="1693" operator="lessThan">
      <formula>0.8</formula>
    </cfRule>
  </conditionalFormatting>
  <conditionalFormatting sqref="Q32:Q39">
    <cfRule type="cellIs" dxfId="15072" priority="1684" operator="lessThan">
      <formula>0</formula>
    </cfRule>
  </conditionalFormatting>
  <conditionalFormatting sqref="R32:R39">
    <cfRule type="cellIs" dxfId="15071" priority="1688" operator="lessThan">
      <formula>0.8</formula>
    </cfRule>
    <cfRule type="cellIs" dxfId="15070" priority="1689" operator="greaterThan">
      <formula>1</formula>
    </cfRule>
  </conditionalFormatting>
  <conditionalFormatting sqref="R32:R39">
    <cfRule type="cellIs" dxfId="15069" priority="1686" operator="greaterThan">
      <formula>1</formula>
    </cfRule>
    <cfRule type="cellIs" dxfId="15068" priority="1687" operator="lessThan">
      <formula>0.8</formula>
    </cfRule>
  </conditionalFormatting>
  <conditionalFormatting sqref="P32:P39">
    <cfRule type="cellIs" dxfId="15067" priority="1685" operator="greaterThan">
      <formula>0</formula>
    </cfRule>
  </conditionalFormatting>
  <conditionalFormatting sqref="Q32:Q39">
    <cfRule type="cellIs" dxfId="15066" priority="1683" operator="lessThan">
      <formula>0</formula>
    </cfRule>
  </conditionalFormatting>
  <conditionalFormatting sqref="R32:R39">
    <cfRule type="cellIs" dxfId="15065" priority="1681" operator="lessThan">
      <formula>0.8</formula>
    </cfRule>
    <cfRule type="cellIs" dxfId="15064" priority="1682" operator="greaterThan">
      <formula>1</formula>
    </cfRule>
  </conditionalFormatting>
  <conditionalFormatting sqref="R32:R39">
    <cfRule type="cellIs" dxfId="15063" priority="1679" operator="greaterThan">
      <formula>1</formula>
    </cfRule>
    <cfRule type="cellIs" dxfId="15062" priority="1680" operator="lessThan">
      <formula>0.8</formula>
    </cfRule>
  </conditionalFormatting>
  <conditionalFormatting sqref="P32:P39">
    <cfRule type="cellIs" dxfId="15061" priority="1678" operator="greaterThan">
      <formula>0</formula>
    </cfRule>
  </conditionalFormatting>
  <conditionalFormatting sqref="Q32:Q39">
    <cfRule type="cellIs" dxfId="15060" priority="1677" operator="lessThan">
      <formula>0</formula>
    </cfRule>
  </conditionalFormatting>
  <conditionalFormatting sqref="R32:R39">
    <cfRule type="cellIs" dxfId="15059" priority="1675" operator="lessThan">
      <formula>0.8</formula>
    </cfRule>
    <cfRule type="cellIs" dxfId="15058" priority="1676" operator="greaterThan">
      <formula>1</formula>
    </cfRule>
  </conditionalFormatting>
  <conditionalFormatting sqref="R32:R39">
    <cfRule type="cellIs" dxfId="15057" priority="1673" operator="greaterThan">
      <formula>1</formula>
    </cfRule>
    <cfRule type="cellIs" dxfId="15056" priority="1674" operator="lessThan">
      <formula>0.8</formula>
    </cfRule>
  </conditionalFormatting>
  <conditionalFormatting sqref="P32:P39">
    <cfRule type="cellIs" dxfId="15055" priority="1672" operator="greaterThan">
      <formula>0</formula>
    </cfRule>
  </conditionalFormatting>
  <conditionalFormatting sqref="Q32:Q39">
    <cfRule type="cellIs" dxfId="15054" priority="1666" operator="lessThan">
      <formula>0</formula>
    </cfRule>
  </conditionalFormatting>
  <conditionalFormatting sqref="R32:R39">
    <cfRule type="cellIs" dxfId="15053" priority="1670" operator="lessThan">
      <formula>0.8</formula>
    </cfRule>
    <cfRule type="cellIs" dxfId="15052" priority="1671" operator="greaterThan">
      <formula>1</formula>
    </cfRule>
  </conditionalFormatting>
  <conditionalFormatting sqref="R32:R39">
    <cfRule type="cellIs" dxfId="15051" priority="1668" operator="greaterThan">
      <formula>1</formula>
    </cfRule>
    <cfRule type="cellIs" dxfId="15050" priority="1669" operator="lessThan">
      <formula>0.8</formula>
    </cfRule>
  </conditionalFormatting>
  <conditionalFormatting sqref="P32:P39">
    <cfRule type="cellIs" dxfId="15049" priority="1667" operator="greaterThan">
      <formula>0</formula>
    </cfRule>
  </conditionalFormatting>
  <conditionalFormatting sqref="Q32:Q39">
    <cfRule type="cellIs" dxfId="15048" priority="1665" operator="lessThan">
      <formula>0</formula>
    </cfRule>
  </conditionalFormatting>
  <conditionalFormatting sqref="R32:R39">
    <cfRule type="cellIs" dxfId="15047" priority="1663" operator="lessThan">
      <formula>0.8</formula>
    </cfRule>
    <cfRule type="cellIs" dxfId="15046" priority="1664" operator="greaterThan">
      <formula>1</formula>
    </cfRule>
  </conditionalFormatting>
  <conditionalFormatting sqref="R32:R39">
    <cfRule type="cellIs" dxfId="15045" priority="1661" operator="greaterThan">
      <formula>1</formula>
    </cfRule>
    <cfRule type="cellIs" dxfId="15044" priority="1662" operator="lessThan">
      <formula>0.8</formula>
    </cfRule>
  </conditionalFormatting>
  <conditionalFormatting sqref="P32:P39">
    <cfRule type="cellIs" dxfId="15043" priority="1660" operator="greaterThan">
      <formula>0</formula>
    </cfRule>
  </conditionalFormatting>
  <conditionalFormatting sqref="Q32:Q39">
    <cfRule type="cellIs" dxfId="15042" priority="1659" operator="lessThan">
      <formula>0</formula>
    </cfRule>
  </conditionalFormatting>
  <conditionalFormatting sqref="R32:R39">
    <cfRule type="cellIs" dxfId="15041" priority="1657" operator="lessThan">
      <formula>0.8</formula>
    </cfRule>
    <cfRule type="cellIs" dxfId="15040" priority="1658" operator="greaterThan">
      <formula>1</formula>
    </cfRule>
  </conditionalFormatting>
  <conditionalFormatting sqref="R32:R39">
    <cfRule type="cellIs" dxfId="15039" priority="1655" operator="greaterThan">
      <formula>1</formula>
    </cfRule>
    <cfRule type="cellIs" dxfId="15038" priority="1656" operator="lessThan">
      <formula>0.8</formula>
    </cfRule>
  </conditionalFormatting>
  <conditionalFormatting sqref="P32:P39">
    <cfRule type="cellIs" dxfId="15037" priority="1654" operator="greaterThan">
      <formula>0</formula>
    </cfRule>
  </conditionalFormatting>
  <conditionalFormatting sqref="Q32:Q39">
    <cfRule type="cellIs" dxfId="15036" priority="1653" operator="lessThan">
      <formula>0</formula>
    </cfRule>
  </conditionalFormatting>
  <conditionalFormatting sqref="R32:R39">
    <cfRule type="cellIs" dxfId="15035" priority="1651" operator="lessThan">
      <formula>0.8</formula>
    </cfRule>
    <cfRule type="cellIs" dxfId="15034" priority="1652" operator="greaterThan">
      <formula>1</formula>
    </cfRule>
  </conditionalFormatting>
  <conditionalFormatting sqref="R32:R39">
    <cfRule type="cellIs" dxfId="15033" priority="1649" operator="greaterThan">
      <formula>1</formula>
    </cfRule>
    <cfRule type="cellIs" dxfId="15032" priority="1650" operator="lessThan">
      <formula>0.8</formula>
    </cfRule>
  </conditionalFormatting>
  <conditionalFormatting sqref="P32:P39">
    <cfRule type="cellIs" dxfId="15031" priority="1648" operator="greaterThan">
      <formula>0</formula>
    </cfRule>
  </conditionalFormatting>
  <conditionalFormatting sqref="Q32:Q39">
    <cfRule type="cellIs" dxfId="15030" priority="1647" operator="lessThan">
      <formula>0</formula>
    </cfRule>
  </conditionalFormatting>
  <conditionalFormatting sqref="R32:R39">
    <cfRule type="cellIs" dxfId="15029" priority="1645" operator="lessThan">
      <formula>0.8</formula>
    </cfRule>
    <cfRule type="cellIs" dxfId="15028" priority="1646" operator="greaterThan">
      <formula>1</formula>
    </cfRule>
  </conditionalFormatting>
  <conditionalFormatting sqref="R32:R39">
    <cfRule type="cellIs" dxfId="15027" priority="1643" operator="greaterThan">
      <formula>1</formula>
    </cfRule>
    <cfRule type="cellIs" dxfId="15026" priority="1644" operator="lessThan">
      <formula>0.8</formula>
    </cfRule>
  </conditionalFormatting>
  <conditionalFormatting sqref="P32:P39">
    <cfRule type="cellIs" dxfId="15025" priority="1642" operator="greaterThan">
      <formula>0</formula>
    </cfRule>
  </conditionalFormatting>
  <conditionalFormatting sqref="Q32:Q39">
    <cfRule type="cellIs" dxfId="15024" priority="1641" operator="lessThan">
      <formula>0</formula>
    </cfRule>
  </conditionalFormatting>
  <conditionalFormatting sqref="R32:R39">
    <cfRule type="cellIs" dxfId="15023" priority="1639" operator="lessThan">
      <formula>0.8</formula>
    </cfRule>
    <cfRule type="cellIs" dxfId="15022" priority="1640" operator="greaterThan">
      <formula>1</formula>
    </cfRule>
  </conditionalFormatting>
  <conditionalFormatting sqref="R32:R39">
    <cfRule type="cellIs" dxfId="15021" priority="1637" operator="greaterThan">
      <formula>1</formula>
    </cfRule>
    <cfRule type="cellIs" dxfId="15020" priority="1638" operator="lessThan">
      <formula>0.8</formula>
    </cfRule>
  </conditionalFormatting>
  <conditionalFormatting sqref="P32:P39">
    <cfRule type="cellIs" dxfId="15019" priority="1636" operator="greaterThan">
      <formula>0</formula>
    </cfRule>
  </conditionalFormatting>
  <conditionalFormatting sqref="P32:P39">
    <cfRule type="cellIs" dxfId="15018" priority="1630" operator="greaterThan">
      <formula>0</formula>
    </cfRule>
  </conditionalFormatting>
  <conditionalFormatting sqref="Q32:Q39">
    <cfRule type="cellIs" dxfId="15017" priority="1635" operator="lessThan">
      <formula>0</formula>
    </cfRule>
  </conditionalFormatting>
  <conditionalFormatting sqref="R32:R39">
    <cfRule type="cellIs" dxfId="15016" priority="1633" operator="lessThan">
      <formula>0.8</formula>
    </cfRule>
    <cfRule type="cellIs" dxfId="15015" priority="1634" operator="greaterThan">
      <formula>1</formula>
    </cfRule>
  </conditionalFormatting>
  <conditionalFormatting sqref="R32:R39">
    <cfRule type="cellIs" dxfId="15014" priority="1631" operator="greaterThan">
      <formula>1</formula>
    </cfRule>
    <cfRule type="cellIs" dxfId="15013" priority="1632" operator="lessThan">
      <formula>0.8</formula>
    </cfRule>
  </conditionalFormatting>
  <conditionalFormatting sqref="P32:P39">
    <cfRule type="cellIs" dxfId="15012" priority="1624" operator="greaterThan">
      <formula>0</formula>
    </cfRule>
  </conditionalFormatting>
  <conditionalFormatting sqref="Q32:Q39">
    <cfRule type="cellIs" dxfId="15011" priority="1629" operator="lessThan">
      <formula>0</formula>
    </cfRule>
  </conditionalFormatting>
  <conditionalFormatting sqref="R32:R39">
    <cfRule type="cellIs" dxfId="15010" priority="1627" operator="lessThan">
      <formula>0.8</formula>
    </cfRule>
    <cfRule type="cellIs" dxfId="15009" priority="1628" operator="greaterThan">
      <formula>1</formula>
    </cfRule>
  </conditionalFormatting>
  <conditionalFormatting sqref="R32:R39">
    <cfRule type="cellIs" dxfId="15008" priority="1625" operator="greaterThan">
      <formula>1</formula>
    </cfRule>
    <cfRule type="cellIs" dxfId="15007" priority="1626" operator="lessThan">
      <formula>0.8</formula>
    </cfRule>
  </conditionalFormatting>
  <conditionalFormatting sqref="R32:R39">
    <cfRule type="cellIs" dxfId="15006" priority="1621" operator="lessThan">
      <formula>0.8</formula>
    </cfRule>
    <cfRule type="cellIs" dxfId="15005" priority="1622" operator="greaterThan">
      <formula>1</formula>
    </cfRule>
  </conditionalFormatting>
  <conditionalFormatting sqref="R32:R39">
    <cfRule type="cellIs" dxfId="15004" priority="1619" operator="greaterThan">
      <formula>1</formula>
    </cfRule>
    <cfRule type="cellIs" dxfId="15003" priority="1620" operator="lessThan">
      <formula>0.8</formula>
    </cfRule>
  </conditionalFormatting>
  <conditionalFormatting sqref="P32:P39">
    <cfRule type="cellIs" dxfId="15002" priority="1618" operator="greaterThan">
      <formula>0</formula>
    </cfRule>
  </conditionalFormatting>
  <conditionalFormatting sqref="Q32:Q39">
    <cfRule type="cellIs" dxfId="15001" priority="1623" operator="lessThan">
      <formula>0</formula>
    </cfRule>
  </conditionalFormatting>
  <conditionalFormatting sqref="Q32:Q39">
    <cfRule type="cellIs" dxfId="15000" priority="1612" operator="lessThan">
      <formula>0</formula>
    </cfRule>
  </conditionalFormatting>
  <conditionalFormatting sqref="P32:P39">
    <cfRule type="cellIs" dxfId="14999" priority="1613" operator="greaterThan">
      <formula>0</formula>
    </cfRule>
  </conditionalFormatting>
  <conditionalFormatting sqref="R32:R39">
    <cfRule type="cellIs" dxfId="14998" priority="1616" operator="lessThan">
      <formula>0.8</formula>
    </cfRule>
    <cfRule type="cellIs" dxfId="14997" priority="1617" operator="greaterThan">
      <formula>1</formula>
    </cfRule>
  </conditionalFormatting>
  <conditionalFormatting sqref="R32:R39">
    <cfRule type="cellIs" dxfId="14996" priority="1614" operator="greaterThan">
      <formula>1</formula>
    </cfRule>
    <cfRule type="cellIs" dxfId="14995" priority="1615" operator="lessThan">
      <formula>0.8</formula>
    </cfRule>
  </conditionalFormatting>
  <conditionalFormatting sqref="Q32:Q39">
    <cfRule type="cellIs" dxfId="14994" priority="1606" operator="lessThan">
      <formula>0</formula>
    </cfRule>
  </conditionalFormatting>
  <conditionalFormatting sqref="R32:R39">
    <cfRule type="cellIs" dxfId="14993" priority="1610" operator="lessThan">
      <formula>0.8</formula>
    </cfRule>
    <cfRule type="cellIs" dxfId="14992" priority="1611" operator="greaterThan">
      <formula>1</formula>
    </cfRule>
  </conditionalFormatting>
  <conditionalFormatting sqref="R32:R39">
    <cfRule type="cellIs" dxfId="14991" priority="1608" operator="greaterThan">
      <formula>1</formula>
    </cfRule>
    <cfRule type="cellIs" dxfId="14990" priority="1609" operator="lessThan">
      <formula>0.8</formula>
    </cfRule>
  </conditionalFormatting>
  <conditionalFormatting sqref="P32:P39">
    <cfRule type="cellIs" dxfId="14989" priority="1607" operator="greaterThan">
      <formula>0</formula>
    </cfRule>
  </conditionalFormatting>
  <conditionalFormatting sqref="Q32:Q39">
    <cfRule type="cellIs" dxfId="14988" priority="1605" operator="lessThan">
      <formula>0</formula>
    </cfRule>
  </conditionalFormatting>
  <conditionalFormatting sqref="R32:R39">
    <cfRule type="cellIs" dxfId="14987" priority="1603" operator="lessThan">
      <formula>0.8</formula>
    </cfRule>
    <cfRule type="cellIs" dxfId="14986" priority="1604" operator="greaterThan">
      <formula>1</formula>
    </cfRule>
  </conditionalFormatting>
  <conditionalFormatting sqref="R32:R39">
    <cfRule type="cellIs" dxfId="14985" priority="1601" operator="greaterThan">
      <formula>1</formula>
    </cfRule>
    <cfRule type="cellIs" dxfId="14984" priority="1602" operator="lessThan">
      <formula>0.8</formula>
    </cfRule>
  </conditionalFormatting>
  <conditionalFormatting sqref="P32:P39">
    <cfRule type="cellIs" dxfId="14983" priority="1600" operator="greaterThan">
      <formula>0</formula>
    </cfRule>
  </conditionalFormatting>
  <conditionalFormatting sqref="Q32:Q39">
    <cfRule type="cellIs" dxfId="14982" priority="1599" operator="lessThan">
      <formula>0</formula>
    </cfRule>
  </conditionalFormatting>
  <conditionalFormatting sqref="R32:R39">
    <cfRule type="cellIs" dxfId="14981" priority="1597" operator="lessThan">
      <formula>0.8</formula>
    </cfRule>
    <cfRule type="cellIs" dxfId="14980" priority="1598" operator="greaterThan">
      <formula>1</formula>
    </cfRule>
  </conditionalFormatting>
  <conditionalFormatting sqref="R32:R39">
    <cfRule type="cellIs" dxfId="14979" priority="1595" operator="greaterThan">
      <formula>1</formula>
    </cfRule>
    <cfRule type="cellIs" dxfId="14978" priority="1596" operator="lessThan">
      <formula>0.8</formula>
    </cfRule>
  </conditionalFormatting>
  <conditionalFormatting sqref="P32:P39">
    <cfRule type="cellIs" dxfId="14977" priority="1594" operator="greaterThan">
      <formula>0</formula>
    </cfRule>
  </conditionalFormatting>
  <conditionalFormatting sqref="Q32:Q39">
    <cfRule type="cellIs" dxfId="14976" priority="1588" operator="lessThan">
      <formula>0</formula>
    </cfRule>
  </conditionalFormatting>
  <conditionalFormatting sqref="P32:P39">
    <cfRule type="cellIs" dxfId="14975" priority="1589" operator="greaterThan">
      <formula>0</formula>
    </cfRule>
  </conditionalFormatting>
  <conditionalFormatting sqref="R32:R39">
    <cfRule type="cellIs" dxfId="14974" priority="1592" operator="lessThan">
      <formula>0.8</formula>
    </cfRule>
    <cfRule type="cellIs" dxfId="14973" priority="1593" operator="greaterThan">
      <formula>1</formula>
    </cfRule>
  </conditionalFormatting>
  <conditionalFormatting sqref="R32:R39">
    <cfRule type="cellIs" dxfId="14972" priority="1590" operator="greaterThan">
      <formula>1</formula>
    </cfRule>
    <cfRule type="cellIs" dxfId="14971" priority="1591" operator="lessThan">
      <formula>0.8</formula>
    </cfRule>
  </conditionalFormatting>
  <conditionalFormatting sqref="Q32:Q39">
    <cfRule type="cellIs" dxfId="14970" priority="1582" operator="lessThan">
      <formula>0</formula>
    </cfRule>
  </conditionalFormatting>
  <conditionalFormatting sqref="R32:R39">
    <cfRule type="cellIs" dxfId="14969" priority="1586" operator="lessThan">
      <formula>0.8</formula>
    </cfRule>
    <cfRule type="cellIs" dxfId="14968" priority="1587" operator="greaterThan">
      <formula>1</formula>
    </cfRule>
  </conditionalFormatting>
  <conditionalFormatting sqref="R32:R39">
    <cfRule type="cellIs" dxfId="14967" priority="1584" operator="greaterThan">
      <formula>1</formula>
    </cfRule>
    <cfRule type="cellIs" dxfId="14966" priority="1585" operator="lessThan">
      <formula>0.8</formula>
    </cfRule>
  </conditionalFormatting>
  <conditionalFormatting sqref="P32:P39">
    <cfRule type="cellIs" dxfId="14965" priority="1583" operator="greaterThan">
      <formula>0</formula>
    </cfRule>
  </conditionalFormatting>
  <conditionalFormatting sqref="Q32:Q39">
    <cfRule type="cellIs" dxfId="14964" priority="1581" operator="lessThan">
      <formula>0</formula>
    </cfRule>
  </conditionalFormatting>
  <conditionalFormatting sqref="R32:R39">
    <cfRule type="cellIs" dxfId="14963" priority="1579" operator="lessThan">
      <formula>0.8</formula>
    </cfRule>
    <cfRule type="cellIs" dxfId="14962" priority="1580" operator="greaterThan">
      <formula>1</formula>
    </cfRule>
  </conditionalFormatting>
  <conditionalFormatting sqref="R32:R39">
    <cfRule type="cellIs" dxfId="14961" priority="1577" operator="greaterThan">
      <formula>1</formula>
    </cfRule>
    <cfRule type="cellIs" dxfId="14960" priority="1578" operator="lessThan">
      <formula>0.8</formula>
    </cfRule>
  </conditionalFormatting>
  <conditionalFormatting sqref="P32:P39">
    <cfRule type="cellIs" dxfId="14959" priority="1576" operator="greaterThan">
      <formula>0</formula>
    </cfRule>
  </conditionalFormatting>
  <conditionalFormatting sqref="Q32:Q39">
    <cfRule type="cellIs" dxfId="14958" priority="1575" operator="lessThan">
      <formula>0</formula>
    </cfRule>
  </conditionalFormatting>
  <conditionalFormatting sqref="R32:R39">
    <cfRule type="cellIs" dxfId="14957" priority="1573" operator="lessThan">
      <formula>0.8</formula>
    </cfRule>
    <cfRule type="cellIs" dxfId="14956" priority="1574" operator="greaterThan">
      <formula>1</formula>
    </cfRule>
  </conditionalFormatting>
  <conditionalFormatting sqref="R32:R39">
    <cfRule type="cellIs" dxfId="14955" priority="1571" operator="greaterThan">
      <formula>1</formula>
    </cfRule>
    <cfRule type="cellIs" dxfId="14954" priority="1572" operator="lessThan">
      <formula>0.8</formula>
    </cfRule>
  </conditionalFormatting>
  <conditionalFormatting sqref="P32:P39">
    <cfRule type="cellIs" dxfId="14953" priority="1570" operator="greaterThan">
      <formula>0</formula>
    </cfRule>
  </conditionalFormatting>
  <conditionalFormatting sqref="Q19:Q25">
    <cfRule type="cellIs" dxfId="14952" priority="1569" operator="lessThan">
      <formula>0</formula>
    </cfRule>
  </conditionalFormatting>
  <conditionalFormatting sqref="R19:R25">
    <cfRule type="cellIs" dxfId="14951" priority="1567" operator="lessThan">
      <formula>0.8</formula>
    </cfRule>
    <cfRule type="cellIs" dxfId="14950" priority="1568" operator="greaterThan">
      <formula>1</formula>
    </cfRule>
  </conditionalFormatting>
  <conditionalFormatting sqref="R19:R25">
    <cfRule type="cellIs" dxfId="14949" priority="1565" operator="greaterThan">
      <formula>1</formula>
    </cfRule>
    <cfRule type="cellIs" dxfId="14948" priority="1566" operator="lessThan">
      <formula>0.8</formula>
    </cfRule>
  </conditionalFormatting>
  <conditionalFormatting sqref="P19:P25">
    <cfRule type="cellIs" dxfId="14947" priority="1564" operator="greaterThan">
      <formula>0</formula>
    </cfRule>
  </conditionalFormatting>
  <conditionalFormatting sqref="R19:R25">
    <cfRule type="cellIs" dxfId="14946" priority="1561" operator="lessThan">
      <formula>0.8</formula>
    </cfRule>
    <cfRule type="cellIs" dxfId="14945" priority="1562" operator="greaterThan">
      <formula>1</formula>
    </cfRule>
  </conditionalFormatting>
  <conditionalFormatting sqref="R19:R25">
    <cfRule type="cellIs" dxfId="14944" priority="1559" operator="greaterThan">
      <formula>1</formula>
    </cfRule>
    <cfRule type="cellIs" dxfId="14943" priority="1560" operator="lessThan">
      <formula>0.8</formula>
    </cfRule>
  </conditionalFormatting>
  <conditionalFormatting sqref="P19:P25">
    <cfRule type="cellIs" dxfId="14942" priority="1558" operator="greaterThan">
      <formula>0</formula>
    </cfRule>
  </conditionalFormatting>
  <conditionalFormatting sqref="Q19:Q25">
    <cfRule type="cellIs" dxfId="14941" priority="1563" operator="lessThan">
      <formula>0</formula>
    </cfRule>
  </conditionalFormatting>
  <conditionalFormatting sqref="R19:R25">
    <cfRule type="cellIs" dxfId="14940" priority="1555" operator="lessThan">
      <formula>0.8</formula>
    </cfRule>
    <cfRule type="cellIs" dxfId="14939" priority="1556" operator="greaterThan">
      <formula>1</formula>
    </cfRule>
  </conditionalFormatting>
  <conditionalFormatting sqref="R19:R25">
    <cfRule type="cellIs" dxfId="14938" priority="1553" operator="greaterThan">
      <formula>1</formula>
    </cfRule>
    <cfRule type="cellIs" dxfId="14937" priority="1554" operator="lessThan">
      <formula>0.8</formula>
    </cfRule>
  </conditionalFormatting>
  <conditionalFormatting sqref="P19:P25">
    <cfRule type="cellIs" dxfId="14936" priority="1552" operator="greaterThan">
      <formula>0</formula>
    </cfRule>
  </conditionalFormatting>
  <conditionalFormatting sqref="Q19:Q25">
    <cfRule type="cellIs" dxfId="14935" priority="1557" operator="lessThan">
      <formula>0</formula>
    </cfRule>
  </conditionalFormatting>
  <conditionalFormatting sqref="Q19:Q25">
    <cfRule type="cellIs" dxfId="14934" priority="1551" operator="lessThan">
      <formula>0</formula>
    </cfRule>
  </conditionalFormatting>
  <conditionalFormatting sqref="R19:R25">
    <cfRule type="cellIs" dxfId="14933" priority="1549" operator="lessThan">
      <formula>0.8</formula>
    </cfRule>
    <cfRule type="cellIs" dxfId="14932" priority="1550" operator="greaterThan">
      <formula>1</formula>
    </cfRule>
  </conditionalFormatting>
  <conditionalFormatting sqref="R19:R25">
    <cfRule type="cellIs" dxfId="14931" priority="1547" operator="greaterThan">
      <formula>1</formula>
    </cfRule>
    <cfRule type="cellIs" dxfId="14930" priority="1548" operator="lessThan">
      <formula>0.8</formula>
    </cfRule>
  </conditionalFormatting>
  <conditionalFormatting sqref="P19:P25">
    <cfRule type="cellIs" dxfId="14929" priority="1546" operator="greaterThan">
      <formula>0</formula>
    </cfRule>
  </conditionalFormatting>
  <conditionalFormatting sqref="Q135:Q136 Q139 Q142">
    <cfRule type="cellIs" dxfId="14928" priority="1545" operator="lessThan">
      <formula>0</formula>
    </cfRule>
  </conditionalFormatting>
  <conditionalFormatting sqref="R135:R136 R139 R142">
    <cfRule type="cellIs" dxfId="14927" priority="1543" operator="lessThan">
      <formula>0.8</formula>
    </cfRule>
    <cfRule type="cellIs" dxfId="14926" priority="1544" operator="greaterThan">
      <formula>1</formula>
    </cfRule>
  </conditionalFormatting>
  <conditionalFormatting sqref="R135:R136 R139 R142">
    <cfRule type="cellIs" dxfId="14925" priority="1541" operator="greaterThan">
      <formula>1</formula>
    </cfRule>
    <cfRule type="cellIs" dxfId="14924" priority="1542" operator="lessThan">
      <formula>0.8</formula>
    </cfRule>
  </conditionalFormatting>
  <conditionalFormatting sqref="P135:P136 P139 P142">
    <cfRule type="cellIs" dxfId="14923" priority="1540" operator="greaterThan">
      <formula>0</formula>
    </cfRule>
  </conditionalFormatting>
  <conditionalFormatting sqref="P135:P136 P139 P142">
    <cfRule type="cellIs" dxfId="14922" priority="1534" operator="greaterThan">
      <formula>0</formula>
    </cfRule>
  </conditionalFormatting>
  <conditionalFormatting sqref="Q135:Q136 Q139 Q142">
    <cfRule type="cellIs" dxfId="14921" priority="1539" operator="lessThan">
      <formula>0</formula>
    </cfRule>
  </conditionalFormatting>
  <conditionalFormatting sqref="R135:R136 R139 R142">
    <cfRule type="cellIs" dxfId="14920" priority="1537" operator="lessThan">
      <formula>0.8</formula>
    </cfRule>
    <cfRule type="cellIs" dxfId="14919" priority="1538" operator="greaterThan">
      <formula>1</formula>
    </cfRule>
  </conditionalFormatting>
  <conditionalFormatting sqref="R135:R136 R139 R142">
    <cfRule type="cellIs" dxfId="14918" priority="1535" operator="greaterThan">
      <formula>1</formula>
    </cfRule>
    <cfRule type="cellIs" dxfId="14917" priority="1536" operator="lessThan">
      <formula>0.8</formula>
    </cfRule>
  </conditionalFormatting>
  <conditionalFormatting sqref="P19:P25">
    <cfRule type="cellIs" dxfId="14916" priority="1528" operator="greaterThan">
      <formula>0</formula>
    </cfRule>
  </conditionalFormatting>
  <conditionalFormatting sqref="Q19:Q25">
    <cfRule type="cellIs" dxfId="14915" priority="1533" operator="lessThan">
      <formula>0</formula>
    </cfRule>
  </conditionalFormatting>
  <conditionalFormatting sqref="R19:R25">
    <cfRule type="cellIs" dxfId="14914" priority="1531" operator="lessThan">
      <formula>0.8</formula>
    </cfRule>
    <cfRule type="cellIs" dxfId="14913" priority="1532" operator="greaterThan">
      <formula>1</formula>
    </cfRule>
  </conditionalFormatting>
  <conditionalFormatting sqref="R19:R25">
    <cfRule type="cellIs" dxfId="14912" priority="1529" operator="greaterThan">
      <formula>1</formula>
    </cfRule>
    <cfRule type="cellIs" dxfId="14911" priority="1530" operator="lessThan">
      <formula>0.8</formula>
    </cfRule>
  </conditionalFormatting>
  <conditionalFormatting sqref="Q19:Q25">
    <cfRule type="cellIs" dxfId="14910" priority="1527" operator="lessThan">
      <formula>0</formula>
    </cfRule>
  </conditionalFormatting>
  <conditionalFormatting sqref="R19:R25">
    <cfRule type="cellIs" dxfId="14909" priority="1525" operator="lessThan">
      <formula>0.8</formula>
    </cfRule>
    <cfRule type="cellIs" dxfId="14908" priority="1526" operator="greaterThan">
      <formula>1</formula>
    </cfRule>
  </conditionalFormatting>
  <conditionalFormatting sqref="R19:R25">
    <cfRule type="cellIs" dxfId="14907" priority="1523" operator="greaterThan">
      <formula>1</formula>
    </cfRule>
    <cfRule type="cellIs" dxfId="14906" priority="1524" operator="lessThan">
      <formula>0.8</formula>
    </cfRule>
  </conditionalFormatting>
  <conditionalFormatting sqref="P19:P25">
    <cfRule type="cellIs" dxfId="14905" priority="1522" operator="greaterThan">
      <formula>0</formula>
    </cfRule>
  </conditionalFormatting>
  <conditionalFormatting sqref="Q19:Q25">
    <cfRule type="cellIs" dxfId="14904" priority="1521" operator="lessThan">
      <formula>0</formula>
    </cfRule>
  </conditionalFormatting>
  <conditionalFormatting sqref="R19:R25">
    <cfRule type="cellIs" dxfId="14903" priority="1519" operator="lessThan">
      <formula>0.8</formula>
    </cfRule>
    <cfRule type="cellIs" dxfId="14902" priority="1520" operator="greaterThan">
      <formula>1</formula>
    </cfRule>
  </conditionalFormatting>
  <conditionalFormatting sqref="R19:R25">
    <cfRule type="cellIs" dxfId="14901" priority="1517" operator="greaterThan">
      <formula>1</formula>
    </cfRule>
    <cfRule type="cellIs" dxfId="14900" priority="1518" operator="lessThan">
      <formula>0.8</formula>
    </cfRule>
  </conditionalFormatting>
  <conditionalFormatting sqref="P19:P25">
    <cfRule type="cellIs" dxfId="14899" priority="1516" operator="greaterThan">
      <formula>0</formula>
    </cfRule>
  </conditionalFormatting>
  <conditionalFormatting sqref="Q19:Q25">
    <cfRule type="cellIs" dxfId="14898" priority="1515" operator="lessThan">
      <formula>0</formula>
    </cfRule>
  </conditionalFormatting>
  <conditionalFormatting sqref="R19:R25">
    <cfRule type="cellIs" dxfId="14897" priority="1513" operator="lessThan">
      <formula>0.8</formula>
    </cfRule>
    <cfRule type="cellIs" dxfId="14896" priority="1514" operator="greaterThan">
      <formula>1</formula>
    </cfRule>
  </conditionalFormatting>
  <conditionalFormatting sqref="R19:R25">
    <cfRule type="cellIs" dxfId="14895" priority="1511" operator="greaterThan">
      <formula>1</formula>
    </cfRule>
    <cfRule type="cellIs" dxfId="14894" priority="1512" operator="lessThan">
      <formula>0.8</formula>
    </cfRule>
  </conditionalFormatting>
  <conditionalFormatting sqref="P19:P25">
    <cfRule type="cellIs" dxfId="14893" priority="1510" operator="greaterThan">
      <formula>0</formula>
    </cfRule>
  </conditionalFormatting>
  <conditionalFormatting sqref="R19:R25">
    <cfRule type="cellIs" dxfId="14892" priority="1507" operator="lessThan">
      <formula>0.8</formula>
    </cfRule>
    <cfRule type="cellIs" dxfId="14891" priority="1508" operator="greaterThan">
      <formula>1</formula>
    </cfRule>
  </conditionalFormatting>
  <conditionalFormatting sqref="R19:R25">
    <cfRule type="cellIs" dxfId="14890" priority="1505" operator="greaterThan">
      <formula>1</formula>
    </cfRule>
    <cfRule type="cellIs" dxfId="14889" priority="1506" operator="lessThan">
      <formula>0.8</formula>
    </cfRule>
  </conditionalFormatting>
  <conditionalFormatting sqref="P19:P25">
    <cfRule type="cellIs" dxfId="14888" priority="1504" operator="greaterThan">
      <formula>0</formula>
    </cfRule>
  </conditionalFormatting>
  <conditionalFormatting sqref="Q19:Q25">
    <cfRule type="cellIs" dxfId="14887" priority="1509" operator="lessThan">
      <formula>0</formula>
    </cfRule>
  </conditionalFormatting>
  <conditionalFormatting sqref="Q19:Q25">
    <cfRule type="cellIs" dxfId="14886" priority="1503" operator="lessThan">
      <formula>0</formula>
    </cfRule>
  </conditionalFormatting>
  <conditionalFormatting sqref="R19:R25">
    <cfRule type="cellIs" dxfId="14885" priority="1501" operator="lessThan">
      <formula>0.8</formula>
    </cfRule>
    <cfRule type="cellIs" dxfId="14884" priority="1502" operator="greaterThan">
      <formula>1</formula>
    </cfRule>
  </conditionalFormatting>
  <conditionalFormatting sqref="R19:R25">
    <cfRule type="cellIs" dxfId="14883" priority="1499" operator="greaterThan">
      <formula>1</formula>
    </cfRule>
    <cfRule type="cellIs" dxfId="14882" priority="1500" operator="lessThan">
      <formula>0.8</formula>
    </cfRule>
  </conditionalFormatting>
  <conditionalFormatting sqref="P19:P25">
    <cfRule type="cellIs" dxfId="14881" priority="1498" operator="greaterThan">
      <formula>0</formula>
    </cfRule>
  </conditionalFormatting>
  <conditionalFormatting sqref="P19:P25">
    <cfRule type="cellIs" dxfId="14880" priority="1492" operator="greaterThan">
      <formula>0</formula>
    </cfRule>
  </conditionalFormatting>
  <conditionalFormatting sqref="Q19:Q25">
    <cfRule type="cellIs" dxfId="14879" priority="1497" operator="lessThan">
      <formula>0</formula>
    </cfRule>
  </conditionalFormatting>
  <conditionalFormatting sqref="R19:R25">
    <cfRule type="cellIs" dxfId="14878" priority="1495" operator="lessThan">
      <formula>0.8</formula>
    </cfRule>
    <cfRule type="cellIs" dxfId="14877" priority="1496" operator="greaterThan">
      <formula>1</formula>
    </cfRule>
  </conditionalFormatting>
  <conditionalFormatting sqref="R19:R25">
    <cfRule type="cellIs" dxfId="14876" priority="1493" operator="greaterThan">
      <formula>1</formula>
    </cfRule>
    <cfRule type="cellIs" dxfId="14875" priority="1494" operator="lessThan">
      <formula>0.8</formula>
    </cfRule>
  </conditionalFormatting>
  <conditionalFormatting sqref="P19:P25">
    <cfRule type="cellIs" dxfId="14874" priority="1486" operator="greaterThan">
      <formula>0</formula>
    </cfRule>
  </conditionalFormatting>
  <conditionalFormatting sqref="Q19:Q25">
    <cfRule type="cellIs" dxfId="14873" priority="1491" operator="lessThan">
      <formula>0</formula>
    </cfRule>
  </conditionalFormatting>
  <conditionalFormatting sqref="R19:R25">
    <cfRule type="cellIs" dxfId="14872" priority="1489" operator="lessThan">
      <formula>0.8</formula>
    </cfRule>
    <cfRule type="cellIs" dxfId="14871" priority="1490" operator="greaterThan">
      <formula>1</formula>
    </cfRule>
  </conditionalFormatting>
  <conditionalFormatting sqref="R19:R25">
    <cfRule type="cellIs" dxfId="14870" priority="1487" operator="greaterThan">
      <formula>1</formula>
    </cfRule>
    <cfRule type="cellIs" dxfId="14869" priority="1488" operator="lessThan">
      <formula>0.8</formula>
    </cfRule>
  </conditionalFormatting>
  <conditionalFormatting sqref="Q19:Q25">
    <cfRule type="cellIs" dxfId="14868" priority="1485" operator="lessThan">
      <formula>0</formula>
    </cfRule>
  </conditionalFormatting>
  <conditionalFormatting sqref="R19:R25">
    <cfRule type="cellIs" dxfId="14867" priority="1483" operator="lessThan">
      <formula>0.8</formula>
    </cfRule>
    <cfRule type="cellIs" dxfId="14866" priority="1484" operator="greaterThan">
      <formula>1</formula>
    </cfRule>
  </conditionalFormatting>
  <conditionalFormatting sqref="R19:R25">
    <cfRule type="cellIs" dxfId="14865" priority="1481" operator="greaterThan">
      <formula>1</formula>
    </cfRule>
    <cfRule type="cellIs" dxfId="14864" priority="1482" operator="lessThan">
      <formula>0.8</formula>
    </cfRule>
  </conditionalFormatting>
  <conditionalFormatting sqref="P19:P25">
    <cfRule type="cellIs" dxfId="14863" priority="1480" operator="greaterThan">
      <formula>0</formula>
    </cfRule>
  </conditionalFormatting>
  <conditionalFormatting sqref="Q19:Q25">
    <cfRule type="cellIs" dxfId="14862" priority="1479" operator="lessThan">
      <formula>0</formula>
    </cfRule>
  </conditionalFormatting>
  <conditionalFormatting sqref="R19:R25">
    <cfRule type="cellIs" dxfId="14861" priority="1477" operator="lessThan">
      <formula>0.8</formula>
    </cfRule>
    <cfRule type="cellIs" dxfId="14860" priority="1478" operator="greaterThan">
      <formula>1</formula>
    </cfRule>
  </conditionalFormatting>
  <conditionalFormatting sqref="R19:R25">
    <cfRule type="cellIs" dxfId="14859" priority="1475" operator="greaterThan">
      <formula>1</formula>
    </cfRule>
    <cfRule type="cellIs" dxfId="14858" priority="1476" operator="lessThan">
      <formula>0.8</formula>
    </cfRule>
  </conditionalFormatting>
  <conditionalFormatting sqref="P19:P25">
    <cfRule type="cellIs" dxfId="14857" priority="1474" operator="greaterThan">
      <formula>0</formula>
    </cfRule>
  </conditionalFormatting>
  <conditionalFormatting sqref="P19:P25">
    <cfRule type="cellIs" dxfId="14856" priority="1468" operator="greaterThan">
      <formula>0</formula>
    </cfRule>
  </conditionalFormatting>
  <conditionalFormatting sqref="Q19:Q25">
    <cfRule type="cellIs" dxfId="14855" priority="1473" operator="lessThan">
      <formula>0</formula>
    </cfRule>
  </conditionalFormatting>
  <conditionalFormatting sqref="R19:R25">
    <cfRule type="cellIs" dxfId="14854" priority="1471" operator="lessThan">
      <formula>0.8</formula>
    </cfRule>
    <cfRule type="cellIs" dxfId="14853" priority="1472" operator="greaterThan">
      <formula>1</formula>
    </cfRule>
  </conditionalFormatting>
  <conditionalFormatting sqref="R19:R25">
    <cfRule type="cellIs" dxfId="14852" priority="1469" operator="greaterThan">
      <formula>1</formula>
    </cfRule>
    <cfRule type="cellIs" dxfId="14851" priority="1470" operator="lessThan">
      <formula>0.8</formula>
    </cfRule>
  </conditionalFormatting>
  <conditionalFormatting sqref="Q19:Q25">
    <cfRule type="cellIs" dxfId="14850" priority="1467" operator="lessThan">
      <formula>0</formula>
    </cfRule>
  </conditionalFormatting>
  <conditionalFormatting sqref="R19:R25">
    <cfRule type="cellIs" dxfId="14849" priority="1465" operator="lessThan">
      <formula>0.8</formula>
    </cfRule>
    <cfRule type="cellIs" dxfId="14848" priority="1466" operator="greaterThan">
      <formula>1</formula>
    </cfRule>
  </conditionalFormatting>
  <conditionalFormatting sqref="R19:R25">
    <cfRule type="cellIs" dxfId="14847" priority="1463" operator="greaterThan">
      <formula>1</formula>
    </cfRule>
    <cfRule type="cellIs" dxfId="14846" priority="1464" operator="lessThan">
      <formula>0.8</formula>
    </cfRule>
  </conditionalFormatting>
  <conditionalFormatting sqref="P19:P25">
    <cfRule type="cellIs" dxfId="14845" priority="1462" operator="greaterThan">
      <formula>0</formula>
    </cfRule>
  </conditionalFormatting>
  <conditionalFormatting sqref="Q19:Q25">
    <cfRule type="cellIs" dxfId="14844" priority="1461" operator="lessThan">
      <formula>0</formula>
    </cfRule>
  </conditionalFormatting>
  <conditionalFormatting sqref="R19:R25">
    <cfRule type="cellIs" dxfId="14843" priority="1459" operator="lessThan">
      <formula>0.8</formula>
    </cfRule>
    <cfRule type="cellIs" dxfId="14842" priority="1460" operator="greaterThan">
      <formula>1</formula>
    </cfRule>
  </conditionalFormatting>
  <conditionalFormatting sqref="R19:R25">
    <cfRule type="cellIs" dxfId="14841" priority="1457" operator="greaterThan">
      <formula>1</formula>
    </cfRule>
    <cfRule type="cellIs" dxfId="14840" priority="1458" operator="lessThan">
      <formula>0.8</formula>
    </cfRule>
  </conditionalFormatting>
  <conditionalFormatting sqref="P19:P25">
    <cfRule type="cellIs" dxfId="14839" priority="1456" operator="greaterThan">
      <formula>0</formula>
    </cfRule>
  </conditionalFormatting>
  <conditionalFormatting sqref="Q19:Q25">
    <cfRule type="cellIs" dxfId="14838" priority="1455" operator="lessThan">
      <formula>0</formula>
    </cfRule>
  </conditionalFormatting>
  <conditionalFormatting sqref="R19:R25">
    <cfRule type="cellIs" dxfId="14837" priority="1453" operator="lessThan">
      <formula>0.8</formula>
    </cfRule>
    <cfRule type="cellIs" dxfId="14836" priority="1454" operator="greaterThan">
      <formula>1</formula>
    </cfRule>
  </conditionalFormatting>
  <conditionalFormatting sqref="R19:R25">
    <cfRule type="cellIs" dxfId="14835" priority="1451" operator="greaterThan">
      <formula>1</formula>
    </cfRule>
    <cfRule type="cellIs" dxfId="14834" priority="1452" operator="lessThan">
      <formula>0.8</formula>
    </cfRule>
  </conditionalFormatting>
  <conditionalFormatting sqref="P19:P25">
    <cfRule type="cellIs" dxfId="14833" priority="1450" operator="greaterThan">
      <formula>0</formula>
    </cfRule>
  </conditionalFormatting>
  <conditionalFormatting sqref="R19:R25">
    <cfRule type="cellIs" dxfId="14832" priority="1447" operator="lessThan">
      <formula>0.8</formula>
    </cfRule>
    <cfRule type="cellIs" dxfId="14831" priority="1448" operator="greaterThan">
      <formula>1</formula>
    </cfRule>
  </conditionalFormatting>
  <conditionalFormatting sqref="R19:R25">
    <cfRule type="cellIs" dxfId="14830" priority="1445" operator="greaterThan">
      <formula>1</formula>
    </cfRule>
    <cfRule type="cellIs" dxfId="14829" priority="1446" operator="lessThan">
      <formula>0.8</formula>
    </cfRule>
  </conditionalFormatting>
  <conditionalFormatting sqref="P19:P25">
    <cfRule type="cellIs" dxfId="14828" priority="1444" operator="greaterThan">
      <formula>0</formula>
    </cfRule>
  </conditionalFormatting>
  <conditionalFormatting sqref="Q19:Q25">
    <cfRule type="cellIs" dxfId="14827" priority="1449" operator="lessThan">
      <formula>0</formula>
    </cfRule>
  </conditionalFormatting>
  <conditionalFormatting sqref="Q40">
    <cfRule type="cellIs" dxfId="14826" priority="1443" operator="lessThan">
      <formula>0</formula>
    </cfRule>
  </conditionalFormatting>
  <conditionalFormatting sqref="R40">
    <cfRule type="cellIs" dxfId="14825" priority="1441" operator="lessThan">
      <formula>0.8</formula>
    </cfRule>
    <cfRule type="cellIs" dxfId="14824" priority="1442" operator="greaterThan">
      <formula>1</formula>
    </cfRule>
  </conditionalFormatting>
  <conditionalFormatting sqref="R40">
    <cfRule type="cellIs" dxfId="14823" priority="1439" operator="greaterThan">
      <formula>1</formula>
    </cfRule>
    <cfRule type="cellIs" dxfId="14822" priority="1440" operator="lessThan">
      <formula>0.8</formula>
    </cfRule>
  </conditionalFormatting>
  <conditionalFormatting sqref="P40">
    <cfRule type="cellIs" dxfId="14821" priority="1438" operator="greaterThan">
      <formula>0</formula>
    </cfRule>
  </conditionalFormatting>
  <conditionalFormatting sqref="P40">
    <cfRule type="cellIs" dxfId="14820" priority="1432" operator="greaterThan">
      <formula>0</formula>
    </cfRule>
  </conditionalFormatting>
  <conditionalFormatting sqref="Q40">
    <cfRule type="cellIs" dxfId="14819" priority="1437" operator="lessThan">
      <formula>0</formula>
    </cfRule>
  </conditionalFormatting>
  <conditionalFormatting sqref="R40">
    <cfRule type="cellIs" dxfId="14818" priority="1435" operator="lessThan">
      <formula>0.8</formula>
    </cfRule>
    <cfRule type="cellIs" dxfId="14817" priority="1436" operator="greaterThan">
      <formula>1</formula>
    </cfRule>
  </conditionalFormatting>
  <conditionalFormatting sqref="R40">
    <cfRule type="cellIs" dxfId="14816" priority="1433" operator="greaterThan">
      <formula>1</formula>
    </cfRule>
    <cfRule type="cellIs" dxfId="14815" priority="1434" operator="lessThan">
      <formula>0.8</formula>
    </cfRule>
  </conditionalFormatting>
  <conditionalFormatting sqref="P40">
    <cfRule type="cellIs" dxfId="14814" priority="1426" operator="greaterThan">
      <formula>0</formula>
    </cfRule>
  </conditionalFormatting>
  <conditionalFormatting sqref="Q40">
    <cfRule type="cellIs" dxfId="14813" priority="1431" operator="lessThan">
      <formula>0</formula>
    </cfRule>
  </conditionalFormatting>
  <conditionalFormatting sqref="R40">
    <cfRule type="cellIs" dxfId="14812" priority="1429" operator="lessThan">
      <formula>0.8</formula>
    </cfRule>
    <cfRule type="cellIs" dxfId="14811" priority="1430" operator="greaterThan">
      <formula>1</formula>
    </cfRule>
  </conditionalFormatting>
  <conditionalFormatting sqref="R40">
    <cfRule type="cellIs" dxfId="14810" priority="1427" operator="greaterThan">
      <formula>1</formula>
    </cfRule>
    <cfRule type="cellIs" dxfId="14809" priority="1428" operator="lessThan">
      <formula>0.8</formula>
    </cfRule>
  </conditionalFormatting>
  <conditionalFormatting sqref="Q40">
    <cfRule type="cellIs" dxfId="14808" priority="1425" operator="lessThan">
      <formula>0</formula>
    </cfRule>
  </conditionalFormatting>
  <conditionalFormatting sqref="R40">
    <cfRule type="cellIs" dxfId="14807" priority="1423" operator="lessThan">
      <formula>0.8</formula>
    </cfRule>
    <cfRule type="cellIs" dxfId="14806" priority="1424" operator="greaterThan">
      <formula>1</formula>
    </cfRule>
  </conditionalFormatting>
  <conditionalFormatting sqref="R40">
    <cfRule type="cellIs" dxfId="14805" priority="1421" operator="greaterThan">
      <formula>1</formula>
    </cfRule>
    <cfRule type="cellIs" dxfId="14804" priority="1422" operator="lessThan">
      <formula>0.8</formula>
    </cfRule>
  </conditionalFormatting>
  <conditionalFormatting sqref="P40">
    <cfRule type="cellIs" dxfId="14803" priority="1420" operator="greaterThan">
      <formula>0</formula>
    </cfRule>
  </conditionalFormatting>
  <conditionalFormatting sqref="P40">
    <cfRule type="cellIs" dxfId="14802" priority="1414" operator="greaterThan">
      <formula>0</formula>
    </cfRule>
  </conditionalFormatting>
  <conditionalFormatting sqref="Q40">
    <cfRule type="cellIs" dxfId="14801" priority="1419" operator="lessThan">
      <formula>0</formula>
    </cfRule>
  </conditionalFormatting>
  <conditionalFormatting sqref="R40">
    <cfRule type="cellIs" dxfId="14800" priority="1417" operator="lessThan">
      <formula>0.8</formula>
    </cfRule>
    <cfRule type="cellIs" dxfId="14799" priority="1418" operator="greaterThan">
      <formula>1</formula>
    </cfRule>
  </conditionalFormatting>
  <conditionalFormatting sqref="R40">
    <cfRule type="cellIs" dxfId="14798" priority="1415" operator="greaterThan">
      <formula>1</formula>
    </cfRule>
    <cfRule type="cellIs" dxfId="14797" priority="1416" operator="lessThan">
      <formula>0.8</formula>
    </cfRule>
  </conditionalFormatting>
  <conditionalFormatting sqref="P40">
    <cfRule type="cellIs" dxfId="14796" priority="1408" operator="greaterThan">
      <formula>0</formula>
    </cfRule>
  </conditionalFormatting>
  <conditionalFormatting sqref="Q40">
    <cfRule type="cellIs" dxfId="14795" priority="1413" operator="lessThan">
      <formula>0</formula>
    </cfRule>
  </conditionalFormatting>
  <conditionalFormatting sqref="R40">
    <cfRule type="cellIs" dxfId="14794" priority="1411" operator="lessThan">
      <formula>0.8</formula>
    </cfRule>
    <cfRule type="cellIs" dxfId="14793" priority="1412" operator="greaterThan">
      <formula>1</formula>
    </cfRule>
  </conditionalFormatting>
  <conditionalFormatting sqref="R40">
    <cfRule type="cellIs" dxfId="14792" priority="1409" operator="greaterThan">
      <formula>1</formula>
    </cfRule>
    <cfRule type="cellIs" dxfId="14791" priority="1410" operator="lessThan">
      <formula>0.8</formula>
    </cfRule>
  </conditionalFormatting>
  <conditionalFormatting sqref="P40">
    <cfRule type="cellIs" dxfId="14790" priority="1402" operator="greaterThan">
      <formula>0</formula>
    </cfRule>
  </conditionalFormatting>
  <conditionalFormatting sqref="Q40">
    <cfRule type="cellIs" dxfId="14789" priority="1407" operator="lessThan">
      <formula>0</formula>
    </cfRule>
  </conditionalFormatting>
  <conditionalFormatting sqref="R40">
    <cfRule type="cellIs" dxfId="14788" priority="1405" operator="lessThan">
      <formula>0.8</formula>
    </cfRule>
    <cfRule type="cellIs" dxfId="14787" priority="1406" operator="greaterThan">
      <formula>1</formula>
    </cfRule>
  </conditionalFormatting>
  <conditionalFormatting sqref="R40">
    <cfRule type="cellIs" dxfId="14786" priority="1403" operator="greaterThan">
      <formula>1</formula>
    </cfRule>
    <cfRule type="cellIs" dxfId="14785" priority="1404" operator="lessThan">
      <formula>0.8</formula>
    </cfRule>
  </conditionalFormatting>
  <conditionalFormatting sqref="Q40">
    <cfRule type="cellIs" dxfId="14784" priority="1396" operator="lessThan">
      <formula>0</formula>
    </cfRule>
  </conditionalFormatting>
  <conditionalFormatting sqref="P40">
    <cfRule type="cellIs" dxfId="14783" priority="1397" operator="greaterThan">
      <formula>0</formula>
    </cfRule>
  </conditionalFormatting>
  <conditionalFormatting sqref="R40">
    <cfRule type="cellIs" dxfId="14782" priority="1400" operator="lessThan">
      <formula>0.8</formula>
    </cfRule>
    <cfRule type="cellIs" dxfId="14781" priority="1401" operator="greaterThan">
      <formula>1</formula>
    </cfRule>
  </conditionalFormatting>
  <conditionalFormatting sqref="R40">
    <cfRule type="cellIs" dxfId="14780" priority="1398" operator="greaterThan">
      <formula>1</formula>
    </cfRule>
    <cfRule type="cellIs" dxfId="14779" priority="1399" operator="lessThan">
      <formula>0.8</formula>
    </cfRule>
  </conditionalFormatting>
  <conditionalFormatting sqref="Q40">
    <cfRule type="cellIs" dxfId="14778" priority="1390" operator="lessThan">
      <formula>0</formula>
    </cfRule>
  </conditionalFormatting>
  <conditionalFormatting sqref="R40">
    <cfRule type="cellIs" dxfId="14777" priority="1394" operator="lessThan">
      <formula>0.8</formula>
    </cfRule>
    <cfRule type="cellIs" dxfId="14776" priority="1395" operator="greaterThan">
      <formula>1</formula>
    </cfRule>
  </conditionalFormatting>
  <conditionalFormatting sqref="R40">
    <cfRule type="cellIs" dxfId="14775" priority="1392" operator="greaterThan">
      <formula>1</formula>
    </cfRule>
    <cfRule type="cellIs" dxfId="14774" priority="1393" operator="lessThan">
      <formula>0.8</formula>
    </cfRule>
  </conditionalFormatting>
  <conditionalFormatting sqref="P40">
    <cfRule type="cellIs" dxfId="14773" priority="1391" operator="greaterThan">
      <formula>0</formula>
    </cfRule>
  </conditionalFormatting>
  <conditionalFormatting sqref="Q40">
    <cfRule type="cellIs" dxfId="14772" priority="1389" operator="lessThan">
      <formula>0</formula>
    </cfRule>
  </conditionalFormatting>
  <conditionalFormatting sqref="R40">
    <cfRule type="cellIs" dxfId="14771" priority="1387" operator="lessThan">
      <formula>0.8</formula>
    </cfRule>
    <cfRule type="cellIs" dxfId="14770" priority="1388" operator="greaterThan">
      <formula>1</formula>
    </cfRule>
  </conditionalFormatting>
  <conditionalFormatting sqref="R40">
    <cfRule type="cellIs" dxfId="14769" priority="1385" operator="greaterThan">
      <formula>1</formula>
    </cfRule>
    <cfRule type="cellIs" dxfId="14768" priority="1386" operator="lessThan">
      <formula>0.8</formula>
    </cfRule>
  </conditionalFormatting>
  <conditionalFormatting sqref="P40">
    <cfRule type="cellIs" dxfId="14767" priority="1384" operator="greaterThan">
      <formula>0</formula>
    </cfRule>
  </conditionalFormatting>
  <conditionalFormatting sqref="Q40">
    <cfRule type="cellIs" dxfId="14766" priority="1383" operator="lessThan">
      <formula>0</formula>
    </cfRule>
  </conditionalFormatting>
  <conditionalFormatting sqref="R40">
    <cfRule type="cellIs" dxfId="14765" priority="1381" operator="lessThan">
      <formula>0.8</formula>
    </cfRule>
    <cfRule type="cellIs" dxfId="14764" priority="1382" operator="greaterThan">
      <formula>1</formula>
    </cfRule>
  </conditionalFormatting>
  <conditionalFormatting sqref="R40">
    <cfRule type="cellIs" dxfId="14763" priority="1379" operator="greaterThan">
      <formula>1</formula>
    </cfRule>
    <cfRule type="cellIs" dxfId="14762" priority="1380" operator="lessThan">
      <formula>0.8</formula>
    </cfRule>
  </conditionalFormatting>
  <conditionalFormatting sqref="P40">
    <cfRule type="cellIs" dxfId="14761" priority="1378" operator="greaterThan">
      <formula>0</formula>
    </cfRule>
  </conditionalFormatting>
  <conditionalFormatting sqref="Q32:Q39">
    <cfRule type="cellIs" dxfId="14760" priority="1377" operator="lessThan">
      <formula>0</formula>
    </cfRule>
  </conditionalFormatting>
  <conditionalFormatting sqref="R32:R39">
    <cfRule type="cellIs" dxfId="14759" priority="1375" operator="lessThan">
      <formula>0.8</formula>
    </cfRule>
    <cfRule type="cellIs" dxfId="14758" priority="1376" operator="greaterThan">
      <formula>1</formula>
    </cfRule>
  </conditionalFormatting>
  <conditionalFormatting sqref="R32:R39">
    <cfRule type="cellIs" dxfId="14757" priority="1373" operator="greaterThan">
      <formula>1</formula>
    </cfRule>
    <cfRule type="cellIs" dxfId="14756" priority="1374" operator="lessThan">
      <formula>0.8</formula>
    </cfRule>
  </conditionalFormatting>
  <conditionalFormatting sqref="P32:P39">
    <cfRule type="cellIs" dxfId="14755" priority="1372" operator="greaterThan">
      <formula>0</formula>
    </cfRule>
  </conditionalFormatting>
  <conditionalFormatting sqref="Q32:Q39">
    <cfRule type="cellIs" dxfId="14754" priority="1371" operator="lessThan">
      <formula>0</formula>
    </cfRule>
  </conditionalFormatting>
  <conditionalFormatting sqref="R32:R39">
    <cfRule type="cellIs" dxfId="14753" priority="1369" operator="lessThan">
      <formula>0.8</formula>
    </cfRule>
    <cfRule type="cellIs" dxfId="14752" priority="1370" operator="greaterThan">
      <formula>1</formula>
    </cfRule>
  </conditionalFormatting>
  <conditionalFormatting sqref="R32:R39">
    <cfRule type="cellIs" dxfId="14751" priority="1367" operator="greaterThan">
      <formula>1</formula>
    </cfRule>
    <cfRule type="cellIs" dxfId="14750" priority="1368" operator="lessThan">
      <formula>0.8</formula>
    </cfRule>
  </conditionalFormatting>
  <conditionalFormatting sqref="P32:P39">
    <cfRule type="cellIs" dxfId="14749" priority="1366" operator="greaterThan">
      <formula>0</formula>
    </cfRule>
  </conditionalFormatting>
  <conditionalFormatting sqref="Q32:Q39">
    <cfRule type="cellIs" dxfId="14748" priority="1365" operator="lessThan">
      <formula>0</formula>
    </cfRule>
  </conditionalFormatting>
  <conditionalFormatting sqref="R32:R39">
    <cfRule type="cellIs" dxfId="14747" priority="1363" operator="lessThan">
      <formula>0.8</formula>
    </cfRule>
    <cfRule type="cellIs" dxfId="14746" priority="1364" operator="greaterThan">
      <formula>1</formula>
    </cfRule>
  </conditionalFormatting>
  <conditionalFormatting sqref="R32:R39">
    <cfRule type="cellIs" dxfId="14745" priority="1361" operator="greaterThan">
      <formula>1</formula>
    </cfRule>
    <cfRule type="cellIs" dxfId="14744" priority="1362" operator="lessThan">
      <formula>0.8</formula>
    </cfRule>
  </conditionalFormatting>
  <conditionalFormatting sqref="P32:P39">
    <cfRule type="cellIs" dxfId="14743" priority="1360" operator="greaterThan">
      <formula>0</formula>
    </cfRule>
  </conditionalFormatting>
  <conditionalFormatting sqref="Q32:Q39">
    <cfRule type="cellIs" dxfId="14742" priority="1359" operator="lessThan">
      <formula>0</formula>
    </cfRule>
  </conditionalFormatting>
  <conditionalFormatting sqref="R32:R39">
    <cfRule type="cellIs" dxfId="14741" priority="1357" operator="lessThan">
      <formula>0.8</formula>
    </cfRule>
    <cfRule type="cellIs" dxfId="14740" priority="1358" operator="greaterThan">
      <formula>1</formula>
    </cfRule>
  </conditionalFormatting>
  <conditionalFormatting sqref="R32:R39">
    <cfRule type="cellIs" dxfId="14739" priority="1355" operator="greaterThan">
      <formula>1</formula>
    </cfRule>
    <cfRule type="cellIs" dxfId="14738" priority="1356" operator="lessThan">
      <formula>0.8</formula>
    </cfRule>
  </conditionalFormatting>
  <conditionalFormatting sqref="P32:P39">
    <cfRule type="cellIs" dxfId="14737" priority="1354" operator="greaterThan">
      <formula>0</formula>
    </cfRule>
  </conditionalFormatting>
  <conditionalFormatting sqref="P32:P39">
    <cfRule type="cellIs" dxfId="14736" priority="1348" operator="greaterThan">
      <formula>0</formula>
    </cfRule>
  </conditionalFormatting>
  <conditionalFormatting sqref="Q32:Q39">
    <cfRule type="cellIs" dxfId="14735" priority="1353" operator="lessThan">
      <formula>0</formula>
    </cfRule>
  </conditionalFormatting>
  <conditionalFormatting sqref="R32:R39">
    <cfRule type="cellIs" dxfId="14734" priority="1351" operator="lessThan">
      <formula>0.8</formula>
    </cfRule>
    <cfRule type="cellIs" dxfId="14733" priority="1352" operator="greaterThan">
      <formula>1</formula>
    </cfRule>
  </conditionalFormatting>
  <conditionalFormatting sqref="R32:R39">
    <cfRule type="cellIs" dxfId="14732" priority="1349" operator="greaterThan">
      <formula>1</formula>
    </cfRule>
    <cfRule type="cellIs" dxfId="14731" priority="1350" operator="lessThan">
      <formula>0.8</formula>
    </cfRule>
  </conditionalFormatting>
  <conditionalFormatting sqref="P32:P39">
    <cfRule type="cellIs" dxfId="14730" priority="1342" operator="greaterThan">
      <formula>0</formula>
    </cfRule>
  </conditionalFormatting>
  <conditionalFormatting sqref="Q32:Q39">
    <cfRule type="cellIs" dxfId="14729" priority="1347" operator="lessThan">
      <formula>0</formula>
    </cfRule>
  </conditionalFormatting>
  <conditionalFormatting sqref="R32:R39">
    <cfRule type="cellIs" dxfId="14728" priority="1345" operator="lessThan">
      <formula>0.8</formula>
    </cfRule>
    <cfRule type="cellIs" dxfId="14727" priority="1346" operator="greaterThan">
      <formula>1</formula>
    </cfRule>
  </conditionalFormatting>
  <conditionalFormatting sqref="R32:R39">
    <cfRule type="cellIs" dxfId="14726" priority="1343" operator="greaterThan">
      <formula>1</formula>
    </cfRule>
    <cfRule type="cellIs" dxfId="14725" priority="1344" operator="lessThan">
      <formula>0.8</formula>
    </cfRule>
  </conditionalFormatting>
  <conditionalFormatting sqref="R32:R39">
    <cfRule type="cellIs" dxfId="14724" priority="1339" operator="lessThan">
      <formula>0.8</formula>
    </cfRule>
    <cfRule type="cellIs" dxfId="14723" priority="1340" operator="greaterThan">
      <formula>1</formula>
    </cfRule>
  </conditionalFormatting>
  <conditionalFormatting sqref="R32:R39">
    <cfRule type="cellIs" dxfId="14722" priority="1337" operator="greaterThan">
      <formula>1</formula>
    </cfRule>
    <cfRule type="cellIs" dxfId="14721" priority="1338" operator="lessThan">
      <formula>0.8</formula>
    </cfRule>
  </conditionalFormatting>
  <conditionalFormatting sqref="P32:P39">
    <cfRule type="cellIs" dxfId="14720" priority="1336" operator="greaterThan">
      <formula>0</formula>
    </cfRule>
  </conditionalFormatting>
  <conditionalFormatting sqref="Q32:Q39">
    <cfRule type="cellIs" dxfId="14719" priority="1341" operator="lessThan">
      <formula>0</formula>
    </cfRule>
  </conditionalFormatting>
  <conditionalFormatting sqref="Q32:Q39">
    <cfRule type="cellIs" dxfId="14718" priority="1335" operator="lessThan">
      <formula>0</formula>
    </cfRule>
  </conditionalFormatting>
  <conditionalFormatting sqref="R32:R39">
    <cfRule type="cellIs" dxfId="14717" priority="1333" operator="lessThan">
      <formula>0.8</formula>
    </cfRule>
    <cfRule type="cellIs" dxfId="14716" priority="1334" operator="greaterThan">
      <formula>1</formula>
    </cfRule>
  </conditionalFormatting>
  <conditionalFormatting sqref="R32:R39">
    <cfRule type="cellIs" dxfId="14715" priority="1331" operator="greaterThan">
      <formula>1</formula>
    </cfRule>
    <cfRule type="cellIs" dxfId="14714" priority="1332" operator="lessThan">
      <formula>0.8</formula>
    </cfRule>
  </conditionalFormatting>
  <conditionalFormatting sqref="P32:P39">
    <cfRule type="cellIs" dxfId="14713" priority="1330" operator="greaterThan">
      <formula>0</formula>
    </cfRule>
  </conditionalFormatting>
  <conditionalFormatting sqref="P32:P39">
    <cfRule type="cellIs" dxfId="14712" priority="1324" operator="greaterThan">
      <formula>0</formula>
    </cfRule>
  </conditionalFormatting>
  <conditionalFormatting sqref="Q32:Q39">
    <cfRule type="cellIs" dxfId="14711" priority="1329" operator="lessThan">
      <formula>0</formula>
    </cfRule>
  </conditionalFormatting>
  <conditionalFormatting sqref="R32:R39">
    <cfRule type="cellIs" dxfId="14710" priority="1327" operator="lessThan">
      <formula>0.8</formula>
    </cfRule>
    <cfRule type="cellIs" dxfId="14709" priority="1328" operator="greaterThan">
      <formula>1</formula>
    </cfRule>
  </conditionalFormatting>
  <conditionalFormatting sqref="R32:R39">
    <cfRule type="cellIs" dxfId="14708" priority="1325" operator="greaterThan">
      <formula>1</formula>
    </cfRule>
    <cfRule type="cellIs" dxfId="14707" priority="1326" operator="lessThan">
      <formula>0.8</formula>
    </cfRule>
  </conditionalFormatting>
  <conditionalFormatting sqref="P32:P39">
    <cfRule type="cellIs" dxfId="14706" priority="1318" operator="greaterThan">
      <formula>0</formula>
    </cfRule>
  </conditionalFormatting>
  <conditionalFormatting sqref="Q32:Q39">
    <cfRule type="cellIs" dxfId="14705" priority="1323" operator="lessThan">
      <formula>0</formula>
    </cfRule>
  </conditionalFormatting>
  <conditionalFormatting sqref="R32:R39">
    <cfRule type="cellIs" dxfId="14704" priority="1321" operator="lessThan">
      <formula>0.8</formula>
    </cfRule>
    <cfRule type="cellIs" dxfId="14703" priority="1322" operator="greaterThan">
      <formula>1</formula>
    </cfRule>
  </conditionalFormatting>
  <conditionalFormatting sqref="R32:R39">
    <cfRule type="cellIs" dxfId="14702" priority="1319" operator="greaterThan">
      <formula>1</formula>
    </cfRule>
    <cfRule type="cellIs" dxfId="14701" priority="1320" operator="lessThan">
      <formula>0.8</formula>
    </cfRule>
  </conditionalFormatting>
  <conditionalFormatting sqref="R32:R39">
    <cfRule type="cellIs" dxfId="14700" priority="1315" operator="lessThan">
      <formula>0.8</formula>
    </cfRule>
    <cfRule type="cellIs" dxfId="14699" priority="1316" operator="greaterThan">
      <formula>1</formula>
    </cfRule>
  </conditionalFormatting>
  <conditionalFormatting sqref="R32:R39">
    <cfRule type="cellIs" dxfId="14698" priority="1313" operator="greaterThan">
      <formula>1</formula>
    </cfRule>
    <cfRule type="cellIs" dxfId="14697" priority="1314" operator="lessThan">
      <formula>0.8</formula>
    </cfRule>
  </conditionalFormatting>
  <conditionalFormatting sqref="P32:P39">
    <cfRule type="cellIs" dxfId="14696" priority="1312" operator="greaterThan">
      <formula>0</formula>
    </cfRule>
  </conditionalFormatting>
  <conditionalFormatting sqref="Q32:Q39">
    <cfRule type="cellIs" dxfId="14695" priority="1317" operator="lessThan">
      <formula>0</formula>
    </cfRule>
  </conditionalFormatting>
  <conditionalFormatting sqref="P32:P39">
    <cfRule type="cellIs" dxfId="14694" priority="1306" operator="greaterThan">
      <formula>0</formula>
    </cfRule>
  </conditionalFormatting>
  <conditionalFormatting sqref="Q32:Q39">
    <cfRule type="cellIs" dxfId="14693" priority="1311" operator="lessThan">
      <formula>0</formula>
    </cfRule>
  </conditionalFormatting>
  <conditionalFormatting sqref="R32:R39">
    <cfRule type="cellIs" dxfId="14692" priority="1309" operator="lessThan">
      <formula>0.8</formula>
    </cfRule>
    <cfRule type="cellIs" dxfId="14691" priority="1310" operator="greaterThan">
      <formula>1</formula>
    </cfRule>
  </conditionalFormatting>
  <conditionalFormatting sqref="R32:R39">
    <cfRule type="cellIs" dxfId="14690" priority="1307" operator="greaterThan">
      <formula>1</formula>
    </cfRule>
    <cfRule type="cellIs" dxfId="14689" priority="1308" operator="lessThan">
      <formula>0.8</formula>
    </cfRule>
  </conditionalFormatting>
  <conditionalFormatting sqref="R32:R39">
    <cfRule type="cellIs" dxfId="14688" priority="1303" operator="lessThan">
      <formula>0.8</formula>
    </cfRule>
    <cfRule type="cellIs" dxfId="14687" priority="1304" operator="greaterThan">
      <formula>1</formula>
    </cfRule>
  </conditionalFormatting>
  <conditionalFormatting sqref="R32:R39">
    <cfRule type="cellIs" dxfId="14686" priority="1301" operator="greaterThan">
      <formula>1</formula>
    </cfRule>
    <cfRule type="cellIs" dxfId="14685" priority="1302" operator="lessThan">
      <formula>0.8</formula>
    </cfRule>
  </conditionalFormatting>
  <conditionalFormatting sqref="P32:P39">
    <cfRule type="cellIs" dxfId="14684" priority="1300" operator="greaterThan">
      <formula>0</formula>
    </cfRule>
  </conditionalFormatting>
  <conditionalFormatting sqref="Q32:Q39">
    <cfRule type="cellIs" dxfId="14683" priority="1305" operator="lessThan">
      <formula>0</formula>
    </cfRule>
  </conditionalFormatting>
  <conditionalFormatting sqref="R32:R39">
    <cfRule type="cellIs" dxfId="14682" priority="1297" operator="lessThan">
      <formula>0.8</formula>
    </cfRule>
    <cfRule type="cellIs" dxfId="14681" priority="1298" operator="greaterThan">
      <formula>1</formula>
    </cfRule>
  </conditionalFormatting>
  <conditionalFormatting sqref="R32:R39">
    <cfRule type="cellIs" dxfId="14680" priority="1295" operator="greaterThan">
      <formula>1</formula>
    </cfRule>
    <cfRule type="cellIs" dxfId="14679" priority="1296" operator="lessThan">
      <formula>0.8</formula>
    </cfRule>
  </conditionalFormatting>
  <conditionalFormatting sqref="P32:P39">
    <cfRule type="cellIs" dxfId="14678" priority="1294" operator="greaterThan">
      <formula>0</formula>
    </cfRule>
  </conditionalFormatting>
  <conditionalFormatting sqref="Q32:Q39">
    <cfRule type="cellIs" dxfId="14677" priority="1299" operator="lessThan">
      <formula>0</formula>
    </cfRule>
  </conditionalFormatting>
  <conditionalFormatting sqref="Q32:Q39">
    <cfRule type="cellIs" dxfId="14676" priority="1293" operator="lessThan">
      <formula>0</formula>
    </cfRule>
  </conditionalFormatting>
  <conditionalFormatting sqref="R32:R39">
    <cfRule type="cellIs" dxfId="14675" priority="1291" operator="lessThan">
      <formula>0.8</formula>
    </cfRule>
    <cfRule type="cellIs" dxfId="14674" priority="1292" operator="greaterThan">
      <formula>1</formula>
    </cfRule>
  </conditionalFormatting>
  <conditionalFormatting sqref="R32:R39">
    <cfRule type="cellIs" dxfId="14673" priority="1289" operator="greaterThan">
      <formula>1</formula>
    </cfRule>
    <cfRule type="cellIs" dxfId="14672" priority="1290" operator="lessThan">
      <formula>0.8</formula>
    </cfRule>
  </conditionalFormatting>
  <conditionalFormatting sqref="P32:P39">
    <cfRule type="cellIs" dxfId="14671" priority="1288" operator="greaterThan">
      <formula>0</formula>
    </cfRule>
  </conditionalFormatting>
  <conditionalFormatting sqref="Q32:Q39">
    <cfRule type="cellIs" dxfId="14670" priority="1282" operator="lessThan">
      <formula>0</formula>
    </cfRule>
  </conditionalFormatting>
  <conditionalFormatting sqref="R32:R39">
    <cfRule type="cellIs" dxfId="14669" priority="1286" operator="lessThan">
      <formula>0.8</formula>
    </cfRule>
    <cfRule type="cellIs" dxfId="14668" priority="1287" operator="greaterThan">
      <formula>1</formula>
    </cfRule>
  </conditionalFormatting>
  <conditionalFormatting sqref="R32:R39">
    <cfRule type="cellIs" dxfId="14667" priority="1284" operator="greaterThan">
      <formula>1</formula>
    </cfRule>
    <cfRule type="cellIs" dxfId="14666" priority="1285" operator="lessThan">
      <formula>0.8</formula>
    </cfRule>
  </conditionalFormatting>
  <conditionalFormatting sqref="P32:P39">
    <cfRule type="cellIs" dxfId="14665" priority="1283" operator="greaterThan">
      <formula>0</formula>
    </cfRule>
  </conditionalFormatting>
  <conditionalFormatting sqref="Q32:Q39">
    <cfRule type="cellIs" dxfId="14664" priority="1281" operator="lessThan">
      <formula>0</formula>
    </cfRule>
  </conditionalFormatting>
  <conditionalFormatting sqref="R32:R39">
    <cfRule type="cellIs" dxfId="14663" priority="1279" operator="lessThan">
      <formula>0.8</formula>
    </cfRule>
    <cfRule type="cellIs" dxfId="14662" priority="1280" operator="greaterThan">
      <formula>1</formula>
    </cfRule>
  </conditionalFormatting>
  <conditionalFormatting sqref="R32:R39">
    <cfRule type="cellIs" dxfId="14661" priority="1277" operator="greaterThan">
      <formula>1</formula>
    </cfRule>
    <cfRule type="cellIs" dxfId="14660" priority="1278" operator="lessThan">
      <formula>0.8</formula>
    </cfRule>
  </conditionalFormatting>
  <conditionalFormatting sqref="P32:P39">
    <cfRule type="cellIs" dxfId="14659" priority="1276" operator="greaterThan">
      <formula>0</formula>
    </cfRule>
  </conditionalFormatting>
  <conditionalFormatting sqref="Q32:Q39">
    <cfRule type="cellIs" dxfId="14658" priority="1275" operator="lessThan">
      <formula>0</formula>
    </cfRule>
  </conditionalFormatting>
  <conditionalFormatting sqref="R32:R39">
    <cfRule type="cellIs" dxfId="14657" priority="1273" operator="lessThan">
      <formula>0.8</formula>
    </cfRule>
    <cfRule type="cellIs" dxfId="14656" priority="1274" operator="greaterThan">
      <formula>1</formula>
    </cfRule>
  </conditionalFormatting>
  <conditionalFormatting sqref="R32:R39">
    <cfRule type="cellIs" dxfId="14655" priority="1271" operator="greaterThan">
      <formula>1</formula>
    </cfRule>
    <cfRule type="cellIs" dxfId="14654" priority="1272" operator="lessThan">
      <formula>0.8</formula>
    </cfRule>
  </conditionalFormatting>
  <conditionalFormatting sqref="P32:P39">
    <cfRule type="cellIs" dxfId="14653" priority="1270" operator="greaterThan">
      <formula>0</formula>
    </cfRule>
  </conditionalFormatting>
  <conditionalFormatting sqref="Q32:Q39">
    <cfRule type="cellIs" dxfId="14652" priority="1269" operator="lessThan">
      <formula>0</formula>
    </cfRule>
  </conditionalFormatting>
  <conditionalFormatting sqref="R32:R39">
    <cfRule type="cellIs" dxfId="14651" priority="1267" operator="lessThan">
      <formula>0.8</formula>
    </cfRule>
    <cfRule type="cellIs" dxfId="14650" priority="1268" operator="greaterThan">
      <formula>1</formula>
    </cfRule>
  </conditionalFormatting>
  <conditionalFormatting sqref="R32:R39">
    <cfRule type="cellIs" dxfId="14649" priority="1265" operator="greaterThan">
      <formula>1</formula>
    </cfRule>
    <cfRule type="cellIs" dxfId="14648" priority="1266" operator="lessThan">
      <formula>0.8</formula>
    </cfRule>
  </conditionalFormatting>
  <conditionalFormatting sqref="P32:P39">
    <cfRule type="cellIs" dxfId="14647" priority="1264" operator="greaterThan">
      <formula>0</formula>
    </cfRule>
  </conditionalFormatting>
  <conditionalFormatting sqref="Q32:Q39">
    <cfRule type="cellIs" dxfId="14646" priority="1263" operator="lessThan">
      <formula>0</formula>
    </cfRule>
  </conditionalFormatting>
  <conditionalFormatting sqref="R32:R39">
    <cfRule type="cellIs" dxfId="14645" priority="1261" operator="lessThan">
      <formula>0.8</formula>
    </cfRule>
    <cfRule type="cellIs" dxfId="14644" priority="1262" operator="greaterThan">
      <formula>1</formula>
    </cfRule>
  </conditionalFormatting>
  <conditionalFormatting sqref="R32:R39">
    <cfRule type="cellIs" dxfId="14643" priority="1259" operator="greaterThan">
      <formula>1</formula>
    </cfRule>
    <cfRule type="cellIs" dxfId="14642" priority="1260" operator="lessThan">
      <formula>0.8</formula>
    </cfRule>
  </conditionalFormatting>
  <conditionalFormatting sqref="P32:P39">
    <cfRule type="cellIs" dxfId="14641" priority="1258" operator="greaterThan">
      <formula>0</formula>
    </cfRule>
  </conditionalFormatting>
  <conditionalFormatting sqref="Q32:Q39">
    <cfRule type="cellIs" dxfId="14640" priority="1257" operator="lessThan">
      <formula>0</formula>
    </cfRule>
  </conditionalFormatting>
  <conditionalFormatting sqref="R32:R39">
    <cfRule type="cellIs" dxfId="14639" priority="1255" operator="lessThan">
      <formula>0.8</formula>
    </cfRule>
    <cfRule type="cellIs" dxfId="14638" priority="1256" operator="greaterThan">
      <formula>1</formula>
    </cfRule>
  </conditionalFormatting>
  <conditionalFormatting sqref="R32:R39">
    <cfRule type="cellIs" dxfId="14637" priority="1253" operator="greaterThan">
      <formula>1</formula>
    </cfRule>
    <cfRule type="cellIs" dxfId="14636" priority="1254" operator="lessThan">
      <formula>0.8</formula>
    </cfRule>
  </conditionalFormatting>
  <conditionalFormatting sqref="P32:P39">
    <cfRule type="cellIs" dxfId="14635" priority="1252" operator="greaterThan">
      <formula>0</formula>
    </cfRule>
  </conditionalFormatting>
  <conditionalFormatting sqref="P32:P39">
    <cfRule type="cellIs" dxfId="14634" priority="1246" operator="greaterThan">
      <formula>0</formula>
    </cfRule>
  </conditionalFormatting>
  <conditionalFormatting sqref="Q32:Q39">
    <cfRule type="cellIs" dxfId="14633" priority="1251" operator="lessThan">
      <formula>0</formula>
    </cfRule>
  </conditionalFormatting>
  <conditionalFormatting sqref="R32:R39">
    <cfRule type="cellIs" dxfId="14632" priority="1249" operator="lessThan">
      <formula>0.8</formula>
    </cfRule>
    <cfRule type="cellIs" dxfId="14631" priority="1250" operator="greaterThan">
      <formula>1</formula>
    </cfRule>
  </conditionalFormatting>
  <conditionalFormatting sqref="R32:R39">
    <cfRule type="cellIs" dxfId="14630" priority="1247" operator="greaterThan">
      <formula>1</formula>
    </cfRule>
    <cfRule type="cellIs" dxfId="14629" priority="1248" operator="lessThan">
      <formula>0.8</formula>
    </cfRule>
  </conditionalFormatting>
  <conditionalFormatting sqref="P32:P39">
    <cfRule type="cellIs" dxfId="14628" priority="1240" operator="greaterThan">
      <formula>0</formula>
    </cfRule>
  </conditionalFormatting>
  <conditionalFormatting sqref="Q32:Q39">
    <cfRule type="cellIs" dxfId="14627" priority="1245" operator="lessThan">
      <formula>0</formula>
    </cfRule>
  </conditionalFormatting>
  <conditionalFormatting sqref="R32:R39">
    <cfRule type="cellIs" dxfId="14626" priority="1243" operator="lessThan">
      <formula>0.8</formula>
    </cfRule>
    <cfRule type="cellIs" dxfId="14625" priority="1244" operator="greaterThan">
      <formula>1</formula>
    </cfRule>
  </conditionalFormatting>
  <conditionalFormatting sqref="R32:R39">
    <cfRule type="cellIs" dxfId="14624" priority="1241" operator="greaterThan">
      <formula>1</formula>
    </cfRule>
    <cfRule type="cellIs" dxfId="14623" priority="1242" operator="lessThan">
      <formula>0.8</formula>
    </cfRule>
  </conditionalFormatting>
  <conditionalFormatting sqref="R32:R39">
    <cfRule type="cellIs" dxfId="14622" priority="1237" operator="lessThan">
      <formula>0.8</formula>
    </cfRule>
    <cfRule type="cellIs" dxfId="14621" priority="1238" operator="greaterThan">
      <formula>1</formula>
    </cfRule>
  </conditionalFormatting>
  <conditionalFormatting sqref="R32:R39">
    <cfRule type="cellIs" dxfId="14620" priority="1235" operator="greaterThan">
      <formula>1</formula>
    </cfRule>
    <cfRule type="cellIs" dxfId="14619" priority="1236" operator="lessThan">
      <formula>0.8</formula>
    </cfRule>
  </conditionalFormatting>
  <conditionalFormatting sqref="P32:P39">
    <cfRule type="cellIs" dxfId="14618" priority="1234" operator="greaterThan">
      <formula>0</formula>
    </cfRule>
  </conditionalFormatting>
  <conditionalFormatting sqref="Q32:Q39">
    <cfRule type="cellIs" dxfId="14617" priority="1239" operator="lessThan">
      <formula>0</formula>
    </cfRule>
  </conditionalFormatting>
  <conditionalFormatting sqref="Q32:Q39">
    <cfRule type="cellIs" dxfId="14616" priority="1228" operator="lessThan">
      <formula>0</formula>
    </cfRule>
  </conditionalFormatting>
  <conditionalFormatting sqref="P32:P39">
    <cfRule type="cellIs" dxfId="14615" priority="1229" operator="greaterThan">
      <formula>0</formula>
    </cfRule>
  </conditionalFormatting>
  <conditionalFormatting sqref="R32:R39">
    <cfRule type="cellIs" dxfId="14614" priority="1232" operator="lessThan">
      <formula>0.8</formula>
    </cfRule>
    <cfRule type="cellIs" dxfId="14613" priority="1233" operator="greaterThan">
      <formula>1</formula>
    </cfRule>
  </conditionalFormatting>
  <conditionalFormatting sqref="R32:R39">
    <cfRule type="cellIs" dxfId="14612" priority="1230" operator="greaterThan">
      <formula>1</formula>
    </cfRule>
    <cfRule type="cellIs" dxfId="14611" priority="1231" operator="lessThan">
      <formula>0.8</formula>
    </cfRule>
  </conditionalFormatting>
  <conditionalFormatting sqref="Q32:Q39">
    <cfRule type="cellIs" dxfId="14610" priority="1222" operator="lessThan">
      <formula>0</formula>
    </cfRule>
  </conditionalFormatting>
  <conditionalFormatting sqref="R32:R39">
    <cfRule type="cellIs" dxfId="14609" priority="1226" operator="lessThan">
      <formula>0.8</formula>
    </cfRule>
    <cfRule type="cellIs" dxfId="14608" priority="1227" operator="greaterThan">
      <formula>1</formula>
    </cfRule>
  </conditionalFormatting>
  <conditionalFormatting sqref="R32:R39">
    <cfRule type="cellIs" dxfId="14607" priority="1224" operator="greaterThan">
      <formula>1</formula>
    </cfRule>
    <cfRule type="cellIs" dxfId="14606" priority="1225" operator="lessThan">
      <formula>0.8</formula>
    </cfRule>
  </conditionalFormatting>
  <conditionalFormatting sqref="P32:P39">
    <cfRule type="cellIs" dxfId="14605" priority="1223" operator="greaterThan">
      <formula>0</formula>
    </cfRule>
  </conditionalFormatting>
  <conditionalFormatting sqref="Q32:Q39">
    <cfRule type="cellIs" dxfId="14604" priority="1221" operator="lessThan">
      <formula>0</formula>
    </cfRule>
  </conditionalFormatting>
  <conditionalFormatting sqref="R32:R39">
    <cfRule type="cellIs" dxfId="14603" priority="1219" operator="lessThan">
      <formula>0.8</formula>
    </cfRule>
    <cfRule type="cellIs" dxfId="14602" priority="1220" operator="greaterThan">
      <formula>1</formula>
    </cfRule>
  </conditionalFormatting>
  <conditionalFormatting sqref="R32:R39">
    <cfRule type="cellIs" dxfId="14601" priority="1217" operator="greaterThan">
      <formula>1</formula>
    </cfRule>
    <cfRule type="cellIs" dxfId="14600" priority="1218" operator="lessThan">
      <formula>0.8</formula>
    </cfRule>
  </conditionalFormatting>
  <conditionalFormatting sqref="P32:P39">
    <cfRule type="cellIs" dxfId="14599" priority="1216" operator="greaterThan">
      <formula>0</formula>
    </cfRule>
  </conditionalFormatting>
  <conditionalFormatting sqref="Q32:Q39">
    <cfRule type="cellIs" dxfId="14598" priority="1215" operator="lessThan">
      <formula>0</formula>
    </cfRule>
  </conditionalFormatting>
  <conditionalFormatting sqref="R32:R39">
    <cfRule type="cellIs" dxfId="14597" priority="1213" operator="lessThan">
      <formula>0.8</formula>
    </cfRule>
    <cfRule type="cellIs" dxfId="14596" priority="1214" operator="greaterThan">
      <formula>1</formula>
    </cfRule>
  </conditionalFormatting>
  <conditionalFormatting sqref="R32:R39">
    <cfRule type="cellIs" dxfId="14595" priority="1211" operator="greaterThan">
      <formula>1</formula>
    </cfRule>
    <cfRule type="cellIs" dxfId="14594" priority="1212" operator="lessThan">
      <formula>0.8</formula>
    </cfRule>
  </conditionalFormatting>
  <conditionalFormatting sqref="P32:P39">
    <cfRule type="cellIs" dxfId="14593" priority="1210" operator="greaterThan">
      <formula>0</formula>
    </cfRule>
  </conditionalFormatting>
  <conditionalFormatting sqref="Q32:Q39">
    <cfRule type="cellIs" dxfId="14592" priority="1209" operator="lessThan">
      <formula>0</formula>
    </cfRule>
  </conditionalFormatting>
  <conditionalFormatting sqref="R32:R39">
    <cfRule type="cellIs" dxfId="14591" priority="1207" operator="lessThan">
      <formula>0.8</formula>
    </cfRule>
    <cfRule type="cellIs" dxfId="14590" priority="1208" operator="greaterThan">
      <formula>1</formula>
    </cfRule>
  </conditionalFormatting>
  <conditionalFormatting sqref="R32:R39">
    <cfRule type="cellIs" dxfId="14589" priority="1205" operator="greaterThan">
      <formula>1</formula>
    </cfRule>
    <cfRule type="cellIs" dxfId="14588" priority="1206" operator="lessThan">
      <formula>0.8</formula>
    </cfRule>
  </conditionalFormatting>
  <conditionalFormatting sqref="P32:P39">
    <cfRule type="cellIs" dxfId="14587" priority="1204" operator="greaterThan">
      <formula>0</formula>
    </cfRule>
  </conditionalFormatting>
  <conditionalFormatting sqref="Q32:Q39">
    <cfRule type="cellIs" dxfId="14586" priority="1203" operator="lessThan">
      <formula>0</formula>
    </cfRule>
  </conditionalFormatting>
  <conditionalFormatting sqref="R32:R39">
    <cfRule type="cellIs" dxfId="14585" priority="1201" operator="lessThan">
      <formula>0.8</formula>
    </cfRule>
    <cfRule type="cellIs" dxfId="14584" priority="1202" operator="greaterThan">
      <formula>1</formula>
    </cfRule>
  </conditionalFormatting>
  <conditionalFormatting sqref="R32:R39">
    <cfRule type="cellIs" dxfId="14583" priority="1199" operator="greaterThan">
      <formula>1</formula>
    </cfRule>
    <cfRule type="cellIs" dxfId="14582" priority="1200" operator="lessThan">
      <formula>0.8</formula>
    </cfRule>
  </conditionalFormatting>
  <conditionalFormatting sqref="P32:P39">
    <cfRule type="cellIs" dxfId="14581" priority="1198" operator="greaterThan">
      <formula>0</formula>
    </cfRule>
  </conditionalFormatting>
  <conditionalFormatting sqref="Q96:Q105">
    <cfRule type="cellIs" dxfId="14580" priority="1192" operator="lessThan">
      <formula>0</formula>
    </cfRule>
  </conditionalFormatting>
  <conditionalFormatting sqref="P96:P105">
    <cfRule type="cellIs" dxfId="14579" priority="1193" operator="greaterThan">
      <formula>0</formula>
    </cfRule>
  </conditionalFormatting>
  <conditionalFormatting sqref="R96:R105">
    <cfRule type="cellIs" dxfId="14578" priority="1196" operator="lessThan">
      <formula>0.8</formula>
    </cfRule>
    <cfRule type="cellIs" dxfId="14577" priority="1197" operator="greaterThan">
      <formula>1</formula>
    </cfRule>
  </conditionalFormatting>
  <conditionalFormatting sqref="R96:R105">
    <cfRule type="cellIs" dxfId="14576" priority="1194" operator="greaterThan">
      <formula>1</formula>
    </cfRule>
    <cfRule type="cellIs" dxfId="14575" priority="1195" operator="lessThan">
      <formula>0.8</formula>
    </cfRule>
  </conditionalFormatting>
  <conditionalFormatting sqref="Q96:Q105">
    <cfRule type="cellIs" dxfId="14574" priority="1186" operator="lessThan">
      <formula>0</formula>
    </cfRule>
  </conditionalFormatting>
  <conditionalFormatting sqref="R96:R105">
    <cfRule type="cellIs" dxfId="14573" priority="1190" operator="lessThan">
      <formula>0.8</formula>
    </cfRule>
    <cfRule type="cellIs" dxfId="14572" priority="1191" operator="greaterThan">
      <formula>1</formula>
    </cfRule>
  </conditionalFormatting>
  <conditionalFormatting sqref="R96:R105">
    <cfRule type="cellIs" dxfId="14571" priority="1188" operator="greaterThan">
      <formula>1</formula>
    </cfRule>
    <cfRule type="cellIs" dxfId="14570" priority="1189" operator="lessThan">
      <formula>0.8</formula>
    </cfRule>
  </conditionalFormatting>
  <conditionalFormatting sqref="P96:P105">
    <cfRule type="cellIs" dxfId="14569" priority="1187" operator="greaterThan">
      <formula>0</formula>
    </cfRule>
  </conditionalFormatting>
  <conditionalFormatting sqref="Q96:Q105">
    <cfRule type="cellIs" dxfId="14568" priority="1185" operator="lessThan">
      <formula>0</formula>
    </cfRule>
  </conditionalFormatting>
  <conditionalFormatting sqref="R96:R105">
    <cfRule type="cellIs" dxfId="14567" priority="1183" operator="lessThan">
      <formula>0.8</formula>
    </cfRule>
    <cfRule type="cellIs" dxfId="14566" priority="1184" operator="greaterThan">
      <formula>1</formula>
    </cfRule>
  </conditionalFormatting>
  <conditionalFormatting sqref="R96:R105">
    <cfRule type="cellIs" dxfId="14565" priority="1181" operator="greaterThan">
      <formula>1</formula>
    </cfRule>
    <cfRule type="cellIs" dxfId="14564" priority="1182" operator="lessThan">
      <formula>0.8</formula>
    </cfRule>
  </conditionalFormatting>
  <conditionalFormatting sqref="P96:P105">
    <cfRule type="cellIs" dxfId="14563" priority="1180" operator="greaterThan">
      <formula>0</formula>
    </cfRule>
  </conditionalFormatting>
  <conditionalFormatting sqref="Q96:Q105">
    <cfRule type="cellIs" dxfId="14562" priority="1179" operator="lessThan">
      <formula>0</formula>
    </cfRule>
  </conditionalFormatting>
  <conditionalFormatting sqref="R96:R105">
    <cfRule type="cellIs" dxfId="14561" priority="1177" operator="lessThan">
      <formula>0.8</formula>
    </cfRule>
    <cfRule type="cellIs" dxfId="14560" priority="1178" operator="greaterThan">
      <formula>1</formula>
    </cfRule>
  </conditionalFormatting>
  <conditionalFormatting sqref="R96:R105">
    <cfRule type="cellIs" dxfId="14559" priority="1175" operator="greaterThan">
      <formula>1</formula>
    </cfRule>
    <cfRule type="cellIs" dxfId="14558" priority="1176" operator="lessThan">
      <formula>0.8</formula>
    </cfRule>
  </conditionalFormatting>
  <conditionalFormatting sqref="P96:P105">
    <cfRule type="cellIs" dxfId="14557" priority="1174" operator="greaterThan">
      <formula>0</formula>
    </cfRule>
  </conditionalFormatting>
  <conditionalFormatting sqref="Q96:Q105">
    <cfRule type="cellIs" dxfId="14556" priority="1168" operator="lessThan">
      <formula>0</formula>
    </cfRule>
  </conditionalFormatting>
  <conditionalFormatting sqref="R96:R105">
    <cfRule type="cellIs" dxfId="14555" priority="1172" operator="lessThan">
      <formula>0.8</formula>
    </cfRule>
    <cfRule type="cellIs" dxfId="14554" priority="1173" operator="greaterThan">
      <formula>1</formula>
    </cfRule>
  </conditionalFormatting>
  <conditionalFormatting sqref="R96:R105">
    <cfRule type="cellIs" dxfId="14553" priority="1170" operator="greaterThan">
      <formula>1</formula>
    </cfRule>
    <cfRule type="cellIs" dxfId="14552" priority="1171" operator="lessThan">
      <formula>0.8</formula>
    </cfRule>
  </conditionalFormatting>
  <conditionalFormatting sqref="P96:P105">
    <cfRule type="cellIs" dxfId="14551" priority="1169" operator="greaterThan">
      <formula>0</formula>
    </cfRule>
  </conditionalFormatting>
  <conditionalFormatting sqref="Q96:Q105">
    <cfRule type="cellIs" dxfId="14550" priority="1167" operator="lessThan">
      <formula>0</formula>
    </cfRule>
  </conditionalFormatting>
  <conditionalFormatting sqref="R96:R105">
    <cfRule type="cellIs" dxfId="14549" priority="1165" operator="lessThan">
      <formula>0.8</formula>
    </cfRule>
    <cfRule type="cellIs" dxfId="14548" priority="1166" operator="greaterThan">
      <formula>1</formula>
    </cfRule>
  </conditionalFormatting>
  <conditionalFormatting sqref="R96:R105">
    <cfRule type="cellIs" dxfId="14547" priority="1163" operator="greaterThan">
      <formula>1</formula>
    </cfRule>
    <cfRule type="cellIs" dxfId="14546" priority="1164" operator="lessThan">
      <formula>0.8</formula>
    </cfRule>
  </conditionalFormatting>
  <conditionalFormatting sqref="P96:P105">
    <cfRule type="cellIs" dxfId="14545" priority="1162" operator="greaterThan">
      <formula>0</formula>
    </cfRule>
  </conditionalFormatting>
  <conditionalFormatting sqref="Q96:Q105">
    <cfRule type="cellIs" dxfId="14544" priority="1161" operator="lessThan">
      <formula>0</formula>
    </cfRule>
  </conditionalFormatting>
  <conditionalFormatting sqref="R96:R105">
    <cfRule type="cellIs" dxfId="14543" priority="1159" operator="lessThan">
      <formula>0.8</formula>
    </cfRule>
    <cfRule type="cellIs" dxfId="14542" priority="1160" operator="greaterThan">
      <formula>1</formula>
    </cfRule>
  </conditionalFormatting>
  <conditionalFormatting sqref="R96:R105">
    <cfRule type="cellIs" dxfId="14541" priority="1157" operator="greaterThan">
      <formula>1</formula>
    </cfRule>
    <cfRule type="cellIs" dxfId="14540" priority="1158" operator="lessThan">
      <formula>0.8</formula>
    </cfRule>
  </conditionalFormatting>
  <conditionalFormatting sqref="P96:P105">
    <cfRule type="cellIs" dxfId="14539" priority="1156" operator="greaterThan">
      <formula>0</formula>
    </cfRule>
  </conditionalFormatting>
  <conditionalFormatting sqref="Q96:Q105">
    <cfRule type="cellIs" dxfId="14538" priority="1155" operator="lessThan">
      <formula>0</formula>
    </cfRule>
  </conditionalFormatting>
  <conditionalFormatting sqref="R96:R105">
    <cfRule type="cellIs" dxfId="14537" priority="1153" operator="lessThan">
      <formula>0.8</formula>
    </cfRule>
    <cfRule type="cellIs" dxfId="14536" priority="1154" operator="greaterThan">
      <formula>1</formula>
    </cfRule>
  </conditionalFormatting>
  <conditionalFormatting sqref="R96:R105">
    <cfRule type="cellIs" dxfId="14535" priority="1151" operator="greaterThan">
      <formula>1</formula>
    </cfRule>
    <cfRule type="cellIs" dxfId="14534" priority="1152" operator="lessThan">
      <formula>0.8</formula>
    </cfRule>
  </conditionalFormatting>
  <conditionalFormatting sqref="P96:P105">
    <cfRule type="cellIs" dxfId="14533" priority="1150" operator="greaterThan">
      <formula>0</formula>
    </cfRule>
  </conditionalFormatting>
  <conditionalFormatting sqref="Q96:Q105">
    <cfRule type="cellIs" dxfId="14532" priority="1149" operator="lessThan">
      <formula>0</formula>
    </cfRule>
  </conditionalFormatting>
  <conditionalFormatting sqref="R96:R105">
    <cfRule type="cellIs" dxfId="14531" priority="1147" operator="lessThan">
      <formula>0.8</formula>
    </cfRule>
    <cfRule type="cellIs" dxfId="14530" priority="1148" operator="greaterThan">
      <formula>1</formula>
    </cfRule>
  </conditionalFormatting>
  <conditionalFormatting sqref="R96:R105">
    <cfRule type="cellIs" dxfId="14529" priority="1145" operator="greaterThan">
      <formula>1</formula>
    </cfRule>
    <cfRule type="cellIs" dxfId="14528" priority="1146" operator="lessThan">
      <formula>0.8</formula>
    </cfRule>
  </conditionalFormatting>
  <conditionalFormatting sqref="P96:P105">
    <cfRule type="cellIs" dxfId="14527" priority="1144" operator="greaterThan">
      <formula>0</formula>
    </cfRule>
  </conditionalFormatting>
  <conditionalFormatting sqref="Q96:Q105">
    <cfRule type="cellIs" dxfId="14526" priority="1143" operator="lessThan">
      <formula>0</formula>
    </cfRule>
  </conditionalFormatting>
  <conditionalFormatting sqref="R96:R105">
    <cfRule type="cellIs" dxfId="14525" priority="1141" operator="lessThan">
      <formula>0.8</formula>
    </cfRule>
    <cfRule type="cellIs" dxfId="14524" priority="1142" operator="greaterThan">
      <formula>1</formula>
    </cfRule>
  </conditionalFormatting>
  <conditionalFormatting sqref="R96:R105">
    <cfRule type="cellIs" dxfId="14523" priority="1139" operator="greaterThan">
      <formula>1</formula>
    </cfRule>
    <cfRule type="cellIs" dxfId="14522" priority="1140" operator="lessThan">
      <formula>0.8</formula>
    </cfRule>
  </conditionalFormatting>
  <conditionalFormatting sqref="P96:P105">
    <cfRule type="cellIs" dxfId="14521" priority="1138" operator="greaterThan">
      <formula>0</formula>
    </cfRule>
  </conditionalFormatting>
  <conditionalFormatting sqref="P96:P105">
    <cfRule type="cellIs" dxfId="14520" priority="1132" operator="greaterThan">
      <formula>0</formula>
    </cfRule>
  </conditionalFormatting>
  <conditionalFormatting sqref="Q96:Q105">
    <cfRule type="cellIs" dxfId="14519" priority="1137" operator="lessThan">
      <formula>0</formula>
    </cfRule>
  </conditionalFormatting>
  <conditionalFormatting sqref="R96:R105">
    <cfRule type="cellIs" dxfId="14518" priority="1135" operator="lessThan">
      <formula>0.8</formula>
    </cfRule>
    <cfRule type="cellIs" dxfId="14517" priority="1136" operator="greaterThan">
      <formula>1</formula>
    </cfRule>
  </conditionalFormatting>
  <conditionalFormatting sqref="R96:R105">
    <cfRule type="cellIs" dxfId="14516" priority="1133" operator="greaterThan">
      <formula>1</formula>
    </cfRule>
    <cfRule type="cellIs" dxfId="14515" priority="1134" operator="lessThan">
      <formula>0.8</formula>
    </cfRule>
  </conditionalFormatting>
  <conditionalFormatting sqref="P96:P105">
    <cfRule type="cellIs" dxfId="14514" priority="1126" operator="greaterThan">
      <formula>0</formula>
    </cfRule>
  </conditionalFormatting>
  <conditionalFormatting sqref="Q96:Q105">
    <cfRule type="cellIs" dxfId="14513" priority="1131" operator="lessThan">
      <formula>0</formula>
    </cfRule>
  </conditionalFormatting>
  <conditionalFormatting sqref="R96:R105">
    <cfRule type="cellIs" dxfId="14512" priority="1129" operator="lessThan">
      <formula>0.8</formula>
    </cfRule>
    <cfRule type="cellIs" dxfId="14511" priority="1130" operator="greaterThan">
      <formula>1</formula>
    </cfRule>
  </conditionalFormatting>
  <conditionalFormatting sqref="R96:R105">
    <cfRule type="cellIs" dxfId="14510" priority="1127" operator="greaterThan">
      <formula>1</formula>
    </cfRule>
    <cfRule type="cellIs" dxfId="14509" priority="1128" operator="lessThan">
      <formula>0.8</formula>
    </cfRule>
  </conditionalFormatting>
  <conditionalFormatting sqref="R96:R105">
    <cfRule type="cellIs" dxfId="14508" priority="1123" operator="lessThan">
      <formula>0.8</formula>
    </cfRule>
    <cfRule type="cellIs" dxfId="14507" priority="1124" operator="greaterThan">
      <formula>1</formula>
    </cfRule>
  </conditionalFormatting>
  <conditionalFormatting sqref="R96:R105">
    <cfRule type="cellIs" dxfId="14506" priority="1121" operator="greaterThan">
      <formula>1</formula>
    </cfRule>
    <cfRule type="cellIs" dxfId="14505" priority="1122" operator="lessThan">
      <formula>0.8</formula>
    </cfRule>
  </conditionalFormatting>
  <conditionalFormatting sqref="P96:P105">
    <cfRule type="cellIs" dxfId="14504" priority="1120" operator="greaterThan">
      <formula>0</formula>
    </cfRule>
  </conditionalFormatting>
  <conditionalFormatting sqref="Q96:Q105">
    <cfRule type="cellIs" dxfId="14503" priority="1125" operator="lessThan">
      <formula>0</formula>
    </cfRule>
  </conditionalFormatting>
  <conditionalFormatting sqref="Q96:Q105">
    <cfRule type="cellIs" dxfId="14502" priority="1114" operator="lessThan">
      <formula>0</formula>
    </cfRule>
  </conditionalFormatting>
  <conditionalFormatting sqref="P96:P105">
    <cfRule type="cellIs" dxfId="14501" priority="1115" operator="greaterThan">
      <formula>0</formula>
    </cfRule>
  </conditionalFormatting>
  <conditionalFormatting sqref="R96:R105">
    <cfRule type="cellIs" dxfId="14500" priority="1118" operator="lessThan">
      <formula>0.8</formula>
    </cfRule>
    <cfRule type="cellIs" dxfId="14499" priority="1119" operator="greaterThan">
      <formula>1</formula>
    </cfRule>
  </conditionalFormatting>
  <conditionalFormatting sqref="R96:R105">
    <cfRule type="cellIs" dxfId="14498" priority="1116" operator="greaterThan">
      <formula>1</formula>
    </cfRule>
    <cfRule type="cellIs" dxfId="14497" priority="1117" operator="lessThan">
      <formula>0.8</formula>
    </cfRule>
  </conditionalFormatting>
  <conditionalFormatting sqref="Q96:Q105">
    <cfRule type="cellIs" dxfId="14496" priority="1108" operator="lessThan">
      <formula>0</formula>
    </cfRule>
  </conditionalFormatting>
  <conditionalFormatting sqref="R96:R105">
    <cfRule type="cellIs" dxfId="14495" priority="1112" operator="lessThan">
      <formula>0.8</formula>
    </cfRule>
    <cfRule type="cellIs" dxfId="14494" priority="1113" operator="greaterThan">
      <formula>1</formula>
    </cfRule>
  </conditionalFormatting>
  <conditionalFormatting sqref="R96:R105">
    <cfRule type="cellIs" dxfId="14493" priority="1110" operator="greaterThan">
      <formula>1</formula>
    </cfRule>
    <cfRule type="cellIs" dxfId="14492" priority="1111" operator="lessThan">
      <formula>0.8</formula>
    </cfRule>
  </conditionalFormatting>
  <conditionalFormatting sqref="P96:P105">
    <cfRule type="cellIs" dxfId="14491" priority="1109" operator="greaterThan">
      <formula>0</formula>
    </cfRule>
  </conditionalFormatting>
  <conditionalFormatting sqref="Q96:Q105">
    <cfRule type="cellIs" dxfId="14490" priority="1107" operator="lessThan">
      <formula>0</formula>
    </cfRule>
  </conditionalFormatting>
  <conditionalFormatting sqref="R96:R105">
    <cfRule type="cellIs" dxfId="14489" priority="1105" operator="lessThan">
      <formula>0.8</formula>
    </cfRule>
    <cfRule type="cellIs" dxfId="14488" priority="1106" operator="greaterThan">
      <formula>1</formula>
    </cfRule>
  </conditionalFormatting>
  <conditionalFormatting sqref="R96:R105">
    <cfRule type="cellIs" dxfId="14487" priority="1103" operator="greaterThan">
      <formula>1</formula>
    </cfRule>
    <cfRule type="cellIs" dxfId="14486" priority="1104" operator="lessThan">
      <formula>0.8</formula>
    </cfRule>
  </conditionalFormatting>
  <conditionalFormatting sqref="P96:P105">
    <cfRule type="cellIs" dxfId="14485" priority="1102" operator="greaterThan">
      <formula>0</formula>
    </cfRule>
  </conditionalFormatting>
  <conditionalFormatting sqref="Q96:Q105">
    <cfRule type="cellIs" dxfId="14484" priority="1101" operator="lessThan">
      <formula>0</formula>
    </cfRule>
  </conditionalFormatting>
  <conditionalFormatting sqref="R96:R105">
    <cfRule type="cellIs" dxfId="14483" priority="1099" operator="lessThan">
      <formula>0.8</formula>
    </cfRule>
    <cfRule type="cellIs" dxfId="14482" priority="1100" operator="greaterThan">
      <formula>1</formula>
    </cfRule>
  </conditionalFormatting>
  <conditionalFormatting sqref="R96:R105">
    <cfRule type="cellIs" dxfId="14481" priority="1097" operator="greaterThan">
      <formula>1</formula>
    </cfRule>
    <cfRule type="cellIs" dxfId="14480" priority="1098" operator="lessThan">
      <formula>0.8</formula>
    </cfRule>
  </conditionalFormatting>
  <conditionalFormatting sqref="P96:P105">
    <cfRule type="cellIs" dxfId="14479" priority="1096" operator="greaterThan">
      <formula>0</formula>
    </cfRule>
  </conditionalFormatting>
  <conditionalFormatting sqref="Q96:Q105">
    <cfRule type="cellIs" dxfId="14478" priority="1090" operator="lessThan">
      <formula>0</formula>
    </cfRule>
  </conditionalFormatting>
  <conditionalFormatting sqref="P96:P105">
    <cfRule type="cellIs" dxfId="14477" priority="1091" operator="greaterThan">
      <formula>0</formula>
    </cfRule>
  </conditionalFormatting>
  <conditionalFormatting sqref="R96:R105">
    <cfRule type="cellIs" dxfId="14476" priority="1094" operator="lessThan">
      <formula>0.8</formula>
    </cfRule>
    <cfRule type="cellIs" dxfId="14475" priority="1095" operator="greaterThan">
      <formula>1</formula>
    </cfRule>
  </conditionalFormatting>
  <conditionalFormatting sqref="R96:R105">
    <cfRule type="cellIs" dxfId="14474" priority="1092" operator="greaterThan">
      <formula>1</formula>
    </cfRule>
    <cfRule type="cellIs" dxfId="14473" priority="1093" operator="lessThan">
      <formula>0.8</formula>
    </cfRule>
  </conditionalFormatting>
  <conditionalFormatting sqref="Q96:Q105">
    <cfRule type="cellIs" dxfId="14472" priority="1084" operator="lessThan">
      <formula>0</formula>
    </cfRule>
  </conditionalFormatting>
  <conditionalFormatting sqref="R96:R105">
    <cfRule type="cellIs" dxfId="14471" priority="1088" operator="lessThan">
      <formula>0.8</formula>
    </cfRule>
    <cfRule type="cellIs" dxfId="14470" priority="1089" operator="greaterThan">
      <formula>1</formula>
    </cfRule>
  </conditionalFormatting>
  <conditionalFormatting sqref="R96:R105">
    <cfRule type="cellIs" dxfId="14469" priority="1086" operator="greaterThan">
      <formula>1</formula>
    </cfRule>
    <cfRule type="cellIs" dxfId="14468" priority="1087" operator="lessThan">
      <formula>0.8</formula>
    </cfRule>
  </conditionalFormatting>
  <conditionalFormatting sqref="P96:P105">
    <cfRule type="cellIs" dxfId="14467" priority="1085" operator="greaterThan">
      <formula>0</formula>
    </cfRule>
  </conditionalFormatting>
  <conditionalFormatting sqref="Q96:Q105">
    <cfRule type="cellIs" dxfId="14466" priority="1083" operator="lessThan">
      <formula>0</formula>
    </cfRule>
  </conditionalFormatting>
  <conditionalFormatting sqref="R96:R105">
    <cfRule type="cellIs" dxfId="14465" priority="1081" operator="lessThan">
      <formula>0.8</formula>
    </cfRule>
    <cfRule type="cellIs" dxfId="14464" priority="1082" operator="greaterThan">
      <formula>1</formula>
    </cfRule>
  </conditionalFormatting>
  <conditionalFormatting sqref="R96:R105">
    <cfRule type="cellIs" dxfId="14463" priority="1079" operator="greaterThan">
      <formula>1</formula>
    </cfRule>
    <cfRule type="cellIs" dxfId="14462" priority="1080" operator="lessThan">
      <formula>0.8</formula>
    </cfRule>
  </conditionalFormatting>
  <conditionalFormatting sqref="P96:P105">
    <cfRule type="cellIs" dxfId="14461" priority="1078" operator="greaterThan">
      <formula>0</formula>
    </cfRule>
  </conditionalFormatting>
  <conditionalFormatting sqref="Q96:Q105">
    <cfRule type="cellIs" dxfId="14460" priority="1077" operator="lessThan">
      <formula>0</formula>
    </cfRule>
  </conditionalFormatting>
  <conditionalFormatting sqref="R96:R105">
    <cfRule type="cellIs" dxfId="14459" priority="1075" operator="lessThan">
      <formula>0.8</formula>
    </cfRule>
    <cfRule type="cellIs" dxfId="14458" priority="1076" operator="greaterThan">
      <formula>1</formula>
    </cfRule>
  </conditionalFormatting>
  <conditionalFormatting sqref="R96:R105">
    <cfRule type="cellIs" dxfId="14457" priority="1073" operator="greaterThan">
      <formula>1</formula>
    </cfRule>
    <cfRule type="cellIs" dxfId="14456" priority="1074" operator="lessThan">
      <formula>0.8</formula>
    </cfRule>
  </conditionalFormatting>
  <conditionalFormatting sqref="P96:P105">
    <cfRule type="cellIs" dxfId="14455" priority="1072" operator="greaterThan">
      <formula>0</formula>
    </cfRule>
  </conditionalFormatting>
  <conditionalFormatting sqref="P124 P131 P127">
    <cfRule type="cellIs" dxfId="14454" priority="1066" operator="greaterThan">
      <formula>0</formula>
    </cfRule>
  </conditionalFormatting>
  <conditionalFormatting sqref="Q124 Q131 Q127">
    <cfRule type="cellIs" dxfId="14453" priority="1071" operator="lessThan">
      <formula>0</formula>
    </cfRule>
  </conditionalFormatting>
  <conditionalFormatting sqref="R124 R131 R127">
    <cfRule type="cellIs" dxfId="14452" priority="1069" operator="lessThan">
      <formula>0.8</formula>
    </cfRule>
    <cfRule type="cellIs" dxfId="14451" priority="1070" operator="greaterThan">
      <formula>1</formula>
    </cfRule>
  </conditionalFormatting>
  <conditionalFormatting sqref="R124 R131 R127">
    <cfRule type="cellIs" dxfId="14450" priority="1067" operator="greaterThan">
      <formula>1</formula>
    </cfRule>
    <cfRule type="cellIs" dxfId="14449" priority="1068" operator="lessThan">
      <formula>0.8</formula>
    </cfRule>
  </conditionalFormatting>
  <conditionalFormatting sqref="Q124 Q131 Q127">
    <cfRule type="cellIs" dxfId="14448" priority="1065" operator="lessThan">
      <formula>0</formula>
    </cfRule>
  </conditionalFormatting>
  <conditionalFormatting sqref="R124 R131 R127">
    <cfRule type="cellIs" dxfId="14447" priority="1063" operator="lessThan">
      <formula>0.8</formula>
    </cfRule>
    <cfRule type="cellIs" dxfId="14446" priority="1064" operator="greaterThan">
      <formula>1</formula>
    </cfRule>
  </conditionalFormatting>
  <conditionalFormatting sqref="R124 R131 R127">
    <cfRule type="cellIs" dxfId="14445" priority="1061" operator="greaterThan">
      <formula>1</formula>
    </cfRule>
    <cfRule type="cellIs" dxfId="14444" priority="1062" operator="lessThan">
      <formula>0.8</formula>
    </cfRule>
  </conditionalFormatting>
  <conditionalFormatting sqref="P124 P131 P127">
    <cfRule type="cellIs" dxfId="14443" priority="1060" operator="greaterThan">
      <formula>0</formula>
    </cfRule>
  </conditionalFormatting>
  <conditionalFormatting sqref="Q123 Q125:Q126 Q128:Q130">
    <cfRule type="cellIs" dxfId="14442" priority="1059" operator="lessThan">
      <formula>0</formula>
    </cfRule>
  </conditionalFormatting>
  <conditionalFormatting sqref="R123 R125:R126 R128:R130">
    <cfRule type="cellIs" dxfId="14441" priority="1057" operator="lessThan">
      <formula>0.8</formula>
    </cfRule>
    <cfRule type="cellIs" dxfId="14440" priority="1058" operator="greaterThan">
      <formula>1</formula>
    </cfRule>
  </conditionalFormatting>
  <conditionalFormatting sqref="R123 R125:R126 R128:R130">
    <cfRule type="cellIs" dxfId="14439" priority="1055" operator="greaterThan">
      <formula>1</formula>
    </cfRule>
    <cfRule type="cellIs" dxfId="14438" priority="1056" operator="lessThan">
      <formula>0.8</formula>
    </cfRule>
  </conditionalFormatting>
  <conditionalFormatting sqref="P123 P125:P126 P128:P130">
    <cfRule type="cellIs" dxfId="14437" priority="1054" operator="greaterThan">
      <formula>0</formula>
    </cfRule>
  </conditionalFormatting>
  <conditionalFormatting sqref="P123 P125:P126 P128:P130">
    <cfRule type="cellIs" dxfId="14436" priority="1048" operator="greaterThan">
      <formula>0</formula>
    </cfRule>
  </conditionalFormatting>
  <conditionalFormatting sqref="Q123 Q125:Q126 Q128:Q130">
    <cfRule type="cellIs" dxfId="14435" priority="1053" operator="lessThan">
      <formula>0</formula>
    </cfRule>
  </conditionalFormatting>
  <conditionalFormatting sqref="R123 R125:R126 R128:R130">
    <cfRule type="cellIs" dxfId="14434" priority="1051" operator="lessThan">
      <formula>0.8</formula>
    </cfRule>
    <cfRule type="cellIs" dxfId="14433" priority="1052" operator="greaterThan">
      <formula>1</formula>
    </cfRule>
  </conditionalFormatting>
  <conditionalFormatting sqref="R123 R125:R126 R128:R130">
    <cfRule type="cellIs" dxfId="14432" priority="1049" operator="greaterThan">
      <formula>1</formula>
    </cfRule>
    <cfRule type="cellIs" dxfId="14431" priority="1050" operator="lessThan">
      <formula>0.8</formula>
    </cfRule>
  </conditionalFormatting>
  <conditionalFormatting sqref="P122">
    <cfRule type="cellIs" dxfId="14430" priority="1042" operator="greaterThan">
      <formula>0</formula>
    </cfRule>
  </conditionalFormatting>
  <conditionalFormatting sqref="Q122">
    <cfRule type="cellIs" dxfId="14429" priority="1047" operator="lessThan">
      <formula>0</formula>
    </cfRule>
  </conditionalFormatting>
  <conditionalFormatting sqref="R122">
    <cfRule type="cellIs" dxfId="14428" priority="1045" operator="lessThan">
      <formula>0.8</formula>
    </cfRule>
    <cfRule type="cellIs" dxfId="14427" priority="1046" operator="greaterThan">
      <formula>1</formula>
    </cfRule>
  </conditionalFormatting>
  <conditionalFormatting sqref="R122">
    <cfRule type="cellIs" dxfId="14426" priority="1043" operator="greaterThan">
      <formula>1</formula>
    </cfRule>
    <cfRule type="cellIs" dxfId="14425" priority="1044" operator="lessThan">
      <formula>0.8</formula>
    </cfRule>
  </conditionalFormatting>
  <conditionalFormatting sqref="Q109:Q116">
    <cfRule type="cellIs" dxfId="14424" priority="1041" operator="lessThan">
      <formula>0</formula>
    </cfRule>
  </conditionalFormatting>
  <conditionalFormatting sqref="R109:R116">
    <cfRule type="cellIs" dxfId="14423" priority="1039" operator="lessThan">
      <formula>0.8</formula>
    </cfRule>
    <cfRule type="cellIs" dxfId="14422" priority="1040" operator="greaterThan">
      <formula>1</formula>
    </cfRule>
  </conditionalFormatting>
  <conditionalFormatting sqref="R109:R116">
    <cfRule type="cellIs" dxfId="14421" priority="1037" operator="greaterThan">
      <formula>1</formula>
    </cfRule>
    <cfRule type="cellIs" dxfId="14420" priority="1038" operator="lessThan">
      <formula>0.8</formula>
    </cfRule>
  </conditionalFormatting>
  <conditionalFormatting sqref="P109:P116">
    <cfRule type="cellIs" dxfId="14419" priority="1036" operator="greaterThan">
      <formula>0</formula>
    </cfRule>
  </conditionalFormatting>
  <conditionalFormatting sqref="P137 P140 P143">
    <cfRule type="cellIs" dxfId="14418" priority="1035" operator="greaterThan">
      <formula>0</formula>
    </cfRule>
  </conditionalFormatting>
  <conditionalFormatting sqref="Q137 Q140 Q143">
    <cfRule type="cellIs" dxfId="14417" priority="1034" operator="lessThan">
      <formula>0</formula>
    </cfRule>
  </conditionalFormatting>
  <conditionalFormatting sqref="R137 R140 R143">
    <cfRule type="cellIs" dxfId="14416" priority="1032" operator="lessThan">
      <formula>0.8</formula>
    </cfRule>
    <cfRule type="cellIs" dxfId="14415" priority="1033" operator="greaterThan">
      <formula>1</formula>
    </cfRule>
  </conditionalFormatting>
  <conditionalFormatting sqref="R137 R140 R143">
    <cfRule type="cellIs" dxfId="14414" priority="1030" operator="greaterThan">
      <formula>1</formula>
    </cfRule>
    <cfRule type="cellIs" dxfId="14413" priority="1031" operator="lessThan">
      <formula>0.8</formula>
    </cfRule>
  </conditionalFormatting>
  <conditionalFormatting sqref="P137 P140 P143">
    <cfRule type="cellIs" dxfId="14412" priority="1029" operator="greaterThan">
      <formula>0</formula>
    </cfRule>
  </conditionalFormatting>
  <conditionalFormatting sqref="Q137 Q140 Q143">
    <cfRule type="cellIs" dxfId="14411" priority="1028" operator="lessThan">
      <formula>0</formula>
    </cfRule>
  </conditionalFormatting>
  <conditionalFormatting sqref="R137 R140 R143">
    <cfRule type="cellIs" dxfId="14410" priority="1026" operator="lessThan">
      <formula>0.8</formula>
    </cfRule>
    <cfRule type="cellIs" dxfId="14409" priority="1027" operator="greaterThan">
      <formula>1</formula>
    </cfRule>
  </conditionalFormatting>
  <conditionalFormatting sqref="R137 R140 R143">
    <cfRule type="cellIs" dxfId="14408" priority="1024" operator="greaterThan">
      <formula>1</formula>
    </cfRule>
    <cfRule type="cellIs" dxfId="14407" priority="1025" operator="lessThan">
      <formula>0.8</formula>
    </cfRule>
  </conditionalFormatting>
  <conditionalFormatting sqref="P137 P140 P143">
    <cfRule type="cellIs" dxfId="14406" priority="1023" operator="greaterThan">
      <formula>0</formula>
    </cfRule>
  </conditionalFormatting>
  <conditionalFormatting sqref="P137 P140 P143">
    <cfRule type="cellIs" dxfId="14405" priority="1017" operator="greaterThan">
      <formula>0</formula>
    </cfRule>
  </conditionalFormatting>
  <conditionalFormatting sqref="Q137 Q140 Q143">
    <cfRule type="cellIs" dxfId="14404" priority="1022" operator="lessThan">
      <formula>0</formula>
    </cfRule>
  </conditionalFormatting>
  <conditionalFormatting sqref="R137 R140 R143">
    <cfRule type="cellIs" dxfId="14403" priority="1020" operator="lessThan">
      <formula>0.8</formula>
    </cfRule>
    <cfRule type="cellIs" dxfId="14402" priority="1021" operator="greaterThan">
      <formula>1</formula>
    </cfRule>
  </conditionalFormatting>
  <conditionalFormatting sqref="R137 R140 R143">
    <cfRule type="cellIs" dxfId="14401" priority="1018" operator="greaterThan">
      <formula>1</formula>
    </cfRule>
    <cfRule type="cellIs" dxfId="14400" priority="1019" operator="lessThan">
      <formula>0.8</formula>
    </cfRule>
  </conditionalFormatting>
  <conditionalFormatting sqref="Q137 Q140 Q143">
    <cfRule type="cellIs" dxfId="14399" priority="1016" operator="lessThan">
      <formula>0</formula>
    </cfRule>
  </conditionalFormatting>
  <conditionalFormatting sqref="R137 R140 R143">
    <cfRule type="cellIs" dxfId="14398" priority="1014" operator="lessThan">
      <formula>0.8</formula>
    </cfRule>
    <cfRule type="cellIs" dxfId="14397" priority="1015" operator="greaterThan">
      <formula>1</formula>
    </cfRule>
  </conditionalFormatting>
  <conditionalFormatting sqref="R137 R140 R143">
    <cfRule type="cellIs" dxfId="14396" priority="1012" operator="greaterThan">
      <formula>1</formula>
    </cfRule>
    <cfRule type="cellIs" dxfId="14395" priority="1013" operator="lessThan">
      <formula>0.8</formula>
    </cfRule>
  </conditionalFormatting>
  <conditionalFormatting sqref="P137 P140 P143">
    <cfRule type="cellIs" dxfId="14394" priority="1011" operator="greaterThan">
      <formula>0</formula>
    </cfRule>
  </conditionalFormatting>
  <conditionalFormatting sqref="Q137 Q140 Q143">
    <cfRule type="cellIs" dxfId="14393" priority="1010" operator="lessThan">
      <formula>0</formula>
    </cfRule>
  </conditionalFormatting>
  <conditionalFormatting sqref="R137 R140 R143">
    <cfRule type="cellIs" dxfId="14392" priority="1008" operator="lessThan">
      <formula>0.8</formula>
    </cfRule>
    <cfRule type="cellIs" dxfId="14391" priority="1009" operator="greaterThan">
      <formula>1</formula>
    </cfRule>
  </conditionalFormatting>
  <conditionalFormatting sqref="R137 R140 R143">
    <cfRule type="cellIs" dxfId="14390" priority="1006" operator="greaterThan">
      <formula>1</formula>
    </cfRule>
    <cfRule type="cellIs" dxfId="14389" priority="1007" operator="lessThan">
      <formula>0.8</formula>
    </cfRule>
  </conditionalFormatting>
  <conditionalFormatting sqref="P137 P140 P143">
    <cfRule type="cellIs" dxfId="14388" priority="1005" operator="greaterThan">
      <formula>0</formula>
    </cfRule>
  </conditionalFormatting>
  <conditionalFormatting sqref="P137 P140 P143">
    <cfRule type="cellIs" dxfId="14387" priority="999" operator="greaterThan">
      <formula>0</formula>
    </cfRule>
  </conditionalFormatting>
  <conditionalFormatting sqref="Q137 Q140 Q143">
    <cfRule type="cellIs" dxfId="14386" priority="1004" operator="lessThan">
      <formula>0</formula>
    </cfRule>
  </conditionalFormatting>
  <conditionalFormatting sqref="R137 R140 R143">
    <cfRule type="cellIs" dxfId="14385" priority="1002" operator="lessThan">
      <formula>0.8</formula>
    </cfRule>
    <cfRule type="cellIs" dxfId="14384" priority="1003" operator="greaterThan">
      <formula>1</formula>
    </cfRule>
  </conditionalFormatting>
  <conditionalFormatting sqref="R137 R140 R143">
    <cfRule type="cellIs" dxfId="14383" priority="1000" operator="greaterThan">
      <formula>1</formula>
    </cfRule>
    <cfRule type="cellIs" dxfId="14382" priority="1001" operator="lessThan">
      <formula>0.8</formula>
    </cfRule>
  </conditionalFormatting>
  <conditionalFormatting sqref="Q137 Q140 Q143">
    <cfRule type="cellIs" dxfId="14381" priority="998" operator="lessThan">
      <formula>0</formula>
    </cfRule>
  </conditionalFormatting>
  <conditionalFormatting sqref="R137 R140 R143">
    <cfRule type="cellIs" dxfId="14380" priority="996" operator="lessThan">
      <formula>0.8</formula>
    </cfRule>
    <cfRule type="cellIs" dxfId="14379" priority="997" operator="greaterThan">
      <formula>1</formula>
    </cfRule>
  </conditionalFormatting>
  <conditionalFormatting sqref="R137 R140 R143">
    <cfRule type="cellIs" dxfId="14378" priority="994" operator="greaterThan">
      <formula>1</formula>
    </cfRule>
    <cfRule type="cellIs" dxfId="14377" priority="995" operator="lessThan">
      <formula>0.8</formula>
    </cfRule>
  </conditionalFormatting>
  <conditionalFormatting sqref="P137 P140 P143">
    <cfRule type="cellIs" dxfId="14376" priority="993" operator="greaterThan">
      <formula>0</formula>
    </cfRule>
  </conditionalFormatting>
  <conditionalFormatting sqref="Q137 Q140 Q143">
    <cfRule type="cellIs" dxfId="14375" priority="992" operator="lessThan">
      <formula>0</formula>
    </cfRule>
  </conditionalFormatting>
  <conditionalFormatting sqref="R137 R140 R143">
    <cfRule type="cellIs" dxfId="14374" priority="990" operator="lessThan">
      <formula>0.8</formula>
    </cfRule>
    <cfRule type="cellIs" dxfId="14373" priority="991" operator="greaterThan">
      <formula>1</formula>
    </cfRule>
  </conditionalFormatting>
  <conditionalFormatting sqref="R137 R140 R143">
    <cfRule type="cellIs" dxfId="14372" priority="988" operator="greaterThan">
      <formula>1</formula>
    </cfRule>
    <cfRule type="cellIs" dxfId="14371" priority="989" operator="lessThan">
      <formula>0.8</formula>
    </cfRule>
  </conditionalFormatting>
  <conditionalFormatting sqref="P137 P140 P143">
    <cfRule type="cellIs" dxfId="14370" priority="987" operator="greaterThan">
      <formula>0</formula>
    </cfRule>
  </conditionalFormatting>
  <conditionalFormatting sqref="P137 P140 P143">
    <cfRule type="cellIs" dxfId="14369" priority="981" operator="greaterThan">
      <formula>0</formula>
    </cfRule>
  </conditionalFormatting>
  <conditionalFormatting sqref="Q137 Q140 Q143">
    <cfRule type="cellIs" dxfId="14368" priority="986" operator="lessThan">
      <formula>0</formula>
    </cfRule>
  </conditionalFormatting>
  <conditionalFormatting sqref="R137 R140 R143">
    <cfRule type="cellIs" dxfId="14367" priority="984" operator="lessThan">
      <formula>0.8</formula>
    </cfRule>
    <cfRule type="cellIs" dxfId="14366" priority="985" operator="greaterThan">
      <formula>1</formula>
    </cfRule>
  </conditionalFormatting>
  <conditionalFormatting sqref="R137 R140 R143">
    <cfRule type="cellIs" dxfId="14365" priority="982" operator="greaterThan">
      <formula>1</formula>
    </cfRule>
    <cfRule type="cellIs" dxfId="14364" priority="983" operator="lessThan">
      <formula>0.8</formula>
    </cfRule>
  </conditionalFormatting>
  <conditionalFormatting sqref="Q137 Q140 Q143">
    <cfRule type="cellIs" dxfId="14363" priority="980" operator="lessThan">
      <formula>0</formula>
    </cfRule>
  </conditionalFormatting>
  <conditionalFormatting sqref="R137 R140 R143">
    <cfRule type="cellIs" dxfId="14362" priority="978" operator="lessThan">
      <formula>0.8</formula>
    </cfRule>
    <cfRule type="cellIs" dxfId="14361" priority="979" operator="greaterThan">
      <formula>1</formula>
    </cfRule>
  </conditionalFormatting>
  <conditionalFormatting sqref="R137 R140 R143">
    <cfRule type="cellIs" dxfId="14360" priority="976" operator="greaterThan">
      <formula>1</formula>
    </cfRule>
    <cfRule type="cellIs" dxfId="14359" priority="977" operator="lessThan">
      <formula>0.8</formula>
    </cfRule>
  </conditionalFormatting>
  <conditionalFormatting sqref="P137 P140 P143">
    <cfRule type="cellIs" dxfId="14358" priority="975" operator="greaterThan">
      <formula>0</formula>
    </cfRule>
  </conditionalFormatting>
  <conditionalFormatting sqref="P138 P144 P141">
    <cfRule type="cellIs" dxfId="14357" priority="969" operator="greaterThan">
      <formula>0</formula>
    </cfRule>
  </conditionalFormatting>
  <conditionalFormatting sqref="Q138 Q144 Q141">
    <cfRule type="cellIs" dxfId="14356" priority="974" operator="lessThan">
      <formula>0</formula>
    </cfRule>
  </conditionalFormatting>
  <conditionalFormatting sqref="R138 R144 R141">
    <cfRule type="cellIs" dxfId="14355" priority="972" operator="lessThan">
      <formula>0.8</formula>
    </cfRule>
    <cfRule type="cellIs" dxfId="14354" priority="973" operator="greaterThan">
      <formula>1</formula>
    </cfRule>
  </conditionalFormatting>
  <conditionalFormatting sqref="R138 R144 R141">
    <cfRule type="cellIs" dxfId="14353" priority="970" operator="greaterThan">
      <formula>1</formula>
    </cfRule>
    <cfRule type="cellIs" dxfId="14352" priority="971" operator="lessThan">
      <formula>0.8</formula>
    </cfRule>
  </conditionalFormatting>
  <conditionalFormatting sqref="Q138 Q144 Q141">
    <cfRule type="cellIs" dxfId="14351" priority="968" operator="lessThan">
      <formula>0</formula>
    </cfRule>
  </conditionalFormatting>
  <conditionalFormatting sqref="R138 R144 R141">
    <cfRule type="cellIs" dxfId="14350" priority="966" operator="lessThan">
      <formula>0.8</formula>
    </cfRule>
    <cfRule type="cellIs" dxfId="14349" priority="967" operator="greaterThan">
      <formula>1</formula>
    </cfRule>
  </conditionalFormatting>
  <conditionalFormatting sqref="R138 R144 R141">
    <cfRule type="cellIs" dxfId="14348" priority="964" operator="greaterThan">
      <formula>1</formula>
    </cfRule>
    <cfRule type="cellIs" dxfId="14347" priority="965" operator="lessThan">
      <formula>0.8</formula>
    </cfRule>
  </conditionalFormatting>
  <conditionalFormatting sqref="P138 P144 P141">
    <cfRule type="cellIs" dxfId="14346" priority="963" operator="greaterThan">
      <formula>0</formula>
    </cfRule>
  </conditionalFormatting>
  <conditionalFormatting sqref="Q138 Q144 Q141">
    <cfRule type="cellIs" dxfId="14345" priority="962" operator="lessThan">
      <formula>0</formula>
    </cfRule>
  </conditionalFormatting>
  <conditionalFormatting sqref="R138 R144 R141">
    <cfRule type="cellIs" dxfId="14344" priority="960" operator="lessThan">
      <formula>0.8</formula>
    </cfRule>
    <cfRule type="cellIs" dxfId="14343" priority="961" operator="greaterThan">
      <formula>1</formula>
    </cfRule>
  </conditionalFormatting>
  <conditionalFormatting sqref="R138 R144 R141">
    <cfRule type="cellIs" dxfId="14342" priority="958" operator="greaterThan">
      <formula>1</formula>
    </cfRule>
    <cfRule type="cellIs" dxfId="14341" priority="959" operator="lessThan">
      <formula>0.8</formula>
    </cfRule>
  </conditionalFormatting>
  <conditionalFormatting sqref="P138 P144 P141">
    <cfRule type="cellIs" dxfId="14340" priority="957" operator="greaterThan">
      <formula>0</formula>
    </cfRule>
  </conditionalFormatting>
  <conditionalFormatting sqref="Q138 Q144 Q141">
    <cfRule type="cellIs" dxfId="14339" priority="956" operator="lessThan">
      <formula>0</formula>
    </cfRule>
  </conditionalFormatting>
  <conditionalFormatting sqref="R138 R144 R141">
    <cfRule type="cellIs" dxfId="14338" priority="954" operator="lessThan">
      <formula>0.8</formula>
    </cfRule>
    <cfRule type="cellIs" dxfId="14337" priority="955" operator="greaterThan">
      <formula>1</formula>
    </cfRule>
  </conditionalFormatting>
  <conditionalFormatting sqref="R138 R144 R141">
    <cfRule type="cellIs" dxfId="14336" priority="952" operator="greaterThan">
      <formula>1</formula>
    </cfRule>
    <cfRule type="cellIs" dxfId="14335" priority="953" operator="lessThan">
      <formula>0.8</formula>
    </cfRule>
  </conditionalFormatting>
  <conditionalFormatting sqref="P138 P144 P141">
    <cfRule type="cellIs" dxfId="14334" priority="951" operator="greaterThan">
      <formula>0</formula>
    </cfRule>
  </conditionalFormatting>
  <conditionalFormatting sqref="Q138 Q144 Q141">
    <cfRule type="cellIs" dxfId="14333" priority="950" operator="lessThan">
      <formula>0</formula>
    </cfRule>
  </conditionalFormatting>
  <conditionalFormatting sqref="R138 R144 R141">
    <cfRule type="cellIs" dxfId="14332" priority="948" operator="lessThan">
      <formula>0.8</formula>
    </cfRule>
    <cfRule type="cellIs" dxfId="14331" priority="949" operator="greaterThan">
      <formula>1</formula>
    </cfRule>
  </conditionalFormatting>
  <conditionalFormatting sqref="R138 R144 R141">
    <cfRule type="cellIs" dxfId="14330" priority="946" operator="greaterThan">
      <formula>1</formula>
    </cfRule>
    <cfRule type="cellIs" dxfId="14329" priority="947" operator="lessThan">
      <formula>0.8</formula>
    </cfRule>
  </conditionalFormatting>
  <conditionalFormatting sqref="Q138 Q144 Q141">
    <cfRule type="cellIs" dxfId="14328" priority="945" operator="lessThan">
      <formula>0</formula>
    </cfRule>
  </conditionalFormatting>
  <conditionalFormatting sqref="R138 R144 R141">
    <cfRule type="cellIs" dxfId="14327" priority="943" operator="lessThan">
      <formula>0.8</formula>
    </cfRule>
    <cfRule type="cellIs" dxfId="14326" priority="944" operator="greaterThan">
      <formula>1</formula>
    </cfRule>
  </conditionalFormatting>
  <conditionalFormatting sqref="R138 R144 R141">
    <cfRule type="cellIs" dxfId="14325" priority="941" operator="greaterThan">
      <formula>1</formula>
    </cfRule>
    <cfRule type="cellIs" dxfId="14324" priority="942" operator="lessThan">
      <formula>0.8</formula>
    </cfRule>
  </conditionalFormatting>
  <conditionalFormatting sqref="P138 P144 P141">
    <cfRule type="cellIs" dxfId="14323" priority="940" operator="greaterThan">
      <formula>0</formula>
    </cfRule>
  </conditionalFormatting>
  <conditionalFormatting sqref="P138 P144 P141">
    <cfRule type="cellIs" dxfId="14322" priority="934" operator="greaterThan">
      <formula>0</formula>
    </cfRule>
  </conditionalFormatting>
  <conditionalFormatting sqref="Q138 Q144 Q141">
    <cfRule type="cellIs" dxfId="14321" priority="939" operator="lessThan">
      <formula>0</formula>
    </cfRule>
  </conditionalFormatting>
  <conditionalFormatting sqref="R138 R144 R141">
    <cfRule type="cellIs" dxfId="14320" priority="937" operator="lessThan">
      <formula>0.8</formula>
    </cfRule>
    <cfRule type="cellIs" dxfId="14319" priority="938" operator="greaterThan">
      <formula>1</formula>
    </cfRule>
  </conditionalFormatting>
  <conditionalFormatting sqref="R138 R144 R141">
    <cfRule type="cellIs" dxfId="14318" priority="935" operator="greaterThan">
      <formula>1</formula>
    </cfRule>
    <cfRule type="cellIs" dxfId="14317" priority="936" operator="lessThan">
      <formula>0.8</formula>
    </cfRule>
  </conditionalFormatting>
  <conditionalFormatting sqref="Q138 Q144 Q141">
    <cfRule type="cellIs" dxfId="14316" priority="933" operator="lessThan">
      <formula>0</formula>
    </cfRule>
  </conditionalFormatting>
  <conditionalFormatting sqref="R138 R144 R141">
    <cfRule type="cellIs" dxfId="14315" priority="931" operator="lessThan">
      <formula>0.8</formula>
    </cfRule>
    <cfRule type="cellIs" dxfId="14314" priority="932" operator="greaterThan">
      <formula>1</formula>
    </cfRule>
  </conditionalFormatting>
  <conditionalFormatting sqref="R138 R144 R141">
    <cfRule type="cellIs" dxfId="14313" priority="929" operator="greaterThan">
      <formula>1</formula>
    </cfRule>
    <cfRule type="cellIs" dxfId="14312" priority="930" operator="lessThan">
      <formula>0.8</formula>
    </cfRule>
  </conditionalFormatting>
  <conditionalFormatting sqref="P138 P144 P141">
    <cfRule type="cellIs" dxfId="14311" priority="928" operator="greaterThan">
      <formula>0</formula>
    </cfRule>
  </conditionalFormatting>
  <conditionalFormatting sqref="Q148:Q153">
    <cfRule type="cellIs" dxfId="14310" priority="927" operator="lessThan">
      <formula>0</formula>
    </cfRule>
  </conditionalFormatting>
  <conditionalFormatting sqref="R148:R153">
    <cfRule type="cellIs" dxfId="14309" priority="925" operator="lessThan">
      <formula>0.8</formula>
    </cfRule>
    <cfRule type="cellIs" dxfId="14308" priority="926" operator="greaterThan">
      <formula>1</formula>
    </cfRule>
  </conditionalFormatting>
  <conditionalFormatting sqref="R148:R153">
    <cfRule type="cellIs" dxfId="14307" priority="923" operator="greaterThan">
      <formula>1</formula>
    </cfRule>
    <cfRule type="cellIs" dxfId="14306" priority="924" operator="lessThan">
      <formula>0.8</formula>
    </cfRule>
  </conditionalFormatting>
  <conditionalFormatting sqref="P148:P153">
    <cfRule type="cellIs" dxfId="14305" priority="922" operator="greaterThan">
      <formula>0</formula>
    </cfRule>
  </conditionalFormatting>
  <conditionalFormatting sqref="P148:P153">
    <cfRule type="cellIs" dxfId="14304" priority="916" operator="greaterThan">
      <formula>0</formula>
    </cfRule>
  </conditionalFormatting>
  <conditionalFormatting sqref="Q148:Q153">
    <cfRule type="cellIs" dxfId="14303" priority="921" operator="lessThan">
      <formula>0</formula>
    </cfRule>
  </conditionalFormatting>
  <conditionalFormatting sqref="R148:R153">
    <cfRule type="cellIs" dxfId="14302" priority="919" operator="lessThan">
      <formula>0.8</formula>
    </cfRule>
    <cfRule type="cellIs" dxfId="14301" priority="920" operator="greaterThan">
      <formula>1</formula>
    </cfRule>
  </conditionalFormatting>
  <conditionalFormatting sqref="R148:R153">
    <cfRule type="cellIs" dxfId="14300" priority="917" operator="greaterThan">
      <formula>1</formula>
    </cfRule>
    <cfRule type="cellIs" dxfId="14299" priority="918" operator="lessThan">
      <formula>0.8</formula>
    </cfRule>
  </conditionalFormatting>
  <conditionalFormatting sqref="Q148:Q153">
    <cfRule type="cellIs" dxfId="14298" priority="915" operator="lessThan">
      <formula>0</formula>
    </cfRule>
  </conditionalFormatting>
  <conditionalFormatting sqref="R148:R153">
    <cfRule type="cellIs" dxfId="14297" priority="913" operator="lessThan">
      <formula>0.8</formula>
    </cfRule>
    <cfRule type="cellIs" dxfId="14296" priority="914" operator="greaterThan">
      <formula>1</formula>
    </cfRule>
  </conditionalFormatting>
  <conditionalFormatting sqref="R148:R153">
    <cfRule type="cellIs" dxfId="14295" priority="911" operator="greaterThan">
      <formula>1</formula>
    </cfRule>
    <cfRule type="cellIs" dxfId="14294" priority="912" operator="lessThan">
      <formula>0.8</formula>
    </cfRule>
  </conditionalFormatting>
  <conditionalFormatting sqref="P148:P153">
    <cfRule type="cellIs" dxfId="14293" priority="910" operator="greaterThan">
      <formula>0</formula>
    </cfRule>
  </conditionalFormatting>
  <conditionalFormatting sqref="Q148:Q153">
    <cfRule type="cellIs" dxfId="14292" priority="909" operator="lessThan">
      <formula>0</formula>
    </cfRule>
  </conditionalFormatting>
  <conditionalFormatting sqref="R148:R153">
    <cfRule type="cellIs" dxfId="14291" priority="907" operator="lessThan">
      <formula>0.8</formula>
    </cfRule>
    <cfRule type="cellIs" dxfId="14290" priority="908" operator="greaterThan">
      <formula>1</formula>
    </cfRule>
  </conditionalFormatting>
  <conditionalFormatting sqref="R148:R153">
    <cfRule type="cellIs" dxfId="14289" priority="905" operator="greaterThan">
      <formula>1</formula>
    </cfRule>
    <cfRule type="cellIs" dxfId="14288" priority="906" operator="lessThan">
      <formula>0.8</formula>
    </cfRule>
  </conditionalFormatting>
  <conditionalFormatting sqref="P148:P153">
    <cfRule type="cellIs" dxfId="14287" priority="904" operator="greaterThan">
      <formula>0</formula>
    </cfRule>
  </conditionalFormatting>
  <conditionalFormatting sqref="P148:P153">
    <cfRule type="cellIs" dxfId="14286" priority="898" operator="greaterThan">
      <formula>0</formula>
    </cfRule>
  </conditionalFormatting>
  <conditionalFormatting sqref="Q148:Q153">
    <cfRule type="cellIs" dxfId="14285" priority="903" operator="lessThan">
      <formula>0</formula>
    </cfRule>
  </conditionalFormatting>
  <conditionalFormatting sqref="R148:R153">
    <cfRule type="cellIs" dxfId="14284" priority="901" operator="lessThan">
      <formula>0.8</formula>
    </cfRule>
    <cfRule type="cellIs" dxfId="14283" priority="902" operator="greaterThan">
      <formula>1</formula>
    </cfRule>
  </conditionalFormatting>
  <conditionalFormatting sqref="R148:R153">
    <cfRule type="cellIs" dxfId="14282" priority="899" operator="greaterThan">
      <formula>1</formula>
    </cfRule>
    <cfRule type="cellIs" dxfId="14281" priority="900" operator="lessThan">
      <formula>0.8</formula>
    </cfRule>
  </conditionalFormatting>
  <conditionalFormatting sqref="Q148:Q153">
    <cfRule type="cellIs" dxfId="14280" priority="897" operator="lessThan">
      <formula>0</formula>
    </cfRule>
  </conditionalFormatting>
  <conditionalFormatting sqref="R148:R153">
    <cfRule type="cellIs" dxfId="14279" priority="895" operator="lessThan">
      <formula>0.8</formula>
    </cfRule>
    <cfRule type="cellIs" dxfId="14278" priority="896" operator="greaterThan">
      <formula>1</formula>
    </cfRule>
  </conditionalFormatting>
  <conditionalFormatting sqref="R148:R153">
    <cfRule type="cellIs" dxfId="14277" priority="893" operator="greaterThan">
      <formula>1</formula>
    </cfRule>
    <cfRule type="cellIs" dxfId="14276" priority="894" operator="lessThan">
      <formula>0.8</formula>
    </cfRule>
  </conditionalFormatting>
  <conditionalFormatting sqref="P148:P153">
    <cfRule type="cellIs" dxfId="14275" priority="892" operator="greaterThan">
      <formula>0</formula>
    </cfRule>
  </conditionalFormatting>
  <conditionalFormatting sqref="Q148:Q153">
    <cfRule type="cellIs" dxfId="14274" priority="886" operator="lessThan">
      <formula>0</formula>
    </cfRule>
  </conditionalFormatting>
  <conditionalFormatting sqref="P148:P153">
    <cfRule type="cellIs" dxfId="14273" priority="887" operator="greaterThan">
      <formula>0</formula>
    </cfRule>
  </conditionalFormatting>
  <conditionalFormatting sqref="R148:R153">
    <cfRule type="cellIs" dxfId="14272" priority="890" operator="lessThan">
      <formula>0.8</formula>
    </cfRule>
    <cfRule type="cellIs" dxfId="14271" priority="891" operator="greaterThan">
      <formula>1</formula>
    </cfRule>
  </conditionalFormatting>
  <conditionalFormatting sqref="R148:R153">
    <cfRule type="cellIs" dxfId="14270" priority="888" operator="greaterThan">
      <formula>1</formula>
    </cfRule>
    <cfRule type="cellIs" dxfId="14269" priority="889" operator="lessThan">
      <formula>0.8</formula>
    </cfRule>
  </conditionalFormatting>
  <conditionalFormatting sqref="Q148:Q153">
    <cfRule type="cellIs" dxfId="14268" priority="880" operator="lessThan">
      <formula>0</formula>
    </cfRule>
  </conditionalFormatting>
  <conditionalFormatting sqref="R148:R153">
    <cfRule type="cellIs" dxfId="14267" priority="884" operator="lessThan">
      <formula>0.8</formula>
    </cfRule>
    <cfRule type="cellIs" dxfId="14266" priority="885" operator="greaterThan">
      <formula>1</formula>
    </cfRule>
  </conditionalFormatting>
  <conditionalFormatting sqref="R148:R153">
    <cfRule type="cellIs" dxfId="14265" priority="882" operator="greaterThan">
      <formula>1</formula>
    </cfRule>
    <cfRule type="cellIs" dxfId="14264" priority="883" operator="lessThan">
      <formula>0.8</formula>
    </cfRule>
  </conditionalFormatting>
  <conditionalFormatting sqref="P148:P153">
    <cfRule type="cellIs" dxfId="14263" priority="881" operator="greaterThan">
      <formula>0</formula>
    </cfRule>
  </conditionalFormatting>
  <conditionalFormatting sqref="Q148:Q153">
    <cfRule type="cellIs" dxfId="14262" priority="879" operator="lessThan">
      <formula>0</formula>
    </cfRule>
  </conditionalFormatting>
  <conditionalFormatting sqref="R148:R153">
    <cfRule type="cellIs" dxfId="14261" priority="877" operator="lessThan">
      <formula>0.8</formula>
    </cfRule>
    <cfRule type="cellIs" dxfId="14260" priority="878" operator="greaterThan">
      <formula>1</formula>
    </cfRule>
  </conditionalFormatting>
  <conditionalFormatting sqref="R148:R153">
    <cfRule type="cellIs" dxfId="14259" priority="875" operator="greaterThan">
      <formula>1</formula>
    </cfRule>
    <cfRule type="cellIs" dxfId="14258" priority="876" operator="lessThan">
      <formula>0.8</formula>
    </cfRule>
  </conditionalFormatting>
  <conditionalFormatting sqref="P148:P153">
    <cfRule type="cellIs" dxfId="14257" priority="874" operator="greaterThan">
      <formula>0</formula>
    </cfRule>
  </conditionalFormatting>
  <conditionalFormatting sqref="Q148:Q153">
    <cfRule type="cellIs" dxfId="14256" priority="873" operator="lessThan">
      <formula>0</formula>
    </cfRule>
  </conditionalFormatting>
  <conditionalFormatting sqref="R148:R153">
    <cfRule type="cellIs" dxfId="14255" priority="871" operator="lessThan">
      <formula>0.8</formula>
    </cfRule>
    <cfRule type="cellIs" dxfId="14254" priority="872" operator="greaterThan">
      <formula>1</formula>
    </cfRule>
  </conditionalFormatting>
  <conditionalFormatting sqref="R148:R153">
    <cfRule type="cellIs" dxfId="14253" priority="869" operator="greaterThan">
      <formula>1</formula>
    </cfRule>
    <cfRule type="cellIs" dxfId="14252" priority="870" operator="lessThan">
      <formula>0.8</formula>
    </cfRule>
  </conditionalFormatting>
  <conditionalFormatting sqref="P148:P153">
    <cfRule type="cellIs" dxfId="14251" priority="868" operator="greaterThan">
      <formula>0</formula>
    </cfRule>
  </conditionalFormatting>
  <conditionalFormatting sqref="Q148:Q153">
    <cfRule type="cellIs" dxfId="14250" priority="867" operator="lessThan">
      <formula>0</formula>
    </cfRule>
  </conditionalFormatting>
  <conditionalFormatting sqref="R148:R153">
    <cfRule type="cellIs" dxfId="14249" priority="865" operator="lessThan">
      <formula>0.8</formula>
    </cfRule>
    <cfRule type="cellIs" dxfId="14248" priority="866" operator="greaterThan">
      <formula>1</formula>
    </cfRule>
  </conditionalFormatting>
  <conditionalFormatting sqref="R148:R153">
    <cfRule type="cellIs" dxfId="14247" priority="863" operator="greaterThan">
      <formula>1</formula>
    </cfRule>
    <cfRule type="cellIs" dxfId="14246" priority="864" operator="lessThan">
      <formula>0.8</formula>
    </cfRule>
  </conditionalFormatting>
  <conditionalFormatting sqref="P148:P153">
    <cfRule type="cellIs" dxfId="14245" priority="862" operator="greaterThan">
      <formula>0</formula>
    </cfRule>
  </conditionalFormatting>
  <conditionalFormatting sqref="Q148:Q153">
    <cfRule type="cellIs" dxfId="14244" priority="861" operator="lessThan">
      <formula>0</formula>
    </cfRule>
  </conditionalFormatting>
  <conditionalFormatting sqref="R148:R153">
    <cfRule type="cellIs" dxfId="14243" priority="859" operator="lessThan">
      <formula>0.8</formula>
    </cfRule>
    <cfRule type="cellIs" dxfId="14242" priority="860" operator="greaterThan">
      <formula>1</formula>
    </cfRule>
  </conditionalFormatting>
  <conditionalFormatting sqref="R148:R153">
    <cfRule type="cellIs" dxfId="14241" priority="857" operator="greaterThan">
      <formula>1</formula>
    </cfRule>
    <cfRule type="cellIs" dxfId="14240" priority="858" operator="lessThan">
      <formula>0.8</formula>
    </cfRule>
  </conditionalFormatting>
  <conditionalFormatting sqref="P148:P153">
    <cfRule type="cellIs" dxfId="14239" priority="856" operator="greaterThan">
      <formula>0</formula>
    </cfRule>
  </conditionalFormatting>
  <conditionalFormatting sqref="Q148:Q153">
    <cfRule type="cellIs" dxfId="14238" priority="855" operator="lessThan">
      <formula>0</formula>
    </cfRule>
  </conditionalFormatting>
  <conditionalFormatting sqref="R148:R153">
    <cfRule type="cellIs" dxfId="14237" priority="853" operator="lessThan">
      <formula>0.8</formula>
    </cfRule>
    <cfRule type="cellIs" dxfId="14236" priority="854" operator="greaterThan">
      <formula>1</formula>
    </cfRule>
  </conditionalFormatting>
  <conditionalFormatting sqref="R148:R153">
    <cfRule type="cellIs" dxfId="14235" priority="851" operator="greaterThan">
      <formula>1</formula>
    </cfRule>
    <cfRule type="cellIs" dxfId="14234" priority="852" operator="lessThan">
      <formula>0.8</formula>
    </cfRule>
  </conditionalFormatting>
  <conditionalFormatting sqref="P148:P153">
    <cfRule type="cellIs" dxfId="14233" priority="850" operator="greaterThan">
      <formula>0</formula>
    </cfRule>
  </conditionalFormatting>
  <conditionalFormatting sqref="Q148:Q153">
    <cfRule type="cellIs" dxfId="14232" priority="849" operator="lessThan">
      <formula>0</formula>
    </cfRule>
  </conditionalFormatting>
  <conditionalFormatting sqref="R148:R153">
    <cfRule type="cellIs" dxfId="14231" priority="847" operator="lessThan">
      <formula>0.8</formula>
    </cfRule>
    <cfRule type="cellIs" dxfId="14230" priority="848" operator="greaterThan">
      <formula>1</formula>
    </cfRule>
  </conditionalFormatting>
  <conditionalFormatting sqref="R148:R153">
    <cfRule type="cellIs" dxfId="14229" priority="845" operator="greaterThan">
      <formula>1</formula>
    </cfRule>
    <cfRule type="cellIs" dxfId="14228" priority="846" operator="lessThan">
      <formula>0.8</formula>
    </cfRule>
  </conditionalFormatting>
  <conditionalFormatting sqref="P148:P153">
    <cfRule type="cellIs" dxfId="14227" priority="844" operator="greaterThan">
      <formula>0</formula>
    </cfRule>
  </conditionalFormatting>
  <conditionalFormatting sqref="Q148:Q153">
    <cfRule type="cellIs" dxfId="14226" priority="843" operator="lessThan">
      <formula>0</formula>
    </cfRule>
  </conditionalFormatting>
  <conditionalFormatting sqref="R148:R153">
    <cfRule type="cellIs" dxfId="14225" priority="841" operator="lessThan">
      <formula>0.8</formula>
    </cfRule>
    <cfRule type="cellIs" dxfId="14224" priority="842" operator="greaterThan">
      <formula>1</formula>
    </cfRule>
  </conditionalFormatting>
  <conditionalFormatting sqref="R148:R153">
    <cfRule type="cellIs" dxfId="14223" priority="839" operator="greaterThan">
      <formula>1</formula>
    </cfRule>
    <cfRule type="cellIs" dxfId="14222" priority="840" operator="lessThan">
      <formula>0.8</formula>
    </cfRule>
  </conditionalFormatting>
  <conditionalFormatting sqref="P148:P153">
    <cfRule type="cellIs" dxfId="14221" priority="838" operator="greaterThan">
      <formula>0</formula>
    </cfRule>
  </conditionalFormatting>
  <conditionalFormatting sqref="P148:P153">
    <cfRule type="cellIs" dxfId="14220" priority="832" operator="greaterThan">
      <formula>0</formula>
    </cfRule>
  </conditionalFormatting>
  <conditionalFormatting sqref="Q148:Q153">
    <cfRule type="cellIs" dxfId="14219" priority="837" operator="lessThan">
      <formula>0</formula>
    </cfRule>
  </conditionalFormatting>
  <conditionalFormatting sqref="R148:R153">
    <cfRule type="cellIs" dxfId="14218" priority="835" operator="lessThan">
      <formula>0.8</formula>
    </cfRule>
    <cfRule type="cellIs" dxfId="14217" priority="836" operator="greaterThan">
      <formula>1</formula>
    </cfRule>
  </conditionalFormatting>
  <conditionalFormatting sqref="R148:R153">
    <cfRule type="cellIs" dxfId="14216" priority="833" operator="greaterThan">
      <formula>1</formula>
    </cfRule>
    <cfRule type="cellIs" dxfId="14215" priority="834" operator="lessThan">
      <formula>0.8</formula>
    </cfRule>
  </conditionalFormatting>
  <conditionalFormatting sqref="P148:P153">
    <cfRule type="cellIs" dxfId="14214" priority="826" operator="greaterThan">
      <formula>0</formula>
    </cfRule>
  </conditionalFormatting>
  <conditionalFormatting sqref="Q148:Q153">
    <cfRule type="cellIs" dxfId="14213" priority="831" operator="lessThan">
      <formula>0</formula>
    </cfRule>
  </conditionalFormatting>
  <conditionalFormatting sqref="R148:R153">
    <cfRule type="cellIs" dxfId="14212" priority="829" operator="lessThan">
      <formula>0.8</formula>
    </cfRule>
    <cfRule type="cellIs" dxfId="14211" priority="830" operator="greaterThan">
      <formula>1</formula>
    </cfRule>
  </conditionalFormatting>
  <conditionalFormatting sqref="R148:R153">
    <cfRule type="cellIs" dxfId="14210" priority="827" operator="greaterThan">
      <formula>1</formula>
    </cfRule>
    <cfRule type="cellIs" dxfId="14209" priority="828" operator="lessThan">
      <formula>0.8</formula>
    </cfRule>
  </conditionalFormatting>
  <conditionalFormatting sqref="R148:R153">
    <cfRule type="cellIs" dxfId="14208" priority="823" operator="lessThan">
      <formula>0.8</formula>
    </cfRule>
    <cfRule type="cellIs" dxfId="14207" priority="824" operator="greaterThan">
      <formula>1</formula>
    </cfRule>
  </conditionalFormatting>
  <conditionalFormatting sqref="R148:R153">
    <cfRule type="cellIs" dxfId="14206" priority="821" operator="greaterThan">
      <formula>1</formula>
    </cfRule>
    <cfRule type="cellIs" dxfId="14205" priority="822" operator="lessThan">
      <formula>0.8</formula>
    </cfRule>
  </conditionalFormatting>
  <conditionalFormatting sqref="P148:P153">
    <cfRule type="cellIs" dxfId="14204" priority="820" operator="greaterThan">
      <formula>0</formula>
    </cfRule>
  </conditionalFormatting>
  <conditionalFormatting sqref="Q148:Q153">
    <cfRule type="cellIs" dxfId="14203" priority="825" operator="lessThan">
      <formula>0</formula>
    </cfRule>
  </conditionalFormatting>
  <conditionalFormatting sqref="Q148:Q153">
    <cfRule type="cellIs" dxfId="14202" priority="819" operator="lessThan">
      <formula>0</formula>
    </cfRule>
  </conditionalFormatting>
  <conditionalFormatting sqref="R148:R153">
    <cfRule type="cellIs" dxfId="14201" priority="817" operator="lessThan">
      <formula>0.8</formula>
    </cfRule>
    <cfRule type="cellIs" dxfId="14200" priority="818" operator="greaterThan">
      <formula>1</formula>
    </cfRule>
  </conditionalFormatting>
  <conditionalFormatting sqref="R148:R153">
    <cfRule type="cellIs" dxfId="14199" priority="815" operator="greaterThan">
      <formula>1</formula>
    </cfRule>
    <cfRule type="cellIs" dxfId="14198" priority="816" operator="lessThan">
      <formula>0.8</formula>
    </cfRule>
  </conditionalFormatting>
  <conditionalFormatting sqref="P148:P153">
    <cfRule type="cellIs" dxfId="14197" priority="814" operator="greaterThan">
      <formula>0</formula>
    </cfRule>
  </conditionalFormatting>
  <conditionalFormatting sqref="P148:P153">
    <cfRule type="cellIs" dxfId="14196" priority="808" operator="greaterThan">
      <formula>0</formula>
    </cfRule>
  </conditionalFormatting>
  <conditionalFormatting sqref="Q148:Q153">
    <cfRule type="cellIs" dxfId="14195" priority="813" operator="lessThan">
      <formula>0</formula>
    </cfRule>
  </conditionalFormatting>
  <conditionalFormatting sqref="R148:R153">
    <cfRule type="cellIs" dxfId="14194" priority="811" operator="lessThan">
      <formula>0.8</formula>
    </cfRule>
    <cfRule type="cellIs" dxfId="14193" priority="812" operator="greaterThan">
      <formula>1</formula>
    </cfRule>
  </conditionalFormatting>
  <conditionalFormatting sqref="R148:R153">
    <cfRule type="cellIs" dxfId="14192" priority="809" operator="greaterThan">
      <formula>1</formula>
    </cfRule>
    <cfRule type="cellIs" dxfId="14191" priority="810" operator="lessThan">
      <formula>0.8</formula>
    </cfRule>
  </conditionalFormatting>
  <conditionalFormatting sqref="P148:P153">
    <cfRule type="cellIs" dxfId="14190" priority="802" operator="greaterThan">
      <formula>0</formula>
    </cfRule>
  </conditionalFormatting>
  <conditionalFormatting sqref="Q148:Q153">
    <cfRule type="cellIs" dxfId="14189" priority="807" operator="lessThan">
      <formula>0</formula>
    </cfRule>
  </conditionalFormatting>
  <conditionalFormatting sqref="R148:R153">
    <cfRule type="cellIs" dxfId="14188" priority="805" operator="lessThan">
      <formula>0.8</formula>
    </cfRule>
    <cfRule type="cellIs" dxfId="14187" priority="806" operator="greaterThan">
      <formula>1</formula>
    </cfRule>
  </conditionalFormatting>
  <conditionalFormatting sqref="R148:R153">
    <cfRule type="cellIs" dxfId="14186" priority="803" operator="greaterThan">
      <formula>1</formula>
    </cfRule>
    <cfRule type="cellIs" dxfId="14185" priority="804" operator="lessThan">
      <formula>0.8</formula>
    </cfRule>
  </conditionalFormatting>
  <conditionalFormatting sqref="R148:R153">
    <cfRule type="cellIs" dxfId="14184" priority="799" operator="lessThan">
      <formula>0.8</formula>
    </cfRule>
    <cfRule type="cellIs" dxfId="14183" priority="800" operator="greaterThan">
      <formula>1</formula>
    </cfRule>
  </conditionalFormatting>
  <conditionalFormatting sqref="R148:R153">
    <cfRule type="cellIs" dxfId="14182" priority="797" operator="greaterThan">
      <formula>1</formula>
    </cfRule>
    <cfRule type="cellIs" dxfId="14181" priority="798" operator="lessThan">
      <formula>0.8</formula>
    </cfRule>
  </conditionalFormatting>
  <conditionalFormatting sqref="P148:P153">
    <cfRule type="cellIs" dxfId="14180" priority="796" operator="greaterThan">
      <formula>0</formula>
    </cfRule>
  </conditionalFormatting>
  <conditionalFormatting sqref="Q148:Q153">
    <cfRule type="cellIs" dxfId="14179" priority="801" operator="lessThan">
      <formula>0</formula>
    </cfRule>
  </conditionalFormatting>
  <conditionalFormatting sqref="P148:P153">
    <cfRule type="cellIs" dxfId="14178" priority="790" operator="greaterThan">
      <formula>0</formula>
    </cfRule>
  </conditionalFormatting>
  <conditionalFormatting sqref="Q148:Q153">
    <cfRule type="cellIs" dxfId="14177" priority="795" operator="lessThan">
      <formula>0</formula>
    </cfRule>
  </conditionalFormatting>
  <conditionalFormatting sqref="R148:R153">
    <cfRule type="cellIs" dxfId="14176" priority="793" operator="lessThan">
      <formula>0.8</formula>
    </cfRule>
    <cfRule type="cellIs" dxfId="14175" priority="794" operator="greaterThan">
      <formula>1</formula>
    </cfRule>
  </conditionalFormatting>
  <conditionalFormatting sqref="R148:R153">
    <cfRule type="cellIs" dxfId="14174" priority="791" operator="greaterThan">
      <formula>1</formula>
    </cfRule>
    <cfRule type="cellIs" dxfId="14173" priority="792" operator="lessThan">
      <formula>0.8</formula>
    </cfRule>
  </conditionalFormatting>
  <conditionalFormatting sqref="R148:R153">
    <cfRule type="cellIs" dxfId="14172" priority="787" operator="lessThan">
      <formula>0.8</formula>
    </cfRule>
    <cfRule type="cellIs" dxfId="14171" priority="788" operator="greaterThan">
      <formula>1</formula>
    </cfRule>
  </conditionalFormatting>
  <conditionalFormatting sqref="R148:R153">
    <cfRule type="cellIs" dxfId="14170" priority="785" operator="greaterThan">
      <formula>1</formula>
    </cfRule>
    <cfRule type="cellIs" dxfId="14169" priority="786" operator="lessThan">
      <formula>0.8</formula>
    </cfRule>
  </conditionalFormatting>
  <conditionalFormatting sqref="P148:P153">
    <cfRule type="cellIs" dxfId="14168" priority="784" operator="greaterThan">
      <formula>0</formula>
    </cfRule>
  </conditionalFormatting>
  <conditionalFormatting sqref="Q148:Q153">
    <cfRule type="cellIs" dxfId="14167" priority="789" operator="lessThan">
      <formula>0</formula>
    </cfRule>
  </conditionalFormatting>
  <conditionalFormatting sqref="R148:R153">
    <cfRule type="cellIs" dxfId="14166" priority="781" operator="lessThan">
      <formula>0.8</formula>
    </cfRule>
    <cfRule type="cellIs" dxfId="14165" priority="782" operator="greaterThan">
      <formula>1</formula>
    </cfRule>
  </conditionalFormatting>
  <conditionalFormatting sqref="R148:R153">
    <cfRule type="cellIs" dxfId="14164" priority="779" operator="greaterThan">
      <formula>1</formula>
    </cfRule>
    <cfRule type="cellIs" dxfId="14163" priority="780" operator="lessThan">
      <formula>0.8</formula>
    </cfRule>
  </conditionalFormatting>
  <conditionalFormatting sqref="P148:P153">
    <cfRule type="cellIs" dxfId="14162" priority="778" operator="greaterThan">
      <formula>0</formula>
    </cfRule>
  </conditionalFormatting>
  <conditionalFormatting sqref="Q148:Q153">
    <cfRule type="cellIs" dxfId="14161" priority="783" operator="lessThan">
      <formula>0</formula>
    </cfRule>
  </conditionalFormatting>
  <conditionalFormatting sqref="Q148:Q153">
    <cfRule type="cellIs" dxfId="14160" priority="777" operator="lessThan">
      <formula>0</formula>
    </cfRule>
  </conditionalFormatting>
  <conditionalFormatting sqref="R148:R153">
    <cfRule type="cellIs" dxfId="14159" priority="775" operator="lessThan">
      <formula>0.8</formula>
    </cfRule>
    <cfRule type="cellIs" dxfId="14158" priority="776" operator="greaterThan">
      <formula>1</formula>
    </cfRule>
  </conditionalFormatting>
  <conditionalFormatting sqref="R148:R153">
    <cfRule type="cellIs" dxfId="14157" priority="773" operator="greaterThan">
      <formula>1</formula>
    </cfRule>
    <cfRule type="cellIs" dxfId="14156" priority="774" operator="lessThan">
      <formula>0.8</formula>
    </cfRule>
  </conditionalFormatting>
  <conditionalFormatting sqref="P148:P153">
    <cfRule type="cellIs" dxfId="14155" priority="772" operator="greaterThan">
      <formula>0</formula>
    </cfRule>
  </conditionalFormatting>
  <conditionalFormatting sqref="Q148:Q153">
    <cfRule type="cellIs" dxfId="14154" priority="766" operator="lessThan">
      <formula>0</formula>
    </cfRule>
  </conditionalFormatting>
  <conditionalFormatting sqref="R148:R153">
    <cfRule type="cellIs" dxfId="14153" priority="770" operator="lessThan">
      <formula>0.8</formula>
    </cfRule>
    <cfRule type="cellIs" dxfId="14152" priority="771" operator="greaterThan">
      <formula>1</formula>
    </cfRule>
  </conditionalFormatting>
  <conditionalFormatting sqref="R148:R153">
    <cfRule type="cellIs" dxfId="14151" priority="768" operator="greaterThan">
      <formula>1</formula>
    </cfRule>
    <cfRule type="cellIs" dxfId="14150" priority="769" operator="lessThan">
      <formula>0.8</formula>
    </cfRule>
  </conditionalFormatting>
  <conditionalFormatting sqref="P148:P153">
    <cfRule type="cellIs" dxfId="14149" priority="767" operator="greaterThan">
      <formula>0</formula>
    </cfRule>
  </conditionalFormatting>
  <conditionalFormatting sqref="Q148:Q153">
    <cfRule type="cellIs" dxfId="14148" priority="765" operator="lessThan">
      <formula>0</formula>
    </cfRule>
  </conditionalFormatting>
  <conditionalFormatting sqref="R148:R153">
    <cfRule type="cellIs" dxfId="14147" priority="763" operator="lessThan">
      <formula>0.8</formula>
    </cfRule>
    <cfRule type="cellIs" dxfId="14146" priority="764" operator="greaterThan">
      <formula>1</formula>
    </cfRule>
  </conditionalFormatting>
  <conditionalFormatting sqref="R148:R153">
    <cfRule type="cellIs" dxfId="14145" priority="761" operator="greaterThan">
      <formula>1</formula>
    </cfRule>
    <cfRule type="cellIs" dxfId="14144" priority="762" operator="lessThan">
      <formula>0.8</formula>
    </cfRule>
  </conditionalFormatting>
  <conditionalFormatting sqref="P148:P153">
    <cfRule type="cellIs" dxfId="14143" priority="760" operator="greaterThan">
      <formula>0</formula>
    </cfRule>
  </conditionalFormatting>
  <conditionalFormatting sqref="Q148:Q153">
    <cfRule type="cellIs" dxfId="14142" priority="759" operator="lessThan">
      <formula>0</formula>
    </cfRule>
  </conditionalFormatting>
  <conditionalFormatting sqref="R148:R153">
    <cfRule type="cellIs" dxfId="14141" priority="757" operator="lessThan">
      <formula>0.8</formula>
    </cfRule>
    <cfRule type="cellIs" dxfId="14140" priority="758" operator="greaterThan">
      <formula>1</formula>
    </cfRule>
  </conditionalFormatting>
  <conditionalFormatting sqref="R148:R153">
    <cfRule type="cellIs" dxfId="14139" priority="755" operator="greaterThan">
      <formula>1</formula>
    </cfRule>
    <cfRule type="cellIs" dxfId="14138" priority="756" operator="lessThan">
      <formula>0.8</formula>
    </cfRule>
  </conditionalFormatting>
  <conditionalFormatting sqref="P148:P153">
    <cfRule type="cellIs" dxfId="14137" priority="754" operator="greaterThan">
      <formula>0</formula>
    </cfRule>
  </conditionalFormatting>
  <conditionalFormatting sqref="Q148:Q153">
    <cfRule type="cellIs" dxfId="14136" priority="753" operator="lessThan">
      <formula>0</formula>
    </cfRule>
  </conditionalFormatting>
  <conditionalFormatting sqref="R148:R153">
    <cfRule type="cellIs" dxfId="14135" priority="751" operator="lessThan">
      <formula>0.8</formula>
    </cfRule>
    <cfRule type="cellIs" dxfId="14134" priority="752" operator="greaterThan">
      <formula>1</formula>
    </cfRule>
  </conditionalFormatting>
  <conditionalFormatting sqref="R148:R153">
    <cfRule type="cellIs" dxfId="14133" priority="749" operator="greaterThan">
      <formula>1</formula>
    </cfRule>
    <cfRule type="cellIs" dxfId="14132" priority="750" operator="lessThan">
      <formula>0.8</formula>
    </cfRule>
  </conditionalFormatting>
  <conditionalFormatting sqref="P148:P153">
    <cfRule type="cellIs" dxfId="14131" priority="748" operator="greaterThan">
      <formula>0</formula>
    </cfRule>
  </conditionalFormatting>
  <conditionalFormatting sqref="Q148:Q153">
    <cfRule type="cellIs" dxfId="14130" priority="747" operator="lessThan">
      <formula>0</formula>
    </cfRule>
  </conditionalFormatting>
  <conditionalFormatting sqref="R148:R153">
    <cfRule type="cellIs" dxfId="14129" priority="745" operator="lessThan">
      <formula>0.8</formula>
    </cfRule>
    <cfRule type="cellIs" dxfId="14128" priority="746" operator="greaterThan">
      <formula>1</formula>
    </cfRule>
  </conditionalFormatting>
  <conditionalFormatting sqref="R148:R153">
    <cfRule type="cellIs" dxfId="14127" priority="743" operator="greaterThan">
      <formula>1</formula>
    </cfRule>
    <cfRule type="cellIs" dxfId="14126" priority="744" operator="lessThan">
      <formula>0.8</formula>
    </cfRule>
  </conditionalFormatting>
  <conditionalFormatting sqref="P148:P153">
    <cfRule type="cellIs" dxfId="14125" priority="742" operator="greaterThan">
      <formula>0</formula>
    </cfRule>
  </conditionalFormatting>
  <conditionalFormatting sqref="Q148:Q153">
    <cfRule type="cellIs" dxfId="14124" priority="741" operator="lessThan">
      <formula>0</formula>
    </cfRule>
  </conditionalFormatting>
  <conditionalFormatting sqref="R148:R153">
    <cfRule type="cellIs" dxfId="14123" priority="739" operator="lessThan">
      <formula>0.8</formula>
    </cfRule>
    <cfRule type="cellIs" dxfId="14122" priority="740" operator="greaterThan">
      <formula>1</formula>
    </cfRule>
  </conditionalFormatting>
  <conditionalFormatting sqref="R148:R153">
    <cfRule type="cellIs" dxfId="14121" priority="737" operator="greaterThan">
      <formula>1</formula>
    </cfRule>
    <cfRule type="cellIs" dxfId="14120" priority="738" operator="lessThan">
      <formula>0.8</formula>
    </cfRule>
  </conditionalFormatting>
  <conditionalFormatting sqref="P148:P153">
    <cfRule type="cellIs" dxfId="14119" priority="736" operator="greaterThan">
      <formula>0</formula>
    </cfRule>
  </conditionalFormatting>
  <conditionalFormatting sqref="P148:P153">
    <cfRule type="cellIs" dxfId="14118" priority="730" operator="greaterThan">
      <formula>0</formula>
    </cfRule>
  </conditionalFormatting>
  <conditionalFormatting sqref="Q148:Q153">
    <cfRule type="cellIs" dxfId="14117" priority="735" operator="lessThan">
      <formula>0</formula>
    </cfRule>
  </conditionalFormatting>
  <conditionalFormatting sqref="R148:R153">
    <cfRule type="cellIs" dxfId="14116" priority="733" operator="lessThan">
      <formula>0.8</formula>
    </cfRule>
    <cfRule type="cellIs" dxfId="14115" priority="734" operator="greaterThan">
      <formula>1</formula>
    </cfRule>
  </conditionalFormatting>
  <conditionalFormatting sqref="R148:R153">
    <cfRule type="cellIs" dxfId="14114" priority="731" operator="greaterThan">
      <formula>1</formula>
    </cfRule>
    <cfRule type="cellIs" dxfId="14113" priority="732" operator="lessThan">
      <formula>0.8</formula>
    </cfRule>
  </conditionalFormatting>
  <conditionalFormatting sqref="P148:P153">
    <cfRule type="cellIs" dxfId="14112" priority="724" operator="greaterThan">
      <formula>0</formula>
    </cfRule>
  </conditionalFormatting>
  <conditionalFormatting sqref="Q148:Q153">
    <cfRule type="cellIs" dxfId="14111" priority="729" operator="lessThan">
      <formula>0</formula>
    </cfRule>
  </conditionalFormatting>
  <conditionalFormatting sqref="R148:R153">
    <cfRule type="cellIs" dxfId="14110" priority="727" operator="lessThan">
      <formula>0.8</formula>
    </cfRule>
    <cfRule type="cellIs" dxfId="14109" priority="728" operator="greaterThan">
      <formula>1</formula>
    </cfRule>
  </conditionalFormatting>
  <conditionalFormatting sqref="R148:R153">
    <cfRule type="cellIs" dxfId="14108" priority="725" operator="greaterThan">
      <formula>1</formula>
    </cfRule>
    <cfRule type="cellIs" dxfId="14107" priority="726" operator="lessThan">
      <formula>0.8</formula>
    </cfRule>
  </conditionalFormatting>
  <conditionalFormatting sqref="R148:R153">
    <cfRule type="cellIs" dxfId="14106" priority="721" operator="lessThan">
      <formula>0.8</formula>
    </cfRule>
    <cfRule type="cellIs" dxfId="14105" priority="722" operator="greaterThan">
      <formula>1</formula>
    </cfRule>
  </conditionalFormatting>
  <conditionalFormatting sqref="R148:R153">
    <cfRule type="cellIs" dxfId="14104" priority="719" operator="greaterThan">
      <formula>1</formula>
    </cfRule>
    <cfRule type="cellIs" dxfId="14103" priority="720" operator="lessThan">
      <formula>0.8</formula>
    </cfRule>
  </conditionalFormatting>
  <conditionalFormatting sqref="P148:P153">
    <cfRule type="cellIs" dxfId="14102" priority="718" operator="greaterThan">
      <formula>0</formula>
    </cfRule>
  </conditionalFormatting>
  <conditionalFormatting sqref="Q148:Q153">
    <cfRule type="cellIs" dxfId="14101" priority="723" operator="lessThan">
      <formula>0</formula>
    </cfRule>
  </conditionalFormatting>
  <conditionalFormatting sqref="P44:P51">
    <cfRule type="cellIs" dxfId="14100" priority="712" operator="greaterThan">
      <formula>0</formula>
    </cfRule>
  </conditionalFormatting>
  <conditionalFormatting sqref="Q44:Q51">
    <cfRule type="cellIs" dxfId="14099" priority="717" operator="lessThan">
      <formula>0</formula>
    </cfRule>
  </conditionalFormatting>
  <conditionalFormatting sqref="R44:R51">
    <cfRule type="cellIs" dxfId="14098" priority="715" operator="lessThan">
      <formula>0.8</formula>
    </cfRule>
    <cfRule type="cellIs" dxfId="14097" priority="716" operator="greaterThan">
      <formula>1</formula>
    </cfRule>
  </conditionalFormatting>
  <conditionalFormatting sqref="R44:R51">
    <cfRule type="cellIs" dxfId="14096" priority="713" operator="greaterThan">
      <formula>1</formula>
    </cfRule>
    <cfRule type="cellIs" dxfId="14095" priority="714" operator="lessThan">
      <formula>0.8</formula>
    </cfRule>
  </conditionalFormatting>
  <conditionalFormatting sqref="Q84:Q91">
    <cfRule type="cellIs" dxfId="14094" priority="711" operator="lessThan">
      <formula>0</formula>
    </cfRule>
  </conditionalFormatting>
  <conditionalFormatting sqref="R84:R91">
    <cfRule type="cellIs" dxfId="14093" priority="709" operator="lessThan">
      <formula>0.8</formula>
    </cfRule>
    <cfRule type="cellIs" dxfId="14092" priority="710" operator="greaterThan">
      <formula>1</formula>
    </cfRule>
  </conditionalFormatting>
  <conditionalFormatting sqref="R84:R91">
    <cfRule type="cellIs" dxfId="14091" priority="707" operator="greaterThan">
      <formula>1</formula>
    </cfRule>
    <cfRule type="cellIs" dxfId="14090" priority="708" operator="lessThan">
      <formula>0.8</formula>
    </cfRule>
  </conditionalFormatting>
  <conditionalFormatting sqref="P84:P91">
    <cfRule type="cellIs" dxfId="14089" priority="706" operator="greaterThan">
      <formula>0</formula>
    </cfRule>
  </conditionalFormatting>
  <conditionalFormatting sqref="Q84:Q91">
    <cfRule type="cellIs" dxfId="14088" priority="705" operator="lessThan">
      <formula>0</formula>
    </cfRule>
  </conditionalFormatting>
  <conditionalFormatting sqref="R84:R91">
    <cfRule type="cellIs" dxfId="14087" priority="703" operator="lessThan">
      <formula>0.8</formula>
    </cfRule>
    <cfRule type="cellIs" dxfId="14086" priority="704" operator="greaterThan">
      <formula>1</formula>
    </cfRule>
  </conditionalFormatting>
  <conditionalFormatting sqref="R84:R91">
    <cfRule type="cellIs" dxfId="14085" priority="701" operator="greaterThan">
      <formula>1</formula>
    </cfRule>
    <cfRule type="cellIs" dxfId="14084" priority="702" operator="lessThan">
      <formula>0.8</formula>
    </cfRule>
  </conditionalFormatting>
  <conditionalFormatting sqref="P84:P91">
    <cfRule type="cellIs" dxfId="14083" priority="700" operator="greaterThan">
      <formula>0</formula>
    </cfRule>
  </conditionalFormatting>
  <conditionalFormatting sqref="Q84:Q91">
    <cfRule type="cellIs" dxfId="14082" priority="699" operator="lessThan">
      <formula>0</formula>
    </cfRule>
  </conditionalFormatting>
  <conditionalFormatting sqref="R84:R91">
    <cfRule type="cellIs" dxfId="14081" priority="697" operator="lessThan">
      <formula>0.8</formula>
    </cfRule>
    <cfRule type="cellIs" dxfId="14080" priority="698" operator="greaterThan">
      <formula>1</formula>
    </cfRule>
  </conditionalFormatting>
  <conditionalFormatting sqref="R84:R91">
    <cfRule type="cellIs" dxfId="14079" priority="695" operator="greaterThan">
      <formula>1</formula>
    </cfRule>
    <cfRule type="cellIs" dxfId="14078" priority="696" operator="lessThan">
      <formula>0.8</formula>
    </cfRule>
  </conditionalFormatting>
  <conditionalFormatting sqref="P84:P91">
    <cfRule type="cellIs" dxfId="14077" priority="694" operator="greaterThan">
      <formula>0</formula>
    </cfRule>
  </conditionalFormatting>
  <conditionalFormatting sqref="Q84:Q91">
    <cfRule type="cellIs" dxfId="14076" priority="693" operator="lessThan">
      <formula>0</formula>
    </cfRule>
  </conditionalFormatting>
  <conditionalFormatting sqref="R84:R91">
    <cfRule type="cellIs" dxfId="14075" priority="691" operator="lessThan">
      <formula>0.8</formula>
    </cfRule>
    <cfRule type="cellIs" dxfId="14074" priority="692" operator="greaterThan">
      <formula>1</formula>
    </cfRule>
  </conditionalFormatting>
  <conditionalFormatting sqref="R84:R91">
    <cfRule type="cellIs" dxfId="14073" priority="689" operator="greaterThan">
      <formula>1</formula>
    </cfRule>
    <cfRule type="cellIs" dxfId="14072" priority="690" operator="lessThan">
      <formula>0.8</formula>
    </cfRule>
  </conditionalFormatting>
  <conditionalFormatting sqref="P84:P91">
    <cfRule type="cellIs" dxfId="14071" priority="688" operator="greaterThan">
      <formula>0</formula>
    </cfRule>
  </conditionalFormatting>
  <conditionalFormatting sqref="P84:P91">
    <cfRule type="cellIs" dxfId="14070" priority="682" operator="greaterThan">
      <formula>0</formula>
    </cfRule>
  </conditionalFormatting>
  <conditionalFormatting sqref="Q84:Q91">
    <cfRule type="cellIs" dxfId="14069" priority="687" operator="lessThan">
      <formula>0</formula>
    </cfRule>
  </conditionalFormatting>
  <conditionalFormatting sqref="R84:R91">
    <cfRule type="cellIs" dxfId="14068" priority="685" operator="lessThan">
      <formula>0.8</formula>
    </cfRule>
    <cfRule type="cellIs" dxfId="14067" priority="686" operator="greaterThan">
      <formula>1</formula>
    </cfRule>
  </conditionalFormatting>
  <conditionalFormatting sqref="R84:R91">
    <cfRule type="cellIs" dxfId="14066" priority="683" operator="greaterThan">
      <formula>1</formula>
    </cfRule>
    <cfRule type="cellIs" dxfId="14065" priority="684" operator="lessThan">
      <formula>0.8</formula>
    </cfRule>
  </conditionalFormatting>
  <conditionalFormatting sqref="P84:P91">
    <cfRule type="cellIs" dxfId="14064" priority="676" operator="greaterThan">
      <formula>0</formula>
    </cfRule>
  </conditionalFormatting>
  <conditionalFormatting sqref="Q84:Q91">
    <cfRule type="cellIs" dxfId="14063" priority="681" operator="lessThan">
      <formula>0</formula>
    </cfRule>
  </conditionalFormatting>
  <conditionalFormatting sqref="R84:R91">
    <cfRule type="cellIs" dxfId="14062" priority="679" operator="lessThan">
      <formula>0.8</formula>
    </cfRule>
    <cfRule type="cellIs" dxfId="14061" priority="680" operator="greaterThan">
      <formula>1</formula>
    </cfRule>
  </conditionalFormatting>
  <conditionalFormatting sqref="R84:R91">
    <cfRule type="cellIs" dxfId="14060" priority="677" operator="greaterThan">
      <formula>1</formula>
    </cfRule>
    <cfRule type="cellIs" dxfId="14059" priority="678" operator="lessThan">
      <formula>0.8</formula>
    </cfRule>
  </conditionalFormatting>
  <conditionalFormatting sqref="R84:R91">
    <cfRule type="cellIs" dxfId="14058" priority="673" operator="lessThan">
      <formula>0.8</formula>
    </cfRule>
    <cfRule type="cellIs" dxfId="14057" priority="674" operator="greaterThan">
      <formula>1</formula>
    </cfRule>
  </conditionalFormatting>
  <conditionalFormatting sqref="R84:R91">
    <cfRule type="cellIs" dxfId="14056" priority="671" operator="greaterThan">
      <formula>1</formula>
    </cfRule>
    <cfRule type="cellIs" dxfId="14055" priority="672" operator="lessThan">
      <formula>0.8</formula>
    </cfRule>
  </conditionalFormatting>
  <conditionalFormatting sqref="P84:P91">
    <cfRule type="cellIs" dxfId="14054" priority="670" operator="greaterThan">
      <formula>0</formula>
    </cfRule>
  </conditionalFormatting>
  <conditionalFormatting sqref="Q84:Q91">
    <cfRule type="cellIs" dxfId="14053" priority="675" operator="lessThan">
      <formula>0</formula>
    </cfRule>
  </conditionalFormatting>
  <conditionalFormatting sqref="Q84:Q91">
    <cfRule type="cellIs" dxfId="14052" priority="669" operator="lessThan">
      <formula>0</formula>
    </cfRule>
  </conditionalFormatting>
  <conditionalFormatting sqref="R84:R91">
    <cfRule type="cellIs" dxfId="14051" priority="667" operator="lessThan">
      <formula>0.8</formula>
    </cfRule>
    <cfRule type="cellIs" dxfId="14050" priority="668" operator="greaterThan">
      <formula>1</formula>
    </cfRule>
  </conditionalFormatting>
  <conditionalFormatting sqref="R84:R91">
    <cfRule type="cellIs" dxfId="14049" priority="665" operator="greaterThan">
      <formula>1</formula>
    </cfRule>
    <cfRule type="cellIs" dxfId="14048" priority="666" operator="lessThan">
      <formula>0.8</formula>
    </cfRule>
  </conditionalFormatting>
  <conditionalFormatting sqref="P84:P91">
    <cfRule type="cellIs" dxfId="14047" priority="664" operator="greaterThan">
      <formula>0</formula>
    </cfRule>
  </conditionalFormatting>
  <conditionalFormatting sqref="P84:P91">
    <cfRule type="cellIs" dxfId="14046" priority="658" operator="greaterThan">
      <formula>0</formula>
    </cfRule>
  </conditionalFormatting>
  <conditionalFormatting sqref="Q84:Q91">
    <cfRule type="cellIs" dxfId="14045" priority="663" operator="lessThan">
      <formula>0</formula>
    </cfRule>
  </conditionalFormatting>
  <conditionalFormatting sqref="R84:R91">
    <cfRule type="cellIs" dxfId="14044" priority="661" operator="lessThan">
      <formula>0.8</formula>
    </cfRule>
    <cfRule type="cellIs" dxfId="14043" priority="662" operator="greaterThan">
      <formula>1</formula>
    </cfRule>
  </conditionalFormatting>
  <conditionalFormatting sqref="R84:R91">
    <cfRule type="cellIs" dxfId="14042" priority="659" operator="greaterThan">
      <formula>1</formula>
    </cfRule>
    <cfRule type="cellIs" dxfId="14041" priority="660" operator="lessThan">
      <formula>0.8</formula>
    </cfRule>
  </conditionalFormatting>
  <conditionalFormatting sqref="P84:P91">
    <cfRule type="cellIs" dxfId="14040" priority="652" operator="greaterThan">
      <formula>0</formula>
    </cfRule>
  </conditionalFormatting>
  <conditionalFormatting sqref="Q84:Q91">
    <cfRule type="cellIs" dxfId="14039" priority="657" operator="lessThan">
      <formula>0</formula>
    </cfRule>
  </conditionalFormatting>
  <conditionalFormatting sqref="R84:R91">
    <cfRule type="cellIs" dxfId="14038" priority="655" operator="lessThan">
      <formula>0.8</formula>
    </cfRule>
    <cfRule type="cellIs" dxfId="14037" priority="656" operator="greaterThan">
      <formula>1</formula>
    </cfRule>
  </conditionalFormatting>
  <conditionalFormatting sqref="R84:R91">
    <cfRule type="cellIs" dxfId="14036" priority="653" operator="greaterThan">
      <formula>1</formula>
    </cfRule>
    <cfRule type="cellIs" dxfId="14035" priority="654" operator="lessThan">
      <formula>0.8</formula>
    </cfRule>
  </conditionalFormatting>
  <conditionalFormatting sqref="R84:R91">
    <cfRule type="cellIs" dxfId="14034" priority="649" operator="lessThan">
      <formula>0.8</formula>
    </cfRule>
    <cfRule type="cellIs" dxfId="14033" priority="650" operator="greaterThan">
      <formula>1</formula>
    </cfRule>
  </conditionalFormatting>
  <conditionalFormatting sqref="R84:R91">
    <cfRule type="cellIs" dxfId="14032" priority="647" operator="greaterThan">
      <formula>1</formula>
    </cfRule>
    <cfRule type="cellIs" dxfId="14031" priority="648" operator="lessThan">
      <formula>0.8</formula>
    </cfRule>
  </conditionalFormatting>
  <conditionalFormatting sqref="P84:P91">
    <cfRule type="cellIs" dxfId="14030" priority="646" operator="greaterThan">
      <formula>0</formula>
    </cfRule>
  </conditionalFormatting>
  <conditionalFormatting sqref="Q84:Q91">
    <cfRule type="cellIs" dxfId="14029" priority="651" operator="lessThan">
      <formula>0</formula>
    </cfRule>
  </conditionalFormatting>
  <conditionalFormatting sqref="P84:P91">
    <cfRule type="cellIs" dxfId="14028" priority="640" operator="greaterThan">
      <formula>0</formula>
    </cfRule>
  </conditionalFormatting>
  <conditionalFormatting sqref="Q84:Q91">
    <cfRule type="cellIs" dxfId="14027" priority="645" operator="lessThan">
      <formula>0</formula>
    </cfRule>
  </conditionalFormatting>
  <conditionalFormatting sqref="R84:R91">
    <cfRule type="cellIs" dxfId="14026" priority="643" operator="lessThan">
      <formula>0.8</formula>
    </cfRule>
    <cfRule type="cellIs" dxfId="14025" priority="644" operator="greaterThan">
      <formula>1</formula>
    </cfRule>
  </conditionalFormatting>
  <conditionalFormatting sqref="R84:R91">
    <cfRule type="cellIs" dxfId="14024" priority="641" operator="greaterThan">
      <formula>1</formula>
    </cfRule>
    <cfRule type="cellIs" dxfId="14023" priority="642" operator="lessThan">
      <formula>0.8</formula>
    </cfRule>
  </conditionalFormatting>
  <conditionalFormatting sqref="R84:R91">
    <cfRule type="cellIs" dxfId="14022" priority="637" operator="lessThan">
      <formula>0.8</formula>
    </cfRule>
    <cfRule type="cellIs" dxfId="14021" priority="638" operator="greaterThan">
      <formula>1</formula>
    </cfRule>
  </conditionalFormatting>
  <conditionalFormatting sqref="R84:R91">
    <cfRule type="cellIs" dxfId="14020" priority="635" operator="greaterThan">
      <formula>1</formula>
    </cfRule>
    <cfRule type="cellIs" dxfId="14019" priority="636" operator="lessThan">
      <formula>0.8</formula>
    </cfRule>
  </conditionalFormatting>
  <conditionalFormatting sqref="P84:P91">
    <cfRule type="cellIs" dxfId="14018" priority="634" operator="greaterThan">
      <formula>0</formula>
    </cfRule>
  </conditionalFormatting>
  <conditionalFormatting sqref="Q84:Q91">
    <cfRule type="cellIs" dxfId="14017" priority="639" operator="lessThan">
      <formula>0</formula>
    </cfRule>
  </conditionalFormatting>
  <conditionalFormatting sqref="R84:R91">
    <cfRule type="cellIs" dxfId="14016" priority="631" operator="lessThan">
      <formula>0.8</formula>
    </cfRule>
    <cfRule type="cellIs" dxfId="14015" priority="632" operator="greaterThan">
      <formula>1</formula>
    </cfRule>
  </conditionalFormatting>
  <conditionalFormatting sqref="R84:R91">
    <cfRule type="cellIs" dxfId="14014" priority="629" operator="greaterThan">
      <formula>1</formula>
    </cfRule>
    <cfRule type="cellIs" dxfId="14013" priority="630" operator="lessThan">
      <formula>0.8</formula>
    </cfRule>
  </conditionalFormatting>
  <conditionalFormatting sqref="P84:P91">
    <cfRule type="cellIs" dxfId="14012" priority="628" operator="greaterThan">
      <formula>0</formula>
    </cfRule>
  </conditionalFormatting>
  <conditionalFormatting sqref="Q84:Q91">
    <cfRule type="cellIs" dxfId="14011" priority="633" operator="lessThan">
      <formula>0</formula>
    </cfRule>
  </conditionalFormatting>
  <conditionalFormatting sqref="Q84:Q91">
    <cfRule type="cellIs" dxfId="14010" priority="627" operator="lessThan">
      <formula>0</formula>
    </cfRule>
  </conditionalFormatting>
  <conditionalFormatting sqref="R84:R91">
    <cfRule type="cellIs" dxfId="14009" priority="625" operator="lessThan">
      <formula>0.8</formula>
    </cfRule>
    <cfRule type="cellIs" dxfId="14008" priority="626" operator="greaterThan">
      <formula>1</formula>
    </cfRule>
  </conditionalFormatting>
  <conditionalFormatting sqref="R84:R91">
    <cfRule type="cellIs" dxfId="14007" priority="623" operator="greaterThan">
      <formula>1</formula>
    </cfRule>
    <cfRule type="cellIs" dxfId="14006" priority="624" operator="lessThan">
      <formula>0.8</formula>
    </cfRule>
  </conditionalFormatting>
  <conditionalFormatting sqref="P84:P91">
    <cfRule type="cellIs" dxfId="14005" priority="622" operator="greaterThan">
      <formula>0</formula>
    </cfRule>
  </conditionalFormatting>
  <conditionalFormatting sqref="Q84:Q91">
    <cfRule type="cellIs" dxfId="14004" priority="616" operator="lessThan">
      <formula>0</formula>
    </cfRule>
  </conditionalFormatting>
  <conditionalFormatting sqref="R84:R91">
    <cfRule type="cellIs" dxfId="14003" priority="620" operator="lessThan">
      <formula>0.8</formula>
    </cfRule>
    <cfRule type="cellIs" dxfId="14002" priority="621" operator="greaterThan">
      <formula>1</formula>
    </cfRule>
  </conditionalFormatting>
  <conditionalFormatting sqref="R84:R91">
    <cfRule type="cellIs" dxfId="14001" priority="618" operator="greaterThan">
      <formula>1</formula>
    </cfRule>
    <cfRule type="cellIs" dxfId="14000" priority="619" operator="lessThan">
      <formula>0.8</formula>
    </cfRule>
  </conditionalFormatting>
  <conditionalFormatting sqref="P84:P91">
    <cfRule type="cellIs" dxfId="13999" priority="617" operator="greaterThan">
      <formula>0</formula>
    </cfRule>
  </conditionalFormatting>
  <conditionalFormatting sqref="Q84:Q91">
    <cfRule type="cellIs" dxfId="13998" priority="615" operator="lessThan">
      <formula>0</formula>
    </cfRule>
  </conditionalFormatting>
  <conditionalFormatting sqref="R84:R91">
    <cfRule type="cellIs" dxfId="13997" priority="613" operator="lessThan">
      <formula>0.8</formula>
    </cfRule>
    <cfRule type="cellIs" dxfId="13996" priority="614" operator="greaterThan">
      <formula>1</formula>
    </cfRule>
  </conditionalFormatting>
  <conditionalFormatting sqref="R84:R91">
    <cfRule type="cellIs" dxfId="13995" priority="611" operator="greaterThan">
      <formula>1</formula>
    </cfRule>
    <cfRule type="cellIs" dxfId="13994" priority="612" operator="lessThan">
      <formula>0.8</formula>
    </cfRule>
  </conditionalFormatting>
  <conditionalFormatting sqref="P84:P91">
    <cfRule type="cellIs" dxfId="13993" priority="610" operator="greaterThan">
      <formula>0</formula>
    </cfRule>
  </conditionalFormatting>
  <conditionalFormatting sqref="Q84:Q91">
    <cfRule type="cellIs" dxfId="13992" priority="609" operator="lessThan">
      <formula>0</formula>
    </cfRule>
  </conditionalFormatting>
  <conditionalFormatting sqref="R84:R91">
    <cfRule type="cellIs" dxfId="13991" priority="607" operator="lessThan">
      <formula>0.8</formula>
    </cfRule>
    <cfRule type="cellIs" dxfId="13990" priority="608" operator="greaterThan">
      <formula>1</formula>
    </cfRule>
  </conditionalFormatting>
  <conditionalFormatting sqref="R84:R91">
    <cfRule type="cellIs" dxfId="13989" priority="605" operator="greaterThan">
      <formula>1</formula>
    </cfRule>
    <cfRule type="cellIs" dxfId="13988" priority="606" operator="lessThan">
      <formula>0.8</formula>
    </cfRule>
  </conditionalFormatting>
  <conditionalFormatting sqref="P84:P91">
    <cfRule type="cellIs" dxfId="13987" priority="604" operator="greaterThan">
      <formula>0</formula>
    </cfRule>
  </conditionalFormatting>
  <conditionalFormatting sqref="Q84:Q91">
    <cfRule type="cellIs" dxfId="13986" priority="603" operator="lessThan">
      <formula>0</formula>
    </cfRule>
  </conditionalFormatting>
  <conditionalFormatting sqref="R84:R91">
    <cfRule type="cellIs" dxfId="13985" priority="601" operator="lessThan">
      <formula>0.8</formula>
    </cfRule>
    <cfRule type="cellIs" dxfId="13984" priority="602" operator="greaterThan">
      <formula>1</formula>
    </cfRule>
  </conditionalFormatting>
  <conditionalFormatting sqref="R84:R91">
    <cfRule type="cellIs" dxfId="13983" priority="599" operator="greaterThan">
      <formula>1</formula>
    </cfRule>
    <cfRule type="cellIs" dxfId="13982" priority="600" operator="lessThan">
      <formula>0.8</formula>
    </cfRule>
  </conditionalFormatting>
  <conditionalFormatting sqref="P84:P91">
    <cfRule type="cellIs" dxfId="13981" priority="598" operator="greaterThan">
      <formula>0</formula>
    </cfRule>
  </conditionalFormatting>
  <conditionalFormatting sqref="Q84:Q91">
    <cfRule type="cellIs" dxfId="13980" priority="597" operator="lessThan">
      <formula>0</formula>
    </cfRule>
  </conditionalFormatting>
  <conditionalFormatting sqref="R84:R91">
    <cfRule type="cellIs" dxfId="13979" priority="595" operator="lessThan">
      <formula>0.8</formula>
    </cfRule>
    <cfRule type="cellIs" dxfId="13978" priority="596" operator="greaterThan">
      <formula>1</formula>
    </cfRule>
  </conditionalFormatting>
  <conditionalFormatting sqref="R84:R91">
    <cfRule type="cellIs" dxfId="13977" priority="593" operator="greaterThan">
      <formula>1</formula>
    </cfRule>
    <cfRule type="cellIs" dxfId="13976" priority="594" operator="lessThan">
      <formula>0.8</formula>
    </cfRule>
  </conditionalFormatting>
  <conditionalFormatting sqref="P84:P91">
    <cfRule type="cellIs" dxfId="13975" priority="592" operator="greaterThan">
      <formula>0</formula>
    </cfRule>
  </conditionalFormatting>
  <conditionalFormatting sqref="Q84:Q91">
    <cfRule type="cellIs" dxfId="13974" priority="591" operator="lessThan">
      <formula>0</formula>
    </cfRule>
  </conditionalFormatting>
  <conditionalFormatting sqref="R84:R91">
    <cfRule type="cellIs" dxfId="13973" priority="589" operator="lessThan">
      <formula>0.8</formula>
    </cfRule>
    <cfRule type="cellIs" dxfId="13972" priority="590" operator="greaterThan">
      <formula>1</formula>
    </cfRule>
  </conditionalFormatting>
  <conditionalFormatting sqref="R84:R91">
    <cfRule type="cellIs" dxfId="13971" priority="587" operator="greaterThan">
      <formula>1</formula>
    </cfRule>
    <cfRule type="cellIs" dxfId="13970" priority="588" operator="lessThan">
      <formula>0.8</formula>
    </cfRule>
  </conditionalFormatting>
  <conditionalFormatting sqref="P84:P91">
    <cfRule type="cellIs" dxfId="13969" priority="586" operator="greaterThan">
      <formula>0</formula>
    </cfRule>
  </conditionalFormatting>
  <conditionalFormatting sqref="P84:P91">
    <cfRule type="cellIs" dxfId="13968" priority="580" operator="greaterThan">
      <formula>0</formula>
    </cfRule>
  </conditionalFormatting>
  <conditionalFormatting sqref="Q84:Q91">
    <cfRule type="cellIs" dxfId="13967" priority="585" operator="lessThan">
      <formula>0</formula>
    </cfRule>
  </conditionalFormatting>
  <conditionalFormatting sqref="R84:R91">
    <cfRule type="cellIs" dxfId="13966" priority="583" operator="lessThan">
      <formula>0.8</formula>
    </cfRule>
    <cfRule type="cellIs" dxfId="13965" priority="584" operator="greaterThan">
      <formula>1</formula>
    </cfRule>
  </conditionalFormatting>
  <conditionalFormatting sqref="R84:R91">
    <cfRule type="cellIs" dxfId="13964" priority="581" operator="greaterThan">
      <formula>1</formula>
    </cfRule>
    <cfRule type="cellIs" dxfId="13963" priority="582" operator="lessThan">
      <formula>0.8</formula>
    </cfRule>
  </conditionalFormatting>
  <conditionalFormatting sqref="P84:P91">
    <cfRule type="cellIs" dxfId="13962" priority="574" operator="greaterThan">
      <formula>0</formula>
    </cfRule>
  </conditionalFormatting>
  <conditionalFormatting sqref="Q84:Q91">
    <cfRule type="cellIs" dxfId="13961" priority="579" operator="lessThan">
      <formula>0</formula>
    </cfRule>
  </conditionalFormatting>
  <conditionalFormatting sqref="R84:R91">
    <cfRule type="cellIs" dxfId="13960" priority="577" operator="lessThan">
      <formula>0.8</formula>
    </cfRule>
    <cfRule type="cellIs" dxfId="13959" priority="578" operator="greaterThan">
      <formula>1</formula>
    </cfRule>
  </conditionalFormatting>
  <conditionalFormatting sqref="R84:R91">
    <cfRule type="cellIs" dxfId="13958" priority="575" operator="greaterThan">
      <formula>1</formula>
    </cfRule>
    <cfRule type="cellIs" dxfId="13957" priority="576" operator="lessThan">
      <formula>0.8</formula>
    </cfRule>
  </conditionalFormatting>
  <conditionalFormatting sqref="R84:R91">
    <cfRule type="cellIs" dxfId="13956" priority="571" operator="lessThan">
      <formula>0.8</formula>
    </cfRule>
    <cfRule type="cellIs" dxfId="13955" priority="572" operator="greaterThan">
      <formula>1</formula>
    </cfRule>
  </conditionalFormatting>
  <conditionalFormatting sqref="R84:R91">
    <cfRule type="cellIs" dxfId="13954" priority="569" operator="greaterThan">
      <formula>1</formula>
    </cfRule>
    <cfRule type="cellIs" dxfId="13953" priority="570" operator="lessThan">
      <formula>0.8</formula>
    </cfRule>
  </conditionalFormatting>
  <conditionalFormatting sqref="P84:P91">
    <cfRule type="cellIs" dxfId="13952" priority="568" operator="greaterThan">
      <formula>0</formula>
    </cfRule>
  </conditionalFormatting>
  <conditionalFormatting sqref="Q84:Q91">
    <cfRule type="cellIs" dxfId="13951" priority="573" operator="lessThan">
      <formula>0</formula>
    </cfRule>
  </conditionalFormatting>
  <conditionalFormatting sqref="Q84:Q91">
    <cfRule type="cellIs" dxfId="13950" priority="567" operator="lessThan">
      <formula>0</formula>
    </cfRule>
  </conditionalFormatting>
  <conditionalFormatting sqref="R84:R91">
    <cfRule type="cellIs" dxfId="13949" priority="565" operator="lessThan">
      <formula>0.8</formula>
    </cfRule>
    <cfRule type="cellIs" dxfId="13948" priority="566" operator="greaterThan">
      <formula>1</formula>
    </cfRule>
  </conditionalFormatting>
  <conditionalFormatting sqref="R84:R91">
    <cfRule type="cellIs" dxfId="13947" priority="563" operator="greaterThan">
      <formula>1</formula>
    </cfRule>
    <cfRule type="cellIs" dxfId="13946" priority="564" operator="lessThan">
      <formula>0.8</formula>
    </cfRule>
  </conditionalFormatting>
  <conditionalFormatting sqref="P84:P91">
    <cfRule type="cellIs" dxfId="13945" priority="562" operator="greaterThan">
      <formula>0</formula>
    </cfRule>
  </conditionalFormatting>
  <conditionalFormatting sqref="Q84:Q91">
    <cfRule type="cellIs" dxfId="13944" priority="561" operator="lessThan">
      <formula>0</formula>
    </cfRule>
  </conditionalFormatting>
  <conditionalFormatting sqref="R84:R91">
    <cfRule type="cellIs" dxfId="13943" priority="559" operator="lessThan">
      <formula>0.8</formula>
    </cfRule>
    <cfRule type="cellIs" dxfId="13942" priority="560" operator="greaterThan">
      <formula>1</formula>
    </cfRule>
  </conditionalFormatting>
  <conditionalFormatting sqref="R84:R91">
    <cfRule type="cellIs" dxfId="13941" priority="557" operator="greaterThan">
      <formula>1</formula>
    </cfRule>
    <cfRule type="cellIs" dxfId="13940" priority="558" operator="lessThan">
      <formula>0.8</formula>
    </cfRule>
  </conditionalFormatting>
  <conditionalFormatting sqref="P84:P91">
    <cfRule type="cellIs" dxfId="13939" priority="556" operator="greaterThan">
      <formula>0</formula>
    </cfRule>
  </conditionalFormatting>
  <conditionalFormatting sqref="Q84:Q91">
    <cfRule type="cellIs" dxfId="13938" priority="555" operator="lessThan">
      <formula>0</formula>
    </cfRule>
  </conditionalFormatting>
  <conditionalFormatting sqref="R84:R91">
    <cfRule type="cellIs" dxfId="13937" priority="553" operator="lessThan">
      <formula>0.8</formula>
    </cfRule>
    <cfRule type="cellIs" dxfId="13936" priority="554" operator="greaterThan">
      <formula>1</formula>
    </cfRule>
  </conditionalFormatting>
  <conditionalFormatting sqref="R84:R91">
    <cfRule type="cellIs" dxfId="13935" priority="551" operator="greaterThan">
      <formula>1</formula>
    </cfRule>
    <cfRule type="cellIs" dxfId="13934" priority="552" operator="lessThan">
      <formula>0.8</formula>
    </cfRule>
  </conditionalFormatting>
  <conditionalFormatting sqref="P84:P91">
    <cfRule type="cellIs" dxfId="13933" priority="550" operator="greaterThan">
      <formula>0</formula>
    </cfRule>
  </conditionalFormatting>
  <conditionalFormatting sqref="Q84:Q91">
    <cfRule type="cellIs" dxfId="13932" priority="549" operator="lessThan">
      <formula>0</formula>
    </cfRule>
  </conditionalFormatting>
  <conditionalFormatting sqref="R84:R91">
    <cfRule type="cellIs" dxfId="13931" priority="547" operator="lessThan">
      <formula>0.8</formula>
    </cfRule>
    <cfRule type="cellIs" dxfId="13930" priority="548" operator="greaterThan">
      <formula>1</formula>
    </cfRule>
  </conditionalFormatting>
  <conditionalFormatting sqref="R84:R91">
    <cfRule type="cellIs" dxfId="13929" priority="545" operator="greaterThan">
      <formula>1</formula>
    </cfRule>
    <cfRule type="cellIs" dxfId="13928" priority="546" operator="lessThan">
      <formula>0.8</formula>
    </cfRule>
  </conditionalFormatting>
  <conditionalFormatting sqref="P84:P91">
    <cfRule type="cellIs" dxfId="13927" priority="544" operator="greaterThan">
      <formula>0</formula>
    </cfRule>
  </conditionalFormatting>
  <conditionalFormatting sqref="P84:P91">
    <cfRule type="cellIs" dxfId="13926" priority="538" operator="greaterThan">
      <formula>0</formula>
    </cfRule>
  </conditionalFormatting>
  <conditionalFormatting sqref="Q84:Q91">
    <cfRule type="cellIs" dxfId="13925" priority="543" operator="lessThan">
      <formula>0</formula>
    </cfRule>
  </conditionalFormatting>
  <conditionalFormatting sqref="R84:R91">
    <cfRule type="cellIs" dxfId="13924" priority="541" operator="lessThan">
      <formula>0.8</formula>
    </cfRule>
    <cfRule type="cellIs" dxfId="13923" priority="542" operator="greaterThan">
      <formula>1</formula>
    </cfRule>
  </conditionalFormatting>
  <conditionalFormatting sqref="R84:R91">
    <cfRule type="cellIs" dxfId="13922" priority="539" operator="greaterThan">
      <formula>1</formula>
    </cfRule>
    <cfRule type="cellIs" dxfId="13921" priority="540" operator="lessThan">
      <formula>0.8</formula>
    </cfRule>
  </conditionalFormatting>
  <conditionalFormatting sqref="P84:P91">
    <cfRule type="cellIs" dxfId="13920" priority="532" operator="greaterThan">
      <formula>0</formula>
    </cfRule>
  </conditionalFormatting>
  <conditionalFormatting sqref="Q84:Q91">
    <cfRule type="cellIs" dxfId="13919" priority="537" operator="lessThan">
      <formula>0</formula>
    </cfRule>
  </conditionalFormatting>
  <conditionalFormatting sqref="R84:R91">
    <cfRule type="cellIs" dxfId="13918" priority="535" operator="lessThan">
      <formula>0.8</formula>
    </cfRule>
    <cfRule type="cellIs" dxfId="13917" priority="536" operator="greaterThan">
      <formula>1</formula>
    </cfRule>
  </conditionalFormatting>
  <conditionalFormatting sqref="R84:R91">
    <cfRule type="cellIs" dxfId="13916" priority="533" operator="greaterThan">
      <formula>1</formula>
    </cfRule>
    <cfRule type="cellIs" dxfId="13915" priority="534" operator="lessThan">
      <formula>0.8</formula>
    </cfRule>
  </conditionalFormatting>
  <conditionalFormatting sqref="R84:R91">
    <cfRule type="cellIs" dxfId="13914" priority="529" operator="lessThan">
      <formula>0.8</formula>
    </cfRule>
    <cfRule type="cellIs" dxfId="13913" priority="530" operator="greaterThan">
      <formula>1</formula>
    </cfRule>
  </conditionalFormatting>
  <conditionalFormatting sqref="R84:R91">
    <cfRule type="cellIs" dxfId="13912" priority="527" operator="greaterThan">
      <formula>1</formula>
    </cfRule>
    <cfRule type="cellIs" dxfId="13911" priority="528" operator="lessThan">
      <formula>0.8</formula>
    </cfRule>
  </conditionalFormatting>
  <conditionalFormatting sqref="P84:P91">
    <cfRule type="cellIs" dxfId="13910" priority="526" operator="greaterThan">
      <formula>0</formula>
    </cfRule>
  </conditionalFormatting>
  <conditionalFormatting sqref="Q84:Q91">
    <cfRule type="cellIs" dxfId="13909" priority="531" operator="lessThan">
      <formula>0</formula>
    </cfRule>
  </conditionalFormatting>
  <conditionalFormatting sqref="Q84:Q91">
    <cfRule type="cellIs" dxfId="13908" priority="525" operator="lessThan">
      <formula>0</formula>
    </cfRule>
  </conditionalFormatting>
  <conditionalFormatting sqref="R84:R91">
    <cfRule type="cellIs" dxfId="13907" priority="523" operator="lessThan">
      <formula>0.8</formula>
    </cfRule>
    <cfRule type="cellIs" dxfId="13906" priority="524" operator="greaterThan">
      <formula>1</formula>
    </cfRule>
  </conditionalFormatting>
  <conditionalFormatting sqref="R84:R91">
    <cfRule type="cellIs" dxfId="13905" priority="521" operator="greaterThan">
      <formula>1</formula>
    </cfRule>
    <cfRule type="cellIs" dxfId="13904" priority="522" operator="lessThan">
      <formula>0.8</formula>
    </cfRule>
  </conditionalFormatting>
  <conditionalFormatting sqref="P84:P91">
    <cfRule type="cellIs" dxfId="13903" priority="520" operator="greaterThan">
      <formula>0</formula>
    </cfRule>
  </conditionalFormatting>
  <conditionalFormatting sqref="P84:P91">
    <cfRule type="cellIs" dxfId="13902" priority="514" operator="greaterThan">
      <formula>0</formula>
    </cfRule>
  </conditionalFormatting>
  <conditionalFormatting sqref="Q84:Q91">
    <cfRule type="cellIs" dxfId="13901" priority="519" operator="lessThan">
      <formula>0</formula>
    </cfRule>
  </conditionalFormatting>
  <conditionalFormatting sqref="R84:R91">
    <cfRule type="cellIs" dxfId="13900" priority="517" operator="lessThan">
      <formula>0.8</formula>
    </cfRule>
    <cfRule type="cellIs" dxfId="13899" priority="518" operator="greaterThan">
      <formula>1</formula>
    </cfRule>
  </conditionalFormatting>
  <conditionalFormatting sqref="R84:R91">
    <cfRule type="cellIs" dxfId="13898" priority="515" operator="greaterThan">
      <formula>1</formula>
    </cfRule>
    <cfRule type="cellIs" dxfId="13897" priority="516" operator="lessThan">
      <formula>0.8</formula>
    </cfRule>
  </conditionalFormatting>
  <conditionalFormatting sqref="P84:P91">
    <cfRule type="cellIs" dxfId="13896" priority="508" operator="greaterThan">
      <formula>0</formula>
    </cfRule>
  </conditionalFormatting>
  <conditionalFormatting sqref="Q84:Q91">
    <cfRule type="cellIs" dxfId="13895" priority="513" operator="lessThan">
      <formula>0</formula>
    </cfRule>
  </conditionalFormatting>
  <conditionalFormatting sqref="R84:R91">
    <cfRule type="cellIs" dxfId="13894" priority="511" operator="lessThan">
      <formula>0.8</formula>
    </cfRule>
    <cfRule type="cellIs" dxfId="13893" priority="512" operator="greaterThan">
      <formula>1</formula>
    </cfRule>
  </conditionalFormatting>
  <conditionalFormatting sqref="R84:R91">
    <cfRule type="cellIs" dxfId="13892" priority="509" operator="greaterThan">
      <formula>1</formula>
    </cfRule>
    <cfRule type="cellIs" dxfId="13891" priority="510" operator="lessThan">
      <formula>0.8</formula>
    </cfRule>
  </conditionalFormatting>
  <conditionalFormatting sqref="R84:R91">
    <cfRule type="cellIs" dxfId="13890" priority="505" operator="lessThan">
      <formula>0.8</formula>
    </cfRule>
    <cfRule type="cellIs" dxfId="13889" priority="506" operator="greaterThan">
      <formula>1</formula>
    </cfRule>
  </conditionalFormatting>
  <conditionalFormatting sqref="R84:R91">
    <cfRule type="cellIs" dxfId="13888" priority="503" operator="greaterThan">
      <formula>1</formula>
    </cfRule>
    <cfRule type="cellIs" dxfId="13887" priority="504" operator="lessThan">
      <formula>0.8</formula>
    </cfRule>
  </conditionalFormatting>
  <conditionalFormatting sqref="P84:P91">
    <cfRule type="cellIs" dxfId="13886" priority="502" operator="greaterThan">
      <formula>0</formula>
    </cfRule>
  </conditionalFormatting>
  <conditionalFormatting sqref="Q84:Q91">
    <cfRule type="cellIs" dxfId="13885" priority="507" operator="lessThan">
      <formula>0</formula>
    </cfRule>
  </conditionalFormatting>
  <conditionalFormatting sqref="P84:P91">
    <cfRule type="cellIs" dxfId="13884" priority="496" operator="greaterThan">
      <formula>0</formula>
    </cfRule>
  </conditionalFormatting>
  <conditionalFormatting sqref="Q84:Q91">
    <cfRule type="cellIs" dxfId="13883" priority="501" operator="lessThan">
      <formula>0</formula>
    </cfRule>
  </conditionalFormatting>
  <conditionalFormatting sqref="R84:R91">
    <cfRule type="cellIs" dxfId="13882" priority="499" operator="lessThan">
      <formula>0.8</formula>
    </cfRule>
    <cfRule type="cellIs" dxfId="13881" priority="500" operator="greaterThan">
      <formula>1</formula>
    </cfRule>
  </conditionalFormatting>
  <conditionalFormatting sqref="R84:R91">
    <cfRule type="cellIs" dxfId="13880" priority="497" operator="greaterThan">
      <formula>1</formula>
    </cfRule>
    <cfRule type="cellIs" dxfId="13879" priority="498" operator="lessThan">
      <formula>0.8</formula>
    </cfRule>
  </conditionalFormatting>
  <conditionalFormatting sqref="R84:R91">
    <cfRule type="cellIs" dxfId="13878" priority="493" operator="lessThan">
      <formula>0.8</formula>
    </cfRule>
    <cfRule type="cellIs" dxfId="13877" priority="494" operator="greaterThan">
      <formula>1</formula>
    </cfRule>
  </conditionalFormatting>
  <conditionalFormatting sqref="R84:R91">
    <cfRule type="cellIs" dxfId="13876" priority="491" operator="greaterThan">
      <formula>1</formula>
    </cfRule>
    <cfRule type="cellIs" dxfId="13875" priority="492" operator="lessThan">
      <formula>0.8</formula>
    </cfRule>
  </conditionalFormatting>
  <conditionalFormatting sqref="P84:P91">
    <cfRule type="cellIs" dxfId="13874" priority="490" operator="greaterThan">
      <formula>0</formula>
    </cfRule>
  </conditionalFormatting>
  <conditionalFormatting sqref="Q84:Q91">
    <cfRule type="cellIs" dxfId="13873" priority="495" operator="lessThan">
      <formula>0</formula>
    </cfRule>
  </conditionalFormatting>
  <conditionalFormatting sqref="R84:R91">
    <cfRule type="cellIs" dxfId="13872" priority="487" operator="lessThan">
      <formula>0.8</formula>
    </cfRule>
    <cfRule type="cellIs" dxfId="13871" priority="488" operator="greaterThan">
      <formula>1</formula>
    </cfRule>
  </conditionalFormatting>
  <conditionalFormatting sqref="R84:R91">
    <cfRule type="cellIs" dxfId="13870" priority="485" operator="greaterThan">
      <formula>1</formula>
    </cfRule>
    <cfRule type="cellIs" dxfId="13869" priority="486" operator="lessThan">
      <formula>0.8</formula>
    </cfRule>
  </conditionalFormatting>
  <conditionalFormatting sqref="P84:P91">
    <cfRule type="cellIs" dxfId="13868" priority="484" operator="greaterThan">
      <formula>0</formula>
    </cfRule>
  </conditionalFormatting>
  <conditionalFormatting sqref="Q84:Q91">
    <cfRule type="cellIs" dxfId="13867" priority="489" operator="lessThan">
      <formula>0</formula>
    </cfRule>
  </conditionalFormatting>
  <conditionalFormatting sqref="Q84:Q91">
    <cfRule type="cellIs" dxfId="13866" priority="483" operator="lessThan">
      <formula>0</formula>
    </cfRule>
  </conditionalFormatting>
  <conditionalFormatting sqref="R84:R91">
    <cfRule type="cellIs" dxfId="13865" priority="481" operator="lessThan">
      <formula>0.8</formula>
    </cfRule>
    <cfRule type="cellIs" dxfId="13864" priority="482" operator="greaterThan">
      <formula>1</formula>
    </cfRule>
  </conditionalFormatting>
  <conditionalFormatting sqref="R84:R91">
    <cfRule type="cellIs" dxfId="13863" priority="479" operator="greaterThan">
      <formula>1</formula>
    </cfRule>
    <cfRule type="cellIs" dxfId="13862" priority="480" operator="lessThan">
      <formula>0.8</formula>
    </cfRule>
  </conditionalFormatting>
  <conditionalFormatting sqref="P84:P91">
    <cfRule type="cellIs" dxfId="13861" priority="478" operator="greaterThan">
      <formula>0</formula>
    </cfRule>
  </conditionalFormatting>
  <conditionalFormatting sqref="Q84:Q91">
    <cfRule type="cellIs" dxfId="13860" priority="472" operator="lessThan">
      <formula>0</formula>
    </cfRule>
  </conditionalFormatting>
  <conditionalFormatting sqref="R84:R91">
    <cfRule type="cellIs" dxfId="13859" priority="476" operator="lessThan">
      <formula>0.8</formula>
    </cfRule>
    <cfRule type="cellIs" dxfId="13858" priority="477" operator="greaterThan">
      <formula>1</formula>
    </cfRule>
  </conditionalFormatting>
  <conditionalFormatting sqref="R84:R91">
    <cfRule type="cellIs" dxfId="13857" priority="474" operator="greaterThan">
      <formula>1</formula>
    </cfRule>
    <cfRule type="cellIs" dxfId="13856" priority="475" operator="lessThan">
      <formula>0.8</formula>
    </cfRule>
  </conditionalFormatting>
  <conditionalFormatting sqref="P84:P91">
    <cfRule type="cellIs" dxfId="13855" priority="473" operator="greaterThan">
      <formula>0</formula>
    </cfRule>
  </conditionalFormatting>
  <conditionalFormatting sqref="Q84:Q91">
    <cfRule type="cellIs" dxfId="13854" priority="471" operator="lessThan">
      <formula>0</formula>
    </cfRule>
  </conditionalFormatting>
  <conditionalFormatting sqref="R84:R91">
    <cfRule type="cellIs" dxfId="13853" priority="469" operator="lessThan">
      <formula>0.8</formula>
    </cfRule>
    <cfRule type="cellIs" dxfId="13852" priority="470" operator="greaterThan">
      <formula>1</formula>
    </cfRule>
  </conditionalFormatting>
  <conditionalFormatting sqref="R84:R91">
    <cfRule type="cellIs" dxfId="13851" priority="467" operator="greaterThan">
      <formula>1</formula>
    </cfRule>
    <cfRule type="cellIs" dxfId="13850" priority="468" operator="lessThan">
      <formula>0.8</formula>
    </cfRule>
  </conditionalFormatting>
  <conditionalFormatting sqref="P84:P91">
    <cfRule type="cellIs" dxfId="13849" priority="466" operator="greaterThan">
      <formula>0</formula>
    </cfRule>
  </conditionalFormatting>
  <conditionalFormatting sqref="Q84:Q91">
    <cfRule type="cellIs" dxfId="13848" priority="465" operator="lessThan">
      <formula>0</formula>
    </cfRule>
  </conditionalFormatting>
  <conditionalFormatting sqref="R84:R91">
    <cfRule type="cellIs" dxfId="13847" priority="463" operator="lessThan">
      <formula>0.8</formula>
    </cfRule>
    <cfRule type="cellIs" dxfId="13846" priority="464" operator="greaterThan">
      <formula>1</formula>
    </cfRule>
  </conditionalFormatting>
  <conditionalFormatting sqref="R84:R91">
    <cfRule type="cellIs" dxfId="13845" priority="461" operator="greaterThan">
      <formula>1</formula>
    </cfRule>
    <cfRule type="cellIs" dxfId="13844" priority="462" operator="lessThan">
      <formula>0.8</formula>
    </cfRule>
  </conditionalFormatting>
  <conditionalFormatting sqref="P84:P91">
    <cfRule type="cellIs" dxfId="13843" priority="460" operator="greaterThan">
      <formula>0</formula>
    </cfRule>
  </conditionalFormatting>
  <conditionalFormatting sqref="Q84:Q91">
    <cfRule type="cellIs" dxfId="13842" priority="459" operator="lessThan">
      <formula>0</formula>
    </cfRule>
  </conditionalFormatting>
  <conditionalFormatting sqref="R84:R91">
    <cfRule type="cellIs" dxfId="13841" priority="457" operator="lessThan">
      <formula>0.8</formula>
    </cfRule>
    <cfRule type="cellIs" dxfId="13840" priority="458" operator="greaterThan">
      <formula>1</formula>
    </cfRule>
  </conditionalFormatting>
  <conditionalFormatting sqref="R84:R91">
    <cfRule type="cellIs" dxfId="13839" priority="455" operator="greaterThan">
      <formula>1</formula>
    </cfRule>
    <cfRule type="cellIs" dxfId="13838" priority="456" operator="lessThan">
      <formula>0.8</formula>
    </cfRule>
  </conditionalFormatting>
  <conditionalFormatting sqref="P84:P91">
    <cfRule type="cellIs" dxfId="13837" priority="454" operator="greaterThan">
      <formula>0</formula>
    </cfRule>
  </conditionalFormatting>
  <conditionalFormatting sqref="Q84:Q91">
    <cfRule type="cellIs" dxfId="13836" priority="453" operator="lessThan">
      <formula>0</formula>
    </cfRule>
  </conditionalFormatting>
  <conditionalFormatting sqref="R84:R91">
    <cfRule type="cellIs" dxfId="13835" priority="451" operator="lessThan">
      <formula>0.8</formula>
    </cfRule>
    <cfRule type="cellIs" dxfId="13834" priority="452" operator="greaterThan">
      <formula>1</formula>
    </cfRule>
  </conditionalFormatting>
  <conditionalFormatting sqref="R84:R91">
    <cfRule type="cellIs" dxfId="13833" priority="449" operator="greaterThan">
      <formula>1</formula>
    </cfRule>
    <cfRule type="cellIs" dxfId="13832" priority="450" operator="lessThan">
      <formula>0.8</formula>
    </cfRule>
  </conditionalFormatting>
  <conditionalFormatting sqref="P84:P91">
    <cfRule type="cellIs" dxfId="13831" priority="448" operator="greaterThan">
      <formula>0</formula>
    </cfRule>
  </conditionalFormatting>
  <conditionalFormatting sqref="Q84:Q91">
    <cfRule type="cellIs" dxfId="13830" priority="447" operator="lessThan">
      <formula>0</formula>
    </cfRule>
  </conditionalFormatting>
  <conditionalFormatting sqref="R84:R91">
    <cfRule type="cellIs" dxfId="13829" priority="445" operator="lessThan">
      <formula>0.8</formula>
    </cfRule>
    <cfRule type="cellIs" dxfId="13828" priority="446" operator="greaterThan">
      <formula>1</formula>
    </cfRule>
  </conditionalFormatting>
  <conditionalFormatting sqref="R84:R91">
    <cfRule type="cellIs" dxfId="13827" priority="443" operator="greaterThan">
      <formula>1</formula>
    </cfRule>
    <cfRule type="cellIs" dxfId="13826" priority="444" operator="lessThan">
      <formula>0.8</formula>
    </cfRule>
  </conditionalFormatting>
  <conditionalFormatting sqref="P84:P91">
    <cfRule type="cellIs" dxfId="13825" priority="442" operator="greaterThan">
      <formula>0</formula>
    </cfRule>
  </conditionalFormatting>
  <conditionalFormatting sqref="P84:P91">
    <cfRule type="cellIs" dxfId="13824" priority="436" operator="greaterThan">
      <formula>0</formula>
    </cfRule>
  </conditionalFormatting>
  <conditionalFormatting sqref="Q84:Q91">
    <cfRule type="cellIs" dxfId="13823" priority="441" operator="lessThan">
      <formula>0</formula>
    </cfRule>
  </conditionalFormatting>
  <conditionalFormatting sqref="R84:R91">
    <cfRule type="cellIs" dxfId="13822" priority="439" operator="lessThan">
      <formula>0.8</formula>
    </cfRule>
    <cfRule type="cellIs" dxfId="13821" priority="440" operator="greaterThan">
      <formula>1</formula>
    </cfRule>
  </conditionalFormatting>
  <conditionalFormatting sqref="R84:R91">
    <cfRule type="cellIs" dxfId="13820" priority="437" operator="greaterThan">
      <formula>1</formula>
    </cfRule>
    <cfRule type="cellIs" dxfId="13819" priority="438" operator="lessThan">
      <formula>0.8</formula>
    </cfRule>
  </conditionalFormatting>
  <conditionalFormatting sqref="P84:P91">
    <cfRule type="cellIs" dxfId="13818" priority="430" operator="greaterThan">
      <formula>0</formula>
    </cfRule>
  </conditionalFormatting>
  <conditionalFormatting sqref="Q84:Q91">
    <cfRule type="cellIs" dxfId="13817" priority="435" operator="lessThan">
      <formula>0</formula>
    </cfRule>
  </conditionalFormatting>
  <conditionalFormatting sqref="R84:R91">
    <cfRule type="cellIs" dxfId="13816" priority="433" operator="lessThan">
      <formula>0.8</formula>
    </cfRule>
    <cfRule type="cellIs" dxfId="13815" priority="434" operator="greaterThan">
      <formula>1</formula>
    </cfRule>
  </conditionalFormatting>
  <conditionalFormatting sqref="R84:R91">
    <cfRule type="cellIs" dxfId="13814" priority="431" operator="greaterThan">
      <formula>1</formula>
    </cfRule>
    <cfRule type="cellIs" dxfId="13813" priority="432" operator="lessThan">
      <formula>0.8</formula>
    </cfRule>
  </conditionalFormatting>
  <conditionalFormatting sqref="R84:R91">
    <cfRule type="cellIs" dxfId="13812" priority="427" operator="lessThan">
      <formula>0.8</formula>
    </cfRule>
    <cfRule type="cellIs" dxfId="13811" priority="428" operator="greaterThan">
      <formula>1</formula>
    </cfRule>
  </conditionalFormatting>
  <conditionalFormatting sqref="R84:R91">
    <cfRule type="cellIs" dxfId="13810" priority="425" operator="greaterThan">
      <formula>1</formula>
    </cfRule>
    <cfRule type="cellIs" dxfId="13809" priority="426" operator="lessThan">
      <formula>0.8</formula>
    </cfRule>
  </conditionalFormatting>
  <conditionalFormatting sqref="P84:P91">
    <cfRule type="cellIs" dxfId="13808" priority="424" operator="greaterThan">
      <formula>0</formula>
    </cfRule>
  </conditionalFormatting>
  <conditionalFormatting sqref="Q84:Q91">
    <cfRule type="cellIs" dxfId="13807" priority="429" operator="lessThan">
      <formula>0</formula>
    </cfRule>
  </conditionalFormatting>
  <conditionalFormatting sqref="Q84:Q91">
    <cfRule type="cellIs" dxfId="13806" priority="418" operator="lessThan">
      <formula>0</formula>
    </cfRule>
  </conditionalFormatting>
  <conditionalFormatting sqref="P84:P91">
    <cfRule type="cellIs" dxfId="13805" priority="419" operator="greaterThan">
      <formula>0</formula>
    </cfRule>
  </conditionalFormatting>
  <conditionalFormatting sqref="R84:R91">
    <cfRule type="cellIs" dxfId="13804" priority="422" operator="lessThan">
      <formula>0.8</formula>
    </cfRule>
    <cfRule type="cellIs" dxfId="13803" priority="423" operator="greaterThan">
      <formula>1</formula>
    </cfRule>
  </conditionalFormatting>
  <conditionalFormatting sqref="R84:R91">
    <cfRule type="cellIs" dxfId="13802" priority="420" operator="greaterThan">
      <formula>1</formula>
    </cfRule>
    <cfRule type="cellIs" dxfId="13801" priority="421" operator="lessThan">
      <formula>0.8</formula>
    </cfRule>
  </conditionalFormatting>
  <conditionalFormatting sqref="Q84:Q91">
    <cfRule type="cellIs" dxfId="13800" priority="412" operator="lessThan">
      <formula>0</formula>
    </cfRule>
  </conditionalFormatting>
  <conditionalFormatting sqref="R84:R91">
    <cfRule type="cellIs" dxfId="13799" priority="416" operator="lessThan">
      <formula>0.8</formula>
    </cfRule>
    <cfRule type="cellIs" dxfId="13798" priority="417" operator="greaterThan">
      <formula>1</formula>
    </cfRule>
  </conditionalFormatting>
  <conditionalFormatting sqref="R84:R91">
    <cfRule type="cellIs" dxfId="13797" priority="414" operator="greaterThan">
      <formula>1</formula>
    </cfRule>
    <cfRule type="cellIs" dxfId="13796" priority="415" operator="lessThan">
      <formula>0.8</formula>
    </cfRule>
  </conditionalFormatting>
  <conditionalFormatting sqref="P84:P91">
    <cfRule type="cellIs" dxfId="13795" priority="413" operator="greaterThan">
      <formula>0</formula>
    </cfRule>
  </conditionalFormatting>
  <conditionalFormatting sqref="Q84:Q91">
    <cfRule type="cellIs" dxfId="13794" priority="411" operator="lessThan">
      <formula>0</formula>
    </cfRule>
  </conditionalFormatting>
  <conditionalFormatting sqref="R84:R91">
    <cfRule type="cellIs" dxfId="13793" priority="409" operator="lessThan">
      <formula>0.8</formula>
    </cfRule>
    <cfRule type="cellIs" dxfId="13792" priority="410" operator="greaterThan">
      <formula>1</formula>
    </cfRule>
  </conditionalFormatting>
  <conditionalFormatting sqref="R84:R91">
    <cfRule type="cellIs" dxfId="13791" priority="407" operator="greaterThan">
      <formula>1</formula>
    </cfRule>
    <cfRule type="cellIs" dxfId="13790" priority="408" operator="lessThan">
      <formula>0.8</formula>
    </cfRule>
  </conditionalFormatting>
  <conditionalFormatting sqref="P84:P91">
    <cfRule type="cellIs" dxfId="13789" priority="406" operator="greaterThan">
      <formula>0</formula>
    </cfRule>
  </conditionalFormatting>
  <conditionalFormatting sqref="Q84:Q91">
    <cfRule type="cellIs" dxfId="13788" priority="405" operator="lessThan">
      <formula>0</formula>
    </cfRule>
  </conditionalFormatting>
  <conditionalFormatting sqref="R84:R91">
    <cfRule type="cellIs" dxfId="13787" priority="403" operator="lessThan">
      <formula>0.8</formula>
    </cfRule>
    <cfRule type="cellIs" dxfId="13786" priority="404" operator="greaterThan">
      <formula>1</formula>
    </cfRule>
  </conditionalFormatting>
  <conditionalFormatting sqref="R84:R91">
    <cfRule type="cellIs" dxfId="13785" priority="401" operator="greaterThan">
      <formula>1</formula>
    </cfRule>
    <cfRule type="cellIs" dxfId="13784" priority="402" operator="lessThan">
      <formula>0.8</formula>
    </cfRule>
  </conditionalFormatting>
  <conditionalFormatting sqref="P84:P91">
    <cfRule type="cellIs" dxfId="13783" priority="400" operator="greaterThan">
      <formula>0</formula>
    </cfRule>
  </conditionalFormatting>
  <conditionalFormatting sqref="Q84:Q91">
    <cfRule type="cellIs" dxfId="13782" priority="399" operator="lessThan">
      <formula>0</formula>
    </cfRule>
  </conditionalFormatting>
  <conditionalFormatting sqref="R84:R91">
    <cfRule type="cellIs" dxfId="13781" priority="397" operator="lessThan">
      <formula>0.8</formula>
    </cfRule>
    <cfRule type="cellIs" dxfId="13780" priority="398" operator="greaterThan">
      <formula>1</formula>
    </cfRule>
  </conditionalFormatting>
  <conditionalFormatting sqref="R84:R91">
    <cfRule type="cellIs" dxfId="13779" priority="395" operator="greaterThan">
      <formula>1</formula>
    </cfRule>
    <cfRule type="cellIs" dxfId="13778" priority="396" operator="lessThan">
      <formula>0.8</formula>
    </cfRule>
  </conditionalFormatting>
  <conditionalFormatting sqref="P84:P91">
    <cfRule type="cellIs" dxfId="13777" priority="394" operator="greaterThan">
      <formula>0</formula>
    </cfRule>
  </conditionalFormatting>
  <conditionalFormatting sqref="Q84:Q91">
    <cfRule type="cellIs" dxfId="13776" priority="393" operator="lessThan">
      <formula>0</formula>
    </cfRule>
  </conditionalFormatting>
  <conditionalFormatting sqref="R84:R91">
    <cfRule type="cellIs" dxfId="13775" priority="391" operator="lessThan">
      <formula>0.8</formula>
    </cfRule>
    <cfRule type="cellIs" dxfId="13774" priority="392" operator="greaterThan">
      <formula>1</formula>
    </cfRule>
  </conditionalFormatting>
  <conditionalFormatting sqref="R84:R91">
    <cfRule type="cellIs" dxfId="13773" priority="389" operator="greaterThan">
      <formula>1</formula>
    </cfRule>
    <cfRule type="cellIs" dxfId="13772" priority="390" operator="lessThan">
      <formula>0.8</formula>
    </cfRule>
  </conditionalFormatting>
  <conditionalFormatting sqref="P84:P91">
    <cfRule type="cellIs" dxfId="13771" priority="388" operator="greaterThan">
      <formula>0</formula>
    </cfRule>
  </conditionalFormatting>
  <conditionalFormatting sqref="Q84:Q91">
    <cfRule type="cellIs" dxfId="13770" priority="387" operator="lessThan">
      <formula>0</formula>
    </cfRule>
  </conditionalFormatting>
  <conditionalFormatting sqref="R84:R91">
    <cfRule type="cellIs" dxfId="13769" priority="385" operator="lessThan">
      <formula>0.8</formula>
    </cfRule>
    <cfRule type="cellIs" dxfId="13768" priority="386" operator="greaterThan">
      <formula>1</formula>
    </cfRule>
  </conditionalFormatting>
  <conditionalFormatting sqref="R84:R91">
    <cfRule type="cellIs" dxfId="13767" priority="383" operator="greaterThan">
      <formula>1</formula>
    </cfRule>
    <cfRule type="cellIs" dxfId="13766" priority="384" operator="lessThan">
      <formula>0.8</formula>
    </cfRule>
  </conditionalFormatting>
  <conditionalFormatting sqref="P84:P91">
    <cfRule type="cellIs" dxfId="13765" priority="382" operator="greaterThan">
      <formula>0</formula>
    </cfRule>
  </conditionalFormatting>
  <conditionalFormatting sqref="Q84:Q91">
    <cfRule type="cellIs" dxfId="13764" priority="381" operator="lessThan">
      <formula>0</formula>
    </cfRule>
  </conditionalFormatting>
  <conditionalFormatting sqref="R84:R91">
    <cfRule type="cellIs" dxfId="13763" priority="379" operator="lessThan">
      <formula>0.8</formula>
    </cfRule>
    <cfRule type="cellIs" dxfId="13762" priority="380" operator="greaterThan">
      <formula>1</formula>
    </cfRule>
  </conditionalFormatting>
  <conditionalFormatting sqref="R84:R91">
    <cfRule type="cellIs" dxfId="13761" priority="377" operator="greaterThan">
      <formula>1</formula>
    </cfRule>
    <cfRule type="cellIs" dxfId="13760" priority="378" operator="lessThan">
      <formula>0.8</formula>
    </cfRule>
  </conditionalFormatting>
  <conditionalFormatting sqref="P84:P91">
    <cfRule type="cellIs" dxfId="13759" priority="376" operator="greaterThan">
      <formula>0</formula>
    </cfRule>
  </conditionalFormatting>
  <conditionalFormatting sqref="Q84:Q91">
    <cfRule type="cellIs" dxfId="13758" priority="375" operator="lessThan">
      <formula>0</formula>
    </cfRule>
  </conditionalFormatting>
  <conditionalFormatting sqref="R84:R91">
    <cfRule type="cellIs" dxfId="13757" priority="373" operator="lessThan">
      <formula>0.8</formula>
    </cfRule>
    <cfRule type="cellIs" dxfId="13756" priority="374" operator="greaterThan">
      <formula>1</formula>
    </cfRule>
  </conditionalFormatting>
  <conditionalFormatting sqref="R84:R91">
    <cfRule type="cellIs" dxfId="13755" priority="371" operator="greaterThan">
      <formula>1</formula>
    </cfRule>
    <cfRule type="cellIs" dxfId="13754" priority="372" operator="lessThan">
      <formula>0.8</formula>
    </cfRule>
  </conditionalFormatting>
  <conditionalFormatting sqref="P84:P91">
    <cfRule type="cellIs" dxfId="13753" priority="370" operator="greaterThan">
      <formula>0</formula>
    </cfRule>
  </conditionalFormatting>
  <conditionalFormatting sqref="P84:P91">
    <cfRule type="cellIs" dxfId="13752" priority="364" operator="greaterThan">
      <formula>0</formula>
    </cfRule>
  </conditionalFormatting>
  <conditionalFormatting sqref="Q84:Q91">
    <cfRule type="cellIs" dxfId="13751" priority="369" operator="lessThan">
      <formula>0</formula>
    </cfRule>
  </conditionalFormatting>
  <conditionalFormatting sqref="R84:R91">
    <cfRule type="cellIs" dxfId="13750" priority="367" operator="lessThan">
      <formula>0.8</formula>
    </cfRule>
    <cfRule type="cellIs" dxfId="13749" priority="368" operator="greaterThan">
      <formula>1</formula>
    </cfRule>
  </conditionalFormatting>
  <conditionalFormatting sqref="R84:R91">
    <cfRule type="cellIs" dxfId="13748" priority="365" operator="greaterThan">
      <formula>1</formula>
    </cfRule>
    <cfRule type="cellIs" dxfId="13747" priority="366" operator="lessThan">
      <formula>0.8</formula>
    </cfRule>
  </conditionalFormatting>
  <conditionalFormatting sqref="P84:P91">
    <cfRule type="cellIs" dxfId="13746" priority="358" operator="greaterThan">
      <formula>0</formula>
    </cfRule>
  </conditionalFormatting>
  <conditionalFormatting sqref="Q84:Q91">
    <cfRule type="cellIs" dxfId="13745" priority="363" operator="lessThan">
      <formula>0</formula>
    </cfRule>
  </conditionalFormatting>
  <conditionalFormatting sqref="R84:R91">
    <cfRule type="cellIs" dxfId="13744" priority="361" operator="lessThan">
      <formula>0.8</formula>
    </cfRule>
    <cfRule type="cellIs" dxfId="13743" priority="362" operator="greaterThan">
      <formula>1</formula>
    </cfRule>
  </conditionalFormatting>
  <conditionalFormatting sqref="R84:R91">
    <cfRule type="cellIs" dxfId="13742" priority="359" operator="greaterThan">
      <formula>1</formula>
    </cfRule>
    <cfRule type="cellIs" dxfId="13741" priority="360" operator="lessThan">
      <formula>0.8</formula>
    </cfRule>
  </conditionalFormatting>
  <conditionalFormatting sqref="R84:R91">
    <cfRule type="cellIs" dxfId="13740" priority="355" operator="lessThan">
      <formula>0.8</formula>
    </cfRule>
    <cfRule type="cellIs" dxfId="13739" priority="356" operator="greaterThan">
      <formula>1</formula>
    </cfRule>
  </conditionalFormatting>
  <conditionalFormatting sqref="R84:R91">
    <cfRule type="cellIs" dxfId="13738" priority="353" operator="greaterThan">
      <formula>1</formula>
    </cfRule>
    <cfRule type="cellIs" dxfId="13737" priority="354" operator="lessThan">
      <formula>0.8</formula>
    </cfRule>
  </conditionalFormatting>
  <conditionalFormatting sqref="P84:P91">
    <cfRule type="cellIs" dxfId="13736" priority="352" operator="greaterThan">
      <formula>0</formula>
    </cfRule>
  </conditionalFormatting>
  <conditionalFormatting sqref="Q84:Q91">
    <cfRule type="cellIs" dxfId="13735" priority="357" operator="lessThan">
      <formula>0</formula>
    </cfRule>
  </conditionalFormatting>
  <conditionalFormatting sqref="Q84:Q91">
    <cfRule type="cellIs" dxfId="13734" priority="351" operator="lessThan">
      <formula>0</formula>
    </cfRule>
  </conditionalFormatting>
  <conditionalFormatting sqref="R84:R91">
    <cfRule type="cellIs" dxfId="13733" priority="349" operator="lessThan">
      <formula>0.8</formula>
    </cfRule>
    <cfRule type="cellIs" dxfId="13732" priority="350" operator="greaterThan">
      <formula>1</formula>
    </cfRule>
  </conditionalFormatting>
  <conditionalFormatting sqref="R84:R91">
    <cfRule type="cellIs" dxfId="13731" priority="347" operator="greaterThan">
      <formula>1</formula>
    </cfRule>
    <cfRule type="cellIs" dxfId="13730" priority="348" operator="lessThan">
      <formula>0.8</formula>
    </cfRule>
  </conditionalFormatting>
  <conditionalFormatting sqref="P84:P91">
    <cfRule type="cellIs" dxfId="13729" priority="346" operator="greaterThan">
      <formula>0</formula>
    </cfRule>
  </conditionalFormatting>
  <conditionalFormatting sqref="P84:P91">
    <cfRule type="cellIs" dxfId="13728" priority="340" operator="greaterThan">
      <formula>0</formula>
    </cfRule>
  </conditionalFormatting>
  <conditionalFormatting sqref="Q84:Q91">
    <cfRule type="cellIs" dxfId="13727" priority="345" operator="lessThan">
      <formula>0</formula>
    </cfRule>
  </conditionalFormatting>
  <conditionalFormatting sqref="R84:R91">
    <cfRule type="cellIs" dxfId="13726" priority="343" operator="lessThan">
      <formula>0.8</formula>
    </cfRule>
    <cfRule type="cellIs" dxfId="13725" priority="344" operator="greaterThan">
      <formula>1</formula>
    </cfRule>
  </conditionalFormatting>
  <conditionalFormatting sqref="R84:R91">
    <cfRule type="cellIs" dxfId="13724" priority="341" operator="greaterThan">
      <formula>1</formula>
    </cfRule>
    <cfRule type="cellIs" dxfId="13723" priority="342" operator="lessThan">
      <formula>0.8</formula>
    </cfRule>
  </conditionalFormatting>
  <conditionalFormatting sqref="P84:P91">
    <cfRule type="cellIs" dxfId="13722" priority="334" operator="greaterThan">
      <formula>0</formula>
    </cfRule>
  </conditionalFormatting>
  <conditionalFormatting sqref="Q84:Q91">
    <cfRule type="cellIs" dxfId="13721" priority="339" operator="lessThan">
      <formula>0</formula>
    </cfRule>
  </conditionalFormatting>
  <conditionalFormatting sqref="R84:R91">
    <cfRule type="cellIs" dxfId="13720" priority="337" operator="lessThan">
      <formula>0.8</formula>
    </cfRule>
    <cfRule type="cellIs" dxfId="13719" priority="338" operator="greaterThan">
      <formula>1</formula>
    </cfRule>
  </conditionalFormatting>
  <conditionalFormatting sqref="R84:R91">
    <cfRule type="cellIs" dxfId="13718" priority="335" operator="greaterThan">
      <formula>1</formula>
    </cfRule>
    <cfRule type="cellIs" dxfId="13717" priority="336" operator="lessThan">
      <formula>0.8</formula>
    </cfRule>
  </conditionalFormatting>
  <conditionalFormatting sqref="R84:R91">
    <cfRule type="cellIs" dxfId="13716" priority="331" operator="lessThan">
      <formula>0.8</formula>
    </cfRule>
    <cfRule type="cellIs" dxfId="13715" priority="332" operator="greaterThan">
      <formula>1</formula>
    </cfRule>
  </conditionalFormatting>
  <conditionalFormatting sqref="R84:R91">
    <cfRule type="cellIs" dxfId="13714" priority="329" operator="greaterThan">
      <formula>1</formula>
    </cfRule>
    <cfRule type="cellIs" dxfId="13713" priority="330" operator="lessThan">
      <formula>0.8</formula>
    </cfRule>
  </conditionalFormatting>
  <conditionalFormatting sqref="P84:P91">
    <cfRule type="cellIs" dxfId="13712" priority="328" operator="greaterThan">
      <formula>0</formula>
    </cfRule>
  </conditionalFormatting>
  <conditionalFormatting sqref="Q84:Q91">
    <cfRule type="cellIs" dxfId="13711" priority="333" operator="lessThan">
      <formula>0</formula>
    </cfRule>
  </conditionalFormatting>
  <conditionalFormatting sqref="P84:P91">
    <cfRule type="cellIs" dxfId="13710" priority="322" operator="greaterThan">
      <formula>0</formula>
    </cfRule>
  </conditionalFormatting>
  <conditionalFormatting sqref="Q84:Q91">
    <cfRule type="cellIs" dxfId="13709" priority="327" operator="lessThan">
      <formula>0</formula>
    </cfRule>
  </conditionalFormatting>
  <conditionalFormatting sqref="R84:R91">
    <cfRule type="cellIs" dxfId="13708" priority="325" operator="lessThan">
      <formula>0.8</formula>
    </cfRule>
    <cfRule type="cellIs" dxfId="13707" priority="326" operator="greaterThan">
      <formula>1</formula>
    </cfRule>
  </conditionalFormatting>
  <conditionalFormatting sqref="R84:R91">
    <cfRule type="cellIs" dxfId="13706" priority="323" operator="greaterThan">
      <formula>1</formula>
    </cfRule>
    <cfRule type="cellIs" dxfId="13705" priority="324" operator="lessThan">
      <formula>0.8</formula>
    </cfRule>
  </conditionalFormatting>
  <conditionalFormatting sqref="R84:R91">
    <cfRule type="cellIs" dxfId="13704" priority="319" operator="lessThan">
      <formula>0.8</formula>
    </cfRule>
    <cfRule type="cellIs" dxfId="13703" priority="320" operator="greaterThan">
      <formula>1</formula>
    </cfRule>
  </conditionalFormatting>
  <conditionalFormatting sqref="R84:R91">
    <cfRule type="cellIs" dxfId="13702" priority="317" operator="greaterThan">
      <formula>1</formula>
    </cfRule>
    <cfRule type="cellIs" dxfId="13701" priority="318" operator="lessThan">
      <formula>0.8</formula>
    </cfRule>
  </conditionalFormatting>
  <conditionalFormatting sqref="P84:P91">
    <cfRule type="cellIs" dxfId="13700" priority="316" operator="greaterThan">
      <formula>0</formula>
    </cfRule>
  </conditionalFormatting>
  <conditionalFormatting sqref="Q84:Q91">
    <cfRule type="cellIs" dxfId="13699" priority="321" operator="lessThan">
      <formula>0</formula>
    </cfRule>
  </conditionalFormatting>
  <conditionalFormatting sqref="R84:R91">
    <cfRule type="cellIs" dxfId="13698" priority="313" operator="lessThan">
      <formula>0.8</formula>
    </cfRule>
    <cfRule type="cellIs" dxfId="13697" priority="314" operator="greaterThan">
      <formula>1</formula>
    </cfRule>
  </conditionalFormatting>
  <conditionalFormatting sqref="R84:R91">
    <cfRule type="cellIs" dxfId="13696" priority="311" operator="greaterThan">
      <formula>1</formula>
    </cfRule>
    <cfRule type="cellIs" dxfId="13695" priority="312" operator="lessThan">
      <formula>0.8</formula>
    </cfRule>
  </conditionalFormatting>
  <conditionalFormatting sqref="P84:P91">
    <cfRule type="cellIs" dxfId="13694" priority="310" operator="greaterThan">
      <formula>0</formula>
    </cfRule>
  </conditionalFormatting>
  <conditionalFormatting sqref="Q84:Q91">
    <cfRule type="cellIs" dxfId="13693" priority="315" operator="lessThan">
      <formula>0</formula>
    </cfRule>
  </conditionalFormatting>
  <conditionalFormatting sqref="Q84:Q91">
    <cfRule type="cellIs" dxfId="13692" priority="309" operator="lessThan">
      <formula>0</formula>
    </cfRule>
  </conditionalFormatting>
  <conditionalFormatting sqref="R84:R91">
    <cfRule type="cellIs" dxfId="13691" priority="307" operator="lessThan">
      <formula>0.8</formula>
    </cfRule>
    <cfRule type="cellIs" dxfId="13690" priority="308" operator="greaterThan">
      <formula>1</formula>
    </cfRule>
  </conditionalFormatting>
  <conditionalFormatting sqref="R84:R91">
    <cfRule type="cellIs" dxfId="13689" priority="305" operator="greaterThan">
      <formula>1</formula>
    </cfRule>
    <cfRule type="cellIs" dxfId="13688" priority="306" operator="lessThan">
      <formula>0.8</formula>
    </cfRule>
  </conditionalFormatting>
  <conditionalFormatting sqref="P84:P91">
    <cfRule type="cellIs" dxfId="13687" priority="304" operator="greaterThan">
      <formula>0</formula>
    </cfRule>
  </conditionalFormatting>
  <conditionalFormatting sqref="Q84:Q91">
    <cfRule type="cellIs" dxfId="13686" priority="298" operator="lessThan">
      <formula>0</formula>
    </cfRule>
  </conditionalFormatting>
  <conditionalFormatting sqref="R84:R91">
    <cfRule type="cellIs" dxfId="13685" priority="302" operator="lessThan">
      <formula>0.8</formula>
    </cfRule>
    <cfRule type="cellIs" dxfId="13684" priority="303" operator="greaterThan">
      <formula>1</formula>
    </cfRule>
  </conditionalFormatting>
  <conditionalFormatting sqref="R84:R91">
    <cfRule type="cellIs" dxfId="13683" priority="300" operator="greaterThan">
      <formula>1</formula>
    </cfRule>
    <cfRule type="cellIs" dxfId="13682" priority="301" operator="lessThan">
      <formula>0.8</formula>
    </cfRule>
  </conditionalFormatting>
  <conditionalFormatting sqref="P84:P91">
    <cfRule type="cellIs" dxfId="13681" priority="299" operator="greaterThan">
      <formula>0</formula>
    </cfRule>
  </conditionalFormatting>
  <conditionalFormatting sqref="Q84:Q91">
    <cfRule type="cellIs" dxfId="13680" priority="297" operator="lessThan">
      <formula>0</formula>
    </cfRule>
  </conditionalFormatting>
  <conditionalFormatting sqref="R84:R91">
    <cfRule type="cellIs" dxfId="13679" priority="295" operator="lessThan">
      <formula>0.8</formula>
    </cfRule>
    <cfRule type="cellIs" dxfId="13678" priority="296" operator="greaterThan">
      <formula>1</formula>
    </cfRule>
  </conditionalFormatting>
  <conditionalFormatting sqref="R84:R91">
    <cfRule type="cellIs" dxfId="13677" priority="293" operator="greaterThan">
      <formula>1</formula>
    </cfRule>
    <cfRule type="cellIs" dxfId="13676" priority="294" operator="lessThan">
      <formula>0.8</formula>
    </cfRule>
  </conditionalFormatting>
  <conditionalFormatting sqref="P84:P91">
    <cfRule type="cellIs" dxfId="13675" priority="292" operator="greaterThan">
      <formula>0</formula>
    </cfRule>
  </conditionalFormatting>
  <conditionalFormatting sqref="Q84:Q91">
    <cfRule type="cellIs" dxfId="13674" priority="291" operator="lessThan">
      <formula>0</formula>
    </cfRule>
  </conditionalFormatting>
  <conditionalFormatting sqref="R84:R91">
    <cfRule type="cellIs" dxfId="13673" priority="289" operator="lessThan">
      <formula>0.8</formula>
    </cfRule>
    <cfRule type="cellIs" dxfId="13672" priority="290" operator="greaterThan">
      <formula>1</formula>
    </cfRule>
  </conditionalFormatting>
  <conditionalFormatting sqref="R84:R91">
    <cfRule type="cellIs" dxfId="13671" priority="287" operator="greaterThan">
      <formula>1</formula>
    </cfRule>
    <cfRule type="cellIs" dxfId="13670" priority="288" operator="lessThan">
      <formula>0.8</formula>
    </cfRule>
  </conditionalFormatting>
  <conditionalFormatting sqref="P84:P91">
    <cfRule type="cellIs" dxfId="13669" priority="286" operator="greaterThan">
      <formula>0</formula>
    </cfRule>
  </conditionalFormatting>
  <conditionalFormatting sqref="Q84:Q91">
    <cfRule type="cellIs" dxfId="13668" priority="285" operator="lessThan">
      <formula>0</formula>
    </cfRule>
  </conditionalFormatting>
  <conditionalFormatting sqref="R84:R91">
    <cfRule type="cellIs" dxfId="13667" priority="283" operator="lessThan">
      <formula>0.8</formula>
    </cfRule>
    <cfRule type="cellIs" dxfId="13666" priority="284" operator="greaterThan">
      <formula>1</formula>
    </cfRule>
  </conditionalFormatting>
  <conditionalFormatting sqref="R84:R91">
    <cfRule type="cellIs" dxfId="13665" priority="281" operator="greaterThan">
      <formula>1</formula>
    </cfRule>
    <cfRule type="cellIs" dxfId="13664" priority="282" operator="lessThan">
      <formula>0.8</formula>
    </cfRule>
  </conditionalFormatting>
  <conditionalFormatting sqref="P84:P91">
    <cfRule type="cellIs" dxfId="13663" priority="280" operator="greaterThan">
      <formula>0</formula>
    </cfRule>
  </conditionalFormatting>
  <conditionalFormatting sqref="Q84:Q91">
    <cfRule type="cellIs" dxfId="13662" priority="279" operator="lessThan">
      <formula>0</formula>
    </cfRule>
  </conditionalFormatting>
  <conditionalFormatting sqref="R84:R91">
    <cfRule type="cellIs" dxfId="13661" priority="277" operator="lessThan">
      <formula>0.8</formula>
    </cfRule>
    <cfRule type="cellIs" dxfId="13660" priority="278" operator="greaterThan">
      <formula>1</formula>
    </cfRule>
  </conditionalFormatting>
  <conditionalFormatting sqref="R84:R91">
    <cfRule type="cellIs" dxfId="13659" priority="275" operator="greaterThan">
      <formula>1</formula>
    </cfRule>
    <cfRule type="cellIs" dxfId="13658" priority="276" operator="lessThan">
      <formula>0.8</formula>
    </cfRule>
  </conditionalFormatting>
  <conditionalFormatting sqref="P84:P91">
    <cfRule type="cellIs" dxfId="13657" priority="274" operator="greaterThan">
      <formula>0</formula>
    </cfRule>
  </conditionalFormatting>
  <conditionalFormatting sqref="Q84:Q91">
    <cfRule type="cellIs" dxfId="13656" priority="273" operator="lessThan">
      <formula>0</formula>
    </cfRule>
  </conditionalFormatting>
  <conditionalFormatting sqref="R84:R91">
    <cfRule type="cellIs" dxfId="13655" priority="271" operator="lessThan">
      <formula>0.8</formula>
    </cfRule>
    <cfRule type="cellIs" dxfId="13654" priority="272" operator="greaterThan">
      <formula>1</formula>
    </cfRule>
  </conditionalFormatting>
  <conditionalFormatting sqref="R84:R91">
    <cfRule type="cellIs" dxfId="13653" priority="269" operator="greaterThan">
      <formula>1</formula>
    </cfRule>
    <cfRule type="cellIs" dxfId="13652" priority="270" operator="lessThan">
      <formula>0.8</formula>
    </cfRule>
  </conditionalFormatting>
  <conditionalFormatting sqref="P84:P91">
    <cfRule type="cellIs" dxfId="13651" priority="268" operator="greaterThan">
      <formula>0</formula>
    </cfRule>
  </conditionalFormatting>
  <conditionalFormatting sqref="P84:P91">
    <cfRule type="cellIs" dxfId="13650" priority="262" operator="greaterThan">
      <formula>0</formula>
    </cfRule>
  </conditionalFormatting>
  <conditionalFormatting sqref="Q84:Q91">
    <cfRule type="cellIs" dxfId="13649" priority="267" operator="lessThan">
      <formula>0</formula>
    </cfRule>
  </conditionalFormatting>
  <conditionalFormatting sqref="R84:R91">
    <cfRule type="cellIs" dxfId="13648" priority="265" operator="lessThan">
      <formula>0.8</formula>
    </cfRule>
    <cfRule type="cellIs" dxfId="13647" priority="266" operator="greaterThan">
      <formula>1</formula>
    </cfRule>
  </conditionalFormatting>
  <conditionalFormatting sqref="R84:R91">
    <cfRule type="cellIs" dxfId="13646" priority="263" operator="greaterThan">
      <formula>1</formula>
    </cfRule>
    <cfRule type="cellIs" dxfId="13645" priority="264" operator="lessThan">
      <formula>0.8</formula>
    </cfRule>
  </conditionalFormatting>
  <conditionalFormatting sqref="P84:P91">
    <cfRule type="cellIs" dxfId="13644" priority="256" operator="greaterThan">
      <formula>0</formula>
    </cfRule>
  </conditionalFormatting>
  <conditionalFormatting sqref="Q84:Q91">
    <cfRule type="cellIs" dxfId="13643" priority="261" operator="lessThan">
      <formula>0</formula>
    </cfRule>
  </conditionalFormatting>
  <conditionalFormatting sqref="R84:R91">
    <cfRule type="cellIs" dxfId="13642" priority="259" operator="lessThan">
      <formula>0.8</formula>
    </cfRule>
    <cfRule type="cellIs" dxfId="13641" priority="260" operator="greaterThan">
      <formula>1</formula>
    </cfRule>
  </conditionalFormatting>
  <conditionalFormatting sqref="R84:R91">
    <cfRule type="cellIs" dxfId="13640" priority="257" operator="greaterThan">
      <formula>1</formula>
    </cfRule>
    <cfRule type="cellIs" dxfId="13639" priority="258" operator="lessThan">
      <formula>0.8</formula>
    </cfRule>
  </conditionalFormatting>
  <conditionalFormatting sqref="R84:R91">
    <cfRule type="cellIs" dxfId="13638" priority="253" operator="lessThan">
      <formula>0.8</formula>
    </cfRule>
    <cfRule type="cellIs" dxfId="13637" priority="254" operator="greaterThan">
      <formula>1</formula>
    </cfRule>
  </conditionalFormatting>
  <conditionalFormatting sqref="R84:R91">
    <cfRule type="cellIs" dxfId="13636" priority="251" operator="greaterThan">
      <formula>1</formula>
    </cfRule>
    <cfRule type="cellIs" dxfId="13635" priority="252" operator="lessThan">
      <formula>0.8</formula>
    </cfRule>
  </conditionalFormatting>
  <conditionalFormatting sqref="P84:P91">
    <cfRule type="cellIs" dxfId="13634" priority="250" operator="greaterThan">
      <formula>0</formula>
    </cfRule>
  </conditionalFormatting>
  <conditionalFormatting sqref="Q84:Q91">
    <cfRule type="cellIs" dxfId="13633" priority="255" operator="lessThan">
      <formula>0</formula>
    </cfRule>
  </conditionalFormatting>
  <conditionalFormatting sqref="Q84:Q91">
    <cfRule type="cellIs" dxfId="13632" priority="249" operator="lessThan">
      <formula>0</formula>
    </cfRule>
  </conditionalFormatting>
  <conditionalFormatting sqref="R84:R91">
    <cfRule type="cellIs" dxfId="13631" priority="247" operator="lessThan">
      <formula>0.8</formula>
    </cfRule>
    <cfRule type="cellIs" dxfId="13630" priority="248" operator="greaterThan">
      <formula>1</formula>
    </cfRule>
  </conditionalFormatting>
  <conditionalFormatting sqref="R84:R91">
    <cfRule type="cellIs" dxfId="13629" priority="245" operator="greaterThan">
      <formula>1</formula>
    </cfRule>
    <cfRule type="cellIs" dxfId="13628" priority="246" operator="lessThan">
      <formula>0.8</formula>
    </cfRule>
  </conditionalFormatting>
  <conditionalFormatting sqref="P84:P91">
    <cfRule type="cellIs" dxfId="13627" priority="244" operator="greaterThan">
      <formula>0</formula>
    </cfRule>
  </conditionalFormatting>
  <conditionalFormatting sqref="Q84:Q91">
    <cfRule type="cellIs" dxfId="13626" priority="243" operator="lessThan">
      <formula>0</formula>
    </cfRule>
  </conditionalFormatting>
  <conditionalFormatting sqref="R84:R91">
    <cfRule type="cellIs" dxfId="13625" priority="241" operator="lessThan">
      <formula>0.8</formula>
    </cfRule>
    <cfRule type="cellIs" dxfId="13624" priority="242" operator="greaterThan">
      <formula>1</formula>
    </cfRule>
  </conditionalFormatting>
  <conditionalFormatting sqref="R84:R91">
    <cfRule type="cellIs" dxfId="13623" priority="239" operator="greaterThan">
      <formula>1</formula>
    </cfRule>
    <cfRule type="cellIs" dxfId="13622" priority="240" operator="lessThan">
      <formula>0.8</formula>
    </cfRule>
  </conditionalFormatting>
  <conditionalFormatting sqref="P84:P91">
    <cfRule type="cellIs" dxfId="13621" priority="238" operator="greaterThan">
      <formula>0</formula>
    </cfRule>
  </conditionalFormatting>
  <conditionalFormatting sqref="Q84:Q91">
    <cfRule type="cellIs" dxfId="13620" priority="237" operator="lessThan">
      <formula>0</formula>
    </cfRule>
  </conditionalFormatting>
  <conditionalFormatting sqref="R84:R91">
    <cfRule type="cellIs" dxfId="13619" priority="235" operator="lessThan">
      <formula>0.8</formula>
    </cfRule>
    <cfRule type="cellIs" dxfId="13618" priority="236" operator="greaterThan">
      <formula>1</formula>
    </cfRule>
  </conditionalFormatting>
  <conditionalFormatting sqref="R84:R91">
    <cfRule type="cellIs" dxfId="13617" priority="233" operator="greaterThan">
      <formula>1</formula>
    </cfRule>
    <cfRule type="cellIs" dxfId="13616" priority="234" operator="lessThan">
      <formula>0.8</formula>
    </cfRule>
  </conditionalFormatting>
  <conditionalFormatting sqref="P84:P91">
    <cfRule type="cellIs" dxfId="13615" priority="232" operator="greaterThan">
      <formula>0</formula>
    </cfRule>
  </conditionalFormatting>
  <conditionalFormatting sqref="Q84:Q91">
    <cfRule type="cellIs" dxfId="13614" priority="231" operator="lessThan">
      <formula>0</formula>
    </cfRule>
  </conditionalFormatting>
  <conditionalFormatting sqref="R84:R91">
    <cfRule type="cellIs" dxfId="13613" priority="229" operator="lessThan">
      <formula>0.8</formula>
    </cfRule>
    <cfRule type="cellIs" dxfId="13612" priority="230" operator="greaterThan">
      <formula>1</formula>
    </cfRule>
  </conditionalFormatting>
  <conditionalFormatting sqref="R84:R91">
    <cfRule type="cellIs" dxfId="13611" priority="227" operator="greaterThan">
      <formula>1</formula>
    </cfRule>
    <cfRule type="cellIs" dxfId="13610" priority="228" operator="lessThan">
      <formula>0.8</formula>
    </cfRule>
  </conditionalFormatting>
  <conditionalFormatting sqref="P84:P91">
    <cfRule type="cellIs" dxfId="13609" priority="226" operator="greaterThan">
      <formula>0</formula>
    </cfRule>
  </conditionalFormatting>
  <conditionalFormatting sqref="P84:P91">
    <cfRule type="cellIs" dxfId="13608" priority="220" operator="greaterThan">
      <formula>0</formula>
    </cfRule>
  </conditionalFormatting>
  <conditionalFormatting sqref="Q84:Q91">
    <cfRule type="cellIs" dxfId="13607" priority="225" operator="lessThan">
      <formula>0</formula>
    </cfRule>
  </conditionalFormatting>
  <conditionalFormatting sqref="R84:R91">
    <cfRule type="cellIs" dxfId="13606" priority="223" operator="lessThan">
      <formula>0.8</formula>
    </cfRule>
    <cfRule type="cellIs" dxfId="13605" priority="224" operator="greaterThan">
      <formula>1</formula>
    </cfRule>
  </conditionalFormatting>
  <conditionalFormatting sqref="R84:R91">
    <cfRule type="cellIs" dxfId="13604" priority="221" operator="greaterThan">
      <formula>1</formula>
    </cfRule>
    <cfRule type="cellIs" dxfId="13603" priority="222" operator="lessThan">
      <formula>0.8</formula>
    </cfRule>
  </conditionalFormatting>
  <conditionalFormatting sqref="P84:P91">
    <cfRule type="cellIs" dxfId="13602" priority="214" operator="greaterThan">
      <formula>0</formula>
    </cfRule>
  </conditionalFormatting>
  <conditionalFormatting sqref="Q84:Q91">
    <cfRule type="cellIs" dxfId="13601" priority="219" operator="lessThan">
      <formula>0</formula>
    </cfRule>
  </conditionalFormatting>
  <conditionalFormatting sqref="R84:R91">
    <cfRule type="cellIs" dxfId="13600" priority="217" operator="lessThan">
      <formula>0.8</formula>
    </cfRule>
    <cfRule type="cellIs" dxfId="13599" priority="218" operator="greaterThan">
      <formula>1</formula>
    </cfRule>
  </conditionalFormatting>
  <conditionalFormatting sqref="R84:R91">
    <cfRule type="cellIs" dxfId="13598" priority="215" operator="greaterThan">
      <formula>1</formula>
    </cfRule>
    <cfRule type="cellIs" dxfId="13597" priority="216" operator="lessThan">
      <formula>0.8</formula>
    </cfRule>
  </conditionalFormatting>
  <conditionalFormatting sqref="R84:R91">
    <cfRule type="cellIs" dxfId="13596" priority="211" operator="lessThan">
      <formula>0.8</formula>
    </cfRule>
    <cfRule type="cellIs" dxfId="13595" priority="212" operator="greaterThan">
      <formula>1</formula>
    </cfRule>
  </conditionalFormatting>
  <conditionalFormatting sqref="R84:R91">
    <cfRule type="cellIs" dxfId="13594" priority="209" operator="greaterThan">
      <formula>1</formula>
    </cfRule>
    <cfRule type="cellIs" dxfId="13593" priority="210" operator="lessThan">
      <formula>0.8</formula>
    </cfRule>
  </conditionalFormatting>
  <conditionalFormatting sqref="P84:P91">
    <cfRule type="cellIs" dxfId="13592" priority="208" operator="greaterThan">
      <formula>0</formula>
    </cfRule>
  </conditionalFormatting>
  <conditionalFormatting sqref="Q84:Q91">
    <cfRule type="cellIs" dxfId="13591" priority="213" operator="lessThan">
      <formula>0</formula>
    </cfRule>
  </conditionalFormatting>
  <conditionalFormatting sqref="Q84:Q91">
    <cfRule type="cellIs" dxfId="13590" priority="207" operator="lessThan">
      <formula>0</formula>
    </cfRule>
  </conditionalFormatting>
  <conditionalFormatting sqref="R84:R91">
    <cfRule type="cellIs" dxfId="13589" priority="205" operator="lessThan">
      <formula>0.8</formula>
    </cfRule>
    <cfRule type="cellIs" dxfId="13588" priority="206" operator="greaterThan">
      <formula>1</formula>
    </cfRule>
  </conditionalFormatting>
  <conditionalFormatting sqref="R84:R91">
    <cfRule type="cellIs" dxfId="13587" priority="203" operator="greaterThan">
      <formula>1</formula>
    </cfRule>
    <cfRule type="cellIs" dxfId="13586" priority="204" operator="lessThan">
      <formula>0.8</formula>
    </cfRule>
  </conditionalFormatting>
  <conditionalFormatting sqref="P84:P91">
    <cfRule type="cellIs" dxfId="13585" priority="202" operator="greaterThan">
      <formula>0</formula>
    </cfRule>
  </conditionalFormatting>
  <conditionalFormatting sqref="P84:P91">
    <cfRule type="cellIs" dxfId="13584" priority="196" operator="greaterThan">
      <formula>0</formula>
    </cfRule>
  </conditionalFormatting>
  <conditionalFormatting sqref="Q84:Q91">
    <cfRule type="cellIs" dxfId="13583" priority="201" operator="lessThan">
      <formula>0</formula>
    </cfRule>
  </conditionalFormatting>
  <conditionalFormatting sqref="R84:R91">
    <cfRule type="cellIs" dxfId="13582" priority="199" operator="lessThan">
      <formula>0.8</formula>
    </cfRule>
    <cfRule type="cellIs" dxfId="13581" priority="200" operator="greaterThan">
      <formula>1</formula>
    </cfRule>
  </conditionalFormatting>
  <conditionalFormatting sqref="R84:R91">
    <cfRule type="cellIs" dxfId="13580" priority="197" operator="greaterThan">
      <formula>1</formula>
    </cfRule>
    <cfRule type="cellIs" dxfId="13579" priority="198" operator="lessThan">
      <formula>0.8</formula>
    </cfRule>
  </conditionalFormatting>
  <conditionalFormatting sqref="P84:P91">
    <cfRule type="cellIs" dxfId="13578" priority="190" operator="greaterThan">
      <formula>0</formula>
    </cfRule>
  </conditionalFormatting>
  <conditionalFormatting sqref="Q84:Q91">
    <cfRule type="cellIs" dxfId="13577" priority="195" operator="lessThan">
      <formula>0</formula>
    </cfRule>
  </conditionalFormatting>
  <conditionalFormatting sqref="R84:R91">
    <cfRule type="cellIs" dxfId="13576" priority="193" operator="lessThan">
      <formula>0.8</formula>
    </cfRule>
    <cfRule type="cellIs" dxfId="13575" priority="194" operator="greaterThan">
      <formula>1</formula>
    </cfRule>
  </conditionalFormatting>
  <conditionalFormatting sqref="R84:R91">
    <cfRule type="cellIs" dxfId="13574" priority="191" operator="greaterThan">
      <formula>1</formula>
    </cfRule>
    <cfRule type="cellIs" dxfId="13573" priority="192" operator="lessThan">
      <formula>0.8</formula>
    </cfRule>
  </conditionalFormatting>
  <conditionalFormatting sqref="R84:R91">
    <cfRule type="cellIs" dxfId="13572" priority="187" operator="lessThan">
      <formula>0.8</formula>
    </cfRule>
    <cfRule type="cellIs" dxfId="13571" priority="188" operator="greaterThan">
      <formula>1</formula>
    </cfRule>
  </conditionalFormatting>
  <conditionalFormatting sqref="R84:R91">
    <cfRule type="cellIs" dxfId="13570" priority="185" operator="greaterThan">
      <formula>1</formula>
    </cfRule>
    <cfRule type="cellIs" dxfId="13569" priority="186" operator="lessThan">
      <formula>0.8</formula>
    </cfRule>
  </conditionalFormatting>
  <conditionalFormatting sqref="P84:P91">
    <cfRule type="cellIs" dxfId="13568" priority="184" operator="greaterThan">
      <formula>0</formula>
    </cfRule>
  </conditionalFormatting>
  <conditionalFormatting sqref="Q84:Q91">
    <cfRule type="cellIs" dxfId="13567" priority="189" operator="lessThan">
      <formula>0</formula>
    </cfRule>
  </conditionalFormatting>
  <conditionalFormatting sqref="P84:P91">
    <cfRule type="cellIs" dxfId="13566" priority="178" operator="greaterThan">
      <formula>0</formula>
    </cfRule>
  </conditionalFormatting>
  <conditionalFormatting sqref="Q84:Q91">
    <cfRule type="cellIs" dxfId="13565" priority="183" operator="lessThan">
      <formula>0</formula>
    </cfRule>
  </conditionalFormatting>
  <conditionalFormatting sqref="R84:R91">
    <cfRule type="cellIs" dxfId="13564" priority="181" operator="lessThan">
      <formula>0.8</formula>
    </cfRule>
    <cfRule type="cellIs" dxfId="13563" priority="182" operator="greaterThan">
      <formula>1</formula>
    </cfRule>
  </conditionalFormatting>
  <conditionalFormatting sqref="R84:R91">
    <cfRule type="cellIs" dxfId="13562" priority="179" operator="greaterThan">
      <formula>1</formula>
    </cfRule>
    <cfRule type="cellIs" dxfId="13561" priority="180" operator="lessThan">
      <formula>0.8</formula>
    </cfRule>
  </conditionalFormatting>
  <conditionalFormatting sqref="R84:R91">
    <cfRule type="cellIs" dxfId="13560" priority="175" operator="lessThan">
      <formula>0.8</formula>
    </cfRule>
    <cfRule type="cellIs" dxfId="13559" priority="176" operator="greaterThan">
      <formula>1</formula>
    </cfRule>
  </conditionalFormatting>
  <conditionalFormatting sqref="R84:R91">
    <cfRule type="cellIs" dxfId="13558" priority="173" operator="greaterThan">
      <formula>1</formula>
    </cfRule>
    <cfRule type="cellIs" dxfId="13557" priority="174" operator="lessThan">
      <formula>0.8</formula>
    </cfRule>
  </conditionalFormatting>
  <conditionalFormatting sqref="P84:P91">
    <cfRule type="cellIs" dxfId="13556" priority="172" operator="greaterThan">
      <formula>0</formula>
    </cfRule>
  </conditionalFormatting>
  <conditionalFormatting sqref="Q84:Q91">
    <cfRule type="cellIs" dxfId="13555" priority="177" operator="lessThan">
      <formula>0</formula>
    </cfRule>
  </conditionalFormatting>
  <conditionalFormatting sqref="R84:R91">
    <cfRule type="cellIs" dxfId="13554" priority="169" operator="lessThan">
      <formula>0.8</formula>
    </cfRule>
    <cfRule type="cellIs" dxfId="13553" priority="170" operator="greaterThan">
      <formula>1</formula>
    </cfRule>
  </conditionalFormatting>
  <conditionalFormatting sqref="R84:R91">
    <cfRule type="cellIs" dxfId="13552" priority="167" operator="greaterThan">
      <formula>1</formula>
    </cfRule>
    <cfRule type="cellIs" dxfId="13551" priority="168" operator="lessThan">
      <formula>0.8</formula>
    </cfRule>
  </conditionalFormatting>
  <conditionalFormatting sqref="P84:P91">
    <cfRule type="cellIs" dxfId="13550" priority="166" operator="greaterThan">
      <formula>0</formula>
    </cfRule>
  </conditionalFormatting>
  <conditionalFormatting sqref="Q84:Q91">
    <cfRule type="cellIs" dxfId="13549" priority="171" operator="lessThan">
      <formula>0</formula>
    </cfRule>
  </conditionalFormatting>
  <conditionalFormatting sqref="Q84:Q91">
    <cfRule type="cellIs" dxfId="13548" priority="165" operator="lessThan">
      <formula>0</formula>
    </cfRule>
  </conditionalFormatting>
  <conditionalFormatting sqref="R84:R91">
    <cfRule type="cellIs" dxfId="13547" priority="163" operator="lessThan">
      <formula>0.8</formula>
    </cfRule>
    <cfRule type="cellIs" dxfId="13546" priority="164" operator="greaterThan">
      <formula>1</formula>
    </cfRule>
  </conditionalFormatting>
  <conditionalFormatting sqref="R84:R91">
    <cfRule type="cellIs" dxfId="13545" priority="161" operator="greaterThan">
      <formula>1</formula>
    </cfRule>
    <cfRule type="cellIs" dxfId="13544" priority="162" operator="lessThan">
      <formula>0.8</formula>
    </cfRule>
  </conditionalFormatting>
  <conditionalFormatting sqref="P84:P91">
    <cfRule type="cellIs" dxfId="13543" priority="160" operator="greaterThan">
      <formula>0</formula>
    </cfRule>
  </conditionalFormatting>
  <conditionalFormatting sqref="Q84:Q91">
    <cfRule type="cellIs" dxfId="13542" priority="154" operator="lessThan">
      <formula>0</formula>
    </cfRule>
  </conditionalFormatting>
  <conditionalFormatting sqref="R84:R91">
    <cfRule type="cellIs" dxfId="13541" priority="158" operator="lessThan">
      <formula>0.8</formula>
    </cfRule>
    <cfRule type="cellIs" dxfId="13540" priority="159" operator="greaterThan">
      <formula>1</formula>
    </cfRule>
  </conditionalFormatting>
  <conditionalFormatting sqref="R84:R91">
    <cfRule type="cellIs" dxfId="13539" priority="156" operator="greaterThan">
      <formula>1</formula>
    </cfRule>
    <cfRule type="cellIs" dxfId="13538" priority="157" operator="lessThan">
      <formula>0.8</formula>
    </cfRule>
  </conditionalFormatting>
  <conditionalFormatting sqref="P84:P91">
    <cfRule type="cellIs" dxfId="13537" priority="155" operator="greaterThan">
      <formula>0</formula>
    </cfRule>
  </conditionalFormatting>
  <conditionalFormatting sqref="Q84:Q91">
    <cfRule type="cellIs" dxfId="13536" priority="153" operator="lessThan">
      <formula>0</formula>
    </cfRule>
  </conditionalFormatting>
  <conditionalFormatting sqref="R84:R91">
    <cfRule type="cellIs" dxfId="13535" priority="151" operator="lessThan">
      <formula>0.8</formula>
    </cfRule>
    <cfRule type="cellIs" dxfId="13534" priority="152" operator="greaterThan">
      <formula>1</formula>
    </cfRule>
  </conditionalFormatting>
  <conditionalFormatting sqref="R84:R91">
    <cfRule type="cellIs" dxfId="13533" priority="149" operator="greaterThan">
      <formula>1</formula>
    </cfRule>
    <cfRule type="cellIs" dxfId="13532" priority="150" operator="lessThan">
      <formula>0.8</formula>
    </cfRule>
  </conditionalFormatting>
  <conditionalFormatting sqref="P84:P91">
    <cfRule type="cellIs" dxfId="13531" priority="148" operator="greaterThan">
      <formula>0</formula>
    </cfRule>
  </conditionalFormatting>
  <conditionalFormatting sqref="Q84:Q91">
    <cfRule type="cellIs" dxfId="13530" priority="147" operator="lessThan">
      <formula>0</formula>
    </cfRule>
  </conditionalFormatting>
  <conditionalFormatting sqref="R84:R91">
    <cfRule type="cellIs" dxfId="13529" priority="145" operator="lessThan">
      <formula>0.8</formula>
    </cfRule>
    <cfRule type="cellIs" dxfId="13528" priority="146" operator="greaterThan">
      <formula>1</formula>
    </cfRule>
  </conditionalFormatting>
  <conditionalFormatting sqref="R84:R91">
    <cfRule type="cellIs" dxfId="13527" priority="143" operator="greaterThan">
      <formula>1</formula>
    </cfRule>
    <cfRule type="cellIs" dxfId="13526" priority="144" operator="lessThan">
      <formula>0.8</formula>
    </cfRule>
  </conditionalFormatting>
  <conditionalFormatting sqref="P84:P91">
    <cfRule type="cellIs" dxfId="13525" priority="142" operator="greaterThan">
      <formula>0</formula>
    </cfRule>
  </conditionalFormatting>
  <conditionalFormatting sqref="Q84:Q91">
    <cfRule type="cellIs" dxfId="13524" priority="141" operator="lessThan">
      <formula>0</formula>
    </cfRule>
  </conditionalFormatting>
  <conditionalFormatting sqref="R84:R91">
    <cfRule type="cellIs" dxfId="13523" priority="139" operator="lessThan">
      <formula>0.8</formula>
    </cfRule>
    <cfRule type="cellIs" dxfId="13522" priority="140" operator="greaterThan">
      <formula>1</formula>
    </cfRule>
  </conditionalFormatting>
  <conditionalFormatting sqref="R84:R91">
    <cfRule type="cellIs" dxfId="13521" priority="137" operator="greaterThan">
      <formula>1</formula>
    </cfRule>
    <cfRule type="cellIs" dxfId="13520" priority="138" operator="lessThan">
      <formula>0.8</formula>
    </cfRule>
  </conditionalFormatting>
  <conditionalFormatting sqref="P84:P91">
    <cfRule type="cellIs" dxfId="13519" priority="136" operator="greaterThan">
      <formula>0</formula>
    </cfRule>
  </conditionalFormatting>
  <conditionalFormatting sqref="Q84:Q91">
    <cfRule type="cellIs" dxfId="13518" priority="135" operator="lessThan">
      <formula>0</formula>
    </cfRule>
  </conditionalFormatting>
  <conditionalFormatting sqref="R84:R91">
    <cfRule type="cellIs" dxfId="13517" priority="133" operator="lessThan">
      <formula>0.8</formula>
    </cfRule>
    <cfRule type="cellIs" dxfId="13516" priority="134" operator="greaterThan">
      <formula>1</formula>
    </cfRule>
  </conditionalFormatting>
  <conditionalFormatting sqref="R84:R91">
    <cfRule type="cellIs" dxfId="13515" priority="131" operator="greaterThan">
      <formula>1</formula>
    </cfRule>
    <cfRule type="cellIs" dxfId="13514" priority="132" operator="lessThan">
      <formula>0.8</formula>
    </cfRule>
  </conditionalFormatting>
  <conditionalFormatting sqref="P84:P91">
    <cfRule type="cellIs" dxfId="13513" priority="130" operator="greaterThan">
      <formula>0</formula>
    </cfRule>
  </conditionalFormatting>
  <conditionalFormatting sqref="Q84:Q91">
    <cfRule type="cellIs" dxfId="13512" priority="129" operator="lessThan">
      <formula>0</formula>
    </cfRule>
  </conditionalFormatting>
  <conditionalFormatting sqref="R84:R91">
    <cfRule type="cellIs" dxfId="13511" priority="127" operator="lessThan">
      <formula>0.8</formula>
    </cfRule>
    <cfRule type="cellIs" dxfId="13510" priority="128" operator="greaterThan">
      <formula>1</formula>
    </cfRule>
  </conditionalFormatting>
  <conditionalFormatting sqref="R84:R91">
    <cfRule type="cellIs" dxfId="13509" priority="125" operator="greaterThan">
      <formula>1</formula>
    </cfRule>
    <cfRule type="cellIs" dxfId="13508" priority="126" operator="lessThan">
      <formula>0.8</formula>
    </cfRule>
  </conditionalFormatting>
  <conditionalFormatting sqref="P84:P91">
    <cfRule type="cellIs" dxfId="13507" priority="124" operator="greaterThan">
      <formula>0</formula>
    </cfRule>
  </conditionalFormatting>
  <conditionalFormatting sqref="P84:P91">
    <cfRule type="cellIs" dxfId="13506" priority="118" operator="greaterThan">
      <formula>0</formula>
    </cfRule>
  </conditionalFormatting>
  <conditionalFormatting sqref="Q84:Q91">
    <cfRule type="cellIs" dxfId="13505" priority="123" operator="lessThan">
      <formula>0</formula>
    </cfRule>
  </conditionalFormatting>
  <conditionalFormatting sqref="R84:R91">
    <cfRule type="cellIs" dxfId="13504" priority="121" operator="lessThan">
      <formula>0.8</formula>
    </cfRule>
    <cfRule type="cellIs" dxfId="13503" priority="122" operator="greaterThan">
      <formula>1</formula>
    </cfRule>
  </conditionalFormatting>
  <conditionalFormatting sqref="R84:R91">
    <cfRule type="cellIs" dxfId="13502" priority="119" operator="greaterThan">
      <formula>1</formula>
    </cfRule>
    <cfRule type="cellIs" dxfId="13501" priority="120" operator="lessThan">
      <formula>0.8</formula>
    </cfRule>
  </conditionalFormatting>
  <conditionalFormatting sqref="P84:P91">
    <cfRule type="cellIs" dxfId="13500" priority="112" operator="greaterThan">
      <formula>0</formula>
    </cfRule>
  </conditionalFormatting>
  <conditionalFormatting sqref="Q84:Q91">
    <cfRule type="cellIs" dxfId="13499" priority="117" operator="lessThan">
      <formula>0</formula>
    </cfRule>
  </conditionalFormatting>
  <conditionalFormatting sqref="R84:R91">
    <cfRule type="cellIs" dxfId="13498" priority="115" operator="lessThan">
      <formula>0.8</formula>
    </cfRule>
    <cfRule type="cellIs" dxfId="13497" priority="116" operator="greaterThan">
      <formula>1</formula>
    </cfRule>
  </conditionalFormatting>
  <conditionalFormatting sqref="R84:R91">
    <cfRule type="cellIs" dxfId="13496" priority="113" operator="greaterThan">
      <formula>1</formula>
    </cfRule>
    <cfRule type="cellIs" dxfId="13495" priority="114" operator="lessThan">
      <formula>0.8</formula>
    </cfRule>
  </conditionalFormatting>
  <conditionalFormatting sqref="R84:R91">
    <cfRule type="cellIs" dxfId="13494" priority="109" operator="lessThan">
      <formula>0.8</formula>
    </cfRule>
    <cfRule type="cellIs" dxfId="13493" priority="110" operator="greaterThan">
      <formula>1</formula>
    </cfRule>
  </conditionalFormatting>
  <conditionalFormatting sqref="R84:R91">
    <cfRule type="cellIs" dxfId="13492" priority="107" operator="greaterThan">
      <formula>1</formula>
    </cfRule>
    <cfRule type="cellIs" dxfId="13491" priority="108" operator="lessThan">
      <formula>0.8</formula>
    </cfRule>
  </conditionalFormatting>
  <conditionalFormatting sqref="P84:P91">
    <cfRule type="cellIs" dxfId="13490" priority="106" operator="greaterThan">
      <formula>0</formula>
    </cfRule>
  </conditionalFormatting>
  <conditionalFormatting sqref="Q84:Q91">
    <cfRule type="cellIs" dxfId="13489" priority="111" operator="lessThan">
      <formula>0</formula>
    </cfRule>
  </conditionalFormatting>
  <conditionalFormatting sqref="Q84:Q91">
    <cfRule type="cellIs" dxfId="13488" priority="100" operator="lessThan">
      <formula>0</formula>
    </cfRule>
  </conditionalFormatting>
  <conditionalFormatting sqref="P84:P91">
    <cfRule type="cellIs" dxfId="13487" priority="101" operator="greaterThan">
      <formula>0</formula>
    </cfRule>
  </conditionalFormatting>
  <conditionalFormatting sqref="R84:R91">
    <cfRule type="cellIs" dxfId="13486" priority="104" operator="lessThan">
      <formula>0.8</formula>
    </cfRule>
    <cfRule type="cellIs" dxfId="13485" priority="105" operator="greaterThan">
      <formula>1</formula>
    </cfRule>
  </conditionalFormatting>
  <conditionalFormatting sqref="R84:R91">
    <cfRule type="cellIs" dxfId="13484" priority="102" operator="greaterThan">
      <formula>1</formula>
    </cfRule>
    <cfRule type="cellIs" dxfId="13483" priority="103" operator="lessThan">
      <formula>0.8</formula>
    </cfRule>
  </conditionalFormatting>
  <conditionalFormatting sqref="Q84:Q91">
    <cfRule type="cellIs" dxfId="13482" priority="94" operator="lessThan">
      <formula>0</formula>
    </cfRule>
  </conditionalFormatting>
  <conditionalFormatting sqref="R84:R91">
    <cfRule type="cellIs" dxfId="13481" priority="98" operator="lessThan">
      <formula>0.8</formula>
    </cfRule>
    <cfRule type="cellIs" dxfId="13480" priority="99" operator="greaterThan">
      <formula>1</formula>
    </cfRule>
  </conditionalFormatting>
  <conditionalFormatting sqref="R84:R91">
    <cfRule type="cellIs" dxfId="13479" priority="96" operator="greaterThan">
      <formula>1</formula>
    </cfRule>
    <cfRule type="cellIs" dxfId="13478" priority="97" operator="lessThan">
      <formula>0.8</formula>
    </cfRule>
  </conditionalFormatting>
  <conditionalFormatting sqref="P84:P91">
    <cfRule type="cellIs" dxfId="13477" priority="95" operator="greaterThan">
      <formula>0</formula>
    </cfRule>
  </conditionalFormatting>
  <conditionalFormatting sqref="Q84:Q91">
    <cfRule type="cellIs" dxfId="13476" priority="93" operator="lessThan">
      <formula>0</formula>
    </cfRule>
  </conditionalFormatting>
  <conditionalFormatting sqref="R84:R91">
    <cfRule type="cellIs" dxfId="13475" priority="91" operator="lessThan">
      <formula>0.8</formula>
    </cfRule>
    <cfRule type="cellIs" dxfId="13474" priority="92" operator="greaterThan">
      <formula>1</formula>
    </cfRule>
  </conditionalFormatting>
  <conditionalFormatting sqref="R84:R91">
    <cfRule type="cellIs" dxfId="13473" priority="89" operator="greaterThan">
      <formula>1</formula>
    </cfRule>
    <cfRule type="cellIs" dxfId="13472" priority="90" operator="lessThan">
      <formula>0.8</formula>
    </cfRule>
  </conditionalFormatting>
  <conditionalFormatting sqref="P84:P91">
    <cfRule type="cellIs" dxfId="13471" priority="88" operator="greaterThan">
      <formula>0</formula>
    </cfRule>
  </conditionalFormatting>
  <conditionalFormatting sqref="Q84:Q91">
    <cfRule type="cellIs" dxfId="13470" priority="87" operator="lessThan">
      <formula>0</formula>
    </cfRule>
  </conditionalFormatting>
  <conditionalFormatting sqref="R84:R91">
    <cfRule type="cellIs" dxfId="13469" priority="85" operator="lessThan">
      <formula>0.8</formula>
    </cfRule>
    <cfRule type="cellIs" dxfId="13468" priority="86" operator="greaterThan">
      <formula>1</formula>
    </cfRule>
  </conditionalFormatting>
  <conditionalFormatting sqref="R84:R91">
    <cfRule type="cellIs" dxfId="13467" priority="83" operator="greaterThan">
      <formula>1</formula>
    </cfRule>
    <cfRule type="cellIs" dxfId="13466" priority="84" operator="lessThan">
      <formula>0.8</formula>
    </cfRule>
  </conditionalFormatting>
  <conditionalFormatting sqref="P84:P91">
    <cfRule type="cellIs" dxfId="13465" priority="82" operator="greaterThan">
      <formula>0</formula>
    </cfRule>
  </conditionalFormatting>
  <conditionalFormatting sqref="Q84:Q91">
    <cfRule type="cellIs" dxfId="13464" priority="81" operator="lessThan">
      <formula>0</formula>
    </cfRule>
  </conditionalFormatting>
  <conditionalFormatting sqref="R84:R91">
    <cfRule type="cellIs" dxfId="13463" priority="79" operator="lessThan">
      <formula>0.8</formula>
    </cfRule>
    <cfRule type="cellIs" dxfId="13462" priority="80" operator="greaterThan">
      <formula>1</formula>
    </cfRule>
  </conditionalFormatting>
  <conditionalFormatting sqref="R84:R91">
    <cfRule type="cellIs" dxfId="13461" priority="77" operator="greaterThan">
      <formula>1</formula>
    </cfRule>
    <cfRule type="cellIs" dxfId="13460" priority="78" operator="lessThan">
      <formula>0.8</formula>
    </cfRule>
  </conditionalFormatting>
  <conditionalFormatting sqref="P84:P91">
    <cfRule type="cellIs" dxfId="13459" priority="76" operator="greaterThan">
      <formula>0</formula>
    </cfRule>
  </conditionalFormatting>
  <conditionalFormatting sqref="Q162:Q166">
    <cfRule type="cellIs" dxfId="13458" priority="75" operator="lessThan">
      <formula>0</formula>
    </cfRule>
  </conditionalFormatting>
  <conditionalFormatting sqref="R162:R166">
    <cfRule type="cellIs" dxfId="13457" priority="73" operator="lessThan">
      <formula>0.8</formula>
    </cfRule>
    <cfRule type="cellIs" dxfId="13456" priority="74" operator="greaterThan">
      <formula>1</formula>
    </cfRule>
  </conditionalFormatting>
  <conditionalFormatting sqref="R162:R166">
    <cfRule type="cellIs" dxfId="13455" priority="71" operator="greaterThan">
      <formula>1</formula>
    </cfRule>
    <cfRule type="cellIs" dxfId="13454" priority="72" operator="lessThan">
      <formula>0.8</formula>
    </cfRule>
  </conditionalFormatting>
  <conditionalFormatting sqref="P162:P166">
    <cfRule type="cellIs" dxfId="13453" priority="70" operator="greaterThan">
      <formula>0</formula>
    </cfRule>
  </conditionalFormatting>
  <conditionalFormatting sqref="P167:P168">
    <cfRule type="cellIs" dxfId="13452" priority="64" operator="greaterThan">
      <formula>0</formula>
    </cfRule>
  </conditionalFormatting>
  <conditionalFormatting sqref="R167:R168">
    <cfRule type="cellIs" dxfId="13451" priority="67" operator="lessThan">
      <formula>0.8</formula>
    </cfRule>
    <cfRule type="cellIs" dxfId="13450" priority="68" operator="greaterThan">
      <formula>1</formula>
    </cfRule>
  </conditionalFormatting>
  <conditionalFormatting sqref="R167:R168">
    <cfRule type="cellIs" dxfId="13449" priority="65" operator="greaterThan">
      <formula>1</formula>
    </cfRule>
    <cfRule type="cellIs" dxfId="13448" priority="66" operator="lessThan">
      <formula>0.8</formula>
    </cfRule>
  </conditionalFormatting>
  <conditionalFormatting sqref="Q167:Q168">
    <cfRule type="cellIs" dxfId="13447" priority="69" operator="lessThan">
      <formula>0</formula>
    </cfRule>
  </conditionalFormatting>
  <conditionalFormatting sqref="Q161">
    <cfRule type="cellIs" dxfId="13446" priority="63" operator="lessThan">
      <formula>0</formula>
    </cfRule>
  </conditionalFormatting>
  <conditionalFormatting sqref="R161">
    <cfRule type="cellIs" dxfId="13445" priority="61" operator="lessThan">
      <formula>0.8</formula>
    </cfRule>
    <cfRule type="cellIs" dxfId="13444" priority="62" operator="greaterThan">
      <formula>1</formula>
    </cfRule>
  </conditionalFormatting>
  <conditionalFormatting sqref="R161">
    <cfRule type="cellIs" dxfId="13443" priority="59" operator="greaterThan">
      <formula>1</formula>
    </cfRule>
    <cfRule type="cellIs" dxfId="13442" priority="60" operator="lessThan">
      <formula>0.8</formula>
    </cfRule>
  </conditionalFormatting>
  <conditionalFormatting sqref="P161">
    <cfRule type="cellIs" dxfId="13441" priority="58" operator="greaterThan">
      <formula>0</formula>
    </cfRule>
  </conditionalFormatting>
  <conditionalFormatting sqref="Q162:Q166">
    <cfRule type="cellIs" dxfId="13440" priority="57" operator="lessThan">
      <formula>0</formula>
    </cfRule>
  </conditionalFormatting>
  <conditionalFormatting sqref="R162:R166">
    <cfRule type="cellIs" dxfId="13439" priority="55" operator="lessThan">
      <formula>0.8</formula>
    </cfRule>
    <cfRule type="cellIs" dxfId="13438" priority="56" operator="greaterThan">
      <formula>1</formula>
    </cfRule>
  </conditionalFormatting>
  <conditionalFormatting sqref="R162:R166">
    <cfRule type="cellIs" dxfId="13437" priority="53" operator="greaterThan">
      <formula>1</formula>
    </cfRule>
    <cfRule type="cellIs" dxfId="13436" priority="54" operator="lessThan">
      <formula>0.8</formula>
    </cfRule>
  </conditionalFormatting>
  <conditionalFormatting sqref="P162:P166">
    <cfRule type="cellIs" dxfId="13435" priority="52" operator="greaterThan">
      <formula>0</formula>
    </cfRule>
  </conditionalFormatting>
  <conditionalFormatting sqref="Q162:Q166">
    <cfRule type="cellIs" dxfId="13434" priority="51" operator="lessThan">
      <formula>0</formula>
    </cfRule>
  </conditionalFormatting>
  <conditionalFormatting sqref="R162:R166">
    <cfRule type="cellIs" dxfId="13433" priority="49" operator="lessThan">
      <formula>0.8</formula>
    </cfRule>
    <cfRule type="cellIs" dxfId="13432" priority="50" operator="greaterThan">
      <formula>1</formula>
    </cfRule>
  </conditionalFormatting>
  <conditionalFormatting sqref="R162:R166">
    <cfRule type="cellIs" dxfId="13431" priority="47" operator="greaterThan">
      <formula>1</formula>
    </cfRule>
    <cfRule type="cellIs" dxfId="13430" priority="48" operator="lessThan">
      <formula>0.8</formula>
    </cfRule>
  </conditionalFormatting>
  <conditionalFormatting sqref="P162:P166">
    <cfRule type="cellIs" dxfId="13429" priority="46" operator="greaterThan">
      <formula>0</formula>
    </cfRule>
  </conditionalFormatting>
  <conditionalFormatting sqref="Q167:Q168">
    <cfRule type="cellIs" dxfId="13428" priority="45" operator="lessThan">
      <formula>0</formula>
    </cfRule>
  </conditionalFormatting>
  <conditionalFormatting sqref="R167:R168">
    <cfRule type="cellIs" dxfId="13427" priority="43" operator="lessThan">
      <formula>0.8</formula>
    </cfRule>
    <cfRule type="cellIs" dxfId="13426" priority="44" operator="greaterThan">
      <formula>1</formula>
    </cfRule>
  </conditionalFormatting>
  <conditionalFormatting sqref="R167:R168">
    <cfRule type="cellIs" dxfId="13425" priority="41" operator="greaterThan">
      <formula>1</formula>
    </cfRule>
    <cfRule type="cellIs" dxfId="13424" priority="42" operator="lessThan">
      <formula>0.8</formula>
    </cfRule>
  </conditionalFormatting>
  <conditionalFormatting sqref="P167:P168">
    <cfRule type="cellIs" dxfId="13423" priority="40" operator="greaterThan">
      <formula>0</formula>
    </cfRule>
  </conditionalFormatting>
  <conditionalFormatting sqref="Q161">
    <cfRule type="cellIs" dxfId="13422" priority="39" operator="lessThan">
      <formula>0</formula>
    </cfRule>
  </conditionalFormatting>
  <conditionalFormatting sqref="R161">
    <cfRule type="cellIs" dxfId="13421" priority="37" operator="lessThan">
      <formula>0.8</formula>
    </cfRule>
    <cfRule type="cellIs" dxfId="13420" priority="38" operator="greaterThan">
      <formula>1</formula>
    </cfRule>
  </conditionalFormatting>
  <conditionalFormatting sqref="R161">
    <cfRule type="cellIs" dxfId="13419" priority="35" operator="greaterThan">
      <formula>1</formula>
    </cfRule>
    <cfRule type="cellIs" dxfId="13418" priority="36" operator="lessThan">
      <formula>0.8</formula>
    </cfRule>
  </conditionalFormatting>
  <conditionalFormatting sqref="P161">
    <cfRule type="cellIs" dxfId="13417" priority="34" operator="greaterThan">
      <formula>0</formula>
    </cfRule>
  </conditionalFormatting>
  <conditionalFormatting sqref="Q162:Q166">
    <cfRule type="cellIs" dxfId="13416" priority="33" operator="lessThan">
      <formula>0</formula>
    </cfRule>
  </conditionalFormatting>
  <conditionalFormatting sqref="R162:R166">
    <cfRule type="cellIs" dxfId="13415" priority="31" operator="lessThan">
      <formula>0.8</formula>
    </cfRule>
    <cfRule type="cellIs" dxfId="13414" priority="32" operator="greaterThan">
      <formula>1</formula>
    </cfRule>
  </conditionalFormatting>
  <conditionalFormatting sqref="R162:R166">
    <cfRule type="cellIs" dxfId="13413" priority="29" operator="greaterThan">
      <formula>1</formula>
    </cfRule>
    <cfRule type="cellIs" dxfId="13412" priority="30" operator="lessThan">
      <formula>0.8</formula>
    </cfRule>
  </conditionalFormatting>
  <conditionalFormatting sqref="P162:P166">
    <cfRule type="cellIs" dxfId="13411" priority="28" operator="greaterThan">
      <formula>0</formula>
    </cfRule>
  </conditionalFormatting>
  <conditionalFormatting sqref="Q161">
    <cfRule type="cellIs" dxfId="13410" priority="27" operator="lessThan">
      <formula>0</formula>
    </cfRule>
  </conditionalFormatting>
  <conditionalFormatting sqref="R161">
    <cfRule type="cellIs" dxfId="13409" priority="25" operator="lessThan">
      <formula>0.8</formula>
    </cfRule>
    <cfRule type="cellIs" dxfId="13408" priority="26" operator="greaterThan">
      <formula>1</formula>
    </cfRule>
  </conditionalFormatting>
  <conditionalFormatting sqref="R161">
    <cfRule type="cellIs" dxfId="13407" priority="23" operator="greaterThan">
      <formula>1</formula>
    </cfRule>
    <cfRule type="cellIs" dxfId="13406" priority="24" operator="lessThan">
      <formula>0.8</formula>
    </cfRule>
  </conditionalFormatting>
  <conditionalFormatting sqref="P161">
    <cfRule type="cellIs" dxfId="13405" priority="22" operator="greaterThan">
      <formula>0</formula>
    </cfRule>
  </conditionalFormatting>
  <conditionalFormatting sqref="Q162:Q166">
    <cfRule type="cellIs" dxfId="13404" priority="21" operator="lessThan">
      <formula>0</formula>
    </cfRule>
  </conditionalFormatting>
  <conditionalFormatting sqref="R162:R166">
    <cfRule type="cellIs" dxfId="13403" priority="19" operator="lessThan">
      <formula>0.8</formula>
    </cfRule>
    <cfRule type="cellIs" dxfId="13402" priority="20" operator="greaterThan">
      <formula>1</formula>
    </cfRule>
  </conditionalFormatting>
  <conditionalFormatting sqref="R162:R166">
    <cfRule type="cellIs" dxfId="13401" priority="17" operator="greaterThan">
      <formula>1</formula>
    </cfRule>
    <cfRule type="cellIs" dxfId="13400" priority="18" operator="lessThan">
      <formula>0.8</formula>
    </cfRule>
  </conditionalFormatting>
  <conditionalFormatting sqref="P162:P166">
    <cfRule type="cellIs" dxfId="13399" priority="16" operator="greaterThan">
      <formula>0</formula>
    </cfRule>
  </conditionalFormatting>
  <conditionalFormatting sqref="Q161">
    <cfRule type="cellIs" dxfId="13398" priority="15" operator="lessThan">
      <formula>0</formula>
    </cfRule>
  </conditionalFormatting>
  <conditionalFormatting sqref="R161">
    <cfRule type="cellIs" dxfId="13397" priority="13" operator="lessThan">
      <formula>0.8</formula>
    </cfRule>
    <cfRule type="cellIs" dxfId="13396" priority="14" operator="greaterThan">
      <formula>1</formula>
    </cfRule>
  </conditionalFormatting>
  <conditionalFormatting sqref="R161">
    <cfRule type="cellIs" dxfId="13395" priority="11" operator="greaterThan">
      <formula>1</formula>
    </cfRule>
    <cfRule type="cellIs" dxfId="13394" priority="12" operator="lessThan">
      <formula>0.8</formula>
    </cfRule>
  </conditionalFormatting>
  <conditionalFormatting sqref="P161">
    <cfRule type="cellIs" dxfId="13393" priority="10" operator="greaterThan">
      <formula>0</formula>
    </cfRule>
  </conditionalFormatting>
  <conditionalFormatting sqref="P167:P168">
    <cfRule type="cellIs" dxfId="13392" priority="4" operator="greaterThan">
      <formula>0</formula>
    </cfRule>
  </conditionalFormatting>
  <conditionalFormatting sqref="R167:R168">
    <cfRule type="cellIs" dxfId="13391" priority="7" operator="lessThan">
      <formula>0.8</formula>
    </cfRule>
    <cfRule type="cellIs" dxfId="13390" priority="8" operator="greaterThan">
      <formula>1</formula>
    </cfRule>
  </conditionalFormatting>
  <conditionalFormatting sqref="R167:R168">
    <cfRule type="cellIs" dxfId="13389" priority="5" operator="greaterThan">
      <formula>1</formula>
    </cfRule>
    <cfRule type="cellIs" dxfId="13388" priority="6" operator="lessThan">
      <formula>0.8</formula>
    </cfRule>
  </conditionalFormatting>
  <conditionalFormatting sqref="Q167:Q168">
    <cfRule type="cellIs" dxfId="13387" priority="9" operator="lessThan">
      <formula>0</formula>
    </cfRule>
  </conditionalFormatting>
  <conditionalFormatting sqref="AF30">
    <cfRule type="cellIs" dxfId="13386" priority="3" operator="lessThan">
      <formula>0</formula>
    </cfRule>
  </conditionalFormatting>
  <conditionalFormatting sqref="AG30">
    <cfRule type="cellIs" dxfId="13385" priority="1" operator="greaterThan">
      <formula>1</formula>
    </cfRule>
    <cfRule type="cellIs" dxfId="1338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29" sqref="P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253</v>
      </c>
      <c r="E3" s="501"/>
      <c r="F3" s="491" t="s">
        <v>2</v>
      </c>
      <c r="G3" s="492"/>
      <c r="H3" s="502">
        <v>196298</v>
      </c>
      <c r="I3" s="503"/>
      <c r="J3" s="491" t="s">
        <v>3</v>
      </c>
      <c r="K3" s="492"/>
      <c r="L3" s="504">
        <v>6250442.4898622744</v>
      </c>
      <c r="M3" s="505"/>
      <c r="N3" s="3"/>
    </row>
    <row r="4" spans="2:17" ht="24" customHeight="1">
      <c r="B4" s="491" t="s">
        <v>254</v>
      </c>
      <c r="C4" s="492"/>
      <c r="D4" s="483" t="s">
        <v>254</v>
      </c>
      <c r="E4" s="484"/>
      <c r="F4" s="495" t="s">
        <v>255</v>
      </c>
      <c r="G4" s="496"/>
      <c r="H4" s="495" t="s">
        <v>256</v>
      </c>
      <c r="I4" s="496"/>
      <c r="J4" s="495" t="s">
        <v>257</v>
      </c>
      <c r="K4" s="496"/>
      <c r="L4" s="495" t="s">
        <v>258</v>
      </c>
      <c r="M4" s="496"/>
      <c r="N4" s="475" t="s">
        <v>259</v>
      </c>
      <c r="O4" s="476"/>
      <c r="P4" s="476" t="s">
        <v>260</v>
      </c>
      <c r="Q4" s="476"/>
    </row>
    <row r="5" spans="2:17" ht="24" customHeight="1">
      <c r="B5" s="477" t="s">
        <v>75</v>
      </c>
      <c r="C5" s="478"/>
      <c r="D5" s="483" t="s">
        <v>261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378.75190174258967</v>
      </c>
      <c r="G6" s="494"/>
      <c r="H6" s="469">
        <f>AVERAGE(D13:P13,Q13)</f>
        <v>138.39584559549797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f>[1]晉欣4度C0306!$Z$2</f>
        <v>0</v>
      </c>
      <c r="O6" s="458">
        <f>[1]晉欣4度C0306!$AA$2</f>
        <v>0</v>
      </c>
      <c r="P6" s="474">
        <f>[1]晉欣4度C0306!$AD$2</f>
        <v>2</v>
      </c>
      <c r="Q6" s="458">
        <f>[1]晉欣4度C0306!$AE$2</f>
        <v>1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352.16773145320383</v>
      </c>
      <c r="G7" s="462"/>
      <c r="H7" s="463">
        <f>AVERAGE(D14:P14,Q14)</f>
        <v>123.48302698360177</v>
      </c>
      <c r="I7" s="464"/>
      <c r="J7" s="463">
        <f>AVERAGE(D31:H31)</f>
        <v>768.29515009873853</v>
      </c>
      <c r="K7" s="464"/>
      <c r="L7" s="465">
        <f>AVERAGE(J31:M31)</f>
        <v>764.55794042154093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0.90301561350074588</v>
      </c>
      <c r="G8" s="468"/>
      <c r="H8" s="467">
        <f>AVERAGE(D15:O15,P15:Q15)</f>
        <v>0.88706760237128601</v>
      </c>
      <c r="I8" s="468"/>
      <c r="J8" s="467">
        <f>AVERAGE(D32:H32)</f>
        <v>1.0012025313658146</v>
      </c>
      <c r="K8" s="468"/>
      <c r="L8" s="467">
        <f>AVERAGE(J32:M32)</f>
        <v>0.86695200450878285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90.197749275148652</v>
      </c>
      <c r="J13" s="15">
        <v>76.991638760767472</v>
      </c>
      <c r="K13" s="15">
        <v>117.24074074074075</v>
      </c>
      <c r="L13" s="15">
        <v>85.918311403508767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122.12674905021601</v>
      </c>
      <c r="E14" s="15">
        <v>90.014767912146183</v>
      </c>
      <c r="F14" s="15">
        <v>122.1382544182208</v>
      </c>
      <c r="G14" s="15">
        <v>316.76788422560975</v>
      </c>
      <c r="H14" s="15">
        <v>209.77072272437272</v>
      </c>
      <c r="I14" s="15">
        <v>77.25391867289818</v>
      </c>
      <c r="J14" s="15">
        <v>63.824363163175967</v>
      </c>
      <c r="K14" s="15">
        <v>102.88643032942251</v>
      </c>
      <c r="L14" s="15">
        <v>71.866441476392694</v>
      </c>
      <c r="M14" s="15">
        <v>71.730135761952184</v>
      </c>
      <c r="N14" s="15">
        <v>76.284865898275612</v>
      </c>
      <c r="O14" s="15">
        <v>71.516458133162587</v>
      </c>
      <c r="P14" s="15">
        <v>190.65456931250003</v>
      </c>
      <c r="Q14" s="16">
        <v>141.92681669207974</v>
      </c>
    </row>
    <row r="15" spans="2:17" ht="39.9" customHeight="1">
      <c r="B15" s="446"/>
      <c r="C15" s="10" t="s">
        <v>44</v>
      </c>
      <c r="D15" s="17">
        <f t="shared" ref="D15:P15" si="0">D14/D13</f>
        <v>0.93560190546210587</v>
      </c>
      <c r="E15" s="17">
        <f t="shared" si="0"/>
        <v>0.898219149770484</v>
      </c>
      <c r="F15" s="17">
        <f t="shared" si="0"/>
        <v>0.88868423285428511</v>
      </c>
      <c r="G15" s="17">
        <f t="shared" si="0"/>
        <v>0.85961433982526392</v>
      </c>
      <c r="H15" s="17">
        <f t="shared" si="0"/>
        <v>0.9177469119191306</v>
      </c>
      <c r="I15" s="17">
        <f t="shared" si="0"/>
        <v>0.85649497125737295</v>
      </c>
      <c r="J15" s="17">
        <f t="shared" si="0"/>
        <v>0.82897784993893209</v>
      </c>
      <c r="K15" s="17">
        <f t="shared" si="0"/>
        <v>0.87756550904893627</v>
      </c>
      <c r="L15" s="17">
        <f t="shared" si="0"/>
        <v>0.83645081359755147</v>
      </c>
      <c r="M15" s="17">
        <f t="shared" si="0"/>
        <v>0.88182406785692613</v>
      </c>
      <c r="N15" s="17">
        <f t="shared" si="0"/>
        <v>0.91080033899415525</v>
      </c>
      <c r="O15" s="17">
        <f t="shared" si="0"/>
        <v>0.83140651655781816</v>
      </c>
      <c r="P15" s="17">
        <f t="shared" si="0"/>
        <v>0.94938104816784286</v>
      </c>
      <c r="Q15" s="18">
        <f>Q14/Q13</f>
        <v>0.94617877794719829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0.73055555555555562</v>
      </c>
      <c r="E17" s="19">
        <v>0.4277777777777777</v>
      </c>
      <c r="F17" s="19">
        <v>0.51527777777777761</v>
      </c>
      <c r="G17" s="19">
        <v>0.62083333333333324</v>
      </c>
      <c r="H17" s="19">
        <v>0.60416666666666663</v>
      </c>
      <c r="I17" s="19">
        <v>0.72777777777777786</v>
      </c>
      <c r="J17" s="19">
        <v>0.78819444444444442</v>
      </c>
      <c r="K17" s="19">
        <v>0.76597222222222228</v>
      </c>
      <c r="L17" s="19">
        <v>0.83125000000000004</v>
      </c>
      <c r="M17" s="19">
        <v>0.91180555555555554</v>
      </c>
      <c r="N17" s="19">
        <v>0.96250000000000002</v>
      </c>
      <c r="O17" s="19">
        <v>0.84236111111111112</v>
      </c>
      <c r="P17" s="19">
        <v>0.55069444444444449</v>
      </c>
      <c r="Q17" s="20">
        <v>0.57638888888888895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>
        <v>1</v>
      </c>
      <c r="P20" s="21">
        <v>1</v>
      </c>
      <c r="Q20" s="22"/>
    </row>
    <row r="21" spans="2:17" ht="22.8" customHeight="1">
      <c r="B21" s="451"/>
      <c r="C21" s="45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8" customHeight="1">
      <c r="B22" s="428" t="s">
        <v>51</v>
      </c>
      <c r="C22" s="429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16.714285714285715</v>
      </c>
      <c r="J22" s="23">
        <v>19.142857142857142</v>
      </c>
      <c r="K22" s="23">
        <v>15.166666666666666</v>
      </c>
      <c r="L22" s="23">
        <v>17.666666666666668</v>
      </c>
      <c r="M22" s="23">
        <v>19.125</v>
      </c>
      <c r="N22" s="23">
        <v>17.833333333333332</v>
      </c>
      <c r="O22" s="23">
        <v>17.600000000000001</v>
      </c>
      <c r="P22" s="23">
        <v>11.8</v>
      </c>
      <c r="Q22" s="24">
        <v>11.3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282.86538461538464</v>
      </c>
      <c r="E31" s="15">
        <v>713.54439378893176</v>
      </c>
      <c r="F31" s="15">
        <v>950.11904761904816</v>
      </c>
      <c r="G31" s="15">
        <v>880.77979797979765</v>
      </c>
      <c r="H31" s="41">
        <v>1014.1671264905301</v>
      </c>
      <c r="I31" s="42">
        <v>0</v>
      </c>
      <c r="J31" s="15">
        <v>690.74999999999875</v>
      </c>
      <c r="K31" s="15">
        <v>609.79031339031428</v>
      </c>
      <c r="L31" s="15">
        <v>901.97594418375832</v>
      </c>
      <c r="M31" s="16">
        <v>855.7155041120925</v>
      </c>
    </row>
    <row r="32" spans="2:17" ht="39.9" customHeight="1">
      <c r="B32" s="446"/>
      <c r="C32" s="43" t="s">
        <v>44</v>
      </c>
      <c r="D32" s="17">
        <f t="shared" ref="D32:M32" si="1">D31/D30</f>
        <v>0.88395432692307696</v>
      </c>
      <c r="E32" s="17">
        <f t="shared" si="1"/>
        <v>0.86490229550173547</v>
      </c>
      <c r="F32" s="17">
        <f t="shared" si="1"/>
        <v>1.1516594516594523</v>
      </c>
      <c r="G32" s="17">
        <f t="shared" si="1"/>
        <v>0.97864421997755291</v>
      </c>
      <c r="H32" s="44">
        <f t="shared" si="1"/>
        <v>1.1268523627672558</v>
      </c>
      <c r="I32" s="45">
        <f t="shared" si="1"/>
        <v>0</v>
      </c>
      <c r="J32" s="17">
        <f t="shared" si="1"/>
        <v>0.83727272727272573</v>
      </c>
      <c r="K32" s="17">
        <f t="shared" si="1"/>
        <v>0.67754479265590473</v>
      </c>
      <c r="L32" s="17">
        <f t="shared" si="1"/>
        <v>1.0021954935375093</v>
      </c>
      <c r="M32" s="18">
        <f t="shared" si="1"/>
        <v>0.95079500456899169</v>
      </c>
    </row>
    <row r="33" spans="2:13" ht="25.8" customHeight="1">
      <c r="B33" s="447" t="s">
        <v>45</v>
      </c>
      <c r="C33" s="43" t="s">
        <v>46</v>
      </c>
      <c r="D33" s="19">
        <v>0.17361111111111113</v>
      </c>
      <c r="E33" s="19">
        <v>0.18055555555555555</v>
      </c>
      <c r="F33" s="19">
        <v>0.17361111111111113</v>
      </c>
      <c r="G33" s="19">
        <v>3208.8000000000011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0.21666666666666667</v>
      </c>
      <c r="E34" s="19">
        <v>0.33263888888888887</v>
      </c>
      <c r="F34" s="19">
        <v>0.22777777777777777</v>
      </c>
      <c r="G34" s="19">
        <v>1083.5555555555554</v>
      </c>
      <c r="H34" s="46">
        <v>0.39444444444444443</v>
      </c>
      <c r="I34" s="47">
        <v>0</v>
      </c>
      <c r="J34" s="19">
        <v>0.82986111111111116</v>
      </c>
      <c r="K34" s="19">
        <v>0.84375</v>
      </c>
      <c r="L34" s="19">
        <v>46088.065972222219</v>
      </c>
      <c r="M34" s="20">
        <v>0.90625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45" priority="6" operator="lessThan">
      <formula>0.8</formula>
    </cfRule>
  </conditionalFormatting>
  <conditionalFormatting sqref="M32">
    <cfRule type="cellIs" dxfId="23444" priority="5" operator="lessThan">
      <formula>0.8</formula>
    </cfRule>
  </conditionalFormatting>
  <conditionalFormatting sqref="K32">
    <cfRule type="cellIs" dxfId="23443" priority="4" operator="lessThan">
      <formula>0.8</formula>
    </cfRule>
  </conditionalFormatting>
  <conditionalFormatting sqref="E32">
    <cfRule type="cellIs" dxfId="23442" priority="3" operator="lessThan">
      <formula>0.8</formula>
    </cfRule>
  </conditionalFormatting>
  <conditionalFormatting sqref="D15:P15">
    <cfRule type="cellIs" dxfId="23441" priority="2" operator="lessThan">
      <formula>0.8</formula>
    </cfRule>
  </conditionalFormatting>
  <conditionalFormatting sqref="Q15">
    <cfRule type="cellIs" dxfId="2344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N33" sqref="N33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73013</v>
      </c>
      <c r="F1" s="340" t="s">
        <v>3</v>
      </c>
      <c r="G1" s="341">
        <f>SUM(H5:H124)</f>
        <v>1388792.3321203964</v>
      </c>
      <c r="H1" s="342" t="s">
        <v>390</v>
      </c>
      <c r="I1" s="343">
        <f>+J16+J64+J24+J38+J51+J81+J100+J91+J57+J124+J111</f>
        <v>41.783333333333331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404</v>
      </c>
      <c r="B2" s="561"/>
      <c r="C2" s="345"/>
      <c r="D2" s="346" t="s">
        <v>278</v>
      </c>
      <c r="E2" s="347">
        <f>AVERAGE(L16,L24,L38,L51,L100,L111,L91)</f>
        <v>612.99598575564505</v>
      </c>
      <c r="F2" s="348" t="s">
        <v>80</v>
      </c>
      <c r="G2" s="349">
        <f>G1/E1</f>
        <v>19.021165164017319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1600</v>
      </c>
      <c r="H5" s="358">
        <f>F5*G5</f>
        <v>47944.789510006893</v>
      </c>
      <c r="I5" s="359"/>
      <c r="J5" s="360">
        <v>13</v>
      </c>
      <c r="K5" s="361">
        <f t="shared" ref="K5:K12" si="0">G5/P5*60</f>
        <v>1200.0000000000007</v>
      </c>
      <c r="L5" s="362">
        <f t="shared" ref="L5:L12" si="1">K5/J5</f>
        <v>92.307692307692363</v>
      </c>
      <c r="M5" s="363">
        <v>0.17361111111111113</v>
      </c>
      <c r="N5" s="363">
        <v>0.22916666666666666</v>
      </c>
      <c r="O5" s="354">
        <v>10</v>
      </c>
      <c r="P5" s="364">
        <f t="shared" ref="P5:P14" si="2">(N5-M5)*24*60</f>
        <v>79.999999999999957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1072</v>
      </c>
      <c r="H6" s="358">
        <f t="shared" ref="H6:H113" si="3">F6*G6</f>
        <v>0</v>
      </c>
      <c r="I6" s="359"/>
      <c r="J6" s="360">
        <v>9</v>
      </c>
      <c r="K6" s="361">
        <f t="shared" si="0"/>
        <v>1608.0000000000009</v>
      </c>
      <c r="L6" s="362">
        <f t="shared" si="1"/>
        <v>178.66666666666677</v>
      </c>
      <c r="M6" s="363">
        <v>0.23611111111111113</v>
      </c>
      <c r="N6" s="363">
        <v>0.2638888888888889</v>
      </c>
      <c r="O6" s="354">
        <v>5</v>
      </c>
      <c r="P6" s="364">
        <f t="shared" si="2"/>
        <v>39.999999999999979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1099</v>
      </c>
      <c r="H7" s="358">
        <f t="shared" si="3"/>
        <v>0</v>
      </c>
      <c r="I7" s="359"/>
      <c r="J7" s="360">
        <v>9</v>
      </c>
      <c r="K7" s="361">
        <f t="shared" si="0"/>
        <v>1648.4999999999995</v>
      </c>
      <c r="L7" s="362">
        <f t="shared" si="1"/>
        <v>183.16666666666663</v>
      </c>
      <c r="M7" s="363">
        <v>0.2673611111111111</v>
      </c>
      <c r="N7" s="363">
        <v>0.2951388888888889</v>
      </c>
      <c r="O7" s="354">
        <v>5</v>
      </c>
      <c r="P7" s="364">
        <f t="shared" si="2"/>
        <v>40.000000000000014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1493</v>
      </c>
      <c r="H8" s="358">
        <f t="shared" si="3"/>
        <v>54419.850000000006</v>
      </c>
      <c r="I8" s="359"/>
      <c r="J8" s="360">
        <v>13</v>
      </c>
      <c r="K8" s="361">
        <f t="shared" si="0"/>
        <v>1493.0000000000014</v>
      </c>
      <c r="L8" s="362">
        <f t="shared" si="1"/>
        <v>114.84615384615395</v>
      </c>
      <c r="M8" s="363">
        <v>0.2986111111111111</v>
      </c>
      <c r="N8" s="363">
        <v>0.34027777777777773</v>
      </c>
      <c r="O8" s="354">
        <v>5</v>
      </c>
      <c r="P8" s="364">
        <f t="shared" si="2"/>
        <v>59.999999999999943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386</v>
      </c>
      <c r="H9" s="358">
        <f t="shared" si="3"/>
        <v>10441.300000000001</v>
      </c>
      <c r="I9" s="359"/>
      <c r="J9" s="360">
        <v>13</v>
      </c>
      <c r="K9" s="361">
        <f t="shared" si="0"/>
        <v>1543.9999999999973</v>
      </c>
      <c r="L9" s="362">
        <f t="shared" si="1"/>
        <v>118.76923076923056</v>
      </c>
      <c r="M9" s="363">
        <v>0.34375</v>
      </c>
      <c r="N9" s="363">
        <v>0.35416666666666669</v>
      </c>
      <c r="O9" s="354">
        <v>5</v>
      </c>
      <c r="P9" s="364">
        <f t="shared" si="2"/>
        <v>15.000000000000027</v>
      </c>
      <c r="Q9" s="365">
        <v>0.35416666666666669</v>
      </c>
      <c r="R9" s="365">
        <v>0.39583333333333331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1921</v>
      </c>
      <c r="H10" s="358">
        <f t="shared" si="3"/>
        <v>34328.270000000004</v>
      </c>
      <c r="I10" s="359"/>
      <c r="J10" s="360">
        <v>12</v>
      </c>
      <c r="K10" s="361">
        <f t="shared" si="0"/>
        <v>1213.2631578947362</v>
      </c>
      <c r="L10" s="362">
        <f t="shared" si="1"/>
        <v>101.10526315789468</v>
      </c>
      <c r="M10" s="363">
        <v>0.39583333333333331</v>
      </c>
      <c r="N10" s="363">
        <v>0.46180555555555558</v>
      </c>
      <c r="O10" s="354">
        <v>5</v>
      </c>
      <c r="P10" s="364">
        <f t="shared" si="2"/>
        <v>95.000000000000057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561</v>
      </c>
      <c r="H11" s="358">
        <f t="shared" si="3"/>
        <v>14384.04</v>
      </c>
      <c r="I11" s="359"/>
      <c r="J11" s="360">
        <v>10</v>
      </c>
      <c r="K11" s="361">
        <f t="shared" si="0"/>
        <v>1682.9999999999925</v>
      </c>
      <c r="L11" s="362">
        <f t="shared" si="1"/>
        <v>168.29999999999924</v>
      </c>
      <c r="M11" s="363">
        <v>0.46527777777777773</v>
      </c>
      <c r="N11" s="363">
        <v>0.47916666666666669</v>
      </c>
      <c r="O11" s="354">
        <v>5</v>
      </c>
      <c r="P11" s="364">
        <f t="shared" si="2"/>
        <v>20.000000000000089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1072</v>
      </c>
      <c r="H12" s="358">
        <f t="shared" si="3"/>
        <v>31645.439999999999</v>
      </c>
      <c r="I12" s="359"/>
      <c r="J12" s="360">
        <v>12</v>
      </c>
      <c r="K12" s="361">
        <f t="shared" si="0"/>
        <v>1837.7142857142878</v>
      </c>
      <c r="L12" s="362">
        <f t="shared" si="1"/>
        <v>153.14285714285731</v>
      </c>
      <c r="M12" s="363">
        <v>0.4826388888888889</v>
      </c>
      <c r="N12" s="363">
        <v>0.50694444444444442</v>
      </c>
      <c r="O12" s="354">
        <v>5</v>
      </c>
      <c r="P12" s="364">
        <f t="shared" si="2"/>
        <v>34.999999999999957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1099</v>
      </c>
      <c r="H13" s="358">
        <f t="shared" si="3"/>
        <v>32812.843000000001</v>
      </c>
      <c r="I13" s="359"/>
      <c r="J13" s="360">
        <v>12</v>
      </c>
      <c r="K13" s="361">
        <f>G13/P13*60</f>
        <v>1883.999999999998</v>
      </c>
      <c r="L13" s="362">
        <f>K13/J13</f>
        <v>156.99999999999983</v>
      </c>
      <c r="M13" s="363">
        <v>0.51041666666666663</v>
      </c>
      <c r="N13" s="363">
        <v>0.53472222222222221</v>
      </c>
      <c r="O13" s="354">
        <v>5</v>
      </c>
      <c r="P13" s="364">
        <f t="shared" si="2"/>
        <v>35.000000000000036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1393</v>
      </c>
      <c r="H14" s="358">
        <f t="shared" si="3"/>
        <v>39798.01</v>
      </c>
      <c r="I14" s="359"/>
      <c r="J14" s="360">
        <v>10</v>
      </c>
      <c r="K14" s="361">
        <f>G14/P14*60</f>
        <v>1519.6363636363601</v>
      </c>
      <c r="L14" s="362">
        <f>K14/J14</f>
        <v>151.963636363636</v>
      </c>
      <c r="M14" s="363">
        <v>0.53819444444444442</v>
      </c>
      <c r="N14" s="363">
        <v>0.57638888888888895</v>
      </c>
      <c r="O14" s="354">
        <v>5</v>
      </c>
      <c r="P14" s="364">
        <f t="shared" si="2"/>
        <v>55.000000000000128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11.3</v>
      </c>
      <c r="K16" s="375">
        <f>AVERAGE(K5:K15)</f>
        <v>1563.1113807245376</v>
      </c>
      <c r="L16" s="376">
        <f>AVERAGE(L5:L15)</f>
        <v>141.92681669207974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420</v>
      </c>
      <c r="H17" s="377">
        <f t="shared" ref="H17:H23" si="4">F17*G17</f>
        <v>5892.5999999999995</v>
      </c>
      <c r="I17" s="378"/>
      <c r="J17" s="360">
        <v>6</v>
      </c>
      <c r="K17" s="361">
        <f>G17/P17*60</f>
        <v>1575.0000000000018</v>
      </c>
      <c r="L17" s="362">
        <f>K17/J17</f>
        <v>262.50000000000028</v>
      </c>
      <c r="M17" s="363">
        <v>0.17361111111111113</v>
      </c>
      <c r="N17" s="363">
        <v>0.18472222222222223</v>
      </c>
      <c r="O17" s="354">
        <v>10</v>
      </c>
      <c r="P17" s="364">
        <f>(N17-M17)*24*60</f>
        <v>15.999999999999982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657</v>
      </c>
      <c r="H18" s="358">
        <f t="shared" si="4"/>
        <v>9519.93</v>
      </c>
      <c r="I18" s="359"/>
      <c r="J18" s="360">
        <v>5</v>
      </c>
      <c r="K18" s="361">
        <f>G18/P18*60</f>
        <v>1516.1538461538446</v>
      </c>
      <c r="L18" s="362">
        <f>K18/J18</f>
        <v>303.23076923076894</v>
      </c>
      <c r="M18" s="363">
        <v>0.1986111111111111</v>
      </c>
      <c r="N18" s="363">
        <v>0.21666666666666667</v>
      </c>
      <c r="O18" s="354">
        <v>20</v>
      </c>
      <c r="P18" s="364">
        <f t="shared" ref="P18" si="5">(N18-M18)*24*60</f>
        <v>26.000000000000028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1545.5769230769233</v>
      </c>
      <c r="L24" s="376">
        <f>AVERAGE(L17:L23)</f>
        <v>282.86538461538464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516</v>
      </c>
      <c r="H25" s="358">
        <f t="shared" ref="H25:H37" si="6">F25*G25</f>
        <v>11497.418181818182</v>
      </c>
      <c r="I25" s="359"/>
      <c r="J25" s="360">
        <v>4</v>
      </c>
      <c r="K25" s="361">
        <f t="shared" ref="K25:K28" si="7">G25/P25*60</f>
        <v>2814.5454545454545</v>
      </c>
      <c r="L25" s="362">
        <f t="shared" ref="L25:L28" si="8">K25/J25</f>
        <v>703.63636363636363</v>
      </c>
      <c r="M25" s="363">
        <v>0.18055555555555555</v>
      </c>
      <c r="N25" s="363">
        <v>0.18819444444444444</v>
      </c>
      <c r="O25" s="354">
        <v>20</v>
      </c>
      <c r="P25" s="364">
        <f t="shared" ref="P25:P28" si="9">(N25-M25)*24*60</f>
        <v>11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2505</v>
      </c>
      <c r="H26" s="358">
        <f t="shared" si="6"/>
        <v>45540.9</v>
      </c>
      <c r="I26" s="359"/>
      <c r="J26" s="360">
        <v>4</v>
      </c>
      <c r="K26" s="361">
        <f t="shared" si="7"/>
        <v>2835.8490566037708</v>
      </c>
      <c r="L26" s="362">
        <f t="shared" si="8"/>
        <v>708.9622641509427</v>
      </c>
      <c r="M26" s="363">
        <v>0.20208333333333331</v>
      </c>
      <c r="N26" s="363">
        <v>0.2388888888888889</v>
      </c>
      <c r="O26" s="354">
        <v>20</v>
      </c>
      <c r="P26" s="364">
        <f t="shared" si="9"/>
        <v>53.00000000000005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933</v>
      </c>
      <c r="H27" s="358">
        <f t="shared" si="6"/>
        <v>25442.91</v>
      </c>
      <c r="I27" s="359"/>
      <c r="J27" s="360">
        <v>4</v>
      </c>
      <c r="K27" s="361">
        <f t="shared" si="7"/>
        <v>2946.3157894736819</v>
      </c>
      <c r="L27" s="362">
        <f t="shared" si="8"/>
        <v>736.57894736842047</v>
      </c>
      <c r="M27" s="363">
        <v>0.25277777777777777</v>
      </c>
      <c r="N27" s="363">
        <v>0.26597222222222222</v>
      </c>
      <c r="O27" s="354">
        <v>20</v>
      </c>
      <c r="P27" s="364">
        <f t="shared" si="9"/>
        <v>19.000000000000014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3572</v>
      </c>
      <c r="H28" s="358">
        <f t="shared" si="6"/>
        <v>53687.159999999996</v>
      </c>
      <c r="I28" s="359"/>
      <c r="J28" s="360">
        <v>4</v>
      </c>
      <c r="K28" s="361">
        <f t="shared" si="7"/>
        <v>2820.0000000000009</v>
      </c>
      <c r="L28" s="362">
        <f t="shared" si="8"/>
        <v>705.00000000000023</v>
      </c>
      <c r="M28" s="363">
        <v>0.27986111111111112</v>
      </c>
      <c r="N28" s="363">
        <v>0.33263888888888887</v>
      </c>
      <c r="O28" s="354">
        <v>20</v>
      </c>
      <c r="P28" s="364">
        <f t="shared" si="9"/>
        <v>75.999999999999972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2854.177575155727</v>
      </c>
      <c r="L38" s="376">
        <f>AVERAGE(L25:L37)</f>
        <v>713.54439378893176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772</v>
      </c>
      <c r="H39" s="358">
        <f t="shared" ref="H39:H47" si="10">F39*G39</f>
        <v>16559.399999999998</v>
      </c>
      <c r="I39" s="359"/>
      <c r="J39" s="360">
        <v>3</v>
      </c>
      <c r="K39" s="361">
        <f>G39/P39*60</f>
        <v>2895.0000000000036</v>
      </c>
      <c r="L39" s="362">
        <f>K39/J39</f>
        <v>965.00000000000125</v>
      </c>
      <c r="M39" s="363">
        <v>0.17361111111111113</v>
      </c>
      <c r="N39" s="363">
        <v>0.18472222222222223</v>
      </c>
      <c r="O39" s="354">
        <v>10</v>
      </c>
      <c r="P39" s="391">
        <f t="shared" ref="P39:P40" si="11">(N39-M39)*24*60</f>
        <v>15.999999999999982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1964</v>
      </c>
      <c r="H40" s="358">
        <f t="shared" si="10"/>
        <v>36392.920000000006</v>
      </c>
      <c r="I40" s="359"/>
      <c r="J40" s="360">
        <v>3</v>
      </c>
      <c r="K40" s="361">
        <f>G40/P40*60</f>
        <v>2805.7142857142849</v>
      </c>
      <c r="L40" s="362">
        <f>K40/J40</f>
        <v>935.23809523809496</v>
      </c>
      <c r="M40" s="363">
        <v>0.1986111111111111</v>
      </c>
      <c r="N40" s="363">
        <v>0.22777777777777777</v>
      </c>
      <c r="O40" s="354">
        <v>20</v>
      </c>
      <c r="P40" s="391">
        <f t="shared" si="11"/>
        <v>42.000000000000014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2850.357142857144</v>
      </c>
      <c r="L51" s="376">
        <f>AVERAGE(L39:L50)</f>
        <v>950.11904761904816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595</v>
      </c>
      <c r="H52" s="358">
        <f>F52*G52</f>
        <v>14892.85</v>
      </c>
      <c r="I52" s="359"/>
      <c r="J52" s="360">
        <v>4</v>
      </c>
      <c r="K52" s="361">
        <f>G52/P52*60</f>
        <v>3245.4545454545455</v>
      </c>
      <c r="L52" s="362">
        <f>K52/J52</f>
        <v>811.36363636363637</v>
      </c>
      <c r="M52" s="363">
        <v>0.18055555555555555</v>
      </c>
      <c r="N52" s="363">
        <v>0.18819444444444444</v>
      </c>
      <c r="O52" s="361">
        <v>20</v>
      </c>
      <c r="P52" s="364">
        <f>(N52-M52)*24*60</f>
        <v>11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826</v>
      </c>
      <c r="H53" s="358">
        <f t="shared" ref="H53:H62" si="12">F53*G53</f>
        <v>20501.32</v>
      </c>
      <c r="I53" s="359"/>
      <c r="J53" s="360">
        <v>4</v>
      </c>
      <c r="K53" s="361">
        <f t="shared" ref="K53:K55" si="13">G53/P53*60</f>
        <v>3303.9999999999941</v>
      </c>
      <c r="L53" s="362">
        <f t="shared" ref="L53:L55" si="14">K53/J53</f>
        <v>825.99999999999852</v>
      </c>
      <c r="M53" s="363">
        <v>0.20208333333333331</v>
      </c>
      <c r="N53" s="363">
        <v>0.21249999999999999</v>
      </c>
      <c r="O53" s="361">
        <v>20</v>
      </c>
      <c r="P53" s="364">
        <f t="shared" ref="P53:P55" si="15">(N53-M53)*24*60</f>
        <v>15.000000000000027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1337</v>
      </c>
      <c r="H54" s="358">
        <f t="shared" si="12"/>
        <v>40110</v>
      </c>
      <c r="I54" s="359"/>
      <c r="J54" s="360">
        <v>4</v>
      </c>
      <c r="K54" s="361">
        <f t="shared" si="13"/>
        <v>3208.8000000000011</v>
      </c>
      <c r="L54" s="362">
        <f t="shared" si="14"/>
        <v>802.20000000000027</v>
      </c>
      <c r="M54" s="363">
        <v>0.22638888888888889</v>
      </c>
      <c r="N54" s="363">
        <v>0.24374999999999999</v>
      </c>
      <c r="O54" s="361">
        <v>20</v>
      </c>
      <c r="P54" s="364">
        <f t="shared" si="15"/>
        <v>24.999999999999993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2438</v>
      </c>
      <c r="H55" s="358">
        <f t="shared" si="12"/>
        <v>34205.14</v>
      </c>
      <c r="I55" s="359"/>
      <c r="J55" s="360">
        <v>3</v>
      </c>
      <c r="K55" s="361">
        <f t="shared" si="13"/>
        <v>3250.6666666666665</v>
      </c>
      <c r="L55" s="362">
        <f t="shared" si="14"/>
        <v>1083.5555555555554</v>
      </c>
      <c r="M55" s="363">
        <v>0.25763888888888892</v>
      </c>
      <c r="N55" s="363">
        <v>0.28888888888888892</v>
      </c>
      <c r="O55" s="361">
        <v>20</v>
      </c>
      <c r="P55" s="364">
        <f t="shared" si="15"/>
        <v>45</v>
      </c>
      <c r="Q55" s="365"/>
      <c r="R55" s="365"/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3252.2303030303015</v>
      </c>
      <c r="L64" s="376">
        <f>AVERAGE(L52:L63)</f>
        <v>880.77979797979765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717</v>
      </c>
      <c r="H65" s="358">
        <f>F65*G65</f>
        <v>13035.06</v>
      </c>
      <c r="I65" s="359"/>
      <c r="J65" s="360">
        <v>3</v>
      </c>
      <c r="K65" s="361">
        <f t="shared" ref="K65:K69" si="16">G65/P65*60</f>
        <v>3309.2307692307709</v>
      </c>
      <c r="L65" s="362">
        <f t="shared" ref="L65:L69" si="17">K65/J65</f>
        <v>1103.0769230769235</v>
      </c>
      <c r="M65" s="363">
        <v>0.17361111111111113</v>
      </c>
      <c r="N65" s="363">
        <v>0.18263888888888891</v>
      </c>
      <c r="O65" s="361">
        <v>10</v>
      </c>
      <c r="P65" s="364">
        <f>(N65-M65)*24*60</f>
        <v>12.999999999999993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2351</v>
      </c>
      <c r="H66" s="358">
        <f t="shared" ref="H66:H74" si="18">F66*G66</f>
        <v>39167.660000000003</v>
      </c>
      <c r="I66" s="359"/>
      <c r="J66" s="360">
        <v>4</v>
      </c>
      <c r="K66" s="361">
        <f t="shared" si="16"/>
        <v>3001.2765957446813</v>
      </c>
      <c r="L66" s="362">
        <f t="shared" si="17"/>
        <v>750.31914893617034</v>
      </c>
      <c r="M66" s="363">
        <v>0.19652777777777777</v>
      </c>
      <c r="N66" s="363">
        <v>0.22916666666666666</v>
      </c>
      <c r="O66" s="361">
        <v>20</v>
      </c>
      <c r="P66" s="364">
        <f t="shared" ref="P66:P69" si="19">(N66-M66)*24*60</f>
        <v>46.999999999999993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1483</v>
      </c>
      <c r="H67" s="358">
        <f t="shared" si="18"/>
        <v>26532.218181818182</v>
      </c>
      <c r="I67" s="359"/>
      <c r="J67" s="360">
        <v>3</v>
      </c>
      <c r="K67" s="361">
        <f t="shared" si="16"/>
        <v>3177.8571428571404</v>
      </c>
      <c r="L67" s="362">
        <f t="shared" si="17"/>
        <v>1059.2857142857135</v>
      </c>
      <c r="M67" s="363">
        <v>0.24305555555555555</v>
      </c>
      <c r="N67" s="363">
        <v>0.26250000000000001</v>
      </c>
      <c r="O67" s="361">
        <v>20</v>
      </c>
      <c r="P67" s="364">
        <f t="shared" si="19"/>
        <v>28.000000000000021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1335</v>
      </c>
      <c r="H68" s="358">
        <f t="shared" si="18"/>
        <v>24270.3</v>
      </c>
      <c r="I68" s="359"/>
      <c r="J68" s="360">
        <v>3</v>
      </c>
      <c r="K68" s="361">
        <f t="shared" si="16"/>
        <v>3203.9999999999909</v>
      </c>
      <c r="L68" s="362">
        <f t="shared" si="17"/>
        <v>1067.999999999997</v>
      </c>
      <c r="M68" s="363">
        <v>0.27638888888888885</v>
      </c>
      <c r="N68" s="363">
        <v>0.29375000000000001</v>
      </c>
      <c r="O68" s="361">
        <v>20</v>
      </c>
      <c r="P68" s="364">
        <f t="shared" si="19"/>
        <v>25.000000000000071</v>
      </c>
      <c r="Q68" s="365">
        <v>0.29375000000000001</v>
      </c>
      <c r="R68" s="365">
        <v>0.3354166666666667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3543</v>
      </c>
      <c r="H69" s="358">
        <f t="shared" si="18"/>
        <v>50614.285714285703</v>
      </c>
      <c r="I69" s="359"/>
      <c r="J69" s="360">
        <v>3</v>
      </c>
      <c r="K69" s="361">
        <f t="shared" si="16"/>
        <v>3270.4615384615377</v>
      </c>
      <c r="L69" s="362">
        <f t="shared" si="17"/>
        <v>1090.153846153846</v>
      </c>
      <c r="M69" s="363">
        <v>0.34930555555555554</v>
      </c>
      <c r="N69" s="363">
        <v>0.39444444444444443</v>
      </c>
      <c r="O69" s="361">
        <v>20</v>
      </c>
      <c r="P69" s="364">
        <f t="shared" si="19"/>
        <v>65.000000000000014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3192.5652092588243</v>
      </c>
      <c r="L75" s="376">
        <f>AVERAGE(L65:L74)</f>
        <v>1014.1671264905301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359</v>
      </c>
      <c r="H82" s="414">
        <f t="shared" ref="H82:H90" si="20">F82*G82</f>
        <v>6526.62</v>
      </c>
      <c r="I82" s="359"/>
      <c r="J82" s="360">
        <v>4</v>
      </c>
      <c r="K82" s="361">
        <f t="shared" ref="K82:K84" si="21">G82/P82*60</f>
        <v>2154.0000000000077</v>
      </c>
      <c r="L82" s="362">
        <f t="shared" ref="L82:L84" si="22">K82/J82</f>
        <v>538.50000000000193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1035</v>
      </c>
      <c r="H83" s="414">
        <f t="shared" si="20"/>
        <v>17284.5</v>
      </c>
      <c r="I83" s="359"/>
      <c r="J83" s="360">
        <v>3</v>
      </c>
      <c r="K83" s="361">
        <f t="shared" si="21"/>
        <v>2483.9999999999932</v>
      </c>
      <c r="L83" s="362">
        <f t="shared" si="22"/>
        <v>827.99999999999773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941</v>
      </c>
      <c r="H84" s="414">
        <f t="shared" si="20"/>
        <v>20967.19090909091</v>
      </c>
      <c r="I84" s="359"/>
      <c r="J84" s="360">
        <v>4</v>
      </c>
      <c r="K84" s="361">
        <f t="shared" si="21"/>
        <v>2822.9999999999873</v>
      </c>
      <c r="L84" s="362">
        <f t="shared" si="22"/>
        <v>705.74999999999682</v>
      </c>
      <c r="M84" s="363">
        <v>0.81597222222222221</v>
      </c>
      <c r="N84" s="363">
        <v>0.82986111111111116</v>
      </c>
      <c r="O84" s="361">
        <v>20</v>
      </c>
      <c r="P84" s="391">
        <f t="shared" ref="P84" si="23">(N84-M84)*24*60</f>
        <v>20.000000000000089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2486.9999999999959</v>
      </c>
      <c r="L91" s="376">
        <f>AVERAGE(L82:L90)</f>
        <v>690.74999999999875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1592</v>
      </c>
      <c r="H92" s="358">
        <f t="shared" ref="H92:H97" si="24">F92*G92</f>
        <v>39067.68</v>
      </c>
      <c r="I92" s="359"/>
      <c r="J92" s="360">
        <v>3</v>
      </c>
      <c r="K92" s="361">
        <f>G92/P92*60</f>
        <v>2122.666666666667</v>
      </c>
      <c r="L92" s="362">
        <f t="shared" ref="L92:L94" si="25">K92/J92</f>
        <v>707.55555555555566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917</v>
      </c>
      <c r="H93" s="358">
        <f t="shared" si="24"/>
        <v>20614.16</v>
      </c>
      <c r="I93" s="359"/>
      <c r="J93" s="360">
        <v>4</v>
      </c>
      <c r="K93" s="361">
        <f t="shared" ref="K93:K94" si="26">G93/P93*60</f>
        <v>2200.8000000000075</v>
      </c>
      <c r="L93" s="362">
        <f t="shared" si="25"/>
        <v>550.20000000000186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2477</v>
      </c>
      <c r="H94" s="358">
        <f t="shared" si="24"/>
        <v>55014.170000000006</v>
      </c>
      <c r="I94" s="359"/>
      <c r="J94" s="360">
        <v>4</v>
      </c>
      <c r="K94" s="361">
        <f t="shared" si="26"/>
        <v>2286.4615384615408</v>
      </c>
      <c r="L94" s="362">
        <f t="shared" si="25"/>
        <v>571.61538461538521</v>
      </c>
      <c r="M94" s="363">
        <v>0.79861111111111116</v>
      </c>
      <c r="N94" s="363">
        <v>0.84375</v>
      </c>
      <c r="O94" s="354">
        <v>20</v>
      </c>
      <c r="P94" s="364">
        <f>(N94-M94)*24*60</f>
        <v>64.999999999999929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2203.3094017094049</v>
      </c>
      <c r="L100" s="376">
        <f>AVERAGE(L92:L99)</f>
        <v>609.79031339031428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967</v>
      </c>
      <c r="H101" s="358">
        <f t="shared" ref="H101:H110" si="27">F101*G101</f>
        <v>24204.010000000002</v>
      </c>
      <c r="I101" s="359"/>
      <c r="J101" s="360">
        <v>4</v>
      </c>
      <c r="K101" s="361">
        <f>G101/P101*60</f>
        <v>2900.9999999999873</v>
      </c>
      <c r="L101" s="362">
        <f t="shared" ref="L101:L105" si="28">K101/J101</f>
        <v>725.24999999999682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9">(N101-M101)*24*60</f>
        <v>20.000000000000089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1591</v>
      </c>
      <c r="H102" s="358">
        <f t="shared" si="27"/>
        <v>39488.620000000003</v>
      </c>
      <c r="I102" s="359"/>
      <c r="J102" s="360">
        <v>4</v>
      </c>
      <c r="K102" s="361">
        <f t="shared" ref="K102:K105" si="30">G102/P102*60</f>
        <v>3181.9999999999945</v>
      </c>
      <c r="L102" s="362">
        <f t="shared" si="28"/>
        <v>795.49999999999864</v>
      </c>
      <c r="M102" s="363">
        <v>0.75</v>
      </c>
      <c r="N102" s="363">
        <v>0.77083333333333337</v>
      </c>
      <c r="O102" s="354">
        <v>20</v>
      </c>
      <c r="P102" s="361">
        <f t="shared" si="29"/>
        <v>30.000000000000053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2673</v>
      </c>
      <c r="H103" s="358">
        <f t="shared" si="27"/>
        <v>76367.61</v>
      </c>
      <c r="I103" s="359"/>
      <c r="J103" s="360">
        <v>3</v>
      </c>
      <c r="K103" s="361">
        <f t="shared" si="30"/>
        <v>2916.0000000000018</v>
      </c>
      <c r="L103" s="362">
        <f t="shared" si="28"/>
        <v>972.00000000000057</v>
      </c>
      <c r="M103" s="363">
        <v>0.78472222222222221</v>
      </c>
      <c r="N103" s="363">
        <v>0.82291666666666663</v>
      </c>
      <c r="O103" s="354">
        <v>20</v>
      </c>
      <c r="P103" s="361">
        <f t="shared" si="29"/>
        <v>54.999999999999964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5282</v>
      </c>
      <c r="H104" s="358">
        <f t="shared" si="27"/>
        <v>74106.459999999992</v>
      </c>
      <c r="I104" s="359"/>
      <c r="J104" s="360">
        <v>3</v>
      </c>
      <c r="K104" s="361">
        <f t="shared" si="30"/>
        <v>3018.285714285711</v>
      </c>
      <c r="L104" s="362">
        <f t="shared" si="28"/>
        <v>1006.0952380952371</v>
      </c>
      <c r="M104" s="363">
        <v>0.83680555555555547</v>
      </c>
      <c r="N104" s="363">
        <v>0.90972222222222221</v>
      </c>
      <c r="O104" s="354">
        <v>20</v>
      </c>
      <c r="P104" s="361">
        <f>(N104-M104)*24*60</f>
        <v>105.00000000000011</v>
      </c>
      <c r="Q104" s="365">
        <v>0.90972222222222221</v>
      </c>
      <c r="R104" s="365">
        <v>0.95138888888888884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7330</v>
      </c>
      <c r="H105" s="358">
        <f t="shared" si="27"/>
        <v>104714.2857142857</v>
      </c>
      <c r="I105" s="359"/>
      <c r="J105" s="360">
        <v>3</v>
      </c>
      <c r="K105" s="361">
        <f t="shared" si="30"/>
        <v>3033.1034484706756</v>
      </c>
      <c r="L105" s="362">
        <f t="shared" si="28"/>
        <v>1011.0344828235585</v>
      </c>
      <c r="M105" s="363">
        <v>46087.965277777781</v>
      </c>
      <c r="N105" s="363">
        <v>46088.065972222219</v>
      </c>
      <c r="O105" s="354">
        <v>20</v>
      </c>
      <c r="P105" s="361">
        <f>(N105-M105)*24*60</f>
        <v>144.99999999068677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3010.0778325512742</v>
      </c>
      <c r="L111" s="376">
        <f>AVERAGE(L101:L110)</f>
        <v>901.97594418375832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890</v>
      </c>
      <c r="H112" s="414">
        <f t="shared" si="3"/>
        <v>16180.199999999999</v>
      </c>
      <c r="I112" s="359"/>
      <c r="J112" s="360">
        <v>4</v>
      </c>
      <c r="K112" s="361">
        <f t="shared" ref="K112:K115" si="31">G112/P112*60</f>
        <v>2669.9999999999882</v>
      </c>
      <c r="L112" s="362">
        <f t="shared" ref="L112:L115" si="32">K112/J112</f>
        <v>667.49999999999704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987</v>
      </c>
      <c r="H113" s="414">
        <f t="shared" si="3"/>
        <v>17943.66</v>
      </c>
      <c r="I113" s="359"/>
      <c r="J113" s="360">
        <v>3</v>
      </c>
      <c r="K113" s="361">
        <f t="shared" si="31"/>
        <v>2961.0000000000105</v>
      </c>
      <c r="L113" s="362">
        <f t="shared" si="32"/>
        <v>987.00000000000352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4901</v>
      </c>
      <c r="H114" s="414">
        <f>F114*G114</f>
        <v>81650.66</v>
      </c>
      <c r="I114" s="359"/>
      <c r="J114" s="360">
        <v>4</v>
      </c>
      <c r="K114" s="361">
        <f t="shared" si="31"/>
        <v>3000.61224489796</v>
      </c>
      <c r="L114" s="362">
        <f t="shared" si="32"/>
        <v>750.15306122448999</v>
      </c>
      <c r="M114" s="363">
        <v>0.77777777777777779</v>
      </c>
      <c r="N114" s="363">
        <v>0.84583333333333333</v>
      </c>
      <c r="O114" s="354">
        <v>20</v>
      </c>
      <c r="P114" s="364">
        <f t="shared" si="33"/>
        <v>97.999999999999972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3411</v>
      </c>
      <c r="H115" s="414">
        <f t="shared" ref="H115:H123" si="34">F115*G115</f>
        <v>61025.890909090907</v>
      </c>
      <c r="I115" s="359"/>
      <c r="J115" s="360">
        <v>3</v>
      </c>
      <c r="K115" s="361">
        <f t="shared" si="31"/>
        <v>3054.6268656716379</v>
      </c>
      <c r="L115" s="362">
        <f t="shared" si="32"/>
        <v>1018.2089552238793</v>
      </c>
      <c r="M115" s="363">
        <v>0.85972222222222217</v>
      </c>
      <c r="N115" s="363">
        <v>0.90625</v>
      </c>
      <c r="O115" s="354">
        <v>20</v>
      </c>
      <c r="P115" s="364">
        <f t="shared" si="33"/>
        <v>67.000000000000085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2921.5597776423992</v>
      </c>
      <c r="L124" s="376">
        <f>AVERAGE(L112:L123)</f>
        <v>855.7155041120925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123285.00000000001</v>
      </c>
      <c r="F1" s="75" t="s">
        <v>3</v>
      </c>
      <c r="G1" s="64">
        <f>SUM(H5:H173)</f>
        <v>4861650.1577418782</v>
      </c>
      <c r="H1" s="67" t="s">
        <v>77</v>
      </c>
      <c r="I1" s="65">
        <f>M17+M30+M43+M56+M69+M82+M95+M108+M121+M134+M147+M160+M173</f>
        <v>199.84642857142859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351</v>
      </c>
      <c r="B2" s="637"/>
      <c r="C2" s="69"/>
      <c r="D2" s="69" t="s">
        <v>181</v>
      </c>
      <c r="E2" s="70">
        <f>AVERAGE(O17,O30,O43,O56,O69,O82,O95,O108,O121,O134,O147,O160,O173)</f>
        <v>122.06427392910346</v>
      </c>
      <c r="F2" s="71" t="s">
        <v>80</v>
      </c>
      <c r="G2" s="72">
        <f>G1/E1</f>
        <v>39.434239021307356</v>
      </c>
      <c r="H2" s="67" t="s">
        <v>81</v>
      </c>
      <c r="I2" s="67">
        <f>COUNT(I5:I173)</f>
        <v>4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2</v>
      </c>
      <c r="AE2" s="74">
        <f>AE17+AE30+AE43+AE56+AE69+AE82+AE95+AE108+AE121+AE134+AE147+AE160+AE173</f>
        <v>1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1593.15</v>
      </c>
      <c r="H5" s="83">
        <f t="shared" ref="H5:H16" si="0">F5*G5</f>
        <v>60444.110999999997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2223</v>
      </c>
      <c r="O5" s="86">
        <f t="shared" ref="O5:O13" si="2">N5/M5</f>
        <v>111.15</v>
      </c>
      <c r="P5" s="88">
        <f t="shared" ref="P5:P13" si="3">M5-J5</f>
        <v>0</v>
      </c>
      <c r="Q5" s="89">
        <f t="shared" ref="Q5:Q13" si="4">O5-L5</f>
        <v>-8.8499999999999943</v>
      </c>
      <c r="R5" s="90">
        <f t="shared" ref="R5:R13" si="5">O5/L5</f>
        <v>0.92625000000000002</v>
      </c>
      <c r="S5" s="590">
        <f>R17</f>
        <v>0.93560190546210587</v>
      </c>
      <c r="T5" s="91">
        <v>0.29166666666666669</v>
      </c>
      <c r="U5" s="91">
        <v>0.3215277777777778</v>
      </c>
      <c r="V5" s="75">
        <v>5</v>
      </c>
      <c r="W5" s="84">
        <f>(U5-T5)*24*60</f>
        <v>43.000000000000007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-177</v>
      </c>
      <c r="AG5" s="90">
        <f t="shared" ref="AG5:AG70" si="7">N5/K5</f>
        <v>0.92625000000000002</v>
      </c>
      <c r="AH5" s="590">
        <f>AG17</f>
        <v>0.97224463547160689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1059.5</v>
      </c>
      <c r="H6" s="83">
        <f t="shared" si="0"/>
        <v>33126.46665804003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2542.8000000000006</v>
      </c>
      <c r="O6" s="86">
        <f t="shared" si="2"/>
        <v>133.83157894736846</v>
      </c>
      <c r="P6" s="88">
        <f t="shared" si="3"/>
        <v>1</v>
      </c>
      <c r="Q6" s="89">
        <f t="shared" si="4"/>
        <v>-10.612865497076001</v>
      </c>
      <c r="R6" s="90">
        <f t="shared" si="5"/>
        <v>0.92652631578947386</v>
      </c>
      <c r="S6" s="590"/>
      <c r="T6" s="91">
        <v>0.3263888888888889</v>
      </c>
      <c r="U6" s="91">
        <v>0.34375</v>
      </c>
      <c r="V6" s="75">
        <v>7</v>
      </c>
      <c r="W6" s="84">
        <f t="shared" ref="W6:W17" si="8">(U6-T6)*24*60</f>
        <v>24.999999999999993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-57.199999999999363</v>
      </c>
      <c r="AG6" s="90">
        <f t="shared" si="7"/>
        <v>0.9780000000000002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1784.9</v>
      </c>
      <c r="H7" s="83">
        <f t="shared" si="0"/>
        <v>68952.386904761894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2612.0487804878044</v>
      </c>
      <c r="O7" s="86">
        <f t="shared" si="2"/>
        <v>137.4762516046213</v>
      </c>
      <c r="P7" s="88">
        <f t="shared" si="3"/>
        <v>1</v>
      </c>
      <c r="Q7" s="89">
        <f t="shared" si="4"/>
        <v>-6.9681928398231605</v>
      </c>
      <c r="R7" s="90">
        <f t="shared" si="5"/>
        <v>0.95175866495507044</v>
      </c>
      <c r="S7" s="590"/>
      <c r="T7" s="91">
        <v>0.35972222222222222</v>
      </c>
      <c r="U7" s="91">
        <v>0.38819444444444445</v>
      </c>
      <c r="V7" s="75">
        <v>23</v>
      </c>
      <c r="W7" s="84">
        <f t="shared" si="8"/>
        <v>41.000000000000014</v>
      </c>
      <c r="X7" s="94">
        <v>0.34722222222222227</v>
      </c>
      <c r="Y7" s="94">
        <v>0.35694444444444445</v>
      </c>
      <c r="Z7" s="95"/>
      <c r="AA7" s="95"/>
      <c r="AB7" s="571"/>
      <c r="AC7" s="571"/>
      <c r="AD7" s="332"/>
      <c r="AE7" s="332"/>
      <c r="AF7" s="88">
        <f t="shared" si="6"/>
        <v>12.048780487804379</v>
      </c>
      <c r="AG7" s="90">
        <f t="shared" si="7"/>
        <v>1.0046341463414632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3010</v>
      </c>
      <c r="H8" s="83">
        <f t="shared" si="0"/>
        <v>114380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2655.8823529411766</v>
      </c>
      <c r="O8" s="86">
        <f t="shared" si="2"/>
        <v>132.79411764705884</v>
      </c>
      <c r="P8" s="88">
        <f t="shared" si="3"/>
        <v>1</v>
      </c>
      <c r="Q8" s="89">
        <f t="shared" si="4"/>
        <v>-4.04798761609905</v>
      </c>
      <c r="R8" s="90">
        <f t="shared" si="5"/>
        <v>0.9704185520361992</v>
      </c>
      <c r="S8" s="590"/>
      <c r="T8" s="91">
        <v>0.39166666666666666</v>
      </c>
      <c r="U8" s="91">
        <v>0.43888888888888888</v>
      </c>
      <c r="V8" s="75">
        <v>5</v>
      </c>
      <c r="W8" s="84">
        <f t="shared" si="8"/>
        <v>68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55.882352941176578</v>
      </c>
      <c r="AG8" s="90">
        <f t="shared" si="7"/>
        <v>1.0214932126696834</v>
      </c>
      <c r="AH8" s="590"/>
    </row>
    <row r="9" spans="1:34" ht="19.2" customHeight="1">
      <c r="A9" s="627"/>
      <c r="B9" s="78" t="s">
        <v>242</v>
      </c>
      <c r="C9" s="96"/>
      <c r="D9" s="80" t="s">
        <v>98</v>
      </c>
      <c r="E9" s="97"/>
      <c r="F9" s="650">
        <v>38</v>
      </c>
      <c r="G9" s="98">
        <v>1290</v>
      </c>
      <c r="H9" s="83">
        <f t="shared" si="0"/>
        <v>49020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2579.9999999999955</v>
      </c>
      <c r="O9" s="86">
        <f t="shared" si="2"/>
        <v>128.99999999999977</v>
      </c>
      <c r="P9" s="88">
        <f t="shared" si="3"/>
        <v>1</v>
      </c>
      <c r="Q9" s="89">
        <f t="shared" si="4"/>
        <v>-7.8421052631581176</v>
      </c>
      <c r="R9" s="90">
        <f t="shared" si="5"/>
        <v>0.94269230769230605</v>
      </c>
      <c r="S9" s="590"/>
      <c r="T9" s="91">
        <v>0.47986111111111107</v>
      </c>
      <c r="U9" s="91">
        <v>0.50069444444444444</v>
      </c>
      <c r="V9" s="75">
        <v>6</v>
      </c>
      <c r="W9" s="84">
        <f t="shared" si="8"/>
        <v>30.000000000000053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-20.000000000004547</v>
      </c>
      <c r="AG9" s="90">
        <f t="shared" si="7"/>
        <v>0.99230769230769056</v>
      </c>
      <c r="AH9" s="590"/>
    </row>
    <row r="10" spans="1:34" ht="19.2" customHeight="1">
      <c r="A10" s="628"/>
      <c r="B10" s="78" t="s">
        <v>242</v>
      </c>
      <c r="C10" s="79"/>
      <c r="D10" s="80" t="s">
        <v>97</v>
      </c>
      <c r="E10" s="81"/>
      <c r="F10" s="650">
        <v>38.630952380952372</v>
      </c>
      <c r="G10" s="82">
        <v>961.09999999999991</v>
      </c>
      <c r="H10" s="83">
        <f t="shared" si="0"/>
        <v>37128.208333333321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2621.1818181818271</v>
      </c>
      <c r="O10" s="86">
        <f t="shared" si="2"/>
        <v>137.95693779904354</v>
      </c>
      <c r="P10" s="88">
        <f t="shared" si="3"/>
        <v>1</v>
      </c>
      <c r="Q10" s="89">
        <f t="shared" si="4"/>
        <v>-6.4875066454009129</v>
      </c>
      <c r="R10" s="90">
        <f t="shared" si="5"/>
        <v>0.95508649245491672</v>
      </c>
      <c r="S10" s="593"/>
      <c r="T10" s="91">
        <v>0.50555555555555554</v>
      </c>
      <c r="U10" s="91">
        <v>0.52083333333333326</v>
      </c>
      <c r="V10" s="75">
        <v>7</v>
      </c>
      <c r="W10" s="84">
        <f t="shared" si="8"/>
        <v>21.999999999999922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21.181818181827111</v>
      </c>
      <c r="AG10" s="90">
        <f t="shared" si="7"/>
        <v>1.0081468531468565</v>
      </c>
      <c r="AH10" s="593"/>
    </row>
    <row r="11" spans="1:34" ht="19.2" customHeight="1">
      <c r="A11" s="628"/>
      <c r="B11" s="78" t="s">
        <v>242</v>
      </c>
      <c r="C11" s="79"/>
      <c r="D11" s="80" t="s">
        <v>96</v>
      </c>
      <c r="E11" s="81"/>
      <c r="F11" s="650">
        <v>31.266131815044861</v>
      </c>
      <c r="G11" s="82">
        <v>570.5</v>
      </c>
      <c r="H11" s="83">
        <f t="shared" si="0"/>
        <v>17837.328200483094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2445.0000000000086</v>
      </c>
      <c r="O11" s="86">
        <f t="shared" si="2"/>
        <v>128.68421052631624</v>
      </c>
      <c r="P11" s="88">
        <f t="shared" si="3"/>
        <v>1</v>
      </c>
      <c r="Q11" s="89">
        <f t="shared" si="4"/>
        <v>-15.760233918128222</v>
      </c>
      <c r="R11" s="90">
        <f t="shared" si="5"/>
        <v>0.89089068825911233</v>
      </c>
      <c r="S11" s="593"/>
      <c r="T11" s="91">
        <v>0.52499999999999991</v>
      </c>
      <c r="U11" s="91">
        <v>0.5347222222222221</v>
      </c>
      <c r="V11" s="75">
        <v>6</v>
      </c>
      <c r="W11" s="84">
        <f t="shared" si="8"/>
        <v>13.99999999999995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-154.99999999999136</v>
      </c>
      <c r="AG11" s="90">
        <f t="shared" si="7"/>
        <v>0.94038461538461871</v>
      </c>
      <c r="AH11" s="593"/>
    </row>
    <row r="12" spans="1:34" ht="19.2" customHeight="1">
      <c r="A12" s="628"/>
      <c r="B12" s="78" t="s">
        <v>242</v>
      </c>
      <c r="C12" s="79"/>
      <c r="D12" s="80" t="s">
        <v>95</v>
      </c>
      <c r="E12" s="81"/>
      <c r="F12" s="650">
        <v>37.94</v>
      </c>
      <c r="G12" s="82">
        <v>857.84999999999991</v>
      </c>
      <c r="H12" s="83">
        <f t="shared" si="0"/>
        <v>32546.828999999994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2237.8695652173833</v>
      </c>
      <c r="O12" s="86">
        <f t="shared" si="2"/>
        <v>111.89347826086916</v>
      </c>
      <c r="P12" s="88">
        <f t="shared" si="3"/>
        <v>0</v>
      </c>
      <c r="Q12" s="89">
        <f t="shared" si="4"/>
        <v>-8.1065217391308408</v>
      </c>
      <c r="R12" s="90">
        <f t="shared" si="5"/>
        <v>0.93244565217390962</v>
      </c>
      <c r="S12" s="593"/>
      <c r="T12" s="91">
        <v>0.54999999999999982</v>
      </c>
      <c r="U12" s="91">
        <v>0.5659722222222221</v>
      </c>
      <c r="V12" s="75">
        <v>22</v>
      </c>
      <c r="W12" s="84">
        <f t="shared" si="8"/>
        <v>23.000000000000078</v>
      </c>
      <c r="X12" s="94">
        <v>0.53819444444444442</v>
      </c>
      <c r="Y12" s="94">
        <v>0.54722222222222217</v>
      </c>
      <c r="Z12" s="95"/>
      <c r="AA12" s="95"/>
      <c r="AB12" s="571"/>
      <c r="AC12" s="571"/>
      <c r="AD12" s="332"/>
      <c r="AE12" s="332"/>
      <c r="AF12" s="88">
        <f t="shared" si="6"/>
        <v>-162.1304347826167</v>
      </c>
      <c r="AG12" s="90">
        <f t="shared" si="7"/>
        <v>0.93244565217390973</v>
      </c>
      <c r="AH12" s="593"/>
    </row>
    <row r="13" spans="1:34" ht="19.2" customHeight="1">
      <c r="A13" s="628"/>
      <c r="B13" s="78" t="s">
        <v>247</v>
      </c>
      <c r="C13" s="99"/>
      <c r="D13" s="100" t="s">
        <v>298</v>
      </c>
      <c r="E13" s="101"/>
      <c r="F13" s="650">
        <v>50.67</v>
      </c>
      <c r="G13" s="102">
        <v>733</v>
      </c>
      <c r="H13" s="83">
        <f t="shared" si="0"/>
        <v>37141.11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1374.3749999999982</v>
      </c>
      <c r="O13" s="86">
        <f t="shared" si="2"/>
        <v>76.354166666666572</v>
      </c>
      <c r="P13" s="88">
        <f t="shared" si="3"/>
        <v>0</v>
      </c>
      <c r="Q13" s="89">
        <f t="shared" si="4"/>
        <v>-6.9791666666667567</v>
      </c>
      <c r="R13" s="90">
        <f t="shared" si="5"/>
        <v>0.9162499999999989</v>
      </c>
      <c r="S13" s="593"/>
      <c r="T13" s="105">
        <v>0.70833333333333337</v>
      </c>
      <c r="U13" s="105">
        <v>0.73055555555555562</v>
      </c>
      <c r="V13" s="103">
        <v>5</v>
      </c>
      <c r="W13" s="84">
        <f t="shared" si="8"/>
        <v>32.000000000000043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-125.62500000000182</v>
      </c>
      <c r="AG13" s="90">
        <f t="shared" si="7"/>
        <v>0.91624999999999879</v>
      </c>
      <c r="AH13" s="593"/>
    </row>
    <row r="14" spans="1:34" ht="19.2" customHeight="1">
      <c r="A14" s="628"/>
      <c r="B14" s="78">
        <v>0</v>
      </c>
      <c r="C14" s="109"/>
      <c r="D14" s="80"/>
      <c r="E14" s="81"/>
      <c r="F14" s="650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593"/>
      <c r="T14" s="105"/>
      <c r="U14" s="105"/>
      <c r="V14" s="103"/>
      <c r="W14" s="84"/>
      <c r="X14" s="106"/>
      <c r="Y14" s="106"/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J17:O17" si="9">AVERAGE(M5:M16)</f>
        <v>19.333333333333332</v>
      </c>
      <c r="N17" s="113">
        <f t="shared" si="9"/>
        <v>2365.795279647577</v>
      </c>
      <c r="O17" s="116">
        <f t="shared" si="9"/>
        <v>122.12674905021601</v>
      </c>
      <c r="P17" s="107">
        <f t="shared" ref="P17:P22" si="10">M17-J17</f>
        <v>0.6666666666666643</v>
      </c>
      <c r="Q17" s="117">
        <f t="shared" ref="Q17:Q22" si="11">O17-L17</f>
        <v>-8.406064465053646</v>
      </c>
      <c r="R17" s="118">
        <f>O17/L17</f>
        <v>0.93560190546210587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0</v>
      </c>
      <c r="AE17" s="122">
        <f>SUM(AE5:AE16)</f>
        <v>0</v>
      </c>
      <c r="AF17" s="107">
        <f t="shared" si="6"/>
        <v>-67.538053685756495</v>
      </c>
      <c r="AG17" s="108">
        <f t="shared" si="7"/>
        <v>0.97224463547160689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1527</v>
      </c>
      <c r="H18" s="127">
        <f t="shared" ref="H18:H29" si="12">F18*G18</f>
        <v>56285.22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2181.4285714285706</v>
      </c>
      <c r="O18" s="129">
        <f t="shared" ref="O18:O22" si="14">N18/M18</f>
        <v>121.19047619047615</v>
      </c>
      <c r="P18" s="95">
        <f t="shared" si="10"/>
        <v>1</v>
      </c>
      <c r="Q18" s="131">
        <f t="shared" si="11"/>
        <v>-11.162464985994433</v>
      </c>
      <c r="R18" s="132">
        <f t="shared" ref="R18:R22" si="15">O18/L18</f>
        <v>0.9156613756613754</v>
      </c>
      <c r="S18" s="575">
        <f>R30</f>
        <v>0.898219149770484</v>
      </c>
      <c r="T18" s="133">
        <v>0.16666666666666666</v>
      </c>
      <c r="U18" s="133">
        <v>0.19583333333333333</v>
      </c>
      <c r="V18" s="332">
        <v>5</v>
      </c>
      <c r="W18" s="134">
        <f>(U18-T18)*24*60</f>
        <v>42.000000000000014</v>
      </c>
      <c r="X18" s="129"/>
      <c r="Y18" s="129"/>
      <c r="Z18" s="95"/>
      <c r="AA18" s="95"/>
      <c r="AB18" s="571"/>
      <c r="AC18" s="571"/>
      <c r="AD18" s="332"/>
      <c r="AE18" s="332"/>
      <c r="AF18" s="135">
        <f t="shared" si="6"/>
        <v>-68.571428571429351</v>
      </c>
      <c r="AG18" s="136">
        <f t="shared" si="7"/>
        <v>0.96952380952380923</v>
      </c>
      <c r="AH18" s="616">
        <f>AG30</f>
        <v>0.92301255908055735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1765.3999999999999</v>
      </c>
      <c r="H19" s="127">
        <f t="shared" si="12"/>
        <v>67773.705999999991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1451.0136986301372</v>
      </c>
      <c r="O19" s="139">
        <f t="shared" si="14"/>
        <v>85.353746978243365</v>
      </c>
      <c r="P19" s="95">
        <f t="shared" si="10"/>
        <v>1</v>
      </c>
      <c r="Q19" s="131">
        <f t="shared" si="11"/>
        <v>-16.896253021756635</v>
      </c>
      <c r="R19" s="132">
        <f t="shared" si="15"/>
        <v>0.83475547166986175</v>
      </c>
      <c r="S19" s="575"/>
      <c r="T19" s="133">
        <v>0.2</v>
      </c>
      <c r="U19" s="133">
        <v>0.25069444444444444</v>
      </c>
      <c r="V19" s="332">
        <v>6</v>
      </c>
      <c r="W19" s="134">
        <f>(U19-T19)*24*60</f>
        <v>72.999999999999986</v>
      </c>
      <c r="X19" s="140"/>
      <c r="Y19" s="140"/>
      <c r="Z19" s="95"/>
      <c r="AA19" s="95"/>
      <c r="AB19" s="571"/>
      <c r="AC19" s="571"/>
      <c r="AD19" s="332"/>
      <c r="AE19" s="332"/>
      <c r="AF19" s="88">
        <f t="shared" si="6"/>
        <v>-184.98630136986276</v>
      </c>
      <c r="AG19" s="90">
        <f t="shared" si="7"/>
        <v>0.88692768864922811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1539</v>
      </c>
      <c r="H20" s="127">
        <f t="shared" si="12"/>
        <v>66392.460000000006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1399.090909090909</v>
      </c>
      <c r="O20" s="139">
        <f t="shared" si="14"/>
        <v>87.443181818181813</v>
      </c>
      <c r="P20" s="95">
        <f t="shared" si="10"/>
        <v>0</v>
      </c>
      <c r="Q20" s="131">
        <f t="shared" si="11"/>
        <v>-2.556818181818187</v>
      </c>
      <c r="R20" s="132">
        <f t="shared" si="15"/>
        <v>0.97159090909090906</v>
      </c>
      <c r="S20" s="575"/>
      <c r="T20" s="133">
        <v>0.26666666666666666</v>
      </c>
      <c r="U20" s="133">
        <v>0.3125</v>
      </c>
      <c r="V20" s="332">
        <v>23</v>
      </c>
      <c r="W20" s="134">
        <f t="shared" ref="W20:W29" si="16">(U20-T20)*24*60</f>
        <v>66</v>
      </c>
      <c r="X20" s="140">
        <v>0.25416666666666665</v>
      </c>
      <c r="Y20" s="140">
        <v>0.2638888888888889</v>
      </c>
      <c r="Z20" s="95"/>
      <c r="AA20" s="95"/>
      <c r="AB20" s="571"/>
      <c r="AC20" s="571"/>
      <c r="AD20" s="332"/>
      <c r="AE20" s="332"/>
      <c r="AF20" s="135">
        <f t="shared" si="6"/>
        <v>-40.909090909090992</v>
      </c>
      <c r="AG20" s="136">
        <f t="shared" si="7"/>
        <v>0.97159090909090906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1083.5</v>
      </c>
      <c r="H21" s="127">
        <f t="shared" si="12"/>
        <v>41281.35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1326.7346938775513</v>
      </c>
      <c r="O21" s="139">
        <f t="shared" si="14"/>
        <v>78.043217286914782</v>
      </c>
      <c r="P21" s="95">
        <f t="shared" si="10"/>
        <v>0</v>
      </c>
      <c r="Q21" s="131">
        <f t="shared" si="11"/>
        <v>-10.192076830732276</v>
      </c>
      <c r="R21" s="132">
        <f t="shared" si="15"/>
        <v>0.88448979591836752</v>
      </c>
      <c r="S21" s="575"/>
      <c r="T21" s="133">
        <v>0.31805555555555554</v>
      </c>
      <c r="U21" s="133">
        <v>0.3520833333333333</v>
      </c>
      <c r="V21" s="332">
        <v>8</v>
      </c>
      <c r="W21" s="134">
        <f t="shared" si="16"/>
        <v>48.999999999999986</v>
      </c>
      <c r="X21" s="140"/>
      <c r="Y21" s="140"/>
      <c r="Z21" s="95"/>
      <c r="AA21" s="95"/>
      <c r="AB21" s="571"/>
      <c r="AC21" s="571"/>
      <c r="AD21" s="332"/>
      <c r="AE21" s="332"/>
      <c r="AF21" s="88">
        <f t="shared" si="6"/>
        <v>-173.26530612244869</v>
      </c>
      <c r="AG21" s="90">
        <f t="shared" si="7"/>
        <v>0.88448979591836752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1083.5</v>
      </c>
      <c r="H22" s="127">
        <f t="shared" si="12"/>
        <v>41281.35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1326.7346938775513</v>
      </c>
      <c r="O22" s="139">
        <f t="shared" si="14"/>
        <v>78.043217286914782</v>
      </c>
      <c r="P22" s="95">
        <f t="shared" si="10"/>
        <v>0</v>
      </c>
      <c r="Q22" s="131">
        <f t="shared" si="11"/>
        <v>-10.192076830732276</v>
      </c>
      <c r="R22" s="132">
        <f t="shared" si="15"/>
        <v>0.88448979591836752</v>
      </c>
      <c r="S22" s="575"/>
      <c r="T22" s="133">
        <v>0.39374999999999993</v>
      </c>
      <c r="U22" s="133">
        <v>0.4277777777777777</v>
      </c>
      <c r="V22" s="332">
        <v>7</v>
      </c>
      <c r="W22" s="134">
        <f t="shared" si="16"/>
        <v>48.999999999999986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-173.26530612244869</v>
      </c>
      <c r="AG22" s="136">
        <f t="shared" si="7"/>
        <v>0.88448979591836752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1537.0005133809441</v>
      </c>
      <c r="O30" s="148">
        <f t="shared" si="17"/>
        <v>90.014767912146183</v>
      </c>
      <c r="P30" s="95">
        <f t="shared" ref="P30:P37" si="18">M30-J30</f>
        <v>0.39999999999999858</v>
      </c>
      <c r="Q30" s="131">
        <f t="shared" ref="Q30:Q37" si="19">O30-L30</f>
        <v>-10.199937970206761</v>
      </c>
      <c r="R30" s="149">
        <f t="shared" ref="R30:R37" si="20">O30/L30</f>
        <v>0.898219149770484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0</v>
      </c>
      <c r="AF30" s="152">
        <f t="shared" si="6"/>
        <v>-128.19948661905596</v>
      </c>
      <c r="AG30" s="153">
        <f t="shared" ref="AG30" si="21">N30/K30</f>
        <v>0.92301255908055735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1690</v>
      </c>
      <c r="H31" s="157">
        <f t="shared" ref="H31:H40" si="22">F31*G31</f>
        <v>57848.7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2112.5000000000005</v>
      </c>
      <c r="O31" s="160">
        <f t="shared" ref="O31:O37" si="24">N31/M31</f>
        <v>162.50000000000003</v>
      </c>
      <c r="P31" s="161">
        <f t="shared" si="18"/>
        <v>0</v>
      </c>
      <c r="Q31" s="162">
        <f t="shared" si="19"/>
        <v>-10.576923076923038</v>
      </c>
      <c r="R31" s="166">
        <f t="shared" si="20"/>
        <v>0.93888888888888911</v>
      </c>
      <c r="S31" s="614">
        <f>R43</f>
        <v>0.88868423285428511</v>
      </c>
      <c r="T31" s="163">
        <v>0.16666666666666666</v>
      </c>
      <c r="U31" s="163">
        <v>0.19999999999999998</v>
      </c>
      <c r="V31" s="93">
        <v>5</v>
      </c>
      <c r="W31" s="164">
        <f t="shared" ref="W31:W42" si="25">(U31-T31)*24*60</f>
        <v>47.999999999999986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-137.49999999999955</v>
      </c>
      <c r="AG31" s="165">
        <f t="shared" si="7"/>
        <v>0.93888888888888911</v>
      </c>
      <c r="AH31" s="592">
        <f>AG43</f>
        <v>0.89451532345739282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1808</v>
      </c>
      <c r="H32" s="127">
        <f t="shared" si="22"/>
        <v>63876.639999999999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2086.1538461538457</v>
      </c>
      <c r="O32" s="86">
        <f t="shared" si="24"/>
        <v>173.84615384615381</v>
      </c>
      <c r="P32" s="88">
        <f t="shared" si="18"/>
        <v>0</v>
      </c>
      <c r="Q32" s="89">
        <f t="shared" si="19"/>
        <v>-2.6538461538461888</v>
      </c>
      <c r="R32" s="90">
        <f t="shared" si="20"/>
        <v>0.98496404445412922</v>
      </c>
      <c r="S32" s="575"/>
      <c r="T32" s="133">
        <v>0.20555555555555555</v>
      </c>
      <c r="U32" s="133">
        <v>0.24166666666666667</v>
      </c>
      <c r="V32" s="332">
        <v>8</v>
      </c>
      <c r="W32" s="134">
        <f t="shared" si="25"/>
        <v>52.000000000000014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-31.846153846154266</v>
      </c>
      <c r="AG32" s="90">
        <f t="shared" si="7"/>
        <v>0.98496404445412922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2269.0499999999997</v>
      </c>
      <c r="H33" s="127">
        <f t="shared" si="22"/>
        <v>82616.110499999981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2307.5084745762697</v>
      </c>
      <c r="O33" s="86">
        <f t="shared" si="24"/>
        <v>230.75084745762697</v>
      </c>
      <c r="P33" s="88">
        <f t="shared" si="18"/>
        <v>0</v>
      </c>
      <c r="Q33" s="89">
        <f t="shared" si="19"/>
        <v>-46.149152542373002</v>
      </c>
      <c r="R33" s="90">
        <f t="shared" si="20"/>
        <v>0.83333639385202962</v>
      </c>
      <c r="S33" s="575"/>
      <c r="T33" s="133">
        <v>0.25972222222222219</v>
      </c>
      <c r="U33" s="133">
        <v>0.30069444444444443</v>
      </c>
      <c r="V33" s="332">
        <v>22</v>
      </c>
      <c r="W33" s="134">
        <f t="shared" si="25"/>
        <v>59.000000000000028</v>
      </c>
      <c r="X33" s="169">
        <v>0.24513888888888888</v>
      </c>
      <c r="Y33" s="169">
        <v>0.25486111111111109</v>
      </c>
      <c r="Z33" s="170"/>
      <c r="AA33" s="170"/>
      <c r="AB33" s="571"/>
      <c r="AC33" s="571"/>
      <c r="AD33" s="332"/>
      <c r="AE33" s="332"/>
      <c r="AF33" s="88">
        <f t="shared" si="6"/>
        <v>-461.49152542373031</v>
      </c>
      <c r="AG33" s="171">
        <f t="shared" si="7"/>
        <v>0.83333639385202951</v>
      </c>
      <c r="AH33" s="590"/>
    </row>
    <row r="34" spans="1:34" ht="19.2" customHeight="1">
      <c r="A34" s="613"/>
      <c r="B34" s="167" t="s">
        <v>247</v>
      </c>
      <c r="C34" s="172"/>
      <c r="D34" s="125" t="s">
        <v>110</v>
      </c>
      <c r="E34" s="126"/>
      <c r="F34" s="650">
        <v>53.27</v>
      </c>
      <c r="G34" s="98">
        <v>1065</v>
      </c>
      <c r="H34" s="127">
        <f t="shared" si="22"/>
        <v>56732.55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1331.2500000000005</v>
      </c>
      <c r="O34" s="86">
        <f t="shared" si="24"/>
        <v>73.958333333333357</v>
      </c>
      <c r="P34" s="88">
        <f t="shared" si="18"/>
        <v>0</v>
      </c>
      <c r="Q34" s="89">
        <f t="shared" si="19"/>
        <v>-9.3749999999999716</v>
      </c>
      <c r="R34" s="90">
        <f t="shared" si="20"/>
        <v>0.88750000000000029</v>
      </c>
      <c r="S34" s="575"/>
      <c r="T34" s="133">
        <v>0.30555555555555552</v>
      </c>
      <c r="U34" s="133">
        <v>0.33888888888888885</v>
      </c>
      <c r="V34" s="332">
        <v>7</v>
      </c>
      <c r="W34" s="134">
        <f t="shared" si="25"/>
        <v>47.999999999999986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-168.74999999999955</v>
      </c>
      <c r="AG34" s="171">
        <f t="shared" si="7"/>
        <v>0.88750000000000029</v>
      </c>
      <c r="AH34" s="590"/>
    </row>
    <row r="35" spans="1:34" ht="19.2" customHeight="1">
      <c r="A35" s="613"/>
      <c r="B35" s="167" t="s">
        <v>245</v>
      </c>
      <c r="C35" s="79"/>
      <c r="D35" s="80" t="s">
        <v>111</v>
      </c>
      <c r="E35" s="81"/>
      <c r="F35" s="650">
        <v>29.113149847094796</v>
      </c>
      <c r="G35" s="173">
        <v>2319.7200000000003</v>
      </c>
      <c r="H35" s="127">
        <f t="shared" si="22"/>
        <v>67534.355963302747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1351.2932038834958</v>
      </c>
      <c r="O35" s="86">
        <f t="shared" si="24"/>
        <v>67.564660194174792</v>
      </c>
      <c r="P35" s="88">
        <f t="shared" si="18"/>
        <v>0</v>
      </c>
      <c r="Q35" s="89">
        <f t="shared" si="19"/>
        <v>-7.4353398058252083</v>
      </c>
      <c r="R35" s="90">
        <f t="shared" si="20"/>
        <v>0.90086213592233055</v>
      </c>
      <c r="S35" s="575"/>
      <c r="T35" s="133">
        <v>0.35555555555555557</v>
      </c>
      <c r="U35" s="133">
        <v>0.42708333333333331</v>
      </c>
      <c r="V35" s="332">
        <v>23</v>
      </c>
      <c r="W35" s="134">
        <f t="shared" si="25"/>
        <v>102.99999999999996</v>
      </c>
      <c r="X35" s="169">
        <v>0.34236111111111112</v>
      </c>
      <c r="Y35" s="169">
        <v>0.3520833333333333</v>
      </c>
      <c r="Z35" s="170"/>
      <c r="AA35" s="170"/>
      <c r="AB35" s="571"/>
      <c r="AC35" s="571"/>
      <c r="AD35" s="332"/>
      <c r="AE35" s="332"/>
      <c r="AF35" s="161">
        <f t="shared" si="6"/>
        <v>-148.70679611650417</v>
      </c>
      <c r="AG35" s="165">
        <f t="shared" si="7"/>
        <v>0.90086213592233055</v>
      </c>
      <c r="AH35" s="593"/>
    </row>
    <row r="36" spans="1:34" ht="19.2" customHeight="1">
      <c r="A36" s="613"/>
      <c r="B36" s="167" t="s">
        <v>244</v>
      </c>
      <c r="C36" s="175"/>
      <c r="D36" s="80" t="s">
        <v>105</v>
      </c>
      <c r="E36" s="126"/>
      <c r="F36" s="650">
        <v>38.39</v>
      </c>
      <c r="G36" s="98">
        <v>756.6</v>
      </c>
      <c r="H36" s="127">
        <f t="shared" si="22"/>
        <v>29045.874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1375.6363636363619</v>
      </c>
      <c r="O36" s="86">
        <f t="shared" si="24"/>
        <v>80.919786096256587</v>
      </c>
      <c r="P36" s="88">
        <f t="shared" si="18"/>
        <v>1</v>
      </c>
      <c r="Q36" s="89">
        <f t="shared" si="19"/>
        <v>-21.330213903743413</v>
      </c>
      <c r="R36" s="90">
        <f t="shared" si="20"/>
        <v>0.79139155106363412</v>
      </c>
      <c r="S36" s="575"/>
      <c r="T36" s="133">
        <v>0.46527777777777773</v>
      </c>
      <c r="U36" s="133">
        <v>0.48819444444444443</v>
      </c>
      <c r="V36" s="332">
        <v>7</v>
      </c>
      <c r="W36" s="134">
        <f t="shared" si="25"/>
        <v>33.000000000000043</v>
      </c>
      <c r="X36" s="169"/>
      <c r="Y36" s="169"/>
      <c r="Z36" s="170"/>
      <c r="AA36" s="170"/>
      <c r="AB36" s="571"/>
      <c r="AC36" s="571"/>
      <c r="AD36" s="332"/>
      <c r="AE36" s="332"/>
      <c r="AF36" s="88">
        <f t="shared" si="6"/>
        <v>-260.36363636363808</v>
      </c>
      <c r="AG36" s="90">
        <f t="shared" si="7"/>
        <v>0.84085352300511118</v>
      </c>
      <c r="AH36" s="593"/>
    </row>
    <row r="37" spans="1:34" ht="19.2" customHeight="1">
      <c r="A37" s="613"/>
      <c r="B37" s="167" t="s">
        <v>245</v>
      </c>
      <c r="C37" s="175"/>
      <c r="D37" s="125" t="s">
        <v>111</v>
      </c>
      <c r="E37" s="126"/>
      <c r="F37" s="650">
        <v>29.113149847094796</v>
      </c>
      <c r="G37" s="98">
        <v>654.28</v>
      </c>
      <c r="H37" s="127">
        <f t="shared" si="22"/>
        <v>19048.151681957181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1308.5600000000011</v>
      </c>
      <c r="O37" s="86">
        <f t="shared" si="24"/>
        <v>65.428000000000054</v>
      </c>
      <c r="P37" s="88">
        <f t="shared" si="18"/>
        <v>0</v>
      </c>
      <c r="Q37" s="89">
        <f t="shared" si="19"/>
        <v>-9.5719999999999459</v>
      </c>
      <c r="R37" s="90">
        <f t="shared" si="20"/>
        <v>0.872373333333334</v>
      </c>
      <c r="S37" s="575"/>
      <c r="T37" s="133">
        <v>0.4944444444444443</v>
      </c>
      <c r="U37" s="133">
        <v>0.51527777777777761</v>
      </c>
      <c r="V37" s="332">
        <v>5</v>
      </c>
      <c r="W37" s="134">
        <f t="shared" si="25"/>
        <v>29.999999999999972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-191.43999999999892</v>
      </c>
      <c r="AG37" s="171">
        <f t="shared" si="7"/>
        <v>0.872373333333334</v>
      </c>
      <c r="AH37" s="593"/>
    </row>
    <row r="38" spans="1:34" ht="19.2" customHeight="1">
      <c r="A38" s="613"/>
      <c r="B38" s="167">
        <v>0</v>
      </c>
      <c r="C38" s="175"/>
      <c r="D38" s="125"/>
      <c r="E38" s="126"/>
      <c r="F38" s="650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575"/>
      <c r="T38" s="133"/>
      <c r="U38" s="133"/>
      <c r="V38" s="332"/>
      <c r="W38" s="134"/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0</v>
      </c>
      <c r="AG38" s="171" t="e">
        <f t="shared" si="7"/>
        <v>#DIV/0!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J43:O43" si="26">AVERAGE(M31:M42)</f>
        <v>15.714285714285714</v>
      </c>
      <c r="N43" s="145">
        <f t="shared" si="26"/>
        <v>1696.1288411785679</v>
      </c>
      <c r="O43" s="148">
        <f t="shared" si="26"/>
        <v>122.1382544182208</v>
      </c>
      <c r="P43" s="95">
        <f>M43-J43</f>
        <v>0.14285714285714235</v>
      </c>
      <c r="Q43" s="131">
        <f>N43-K43</f>
        <v>-200.01401596428923</v>
      </c>
      <c r="R43" s="149">
        <f t="shared" ref="R43:R51" si="27">O43/L43</f>
        <v>0.88868423285428511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0</v>
      </c>
      <c r="AE43" s="151">
        <f>SUM(AE31:AE42)</f>
        <v>0</v>
      </c>
      <c r="AF43" s="88">
        <f t="shared" ref="AF43:AF54" si="28">N43-K43</f>
        <v>-200.01401596428923</v>
      </c>
      <c r="AG43" s="108">
        <f t="shared" si="7"/>
        <v>0.89451532345739282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405</v>
      </c>
      <c r="H44" s="83">
        <f>F44*G44</f>
        <v>9019.35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1735.7142857142871</v>
      </c>
      <c r="O44" s="187">
        <f>N44/M44</f>
        <v>347.14285714285745</v>
      </c>
      <c r="P44" s="92">
        <f t="shared" ref="P44:P51" si="29">M44-J44</f>
        <v>1</v>
      </c>
      <c r="Q44" s="188">
        <f t="shared" ref="Q44:Q51" si="30">O44-L44</f>
        <v>-152.85714285714255</v>
      </c>
      <c r="R44" s="189">
        <f t="shared" si="27"/>
        <v>0.69428571428571495</v>
      </c>
      <c r="S44" s="590">
        <f>R56</f>
        <v>0.85961433982526392</v>
      </c>
      <c r="T44" s="190">
        <v>0.16666666666666666</v>
      </c>
      <c r="U44" s="190">
        <v>0.17638888888888887</v>
      </c>
      <c r="V44" s="191">
        <v>5</v>
      </c>
      <c r="W44" s="192">
        <f t="shared" ref="W44:W56" si="31">(U44-T44)*24*60</f>
        <v>13.999999999999989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-264.28571428571286</v>
      </c>
      <c r="AG44" s="194">
        <f t="shared" si="7"/>
        <v>0.86785714285714355</v>
      </c>
      <c r="AH44" s="611">
        <f>AG56</f>
        <v>0.98992397137535426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1816</v>
      </c>
      <c r="H45" s="83">
        <f>F45*G45</f>
        <v>44909.68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2136.4705882352951</v>
      </c>
      <c r="O45" s="187">
        <f>N45/M45</f>
        <v>427.29411764705901</v>
      </c>
      <c r="P45" s="92">
        <f t="shared" si="29"/>
        <v>1</v>
      </c>
      <c r="Q45" s="188">
        <f t="shared" si="30"/>
        <v>-72.705882352940989</v>
      </c>
      <c r="R45" s="189">
        <f t="shared" si="27"/>
        <v>0.85458823529411798</v>
      </c>
      <c r="S45" s="590"/>
      <c r="T45" s="190">
        <v>0.17986111111111108</v>
      </c>
      <c r="U45" s="190">
        <v>0.21527777777777773</v>
      </c>
      <c r="V45" s="191">
        <v>5</v>
      </c>
      <c r="W45" s="192">
        <f t="shared" si="31"/>
        <v>50.999999999999979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136.47058823529505</v>
      </c>
      <c r="AG45" s="194">
        <f t="shared" si="7"/>
        <v>1.0682352941176476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1716</v>
      </c>
      <c r="H46" s="83">
        <f t="shared" ref="H46:H51" si="32">F46*G46</f>
        <v>42436.68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2145.0000000000005</v>
      </c>
      <c r="O46" s="187">
        <f>N46/M46</f>
        <v>429.00000000000011</v>
      </c>
      <c r="P46" s="92">
        <f t="shared" si="29"/>
        <v>1</v>
      </c>
      <c r="Q46" s="188">
        <f t="shared" si="30"/>
        <v>-70.999999999999886</v>
      </c>
      <c r="R46" s="189">
        <f t="shared" si="27"/>
        <v>0.85800000000000021</v>
      </c>
      <c r="S46" s="590"/>
      <c r="T46" s="190">
        <v>0.21874999999999994</v>
      </c>
      <c r="U46" s="190">
        <v>0.25208333333333327</v>
      </c>
      <c r="V46" s="191">
        <v>5</v>
      </c>
      <c r="W46" s="192">
        <f t="shared" si="31"/>
        <v>47.999999999999986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145.00000000000045</v>
      </c>
      <c r="AG46" s="194">
        <f t="shared" si="7"/>
        <v>1.0725000000000002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2455</v>
      </c>
      <c r="H47" s="83">
        <f t="shared" si="32"/>
        <v>77160.649999999994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1458.4158415841591</v>
      </c>
      <c r="O47" s="187">
        <f>N47/M47</f>
        <v>208.34512022630844</v>
      </c>
      <c r="P47" s="92">
        <f t="shared" si="29"/>
        <v>0</v>
      </c>
      <c r="Q47" s="188">
        <f t="shared" si="30"/>
        <v>-5.9405940594058393</v>
      </c>
      <c r="R47" s="189">
        <f t="shared" si="27"/>
        <v>0.9722772277227727</v>
      </c>
      <c r="S47" s="590"/>
      <c r="T47" s="190">
        <v>0.26944444444444438</v>
      </c>
      <c r="U47" s="190">
        <v>0.33958333333333324</v>
      </c>
      <c r="V47" s="186">
        <v>25</v>
      </c>
      <c r="W47" s="192">
        <f t="shared" si="31"/>
        <v>100.99999999999996</v>
      </c>
      <c r="X47" s="169">
        <v>0.25555555555555559</v>
      </c>
      <c r="Y47" s="169">
        <v>0.26666666666666666</v>
      </c>
      <c r="Z47" s="170"/>
      <c r="AA47" s="170"/>
      <c r="AB47" s="571"/>
      <c r="AC47" s="571"/>
      <c r="AD47" s="332"/>
      <c r="AE47" s="332"/>
      <c r="AF47" s="193">
        <f t="shared" si="28"/>
        <v>-41.584158415840875</v>
      </c>
      <c r="AG47" s="194">
        <f t="shared" si="7"/>
        <v>0.9722772277227727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2111</v>
      </c>
      <c r="H48" s="83">
        <f t="shared" si="32"/>
        <v>24487.599999999999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1472.7906976744184</v>
      </c>
      <c r="O48" s="187">
        <f t="shared" ref="O48:O51" si="34">N48/M48</f>
        <v>210.39867109634548</v>
      </c>
      <c r="P48" s="92">
        <f t="shared" si="29"/>
        <v>0</v>
      </c>
      <c r="Q48" s="188">
        <f t="shared" si="30"/>
        <v>-23.315614617940241</v>
      </c>
      <c r="R48" s="189">
        <f t="shared" si="27"/>
        <v>0.90023881275942441</v>
      </c>
      <c r="S48" s="590"/>
      <c r="T48" s="201">
        <v>0.35694444444444434</v>
      </c>
      <c r="U48" s="201">
        <v>0.41666666666666657</v>
      </c>
      <c r="V48" s="183">
        <v>25</v>
      </c>
      <c r="W48" s="192">
        <f t="shared" si="31"/>
        <v>86.000000000000014</v>
      </c>
      <c r="X48" s="169">
        <v>0.3430555555555555</v>
      </c>
      <c r="Y48" s="169">
        <v>0.35416666666666669</v>
      </c>
      <c r="Z48" s="170"/>
      <c r="AA48" s="170"/>
      <c r="AB48" s="571"/>
      <c r="AC48" s="571"/>
      <c r="AD48" s="332"/>
      <c r="AE48" s="332"/>
      <c r="AF48" s="193">
        <f t="shared" si="28"/>
        <v>-163.20930232558158</v>
      </c>
      <c r="AG48" s="194">
        <f t="shared" si="7"/>
        <v>0.90023881275942441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2415.2000000000003</v>
      </c>
      <c r="H49" s="83">
        <f t="shared" si="32"/>
        <v>24369.368000000002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1449.1199999999997</v>
      </c>
      <c r="O49" s="187">
        <f t="shared" si="34"/>
        <v>241.51999999999995</v>
      </c>
      <c r="P49" s="92">
        <f t="shared" si="29"/>
        <v>0</v>
      </c>
      <c r="Q49" s="188">
        <f t="shared" si="30"/>
        <v>-8.4800000000000466</v>
      </c>
      <c r="R49" s="189">
        <f t="shared" si="27"/>
        <v>0.96607999999999983</v>
      </c>
      <c r="S49" s="590"/>
      <c r="T49" s="201">
        <v>0.42361111111111099</v>
      </c>
      <c r="U49" s="201">
        <v>0.49305555555555547</v>
      </c>
      <c r="V49" s="183">
        <v>10</v>
      </c>
      <c r="W49" s="192">
        <f t="shared" si="31"/>
        <v>100.00000000000004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-50.880000000000337</v>
      </c>
      <c r="AG49" s="194">
        <f t="shared" si="7"/>
        <v>0.96607999999999983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2535.96</v>
      </c>
      <c r="H50" s="83">
        <f t="shared" si="32"/>
        <v>25587.8364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1463.053846153847</v>
      </c>
      <c r="O50" s="187">
        <f t="shared" si="34"/>
        <v>243.84230769230783</v>
      </c>
      <c r="P50" s="92">
        <f t="shared" si="29"/>
        <v>0</v>
      </c>
      <c r="Q50" s="188">
        <f t="shared" si="30"/>
        <v>-6.157692307692173</v>
      </c>
      <c r="R50" s="189">
        <f t="shared" si="27"/>
        <v>0.97536923076923132</v>
      </c>
      <c r="S50" s="590"/>
      <c r="T50" s="201">
        <v>0.51388888888888884</v>
      </c>
      <c r="U50" s="201">
        <v>0.58611111111111103</v>
      </c>
      <c r="V50" s="183">
        <v>30</v>
      </c>
      <c r="W50" s="192">
        <f t="shared" si="31"/>
        <v>103.99999999999994</v>
      </c>
      <c r="X50" s="202">
        <v>0.49652777777777773</v>
      </c>
      <c r="Y50" s="202">
        <v>0.51111111111111118</v>
      </c>
      <c r="Z50" s="203"/>
      <c r="AA50" s="203"/>
      <c r="AB50" s="571"/>
      <c r="AC50" s="571"/>
      <c r="AD50" s="332"/>
      <c r="AE50" s="332"/>
      <c r="AF50" s="193">
        <f t="shared" si="28"/>
        <v>-36.946153846153038</v>
      </c>
      <c r="AG50" s="194">
        <f t="shared" si="7"/>
        <v>0.97536923076923132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1422</v>
      </c>
      <c r="H51" s="83">
        <f t="shared" si="32"/>
        <v>31170.240000000002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2132.9999999999995</v>
      </c>
      <c r="O51" s="187">
        <f t="shared" si="34"/>
        <v>426.59999999999991</v>
      </c>
      <c r="P51" s="92">
        <f t="shared" si="29"/>
        <v>1</v>
      </c>
      <c r="Q51" s="188">
        <f t="shared" si="30"/>
        <v>-73.400000000000091</v>
      </c>
      <c r="R51" s="189">
        <f t="shared" si="27"/>
        <v>0.85319999999999985</v>
      </c>
      <c r="S51" s="590"/>
      <c r="T51" s="201">
        <v>0.59305555555555545</v>
      </c>
      <c r="U51" s="201">
        <v>0.62083333333333324</v>
      </c>
      <c r="V51" s="183">
        <v>10</v>
      </c>
      <c r="W51" s="192">
        <f t="shared" si="31"/>
        <v>40.000000000000014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132.99999999999955</v>
      </c>
      <c r="AG51" s="194">
        <f t="shared" si="7"/>
        <v>1.0664999999999998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1749.1956574202509</v>
      </c>
      <c r="O56" s="148">
        <f t="shared" si="35"/>
        <v>316.76788422560975</v>
      </c>
      <c r="P56" s="208">
        <f>M56-J56</f>
        <v>0.5</v>
      </c>
      <c r="Q56" s="162">
        <f>N56-K56</f>
        <v>-17.804342579749118</v>
      </c>
      <c r="R56" s="209">
        <f t="shared" ref="R56:R61" si="36">O56/L56</f>
        <v>0.85961433982526392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-17.804342579749118</v>
      </c>
      <c r="AG56" s="132">
        <f>N56/K56</f>
        <v>0.98992397137535426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1490</v>
      </c>
      <c r="H57" s="127">
        <f t="shared" ref="H57:H66" si="37">F57*G57</f>
        <v>42107.4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1441.9354838709683</v>
      </c>
      <c r="O57" s="129">
        <f t="shared" ref="O57:O61" si="39">N57/M57</f>
        <v>205.99078341013833</v>
      </c>
      <c r="P57" s="216">
        <f t="shared" ref="P57:P61" si="40">M57-J57</f>
        <v>0</v>
      </c>
      <c r="Q57" s="89">
        <f t="shared" ref="Q57:Q61" si="41">O57-L57</f>
        <v>-8.2949308755759432</v>
      </c>
      <c r="R57" s="90">
        <f t="shared" si="36"/>
        <v>0.96129032258064562</v>
      </c>
      <c r="S57" s="590">
        <f>R69</f>
        <v>0.9177469119191306</v>
      </c>
      <c r="T57" s="190">
        <v>0.16666666666666666</v>
      </c>
      <c r="U57" s="190">
        <v>0.2097222222222222</v>
      </c>
      <c r="V57" s="75">
        <v>5</v>
      </c>
      <c r="W57" s="84">
        <f>(U57-T57)*24*60</f>
        <v>61.999999999999979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-58.064516129031745</v>
      </c>
      <c r="AG57" s="166">
        <f t="shared" si="7"/>
        <v>0.96129032258064551</v>
      </c>
      <c r="AH57" s="592">
        <f>AG69</f>
        <v>0.9789300393804059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2249</v>
      </c>
      <c r="H58" s="83">
        <f t="shared" si="37"/>
        <v>62702.119999999995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1450.9677419354834</v>
      </c>
      <c r="O58" s="86">
        <f t="shared" si="39"/>
        <v>207.28110599078335</v>
      </c>
      <c r="P58" s="216">
        <f t="shared" si="40"/>
        <v>0</v>
      </c>
      <c r="Q58" s="89">
        <f t="shared" si="41"/>
        <v>-7.0046082949309323</v>
      </c>
      <c r="R58" s="90">
        <f t="shared" si="36"/>
        <v>0.967311827956989</v>
      </c>
      <c r="S58" s="590"/>
      <c r="T58" s="217">
        <v>0.21666666666666665</v>
      </c>
      <c r="U58" s="217">
        <v>0.28125</v>
      </c>
      <c r="V58" s="75">
        <v>10</v>
      </c>
      <c r="W58" s="84">
        <f>(U58-T58)*24*60</f>
        <v>93.000000000000028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-49.032258064516554</v>
      </c>
      <c r="AG58" s="90">
        <f t="shared" si="7"/>
        <v>0.967311827956989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2422</v>
      </c>
      <c r="H59" s="83">
        <f t="shared" si="37"/>
        <v>67816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1482.8571428571433</v>
      </c>
      <c r="O59" s="86">
        <f t="shared" si="39"/>
        <v>211.83673469387762</v>
      </c>
      <c r="P59" s="216">
        <f t="shared" si="40"/>
        <v>0</v>
      </c>
      <c r="Q59" s="89">
        <f t="shared" si="41"/>
        <v>-2.448979591836661</v>
      </c>
      <c r="R59" s="90">
        <f t="shared" si="36"/>
        <v>0.98857142857142888</v>
      </c>
      <c r="S59" s="590"/>
      <c r="T59" s="217">
        <v>0.2986111111111111</v>
      </c>
      <c r="U59" s="217">
        <v>0.36666666666666664</v>
      </c>
      <c r="V59" s="191">
        <v>25</v>
      </c>
      <c r="W59" s="84">
        <f>(U59-T59)*24*60</f>
        <v>97.999999999999972</v>
      </c>
      <c r="X59" s="94">
        <v>0.28472222222222221</v>
      </c>
      <c r="Y59" s="94">
        <v>0.29583333333333334</v>
      </c>
      <c r="Z59" s="95"/>
      <c r="AA59" s="95"/>
      <c r="AB59" s="571"/>
      <c r="AC59" s="571"/>
      <c r="AD59" s="332"/>
      <c r="AE59" s="332"/>
      <c r="AF59" s="88">
        <f t="shared" si="6"/>
        <v>-17.142857142856656</v>
      </c>
      <c r="AG59" s="90">
        <f t="shared" si="7"/>
        <v>0.98857142857142888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2294.44</v>
      </c>
      <c r="H60" s="83">
        <f t="shared" si="37"/>
        <v>23150.899600000001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1464.5361702127661</v>
      </c>
      <c r="O60" s="86">
        <f t="shared" si="39"/>
        <v>209.21945288753801</v>
      </c>
      <c r="P60" s="216">
        <f t="shared" si="40"/>
        <v>1</v>
      </c>
      <c r="Q60" s="89">
        <f t="shared" si="41"/>
        <v>-40.780547112461988</v>
      </c>
      <c r="R60" s="90">
        <f t="shared" si="36"/>
        <v>0.83687781155015206</v>
      </c>
      <c r="S60" s="590"/>
      <c r="T60" s="217">
        <v>0.38402777777777775</v>
      </c>
      <c r="U60" s="217">
        <v>0.44930555555555551</v>
      </c>
      <c r="V60" s="191">
        <v>25</v>
      </c>
      <c r="W60" s="84">
        <f>(U60-T60)*24*60</f>
        <v>93.999999999999986</v>
      </c>
      <c r="X60" s="94">
        <v>0.37013888888888885</v>
      </c>
      <c r="Y60" s="94">
        <v>0.38125000000000003</v>
      </c>
      <c r="Z60" s="95"/>
      <c r="AA60" s="95"/>
      <c r="AB60" s="571"/>
      <c r="AC60" s="571"/>
      <c r="AD60" s="332"/>
      <c r="AE60" s="332"/>
      <c r="AF60" s="88">
        <f t="shared" si="6"/>
        <v>-35.463829787233863</v>
      </c>
      <c r="AG60" s="166">
        <f t="shared" si="7"/>
        <v>0.97635744680851078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4830.4000000000005</v>
      </c>
      <c r="H61" s="83">
        <f t="shared" si="37"/>
        <v>48738.736000000004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1501.6787564766837</v>
      </c>
      <c r="O61" s="86">
        <f t="shared" si="39"/>
        <v>214.52553663952625</v>
      </c>
      <c r="P61" s="216">
        <f t="shared" si="40"/>
        <v>1</v>
      </c>
      <c r="Q61" s="89">
        <f t="shared" si="41"/>
        <v>-35.474463360473749</v>
      </c>
      <c r="R61" s="90">
        <f t="shared" si="36"/>
        <v>0.85810214655810502</v>
      </c>
      <c r="S61" s="590"/>
      <c r="T61" s="217">
        <v>0.47013888888888883</v>
      </c>
      <c r="U61" s="217">
        <v>0.60416666666666663</v>
      </c>
      <c r="V61" s="191">
        <v>30</v>
      </c>
      <c r="W61" s="84">
        <f>(U61-T61)*24*60</f>
        <v>193.00000000000003</v>
      </c>
      <c r="X61" s="94">
        <v>0.45277777777777778</v>
      </c>
      <c r="Y61" s="94">
        <v>0.46736111111111112</v>
      </c>
      <c r="Z61" s="95"/>
      <c r="AA61" s="95"/>
      <c r="AB61" s="571"/>
      <c r="AC61" s="571"/>
      <c r="AD61" s="332"/>
      <c r="AE61" s="332"/>
      <c r="AF61" s="88">
        <f t="shared" si="6"/>
        <v>1.6787564766837022</v>
      </c>
      <c r="AG61" s="90">
        <f t="shared" si="7"/>
        <v>1.0011191709844558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1468.3950590706088</v>
      </c>
      <c r="O69" s="116">
        <f t="shared" si="43"/>
        <v>209.77072272437272</v>
      </c>
      <c r="P69" s="88">
        <f>M69-J69</f>
        <v>0.40000000000000036</v>
      </c>
      <c r="Q69" s="89">
        <f>N69-K69</f>
        <v>-31.604940929391205</v>
      </c>
      <c r="R69" s="225">
        <f t="shared" ref="R69:R70" si="44">O69/L69</f>
        <v>0.9177469119191306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-31.604940929391205</v>
      </c>
      <c r="AG69" s="90">
        <f t="shared" si="7"/>
        <v>0.9789300393804059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427</v>
      </c>
      <c r="H70" s="83">
        <f>F70*G70</f>
        <v>26529.510000000002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6" si="45">G70/W70*60</f>
        <v>1219.9999999999995</v>
      </c>
      <c r="O70" s="86">
        <f t="shared" ref="O70:O76" si="46">N70/M70</f>
        <v>87.14285714285711</v>
      </c>
      <c r="P70" s="88">
        <f t="shared" ref="P70:P76" si="47">M70-J70</f>
        <v>0</v>
      </c>
      <c r="Q70" s="89">
        <f t="shared" ref="Q70" si="48">O70-L70</f>
        <v>-20.000000000000028</v>
      </c>
      <c r="R70" s="90">
        <f t="shared" si="44"/>
        <v>0.81333333333333302</v>
      </c>
      <c r="S70" s="590">
        <f>R82</f>
        <v>0.85649497125737295</v>
      </c>
      <c r="T70" s="91">
        <v>0.29166666666666669</v>
      </c>
      <c r="U70" s="91">
        <v>0.30625000000000002</v>
      </c>
      <c r="V70" s="75">
        <v>5</v>
      </c>
      <c r="W70" s="84">
        <f>(U70-T70)*24*60</f>
        <v>21.000000000000007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-280.00000000000045</v>
      </c>
      <c r="AG70" s="90">
        <f t="shared" si="7"/>
        <v>0.81333333333333302</v>
      </c>
      <c r="AH70" s="590">
        <f>AG82</f>
        <v>0.86876044722263668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1868</v>
      </c>
      <c r="H71" s="83">
        <f>F71*G71</f>
        <v>89010.2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1334.2857142857138</v>
      </c>
      <c r="O71" s="86">
        <f t="shared" si="46"/>
        <v>74.126984126984098</v>
      </c>
      <c r="P71" s="88">
        <f t="shared" si="47"/>
        <v>0</v>
      </c>
      <c r="Q71" s="89">
        <f>O71-L71</f>
        <v>-5.8730158730159019</v>
      </c>
      <c r="R71" s="90">
        <f>O71/L71</f>
        <v>0.92658730158730118</v>
      </c>
      <c r="S71" s="590"/>
      <c r="T71" s="91">
        <v>0.31111111111111112</v>
      </c>
      <c r="U71" s="91">
        <v>0.36944444444444446</v>
      </c>
      <c r="V71" s="75">
        <v>7</v>
      </c>
      <c r="W71" s="84">
        <f t="shared" ref="W71:W81" si="49">(U71-T71)*24*60</f>
        <v>84.000000000000028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-105.71428571428623</v>
      </c>
      <c r="AG71" s="90">
        <f>N71/K71</f>
        <v>0.92658730158730118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1533.5</v>
      </c>
      <c r="H72" s="83">
        <f t="shared" ref="H72:H80" si="50">F72*G72</f>
        <v>87179.475000000006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1373.2835820895523</v>
      </c>
      <c r="O72" s="86">
        <f t="shared" si="46"/>
        <v>76.293532338308466</v>
      </c>
      <c r="P72" s="88">
        <f t="shared" si="47"/>
        <v>0</v>
      </c>
      <c r="Q72" s="89">
        <f>O72-L72</f>
        <v>-14.595356550580419</v>
      </c>
      <c r="R72" s="90">
        <f>O72/L72</f>
        <v>0.83941539247527652</v>
      </c>
      <c r="S72" s="590"/>
      <c r="T72" s="91">
        <v>0.38541666666666669</v>
      </c>
      <c r="U72" s="91">
        <v>0.43194444444444446</v>
      </c>
      <c r="V72" s="75">
        <v>23</v>
      </c>
      <c r="W72" s="84">
        <f t="shared" si="49"/>
        <v>67</v>
      </c>
      <c r="X72" s="94">
        <v>0.37291666666666662</v>
      </c>
      <c r="Y72" s="94">
        <v>0.38263888888888892</v>
      </c>
      <c r="Z72" s="95"/>
      <c r="AA72" s="95"/>
      <c r="AB72" s="571"/>
      <c r="AC72" s="571"/>
      <c r="AD72" s="332"/>
      <c r="AE72" s="332"/>
      <c r="AF72" s="88">
        <f>N72-K72</f>
        <v>-262.71641791044772</v>
      </c>
      <c r="AG72" s="90">
        <f>N72/K72</f>
        <v>0.83941539247527641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2017</v>
      </c>
      <c r="H73" s="83">
        <f t="shared" si="50"/>
        <v>108433.92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1329.8901098901099</v>
      </c>
      <c r="O73" s="86">
        <f t="shared" si="46"/>
        <v>83.118131868131869</v>
      </c>
      <c r="P73" s="88">
        <f t="shared" si="47"/>
        <v>0</v>
      </c>
      <c r="Q73" s="89">
        <f>O73-L73</f>
        <v>-6.8818681318681314</v>
      </c>
      <c r="R73" s="90">
        <f>O73/L73</f>
        <v>0.92353479853479858</v>
      </c>
      <c r="S73" s="590"/>
      <c r="T73" s="91">
        <v>0.47222222222222221</v>
      </c>
      <c r="U73" s="91">
        <v>0.53541666666666665</v>
      </c>
      <c r="V73" s="75">
        <v>5</v>
      </c>
      <c r="W73" s="84">
        <f t="shared" si="49"/>
        <v>91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-110.1098901098901</v>
      </c>
      <c r="AG73" s="90">
        <f>N73/K73</f>
        <v>0.92353479853479858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2082</v>
      </c>
      <c r="H74" s="83">
        <f t="shared" si="50"/>
        <v>98915.819999999992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1328.9361702127662</v>
      </c>
      <c r="O74" s="86">
        <f t="shared" si="46"/>
        <v>78.172715894868603</v>
      </c>
      <c r="P74" s="88">
        <f t="shared" si="47"/>
        <v>0</v>
      </c>
      <c r="Q74" s="89">
        <f>O74-L74</f>
        <v>-6.5331664580725715</v>
      </c>
      <c r="R74" s="90">
        <f>O74/L74</f>
        <v>0.92287234042553212</v>
      </c>
      <c r="S74" s="590"/>
      <c r="T74" s="91">
        <v>0.55069444444444438</v>
      </c>
      <c r="U74" s="91">
        <v>0.61597222222222214</v>
      </c>
      <c r="V74" s="75">
        <v>22</v>
      </c>
      <c r="W74" s="84">
        <f t="shared" si="49"/>
        <v>93.999999999999986</v>
      </c>
      <c r="X74" s="233">
        <v>0.53888888888888886</v>
      </c>
      <c r="Y74" s="233">
        <v>0.54791666666666672</v>
      </c>
      <c r="Z74" s="170"/>
      <c r="AA74" s="170"/>
      <c r="AB74" s="571"/>
      <c r="AC74" s="571"/>
      <c r="AD74" s="332"/>
      <c r="AE74" s="332"/>
      <c r="AF74" s="88">
        <f t="shared" ref="AF74:AF80" si="51">N74-K74</f>
        <v>-111.06382978723377</v>
      </c>
      <c r="AG74" s="90">
        <f t="shared" ref="AG74:AG80" si="52">N74/K74</f>
        <v>0.92287234042553212</v>
      </c>
      <c r="AH74" s="590"/>
    </row>
    <row r="75" spans="1:34" ht="19.2" customHeight="1">
      <c r="A75" s="602"/>
      <c r="B75" s="75" t="s">
        <v>243</v>
      </c>
      <c r="C75" s="109"/>
      <c r="D75" s="226" t="s">
        <v>122</v>
      </c>
      <c r="E75" s="81"/>
      <c r="F75" s="650">
        <v>53.36</v>
      </c>
      <c r="G75" s="98">
        <v>1589.99</v>
      </c>
      <c r="H75" s="83">
        <f t="shared" si="50"/>
        <v>84841.866399999999</v>
      </c>
      <c r="I75" s="75"/>
      <c r="J75" s="231">
        <v>19</v>
      </c>
      <c r="K75" s="232">
        <v>1440</v>
      </c>
      <c r="L75" s="129">
        <v>75.78947368421052</v>
      </c>
      <c r="M75" s="87">
        <v>19</v>
      </c>
      <c r="N75" s="82">
        <f t="shared" si="45"/>
        <v>1255.2552631578938</v>
      </c>
      <c r="O75" s="86">
        <f t="shared" si="46"/>
        <v>66.066066481994412</v>
      </c>
      <c r="P75" s="88">
        <f t="shared" si="47"/>
        <v>0</v>
      </c>
      <c r="Q75" s="89">
        <f t="shared" ref="Q75:Q76" si="53">O75-L75</f>
        <v>-9.7234072022161087</v>
      </c>
      <c r="R75" s="90">
        <f t="shared" ref="R75:R76" si="54">O75/L75</f>
        <v>0.87170504385964853</v>
      </c>
      <c r="S75" s="590"/>
      <c r="T75" s="91">
        <v>0.6201388888888888</v>
      </c>
      <c r="U75" s="91">
        <v>0.67291666666666661</v>
      </c>
      <c r="V75" s="75">
        <v>6</v>
      </c>
      <c r="W75" s="84">
        <f t="shared" si="49"/>
        <v>76.000000000000057</v>
      </c>
      <c r="X75" s="233"/>
      <c r="Y75" s="233"/>
      <c r="Z75" s="170"/>
      <c r="AA75" s="170"/>
      <c r="AB75" s="571"/>
      <c r="AC75" s="571"/>
      <c r="AD75" s="332"/>
      <c r="AE75" s="332"/>
      <c r="AF75" s="88">
        <f t="shared" si="51"/>
        <v>-184.74473684210625</v>
      </c>
      <c r="AG75" s="90">
        <f t="shared" si="52"/>
        <v>0.87170504385964842</v>
      </c>
      <c r="AH75" s="590"/>
    </row>
    <row r="76" spans="1:34" ht="19.2" customHeight="1">
      <c r="A76" s="602"/>
      <c r="B76" s="75" t="s">
        <v>247</v>
      </c>
      <c r="C76" s="228"/>
      <c r="D76" s="229" t="s">
        <v>136</v>
      </c>
      <c r="E76" s="230"/>
      <c r="F76" s="650">
        <v>55.32</v>
      </c>
      <c r="G76" s="227">
        <v>531</v>
      </c>
      <c r="H76" s="83">
        <f t="shared" si="50"/>
        <v>29374.920000000002</v>
      </c>
      <c r="I76" s="75"/>
      <c r="J76" s="231">
        <v>14</v>
      </c>
      <c r="K76" s="232">
        <v>1440</v>
      </c>
      <c r="L76" s="129">
        <v>102.85714285714286</v>
      </c>
      <c r="M76" s="174">
        <v>15</v>
      </c>
      <c r="N76" s="82">
        <f t="shared" si="45"/>
        <v>1137.8571428571404</v>
      </c>
      <c r="O76" s="86">
        <f t="shared" si="46"/>
        <v>75.857142857142691</v>
      </c>
      <c r="P76" s="88">
        <f t="shared" si="47"/>
        <v>1</v>
      </c>
      <c r="Q76" s="89">
        <f t="shared" si="53"/>
        <v>-27.000000000000171</v>
      </c>
      <c r="R76" s="90">
        <f t="shared" si="54"/>
        <v>0.73749999999999838</v>
      </c>
      <c r="S76" s="590"/>
      <c r="T76" s="91">
        <v>0.70833333333333337</v>
      </c>
      <c r="U76" s="91">
        <v>0.72777777777777786</v>
      </c>
      <c r="V76" s="75">
        <v>5</v>
      </c>
      <c r="W76" s="84">
        <f t="shared" si="49"/>
        <v>28.00000000000006</v>
      </c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-302.14285714285961</v>
      </c>
      <c r="AG76" s="90">
        <f t="shared" si="52"/>
        <v>0.79017857142856973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>
        <f t="shared" si="49"/>
        <v>0</v>
      </c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>
        <f t="shared" si="49"/>
        <v>0</v>
      </c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16.571428571428573</v>
      </c>
      <c r="K82" s="145">
        <v>1476.5714285714287</v>
      </c>
      <c r="L82" s="148">
        <v>90.197749275148652</v>
      </c>
      <c r="M82" s="145">
        <f t="shared" ref="J82:O82" si="55">AVERAGE(M70:M81)</f>
        <v>16.714285714285715</v>
      </c>
      <c r="N82" s="145">
        <f t="shared" si="55"/>
        <v>1282.786854641882</v>
      </c>
      <c r="O82" s="237">
        <f t="shared" si="55"/>
        <v>77.25391867289818</v>
      </c>
      <c r="P82" s="161">
        <f>M82-J82</f>
        <v>0.14285714285714235</v>
      </c>
      <c r="Q82" s="162">
        <f>N82-K82</f>
        <v>-193.7845739295467</v>
      </c>
      <c r="R82" s="225">
        <f>O82/L82</f>
        <v>0.85649497125737295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-193.7845739295467</v>
      </c>
      <c r="AG82" s="90">
        <f>N82/K82</f>
        <v>0.86876044722263668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1589.99</v>
      </c>
      <c r="H83" s="127">
        <f t="shared" ref="H83:H94" si="56">F83*G83</f>
        <v>84841.866399999999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1223.0692307692316</v>
      </c>
      <c r="O83" s="236">
        <f t="shared" ref="O83:O89" si="58">N83/M83</f>
        <v>64.372064777327978</v>
      </c>
      <c r="P83" s="95">
        <f t="shared" ref="P83:P89" si="59">M83-J83</f>
        <v>0</v>
      </c>
      <c r="Q83" s="131">
        <f t="shared" ref="Q83:Q89" si="60">O83-L83</f>
        <v>-11.417408906882542</v>
      </c>
      <c r="R83" s="239">
        <f t="shared" ref="R83:R89" si="61">O83/L83</f>
        <v>0.84935363247863316</v>
      </c>
      <c r="S83" s="590">
        <f>R95</f>
        <v>0.82897784993893209</v>
      </c>
      <c r="T83" s="91">
        <v>0.33333333333333331</v>
      </c>
      <c r="U83" s="91">
        <v>0.38749999999999996</v>
      </c>
      <c r="V83" s="75">
        <v>5</v>
      </c>
      <c r="W83" s="84">
        <f t="shared" ref="W83:W93" si="62">(U83-T83)*24*60</f>
        <v>77.999999999999957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-216.93076923076842</v>
      </c>
      <c r="AG83" s="90">
        <f t="shared" ref="AG83:AG173" si="64">N83/K83</f>
        <v>0.84935363247863305</v>
      </c>
      <c r="AH83" s="590">
        <f>AG95</f>
        <v>0.83562472916348629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1949.02</v>
      </c>
      <c r="H84" s="127">
        <f t="shared" si="56"/>
        <v>103999.7072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1205.5793814432993</v>
      </c>
      <c r="O84" s="236">
        <f t="shared" si="58"/>
        <v>63.451546391752593</v>
      </c>
      <c r="P84" s="95">
        <f t="shared" si="59"/>
        <v>0</v>
      </c>
      <c r="Q84" s="131">
        <f t="shared" si="60"/>
        <v>-12.337927292457927</v>
      </c>
      <c r="R84" s="239">
        <f t="shared" si="61"/>
        <v>0.83720790378006904</v>
      </c>
      <c r="S84" s="590"/>
      <c r="T84" s="91">
        <v>0.40277777777777773</v>
      </c>
      <c r="U84" s="91">
        <v>0.47013888888888883</v>
      </c>
      <c r="V84" s="75">
        <v>22</v>
      </c>
      <c r="W84" s="84">
        <f t="shared" si="62"/>
        <v>96.999999999999972</v>
      </c>
      <c r="X84" s="94">
        <v>0.39097222222222222</v>
      </c>
      <c r="Y84" s="94">
        <v>0.39999999999999997</v>
      </c>
      <c r="Z84" s="95"/>
      <c r="AA84" s="95"/>
      <c r="AB84" s="571"/>
      <c r="AC84" s="571"/>
      <c r="AD84" s="332"/>
      <c r="AE84" s="332"/>
      <c r="AF84" s="88">
        <f t="shared" si="63"/>
        <v>-234.42061855670067</v>
      </c>
      <c r="AG84" s="90">
        <f t="shared" si="64"/>
        <v>0.83720790378006893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1095</v>
      </c>
      <c r="H85" s="127">
        <f t="shared" si="56"/>
        <v>56666.25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1314.0000000000005</v>
      </c>
      <c r="O85" s="236">
        <f t="shared" si="58"/>
        <v>62.571428571428591</v>
      </c>
      <c r="P85" s="95">
        <f t="shared" si="59"/>
        <v>0</v>
      </c>
      <c r="Q85" s="131">
        <f t="shared" si="60"/>
        <v>-8.8571428571428399</v>
      </c>
      <c r="R85" s="239">
        <f t="shared" si="61"/>
        <v>0.87600000000000022</v>
      </c>
      <c r="S85" s="590"/>
      <c r="T85" s="91">
        <v>0.51180555555555551</v>
      </c>
      <c r="U85" s="91">
        <v>0.54652777777777772</v>
      </c>
      <c r="V85" s="75">
        <v>7</v>
      </c>
      <c r="W85" s="84">
        <f t="shared" si="62"/>
        <v>49.999999999999986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-185.99999999999955</v>
      </c>
      <c r="AG85" s="90">
        <f t="shared" si="64"/>
        <v>0.87600000000000033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487</v>
      </c>
      <c r="H86" s="127">
        <f t="shared" si="56"/>
        <v>28898.58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1082.2222222222197</v>
      </c>
      <c r="O86" s="236">
        <f t="shared" si="58"/>
        <v>63.6601307189541</v>
      </c>
      <c r="P86" s="95">
        <f t="shared" si="59"/>
        <v>0</v>
      </c>
      <c r="Q86" s="131">
        <f t="shared" si="60"/>
        <v>-21.045751633987074</v>
      </c>
      <c r="R86" s="239">
        <f t="shared" si="61"/>
        <v>0.75154320987654144</v>
      </c>
      <c r="S86" s="590"/>
      <c r="T86" s="91">
        <v>0.55208333333333326</v>
      </c>
      <c r="U86" s="91">
        <v>0.5708333333333333</v>
      </c>
      <c r="V86" s="75">
        <v>8</v>
      </c>
      <c r="W86" s="84">
        <f t="shared" si="62"/>
        <v>27.000000000000064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-357.77777777778033</v>
      </c>
      <c r="AG86" s="90">
        <f t="shared" si="64"/>
        <v>0.75154320987654144</v>
      </c>
      <c r="AH86" s="590"/>
    </row>
    <row r="87" spans="1:34" ht="19.2" customHeight="1">
      <c r="A87" s="601"/>
      <c r="B87" s="154" t="s">
        <v>247</v>
      </c>
      <c r="C87" s="141"/>
      <c r="D87" s="240" t="s">
        <v>133</v>
      </c>
      <c r="E87" s="81"/>
      <c r="F87" s="657">
        <v>56.43</v>
      </c>
      <c r="G87" s="82">
        <v>978</v>
      </c>
      <c r="H87" s="127">
        <f t="shared" si="56"/>
        <v>55188.54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1364.6511627906975</v>
      </c>
      <c r="O87" s="236">
        <f t="shared" si="58"/>
        <v>75.813953488372078</v>
      </c>
      <c r="P87" s="95">
        <f t="shared" si="59"/>
        <v>0</v>
      </c>
      <c r="Q87" s="131">
        <f t="shared" si="60"/>
        <v>-7.5193798449612501</v>
      </c>
      <c r="R87" s="239">
        <f t="shared" si="61"/>
        <v>0.90976744186046499</v>
      </c>
      <c r="S87" s="590"/>
      <c r="T87" s="91">
        <v>0.58680555555555558</v>
      </c>
      <c r="U87" s="91">
        <v>0.6166666666666667</v>
      </c>
      <c r="V87" s="75">
        <v>23</v>
      </c>
      <c r="W87" s="84">
        <f t="shared" si="62"/>
        <v>43.000000000000007</v>
      </c>
      <c r="X87" s="94">
        <v>0.57430555555555551</v>
      </c>
      <c r="Y87" s="94">
        <v>0.58402777777777781</v>
      </c>
      <c r="Z87" s="95"/>
      <c r="AA87" s="95"/>
      <c r="AB87" s="571"/>
      <c r="AC87" s="571"/>
      <c r="AD87" s="332"/>
      <c r="AE87" s="332"/>
      <c r="AF87" s="88">
        <f t="shared" si="63"/>
        <v>-135.34883720930247</v>
      </c>
      <c r="AG87" s="90">
        <f t="shared" si="64"/>
        <v>0.90976744186046499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946</v>
      </c>
      <c r="H88" s="127">
        <f t="shared" si="56"/>
        <v>55028.82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1158.3673469387759</v>
      </c>
      <c r="O88" s="236">
        <f t="shared" si="58"/>
        <v>57.918367346938794</v>
      </c>
      <c r="P88" s="95">
        <f t="shared" si="59"/>
        <v>1</v>
      </c>
      <c r="Q88" s="131">
        <f t="shared" si="60"/>
        <v>-14.976369495166466</v>
      </c>
      <c r="R88" s="239">
        <f t="shared" si="61"/>
        <v>0.79454799970529755</v>
      </c>
      <c r="S88" s="590"/>
      <c r="T88" s="91">
        <v>0.70833333333333337</v>
      </c>
      <c r="U88" s="91">
        <v>0.74236111111111114</v>
      </c>
      <c r="V88" s="75">
        <v>5</v>
      </c>
      <c r="W88" s="84">
        <f t="shared" si="62"/>
        <v>48.999999999999986</v>
      </c>
      <c r="X88" s="94"/>
      <c r="Y88" s="94"/>
      <c r="Z88" s="95"/>
      <c r="AA88" s="95"/>
      <c r="AB88" s="571"/>
      <c r="AC88" s="571"/>
      <c r="AD88" s="332"/>
      <c r="AE88" s="332"/>
      <c r="AF88" s="88">
        <f t="shared" si="63"/>
        <v>-226.63265306122412</v>
      </c>
      <c r="AG88" s="90">
        <f t="shared" si="64"/>
        <v>0.83636631547926055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1160</v>
      </c>
      <c r="H89" s="127">
        <f t="shared" si="56"/>
        <v>62268.800000000003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1179.6610169491535</v>
      </c>
      <c r="O89" s="236">
        <f t="shared" si="58"/>
        <v>58.983050847457676</v>
      </c>
      <c r="P89" s="95">
        <f t="shared" si="59"/>
        <v>0</v>
      </c>
      <c r="Q89" s="131">
        <f t="shared" si="60"/>
        <v>-16.016949152542324</v>
      </c>
      <c r="R89" s="239">
        <f t="shared" si="61"/>
        <v>0.7864406779661024</v>
      </c>
      <c r="S89" s="590"/>
      <c r="T89" s="91">
        <v>0.74722222222222223</v>
      </c>
      <c r="U89" s="91">
        <v>0.78819444444444442</v>
      </c>
      <c r="V89" s="75">
        <v>7</v>
      </c>
      <c r="W89" s="84">
        <f t="shared" si="62"/>
        <v>58.99999999999995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-320.33898305084654</v>
      </c>
      <c r="AG89" s="90">
        <f t="shared" si="64"/>
        <v>0.78644067796610229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J95:O95" si="65">AVERAGE(M83:M94)</f>
        <v>19.142857142857142</v>
      </c>
      <c r="N95" s="257">
        <f t="shared" si="65"/>
        <v>1218.221480159054</v>
      </c>
      <c r="O95" s="258">
        <f t="shared" si="65"/>
        <v>63.824363163175967</v>
      </c>
      <c r="P95" s="259">
        <f>M95-J95</f>
        <v>0.14285714285714235</v>
      </c>
      <c r="Q95" s="260">
        <f t="shared" ref="Q95:Q101" si="66">O95-L95</f>
        <v>-13.167275597591505</v>
      </c>
      <c r="R95" s="261">
        <f>O95/L95</f>
        <v>0.82897784993893209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-239.63566269808894</v>
      </c>
      <c r="AG95" s="108">
        <f t="shared" si="64"/>
        <v>0.83562472916348629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1" si="68">G96/W96*60</f>
        <v>1376.4705882352923</v>
      </c>
      <c r="O96" s="86">
        <f t="shared" ref="O96:O101" si="69">N96/M96</f>
        <v>229.41176470588206</v>
      </c>
      <c r="P96" s="88">
        <f t="shared" ref="P96:P101" si="70">M96-J96</f>
        <v>0</v>
      </c>
      <c r="Q96" s="89">
        <f t="shared" si="66"/>
        <v>-43.254901960784622</v>
      </c>
      <c r="R96" s="90">
        <f t="shared" ref="R96:R101" si="71">O96/L96</f>
        <v>0.84136344024162124</v>
      </c>
      <c r="S96" s="590">
        <f>R108</f>
        <v>0.87756550904893627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575">
        <f>AG108</f>
        <v>0.88782315220487673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1533.5</v>
      </c>
      <c r="H97" s="265">
        <f t="shared" si="67"/>
        <v>87179.475000000006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1295.9154929577467</v>
      </c>
      <c r="O97" s="86">
        <f t="shared" si="69"/>
        <v>71.995305164319262</v>
      </c>
      <c r="P97" s="88">
        <f t="shared" si="70"/>
        <v>0</v>
      </c>
      <c r="Q97" s="89">
        <f t="shared" si="66"/>
        <v>-18.893583724569623</v>
      </c>
      <c r="R97" s="90">
        <f t="shared" si="71"/>
        <v>0.79212438444850042</v>
      </c>
      <c r="S97" s="590"/>
      <c r="T97" s="266">
        <v>0.34930555555555554</v>
      </c>
      <c r="U97" s="266">
        <v>0.39861111111111108</v>
      </c>
      <c r="V97" s="267">
        <v>6</v>
      </c>
      <c r="W97" s="134">
        <f t="shared" si="72"/>
        <v>70.999999999999986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-340.08450704225334</v>
      </c>
      <c r="AG97" s="269">
        <f t="shared" si="64"/>
        <v>0.79212438444850042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809</v>
      </c>
      <c r="H98" s="265">
        <f t="shared" si="67"/>
        <v>57883.95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1277.3684210526305</v>
      </c>
      <c r="O98" s="86">
        <f t="shared" si="69"/>
        <v>70.964912280701697</v>
      </c>
      <c r="P98" s="88">
        <f t="shared" si="70"/>
        <v>0</v>
      </c>
      <c r="Q98" s="89">
        <f t="shared" si="66"/>
        <v>-5.9795321637427463</v>
      </c>
      <c r="R98" s="90">
        <f t="shared" si="71"/>
        <v>0.92228766863005818</v>
      </c>
      <c r="S98" s="590"/>
      <c r="T98" s="133">
        <v>0.44027777777777771</v>
      </c>
      <c r="U98" s="133">
        <v>0.46666666666666662</v>
      </c>
      <c r="V98" s="332">
        <v>7</v>
      </c>
      <c r="W98" s="134">
        <f t="shared" si="72"/>
        <v>38.000000000000028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-107.63157894736946</v>
      </c>
      <c r="AG98" s="132">
        <f t="shared" si="64"/>
        <v>0.92228766863005818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1323</v>
      </c>
      <c r="H99" s="265">
        <f t="shared" si="67"/>
        <v>78771.42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1280.322580645161</v>
      </c>
      <c r="O99" s="86">
        <f t="shared" si="69"/>
        <v>71.129032258064498</v>
      </c>
      <c r="P99" s="88">
        <f t="shared" si="70"/>
        <v>0</v>
      </c>
      <c r="Q99" s="89">
        <f t="shared" si="66"/>
        <v>-5.8154121863799446</v>
      </c>
      <c r="R99" s="90">
        <f t="shared" si="71"/>
        <v>0.92442063584488154</v>
      </c>
      <c r="S99" s="590"/>
      <c r="T99" s="133">
        <v>0.47222222222222215</v>
      </c>
      <c r="U99" s="133">
        <v>0.51527777777777772</v>
      </c>
      <c r="V99" s="332">
        <v>8</v>
      </c>
      <c r="W99" s="134">
        <f t="shared" si="72"/>
        <v>62.000000000000021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-104.677419354839</v>
      </c>
      <c r="AG99" s="269">
        <f t="shared" si="64"/>
        <v>0.92442063584488154</v>
      </c>
      <c r="AH99" s="575"/>
    </row>
    <row r="100" spans="1:34" s="274" customFormat="1" ht="19.2" customHeight="1">
      <c r="A100" s="598"/>
      <c r="B100" s="75" t="s">
        <v>247</v>
      </c>
      <c r="C100" s="96"/>
      <c r="D100" s="80" t="s">
        <v>135</v>
      </c>
      <c r="E100" s="126"/>
      <c r="F100" s="661">
        <v>54.29</v>
      </c>
      <c r="G100" s="98">
        <v>900</v>
      </c>
      <c r="H100" s="265">
        <f t="shared" si="67"/>
        <v>48861</v>
      </c>
      <c r="I100" s="332"/>
      <c r="J100" s="85">
        <v>15</v>
      </c>
      <c r="K100" s="82">
        <v>1440</v>
      </c>
      <c r="L100" s="86">
        <v>96</v>
      </c>
      <c r="M100" s="130">
        <v>15</v>
      </c>
      <c r="N100" s="82">
        <f t="shared" si="68"/>
        <v>1349.9999999999995</v>
      </c>
      <c r="O100" s="86">
        <f t="shared" si="69"/>
        <v>89.999999999999972</v>
      </c>
      <c r="P100" s="88">
        <f t="shared" si="70"/>
        <v>0</v>
      </c>
      <c r="Q100" s="89">
        <f t="shared" si="66"/>
        <v>-6.0000000000000284</v>
      </c>
      <c r="R100" s="90">
        <f t="shared" si="71"/>
        <v>0.93749999999999967</v>
      </c>
      <c r="S100" s="590"/>
      <c r="T100" s="266">
        <v>0.70833333333333337</v>
      </c>
      <c r="U100" s="266">
        <v>0.73611111111111116</v>
      </c>
      <c r="V100" s="267">
        <v>5</v>
      </c>
      <c r="W100" s="134">
        <f t="shared" si="72"/>
        <v>40.000000000000014</v>
      </c>
      <c r="X100" s="275"/>
      <c r="Y100" s="275"/>
      <c r="Z100" s="272"/>
      <c r="AA100" s="272"/>
      <c r="AB100" s="571"/>
      <c r="AC100" s="571"/>
      <c r="AD100" s="332"/>
      <c r="AE100" s="332"/>
      <c r="AF100" s="95">
        <f t="shared" si="63"/>
        <v>-90.000000000000455</v>
      </c>
      <c r="AG100" s="132">
        <f t="shared" si="64"/>
        <v>0.93749999999999967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137</v>
      </c>
      <c r="E101" s="126"/>
      <c r="F101" s="661">
        <v>55.56</v>
      </c>
      <c r="G101" s="98">
        <v>827</v>
      </c>
      <c r="H101" s="265">
        <f t="shared" si="67"/>
        <v>45948.12</v>
      </c>
      <c r="I101" s="332"/>
      <c r="J101" s="85">
        <v>16</v>
      </c>
      <c r="K101" s="82">
        <v>1440</v>
      </c>
      <c r="L101" s="86">
        <v>90</v>
      </c>
      <c r="M101" s="130">
        <v>16</v>
      </c>
      <c r="N101" s="82">
        <f t="shared" si="68"/>
        <v>1341.0810810810799</v>
      </c>
      <c r="O101" s="86">
        <f t="shared" si="69"/>
        <v>83.817567567567494</v>
      </c>
      <c r="P101" s="88">
        <f t="shared" si="70"/>
        <v>0</v>
      </c>
      <c r="Q101" s="89">
        <f t="shared" si="66"/>
        <v>-6.1824324324325062</v>
      </c>
      <c r="R101" s="90">
        <f t="shared" si="71"/>
        <v>0.93130630630630551</v>
      </c>
      <c r="S101" s="590"/>
      <c r="T101" s="266">
        <v>0.74027777777777781</v>
      </c>
      <c r="U101" s="133">
        <v>0.76597222222222228</v>
      </c>
      <c r="V101" s="267">
        <v>6</v>
      </c>
      <c r="W101" s="134">
        <f t="shared" si="72"/>
        <v>37.000000000000028</v>
      </c>
      <c r="X101" s="276"/>
      <c r="Y101" s="276"/>
      <c r="Z101" s="272"/>
      <c r="AA101" s="272"/>
      <c r="AB101" s="571"/>
      <c r="AC101" s="571"/>
      <c r="AD101" s="332"/>
      <c r="AE101" s="332"/>
      <c r="AF101" s="268">
        <f t="shared" si="63"/>
        <v>-98.918918918920099</v>
      </c>
      <c r="AG101" s="269">
        <f t="shared" si="64"/>
        <v>0.93130630630630551</v>
      </c>
      <c r="AH101" s="575"/>
    </row>
    <row r="102" spans="1:34" s="274" customFormat="1" ht="19.2" customHeight="1">
      <c r="A102" s="598"/>
      <c r="B102" s="75">
        <v>0</v>
      </c>
      <c r="C102" s="228"/>
      <c r="D102" s="229"/>
      <c r="E102" s="230"/>
      <c r="F102" s="661" t="s">
        <v>248</v>
      </c>
      <c r="G102" s="98"/>
      <c r="H102" s="265">
        <f t="shared" si="67"/>
        <v>0</v>
      </c>
      <c r="I102" s="75"/>
      <c r="J102" s="85"/>
      <c r="K102" s="82"/>
      <c r="L102" s="86"/>
      <c r="M102" s="130"/>
      <c r="N102" s="82"/>
      <c r="O102" s="86"/>
      <c r="P102" s="88"/>
      <c r="Q102" s="89"/>
      <c r="R102" s="90"/>
      <c r="S102" s="590"/>
      <c r="T102" s="266"/>
      <c r="U102" s="266"/>
      <c r="V102" s="267"/>
      <c r="W102" s="134"/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0</v>
      </c>
      <c r="AG102" s="132" t="e">
        <f t="shared" si="64"/>
        <v>#DIV/0!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15.166666666666666</v>
      </c>
      <c r="K108" s="145">
        <v>1487</v>
      </c>
      <c r="L108" s="148">
        <v>117.24074074074075</v>
      </c>
      <c r="M108" s="145">
        <f t="shared" ref="J108:O108" si="73">AVERAGE(M96:M107)</f>
        <v>15.166666666666666</v>
      </c>
      <c r="N108" s="145">
        <f t="shared" si="73"/>
        <v>1320.1930273286516</v>
      </c>
      <c r="O108" s="148">
        <f t="shared" si="73"/>
        <v>102.88643032942251</v>
      </c>
      <c r="P108" s="95">
        <f t="shared" ref="P108:P114" si="74">M108-J108</f>
        <v>0</v>
      </c>
      <c r="Q108" s="131">
        <f t="shared" ref="Q108:Q114" si="75">O108-L108</f>
        <v>-14.354310411318238</v>
      </c>
      <c r="R108" s="149">
        <f t="shared" ref="R108:R114" si="76">O108/L108</f>
        <v>0.87756550904893627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-166.80697267134838</v>
      </c>
      <c r="AG108" s="132">
        <f t="shared" si="64"/>
        <v>0.88782315220487673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512</v>
      </c>
      <c r="H109" s="83">
        <f t="shared" ref="H109:H118" si="77">F109*G109</f>
        <v>39598.080000000002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1137.7777777777751</v>
      </c>
      <c r="O109" s="86">
        <f t="shared" ref="O109:O114" si="79">N109/M109</f>
        <v>63.209876543209731</v>
      </c>
      <c r="P109" s="88">
        <f t="shared" si="74"/>
        <v>0</v>
      </c>
      <c r="Q109" s="89">
        <f t="shared" si="75"/>
        <v>-16.790123456790269</v>
      </c>
      <c r="R109" s="90">
        <f t="shared" si="76"/>
        <v>0.79012345679012164</v>
      </c>
      <c r="S109" s="597">
        <f>R121</f>
        <v>0.83645081359755147</v>
      </c>
      <c r="T109" s="283">
        <v>0.5</v>
      </c>
      <c r="U109" s="283">
        <v>0.51875000000000004</v>
      </c>
      <c r="V109" s="284">
        <v>5</v>
      </c>
      <c r="W109" s="84">
        <f t="shared" si="72"/>
        <v>27.000000000000064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-302.2222222222249</v>
      </c>
      <c r="AG109" s="171">
        <f t="shared" si="64"/>
        <v>0.79012345679012164</v>
      </c>
      <c r="AH109" s="575">
        <f>AG121</f>
        <v>0.84156089361231901</v>
      </c>
    </row>
    <row r="110" spans="1:34" ht="19.2" customHeight="1">
      <c r="A110" s="595"/>
      <c r="B110" s="75" t="s">
        <v>247</v>
      </c>
      <c r="C110" s="228"/>
      <c r="D110" s="80" t="s">
        <v>131</v>
      </c>
      <c r="E110" s="230"/>
      <c r="F110" s="650">
        <v>53.68</v>
      </c>
      <c r="G110" s="227">
        <v>929</v>
      </c>
      <c r="H110" s="83">
        <f t="shared" si="77"/>
        <v>49868.72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1393.4999999999995</v>
      </c>
      <c r="O110" s="86">
        <f t="shared" si="79"/>
        <v>87.093749999999972</v>
      </c>
      <c r="P110" s="88">
        <f t="shared" si="74"/>
        <v>0</v>
      </c>
      <c r="Q110" s="89">
        <f t="shared" si="75"/>
        <v>-6.6562500000000284</v>
      </c>
      <c r="R110" s="90">
        <f t="shared" si="76"/>
        <v>0.92899999999999971</v>
      </c>
      <c r="S110" s="586"/>
      <c r="T110" s="283">
        <v>0.52361111111111114</v>
      </c>
      <c r="U110" s="283">
        <v>0.55138888888888893</v>
      </c>
      <c r="V110" s="284">
        <v>7</v>
      </c>
      <c r="W110" s="84">
        <f t="shared" si="72"/>
        <v>40.000000000000014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-106.50000000000045</v>
      </c>
      <c r="AG110" s="171">
        <f t="shared" si="64"/>
        <v>0.92899999999999971</v>
      </c>
      <c r="AH110" s="575"/>
    </row>
    <row r="111" spans="1:34" ht="19.2" customHeight="1">
      <c r="A111" s="595"/>
      <c r="B111" s="75" t="s">
        <v>247</v>
      </c>
      <c r="C111" s="228"/>
      <c r="D111" s="80" t="s">
        <v>132</v>
      </c>
      <c r="E111" s="230"/>
      <c r="F111" s="650">
        <v>57.734999999999999</v>
      </c>
      <c r="G111" s="98">
        <v>1435.2</v>
      </c>
      <c r="H111" s="83">
        <f t="shared" si="77"/>
        <v>82861.271999999997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1366.8571428571443</v>
      </c>
      <c r="O111" s="86">
        <f t="shared" si="79"/>
        <v>85.428571428571516</v>
      </c>
      <c r="P111" s="88">
        <f t="shared" si="74"/>
        <v>0</v>
      </c>
      <c r="Q111" s="89">
        <f t="shared" si="75"/>
        <v>-12.383928571428484</v>
      </c>
      <c r="R111" s="90">
        <f t="shared" si="76"/>
        <v>0.87339114559561937</v>
      </c>
      <c r="S111" s="586"/>
      <c r="T111" s="283">
        <v>0.5673611111111112</v>
      </c>
      <c r="U111" s="283">
        <v>0.61111111111111116</v>
      </c>
      <c r="V111" s="284">
        <v>23</v>
      </c>
      <c r="W111" s="84">
        <f t="shared" si="72"/>
        <v>62.999999999999936</v>
      </c>
      <c r="X111" s="94">
        <v>0.55486111111111114</v>
      </c>
      <c r="Y111" s="94">
        <v>0.56458333333333333</v>
      </c>
      <c r="Z111" s="95"/>
      <c r="AA111" s="95"/>
      <c r="AB111" s="571"/>
      <c r="AC111" s="571"/>
      <c r="AD111" s="332"/>
      <c r="AE111" s="332"/>
      <c r="AF111" s="88">
        <f t="shared" si="63"/>
        <v>-198.14285714285575</v>
      </c>
      <c r="AG111" s="171">
        <f t="shared" si="64"/>
        <v>0.87339114559561937</v>
      </c>
      <c r="AH111" s="575"/>
    </row>
    <row r="112" spans="1:34" ht="19.2" customHeight="1">
      <c r="A112" s="595"/>
      <c r="B112" s="75" t="s">
        <v>247</v>
      </c>
      <c r="C112" s="228"/>
      <c r="D112" s="229" t="s">
        <v>322</v>
      </c>
      <c r="E112" s="230"/>
      <c r="F112" s="650">
        <v>44.98</v>
      </c>
      <c r="G112" s="98">
        <v>2311.15</v>
      </c>
      <c r="H112" s="83">
        <f t="shared" si="77"/>
        <v>103955.527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1260.6272727272717</v>
      </c>
      <c r="O112" s="86">
        <f t="shared" si="79"/>
        <v>66.348803827751141</v>
      </c>
      <c r="P112" s="88">
        <f t="shared" si="74"/>
        <v>0</v>
      </c>
      <c r="Q112" s="89">
        <f t="shared" si="75"/>
        <v>-12.598564593301489</v>
      </c>
      <c r="R112" s="90">
        <f t="shared" si="76"/>
        <v>0.84041818181818118</v>
      </c>
      <c r="S112" s="586"/>
      <c r="T112" s="283">
        <v>0.70833333333333337</v>
      </c>
      <c r="U112" s="283">
        <v>0.78472222222222232</v>
      </c>
      <c r="V112" s="284">
        <v>5</v>
      </c>
      <c r="W112" s="84">
        <f t="shared" si="72"/>
        <v>110.00000000000009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-239.3727272727283</v>
      </c>
      <c r="AG112" s="171">
        <f t="shared" si="64"/>
        <v>0.84041818181818118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138</v>
      </c>
      <c r="E113" s="230"/>
      <c r="F113" s="650">
        <v>57.73</v>
      </c>
      <c r="G113" s="98">
        <v>806</v>
      </c>
      <c r="H113" s="83">
        <f t="shared" si="77"/>
        <v>46530.38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1208.9999999999995</v>
      </c>
      <c r="O113" s="86">
        <f t="shared" si="79"/>
        <v>71.117647058823508</v>
      </c>
      <c r="P113" s="88">
        <f t="shared" si="74"/>
        <v>1</v>
      </c>
      <c r="Q113" s="89">
        <f t="shared" si="75"/>
        <v>-18.882352941176492</v>
      </c>
      <c r="R113" s="90">
        <f t="shared" si="76"/>
        <v>0.7901960784313723</v>
      </c>
      <c r="S113" s="586"/>
      <c r="T113" s="283">
        <v>0.78958333333333341</v>
      </c>
      <c r="U113" s="283">
        <v>0.8173611111111112</v>
      </c>
      <c r="V113" s="284">
        <v>7</v>
      </c>
      <c r="W113" s="84">
        <f t="shared" si="72"/>
        <v>40.000000000000014</v>
      </c>
      <c r="X113" s="271"/>
      <c r="Y113" s="271"/>
      <c r="Z113" s="272"/>
      <c r="AA113" s="272"/>
      <c r="AB113" s="571"/>
      <c r="AC113" s="571"/>
      <c r="AD113" s="277"/>
      <c r="AE113" s="277"/>
      <c r="AF113" s="152">
        <f t="shared" si="63"/>
        <v>-231.00000000000045</v>
      </c>
      <c r="AG113" s="171">
        <f t="shared" si="64"/>
        <v>0.83958333333333302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126</v>
      </c>
      <c r="E114" s="230"/>
      <c r="F114" s="650">
        <v>53.68</v>
      </c>
      <c r="G114" s="98">
        <v>232</v>
      </c>
      <c r="H114" s="83">
        <f t="shared" si="77"/>
        <v>12453.76</v>
      </c>
      <c r="I114" s="332">
        <v>2</v>
      </c>
      <c r="J114" s="85">
        <v>20</v>
      </c>
      <c r="K114" s="82">
        <v>1500</v>
      </c>
      <c r="L114" s="86">
        <v>75</v>
      </c>
      <c r="M114" s="285">
        <v>20</v>
      </c>
      <c r="N114" s="82">
        <f t="shared" si="78"/>
        <v>1160.0000000000041</v>
      </c>
      <c r="O114" s="86">
        <f t="shared" si="79"/>
        <v>58.000000000000206</v>
      </c>
      <c r="P114" s="88">
        <f t="shared" si="74"/>
        <v>0</v>
      </c>
      <c r="Q114" s="89">
        <f t="shared" si="75"/>
        <v>-16.999999999999794</v>
      </c>
      <c r="R114" s="90">
        <f t="shared" si="76"/>
        <v>0.77333333333333609</v>
      </c>
      <c r="S114" s="586"/>
      <c r="T114" s="283">
        <v>0.82291666666666674</v>
      </c>
      <c r="U114" s="283">
        <v>0.83125000000000004</v>
      </c>
      <c r="V114" s="284">
        <v>8</v>
      </c>
      <c r="W114" s="84">
        <f t="shared" si="72"/>
        <v>11.999999999999957</v>
      </c>
      <c r="X114" s="271"/>
      <c r="Y114" s="271"/>
      <c r="Z114" s="272"/>
      <c r="AA114" s="272"/>
      <c r="AB114" s="571"/>
      <c r="AC114" s="571"/>
      <c r="AD114" s="277"/>
      <c r="AE114" s="277"/>
      <c r="AF114" s="88">
        <f t="shared" si="63"/>
        <v>-339.99999999999591</v>
      </c>
      <c r="AG114" s="171">
        <f t="shared" si="64"/>
        <v>0.77333333333333609</v>
      </c>
      <c r="AH114" s="575"/>
    </row>
    <row r="115" spans="1:34" s="274" customFormat="1" ht="19.2" customHeight="1">
      <c r="A115" s="595"/>
      <c r="B115" s="75">
        <v>0</v>
      </c>
      <c r="C115" s="228"/>
      <c r="D115" s="229"/>
      <c r="E115" s="230"/>
      <c r="F115" s="650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586"/>
      <c r="T115" s="283"/>
      <c r="U115" s="283"/>
      <c r="V115" s="284"/>
      <c r="W115" s="84"/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0</v>
      </c>
      <c r="AG115" s="171" t="e">
        <f t="shared" si="64"/>
        <v>#DIV/0!</v>
      </c>
      <c r="AH115" s="575"/>
    </row>
    <row r="116" spans="1:34" s="274" customFormat="1" ht="19.2" customHeight="1">
      <c r="A116" s="595"/>
      <c r="B116" s="75">
        <v>0</v>
      </c>
      <c r="C116" s="96"/>
      <c r="D116" s="125"/>
      <c r="E116" s="126"/>
      <c r="F116" s="650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586"/>
      <c r="T116" s="283"/>
      <c r="U116" s="283"/>
      <c r="V116" s="284"/>
      <c r="W116" s="84"/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0</v>
      </c>
      <c r="AG116" s="171" t="e">
        <f t="shared" si="64"/>
        <v>#DIV/0!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17.5</v>
      </c>
      <c r="K121" s="257">
        <v>1490.8333333333333</v>
      </c>
      <c r="L121" s="258">
        <v>85.918311403508767</v>
      </c>
      <c r="M121" s="257">
        <f t="shared" ref="J121:O121" si="80">AVERAGE(M109:M120)</f>
        <v>17.666666666666668</v>
      </c>
      <c r="N121" s="257">
        <f t="shared" si="80"/>
        <v>1254.6270322270323</v>
      </c>
      <c r="O121" s="258">
        <f t="shared" si="80"/>
        <v>71.866441476392694</v>
      </c>
      <c r="P121" s="88">
        <f t="shared" ref="P121:P129" si="81">M121-J121</f>
        <v>0.16666666666666785</v>
      </c>
      <c r="Q121" s="89">
        <f t="shared" ref="Q121:Q129" si="82">O121-L121</f>
        <v>-14.051869927116073</v>
      </c>
      <c r="R121" s="225">
        <f t="shared" ref="R121:R129" si="83">O121/L121</f>
        <v>0.83645081359755147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0</v>
      </c>
      <c r="AE121" s="151">
        <f>SUM(AE109:AE120)</f>
        <v>0</v>
      </c>
      <c r="AF121" s="88">
        <f>N121-K121</f>
        <v>-236.206301106301</v>
      </c>
      <c r="AG121" s="171">
        <f>N121/K121</f>
        <v>0.84156089361231901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1367</v>
      </c>
      <c r="H122" s="83">
        <f t="shared" ref="H122:H132" si="84">F122*G122</f>
        <v>80201.89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1322.9032258064528</v>
      </c>
      <c r="O122" s="294">
        <f t="shared" ref="O122:O129" si="86">N122/M122</f>
        <v>69.626485568760671</v>
      </c>
      <c r="P122" s="152">
        <f t="shared" si="81"/>
        <v>0</v>
      </c>
      <c r="Q122" s="235">
        <f t="shared" si="82"/>
        <v>-6.1629881154498491</v>
      </c>
      <c r="R122" s="153">
        <f t="shared" si="83"/>
        <v>0.91868279569892564</v>
      </c>
      <c r="S122" s="590">
        <f>R134</f>
        <v>0.88182406785692613</v>
      </c>
      <c r="T122" s="91">
        <v>0.5</v>
      </c>
      <c r="U122" s="91">
        <v>0.54305555555555551</v>
      </c>
      <c r="V122" s="284">
        <v>5</v>
      </c>
      <c r="W122" s="84">
        <f t="shared" si="72"/>
        <v>61.999999999999943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-117.09677419354716</v>
      </c>
      <c r="AG122" s="90">
        <f t="shared" si="64"/>
        <v>0.91868279569892564</v>
      </c>
      <c r="AH122" s="592">
        <f>AG134</f>
        <v>0.89907544321837463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1772</v>
      </c>
      <c r="H123" s="83">
        <f t="shared" si="84"/>
        <v>105469.44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1280.9638554216863</v>
      </c>
      <c r="O123" s="129">
        <f t="shared" si="86"/>
        <v>60.998278829604111</v>
      </c>
      <c r="P123" s="95">
        <f t="shared" si="81"/>
        <v>0</v>
      </c>
      <c r="Q123" s="131">
        <f t="shared" si="82"/>
        <v>-4.9541021227768383</v>
      </c>
      <c r="R123" s="132">
        <f t="shared" si="83"/>
        <v>0.92488365012396134</v>
      </c>
      <c r="S123" s="590"/>
      <c r="T123" s="91">
        <v>0.54791666666666661</v>
      </c>
      <c r="U123" s="91">
        <v>0.60555555555555551</v>
      </c>
      <c r="V123" s="284">
        <v>7</v>
      </c>
      <c r="W123" s="84">
        <f>(U123-T123)*24*60</f>
        <v>83.000000000000028</v>
      </c>
      <c r="X123" s="94"/>
      <c r="Y123" s="94"/>
      <c r="Z123" s="95"/>
      <c r="AA123" s="95"/>
      <c r="AB123" s="571"/>
      <c r="AC123" s="571"/>
      <c r="AD123" s="332"/>
      <c r="AE123" s="332"/>
      <c r="AF123" s="88">
        <f t="shared" si="63"/>
        <v>-104.03614457831372</v>
      </c>
      <c r="AG123" s="90">
        <f t="shared" si="64"/>
        <v>0.92488365012396123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1146</v>
      </c>
      <c r="H124" s="83">
        <f t="shared" si="84"/>
        <v>65081.34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1528</v>
      </c>
      <c r="O124" s="294">
        <f t="shared" si="86"/>
        <v>84.888888888888886</v>
      </c>
      <c r="P124" s="152">
        <f t="shared" si="81"/>
        <v>0</v>
      </c>
      <c r="Q124" s="235">
        <f t="shared" si="82"/>
        <v>-6</v>
      </c>
      <c r="R124" s="153">
        <f t="shared" si="83"/>
        <v>0.93398533007334961</v>
      </c>
      <c r="S124" s="591"/>
      <c r="T124" s="91">
        <v>0.70833333333333337</v>
      </c>
      <c r="U124" s="91">
        <v>0.73958333333333337</v>
      </c>
      <c r="V124" s="284">
        <v>5</v>
      </c>
      <c r="W124" s="297">
        <f>(U124-T124)*24*60</f>
        <v>45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-108</v>
      </c>
      <c r="AG124" s="153">
        <f t="shared" si="64"/>
        <v>0.93398533007334961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897</v>
      </c>
      <c r="H125" s="83">
        <f t="shared" si="84"/>
        <v>51012.39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1494.9999999999989</v>
      </c>
      <c r="O125" s="129">
        <f t="shared" si="86"/>
        <v>83.055555555555486</v>
      </c>
      <c r="P125" s="95">
        <f t="shared" si="81"/>
        <v>0</v>
      </c>
      <c r="Q125" s="131">
        <f t="shared" si="82"/>
        <v>-7.8333333333333997</v>
      </c>
      <c r="R125" s="132">
        <f t="shared" si="83"/>
        <v>0.91381418092909461</v>
      </c>
      <c r="S125" s="591"/>
      <c r="T125" s="91">
        <v>0.74444444444444446</v>
      </c>
      <c r="U125" s="91">
        <v>0.76944444444444449</v>
      </c>
      <c r="V125" s="284">
        <v>7</v>
      </c>
      <c r="W125" s="297">
        <f t="shared" ref="W125:W133" si="87">(U125-T125)*24*60</f>
        <v>36.000000000000028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-141.00000000000114</v>
      </c>
      <c r="AG125" s="90">
        <f t="shared" si="64"/>
        <v>0.91381418092909461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1146</v>
      </c>
      <c r="H126" s="83">
        <f t="shared" si="84"/>
        <v>61987.140000000007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1375.2000000000003</v>
      </c>
      <c r="O126" s="129">
        <f t="shared" si="86"/>
        <v>68.760000000000019</v>
      </c>
      <c r="P126" s="95">
        <f t="shared" si="81"/>
        <v>3</v>
      </c>
      <c r="Q126" s="131">
        <f t="shared" si="82"/>
        <v>-23.298823529411749</v>
      </c>
      <c r="R126" s="132">
        <f t="shared" si="83"/>
        <v>0.74691373801916949</v>
      </c>
      <c r="S126" s="591"/>
      <c r="T126" s="91">
        <v>0.77500000000000002</v>
      </c>
      <c r="U126" s="91">
        <v>0.80972222222222223</v>
      </c>
      <c r="V126" s="284">
        <v>8</v>
      </c>
      <c r="W126" s="297">
        <f t="shared" si="87"/>
        <v>49.999999999999986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-189.79999999999973</v>
      </c>
      <c r="AG126" s="153">
        <f t="shared" si="64"/>
        <v>0.87872204472843463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1195</v>
      </c>
      <c r="H127" s="83">
        <f t="shared" si="84"/>
        <v>56882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1327.7777777777785</v>
      </c>
      <c r="O127" s="294">
        <f t="shared" si="86"/>
        <v>69.883040935672554</v>
      </c>
      <c r="P127" s="152">
        <f t="shared" si="81"/>
        <v>0</v>
      </c>
      <c r="Q127" s="235">
        <f t="shared" si="82"/>
        <v>-5.9064327485379664</v>
      </c>
      <c r="R127" s="153">
        <f t="shared" si="83"/>
        <v>0.9220679012345685</v>
      </c>
      <c r="S127" s="591"/>
      <c r="T127" s="91">
        <v>0.82569444444444451</v>
      </c>
      <c r="U127" s="91">
        <v>0.86319444444444449</v>
      </c>
      <c r="V127" s="75">
        <v>23</v>
      </c>
      <c r="W127" s="297">
        <f t="shared" si="87"/>
        <v>53.999999999999972</v>
      </c>
      <c r="X127" s="106">
        <v>0.81319444444444444</v>
      </c>
      <c r="Y127" s="106">
        <v>0.82291666666666663</v>
      </c>
      <c r="Z127" s="95"/>
      <c r="AA127" s="95"/>
      <c r="AB127" s="571"/>
      <c r="AC127" s="571"/>
      <c r="AD127" s="332"/>
      <c r="AE127" s="332"/>
      <c r="AF127" s="152">
        <f t="shared" si="63"/>
        <v>-112.22222222222149</v>
      </c>
      <c r="AG127" s="153">
        <f t="shared" si="64"/>
        <v>0.92206790123456839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679</v>
      </c>
      <c r="H128" s="83">
        <f t="shared" si="84"/>
        <v>38906.699999999997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1273.1249999999982</v>
      </c>
      <c r="O128" s="129">
        <f t="shared" si="86"/>
        <v>74.889705882352828</v>
      </c>
      <c r="P128" s="95">
        <f t="shared" si="81"/>
        <v>0</v>
      </c>
      <c r="Q128" s="131">
        <f t="shared" si="82"/>
        <v>-6.5808823529412876</v>
      </c>
      <c r="R128" s="132">
        <f t="shared" si="83"/>
        <v>0.91922382671480007</v>
      </c>
      <c r="S128" s="591"/>
      <c r="T128" s="91">
        <v>0.86805555555555558</v>
      </c>
      <c r="U128" s="91">
        <v>0.89027777777777783</v>
      </c>
      <c r="V128" s="75">
        <v>7</v>
      </c>
      <c r="W128" s="297">
        <f t="shared" si="87"/>
        <v>32.000000000000043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-111.87500000000182</v>
      </c>
      <c r="AG128" s="153">
        <f t="shared" si="64"/>
        <v>0.91922382671480019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497</v>
      </c>
      <c r="H129" s="83">
        <f t="shared" si="84"/>
        <v>25182.99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1296.5217391304393</v>
      </c>
      <c r="O129" s="129">
        <f t="shared" si="86"/>
        <v>61.739130434782822</v>
      </c>
      <c r="P129" s="95">
        <f t="shared" si="81"/>
        <v>0</v>
      </c>
      <c r="Q129" s="131">
        <f t="shared" si="82"/>
        <v>-16.165631469979076</v>
      </c>
      <c r="R129" s="132">
        <f t="shared" si="83"/>
        <v>0.79249495056872821</v>
      </c>
      <c r="S129" s="591"/>
      <c r="T129" s="91">
        <v>0.89583333333333337</v>
      </c>
      <c r="U129" s="91">
        <v>0.91180555555555554</v>
      </c>
      <c r="V129" s="75">
        <v>8</v>
      </c>
      <c r="W129" s="297">
        <f t="shared" si="87"/>
        <v>22.999999999999918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1362.4364497670445</v>
      </c>
      <c r="O134" s="301">
        <f t="shared" si="88"/>
        <v>71.730135761952184</v>
      </c>
      <c r="P134" s="92">
        <f t="shared" ref="P134:P140" si="89">M134-J134</f>
        <v>0.375</v>
      </c>
      <c r="Q134" s="188">
        <f t="shared" ref="Q134:Q140" si="90">O134-L134</f>
        <v>-9.612774209053768</v>
      </c>
      <c r="R134" s="302">
        <f t="shared" ref="R134:R140" si="91">O134/L134</f>
        <v>0.88182406785692613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-152.93855023295555</v>
      </c>
      <c r="AG134" s="90">
        <f t="shared" si="64"/>
        <v>0.89907544321837463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830</v>
      </c>
      <c r="H135" s="303">
        <f t="shared" ref="H135:H146" si="92">F135*G135</f>
        <v>42056.1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1383.3333333333321</v>
      </c>
      <c r="O135" s="160">
        <f t="shared" ref="O135:O140" si="94">N135/M135</f>
        <v>81.372549019607774</v>
      </c>
      <c r="P135" s="95">
        <f t="shared" si="89"/>
        <v>0</v>
      </c>
      <c r="Q135" s="131">
        <f t="shared" si="90"/>
        <v>-6.8627450980392837</v>
      </c>
      <c r="R135" s="132">
        <f t="shared" si="91"/>
        <v>0.9222222222222215</v>
      </c>
      <c r="S135" s="586">
        <f>R147</f>
        <v>0.91080033899415525</v>
      </c>
      <c r="T135" s="304">
        <v>0.70833333333333337</v>
      </c>
      <c r="U135" s="91">
        <v>0.73333333333333339</v>
      </c>
      <c r="V135" s="191">
        <v>5</v>
      </c>
      <c r="W135" s="305">
        <f t="shared" ref="W135:W147" si="95">(U135-T135)*24*60</f>
        <v>36.000000000000028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-116.66666666666788</v>
      </c>
      <c r="AG135" s="165">
        <f t="shared" si="64"/>
        <v>0.92222222222222139</v>
      </c>
      <c r="AH135" s="575">
        <f>AG147</f>
        <v>0.92387401823497906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1491</v>
      </c>
      <c r="H136" s="127">
        <f t="shared" si="92"/>
        <v>76011.179999999993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1335.2238805970132</v>
      </c>
      <c r="O136" s="129">
        <f t="shared" si="94"/>
        <v>66.761194029850657</v>
      </c>
      <c r="P136" s="95">
        <f t="shared" si="89"/>
        <v>0</v>
      </c>
      <c r="Q136" s="131">
        <f t="shared" si="90"/>
        <v>-5.2388059701493432</v>
      </c>
      <c r="R136" s="132">
        <f t="shared" si="91"/>
        <v>0.92723880597014796</v>
      </c>
      <c r="S136" s="586"/>
      <c r="T136" s="304">
        <v>0.73819444444444449</v>
      </c>
      <c r="U136" s="91">
        <v>0.78472222222222232</v>
      </c>
      <c r="V136" s="191">
        <v>7</v>
      </c>
      <c r="W136" s="84">
        <f t="shared" si="95"/>
        <v>67.000000000000085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-104.77611940298675</v>
      </c>
      <c r="AG136" s="171">
        <f t="shared" si="64"/>
        <v>0.92723880597014807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877</v>
      </c>
      <c r="H137" s="127">
        <f t="shared" si="92"/>
        <v>47436.93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1384.7368421052622</v>
      </c>
      <c r="O137" s="129">
        <f t="shared" si="94"/>
        <v>72.880886426592753</v>
      </c>
      <c r="P137" s="95">
        <f t="shared" si="89"/>
        <v>0</v>
      </c>
      <c r="Q137" s="131">
        <f t="shared" si="90"/>
        <v>-6.0664819944598776</v>
      </c>
      <c r="R137" s="132">
        <f t="shared" si="91"/>
        <v>0.92315789473684151</v>
      </c>
      <c r="S137" s="586"/>
      <c r="T137" s="91">
        <v>0.78888888888888897</v>
      </c>
      <c r="U137" s="91">
        <v>0.81527777777777788</v>
      </c>
      <c r="V137" s="307">
        <v>6</v>
      </c>
      <c r="W137" s="84">
        <f t="shared" si="95"/>
        <v>38.000000000000028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-115.26315789473779</v>
      </c>
      <c r="AG137" s="171">
        <f t="shared" si="64"/>
        <v>0.92315789473684151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1721</v>
      </c>
      <c r="H138" s="127">
        <f t="shared" si="92"/>
        <v>87633.32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1341.0389610389602</v>
      </c>
      <c r="O138" s="129">
        <f t="shared" si="94"/>
        <v>70.580997949418958</v>
      </c>
      <c r="P138" s="95">
        <f t="shared" si="89"/>
        <v>0</v>
      </c>
      <c r="Q138" s="131">
        <f t="shared" si="90"/>
        <v>-5.2084757347915627</v>
      </c>
      <c r="R138" s="296">
        <f t="shared" si="91"/>
        <v>0.93127705627705581</v>
      </c>
      <c r="S138" s="586"/>
      <c r="T138" s="91">
        <v>0.8305555555555556</v>
      </c>
      <c r="U138" s="91">
        <v>0.88402777777777786</v>
      </c>
      <c r="V138" s="307">
        <v>22</v>
      </c>
      <c r="W138" s="84">
        <f t="shared" si="95"/>
        <v>77.000000000000043</v>
      </c>
      <c r="X138" s="94">
        <v>0.81874999999999998</v>
      </c>
      <c r="Y138" s="94">
        <v>0.82777777777777783</v>
      </c>
      <c r="Z138" s="95"/>
      <c r="AA138" s="95"/>
      <c r="AB138" s="571"/>
      <c r="AC138" s="571"/>
      <c r="AD138" s="332"/>
      <c r="AE138" s="332"/>
      <c r="AF138" s="88">
        <f t="shared" si="63"/>
        <v>-98.961038961039776</v>
      </c>
      <c r="AG138" s="171">
        <f t="shared" si="64"/>
        <v>0.9312770562770557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957</v>
      </c>
      <c r="H139" s="127">
        <f t="shared" si="92"/>
        <v>48491.19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1335.348837209302</v>
      </c>
      <c r="O139" s="129">
        <f t="shared" si="94"/>
        <v>78.549931600547183</v>
      </c>
      <c r="P139" s="95">
        <f t="shared" si="89"/>
        <v>0</v>
      </c>
      <c r="Q139" s="131">
        <f t="shared" si="90"/>
        <v>-6.1559507523939914</v>
      </c>
      <c r="R139" s="132">
        <f t="shared" si="91"/>
        <v>0.92732558139534871</v>
      </c>
      <c r="S139" s="586"/>
      <c r="T139" s="91">
        <v>0.88888888888888895</v>
      </c>
      <c r="U139" s="91">
        <v>0.91875000000000007</v>
      </c>
      <c r="V139" s="308">
        <v>7</v>
      </c>
      <c r="W139" s="84">
        <f t="shared" si="95"/>
        <v>43.000000000000007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-104.65116279069798</v>
      </c>
      <c r="AG139" s="171">
        <f t="shared" si="64"/>
        <v>0.9273255813953486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1204</v>
      </c>
      <c r="H140" s="127">
        <f t="shared" si="92"/>
        <v>60789.96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1313.4545454545464</v>
      </c>
      <c r="O140" s="129">
        <f t="shared" si="94"/>
        <v>87.563636363636434</v>
      </c>
      <c r="P140" s="95">
        <f t="shared" si="89"/>
        <v>1</v>
      </c>
      <c r="Q140" s="131">
        <f t="shared" si="90"/>
        <v>-15.293506493506428</v>
      </c>
      <c r="R140" s="132">
        <f t="shared" si="91"/>
        <v>0.85131313131313191</v>
      </c>
      <c r="S140" s="587"/>
      <c r="T140" s="105">
        <v>0.9243055555555556</v>
      </c>
      <c r="U140" s="310">
        <v>0.96250000000000002</v>
      </c>
      <c r="V140" s="311">
        <v>8</v>
      </c>
      <c r="W140" s="84">
        <f t="shared" si="95"/>
        <v>54.999999999999964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-126.54545454545359</v>
      </c>
      <c r="AG140" s="171">
        <f t="shared" si="64"/>
        <v>0.91212121212121278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1348.8560666230694</v>
      </c>
      <c r="O147" s="301">
        <f t="shared" si="96"/>
        <v>76.284865898275612</v>
      </c>
      <c r="P147" s="92">
        <f t="shared" ref="P147:P152" si="97">M147-J147</f>
        <v>0.1666666666666643</v>
      </c>
      <c r="Q147" s="188">
        <f t="shared" ref="Q147:Q152" si="98">O147-L147</f>
        <v>-7.4709943405567572</v>
      </c>
      <c r="R147" s="316">
        <f t="shared" ref="R147:R152" si="99">O147/L147</f>
        <v>0.91080033899415525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-111.14393337693059</v>
      </c>
      <c r="AG147" s="317">
        <f t="shared" si="64"/>
        <v>0.92387401823497906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643</v>
      </c>
      <c r="H148" s="127">
        <f t="shared" ref="H148:H172" si="100">F148*G148</f>
        <v>32580.81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1285.9999999999977</v>
      </c>
      <c r="O148" s="86">
        <f>N148/M148</f>
        <v>75.647058823529278</v>
      </c>
      <c r="P148" s="88">
        <f t="shared" si="97"/>
        <v>1</v>
      </c>
      <c r="Q148" s="89">
        <f t="shared" si="98"/>
        <v>-14.352941176470722</v>
      </c>
      <c r="R148" s="90">
        <f t="shared" si="99"/>
        <v>0.84052287581699203</v>
      </c>
      <c r="S148" s="579">
        <f>R160</f>
        <v>0.83140651655781816</v>
      </c>
      <c r="T148" s="304">
        <v>0.70833333333333337</v>
      </c>
      <c r="U148" s="91">
        <v>0.72916666666666674</v>
      </c>
      <c r="V148" s="75">
        <v>5</v>
      </c>
      <c r="W148" s="84">
        <f>(U148-T148)*24*60</f>
        <v>30.000000000000053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-154.00000000000227</v>
      </c>
      <c r="AG148" s="171">
        <f t="shared" si="64"/>
        <v>0.89305555555555394</v>
      </c>
      <c r="AH148" s="575">
        <f>AG160</f>
        <v>0.84176459690196059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1306</v>
      </c>
      <c r="H149" s="127">
        <f t="shared" si="100"/>
        <v>74833.8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1351.0344827586218</v>
      </c>
      <c r="O149" s="86">
        <f>N149/M149</f>
        <v>75.057471264367877</v>
      </c>
      <c r="P149" s="88">
        <f t="shared" si="97"/>
        <v>0</v>
      </c>
      <c r="Q149" s="89">
        <f t="shared" si="98"/>
        <v>-8.2758620689654521</v>
      </c>
      <c r="R149" s="90">
        <f t="shared" si="99"/>
        <v>0.90068965517241462</v>
      </c>
      <c r="S149" s="580"/>
      <c r="T149" s="304">
        <v>0.73402777777777783</v>
      </c>
      <c r="U149" s="91">
        <v>0.77430555555555558</v>
      </c>
      <c r="V149" s="75">
        <v>7</v>
      </c>
      <c r="W149" s="84">
        <f t="shared" ref="W149:W159" si="101">(U149-T149)*24*60</f>
        <v>57.999999999999957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-148.96551724137817</v>
      </c>
      <c r="AG149" s="171">
        <f t="shared" si="64"/>
        <v>0.90068965517241451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358.8</v>
      </c>
      <c r="H150" s="127">
        <f t="shared" si="100"/>
        <v>20715.317999999999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1266.352941176475</v>
      </c>
      <c r="O150" s="86">
        <f>N150/M150</f>
        <v>79.14705882352969</v>
      </c>
      <c r="P150" s="88">
        <f t="shared" si="97"/>
        <v>0</v>
      </c>
      <c r="Q150" s="89">
        <f t="shared" si="98"/>
        <v>-18.66544117647031</v>
      </c>
      <c r="R150" s="90">
        <f t="shared" si="99"/>
        <v>0.80917120841947288</v>
      </c>
      <c r="S150" s="580"/>
      <c r="T150" s="304">
        <v>0.79027777777777786</v>
      </c>
      <c r="U150" s="91">
        <v>0.80208333333333337</v>
      </c>
      <c r="V150" s="75">
        <v>23</v>
      </c>
      <c r="W150" s="84">
        <f t="shared" si="101"/>
        <v>16.99999999999994</v>
      </c>
      <c r="X150" s="271">
        <v>0.77777777777777779</v>
      </c>
      <c r="Y150" s="271">
        <v>0.78749999999999998</v>
      </c>
      <c r="Z150" s="272"/>
      <c r="AA150" s="272"/>
      <c r="AB150" s="571"/>
      <c r="AC150" s="571"/>
      <c r="AD150" s="332"/>
      <c r="AE150" s="332"/>
      <c r="AF150" s="88">
        <f t="shared" si="63"/>
        <v>-298.64705882352496</v>
      </c>
      <c r="AG150" s="171">
        <f t="shared" si="64"/>
        <v>0.80917120841947288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494</v>
      </c>
      <c r="H151" s="127">
        <f t="shared" si="100"/>
        <v>24843.26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1139.999999999997</v>
      </c>
      <c r="O151" s="86">
        <f>N151/M151</f>
        <v>63.333333333333172</v>
      </c>
      <c r="P151" s="88">
        <f t="shared" si="97"/>
        <v>0</v>
      </c>
      <c r="Q151" s="89">
        <f t="shared" si="98"/>
        <v>-16.666666666666828</v>
      </c>
      <c r="R151" s="90">
        <f t="shared" si="99"/>
        <v>0.79166666666666463</v>
      </c>
      <c r="S151" s="580"/>
      <c r="T151" s="304">
        <v>0.80555555555555558</v>
      </c>
      <c r="U151" s="91">
        <v>0.82361111111111118</v>
      </c>
      <c r="V151" s="75">
        <v>5</v>
      </c>
      <c r="W151" s="84">
        <f t="shared" si="101"/>
        <v>26.000000000000068</v>
      </c>
      <c r="X151" s="271"/>
      <c r="Y151" s="271"/>
      <c r="Z151" s="272"/>
      <c r="AA151" s="272"/>
      <c r="AB151" s="571"/>
      <c r="AC151" s="571"/>
      <c r="AD151" s="277">
        <v>1</v>
      </c>
      <c r="AE151" s="277"/>
      <c r="AF151" s="88">
        <f t="shared" si="63"/>
        <v>-300.00000000000296</v>
      </c>
      <c r="AG151" s="171">
        <f t="shared" si="64"/>
        <v>0.79166666666666463</v>
      </c>
      <c r="AH151" s="581"/>
    </row>
    <row r="152" spans="1:34" s="274" customFormat="1" ht="19.2" customHeight="1">
      <c r="A152" s="578"/>
      <c r="B152" s="332" t="s">
        <v>247</v>
      </c>
      <c r="C152" s="277"/>
      <c r="D152" s="309" t="s">
        <v>322</v>
      </c>
      <c r="E152" s="101"/>
      <c r="F152" s="657">
        <v>44.98</v>
      </c>
      <c r="G152" s="98">
        <v>407.84999999999997</v>
      </c>
      <c r="H152" s="127">
        <f t="shared" si="100"/>
        <v>18345.092999999997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1223.5500000000043</v>
      </c>
      <c r="O152" s="86">
        <f>N152/M152</f>
        <v>64.39736842105286</v>
      </c>
      <c r="P152" s="88">
        <f t="shared" si="97"/>
        <v>0</v>
      </c>
      <c r="Q152" s="89">
        <f t="shared" si="98"/>
        <v>-14.54999999999977</v>
      </c>
      <c r="R152" s="90">
        <f t="shared" si="99"/>
        <v>0.81570000000000287</v>
      </c>
      <c r="S152" s="580"/>
      <c r="T152" s="319">
        <v>0.82847222222222228</v>
      </c>
      <c r="U152" s="105">
        <v>0.84236111111111112</v>
      </c>
      <c r="V152" s="103">
        <v>7</v>
      </c>
      <c r="W152" s="84">
        <f t="shared" si="101"/>
        <v>19.999999999999929</v>
      </c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-276.44999999999573</v>
      </c>
      <c r="AG152" s="171">
        <f t="shared" si="64"/>
        <v>0.81570000000000287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J160:O160" si="102">AVERAGE(M148:M159)</f>
        <v>17.600000000000001</v>
      </c>
      <c r="N160" s="327">
        <f t="shared" si="102"/>
        <v>1253.3874847870193</v>
      </c>
      <c r="O160" s="328">
        <f t="shared" si="102"/>
        <v>71.516458133162587</v>
      </c>
      <c r="P160" s="107">
        <f t="shared" ref="P160:P165" si="103">M160-J160</f>
        <v>0.20000000000000284</v>
      </c>
      <c r="Q160" s="117">
        <f t="shared" ref="Q160:Q165" si="104">O160-L160</f>
        <v>-14.502182217714605</v>
      </c>
      <c r="R160" s="329">
        <f>O160/L160</f>
        <v>0.83140651655781816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1</v>
      </c>
      <c r="AE160" s="122">
        <f>SUM(AE148:AE159)</f>
        <v>0</v>
      </c>
      <c r="AF160" s="107">
        <f t="shared" si="63"/>
        <v>-235.61251521298072</v>
      </c>
      <c r="AG160" s="176">
        <f t="shared" si="64"/>
        <v>0.84176459690196059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2431</v>
      </c>
      <c r="H161" s="127">
        <f t="shared" ref="H161:H170" si="105">F161*G161</f>
        <v>83213.12999999999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2210</v>
      </c>
      <c r="O161" s="129">
        <f t="shared" ref="O161:O165" si="107">N161/M161</f>
        <v>170</v>
      </c>
      <c r="P161" s="95">
        <f t="shared" si="103"/>
        <v>0</v>
      </c>
      <c r="Q161" s="131">
        <f t="shared" si="104"/>
        <v>-3.076923076923066</v>
      </c>
      <c r="R161" s="132">
        <f t="shared" ref="R161:R165" si="108">O161/L161</f>
        <v>0.98222222222222233</v>
      </c>
      <c r="S161" s="575">
        <f>R173</f>
        <v>0.94938104816784286</v>
      </c>
      <c r="T161" s="133">
        <v>0.16666666666666666</v>
      </c>
      <c r="U161" s="133">
        <v>0.21249999999999999</v>
      </c>
      <c r="V161" s="332">
        <v>5</v>
      </c>
      <c r="W161" s="134">
        <f t="shared" ref="W161:W165" si="109">(U161-T161)*24*60</f>
        <v>66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-40</v>
      </c>
      <c r="AG161" s="132">
        <f t="shared" si="64"/>
        <v>0.98222222222222222</v>
      </c>
      <c r="AH161" s="575">
        <f>AG173</f>
        <v>0.95318723622879087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3098</v>
      </c>
      <c r="H162" s="127">
        <f t="shared" si="105"/>
        <v>106044.54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2186.823529411764</v>
      </c>
      <c r="O162" s="129">
        <f t="shared" si="107"/>
        <v>168.21719457013569</v>
      </c>
      <c r="P162" s="95">
        <f t="shared" si="103"/>
        <v>0</v>
      </c>
      <c r="Q162" s="131">
        <f t="shared" si="104"/>
        <v>-4.859728506787377</v>
      </c>
      <c r="R162" s="132">
        <f t="shared" si="108"/>
        <v>0.97192156862745072</v>
      </c>
      <c r="S162" s="575"/>
      <c r="T162" s="133">
        <v>0.21666666666666667</v>
      </c>
      <c r="U162" s="133">
        <v>0.27569444444444446</v>
      </c>
      <c r="V162" s="332">
        <v>6</v>
      </c>
      <c r="W162" s="134">
        <f t="shared" si="109"/>
        <v>85.000000000000014</v>
      </c>
      <c r="X162" s="140"/>
      <c r="Y162" s="140"/>
      <c r="Z162" s="95"/>
      <c r="AA162" s="95"/>
      <c r="AB162" s="571"/>
      <c r="AC162" s="571"/>
      <c r="AD162" s="332"/>
      <c r="AE162" s="332">
        <v>1</v>
      </c>
      <c r="AF162" s="95">
        <f t="shared" si="63"/>
        <v>-63.176470588236043</v>
      </c>
      <c r="AG162" s="132">
        <f t="shared" si="64"/>
        <v>0.9719215686274506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2075</v>
      </c>
      <c r="H163" s="127">
        <f t="shared" si="105"/>
        <v>71027.25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2074.9999999999991</v>
      </c>
      <c r="O163" s="129">
        <f t="shared" si="107"/>
        <v>172.9166666666666</v>
      </c>
      <c r="P163" s="95">
        <f t="shared" si="103"/>
        <v>0</v>
      </c>
      <c r="Q163" s="131">
        <f t="shared" si="104"/>
        <v>-3.5833333333333997</v>
      </c>
      <c r="R163" s="132">
        <f t="shared" si="108"/>
        <v>0.97969782813975415</v>
      </c>
      <c r="S163" s="575"/>
      <c r="T163" s="133">
        <v>0.31736111111111109</v>
      </c>
      <c r="U163" s="133">
        <v>0.35902777777777778</v>
      </c>
      <c r="V163" s="332">
        <v>7</v>
      </c>
      <c r="W163" s="134">
        <f t="shared" si="109"/>
        <v>60.000000000000028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-43.000000000000909</v>
      </c>
      <c r="AG163" s="132">
        <f t="shared" si="64"/>
        <v>0.97969782813975403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4634</v>
      </c>
      <c r="H164" s="127">
        <f t="shared" si="105"/>
        <v>166036.22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2189.2913385826764</v>
      </c>
      <c r="O164" s="129">
        <f t="shared" si="107"/>
        <v>199.02648532569785</v>
      </c>
      <c r="P164" s="95">
        <f t="shared" si="103"/>
        <v>0</v>
      </c>
      <c r="Q164" s="131">
        <f t="shared" si="104"/>
        <v>-5.5189692197566842</v>
      </c>
      <c r="R164" s="132">
        <f t="shared" si="108"/>
        <v>0.97301837270341174</v>
      </c>
      <c r="S164" s="575"/>
      <c r="T164" s="133">
        <v>0.375</v>
      </c>
      <c r="U164" s="133">
        <v>0.46319444444444446</v>
      </c>
      <c r="V164" s="332">
        <v>23</v>
      </c>
      <c r="W164" s="134">
        <f t="shared" si="109"/>
        <v>127.00000000000003</v>
      </c>
      <c r="X164" s="140">
        <v>0.36249999999999999</v>
      </c>
      <c r="Y164" s="140">
        <v>0.37222222222222223</v>
      </c>
      <c r="Z164" s="95"/>
      <c r="AA164" s="95"/>
      <c r="AB164" s="571"/>
      <c r="AC164" s="571"/>
      <c r="AD164" s="332"/>
      <c r="AE164" s="332"/>
      <c r="AF164" s="95">
        <f t="shared" si="63"/>
        <v>-60.708661417323583</v>
      </c>
      <c r="AG164" s="132">
        <f t="shared" si="64"/>
        <v>0.97301837270341174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4213.95</v>
      </c>
      <c r="H165" s="127">
        <f t="shared" si="105"/>
        <v>153429.91949999999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2431.1249999999995</v>
      </c>
      <c r="O165" s="129">
        <f t="shared" si="107"/>
        <v>243.11249999999995</v>
      </c>
      <c r="P165" s="95">
        <f t="shared" si="103"/>
        <v>0</v>
      </c>
      <c r="Q165" s="131">
        <f t="shared" si="104"/>
        <v>-33.787500000000023</v>
      </c>
      <c r="R165" s="132">
        <f t="shared" si="108"/>
        <v>0.87797941495124587</v>
      </c>
      <c r="S165" s="575"/>
      <c r="T165" s="133">
        <v>0.47847222222222224</v>
      </c>
      <c r="U165" s="133">
        <v>0.55069444444444449</v>
      </c>
      <c r="V165" s="332">
        <v>22</v>
      </c>
      <c r="W165" s="134">
        <f t="shared" si="109"/>
        <v>104.00000000000003</v>
      </c>
      <c r="X165" s="140">
        <v>0.46666666666666662</v>
      </c>
      <c r="Y165" s="140">
        <v>0.47569444444444442</v>
      </c>
      <c r="Z165" s="95"/>
      <c r="AA165" s="95"/>
      <c r="AB165" s="571"/>
      <c r="AC165" s="571"/>
      <c r="AD165" s="332">
        <v>1</v>
      </c>
      <c r="AE165" s="332"/>
      <c r="AF165" s="95">
        <f t="shared" si="63"/>
        <v>-337.87500000000045</v>
      </c>
      <c r="AG165" s="132">
        <f t="shared" si="64"/>
        <v>0.87797941495124576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2218.447973598888</v>
      </c>
      <c r="O173" s="148">
        <f t="shared" si="110"/>
        <v>190.65456931250003</v>
      </c>
      <c r="P173" s="95">
        <f>M173-J173</f>
        <v>0</v>
      </c>
      <c r="Q173" s="131">
        <f>O173-L173</f>
        <v>-10.16529082736011</v>
      </c>
      <c r="R173" s="149">
        <f>O173/L173</f>
        <v>0.94938104816784286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1</v>
      </c>
      <c r="AE173" s="151">
        <f>SUM(AE161:AE172)</f>
        <v>1</v>
      </c>
      <c r="AF173" s="95">
        <f t="shared" si="63"/>
        <v>-108.95202640111211</v>
      </c>
      <c r="AG173" s="132">
        <f t="shared" si="64"/>
        <v>0.95318723622879087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3383" priority="3346" operator="lessThan">
      <formula>0</formula>
    </cfRule>
  </conditionalFormatting>
  <conditionalFormatting sqref="AH57 AH70 S43 S123 S95 AH95 S5:S9 AH5:AH9 S134 AH17:AH18 S17:S18 S32 S82 AH82 S57:S70">
    <cfRule type="cellIs" dxfId="13382" priority="3345" operator="lessThan">
      <formula>0.8</formula>
    </cfRule>
  </conditionalFormatting>
  <conditionalFormatting sqref="R147 R173 R30 R121 R95 R43 R134 R82 R154:R159 R17:R18 R57:R70">
    <cfRule type="cellIs" dxfId="13381" priority="3343" operator="lessThan">
      <formula>0.8</formula>
    </cfRule>
    <cfRule type="cellIs" dxfId="13380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3379" priority="3341" operator="greaterThan">
      <formula>1</formula>
    </cfRule>
    <cfRule type="cellIs" dxfId="13378" priority="3342" operator="lessThan">
      <formula>0.8</formula>
    </cfRule>
  </conditionalFormatting>
  <conditionalFormatting sqref="P147 P30 P121 P95 P43 P134 P82 P154:P159 P17:P18 P57:P70">
    <cfRule type="cellIs" dxfId="13377" priority="3340" operator="greaterThan">
      <formula>0</formula>
    </cfRule>
  </conditionalFormatting>
  <conditionalFormatting sqref="S161">
    <cfRule type="cellIs" dxfId="13376" priority="3339" operator="lessThan">
      <formula>0.8</formula>
    </cfRule>
  </conditionalFormatting>
  <conditionalFormatting sqref="Q161:Q166">
    <cfRule type="cellIs" dxfId="13375" priority="3338" operator="lessThan">
      <formula>0</formula>
    </cfRule>
  </conditionalFormatting>
  <conditionalFormatting sqref="R161:R166">
    <cfRule type="cellIs" dxfId="13374" priority="3336" operator="lessThan">
      <formula>0.8</formula>
    </cfRule>
    <cfRule type="cellIs" dxfId="13373" priority="3337" operator="greaterThan">
      <formula>1</formula>
    </cfRule>
  </conditionalFormatting>
  <conditionalFormatting sqref="R161:R166">
    <cfRule type="cellIs" dxfId="13372" priority="3334" operator="greaterThan">
      <formula>1</formula>
    </cfRule>
    <cfRule type="cellIs" dxfId="13371" priority="3335" operator="lessThan">
      <formula>0.8</formula>
    </cfRule>
  </conditionalFormatting>
  <conditionalFormatting sqref="P161:P166">
    <cfRule type="cellIs" dxfId="13370" priority="3333" operator="greaterThan">
      <formula>0</formula>
    </cfRule>
  </conditionalFormatting>
  <conditionalFormatting sqref="Q169:Q172 AF161:AF172">
    <cfRule type="cellIs" dxfId="13369" priority="3332" operator="lessThan">
      <formula>0</formula>
    </cfRule>
  </conditionalFormatting>
  <conditionalFormatting sqref="R169:R172">
    <cfRule type="cellIs" dxfId="13368" priority="3330" operator="lessThan">
      <formula>0.8</formula>
    </cfRule>
    <cfRule type="cellIs" dxfId="13367" priority="3331" operator="greaterThan">
      <formula>1</formula>
    </cfRule>
  </conditionalFormatting>
  <conditionalFormatting sqref="R169:R172 AG161:AG172">
    <cfRule type="cellIs" dxfId="13366" priority="3328" operator="greaterThan">
      <formula>1</formula>
    </cfRule>
    <cfRule type="cellIs" dxfId="13365" priority="3329" operator="lessThan">
      <formula>0.8</formula>
    </cfRule>
  </conditionalFormatting>
  <conditionalFormatting sqref="P169:P172">
    <cfRule type="cellIs" dxfId="13364" priority="3327" operator="greaterThan">
      <formula>0</formula>
    </cfRule>
  </conditionalFormatting>
  <conditionalFormatting sqref="AF145">
    <cfRule type="cellIs" dxfId="13363" priority="3326" operator="lessThan">
      <formula>0</formula>
    </cfRule>
  </conditionalFormatting>
  <conditionalFormatting sqref="AG145">
    <cfRule type="cellIs" dxfId="13362" priority="3324" operator="greaterThan">
      <formula>1</formula>
    </cfRule>
    <cfRule type="cellIs" dxfId="13361" priority="3325" operator="lessThan">
      <formula>0.8</formula>
    </cfRule>
  </conditionalFormatting>
  <conditionalFormatting sqref="AF44:AF54">
    <cfRule type="cellIs" dxfId="13360" priority="3323" operator="lessThan">
      <formula>0</formula>
    </cfRule>
  </conditionalFormatting>
  <conditionalFormatting sqref="AG44:AG54">
    <cfRule type="cellIs" dxfId="13359" priority="3321" operator="greaterThan">
      <formula>1</formula>
    </cfRule>
    <cfRule type="cellIs" dxfId="13358" priority="3322" operator="lessThan">
      <formula>0.8</formula>
    </cfRule>
  </conditionalFormatting>
  <conditionalFormatting sqref="AF83:AF94">
    <cfRule type="cellIs" dxfId="13357" priority="3320" operator="lessThan">
      <formula>0</formula>
    </cfRule>
  </conditionalFormatting>
  <conditionalFormatting sqref="AH83">
    <cfRule type="cellIs" dxfId="13356" priority="3319" operator="lessThan">
      <formula>0.8</formula>
    </cfRule>
  </conditionalFormatting>
  <conditionalFormatting sqref="AG83:AG94">
    <cfRule type="cellIs" dxfId="13355" priority="3317" operator="greaterThan">
      <formula>1</formula>
    </cfRule>
    <cfRule type="cellIs" dxfId="13354" priority="3318" operator="lessThan">
      <formula>0.8</formula>
    </cfRule>
  </conditionalFormatting>
  <conditionalFormatting sqref="S83">
    <cfRule type="cellIs" dxfId="13353" priority="3316" operator="lessThan">
      <formula>0.8</formula>
    </cfRule>
  </conditionalFormatting>
  <conditionalFormatting sqref="AH84">
    <cfRule type="cellIs" dxfId="13352" priority="3315" operator="lessThan">
      <formula>0.8</formula>
    </cfRule>
  </conditionalFormatting>
  <conditionalFormatting sqref="S84">
    <cfRule type="cellIs" dxfId="13351" priority="3314" operator="lessThan">
      <formula>0.8</formula>
    </cfRule>
  </conditionalFormatting>
  <conditionalFormatting sqref="S90">
    <cfRule type="cellIs" dxfId="13350" priority="3313" operator="lessThan">
      <formula>0.8</formula>
    </cfRule>
  </conditionalFormatting>
  <conditionalFormatting sqref="AH90">
    <cfRule type="cellIs" dxfId="13349" priority="3312" operator="lessThan">
      <formula>0.8</formula>
    </cfRule>
  </conditionalFormatting>
  <conditionalFormatting sqref="AF122">
    <cfRule type="cellIs" dxfId="13348" priority="3311" operator="lessThan">
      <formula>0</formula>
    </cfRule>
  </conditionalFormatting>
  <conditionalFormatting sqref="S122">
    <cfRule type="cellIs" dxfId="13347" priority="3310" operator="lessThan">
      <formula>0.8</formula>
    </cfRule>
  </conditionalFormatting>
  <conditionalFormatting sqref="AG122">
    <cfRule type="cellIs" dxfId="13346" priority="3308" operator="greaterThan">
      <formula>1</formula>
    </cfRule>
    <cfRule type="cellIs" dxfId="13345" priority="3309" operator="lessThan">
      <formula>0.8</formula>
    </cfRule>
  </conditionalFormatting>
  <conditionalFormatting sqref="P162:P168">
    <cfRule type="cellIs" dxfId="13344" priority="3302" operator="greaterThan">
      <formula>0</formula>
    </cfRule>
  </conditionalFormatting>
  <conditionalFormatting sqref="R162:R168">
    <cfRule type="cellIs" dxfId="13343" priority="3305" operator="lessThan">
      <formula>0.8</formula>
    </cfRule>
    <cfRule type="cellIs" dxfId="13342" priority="3306" operator="greaterThan">
      <formula>1</formula>
    </cfRule>
  </conditionalFormatting>
  <conditionalFormatting sqref="R162:R168">
    <cfRule type="cellIs" dxfId="13341" priority="3303" operator="greaterThan">
      <formula>1</formula>
    </cfRule>
    <cfRule type="cellIs" dxfId="13340" priority="3304" operator="lessThan">
      <formula>0.8</formula>
    </cfRule>
  </conditionalFormatting>
  <conditionalFormatting sqref="Q162:Q168">
    <cfRule type="cellIs" dxfId="13339" priority="3307" operator="lessThan">
      <formula>0</formula>
    </cfRule>
  </conditionalFormatting>
  <conditionalFormatting sqref="P132:P133">
    <cfRule type="cellIs" dxfId="13338" priority="3295" operator="greaterThan">
      <formula>0</formula>
    </cfRule>
  </conditionalFormatting>
  <conditionalFormatting sqref="AF124 Q132:Q133 AF126:AF133">
    <cfRule type="cellIs" dxfId="13337" priority="3301" operator="lessThan">
      <formula>0</formula>
    </cfRule>
  </conditionalFormatting>
  <conditionalFormatting sqref="S124:S133">
    <cfRule type="cellIs" dxfId="13336" priority="3300" operator="lessThan">
      <formula>0.8</formula>
    </cfRule>
  </conditionalFormatting>
  <conditionalFormatting sqref="R132:R133">
    <cfRule type="cellIs" dxfId="13335" priority="3298" operator="lessThan">
      <formula>0.8</formula>
    </cfRule>
    <cfRule type="cellIs" dxfId="13334" priority="3299" operator="greaterThan">
      <formula>1</formula>
    </cfRule>
  </conditionalFormatting>
  <conditionalFormatting sqref="AG124 R132:R133 AG126:AG133">
    <cfRule type="cellIs" dxfId="13333" priority="3296" operator="greaterThan">
      <formula>1</formula>
    </cfRule>
    <cfRule type="cellIs" dxfId="13332" priority="3297" operator="lessThan">
      <formula>0.8</formula>
    </cfRule>
  </conditionalFormatting>
  <conditionalFormatting sqref="AF112 AF115">
    <cfRule type="cellIs" dxfId="13331" priority="3294" operator="lessThan">
      <formula>0</formula>
    </cfRule>
  </conditionalFormatting>
  <conditionalFormatting sqref="AG112 AG115">
    <cfRule type="cellIs" dxfId="13330" priority="3292" operator="greaterThan">
      <formula>1</formula>
    </cfRule>
    <cfRule type="cellIs" dxfId="13329" priority="3293" operator="lessThan">
      <formula>0.8</formula>
    </cfRule>
  </conditionalFormatting>
  <conditionalFormatting sqref="AF111 AF114 AF117">
    <cfRule type="cellIs" dxfId="13328" priority="3291" operator="lessThan">
      <formula>0</formula>
    </cfRule>
  </conditionalFormatting>
  <conditionalFormatting sqref="AH109">
    <cfRule type="cellIs" dxfId="13327" priority="3290" operator="lessThan">
      <formula>0.8</formula>
    </cfRule>
  </conditionalFormatting>
  <conditionalFormatting sqref="AG111 AG114 AG117">
    <cfRule type="cellIs" dxfId="13326" priority="3288" operator="greaterThan">
      <formula>1</formula>
    </cfRule>
    <cfRule type="cellIs" dxfId="13325" priority="3289" operator="lessThan">
      <formula>0.8</formula>
    </cfRule>
  </conditionalFormatting>
  <conditionalFormatting sqref="R160 AG160">
    <cfRule type="cellIs" dxfId="13324" priority="3283" operator="greaterThan">
      <formula>1</formula>
    </cfRule>
    <cfRule type="cellIs" dxfId="13323" priority="3284" operator="lessThan">
      <formula>0.8</formula>
    </cfRule>
  </conditionalFormatting>
  <conditionalFormatting sqref="R160">
    <cfRule type="cellIs" dxfId="13322" priority="3285" operator="lessThan">
      <formula>0.8</formula>
    </cfRule>
    <cfRule type="cellIs" dxfId="13321" priority="3286" operator="greaterThan">
      <formula>1</formula>
    </cfRule>
  </conditionalFormatting>
  <conditionalFormatting sqref="P160">
    <cfRule type="cellIs" dxfId="13320" priority="3282" operator="greaterThan">
      <formula>0</formula>
    </cfRule>
  </conditionalFormatting>
  <conditionalFormatting sqref="AH148">
    <cfRule type="cellIs" dxfId="13319" priority="3281" operator="lessThan">
      <formula>0.8</formula>
    </cfRule>
  </conditionalFormatting>
  <conditionalFormatting sqref="Q160 AF160">
    <cfRule type="cellIs" dxfId="13318" priority="3287" operator="lessThan">
      <formula>0</formula>
    </cfRule>
  </conditionalFormatting>
  <conditionalFormatting sqref="AF148:AF154">
    <cfRule type="cellIs" dxfId="13317" priority="3280" operator="lessThan">
      <formula>0</formula>
    </cfRule>
  </conditionalFormatting>
  <conditionalFormatting sqref="S148">
    <cfRule type="cellIs" dxfId="13316" priority="3279" operator="lessThan">
      <formula>0.8</formula>
    </cfRule>
  </conditionalFormatting>
  <conditionalFormatting sqref="AG148:AG154">
    <cfRule type="cellIs" dxfId="13315" priority="3277" operator="greaterThan">
      <formula>1</formula>
    </cfRule>
    <cfRule type="cellIs" dxfId="13314" priority="3278" operator="lessThan">
      <formula>0.8</formula>
    </cfRule>
  </conditionalFormatting>
  <conditionalFormatting sqref="S86">
    <cfRule type="cellIs" dxfId="13313" priority="3276" operator="lessThan">
      <formula>0.8</formula>
    </cfRule>
  </conditionalFormatting>
  <conditionalFormatting sqref="S88 AH88">
    <cfRule type="cellIs" dxfId="13312" priority="3271" operator="lessThan">
      <formula>0.8</formula>
    </cfRule>
  </conditionalFormatting>
  <conditionalFormatting sqref="AH86">
    <cfRule type="cellIs" dxfId="13311" priority="3275" operator="lessThan">
      <formula>0.8</formula>
    </cfRule>
  </conditionalFormatting>
  <conditionalFormatting sqref="S87">
    <cfRule type="cellIs" dxfId="13310" priority="3274" operator="lessThan">
      <formula>0.8</formula>
    </cfRule>
  </conditionalFormatting>
  <conditionalFormatting sqref="AH87">
    <cfRule type="cellIs" dxfId="13309" priority="3273" operator="lessThan">
      <formula>0.8</formula>
    </cfRule>
  </conditionalFormatting>
  <conditionalFormatting sqref="S89 AH89">
    <cfRule type="cellIs" dxfId="13308" priority="3272" operator="lessThan">
      <formula>0.8</formula>
    </cfRule>
  </conditionalFormatting>
  <conditionalFormatting sqref="AF31 AF35 AF39">
    <cfRule type="cellIs" dxfId="13307" priority="3270" operator="lessThan">
      <formula>0</formula>
    </cfRule>
  </conditionalFormatting>
  <conditionalFormatting sqref="AH31 S31">
    <cfRule type="cellIs" dxfId="13306" priority="3269" operator="lessThan">
      <formula>0.8</formula>
    </cfRule>
  </conditionalFormatting>
  <conditionalFormatting sqref="AG31 AG35 AG39">
    <cfRule type="cellIs" dxfId="13305" priority="3267" operator="greaterThan">
      <formula>1</formula>
    </cfRule>
    <cfRule type="cellIs" dxfId="13304" priority="3268" operator="lessThan">
      <formula>0.8</formula>
    </cfRule>
  </conditionalFormatting>
  <conditionalFormatting sqref="AF135">
    <cfRule type="cellIs" dxfId="13303" priority="3266" operator="lessThan">
      <formula>0</formula>
    </cfRule>
  </conditionalFormatting>
  <conditionalFormatting sqref="AH135 S135">
    <cfRule type="cellIs" dxfId="13302" priority="3265" operator="lessThan">
      <formula>0.8</formula>
    </cfRule>
  </conditionalFormatting>
  <conditionalFormatting sqref="AG135">
    <cfRule type="cellIs" dxfId="13301" priority="3263" operator="greaterThan">
      <formula>1</formula>
    </cfRule>
    <cfRule type="cellIs" dxfId="13300" priority="3264" operator="lessThan">
      <formula>0.8</formula>
    </cfRule>
  </conditionalFormatting>
  <conditionalFormatting sqref="AF110 AF113 AF116">
    <cfRule type="cellIs" dxfId="13299" priority="3262" operator="lessThan">
      <formula>0</formula>
    </cfRule>
  </conditionalFormatting>
  <conditionalFormatting sqref="AG110 AG113 AG116">
    <cfRule type="cellIs" dxfId="13298" priority="3260" operator="greaterThan">
      <formula>1</formula>
    </cfRule>
    <cfRule type="cellIs" dxfId="13297" priority="3261" operator="lessThan">
      <formula>0.8</formula>
    </cfRule>
  </conditionalFormatting>
  <conditionalFormatting sqref="AF108 Q108">
    <cfRule type="cellIs" dxfId="13296" priority="3259" operator="lessThan">
      <formula>0</formula>
    </cfRule>
  </conditionalFormatting>
  <conditionalFormatting sqref="R108">
    <cfRule type="cellIs" dxfId="13295" priority="3257" operator="lessThan">
      <formula>0.8</formula>
    </cfRule>
    <cfRule type="cellIs" dxfId="13294" priority="3258" operator="greaterThan">
      <formula>1</formula>
    </cfRule>
  </conditionalFormatting>
  <conditionalFormatting sqref="AG108 R108">
    <cfRule type="cellIs" dxfId="13293" priority="3255" operator="greaterThan">
      <formula>1</formula>
    </cfRule>
    <cfRule type="cellIs" dxfId="13292" priority="3256" operator="lessThan">
      <formula>0.8</formula>
    </cfRule>
  </conditionalFormatting>
  <conditionalFormatting sqref="P108">
    <cfRule type="cellIs" dxfId="13291" priority="3254" operator="greaterThan">
      <formula>0</formula>
    </cfRule>
  </conditionalFormatting>
  <conditionalFormatting sqref="AH97">
    <cfRule type="cellIs" dxfId="13290" priority="3249" operator="lessThan">
      <formula>0.8</formula>
    </cfRule>
  </conditionalFormatting>
  <conditionalFormatting sqref="AG96 AG98 AG100 AG102 AG104">
    <cfRule type="cellIs" dxfId="13289" priority="3251" operator="greaterThan">
      <formula>1</formula>
    </cfRule>
    <cfRule type="cellIs" dxfId="13288" priority="3252" operator="lessThan">
      <formula>0.8</formula>
    </cfRule>
  </conditionalFormatting>
  <conditionalFormatting sqref="AF96 AF98 AF100 AF102 AF104">
    <cfRule type="cellIs" dxfId="13287" priority="3253" operator="lessThan">
      <formula>0</formula>
    </cfRule>
  </conditionalFormatting>
  <conditionalFormatting sqref="AG97 AG99 AG101 AG103 AG105">
    <cfRule type="cellIs" dxfId="13286" priority="3247" operator="greaterThan">
      <formula>1</formula>
    </cfRule>
    <cfRule type="cellIs" dxfId="13285" priority="3248" operator="lessThan">
      <formula>0.8</formula>
    </cfRule>
  </conditionalFormatting>
  <conditionalFormatting sqref="AF97 AF99 AF101 AF103 AF105">
    <cfRule type="cellIs" dxfId="13284" priority="3250" operator="lessThan">
      <formula>0</formula>
    </cfRule>
  </conditionalFormatting>
  <conditionalFormatting sqref="AF71 AF73 AF75 AF79 AF77">
    <cfRule type="cellIs" dxfId="13283" priority="3244" operator="lessThan">
      <formula>0</formula>
    </cfRule>
  </conditionalFormatting>
  <conditionalFormatting sqref="S71 AH71">
    <cfRule type="cellIs" dxfId="13282" priority="3243" operator="lessThan">
      <formula>0.8</formula>
    </cfRule>
  </conditionalFormatting>
  <conditionalFormatting sqref="AG71 AG73 AG75 AG79 AG77">
    <cfRule type="cellIs" dxfId="13281" priority="3241" operator="greaterThan">
      <formula>1</formula>
    </cfRule>
    <cfRule type="cellIs" dxfId="13280" priority="3242" operator="lessThan">
      <formula>0.8</formula>
    </cfRule>
  </conditionalFormatting>
  <conditionalFormatting sqref="AF72 AF76 AF80">
    <cfRule type="cellIs" dxfId="13279" priority="3240" operator="lessThan">
      <formula>0</formula>
    </cfRule>
  </conditionalFormatting>
  <conditionalFormatting sqref="S72 AH72">
    <cfRule type="cellIs" dxfId="13278" priority="3239" operator="lessThan">
      <formula>0.8</formula>
    </cfRule>
  </conditionalFormatting>
  <conditionalFormatting sqref="S11">
    <cfRule type="cellIs" dxfId="13277" priority="3246" operator="lessThan">
      <formula>0.8</formula>
    </cfRule>
  </conditionalFormatting>
  <conditionalFormatting sqref="S10">
    <cfRule type="cellIs" dxfId="13276" priority="3245" operator="lessThan">
      <formula>0.8</formula>
    </cfRule>
  </conditionalFormatting>
  <conditionalFormatting sqref="AG72 AG76 AG80">
    <cfRule type="cellIs" dxfId="13275" priority="3237" operator="greaterThan">
      <formula>1</formula>
    </cfRule>
    <cfRule type="cellIs" dxfId="13274" priority="3238" operator="lessThan">
      <formula>0.8</formula>
    </cfRule>
  </conditionalFormatting>
  <conditionalFormatting sqref="AF14:AF16 Q15:Q16">
    <cfRule type="cellIs" dxfId="13273" priority="3236" operator="lessThan">
      <formula>0</formula>
    </cfRule>
  </conditionalFormatting>
  <conditionalFormatting sqref="R15:R16">
    <cfRule type="cellIs" dxfId="13272" priority="3234" operator="lessThan">
      <formula>0.8</formula>
    </cfRule>
    <cfRule type="cellIs" dxfId="13271" priority="3235" operator="greaterThan">
      <formula>1</formula>
    </cfRule>
  </conditionalFormatting>
  <conditionalFormatting sqref="AG14:AG16 R15:R16">
    <cfRule type="cellIs" dxfId="13270" priority="3232" operator="greaterThan">
      <formula>1</formula>
    </cfRule>
    <cfRule type="cellIs" dxfId="13269" priority="3233" operator="lessThan">
      <formula>0.8</formula>
    </cfRule>
  </conditionalFormatting>
  <conditionalFormatting sqref="P15:P16">
    <cfRule type="cellIs" dxfId="13268" priority="3231" operator="greaterThan">
      <formula>0</formula>
    </cfRule>
  </conditionalFormatting>
  <conditionalFormatting sqref="AH98">
    <cfRule type="cellIs" dxfId="13267" priority="3230" operator="lessThan">
      <formula>0.8</formula>
    </cfRule>
  </conditionalFormatting>
  <conditionalFormatting sqref="AF33 AF37">
    <cfRule type="cellIs" dxfId="13266" priority="3229" operator="lessThan">
      <formula>0</formula>
    </cfRule>
  </conditionalFormatting>
  <conditionalFormatting sqref="AG33 AG37">
    <cfRule type="cellIs" dxfId="13265" priority="3227" operator="greaterThan">
      <formula>1</formula>
    </cfRule>
    <cfRule type="cellIs" dxfId="13264" priority="3228" operator="lessThan">
      <formula>0.8</formula>
    </cfRule>
  </conditionalFormatting>
  <conditionalFormatting sqref="P41:P42">
    <cfRule type="cellIs" dxfId="13263" priority="3221" operator="greaterThan">
      <formula>0</formula>
    </cfRule>
  </conditionalFormatting>
  <conditionalFormatting sqref="Q41:Q42 AF34 AF41:AF42 AF38">
    <cfRule type="cellIs" dxfId="13262" priority="3226" operator="lessThan">
      <formula>0</formula>
    </cfRule>
  </conditionalFormatting>
  <conditionalFormatting sqref="R41:R42">
    <cfRule type="cellIs" dxfId="13261" priority="3224" operator="lessThan">
      <formula>0.8</formula>
    </cfRule>
    <cfRule type="cellIs" dxfId="13260" priority="3225" operator="greaterThan">
      <formula>1</formula>
    </cfRule>
  </conditionalFormatting>
  <conditionalFormatting sqref="R41:R42 AG34 AG41:AG42 AG38">
    <cfRule type="cellIs" dxfId="13259" priority="3222" operator="greaterThan">
      <formula>1</formula>
    </cfRule>
    <cfRule type="cellIs" dxfId="13258" priority="3223" operator="lessThan">
      <formula>0.8</formula>
    </cfRule>
  </conditionalFormatting>
  <conditionalFormatting sqref="AF137:AF144">
    <cfRule type="cellIs" dxfId="13257" priority="3220" operator="lessThan">
      <formula>0</formula>
    </cfRule>
  </conditionalFormatting>
  <conditionalFormatting sqref="AH137 S137">
    <cfRule type="cellIs" dxfId="13256" priority="3219" operator="lessThan">
      <formula>0.8</formula>
    </cfRule>
  </conditionalFormatting>
  <conditionalFormatting sqref="AG137:AG144">
    <cfRule type="cellIs" dxfId="13255" priority="3217" operator="greaterThan">
      <formula>1</formula>
    </cfRule>
    <cfRule type="cellIs" dxfId="13254" priority="3218" operator="lessThan">
      <formula>0.8</formula>
    </cfRule>
  </conditionalFormatting>
  <conditionalFormatting sqref="AF55">
    <cfRule type="cellIs" dxfId="13253" priority="3216" operator="lessThan">
      <formula>0</formula>
    </cfRule>
  </conditionalFormatting>
  <conditionalFormatting sqref="AG55">
    <cfRule type="cellIs" dxfId="13252" priority="3214" operator="greaterThan">
      <formula>1</formula>
    </cfRule>
    <cfRule type="cellIs" dxfId="13251" priority="3215" operator="lessThan">
      <formula>0.8</formula>
    </cfRule>
  </conditionalFormatting>
  <conditionalFormatting sqref="AF56 Q56">
    <cfRule type="cellIs" dxfId="13250" priority="3213" operator="lessThan">
      <formula>0</formula>
    </cfRule>
  </conditionalFormatting>
  <conditionalFormatting sqref="R56">
    <cfRule type="cellIs" dxfId="13249" priority="3211" operator="lessThan">
      <formula>0.8</formula>
    </cfRule>
    <cfRule type="cellIs" dxfId="13248" priority="3212" operator="greaterThan">
      <formula>1</formula>
    </cfRule>
  </conditionalFormatting>
  <conditionalFormatting sqref="AG56 R56">
    <cfRule type="cellIs" dxfId="13247" priority="3209" operator="greaterThan">
      <formula>1</formula>
    </cfRule>
    <cfRule type="cellIs" dxfId="13246" priority="3210" operator="lessThan">
      <formula>0.8</formula>
    </cfRule>
  </conditionalFormatting>
  <conditionalFormatting sqref="P56">
    <cfRule type="cellIs" dxfId="13245" priority="3208" operator="greaterThan">
      <formula>0</formula>
    </cfRule>
  </conditionalFormatting>
  <conditionalFormatting sqref="P52:P55">
    <cfRule type="cellIs" dxfId="13244" priority="3202" operator="greaterThan">
      <formula>0</formula>
    </cfRule>
  </conditionalFormatting>
  <conditionalFormatting sqref="Q52:Q55">
    <cfRule type="cellIs" dxfId="13243" priority="3207" operator="lessThan">
      <formula>0</formula>
    </cfRule>
  </conditionalFormatting>
  <conditionalFormatting sqref="R52:R55">
    <cfRule type="cellIs" dxfId="13242" priority="3205" operator="lessThan">
      <formula>0.8</formula>
    </cfRule>
    <cfRule type="cellIs" dxfId="13241" priority="3206" operator="greaterThan">
      <formula>1</formula>
    </cfRule>
  </conditionalFormatting>
  <conditionalFormatting sqref="R52:R55">
    <cfRule type="cellIs" dxfId="13240" priority="3203" operator="greaterThan">
      <formula>1</formula>
    </cfRule>
    <cfRule type="cellIs" dxfId="13239" priority="3204" operator="lessThan">
      <formula>0.8</formula>
    </cfRule>
  </conditionalFormatting>
  <conditionalFormatting sqref="P80:P81">
    <cfRule type="cellIs" dxfId="13238" priority="3196" operator="greaterThan">
      <formula>0</formula>
    </cfRule>
  </conditionalFormatting>
  <conditionalFormatting sqref="AF81 Q80:Q81">
    <cfRule type="cellIs" dxfId="13237" priority="3201" operator="lessThan">
      <formula>0</formula>
    </cfRule>
  </conditionalFormatting>
  <conditionalFormatting sqref="R80:R81">
    <cfRule type="cellIs" dxfId="13236" priority="3199" operator="lessThan">
      <formula>0.8</formula>
    </cfRule>
    <cfRule type="cellIs" dxfId="13235" priority="3200" operator="greaterThan">
      <formula>1</formula>
    </cfRule>
  </conditionalFormatting>
  <conditionalFormatting sqref="AG81 R80:R81">
    <cfRule type="cellIs" dxfId="13234" priority="3197" operator="greaterThan">
      <formula>1</formula>
    </cfRule>
    <cfRule type="cellIs" dxfId="13233" priority="3198" operator="lessThan">
      <formula>0.8</formula>
    </cfRule>
  </conditionalFormatting>
  <conditionalFormatting sqref="AH85">
    <cfRule type="cellIs" dxfId="13232" priority="3195" operator="lessThan">
      <formula>0.8</formula>
    </cfRule>
  </conditionalFormatting>
  <conditionalFormatting sqref="S85">
    <cfRule type="cellIs" dxfId="13231" priority="3194" operator="lessThan">
      <formula>0.8</formula>
    </cfRule>
  </conditionalFormatting>
  <conditionalFormatting sqref="AF106:AF107">
    <cfRule type="cellIs" dxfId="13230" priority="3193" operator="lessThan">
      <formula>0</formula>
    </cfRule>
  </conditionalFormatting>
  <conditionalFormatting sqref="AH100:AH107">
    <cfRule type="cellIs" dxfId="13229" priority="3192" operator="lessThan">
      <formula>0.8</formula>
    </cfRule>
  </conditionalFormatting>
  <conditionalFormatting sqref="AG106:AG107">
    <cfRule type="cellIs" dxfId="13228" priority="3190" operator="greaterThan">
      <formula>1</formula>
    </cfRule>
    <cfRule type="cellIs" dxfId="13227" priority="3191" operator="lessThan">
      <formula>0.8</formula>
    </cfRule>
  </conditionalFormatting>
  <conditionalFormatting sqref="P106:P107">
    <cfRule type="cellIs" dxfId="13226" priority="3184" operator="greaterThan">
      <formula>0</formula>
    </cfRule>
  </conditionalFormatting>
  <conditionalFormatting sqref="Q106:Q107">
    <cfRule type="cellIs" dxfId="13225" priority="3189" operator="lessThan">
      <formula>0</formula>
    </cfRule>
  </conditionalFormatting>
  <conditionalFormatting sqref="R106:R107">
    <cfRule type="cellIs" dxfId="13224" priority="3187" operator="lessThan">
      <formula>0.8</formula>
    </cfRule>
    <cfRule type="cellIs" dxfId="13223" priority="3188" operator="greaterThan">
      <formula>1</formula>
    </cfRule>
  </conditionalFormatting>
  <conditionalFormatting sqref="R106:R107">
    <cfRule type="cellIs" dxfId="13222" priority="3185" operator="greaterThan">
      <formula>1</formula>
    </cfRule>
    <cfRule type="cellIs" dxfId="13221" priority="3186" operator="lessThan">
      <formula>0.8</formula>
    </cfRule>
  </conditionalFormatting>
  <conditionalFormatting sqref="AF109">
    <cfRule type="cellIs" dxfId="13220" priority="3183" operator="lessThan">
      <formula>0</formula>
    </cfRule>
  </conditionalFormatting>
  <conditionalFormatting sqref="S109">
    <cfRule type="cellIs" dxfId="13219" priority="3182" operator="lessThan">
      <formula>0.8</formula>
    </cfRule>
  </conditionalFormatting>
  <conditionalFormatting sqref="AG109">
    <cfRule type="cellIs" dxfId="13218" priority="3180" operator="greaterThan">
      <formula>1</formula>
    </cfRule>
    <cfRule type="cellIs" dxfId="13217" priority="3181" operator="lessThan">
      <formula>0.8</formula>
    </cfRule>
  </conditionalFormatting>
  <conditionalFormatting sqref="S150">
    <cfRule type="cellIs" dxfId="13216" priority="3179" operator="lessThan">
      <formula>0.8</formula>
    </cfRule>
  </conditionalFormatting>
  <conditionalFormatting sqref="AH150">
    <cfRule type="cellIs" dxfId="13215" priority="3178" operator="lessThan">
      <formula>0.8</formula>
    </cfRule>
  </conditionalFormatting>
  <conditionalFormatting sqref="S149">
    <cfRule type="cellIs" dxfId="13214" priority="3177" operator="lessThan">
      <formula>0.8</formula>
    </cfRule>
  </conditionalFormatting>
  <conditionalFormatting sqref="Q26:Q29">
    <cfRule type="cellIs" dxfId="13213" priority="3176" operator="lessThan">
      <formula>0</formula>
    </cfRule>
  </conditionalFormatting>
  <conditionalFormatting sqref="S21:S29 AH21:AH29">
    <cfRule type="cellIs" dxfId="13212" priority="3175" operator="lessThan">
      <formula>0.8</formula>
    </cfRule>
  </conditionalFormatting>
  <conditionalFormatting sqref="R26:R29">
    <cfRule type="cellIs" dxfId="13211" priority="3173" operator="lessThan">
      <formula>0.8</formula>
    </cfRule>
    <cfRule type="cellIs" dxfId="13210" priority="3174" operator="greaterThan">
      <formula>1</formula>
    </cfRule>
  </conditionalFormatting>
  <conditionalFormatting sqref="R26:R29">
    <cfRule type="cellIs" dxfId="13209" priority="3171" operator="greaterThan">
      <formula>1</formula>
    </cfRule>
    <cfRule type="cellIs" dxfId="13208" priority="3172" operator="lessThan">
      <formula>0.8</formula>
    </cfRule>
  </conditionalFormatting>
  <conditionalFormatting sqref="P26:P29">
    <cfRule type="cellIs" dxfId="13207" priority="3170" operator="greaterThan">
      <formula>0</formula>
    </cfRule>
  </conditionalFormatting>
  <conditionalFormatting sqref="AH91 S91">
    <cfRule type="cellIs" dxfId="13206" priority="3169" operator="lessThan">
      <formula>0.8</formula>
    </cfRule>
  </conditionalFormatting>
  <conditionalFormatting sqref="P92:P94">
    <cfRule type="cellIs" dxfId="13205" priority="3163" operator="greaterThan">
      <formula>0</formula>
    </cfRule>
  </conditionalFormatting>
  <conditionalFormatting sqref="Q92:Q94">
    <cfRule type="cellIs" dxfId="13204" priority="3168" operator="lessThan">
      <formula>0</formula>
    </cfRule>
  </conditionalFormatting>
  <conditionalFormatting sqref="R92:R94">
    <cfRule type="cellIs" dxfId="13203" priority="3166" operator="lessThan">
      <formula>0.8</formula>
    </cfRule>
    <cfRule type="cellIs" dxfId="13202" priority="3167" operator="greaterThan">
      <formula>1</formula>
    </cfRule>
  </conditionalFormatting>
  <conditionalFormatting sqref="R92:R94">
    <cfRule type="cellIs" dxfId="13201" priority="3164" operator="greaterThan">
      <formula>1</formula>
    </cfRule>
    <cfRule type="cellIs" dxfId="13200" priority="3165" operator="lessThan">
      <formula>0.8</formula>
    </cfRule>
  </conditionalFormatting>
  <conditionalFormatting sqref="AF146 Q145:Q146">
    <cfRule type="cellIs" dxfId="13199" priority="3162" operator="lessThan">
      <formula>0</formula>
    </cfRule>
  </conditionalFormatting>
  <conditionalFormatting sqref="AH139:AH146 S139:S146">
    <cfRule type="cellIs" dxfId="13198" priority="3161" operator="lessThan">
      <formula>0.8</formula>
    </cfRule>
  </conditionalFormatting>
  <conditionalFormatting sqref="R145:R146">
    <cfRule type="cellIs" dxfId="13197" priority="3159" operator="lessThan">
      <formula>0.8</formula>
    </cfRule>
    <cfRule type="cellIs" dxfId="13196" priority="3160" operator="greaterThan">
      <formula>1</formula>
    </cfRule>
  </conditionalFormatting>
  <conditionalFormatting sqref="AG146 R145:R146">
    <cfRule type="cellIs" dxfId="13195" priority="3157" operator="greaterThan">
      <formula>1</formula>
    </cfRule>
    <cfRule type="cellIs" dxfId="13194" priority="3158" operator="lessThan">
      <formula>0.8</formula>
    </cfRule>
  </conditionalFormatting>
  <conditionalFormatting sqref="P145:P146">
    <cfRule type="cellIs" dxfId="13193" priority="3156" operator="greaterThan">
      <formula>0</formula>
    </cfRule>
  </conditionalFormatting>
  <conditionalFormatting sqref="Q119:Q120">
    <cfRule type="cellIs" dxfId="13192" priority="3155" operator="lessThan">
      <formula>0</formula>
    </cfRule>
  </conditionalFormatting>
  <conditionalFormatting sqref="R119:R120">
    <cfRule type="cellIs" dxfId="13191" priority="3153" operator="lessThan">
      <formula>0.8</formula>
    </cfRule>
    <cfRule type="cellIs" dxfId="13190" priority="3154" operator="greaterThan">
      <formula>1</formula>
    </cfRule>
  </conditionalFormatting>
  <conditionalFormatting sqref="R119:R120">
    <cfRule type="cellIs" dxfId="13189" priority="3151" operator="greaterThan">
      <formula>1</formula>
    </cfRule>
    <cfRule type="cellIs" dxfId="13188" priority="3152" operator="lessThan">
      <formula>0.8</formula>
    </cfRule>
  </conditionalFormatting>
  <conditionalFormatting sqref="P119:P120">
    <cfRule type="cellIs" dxfId="13187" priority="3150" operator="greaterThan">
      <formula>0</formula>
    </cfRule>
  </conditionalFormatting>
  <conditionalFormatting sqref="AF118:AF120">
    <cfRule type="cellIs" dxfId="13186" priority="3149" operator="lessThan">
      <formula>0</formula>
    </cfRule>
  </conditionalFormatting>
  <conditionalFormatting sqref="AG118:AG120">
    <cfRule type="cellIs" dxfId="13185" priority="3147" operator="greaterThan">
      <formula>1</formula>
    </cfRule>
    <cfRule type="cellIs" dxfId="13184" priority="3148" operator="lessThan">
      <formula>0.8</formula>
    </cfRule>
  </conditionalFormatting>
  <conditionalFormatting sqref="S44:S56">
    <cfRule type="cellIs" dxfId="13183" priority="3146" operator="lessThan">
      <formula>0.8</formula>
    </cfRule>
  </conditionalFormatting>
  <conditionalFormatting sqref="S108">
    <cfRule type="cellIs" dxfId="13182" priority="3145" operator="lessThan">
      <formula>0.8</formula>
    </cfRule>
  </conditionalFormatting>
  <conditionalFormatting sqref="S96">
    <cfRule type="cellIs" dxfId="13181" priority="3144" operator="lessThan">
      <formula>0.8</formula>
    </cfRule>
  </conditionalFormatting>
  <conditionalFormatting sqref="S97">
    <cfRule type="cellIs" dxfId="13180" priority="3143" operator="lessThan">
      <formula>0.8</formula>
    </cfRule>
  </conditionalFormatting>
  <conditionalFormatting sqref="S103">
    <cfRule type="cellIs" dxfId="13179" priority="3142" operator="lessThan">
      <formula>0.8</formula>
    </cfRule>
  </conditionalFormatting>
  <conditionalFormatting sqref="S99">
    <cfRule type="cellIs" dxfId="13178" priority="3141" operator="lessThan">
      <formula>0.8</formula>
    </cfRule>
  </conditionalFormatting>
  <conditionalFormatting sqref="S101">
    <cfRule type="cellIs" dxfId="13177" priority="3138" operator="lessThan">
      <formula>0.8</formula>
    </cfRule>
  </conditionalFormatting>
  <conditionalFormatting sqref="S100">
    <cfRule type="cellIs" dxfId="13176" priority="3140" operator="lessThan">
      <formula>0.8</formula>
    </cfRule>
  </conditionalFormatting>
  <conditionalFormatting sqref="S102">
    <cfRule type="cellIs" dxfId="13175" priority="3139" operator="lessThan">
      <formula>0.8</formula>
    </cfRule>
  </conditionalFormatting>
  <conditionalFormatting sqref="S98">
    <cfRule type="cellIs" dxfId="13174" priority="3137" operator="lessThan">
      <formula>0.8</formula>
    </cfRule>
  </conditionalFormatting>
  <conditionalFormatting sqref="S104">
    <cfRule type="cellIs" dxfId="13173" priority="3136" operator="lessThan">
      <formula>0.8</formula>
    </cfRule>
  </conditionalFormatting>
  <conditionalFormatting sqref="P118">
    <cfRule type="cellIs" dxfId="13172" priority="3130" operator="greaterThan">
      <formula>0</formula>
    </cfRule>
  </conditionalFormatting>
  <conditionalFormatting sqref="Q118">
    <cfRule type="cellIs" dxfId="13171" priority="3135" operator="lessThan">
      <formula>0</formula>
    </cfRule>
  </conditionalFormatting>
  <conditionalFormatting sqref="R118">
    <cfRule type="cellIs" dxfId="13170" priority="3133" operator="lessThan">
      <formula>0.8</formula>
    </cfRule>
    <cfRule type="cellIs" dxfId="13169" priority="3134" operator="greaterThan">
      <formula>1</formula>
    </cfRule>
  </conditionalFormatting>
  <conditionalFormatting sqref="R118">
    <cfRule type="cellIs" dxfId="13168" priority="3131" operator="greaterThan">
      <formula>1</formula>
    </cfRule>
    <cfRule type="cellIs" dxfId="13167" priority="3132" operator="lessThan">
      <formula>0.8</formula>
    </cfRule>
  </conditionalFormatting>
  <conditionalFormatting sqref="Q162:Q166">
    <cfRule type="cellIs" dxfId="13166" priority="3129" operator="lessThan">
      <formula>0</formula>
    </cfRule>
  </conditionalFormatting>
  <conditionalFormatting sqref="R162:R166">
    <cfRule type="cellIs" dxfId="13165" priority="3127" operator="lessThan">
      <formula>0.8</formula>
    </cfRule>
    <cfRule type="cellIs" dxfId="13164" priority="3128" operator="greaterThan">
      <formula>1</formula>
    </cfRule>
  </conditionalFormatting>
  <conditionalFormatting sqref="R162:R166">
    <cfRule type="cellIs" dxfId="13163" priority="3125" operator="greaterThan">
      <formula>1</formula>
    </cfRule>
    <cfRule type="cellIs" dxfId="13162" priority="3126" operator="lessThan">
      <formula>0.8</formula>
    </cfRule>
  </conditionalFormatting>
  <conditionalFormatting sqref="P162:P166">
    <cfRule type="cellIs" dxfId="13161" priority="3124" operator="greaterThan">
      <formula>0</formula>
    </cfRule>
  </conditionalFormatting>
  <conditionalFormatting sqref="P167:P168">
    <cfRule type="cellIs" dxfId="13160" priority="3118" operator="greaterThan">
      <formula>0</formula>
    </cfRule>
  </conditionalFormatting>
  <conditionalFormatting sqref="R167:R168">
    <cfRule type="cellIs" dxfId="13159" priority="3121" operator="lessThan">
      <formula>0.8</formula>
    </cfRule>
    <cfRule type="cellIs" dxfId="13158" priority="3122" operator="greaterThan">
      <formula>1</formula>
    </cfRule>
  </conditionalFormatting>
  <conditionalFormatting sqref="R167:R168">
    <cfRule type="cellIs" dxfId="13157" priority="3119" operator="greaterThan">
      <formula>1</formula>
    </cfRule>
    <cfRule type="cellIs" dxfId="13156" priority="3120" operator="lessThan">
      <formula>0.8</formula>
    </cfRule>
  </conditionalFormatting>
  <conditionalFormatting sqref="Q167:Q168">
    <cfRule type="cellIs" dxfId="13155" priority="3123" operator="lessThan">
      <formula>0</formula>
    </cfRule>
  </conditionalFormatting>
  <conditionalFormatting sqref="Q117">
    <cfRule type="cellIs" dxfId="13154" priority="3117" operator="lessThan">
      <formula>0</formula>
    </cfRule>
  </conditionalFormatting>
  <conditionalFormatting sqref="R117">
    <cfRule type="cellIs" dxfId="13153" priority="3115" operator="lessThan">
      <formula>0.8</formula>
    </cfRule>
    <cfRule type="cellIs" dxfId="13152" priority="3116" operator="greaterThan">
      <formula>1</formula>
    </cfRule>
  </conditionalFormatting>
  <conditionalFormatting sqref="R117">
    <cfRule type="cellIs" dxfId="13151" priority="3113" operator="greaterThan">
      <formula>1</formula>
    </cfRule>
    <cfRule type="cellIs" dxfId="13150" priority="3114" operator="lessThan">
      <formula>0.8</formula>
    </cfRule>
  </conditionalFormatting>
  <conditionalFormatting sqref="P117">
    <cfRule type="cellIs" dxfId="13149" priority="3112" operator="greaterThan">
      <formula>0</formula>
    </cfRule>
  </conditionalFormatting>
  <conditionalFormatting sqref="Q117">
    <cfRule type="cellIs" dxfId="13148" priority="3111" operator="lessThan">
      <formula>0</formula>
    </cfRule>
  </conditionalFormatting>
  <conditionalFormatting sqref="R117">
    <cfRule type="cellIs" dxfId="13147" priority="3109" operator="lessThan">
      <formula>0.8</formula>
    </cfRule>
    <cfRule type="cellIs" dxfId="13146" priority="3110" operator="greaterThan">
      <formula>1</formula>
    </cfRule>
  </conditionalFormatting>
  <conditionalFormatting sqref="R117">
    <cfRule type="cellIs" dxfId="13145" priority="3107" operator="greaterThan">
      <formula>1</formula>
    </cfRule>
    <cfRule type="cellIs" dxfId="13144" priority="3108" operator="lessThan">
      <formula>0.8</formula>
    </cfRule>
  </conditionalFormatting>
  <conditionalFormatting sqref="P117">
    <cfRule type="cellIs" dxfId="13143" priority="3106" operator="greaterThan">
      <formula>0</formula>
    </cfRule>
  </conditionalFormatting>
  <conditionalFormatting sqref="P117">
    <cfRule type="cellIs" dxfId="13142" priority="3100" operator="greaterThan">
      <formula>0</formula>
    </cfRule>
  </conditionalFormatting>
  <conditionalFormatting sqref="Q117">
    <cfRule type="cellIs" dxfId="13141" priority="3105" operator="lessThan">
      <formula>0</formula>
    </cfRule>
  </conditionalFormatting>
  <conditionalFormatting sqref="R117">
    <cfRule type="cellIs" dxfId="13140" priority="3103" operator="lessThan">
      <formula>0.8</formula>
    </cfRule>
    <cfRule type="cellIs" dxfId="13139" priority="3104" operator="greaterThan">
      <formula>1</formula>
    </cfRule>
  </conditionalFormatting>
  <conditionalFormatting sqref="R117">
    <cfRule type="cellIs" dxfId="13138" priority="3101" operator="greaterThan">
      <formula>1</formula>
    </cfRule>
    <cfRule type="cellIs" dxfId="13137" priority="3102" operator="lessThan">
      <formula>0.8</formula>
    </cfRule>
  </conditionalFormatting>
  <conditionalFormatting sqref="P117">
    <cfRule type="cellIs" dxfId="13136" priority="3094" operator="greaterThan">
      <formula>0</formula>
    </cfRule>
  </conditionalFormatting>
  <conditionalFormatting sqref="Q117">
    <cfRule type="cellIs" dxfId="13135" priority="3099" operator="lessThan">
      <formula>0</formula>
    </cfRule>
  </conditionalFormatting>
  <conditionalFormatting sqref="R117">
    <cfRule type="cellIs" dxfId="13134" priority="3097" operator="lessThan">
      <formula>0.8</formula>
    </cfRule>
    <cfRule type="cellIs" dxfId="13133" priority="3098" operator="greaterThan">
      <formula>1</formula>
    </cfRule>
  </conditionalFormatting>
  <conditionalFormatting sqref="R117">
    <cfRule type="cellIs" dxfId="13132" priority="3095" operator="greaterThan">
      <formula>1</formula>
    </cfRule>
    <cfRule type="cellIs" dxfId="13131" priority="3096" operator="lessThan">
      <formula>0.8</formula>
    </cfRule>
  </conditionalFormatting>
  <conditionalFormatting sqref="P117">
    <cfRule type="cellIs" dxfId="13130" priority="3088" operator="greaterThan">
      <formula>0</formula>
    </cfRule>
  </conditionalFormatting>
  <conditionalFormatting sqref="Q117">
    <cfRule type="cellIs" dxfId="13129" priority="3093" operator="lessThan">
      <formula>0</formula>
    </cfRule>
  </conditionalFormatting>
  <conditionalFormatting sqref="R117">
    <cfRule type="cellIs" dxfId="13128" priority="3091" operator="lessThan">
      <formula>0.8</formula>
    </cfRule>
    <cfRule type="cellIs" dxfId="13127" priority="3092" operator="greaterThan">
      <formula>1</formula>
    </cfRule>
  </conditionalFormatting>
  <conditionalFormatting sqref="R117">
    <cfRule type="cellIs" dxfId="13126" priority="3089" operator="greaterThan">
      <formula>1</formula>
    </cfRule>
    <cfRule type="cellIs" dxfId="13125" priority="3090" operator="lessThan">
      <formula>0.8</formula>
    </cfRule>
  </conditionalFormatting>
  <conditionalFormatting sqref="Q117">
    <cfRule type="cellIs" dxfId="13124" priority="3087" operator="lessThan">
      <formula>0</formula>
    </cfRule>
  </conditionalFormatting>
  <conditionalFormatting sqref="R117">
    <cfRule type="cellIs" dxfId="13123" priority="3085" operator="lessThan">
      <formula>0.8</formula>
    </cfRule>
    <cfRule type="cellIs" dxfId="13122" priority="3086" operator="greaterThan">
      <formula>1</formula>
    </cfRule>
  </conditionalFormatting>
  <conditionalFormatting sqref="R117">
    <cfRule type="cellIs" dxfId="13121" priority="3083" operator="greaterThan">
      <formula>1</formula>
    </cfRule>
    <cfRule type="cellIs" dxfId="13120" priority="3084" operator="lessThan">
      <formula>0.8</formula>
    </cfRule>
  </conditionalFormatting>
  <conditionalFormatting sqref="P117">
    <cfRule type="cellIs" dxfId="13119" priority="3082" operator="greaterThan">
      <formula>0</formula>
    </cfRule>
  </conditionalFormatting>
  <conditionalFormatting sqref="P117">
    <cfRule type="cellIs" dxfId="13118" priority="3076" operator="greaterThan">
      <formula>0</formula>
    </cfRule>
  </conditionalFormatting>
  <conditionalFormatting sqref="Q117">
    <cfRule type="cellIs" dxfId="13117" priority="3081" operator="lessThan">
      <formula>0</formula>
    </cfRule>
  </conditionalFormatting>
  <conditionalFormatting sqref="R117">
    <cfRule type="cellIs" dxfId="13116" priority="3079" operator="lessThan">
      <formula>0.8</formula>
    </cfRule>
    <cfRule type="cellIs" dxfId="13115" priority="3080" operator="greaterThan">
      <formula>1</formula>
    </cfRule>
  </conditionalFormatting>
  <conditionalFormatting sqref="R117">
    <cfRule type="cellIs" dxfId="13114" priority="3077" operator="greaterThan">
      <formula>1</formula>
    </cfRule>
    <cfRule type="cellIs" dxfId="13113" priority="3078" operator="lessThan">
      <formula>0.8</formula>
    </cfRule>
  </conditionalFormatting>
  <conditionalFormatting sqref="P117">
    <cfRule type="cellIs" dxfId="13112" priority="3070" operator="greaterThan">
      <formula>0</formula>
    </cfRule>
  </conditionalFormatting>
  <conditionalFormatting sqref="Q117">
    <cfRule type="cellIs" dxfId="13111" priority="3075" operator="lessThan">
      <formula>0</formula>
    </cfRule>
  </conditionalFormatting>
  <conditionalFormatting sqref="R117">
    <cfRule type="cellIs" dxfId="13110" priority="3073" operator="lessThan">
      <formula>0.8</formula>
    </cfRule>
    <cfRule type="cellIs" dxfId="13109" priority="3074" operator="greaterThan">
      <formula>1</formula>
    </cfRule>
  </conditionalFormatting>
  <conditionalFormatting sqref="R117">
    <cfRule type="cellIs" dxfId="13108" priority="3071" operator="greaterThan">
      <formula>1</formula>
    </cfRule>
    <cfRule type="cellIs" dxfId="13107" priority="3072" operator="lessThan">
      <formula>0.8</formula>
    </cfRule>
  </conditionalFormatting>
  <conditionalFormatting sqref="Q117">
    <cfRule type="cellIs" dxfId="13106" priority="3069" operator="lessThan">
      <formula>0</formula>
    </cfRule>
  </conditionalFormatting>
  <conditionalFormatting sqref="R117">
    <cfRule type="cellIs" dxfId="13105" priority="3067" operator="lessThan">
      <formula>0.8</formula>
    </cfRule>
    <cfRule type="cellIs" dxfId="13104" priority="3068" operator="greaterThan">
      <formula>1</formula>
    </cfRule>
  </conditionalFormatting>
  <conditionalFormatting sqref="R117">
    <cfRule type="cellIs" dxfId="13103" priority="3065" operator="greaterThan">
      <formula>1</formula>
    </cfRule>
    <cfRule type="cellIs" dxfId="13102" priority="3066" operator="lessThan">
      <formula>0.8</formula>
    </cfRule>
  </conditionalFormatting>
  <conditionalFormatting sqref="P117">
    <cfRule type="cellIs" dxfId="13101" priority="3064" operator="greaterThan">
      <formula>0</formula>
    </cfRule>
  </conditionalFormatting>
  <conditionalFormatting sqref="P117">
    <cfRule type="cellIs" dxfId="13100" priority="3058" operator="greaterThan">
      <formula>0</formula>
    </cfRule>
  </conditionalFormatting>
  <conditionalFormatting sqref="Q117">
    <cfRule type="cellIs" dxfId="13099" priority="3063" operator="lessThan">
      <formula>0</formula>
    </cfRule>
  </conditionalFormatting>
  <conditionalFormatting sqref="R117">
    <cfRule type="cellIs" dxfId="13098" priority="3061" operator="lessThan">
      <formula>0.8</formula>
    </cfRule>
    <cfRule type="cellIs" dxfId="13097" priority="3062" operator="greaterThan">
      <formula>1</formula>
    </cfRule>
  </conditionalFormatting>
  <conditionalFormatting sqref="R117">
    <cfRule type="cellIs" dxfId="13096" priority="3059" operator="greaterThan">
      <formula>1</formula>
    </cfRule>
    <cfRule type="cellIs" dxfId="13095" priority="3060" operator="lessThan">
      <formula>0.8</formula>
    </cfRule>
  </conditionalFormatting>
  <conditionalFormatting sqref="Q117">
    <cfRule type="cellIs" dxfId="13094" priority="3057" operator="lessThan">
      <formula>0</formula>
    </cfRule>
  </conditionalFormatting>
  <conditionalFormatting sqref="R117">
    <cfRule type="cellIs" dxfId="13093" priority="3055" operator="lessThan">
      <formula>0.8</formula>
    </cfRule>
    <cfRule type="cellIs" dxfId="13092" priority="3056" operator="greaterThan">
      <formula>1</formula>
    </cfRule>
  </conditionalFormatting>
  <conditionalFormatting sqref="R117">
    <cfRule type="cellIs" dxfId="13091" priority="3053" operator="greaterThan">
      <formula>1</formula>
    </cfRule>
    <cfRule type="cellIs" dxfId="13090" priority="3054" operator="lessThan">
      <formula>0.8</formula>
    </cfRule>
  </conditionalFormatting>
  <conditionalFormatting sqref="P117">
    <cfRule type="cellIs" dxfId="13089" priority="3052" operator="greaterThan">
      <formula>0</formula>
    </cfRule>
  </conditionalFormatting>
  <conditionalFormatting sqref="Q117">
    <cfRule type="cellIs" dxfId="13088" priority="3051" operator="lessThan">
      <formula>0</formula>
    </cfRule>
  </conditionalFormatting>
  <conditionalFormatting sqref="R117">
    <cfRule type="cellIs" dxfId="13087" priority="3049" operator="lessThan">
      <formula>0.8</formula>
    </cfRule>
    <cfRule type="cellIs" dxfId="13086" priority="3050" operator="greaterThan">
      <formula>1</formula>
    </cfRule>
  </conditionalFormatting>
  <conditionalFormatting sqref="R117">
    <cfRule type="cellIs" dxfId="13085" priority="3047" operator="greaterThan">
      <formula>1</formula>
    </cfRule>
    <cfRule type="cellIs" dxfId="13084" priority="3048" operator="lessThan">
      <formula>0.8</formula>
    </cfRule>
  </conditionalFormatting>
  <conditionalFormatting sqref="P117">
    <cfRule type="cellIs" dxfId="13083" priority="3046" operator="greaterThan">
      <formula>0</formula>
    </cfRule>
  </conditionalFormatting>
  <conditionalFormatting sqref="Q83">
    <cfRule type="cellIs" dxfId="13082" priority="3045" operator="lessThan">
      <formula>0</formula>
    </cfRule>
  </conditionalFormatting>
  <conditionalFormatting sqref="R83">
    <cfRule type="cellIs" dxfId="13081" priority="3043" operator="lessThan">
      <formula>0.8</formula>
    </cfRule>
    <cfRule type="cellIs" dxfId="13080" priority="3044" operator="greaterThan">
      <formula>1</formula>
    </cfRule>
  </conditionalFormatting>
  <conditionalFormatting sqref="R83">
    <cfRule type="cellIs" dxfId="13079" priority="3041" operator="greaterThan">
      <formula>1</formula>
    </cfRule>
    <cfRule type="cellIs" dxfId="13078" priority="3042" operator="lessThan">
      <formula>0.8</formula>
    </cfRule>
  </conditionalFormatting>
  <conditionalFormatting sqref="P83">
    <cfRule type="cellIs" dxfId="13077" priority="3040" operator="greaterThan">
      <formula>0</formula>
    </cfRule>
  </conditionalFormatting>
  <conditionalFormatting sqref="Q83">
    <cfRule type="cellIs" dxfId="13076" priority="3039" operator="lessThan">
      <formula>0</formula>
    </cfRule>
  </conditionalFormatting>
  <conditionalFormatting sqref="R83">
    <cfRule type="cellIs" dxfId="13075" priority="3037" operator="lessThan">
      <formula>0.8</formula>
    </cfRule>
    <cfRule type="cellIs" dxfId="13074" priority="3038" operator="greaterThan">
      <formula>1</formula>
    </cfRule>
  </conditionalFormatting>
  <conditionalFormatting sqref="R83">
    <cfRule type="cellIs" dxfId="13073" priority="3035" operator="greaterThan">
      <formula>1</formula>
    </cfRule>
    <cfRule type="cellIs" dxfId="13072" priority="3036" operator="lessThan">
      <formula>0.8</formula>
    </cfRule>
  </conditionalFormatting>
  <conditionalFormatting sqref="P83">
    <cfRule type="cellIs" dxfId="13071" priority="3034" operator="greaterThan">
      <formula>0</formula>
    </cfRule>
  </conditionalFormatting>
  <conditionalFormatting sqref="Q83">
    <cfRule type="cellIs" dxfId="13070" priority="3033" operator="lessThan">
      <formula>0</formula>
    </cfRule>
  </conditionalFormatting>
  <conditionalFormatting sqref="R83">
    <cfRule type="cellIs" dxfId="13069" priority="3031" operator="lessThan">
      <formula>0.8</formula>
    </cfRule>
    <cfRule type="cellIs" dxfId="13068" priority="3032" operator="greaterThan">
      <formula>1</formula>
    </cfRule>
  </conditionalFormatting>
  <conditionalFormatting sqref="R83">
    <cfRule type="cellIs" dxfId="13067" priority="3029" operator="greaterThan">
      <formula>1</formula>
    </cfRule>
    <cfRule type="cellIs" dxfId="13066" priority="3030" operator="lessThan">
      <formula>0.8</formula>
    </cfRule>
  </conditionalFormatting>
  <conditionalFormatting sqref="P83">
    <cfRule type="cellIs" dxfId="13065" priority="3028" operator="greaterThan">
      <formula>0</formula>
    </cfRule>
  </conditionalFormatting>
  <conditionalFormatting sqref="Q83">
    <cfRule type="cellIs" dxfId="13064" priority="3027" operator="lessThan">
      <formula>0</formula>
    </cfRule>
  </conditionalFormatting>
  <conditionalFormatting sqref="R83">
    <cfRule type="cellIs" dxfId="13063" priority="3025" operator="lessThan">
      <formula>0.8</formula>
    </cfRule>
    <cfRule type="cellIs" dxfId="13062" priority="3026" operator="greaterThan">
      <formula>1</formula>
    </cfRule>
  </conditionalFormatting>
  <conditionalFormatting sqref="R83">
    <cfRule type="cellIs" dxfId="13061" priority="3023" operator="greaterThan">
      <formula>1</formula>
    </cfRule>
    <cfRule type="cellIs" dxfId="13060" priority="3024" operator="lessThan">
      <formula>0.8</formula>
    </cfRule>
  </conditionalFormatting>
  <conditionalFormatting sqref="P83">
    <cfRule type="cellIs" dxfId="13059" priority="3022" operator="greaterThan">
      <formula>0</formula>
    </cfRule>
  </conditionalFormatting>
  <conditionalFormatting sqref="P83">
    <cfRule type="cellIs" dxfId="13058" priority="3016" operator="greaterThan">
      <formula>0</formula>
    </cfRule>
  </conditionalFormatting>
  <conditionalFormatting sqref="Q83">
    <cfRule type="cellIs" dxfId="13057" priority="3021" operator="lessThan">
      <formula>0</formula>
    </cfRule>
  </conditionalFormatting>
  <conditionalFormatting sqref="R83">
    <cfRule type="cellIs" dxfId="13056" priority="3019" operator="lessThan">
      <formula>0.8</formula>
    </cfRule>
    <cfRule type="cellIs" dxfId="13055" priority="3020" operator="greaterThan">
      <formula>1</formula>
    </cfRule>
  </conditionalFormatting>
  <conditionalFormatting sqref="R83">
    <cfRule type="cellIs" dxfId="13054" priority="3017" operator="greaterThan">
      <formula>1</formula>
    </cfRule>
    <cfRule type="cellIs" dxfId="13053" priority="3018" operator="lessThan">
      <formula>0.8</formula>
    </cfRule>
  </conditionalFormatting>
  <conditionalFormatting sqref="P83">
    <cfRule type="cellIs" dxfId="13052" priority="3010" operator="greaterThan">
      <formula>0</formula>
    </cfRule>
  </conditionalFormatting>
  <conditionalFormatting sqref="Q83">
    <cfRule type="cellIs" dxfId="13051" priority="3015" operator="lessThan">
      <formula>0</formula>
    </cfRule>
  </conditionalFormatting>
  <conditionalFormatting sqref="R83">
    <cfRule type="cellIs" dxfId="13050" priority="3013" operator="lessThan">
      <formula>0.8</formula>
    </cfRule>
    <cfRule type="cellIs" dxfId="13049" priority="3014" operator="greaterThan">
      <formula>1</formula>
    </cfRule>
  </conditionalFormatting>
  <conditionalFormatting sqref="R83">
    <cfRule type="cellIs" dxfId="13048" priority="3011" operator="greaterThan">
      <formula>1</formula>
    </cfRule>
    <cfRule type="cellIs" dxfId="13047" priority="3012" operator="lessThan">
      <formula>0.8</formula>
    </cfRule>
  </conditionalFormatting>
  <conditionalFormatting sqref="R83">
    <cfRule type="cellIs" dxfId="13046" priority="3007" operator="lessThan">
      <formula>0.8</formula>
    </cfRule>
    <cfRule type="cellIs" dxfId="13045" priority="3008" operator="greaterThan">
      <formula>1</formula>
    </cfRule>
  </conditionalFormatting>
  <conditionalFormatting sqref="R83">
    <cfRule type="cellIs" dxfId="13044" priority="3005" operator="greaterThan">
      <formula>1</formula>
    </cfRule>
    <cfRule type="cellIs" dxfId="13043" priority="3006" operator="lessThan">
      <formula>0.8</formula>
    </cfRule>
  </conditionalFormatting>
  <conditionalFormatting sqref="P83">
    <cfRule type="cellIs" dxfId="13042" priority="3004" operator="greaterThan">
      <formula>0</formula>
    </cfRule>
  </conditionalFormatting>
  <conditionalFormatting sqref="Q83">
    <cfRule type="cellIs" dxfId="13041" priority="3009" operator="lessThan">
      <formula>0</formula>
    </cfRule>
  </conditionalFormatting>
  <conditionalFormatting sqref="Q83">
    <cfRule type="cellIs" dxfId="13040" priority="3003" operator="lessThan">
      <formula>0</formula>
    </cfRule>
  </conditionalFormatting>
  <conditionalFormatting sqref="R83">
    <cfRule type="cellIs" dxfId="13039" priority="3001" operator="lessThan">
      <formula>0.8</formula>
    </cfRule>
    <cfRule type="cellIs" dxfId="13038" priority="3002" operator="greaterThan">
      <formula>1</formula>
    </cfRule>
  </conditionalFormatting>
  <conditionalFormatting sqref="R83">
    <cfRule type="cellIs" dxfId="13037" priority="2999" operator="greaterThan">
      <formula>1</formula>
    </cfRule>
    <cfRule type="cellIs" dxfId="13036" priority="3000" operator="lessThan">
      <formula>0.8</formula>
    </cfRule>
  </conditionalFormatting>
  <conditionalFormatting sqref="P83">
    <cfRule type="cellIs" dxfId="13035" priority="2998" operator="greaterThan">
      <formula>0</formula>
    </cfRule>
  </conditionalFormatting>
  <conditionalFormatting sqref="P83">
    <cfRule type="cellIs" dxfId="13034" priority="2992" operator="greaterThan">
      <formula>0</formula>
    </cfRule>
  </conditionalFormatting>
  <conditionalFormatting sqref="Q83">
    <cfRule type="cellIs" dxfId="13033" priority="2997" operator="lessThan">
      <formula>0</formula>
    </cfRule>
  </conditionalFormatting>
  <conditionalFormatting sqref="R83">
    <cfRule type="cellIs" dxfId="13032" priority="2995" operator="lessThan">
      <formula>0.8</formula>
    </cfRule>
    <cfRule type="cellIs" dxfId="13031" priority="2996" operator="greaterThan">
      <formula>1</formula>
    </cfRule>
  </conditionalFormatting>
  <conditionalFormatting sqref="R83">
    <cfRule type="cellIs" dxfId="13030" priority="2993" operator="greaterThan">
      <formula>1</formula>
    </cfRule>
    <cfRule type="cellIs" dxfId="13029" priority="2994" operator="lessThan">
      <formula>0.8</formula>
    </cfRule>
  </conditionalFormatting>
  <conditionalFormatting sqref="P83">
    <cfRule type="cellIs" dxfId="13028" priority="2986" operator="greaterThan">
      <formula>0</formula>
    </cfRule>
  </conditionalFormatting>
  <conditionalFormatting sqref="Q83">
    <cfRule type="cellIs" dxfId="13027" priority="2991" operator="lessThan">
      <formula>0</formula>
    </cfRule>
  </conditionalFormatting>
  <conditionalFormatting sqref="R83">
    <cfRule type="cellIs" dxfId="13026" priority="2989" operator="lessThan">
      <formula>0.8</formula>
    </cfRule>
    <cfRule type="cellIs" dxfId="13025" priority="2990" operator="greaterThan">
      <formula>1</formula>
    </cfRule>
  </conditionalFormatting>
  <conditionalFormatting sqref="R83">
    <cfRule type="cellIs" dxfId="13024" priority="2987" operator="greaterThan">
      <formula>1</formula>
    </cfRule>
    <cfRule type="cellIs" dxfId="13023" priority="2988" operator="lessThan">
      <formula>0.8</formula>
    </cfRule>
  </conditionalFormatting>
  <conditionalFormatting sqref="R83">
    <cfRule type="cellIs" dxfId="13022" priority="2983" operator="lessThan">
      <formula>0.8</formula>
    </cfRule>
    <cfRule type="cellIs" dxfId="13021" priority="2984" operator="greaterThan">
      <formula>1</formula>
    </cfRule>
  </conditionalFormatting>
  <conditionalFormatting sqref="R83">
    <cfRule type="cellIs" dxfId="13020" priority="2981" operator="greaterThan">
      <formula>1</formula>
    </cfRule>
    <cfRule type="cellIs" dxfId="13019" priority="2982" operator="lessThan">
      <formula>0.8</formula>
    </cfRule>
  </conditionalFormatting>
  <conditionalFormatting sqref="P83">
    <cfRule type="cellIs" dxfId="13018" priority="2980" operator="greaterThan">
      <formula>0</formula>
    </cfRule>
  </conditionalFormatting>
  <conditionalFormatting sqref="Q83">
    <cfRule type="cellIs" dxfId="13017" priority="2985" operator="lessThan">
      <formula>0</formula>
    </cfRule>
  </conditionalFormatting>
  <conditionalFormatting sqref="P83">
    <cfRule type="cellIs" dxfId="13016" priority="2974" operator="greaterThan">
      <formula>0</formula>
    </cfRule>
  </conditionalFormatting>
  <conditionalFormatting sqref="Q83">
    <cfRule type="cellIs" dxfId="13015" priority="2979" operator="lessThan">
      <formula>0</formula>
    </cfRule>
  </conditionalFormatting>
  <conditionalFormatting sqref="R83">
    <cfRule type="cellIs" dxfId="13014" priority="2977" operator="lessThan">
      <formula>0.8</formula>
    </cfRule>
    <cfRule type="cellIs" dxfId="13013" priority="2978" operator="greaterThan">
      <formula>1</formula>
    </cfRule>
  </conditionalFormatting>
  <conditionalFormatting sqref="R83">
    <cfRule type="cellIs" dxfId="13012" priority="2975" operator="greaterThan">
      <formula>1</formula>
    </cfRule>
    <cfRule type="cellIs" dxfId="13011" priority="2976" operator="lessThan">
      <formula>0.8</formula>
    </cfRule>
  </conditionalFormatting>
  <conditionalFormatting sqref="R83">
    <cfRule type="cellIs" dxfId="13010" priority="2971" operator="lessThan">
      <formula>0.8</formula>
    </cfRule>
    <cfRule type="cellIs" dxfId="13009" priority="2972" operator="greaterThan">
      <formula>1</formula>
    </cfRule>
  </conditionalFormatting>
  <conditionalFormatting sqref="R83">
    <cfRule type="cellIs" dxfId="13008" priority="2969" operator="greaterThan">
      <formula>1</formula>
    </cfRule>
    <cfRule type="cellIs" dxfId="13007" priority="2970" operator="lessThan">
      <formula>0.8</formula>
    </cfRule>
  </conditionalFormatting>
  <conditionalFormatting sqref="P83">
    <cfRule type="cellIs" dxfId="13006" priority="2968" operator="greaterThan">
      <formula>0</formula>
    </cfRule>
  </conditionalFormatting>
  <conditionalFormatting sqref="Q83">
    <cfRule type="cellIs" dxfId="13005" priority="2973" operator="lessThan">
      <formula>0</formula>
    </cfRule>
  </conditionalFormatting>
  <conditionalFormatting sqref="R83">
    <cfRule type="cellIs" dxfId="13004" priority="2965" operator="lessThan">
      <formula>0.8</formula>
    </cfRule>
    <cfRule type="cellIs" dxfId="13003" priority="2966" operator="greaterThan">
      <formula>1</formula>
    </cfRule>
  </conditionalFormatting>
  <conditionalFormatting sqref="R83">
    <cfRule type="cellIs" dxfId="13002" priority="2963" operator="greaterThan">
      <formula>1</formula>
    </cfRule>
    <cfRule type="cellIs" dxfId="13001" priority="2964" operator="lessThan">
      <formula>0.8</formula>
    </cfRule>
  </conditionalFormatting>
  <conditionalFormatting sqref="P83">
    <cfRule type="cellIs" dxfId="13000" priority="2962" operator="greaterThan">
      <formula>0</formula>
    </cfRule>
  </conditionalFormatting>
  <conditionalFormatting sqref="Q83">
    <cfRule type="cellIs" dxfId="12999" priority="2967" operator="lessThan">
      <formula>0</formula>
    </cfRule>
  </conditionalFormatting>
  <conditionalFormatting sqref="Q83">
    <cfRule type="cellIs" dxfId="12998" priority="2961" operator="lessThan">
      <formula>0</formula>
    </cfRule>
  </conditionalFormatting>
  <conditionalFormatting sqref="R83">
    <cfRule type="cellIs" dxfId="12997" priority="2959" operator="lessThan">
      <formula>0.8</formula>
    </cfRule>
    <cfRule type="cellIs" dxfId="12996" priority="2960" operator="greaterThan">
      <formula>1</formula>
    </cfRule>
  </conditionalFormatting>
  <conditionalFormatting sqref="R83">
    <cfRule type="cellIs" dxfId="12995" priority="2957" operator="greaterThan">
      <formula>1</formula>
    </cfRule>
    <cfRule type="cellIs" dxfId="12994" priority="2958" operator="lessThan">
      <formula>0.8</formula>
    </cfRule>
  </conditionalFormatting>
  <conditionalFormatting sqref="P83">
    <cfRule type="cellIs" dxfId="12993" priority="2956" operator="greaterThan">
      <formula>0</formula>
    </cfRule>
  </conditionalFormatting>
  <conditionalFormatting sqref="Q83">
    <cfRule type="cellIs" dxfId="12992" priority="2950" operator="lessThan">
      <formula>0</formula>
    </cfRule>
  </conditionalFormatting>
  <conditionalFormatting sqref="R83">
    <cfRule type="cellIs" dxfId="12991" priority="2954" operator="lessThan">
      <formula>0.8</formula>
    </cfRule>
    <cfRule type="cellIs" dxfId="12990" priority="2955" operator="greaterThan">
      <formula>1</formula>
    </cfRule>
  </conditionalFormatting>
  <conditionalFormatting sqref="R83">
    <cfRule type="cellIs" dxfId="12989" priority="2952" operator="greaterThan">
      <formula>1</formula>
    </cfRule>
    <cfRule type="cellIs" dxfId="12988" priority="2953" operator="lessThan">
      <formula>0.8</formula>
    </cfRule>
  </conditionalFormatting>
  <conditionalFormatting sqref="P83">
    <cfRule type="cellIs" dxfId="12987" priority="2951" operator="greaterThan">
      <formula>0</formula>
    </cfRule>
  </conditionalFormatting>
  <conditionalFormatting sqref="Q83">
    <cfRule type="cellIs" dxfId="12986" priority="2949" operator="lessThan">
      <formula>0</formula>
    </cfRule>
  </conditionalFormatting>
  <conditionalFormatting sqref="R83">
    <cfRule type="cellIs" dxfId="12985" priority="2947" operator="lessThan">
      <formula>0.8</formula>
    </cfRule>
    <cfRule type="cellIs" dxfId="12984" priority="2948" operator="greaterThan">
      <formula>1</formula>
    </cfRule>
  </conditionalFormatting>
  <conditionalFormatting sqref="R83">
    <cfRule type="cellIs" dxfId="12983" priority="2945" operator="greaterThan">
      <formula>1</formula>
    </cfRule>
    <cfRule type="cellIs" dxfId="12982" priority="2946" operator="lessThan">
      <formula>0.8</formula>
    </cfRule>
  </conditionalFormatting>
  <conditionalFormatting sqref="P83">
    <cfRule type="cellIs" dxfId="12981" priority="2944" operator="greaterThan">
      <formula>0</formula>
    </cfRule>
  </conditionalFormatting>
  <conditionalFormatting sqref="Q83">
    <cfRule type="cellIs" dxfId="12980" priority="2943" operator="lessThan">
      <formula>0</formula>
    </cfRule>
  </conditionalFormatting>
  <conditionalFormatting sqref="R83">
    <cfRule type="cellIs" dxfId="12979" priority="2941" operator="lessThan">
      <formula>0.8</formula>
    </cfRule>
    <cfRule type="cellIs" dxfId="12978" priority="2942" operator="greaterThan">
      <formula>1</formula>
    </cfRule>
  </conditionalFormatting>
  <conditionalFormatting sqref="R83">
    <cfRule type="cellIs" dxfId="12977" priority="2939" operator="greaterThan">
      <formula>1</formula>
    </cfRule>
    <cfRule type="cellIs" dxfId="12976" priority="2940" operator="lessThan">
      <formula>0.8</formula>
    </cfRule>
  </conditionalFormatting>
  <conditionalFormatting sqref="P83">
    <cfRule type="cellIs" dxfId="12975" priority="2938" operator="greaterThan">
      <formula>0</formula>
    </cfRule>
  </conditionalFormatting>
  <conditionalFormatting sqref="Q83">
    <cfRule type="cellIs" dxfId="12974" priority="2937" operator="lessThan">
      <formula>0</formula>
    </cfRule>
  </conditionalFormatting>
  <conditionalFormatting sqref="R83">
    <cfRule type="cellIs" dxfId="12973" priority="2935" operator="lessThan">
      <formula>0.8</formula>
    </cfRule>
    <cfRule type="cellIs" dxfId="12972" priority="2936" operator="greaterThan">
      <formula>1</formula>
    </cfRule>
  </conditionalFormatting>
  <conditionalFormatting sqref="R83">
    <cfRule type="cellIs" dxfId="12971" priority="2933" operator="greaterThan">
      <formula>1</formula>
    </cfRule>
    <cfRule type="cellIs" dxfId="12970" priority="2934" operator="lessThan">
      <formula>0.8</formula>
    </cfRule>
  </conditionalFormatting>
  <conditionalFormatting sqref="P83">
    <cfRule type="cellIs" dxfId="12969" priority="2932" operator="greaterThan">
      <formula>0</formula>
    </cfRule>
  </conditionalFormatting>
  <conditionalFormatting sqref="Q83">
    <cfRule type="cellIs" dxfId="12968" priority="2931" operator="lessThan">
      <formula>0</formula>
    </cfRule>
  </conditionalFormatting>
  <conditionalFormatting sqref="R83">
    <cfRule type="cellIs" dxfId="12967" priority="2929" operator="lessThan">
      <formula>0.8</formula>
    </cfRule>
    <cfRule type="cellIs" dxfId="12966" priority="2930" operator="greaterThan">
      <formula>1</formula>
    </cfRule>
  </conditionalFormatting>
  <conditionalFormatting sqref="R83">
    <cfRule type="cellIs" dxfId="12965" priority="2927" operator="greaterThan">
      <formula>1</formula>
    </cfRule>
    <cfRule type="cellIs" dxfId="12964" priority="2928" operator="lessThan">
      <formula>0.8</formula>
    </cfRule>
  </conditionalFormatting>
  <conditionalFormatting sqref="P83">
    <cfRule type="cellIs" dxfId="12963" priority="2926" operator="greaterThan">
      <formula>0</formula>
    </cfRule>
  </conditionalFormatting>
  <conditionalFormatting sqref="Q83">
    <cfRule type="cellIs" dxfId="12962" priority="2925" operator="lessThan">
      <formula>0</formula>
    </cfRule>
  </conditionalFormatting>
  <conditionalFormatting sqref="R83">
    <cfRule type="cellIs" dxfId="12961" priority="2923" operator="lessThan">
      <formula>0.8</formula>
    </cfRule>
    <cfRule type="cellIs" dxfId="12960" priority="2924" operator="greaterThan">
      <formula>1</formula>
    </cfRule>
  </conditionalFormatting>
  <conditionalFormatting sqref="R83">
    <cfRule type="cellIs" dxfId="12959" priority="2921" operator="greaterThan">
      <formula>1</formula>
    </cfRule>
    <cfRule type="cellIs" dxfId="12958" priority="2922" operator="lessThan">
      <formula>0.8</formula>
    </cfRule>
  </conditionalFormatting>
  <conditionalFormatting sqref="P83">
    <cfRule type="cellIs" dxfId="12957" priority="2920" operator="greaterThan">
      <formula>0</formula>
    </cfRule>
  </conditionalFormatting>
  <conditionalFormatting sqref="P83">
    <cfRule type="cellIs" dxfId="12956" priority="2914" operator="greaterThan">
      <formula>0</formula>
    </cfRule>
  </conditionalFormatting>
  <conditionalFormatting sqref="Q83">
    <cfRule type="cellIs" dxfId="12955" priority="2919" operator="lessThan">
      <formula>0</formula>
    </cfRule>
  </conditionalFormatting>
  <conditionalFormatting sqref="R83">
    <cfRule type="cellIs" dxfId="12954" priority="2917" operator="lessThan">
      <formula>0.8</formula>
    </cfRule>
    <cfRule type="cellIs" dxfId="12953" priority="2918" operator="greaterThan">
      <formula>1</formula>
    </cfRule>
  </conditionalFormatting>
  <conditionalFormatting sqref="R83">
    <cfRule type="cellIs" dxfId="12952" priority="2915" operator="greaterThan">
      <formula>1</formula>
    </cfRule>
    <cfRule type="cellIs" dxfId="12951" priority="2916" operator="lessThan">
      <formula>0.8</formula>
    </cfRule>
  </conditionalFormatting>
  <conditionalFormatting sqref="P83">
    <cfRule type="cellIs" dxfId="12950" priority="2908" operator="greaterThan">
      <formula>0</formula>
    </cfRule>
  </conditionalFormatting>
  <conditionalFormatting sqref="Q83">
    <cfRule type="cellIs" dxfId="12949" priority="2913" operator="lessThan">
      <formula>0</formula>
    </cfRule>
  </conditionalFormatting>
  <conditionalFormatting sqref="R83">
    <cfRule type="cellIs" dxfId="12948" priority="2911" operator="lessThan">
      <formula>0.8</formula>
    </cfRule>
    <cfRule type="cellIs" dxfId="12947" priority="2912" operator="greaterThan">
      <formula>1</formula>
    </cfRule>
  </conditionalFormatting>
  <conditionalFormatting sqref="R83">
    <cfRule type="cellIs" dxfId="12946" priority="2909" operator="greaterThan">
      <formula>1</formula>
    </cfRule>
    <cfRule type="cellIs" dxfId="12945" priority="2910" operator="lessThan">
      <formula>0.8</formula>
    </cfRule>
  </conditionalFormatting>
  <conditionalFormatting sqref="R83">
    <cfRule type="cellIs" dxfId="12944" priority="2905" operator="lessThan">
      <formula>0.8</formula>
    </cfRule>
    <cfRule type="cellIs" dxfId="12943" priority="2906" operator="greaterThan">
      <formula>1</formula>
    </cfRule>
  </conditionalFormatting>
  <conditionalFormatting sqref="R83">
    <cfRule type="cellIs" dxfId="12942" priority="2903" operator="greaterThan">
      <formula>1</formula>
    </cfRule>
    <cfRule type="cellIs" dxfId="12941" priority="2904" operator="lessThan">
      <formula>0.8</formula>
    </cfRule>
  </conditionalFormatting>
  <conditionalFormatting sqref="P83">
    <cfRule type="cellIs" dxfId="12940" priority="2902" operator="greaterThan">
      <formula>0</formula>
    </cfRule>
  </conditionalFormatting>
  <conditionalFormatting sqref="Q83">
    <cfRule type="cellIs" dxfId="12939" priority="2907" operator="lessThan">
      <formula>0</formula>
    </cfRule>
  </conditionalFormatting>
  <conditionalFormatting sqref="Q83">
    <cfRule type="cellIs" dxfId="12938" priority="2901" operator="lessThan">
      <formula>0</formula>
    </cfRule>
  </conditionalFormatting>
  <conditionalFormatting sqref="R83">
    <cfRule type="cellIs" dxfId="12937" priority="2899" operator="lessThan">
      <formula>0.8</formula>
    </cfRule>
    <cfRule type="cellIs" dxfId="12936" priority="2900" operator="greaterThan">
      <formula>1</formula>
    </cfRule>
  </conditionalFormatting>
  <conditionalFormatting sqref="R83">
    <cfRule type="cellIs" dxfId="12935" priority="2897" operator="greaterThan">
      <formula>1</formula>
    </cfRule>
    <cfRule type="cellIs" dxfId="12934" priority="2898" operator="lessThan">
      <formula>0.8</formula>
    </cfRule>
  </conditionalFormatting>
  <conditionalFormatting sqref="P83">
    <cfRule type="cellIs" dxfId="12933" priority="2896" operator="greaterThan">
      <formula>0</formula>
    </cfRule>
  </conditionalFormatting>
  <conditionalFormatting sqref="Q83">
    <cfRule type="cellIs" dxfId="12932" priority="2895" operator="lessThan">
      <formula>0</formula>
    </cfRule>
  </conditionalFormatting>
  <conditionalFormatting sqref="R83">
    <cfRule type="cellIs" dxfId="12931" priority="2893" operator="lessThan">
      <formula>0.8</formula>
    </cfRule>
    <cfRule type="cellIs" dxfId="12930" priority="2894" operator="greaterThan">
      <formula>1</formula>
    </cfRule>
  </conditionalFormatting>
  <conditionalFormatting sqref="R83">
    <cfRule type="cellIs" dxfId="12929" priority="2891" operator="greaterThan">
      <formula>1</formula>
    </cfRule>
    <cfRule type="cellIs" dxfId="12928" priority="2892" operator="lessThan">
      <formula>0.8</formula>
    </cfRule>
  </conditionalFormatting>
  <conditionalFormatting sqref="P83">
    <cfRule type="cellIs" dxfId="12927" priority="2890" operator="greaterThan">
      <formula>0</formula>
    </cfRule>
  </conditionalFormatting>
  <conditionalFormatting sqref="Q83">
    <cfRule type="cellIs" dxfId="12926" priority="2889" operator="lessThan">
      <formula>0</formula>
    </cfRule>
  </conditionalFormatting>
  <conditionalFormatting sqref="R83">
    <cfRule type="cellIs" dxfId="12925" priority="2887" operator="lessThan">
      <formula>0.8</formula>
    </cfRule>
    <cfRule type="cellIs" dxfId="12924" priority="2888" operator="greaterThan">
      <formula>1</formula>
    </cfRule>
  </conditionalFormatting>
  <conditionalFormatting sqref="R83">
    <cfRule type="cellIs" dxfId="12923" priority="2885" operator="greaterThan">
      <formula>1</formula>
    </cfRule>
    <cfRule type="cellIs" dxfId="12922" priority="2886" operator="lessThan">
      <formula>0.8</formula>
    </cfRule>
  </conditionalFormatting>
  <conditionalFormatting sqref="P83">
    <cfRule type="cellIs" dxfId="12921" priority="2884" operator="greaterThan">
      <formula>0</formula>
    </cfRule>
  </conditionalFormatting>
  <conditionalFormatting sqref="Q83">
    <cfRule type="cellIs" dxfId="12920" priority="2883" operator="lessThan">
      <formula>0</formula>
    </cfRule>
  </conditionalFormatting>
  <conditionalFormatting sqref="R83">
    <cfRule type="cellIs" dxfId="12919" priority="2881" operator="lessThan">
      <formula>0.8</formula>
    </cfRule>
    <cfRule type="cellIs" dxfId="12918" priority="2882" operator="greaterThan">
      <formula>1</formula>
    </cfRule>
  </conditionalFormatting>
  <conditionalFormatting sqref="R83">
    <cfRule type="cellIs" dxfId="12917" priority="2879" operator="greaterThan">
      <formula>1</formula>
    </cfRule>
    <cfRule type="cellIs" dxfId="12916" priority="2880" operator="lessThan">
      <formula>0.8</formula>
    </cfRule>
  </conditionalFormatting>
  <conditionalFormatting sqref="P83">
    <cfRule type="cellIs" dxfId="12915" priority="2878" operator="greaterThan">
      <formula>0</formula>
    </cfRule>
  </conditionalFormatting>
  <conditionalFormatting sqref="P83">
    <cfRule type="cellIs" dxfId="12914" priority="2872" operator="greaterThan">
      <formula>0</formula>
    </cfRule>
  </conditionalFormatting>
  <conditionalFormatting sqref="Q83">
    <cfRule type="cellIs" dxfId="12913" priority="2877" operator="lessThan">
      <formula>0</formula>
    </cfRule>
  </conditionalFormatting>
  <conditionalFormatting sqref="R83">
    <cfRule type="cellIs" dxfId="12912" priority="2875" operator="lessThan">
      <formula>0.8</formula>
    </cfRule>
    <cfRule type="cellIs" dxfId="12911" priority="2876" operator="greaterThan">
      <formula>1</formula>
    </cfRule>
  </conditionalFormatting>
  <conditionalFormatting sqref="R83">
    <cfRule type="cellIs" dxfId="12910" priority="2873" operator="greaterThan">
      <formula>1</formula>
    </cfRule>
    <cfRule type="cellIs" dxfId="12909" priority="2874" operator="lessThan">
      <formula>0.8</formula>
    </cfRule>
  </conditionalFormatting>
  <conditionalFormatting sqref="P83">
    <cfRule type="cellIs" dxfId="12908" priority="2866" operator="greaterThan">
      <formula>0</formula>
    </cfRule>
  </conditionalFormatting>
  <conditionalFormatting sqref="Q83">
    <cfRule type="cellIs" dxfId="12907" priority="2871" operator="lessThan">
      <formula>0</formula>
    </cfRule>
  </conditionalFormatting>
  <conditionalFormatting sqref="R83">
    <cfRule type="cellIs" dxfId="12906" priority="2869" operator="lessThan">
      <formula>0.8</formula>
    </cfRule>
    <cfRule type="cellIs" dxfId="12905" priority="2870" operator="greaterThan">
      <formula>1</formula>
    </cfRule>
  </conditionalFormatting>
  <conditionalFormatting sqref="R83">
    <cfRule type="cellIs" dxfId="12904" priority="2867" operator="greaterThan">
      <formula>1</formula>
    </cfRule>
    <cfRule type="cellIs" dxfId="12903" priority="2868" operator="lessThan">
      <formula>0.8</formula>
    </cfRule>
  </conditionalFormatting>
  <conditionalFormatting sqref="R83">
    <cfRule type="cellIs" dxfId="12902" priority="2863" operator="lessThan">
      <formula>0.8</formula>
    </cfRule>
    <cfRule type="cellIs" dxfId="12901" priority="2864" operator="greaterThan">
      <formula>1</formula>
    </cfRule>
  </conditionalFormatting>
  <conditionalFormatting sqref="R83">
    <cfRule type="cellIs" dxfId="12900" priority="2861" operator="greaterThan">
      <formula>1</formula>
    </cfRule>
    <cfRule type="cellIs" dxfId="12899" priority="2862" operator="lessThan">
      <formula>0.8</formula>
    </cfRule>
  </conditionalFormatting>
  <conditionalFormatting sqref="P83">
    <cfRule type="cellIs" dxfId="12898" priority="2860" operator="greaterThan">
      <formula>0</formula>
    </cfRule>
  </conditionalFormatting>
  <conditionalFormatting sqref="Q83">
    <cfRule type="cellIs" dxfId="12897" priority="2865" operator="lessThan">
      <formula>0</formula>
    </cfRule>
  </conditionalFormatting>
  <conditionalFormatting sqref="Q83">
    <cfRule type="cellIs" dxfId="12896" priority="2859" operator="lessThan">
      <formula>0</formula>
    </cfRule>
  </conditionalFormatting>
  <conditionalFormatting sqref="R83">
    <cfRule type="cellIs" dxfId="12895" priority="2857" operator="lessThan">
      <formula>0.8</formula>
    </cfRule>
    <cfRule type="cellIs" dxfId="12894" priority="2858" operator="greaterThan">
      <formula>1</formula>
    </cfRule>
  </conditionalFormatting>
  <conditionalFormatting sqref="R83">
    <cfRule type="cellIs" dxfId="12893" priority="2855" operator="greaterThan">
      <formula>1</formula>
    </cfRule>
    <cfRule type="cellIs" dxfId="12892" priority="2856" operator="lessThan">
      <formula>0.8</formula>
    </cfRule>
  </conditionalFormatting>
  <conditionalFormatting sqref="P83">
    <cfRule type="cellIs" dxfId="12891" priority="2854" operator="greaterThan">
      <formula>0</formula>
    </cfRule>
  </conditionalFormatting>
  <conditionalFormatting sqref="P83">
    <cfRule type="cellIs" dxfId="12890" priority="2848" operator="greaterThan">
      <formula>0</formula>
    </cfRule>
  </conditionalFormatting>
  <conditionalFormatting sqref="Q83">
    <cfRule type="cellIs" dxfId="12889" priority="2853" operator="lessThan">
      <formula>0</formula>
    </cfRule>
  </conditionalFormatting>
  <conditionalFormatting sqref="R83">
    <cfRule type="cellIs" dxfId="12888" priority="2851" operator="lessThan">
      <formula>0.8</formula>
    </cfRule>
    <cfRule type="cellIs" dxfId="12887" priority="2852" operator="greaterThan">
      <formula>1</formula>
    </cfRule>
  </conditionalFormatting>
  <conditionalFormatting sqref="R83">
    <cfRule type="cellIs" dxfId="12886" priority="2849" operator="greaterThan">
      <formula>1</formula>
    </cfRule>
    <cfRule type="cellIs" dxfId="12885" priority="2850" operator="lessThan">
      <formula>0.8</formula>
    </cfRule>
  </conditionalFormatting>
  <conditionalFormatting sqref="P83">
    <cfRule type="cellIs" dxfId="12884" priority="2842" operator="greaterThan">
      <formula>0</formula>
    </cfRule>
  </conditionalFormatting>
  <conditionalFormatting sqref="Q83">
    <cfRule type="cellIs" dxfId="12883" priority="2847" operator="lessThan">
      <formula>0</formula>
    </cfRule>
  </conditionalFormatting>
  <conditionalFormatting sqref="R83">
    <cfRule type="cellIs" dxfId="12882" priority="2845" operator="lessThan">
      <formula>0.8</formula>
    </cfRule>
    <cfRule type="cellIs" dxfId="12881" priority="2846" operator="greaterThan">
      <formula>1</formula>
    </cfRule>
  </conditionalFormatting>
  <conditionalFormatting sqref="R83">
    <cfRule type="cellIs" dxfId="12880" priority="2843" operator="greaterThan">
      <formula>1</formula>
    </cfRule>
    <cfRule type="cellIs" dxfId="12879" priority="2844" operator="lessThan">
      <formula>0.8</formula>
    </cfRule>
  </conditionalFormatting>
  <conditionalFormatting sqref="R83">
    <cfRule type="cellIs" dxfId="12878" priority="2839" operator="lessThan">
      <formula>0.8</formula>
    </cfRule>
    <cfRule type="cellIs" dxfId="12877" priority="2840" operator="greaterThan">
      <formula>1</formula>
    </cfRule>
  </conditionalFormatting>
  <conditionalFormatting sqref="R83">
    <cfRule type="cellIs" dxfId="12876" priority="2837" operator="greaterThan">
      <formula>1</formula>
    </cfRule>
    <cfRule type="cellIs" dxfId="12875" priority="2838" operator="lessThan">
      <formula>0.8</formula>
    </cfRule>
  </conditionalFormatting>
  <conditionalFormatting sqref="P83">
    <cfRule type="cellIs" dxfId="12874" priority="2836" operator="greaterThan">
      <formula>0</formula>
    </cfRule>
  </conditionalFormatting>
  <conditionalFormatting sqref="Q83">
    <cfRule type="cellIs" dxfId="12873" priority="2841" operator="lessThan">
      <formula>0</formula>
    </cfRule>
  </conditionalFormatting>
  <conditionalFormatting sqref="P83">
    <cfRule type="cellIs" dxfId="12872" priority="2830" operator="greaterThan">
      <formula>0</formula>
    </cfRule>
  </conditionalFormatting>
  <conditionalFormatting sqref="Q83">
    <cfRule type="cellIs" dxfId="12871" priority="2835" operator="lessThan">
      <formula>0</formula>
    </cfRule>
  </conditionalFormatting>
  <conditionalFormatting sqref="R83">
    <cfRule type="cellIs" dxfId="12870" priority="2833" operator="lessThan">
      <formula>0.8</formula>
    </cfRule>
    <cfRule type="cellIs" dxfId="12869" priority="2834" operator="greaterThan">
      <formula>1</formula>
    </cfRule>
  </conditionalFormatting>
  <conditionalFormatting sqref="R83">
    <cfRule type="cellIs" dxfId="12868" priority="2831" operator="greaterThan">
      <formula>1</formula>
    </cfRule>
    <cfRule type="cellIs" dxfId="12867" priority="2832" operator="lessThan">
      <formula>0.8</formula>
    </cfRule>
  </conditionalFormatting>
  <conditionalFormatting sqref="R83">
    <cfRule type="cellIs" dxfId="12866" priority="2827" operator="lessThan">
      <formula>0.8</formula>
    </cfRule>
    <cfRule type="cellIs" dxfId="12865" priority="2828" operator="greaterThan">
      <formula>1</formula>
    </cfRule>
  </conditionalFormatting>
  <conditionalFormatting sqref="R83">
    <cfRule type="cellIs" dxfId="12864" priority="2825" operator="greaterThan">
      <formula>1</formula>
    </cfRule>
    <cfRule type="cellIs" dxfId="12863" priority="2826" operator="lessThan">
      <formula>0.8</formula>
    </cfRule>
  </conditionalFormatting>
  <conditionalFormatting sqref="P83">
    <cfRule type="cellIs" dxfId="12862" priority="2824" operator="greaterThan">
      <formula>0</formula>
    </cfRule>
  </conditionalFormatting>
  <conditionalFormatting sqref="Q83">
    <cfRule type="cellIs" dxfId="12861" priority="2829" operator="lessThan">
      <formula>0</formula>
    </cfRule>
  </conditionalFormatting>
  <conditionalFormatting sqref="R83">
    <cfRule type="cellIs" dxfId="12860" priority="2821" operator="lessThan">
      <formula>0.8</formula>
    </cfRule>
    <cfRule type="cellIs" dxfId="12859" priority="2822" operator="greaterThan">
      <formula>1</formula>
    </cfRule>
  </conditionalFormatting>
  <conditionalFormatting sqref="R83">
    <cfRule type="cellIs" dxfId="12858" priority="2819" operator="greaterThan">
      <formula>1</formula>
    </cfRule>
    <cfRule type="cellIs" dxfId="12857" priority="2820" operator="lessThan">
      <formula>0.8</formula>
    </cfRule>
  </conditionalFormatting>
  <conditionalFormatting sqref="P83">
    <cfRule type="cellIs" dxfId="12856" priority="2818" operator="greaterThan">
      <formula>0</formula>
    </cfRule>
  </conditionalFormatting>
  <conditionalFormatting sqref="Q83">
    <cfRule type="cellIs" dxfId="12855" priority="2823" operator="lessThan">
      <formula>0</formula>
    </cfRule>
  </conditionalFormatting>
  <conditionalFormatting sqref="Q83">
    <cfRule type="cellIs" dxfId="12854" priority="2817" operator="lessThan">
      <formula>0</formula>
    </cfRule>
  </conditionalFormatting>
  <conditionalFormatting sqref="R83">
    <cfRule type="cellIs" dxfId="12853" priority="2815" operator="lessThan">
      <formula>0.8</formula>
    </cfRule>
    <cfRule type="cellIs" dxfId="12852" priority="2816" operator="greaterThan">
      <formula>1</formula>
    </cfRule>
  </conditionalFormatting>
  <conditionalFormatting sqref="R83">
    <cfRule type="cellIs" dxfId="12851" priority="2813" operator="greaterThan">
      <formula>1</formula>
    </cfRule>
    <cfRule type="cellIs" dxfId="12850" priority="2814" operator="lessThan">
      <formula>0.8</formula>
    </cfRule>
  </conditionalFormatting>
  <conditionalFormatting sqref="P83">
    <cfRule type="cellIs" dxfId="12849" priority="2812" operator="greaterThan">
      <formula>0</formula>
    </cfRule>
  </conditionalFormatting>
  <conditionalFormatting sqref="Q83">
    <cfRule type="cellIs" dxfId="12848" priority="2806" operator="lessThan">
      <formula>0</formula>
    </cfRule>
  </conditionalFormatting>
  <conditionalFormatting sqref="R83">
    <cfRule type="cellIs" dxfId="12847" priority="2810" operator="lessThan">
      <formula>0.8</formula>
    </cfRule>
    <cfRule type="cellIs" dxfId="12846" priority="2811" operator="greaterThan">
      <formula>1</formula>
    </cfRule>
  </conditionalFormatting>
  <conditionalFormatting sqref="R83">
    <cfRule type="cellIs" dxfId="12845" priority="2808" operator="greaterThan">
      <formula>1</formula>
    </cfRule>
    <cfRule type="cellIs" dxfId="12844" priority="2809" operator="lessThan">
      <formula>0.8</formula>
    </cfRule>
  </conditionalFormatting>
  <conditionalFormatting sqref="P83">
    <cfRule type="cellIs" dxfId="12843" priority="2807" operator="greaterThan">
      <formula>0</formula>
    </cfRule>
  </conditionalFormatting>
  <conditionalFormatting sqref="Q83">
    <cfRule type="cellIs" dxfId="12842" priority="2805" operator="lessThan">
      <formula>0</formula>
    </cfRule>
  </conditionalFormatting>
  <conditionalFormatting sqref="R83">
    <cfRule type="cellIs" dxfId="12841" priority="2803" operator="lessThan">
      <formula>0.8</formula>
    </cfRule>
    <cfRule type="cellIs" dxfId="12840" priority="2804" operator="greaterThan">
      <formula>1</formula>
    </cfRule>
  </conditionalFormatting>
  <conditionalFormatting sqref="R83">
    <cfRule type="cellIs" dxfId="12839" priority="2801" operator="greaterThan">
      <formula>1</formula>
    </cfRule>
    <cfRule type="cellIs" dxfId="12838" priority="2802" operator="lessThan">
      <formula>0.8</formula>
    </cfRule>
  </conditionalFormatting>
  <conditionalFormatting sqref="P83">
    <cfRule type="cellIs" dxfId="12837" priority="2800" operator="greaterThan">
      <formula>0</formula>
    </cfRule>
  </conditionalFormatting>
  <conditionalFormatting sqref="Q83">
    <cfRule type="cellIs" dxfId="12836" priority="2799" operator="lessThan">
      <formula>0</formula>
    </cfRule>
  </conditionalFormatting>
  <conditionalFormatting sqref="R83">
    <cfRule type="cellIs" dxfId="12835" priority="2797" operator="lessThan">
      <formula>0.8</formula>
    </cfRule>
    <cfRule type="cellIs" dxfId="12834" priority="2798" operator="greaterThan">
      <formula>1</formula>
    </cfRule>
  </conditionalFormatting>
  <conditionalFormatting sqref="R83">
    <cfRule type="cellIs" dxfId="12833" priority="2795" operator="greaterThan">
      <formula>1</formula>
    </cfRule>
    <cfRule type="cellIs" dxfId="12832" priority="2796" operator="lessThan">
      <formula>0.8</formula>
    </cfRule>
  </conditionalFormatting>
  <conditionalFormatting sqref="P83">
    <cfRule type="cellIs" dxfId="12831" priority="2794" operator="greaterThan">
      <formula>0</formula>
    </cfRule>
  </conditionalFormatting>
  <conditionalFormatting sqref="Q83">
    <cfRule type="cellIs" dxfId="12830" priority="2793" operator="lessThan">
      <formula>0</formula>
    </cfRule>
  </conditionalFormatting>
  <conditionalFormatting sqref="R83">
    <cfRule type="cellIs" dxfId="12829" priority="2791" operator="lessThan">
      <formula>0.8</formula>
    </cfRule>
    <cfRule type="cellIs" dxfId="12828" priority="2792" operator="greaterThan">
      <formula>1</formula>
    </cfRule>
  </conditionalFormatting>
  <conditionalFormatting sqref="R83">
    <cfRule type="cellIs" dxfId="12827" priority="2789" operator="greaterThan">
      <formula>1</formula>
    </cfRule>
    <cfRule type="cellIs" dxfId="12826" priority="2790" operator="lessThan">
      <formula>0.8</formula>
    </cfRule>
  </conditionalFormatting>
  <conditionalFormatting sqref="P83">
    <cfRule type="cellIs" dxfId="12825" priority="2788" operator="greaterThan">
      <formula>0</formula>
    </cfRule>
  </conditionalFormatting>
  <conditionalFormatting sqref="Q83">
    <cfRule type="cellIs" dxfId="12824" priority="2787" operator="lessThan">
      <formula>0</formula>
    </cfRule>
  </conditionalFormatting>
  <conditionalFormatting sqref="R83">
    <cfRule type="cellIs" dxfId="12823" priority="2785" operator="lessThan">
      <formula>0.8</formula>
    </cfRule>
    <cfRule type="cellIs" dxfId="12822" priority="2786" operator="greaterThan">
      <formula>1</formula>
    </cfRule>
  </conditionalFormatting>
  <conditionalFormatting sqref="R83">
    <cfRule type="cellIs" dxfId="12821" priority="2783" operator="greaterThan">
      <formula>1</formula>
    </cfRule>
    <cfRule type="cellIs" dxfId="12820" priority="2784" operator="lessThan">
      <formula>0.8</formula>
    </cfRule>
  </conditionalFormatting>
  <conditionalFormatting sqref="P83">
    <cfRule type="cellIs" dxfId="12819" priority="2782" operator="greaterThan">
      <formula>0</formula>
    </cfRule>
  </conditionalFormatting>
  <conditionalFormatting sqref="Q83">
    <cfRule type="cellIs" dxfId="12818" priority="2781" operator="lessThan">
      <formula>0</formula>
    </cfRule>
  </conditionalFormatting>
  <conditionalFormatting sqref="R83">
    <cfRule type="cellIs" dxfId="12817" priority="2779" operator="lessThan">
      <formula>0.8</formula>
    </cfRule>
    <cfRule type="cellIs" dxfId="12816" priority="2780" operator="greaterThan">
      <formula>1</formula>
    </cfRule>
  </conditionalFormatting>
  <conditionalFormatting sqref="R83">
    <cfRule type="cellIs" dxfId="12815" priority="2777" operator="greaterThan">
      <formula>1</formula>
    </cfRule>
    <cfRule type="cellIs" dxfId="12814" priority="2778" operator="lessThan">
      <formula>0.8</formula>
    </cfRule>
  </conditionalFormatting>
  <conditionalFormatting sqref="P83">
    <cfRule type="cellIs" dxfId="12813" priority="2776" operator="greaterThan">
      <formula>0</formula>
    </cfRule>
  </conditionalFormatting>
  <conditionalFormatting sqref="P83">
    <cfRule type="cellIs" dxfId="12812" priority="2770" operator="greaterThan">
      <formula>0</formula>
    </cfRule>
  </conditionalFormatting>
  <conditionalFormatting sqref="Q83">
    <cfRule type="cellIs" dxfId="12811" priority="2775" operator="lessThan">
      <formula>0</formula>
    </cfRule>
  </conditionalFormatting>
  <conditionalFormatting sqref="R83">
    <cfRule type="cellIs" dxfId="12810" priority="2773" operator="lessThan">
      <formula>0.8</formula>
    </cfRule>
    <cfRule type="cellIs" dxfId="12809" priority="2774" operator="greaterThan">
      <formula>1</formula>
    </cfRule>
  </conditionalFormatting>
  <conditionalFormatting sqref="R83">
    <cfRule type="cellIs" dxfId="12808" priority="2771" operator="greaterThan">
      <formula>1</formula>
    </cfRule>
    <cfRule type="cellIs" dxfId="12807" priority="2772" operator="lessThan">
      <formula>0.8</formula>
    </cfRule>
  </conditionalFormatting>
  <conditionalFormatting sqref="P83">
    <cfRule type="cellIs" dxfId="12806" priority="2764" operator="greaterThan">
      <formula>0</formula>
    </cfRule>
  </conditionalFormatting>
  <conditionalFormatting sqref="Q83">
    <cfRule type="cellIs" dxfId="12805" priority="2769" operator="lessThan">
      <formula>0</formula>
    </cfRule>
  </conditionalFormatting>
  <conditionalFormatting sqref="R83">
    <cfRule type="cellIs" dxfId="12804" priority="2767" operator="lessThan">
      <formula>0.8</formula>
    </cfRule>
    <cfRule type="cellIs" dxfId="12803" priority="2768" operator="greaterThan">
      <formula>1</formula>
    </cfRule>
  </conditionalFormatting>
  <conditionalFormatting sqref="R83">
    <cfRule type="cellIs" dxfId="12802" priority="2765" operator="greaterThan">
      <formula>1</formula>
    </cfRule>
    <cfRule type="cellIs" dxfId="12801" priority="2766" operator="lessThan">
      <formula>0.8</formula>
    </cfRule>
  </conditionalFormatting>
  <conditionalFormatting sqref="R83">
    <cfRule type="cellIs" dxfId="12800" priority="2761" operator="lessThan">
      <formula>0.8</formula>
    </cfRule>
    <cfRule type="cellIs" dxfId="12799" priority="2762" operator="greaterThan">
      <formula>1</formula>
    </cfRule>
  </conditionalFormatting>
  <conditionalFormatting sqref="R83">
    <cfRule type="cellIs" dxfId="12798" priority="2759" operator="greaterThan">
      <formula>1</formula>
    </cfRule>
    <cfRule type="cellIs" dxfId="12797" priority="2760" operator="lessThan">
      <formula>0.8</formula>
    </cfRule>
  </conditionalFormatting>
  <conditionalFormatting sqref="P83">
    <cfRule type="cellIs" dxfId="12796" priority="2758" operator="greaterThan">
      <formula>0</formula>
    </cfRule>
  </conditionalFormatting>
  <conditionalFormatting sqref="Q83">
    <cfRule type="cellIs" dxfId="12795" priority="2763" operator="lessThan">
      <formula>0</formula>
    </cfRule>
  </conditionalFormatting>
  <conditionalFormatting sqref="Q83">
    <cfRule type="cellIs" dxfId="12794" priority="2752" operator="lessThan">
      <formula>0</formula>
    </cfRule>
  </conditionalFormatting>
  <conditionalFormatting sqref="P83">
    <cfRule type="cellIs" dxfId="12793" priority="2753" operator="greaterThan">
      <formula>0</formula>
    </cfRule>
  </conditionalFormatting>
  <conditionalFormatting sqref="R83">
    <cfRule type="cellIs" dxfId="12792" priority="2756" operator="lessThan">
      <formula>0.8</formula>
    </cfRule>
    <cfRule type="cellIs" dxfId="12791" priority="2757" operator="greaterThan">
      <formula>1</formula>
    </cfRule>
  </conditionalFormatting>
  <conditionalFormatting sqref="R83">
    <cfRule type="cellIs" dxfId="12790" priority="2754" operator="greaterThan">
      <formula>1</formula>
    </cfRule>
    <cfRule type="cellIs" dxfId="12789" priority="2755" operator="lessThan">
      <formula>0.8</formula>
    </cfRule>
  </conditionalFormatting>
  <conditionalFormatting sqref="Q83">
    <cfRule type="cellIs" dxfId="12788" priority="2746" operator="lessThan">
      <formula>0</formula>
    </cfRule>
  </conditionalFormatting>
  <conditionalFormatting sqref="R83">
    <cfRule type="cellIs" dxfId="12787" priority="2750" operator="lessThan">
      <formula>0.8</formula>
    </cfRule>
    <cfRule type="cellIs" dxfId="12786" priority="2751" operator="greaterThan">
      <formula>1</formula>
    </cfRule>
  </conditionalFormatting>
  <conditionalFormatting sqref="R83">
    <cfRule type="cellIs" dxfId="12785" priority="2748" operator="greaterThan">
      <formula>1</formula>
    </cfRule>
    <cfRule type="cellIs" dxfId="12784" priority="2749" operator="lessThan">
      <formula>0.8</formula>
    </cfRule>
  </conditionalFormatting>
  <conditionalFormatting sqref="P83">
    <cfRule type="cellIs" dxfId="12783" priority="2747" operator="greaterThan">
      <formula>0</formula>
    </cfRule>
  </conditionalFormatting>
  <conditionalFormatting sqref="Q83">
    <cfRule type="cellIs" dxfId="12782" priority="2745" operator="lessThan">
      <formula>0</formula>
    </cfRule>
  </conditionalFormatting>
  <conditionalFormatting sqref="R83">
    <cfRule type="cellIs" dxfId="12781" priority="2743" operator="lessThan">
      <formula>0.8</formula>
    </cfRule>
    <cfRule type="cellIs" dxfId="12780" priority="2744" operator="greaterThan">
      <formula>1</formula>
    </cfRule>
  </conditionalFormatting>
  <conditionalFormatting sqref="R83">
    <cfRule type="cellIs" dxfId="12779" priority="2741" operator="greaterThan">
      <formula>1</formula>
    </cfRule>
    <cfRule type="cellIs" dxfId="12778" priority="2742" operator="lessThan">
      <formula>0.8</formula>
    </cfRule>
  </conditionalFormatting>
  <conditionalFormatting sqref="P83">
    <cfRule type="cellIs" dxfId="12777" priority="2740" operator="greaterThan">
      <formula>0</formula>
    </cfRule>
  </conditionalFormatting>
  <conditionalFormatting sqref="Q83">
    <cfRule type="cellIs" dxfId="12776" priority="2739" operator="lessThan">
      <formula>0</formula>
    </cfRule>
  </conditionalFormatting>
  <conditionalFormatting sqref="R83">
    <cfRule type="cellIs" dxfId="12775" priority="2737" operator="lessThan">
      <formula>0.8</formula>
    </cfRule>
    <cfRule type="cellIs" dxfId="12774" priority="2738" operator="greaterThan">
      <formula>1</formula>
    </cfRule>
  </conditionalFormatting>
  <conditionalFormatting sqref="R83">
    <cfRule type="cellIs" dxfId="12773" priority="2735" operator="greaterThan">
      <formula>1</formula>
    </cfRule>
    <cfRule type="cellIs" dxfId="12772" priority="2736" operator="lessThan">
      <formula>0.8</formula>
    </cfRule>
  </conditionalFormatting>
  <conditionalFormatting sqref="P83">
    <cfRule type="cellIs" dxfId="12771" priority="2734" operator="greaterThan">
      <formula>0</formula>
    </cfRule>
  </conditionalFormatting>
  <conditionalFormatting sqref="Q83">
    <cfRule type="cellIs" dxfId="12770" priority="2733" operator="lessThan">
      <formula>0</formula>
    </cfRule>
  </conditionalFormatting>
  <conditionalFormatting sqref="R83">
    <cfRule type="cellIs" dxfId="12769" priority="2731" operator="lessThan">
      <formula>0.8</formula>
    </cfRule>
    <cfRule type="cellIs" dxfId="12768" priority="2732" operator="greaterThan">
      <formula>1</formula>
    </cfRule>
  </conditionalFormatting>
  <conditionalFormatting sqref="R83">
    <cfRule type="cellIs" dxfId="12767" priority="2729" operator="greaterThan">
      <formula>1</formula>
    </cfRule>
    <cfRule type="cellIs" dxfId="12766" priority="2730" operator="lessThan">
      <formula>0.8</formula>
    </cfRule>
  </conditionalFormatting>
  <conditionalFormatting sqref="P83">
    <cfRule type="cellIs" dxfId="12765" priority="2728" operator="greaterThan">
      <formula>0</formula>
    </cfRule>
  </conditionalFormatting>
  <conditionalFormatting sqref="Q83">
    <cfRule type="cellIs" dxfId="12764" priority="2727" operator="lessThan">
      <formula>0</formula>
    </cfRule>
  </conditionalFormatting>
  <conditionalFormatting sqref="R83">
    <cfRule type="cellIs" dxfId="12763" priority="2725" operator="lessThan">
      <formula>0.8</formula>
    </cfRule>
    <cfRule type="cellIs" dxfId="12762" priority="2726" operator="greaterThan">
      <formula>1</formula>
    </cfRule>
  </conditionalFormatting>
  <conditionalFormatting sqref="R83">
    <cfRule type="cellIs" dxfId="12761" priority="2723" operator="greaterThan">
      <formula>1</formula>
    </cfRule>
    <cfRule type="cellIs" dxfId="12760" priority="2724" operator="lessThan">
      <formula>0.8</formula>
    </cfRule>
  </conditionalFormatting>
  <conditionalFormatting sqref="P83">
    <cfRule type="cellIs" dxfId="12759" priority="2722" operator="greaterThan">
      <formula>0</formula>
    </cfRule>
  </conditionalFormatting>
  <conditionalFormatting sqref="Q83">
    <cfRule type="cellIs" dxfId="12758" priority="2721" operator="lessThan">
      <formula>0</formula>
    </cfRule>
  </conditionalFormatting>
  <conditionalFormatting sqref="R83">
    <cfRule type="cellIs" dxfId="12757" priority="2719" operator="lessThan">
      <formula>0.8</formula>
    </cfRule>
    <cfRule type="cellIs" dxfId="12756" priority="2720" operator="greaterThan">
      <formula>1</formula>
    </cfRule>
  </conditionalFormatting>
  <conditionalFormatting sqref="R83">
    <cfRule type="cellIs" dxfId="12755" priority="2717" operator="greaterThan">
      <formula>1</formula>
    </cfRule>
    <cfRule type="cellIs" dxfId="12754" priority="2718" operator="lessThan">
      <formula>0.8</formula>
    </cfRule>
  </conditionalFormatting>
  <conditionalFormatting sqref="P83">
    <cfRule type="cellIs" dxfId="12753" priority="2716" operator="greaterThan">
      <formula>0</formula>
    </cfRule>
  </conditionalFormatting>
  <conditionalFormatting sqref="Q83">
    <cfRule type="cellIs" dxfId="12752" priority="2715" operator="lessThan">
      <formula>0</formula>
    </cfRule>
  </conditionalFormatting>
  <conditionalFormatting sqref="R83">
    <cfRule type="cellIs" dxfId="12751" priority="2713" operator="lessThan">
      <formula>0.8</formula>
    </cfRule>
    <cfRule type="cellIs" dxfId="12750" priority="2714" operator="greaterThan">
      <formula>1</formula>
    </cfRule>
  </conditionalFormatting>
  <conditionalFormatting sqref="R83">
    <cfRule type="cellIs" dxfId="12749" priority="2711" operator="greaterThan">
      <formula>1</formula>
    </cfRule>
    <cfRule type="cellIs" dxfId="12748" priority="2712" operator="lessThan">
      <formula>0.8</formula>
    </cfRule>
  </conditionalFormatting>
  <conditionalFormatting sqref="P83">
    <cfRule type="cellIs" dxfId="12747" priority="2710" operator="greaterThan">
      <formula>0</formula>
    </cfRule>
  </conditionalFormatting>
  <conditionalFormatting sqref="Q83">
    <cfRule type="cellIs" dxfId="12746" priority="2709" operator="lessThan">
      <formula>0</formula>
    </cfRule>
  </conditionalFormatting>
  <conditionalFormatting sqref="R83">
    <cfRule type="cellIs" dxfId="12745" priority="2707" operator="lessThan">
      <formula>0.8</formula>
    </cfRule>
    <cfRule type="cellIs" dxfId="12744" priority="2708" operator="greaterThan">
      <formula>1</formula>
    </cfRule>
  </conditionalFormatting>
  <conditionalFormatting sqref="R83">
    <cfRule type="cellIs" dxfId="12743" priority="2705" operator="greaterThan">
      <formula>1</formula>
    </cfRule>
    <cfRule type="cellIs" dxfId="12742" priority="2706" operator="lessThan">
      <formula>0.8</formula>
    </cfRule>
  </conditionalFormatting>
  <conditionalFormatting sqref="P83">
    <cfRule type="cellIs" dxfId="12741" priority="2704" operator="greaterThan">
      <formula>0</formula>
    </cfRule>
  </conditionalFormatting>
  <conditionalFormatting sqref="P83">
    <cfRule type="cellIs" dxfId="12740" priority="2698" operator="greaterThan">
      <formula>0</formula>
    </cfRule>
  </conditionalFormatting>
  <conditionalFormatting sqref="Q83">
    <cfRule type="cellIs" dxfId="12739" priority="2703" operator="lessThan">
      <formula>0</formula>
    </cfRule>
  </conditionalFormatting>
  <conditionalFormatting sqref="R83">
    <cfRule type="cellIs" dxfId="12738" priority="2701" operator="lessThan">
      <formula>0.8</formula>
    </cfRule>
    <cfRule type="cellIs" dxfId="12737" priority="2702" operator="greaterThan">
      <formula>1</formula>
    </cfRule>
  </conditionalFormatting>
  <conditionalFormatting sqref="R83">
    <cfRule type="cellIs" dxfId="12736" priority="2699" operator="greaterThan">
      <formula>1</formula>
    </cfRule>
    <cfRule type="cellIs" dxfId="12735" priority="2700" operator="lessThan">
      <formula>0.8</formula>
    </cfRule>
  </conditionalFormatting>
  <conditionalFormatting sqref="P83">
    <cfRule type="cellIs" dxfId="12734" priority="2692" operator="greaterThan">
      <formula>0</formula>
    </cfRule>
  </conditionalFormatting>
  <conditionalFormatting sqref="Q83">
    <cfRule type="cellIs" dxfId="12733" priority="2697" operator="lessThan">
      <formula>0</formula>
    </cfRule>
  </conditionalFormatting>
  <conditionalFormatting sqref="R83">
    <cfRule type="cellIs" dxfId="12732" priority="2695" operator="lessThan">
      <formula>0.8</formula>
    </cfRule>
    <cfRule type="cellIs" dxfId="12731" priority="2696" operator="greaterThan">
      <formula>1</formula>
    </cfRule>
  </conditionalFormatting>
  <conditionalFormatting sqref="R83">
    <cfRule type="cellIs" dxfId="12730" priority="2693" operator="greaterThan">
      <formula>1</formula>
    </cfRule>
    <cfRule type="cellIs" dxfId="12729" priority="2694" operator="lessThan">
      <formula>0.8</formula>
    </cfRule>
  </conditionalFormatting>
  <conditionalFormatting sqref="R83">
    <cfRule type="cellIs" dxfId="12728" priority="2689" operator="lessThan">
      <formula>0.8</formula>
    </cfRule>
    <cfRule type="cellIs" dxfId="12727" priority="2690" operator="greaterThan">
      <formula>1</formula>
    </cfRule>
  </conditionalFormatting>
  <conditionalFormatting sqref="R83">
    <cfRule type="cellIs" dxfId="12726" priority="2687" operator="greaterThan">
      <formula>1</formula>
    </cfRule>
    <cfRule type="cellIs" dxfId="12725" priority="2688" operator="lessThan">
      <formula>0.8</formula>
    </cfRule>
  </conditionalFormatting>
  <conditionalFormatting sqref="P83">
    <cfRule type="cellIs" dxfId="12724" priority="2686" operator="greaterThan">
      <formula>0</formula>
    </cfRule>
  </conditionalFormatting>
  <conditionalFormatting sqref="Q83">
    <cfRule type="cellIs" dxfId="12723" priority="2691" operator="lessThan">
      <formula>0</formula>
    </cfRule>
  </conditionalFormatting>
  <conditionalFormatting sqref="Q83">
    <cfRule type="cellIs" dxfId="12722" priority="2685" operator="lessThan">
      <formula>0</formula>
    </cfRule>
  </conditionalFormatting>
  <conditionalFormatting sqref="R83">
    <cfRule type="cellIs" dxfId="12721" priority="2683" operator="lessThan">
      <formula>0.8</formula>
    </cfRule>
    <cfRule type="cellIs" dxfId="12720" priority="2684" operator="greaterThan">
      <formula>1</formula>
    </cfRule>
  </conditionalFormatting>
  <conditionalFormatting sqref="R83">
    <cfRule type="cellIs" dxfId="12719" priority="2681" operator="greaterThan">
      <formula>1</formula>
    </cfRule>
    <cfRule type="cellIs" dxfId="12718" priority="2682" operator="lessThan">
      <formula>0.8</formula>
    </cfRule>
  </conditionalFormatting>
  <conditionalFormatting sqref="P83">
    <cfRule type="cellIs" dxfId="12717" priority="2680" operator="greaterThan">
      <formula>0</formula>
    </cfRule>
  </conditionalFormatting>
  <conditionalFormatting sqref="P83">
    <cfRule type="cellIs" dxfId="12716" priority="2674" operator="greaterThan">
      <formula>0</formula>
    </cfRule>
  </conditionalFormatting>
  <conditionalFormatting sqref="Q83">
    <cfRule type="cellIs" dxfId="12715" priority="2679" operator="lessThan">
      <formula>0</formula>
    </cfRule>
  </conditionalFormatting>
  <conditionalFormatting sqref="R83">
    <cfRule type="cellIs" dxfId="12714" priority="2677" operator="lessThan">
      <formula>0.8</formula>
    </cfRule>
    <cfRule type="cellIs" dxfId="12713" priority="2678" operator="greaterThan">
      <formula>1</formula>
    </cfRule>
  </conditionalFormatting>
  <conditionalFormatting sqref="R83">
    <cfRule type="cellIs" dxfId="12712" priority="2675" operator="greaterThan">
      <formula>1</formula>
    </cfRule>
    <cfRule type="cellIs" dxfId="12711" priority="2676" operator="lessThan">
      <formula>0.8</formula>
    </cfRule>
  </conditionalFormatting>
  <conditionalFormatting sqref="P83">
    <cfRule type="cellIs" dxfId="12710" priority="2668" operator="greaterThan">
      <formula>0</formula>
    </cfRule>
  </conditionalFormatting>
  <conditionalFormatting sqref="Q83">
    <cfRule type="cellIs" dxfId="12709" priority="2673" operator="lessThan">
      <formula>0</formula>
    </cfRule>
  </conditionalFormatting>
  <conditionalFormatting sqref="R83">
    <cfRule type="cellIs" dxfId="12708" priority="2671" operator="lessThan">
      <formula>0.8</formula>
    </cfRule>
    <cfRule type="cellIs" dxfId="12707" priority="2672" operator="greaterThan">
      <formula>1</formula>
    </cfRule>
  </conditionalFormatting>
  <conditionalFormatting sqref="R83">
    <cfRule type="cellIs" dxfId="12706" priority="2669" operator="greaterThan">
      <formula>1</formula>
    </cfRule>
    <cfRule type="cellIs" dxfId="12705" priority="2670" operator="lessThan">
      <formula>0.8</formula>
    </cfRule>
  </conditionalFormatting>
  <conditionalFormatting sqref="R83">
    <cfRule type="cellIs" dxfId="12704" priority="2665" operator="lessThan">
      <formula>0.8</formula>
    </cfRule>
    <cfRule type="cellIs" dxfId="12703" priority="2666" operator="greaterThan">
      <formula>1</formula>
    </cfRule>
  </conditionalFormatting>
  <conditionalFormatting sqref="R83">
    <cfRule type="cellIs" dxfId="12702" priority="2663" operator="greaterThan">
      <formula>1</formula>
    </cfRule>
    <cfRule type="cellIs" dxfId="12701" priority="2664" operator="lessThan">
      <formula>0.8</formula>
    </cfRule>
  </conditionalFormatting>
  <conditionalFormatting sqref="P83">
    <cfRule type="cellIs" dxfId="12700" priority="2662" operator="greaterThan">
      <formula>0</formula>
    </cfRule>
  </conditionalFormatting>
  <conditionalFormatting sqref="Q83">
    <cfRule type="cellIs" dxfId="12699" priority="2667" operator="lessThan">
      <formula>0</formula>
    </cfRule>
  </conditionalFormatting>
  <conditionalFormatting sqref="P83">
    <cfRule type="cellIs" dxfId="12698" priority="2656" operator="greaterThan">
      <formula>0</formula>
    </cfRule>
  </conditionalFormatting>
  <conditionalFormatting sqref="Q83">
    <cfRule type="cellIs" dxfId="12697" priority="2661" operator="lessThan">
      <formula>0</formula>
    </cfRule>
  </conditionalFormatting>
  <conditionalFormatting sqref="R83">
    <cfRule type="cellIs" dxfId="12696" priority="2659" operator="lessThan">
      <formula>0.8</formula>
    </cfRule>
    <cfRule type="cellIs" dxfId="12695" priority="2660" operator="greaterThan">
      <formula>1</formula>
    </cfRule>
  </conditionalFormatting>
  <conditionalFormatting sqref="R83">
    <cfRule type="cellIs" dxfId="12694" priority="2657" operator="greaterThan">
      <formula>1</formula>
    </cfRule>
    <cfRule type="cellIs" dxfId="12693" priority="2658" operator="lessThan">
      <formula>0.8</formula>
    </cfRule>
  </conditionalFormatting>
  <conditionalFormatting sqref="R83">
    <cfRule type="cellIs" dxfId="12692" priority="2653" operator="lessThan">
      <formula>0.8</formula>
    </cfRule>
    <cfRule type="cellIs" dxfId="12691" priority="2654" operator="greaterThan">
      <formula>1</formula>
    </cfRule>
  </conditionalFormatting>
  <conditionalFormatting sqref="R83">
    <cfRule type="cellIs" dxfId="12690" priority="2651" operator="greaterThan">
      <formula>1</formula>
    </cfRule>
    <cfRule type="cellIs" dxfId="12689" priority="2652" operator="lessThan">
      <formula>0.8</formula>
    </cfRule>
  </conditionalFormatting>
  <conditionalFormatting sqref="P83">
    <cfRule type="cellIs" dxfId="12688" priority="2650" operator="greaterThan">
      <formula>0</formula>
    </cfRule>
  </conditionalFormatting>
  <conditionalFormatting sqref="Q83">
    <cfRule type="cellIs" dxfId="12687" priority="2655" operator="lessThan">
      <formula>0</formula>
    </cfRule>
  </conditionalFormatting>
  <conditionalFormatting sqref="R83">
    <cfRule type="cellIs" dxfId="12686" priority="2647" operator="lessThan">
      <formula>0.8</formula>
    </cfRule>
    <cfRule type="cellIs" dxfId="12685" priority="2648" operator="greaterThan">
      <formula>1</formula>
    </cfRule>
  </conditionalFormatting>
  <conditionalFormatting sqref="R83">
    <cfRule type="cellIs" dxfId="12684" priority="2645" operator="greaterThan">
      <formula>1</formula>
    </cfRule>
    <cfRule type="cellIs" dxfId="12683" priority="2646" operator="lessThan">
      <formula>0.8</formula>
    </cfRule>
  </conditionalFormatting>
  <conditionalFormatting sqref="P83">
    <cfRule type="cellIs" dxfId="12682" priority="2644" operator="greaterThan">
      <formula>0</formula>
    </cfRule>
  </conditionalFormatting>
  <conditionalFormatting sqref="Q83">
    <cfRule type="cellIs" dxfId="12681" priority="2649" operator="lessThan">
      <formula>0</formula>
    </cfRule>
  </conditionalFormatting>
  <conditionalFormatting sqref="Q83">
    <cfRule type="cellIs" dxfId="12680" priority="2643" operator="lessThan">
      <formula>0</formula>
    </cfRule>
  </conditionalFormatting>
  <conditionalFormatting sqref="R83">
    <cfRule type="cellIs" dxfId="12679" priority="2641" operator="lessThan">
      <formula>0.8</formula>
    </cfRule>
    <cfRule type="cellIs" dxfId="12678" priority="2642" operator="greaterThan">
      <formula>1</formula>
    </cfRule>
  </conditionalFormatting>
  <conditionalFormatting sqref="R83">
    <cfRule type="cellIs" dxfId="12677" priority="2639" operator="greaterThan">
      <formula>1</formula>
    </cfRule>
    <cfRule type="cellIs" dxfId="12676" priority="2640" operator="lessThan">
      <formula>0.8</formula>
    </cfRule>
  </conditionalFormatting>
  <conditionalFormatting sqref="P83">
    <cfRule type="cellIs" dxfId="12675" priority="2638" operator="greaterThan">
      <formula>0</formula>
    </cfRule>
  </conditionalFormatting>
  <conditionalFormatting sqref="Q83">
    <cfRule type="cellIs" dxfId="12674" priority="2632" operator="lessThan">
      <formula>0</formula>
    </cfRule>
  </conditionalFormatting>
  <conditionalFormatting sqref="R83">
    <cfRule type="cellIs" dxfId="12673" priority="2636" operator="lessThan">
      <formula>0.8</formula>
    </cfRule>
    <cfRule type="cellIs" dxfId="12672" priority="2637" operator="greaterThan">
      <formula>1</formula>
    </cfRule>
  </conditionalFormatting>
  <conditionalFormatting sqref="R83">
    <cfRule type="cellIs" dxfId="12671" priority="2634" operator="greaterThan">
      <formula>1</formula>
    </cfRule>
    <cfRule type="cellIs" dxfId="12670" priority="2635" operator="lessThan">
      <formula>0.8</formula>
    </cfRule>
  </conditionalFormatting>
  <conditionalFormatting sqref="P83">
    <cfRule type="cellIs" dxfId="12669" priority="2633" operator="greaterThan">
      <formula>0</formula>
    </cfRule>
  </conditionalFormatting>
  <conditionalFormatting sqref="Q83">
    <cfRule type="cellIs" dxfId="12668" priority="2631" operator="lessThan">
      <formula>0</formula>
    </cfRule>
  </conditionalFormatting>
  <conditionalFormatting sqref="R83">
    <cfRule type="cellIs" dxfId="12667" priority="2629" operator="lessThan">
      <formula>0.8</formula>
    </cfRule>
    <cfRule type="cellIs" dxfId="12666" priority="2630" operator="greaterThan">
      <formula>1</formula>
    </cfRule>
  </conditionalFormatting>
  <conditionalFormatting sqref="R83">
    <cfRule type="cellIs" dxfId="12665" priority="2627" operator="greaterThan">
      <formula>1</formula>
    </cfRule>
    <cfRule type="cellIs" dxfId="12664" priority="2628" operator="lessThan">
      <formula>0.8</formula>
    </cfRule>
  </conditionalFormatting>
  <conditionalFormatting sqref="P83">
    <cfRule type="cellIs" dxfId="12663" priority="2626" operator="greaterThan">
      <formula>0</formula>
    </cfRule>
  </conditionalFormatting>
  <conditionalFormatting sqref="Q83">
    <cfRule type="cellIs" dxfId="12662" priority="2625" operator="lessThan">
      <formula>0</formula>
    </cfRule>
  </conditionalFormatting>
  <conditionalFormatting sqref="R83">
    <cfRule type="cellIs" dxfId="12661" priority="2623" operator="lessThan">
      <formula>0.8</formula>
    </cfRule>
    <cfRule type="cellIs" dxfId="12660" priority="2624" operator="greaterThan">
      <formula>1</formula>
    </cfRule>
  </conditionalFormatting>
  <conditionalFormatting sqref="R83">
    <cfRule type="cellIs" dxfId="12659" priority="2621" operator="greaterThan">
      <formula>1</formula>
    </cfRule>
    <cfRule type="cellIs" dxfId="12658" priority="2622" operator="lessThan">
      <formula>0.8</formula>
    </cfRule>
  </conditionalFormatting>
  <conditionalFormatting sqref="P83">
    <cfRule type="cellIs" dxfId="12657" priority="2620" operator="greaterThan">
      <formula>0</formula>
    </cfRule>
  </conditionalFormatting>
  <conditionalFormatting sqref="Q83">
    <cfRule type="cellIs" dxfId="12656" priority="2619" operator="lessThan">
      <formula>0</formula>
    </cfRule>
  </conditionalFormatting>
  <conditionalFormatting sqref="R83">
    <cfRule type="cellIs" dxfId="12655" priority="2617" operator="lessThan">
      <formula>0.8</formula>
    </cfRule>
    <cfRule type="cellIs" dxfId="12654" priority="2618" operator="greaterThan">
      <formula>1</formula>
    </cfRule>
  </conditionalFormatting>
  <conditionalFormatting sqref="R83">
    <cfRule type="cellIs" dxfId="12653" priority="2615" operator="greaterThan">
      <formula>1</formula>
    </cfRule>
    <cfRule type="cellIs" dxfId="12652" priority="2616" operator="lessThan">
      <formula>0.8</formula>
    </cfRule>
  </conditionalFormatting>
  <conditionalFormatting sqref="P83">
    <cfRule type="cellIs" dxfId="12651" priority="2614" operator="greaterThan">
      <formula>0</formula>
    </cfRule>
  </conditionalFormatting>
  <conditionalFormatting sqref="Q83">
    <cfRule type="cellIs" dxfId="12650" priority="2613" operator="lessThan">
      <formula>0</formula>
    </cfRule>
  </conditionalFormatting>
  <conditionalFormatting sqref="R83">
    <cfRule type="cellIs" dxfId="12649" priority="2611" operator="lessThan">
      <formula>0.8</formula>
    </cfRule>
    <cfRule type="cellIs" dxfId="12648" priority="2612" operator="greaterThan">
      <formula>1</formula>
    </cfRule>
  </conditionalFormatting>
  <conditionalFormatting sqref="R83">
    <cfRule type="cellIs" dxfId="12647" priority="2609" operator="greaterThan">
      <formula>1</formula>
    </cfRule>
    <cfRule type="cellIs" dxfId="12646" priority="2610" operator="lessThan">
      <formula>0.8</formula>
    </cfRule>
  </conditionalFormatting>
  <conditionalFormatting sqref="P83">
    <cfRule type="cellIs" dxfId="12645" priority="2608" operator="greaterThan">
      <formula>0</formula>
    </cfRule>
  </conditionalFormatting>
  <conditionalFormatting sqref="Q83">
    <cfRule type="cellIs" dxfId="12644" priority="2607" operator="lessThan">
      <formula>0</formula>
    </cfRule>
  </conditionalFormatting>
  <conditionalFormatting sqref="R83">
    <cfRule type="cellIs" dxfId="12643" priority="2605" operator="lessThan">
      <formula>0.8</formula>
    </cfRule>
    <cfRule type="cellIs" dxfId="12642" priority="2606" operator="greaterThan">
      <formula>1</formula>
    </cfRule>
  </conditionalFormatting>
  <conditionalFormatting sqref="R83">
    <cfRule type="cellIs" dxfId="12641" priority="2603" operator="greaterThan">
      <formula>1</formula>
    </cfRule>
    <cfRule type="cellIs" dxfId="12640" priority="2604" operator="lessThan">
      <formula>0.8</formula>
    </cfRule>
  </conditionalFormatting>
  <conditionalFormatting sqref="P83">
    <cfRule type="cellIs" dxfId="12639" priority="2602" operator="greaterThan">
      <formula>0</formula>
    </cfRule>
  </conditionalFormatting>
  <conditionalFormatting sqref="P83">
    <cfRule type="cellIs" dxfId="12638" priority="2596" operator="greaterThan">
      <formula>0</formula>
    </cfRule>
  </conditionalFormatting>
  <conditionalFormatting sqref="Q83">
    <cfRule type="cellIs" dxfId="12637" priority="2601" operator="lessThan">
      <formula>0</formula>
    </cfRule>
  </conditionalFormatting>
  <conditionalFormatting sqref="R83">
    <cfRule type="cellIs" dxfId="12636" priority="2599" operator="lessThan">
      <formula>0.8</formula>
    </cfRule>
    <cfRule type="cellIs" dxfId="12635" priority="2600" operator="greaterThan">
      <formula>1</formula>
    </cfRule>
  </conditionalFormatting>
  <conditionalFormatting sqref="R83">
    <cfRule type="cellIs" dxfId="12634" priority="2597" operator="greaterThan">
      <formula>1</formula>
    </cfRule>
    <cfRule type="cellIs" dxfId="12633" priority="2598" operator="lessThan">
      <formula>0.8</formula>
    </cfRule>
  </conditionalFormatting>
  <conditionalFormatting sqref="P83">
    <cfRule type="cellIs" dxfId="12632" priority="2590" operator="greaterThan">
      <formula>0</formula>
    </cfRule>
  </conditionalFormatting>
  <conditionalFormatting sqref="Q83">
    <cfRule type="cellIs" dxfId="12631" priority="2595" operator="lessThan">
      <formula>0</formula>
    </cfRule>
  </conditionalFormatting>
  <conditionalFormatting sqref="R83">
    <cfRule type="cellIs" dxfId="12630" priority="2593" operator="lessThan">
      <formula>0.8</formula>
    </cfRule>
    <cfRule type="cellIs" dxfId="12629" priority="2594" operator="greaterThan">
      <formula>1</formula>
    </cfRule>
  </conditionalFormatting>
  <conditionalFormatting sqref="R83">
    <cfRule type="cellIs" dxfId="12628" priority="2591" operator="greaterThan">
      <formula>1</formula>
    </cfRule>
    <cfRule type="cellIs" dxfId="12627" priority="2592" operator="lessThan">
      <formula>0.8</formula>
    </cfRule>
  </conditionalFormatting>
  <conditionalFormatting sqref="R83">
    <cfRule type="cellIs" dxfId="12626" priority="2587" operator="lessThan">
      <formula>0.8</formula>
    </cfRule>
    <cfRule type="cellIs" dxfId="12625" priority="2588" operator="greaterThan">
      <formula>1</formula>
    </cfRule>
  </conditionalFormatting>
  <conditionalFormatting sqref="R83">
    <cfRule type="cellIs" dxfId="12624" priority="2585" operator="greaterThan">
      <formula>1</formula>
    </cfRule>
    <cfRule type="cellIs" dxfId="12623" priority="2586" operator="lessThan">
      <formula>0.8</formula>
    </cfRule>
  </conditionalFormatting>
  <conditionalFormatting sqref="P83">
    <cfRule type="cellIs" dxfId="12622" priority="2584" operator="greaterThan">
      <formula>0</formula>
    </cfRule>
  </conditionalFormatting>
  <conditionalFormatting sqref="Q83">
    <cfRule type="cellIs" dxfId="12621" priority="2589" operator="lessThan">
      <formula>0</formula>
    </cfRule>
  </conditionalFormatting>
  <conditionalFormatting sqref="P123 P125:P126 P128:P130">
    <cfRule type="cellIs" dxfId="12620" priority="2578" operator="greaterThan">
      <formula>0</formula>
    </cfRule>
  </conditionalFormatting>
  <conditionalFormatting sqref="Q123 Q125:Q126 Q128:Q130">
    <cfRule type="cellIs" dxfId="12619" priority="2583" operator="lessThan">
      <formula>0</formula>
    </cfRule>
  </conditionalFormatting>
  <conditionalFormatting sqref="R123 R125:R126 R128:R130">
    <cfRule type="cellIs" dxfId="12618" priority="2581" operator="lessThan">
      <formula>0.8</formula>
    </cfRule>
    <cfRule type="cellIs" dxfId="12617" priority="2582" operator="greaterThan">
      <formula>1</formula>
    </cfRule>
  </conditionalFormatting>
  <conditionalFormatting sqref="R123 R125:R126 R128:R130">
    <cfRule type="cellIs" dxfId="12616" priority="2579" operator="greaterThan">
      <formula>1</formula>
    </cfRule>
    <cfRule type="cellIs" dxfId="12615" priority="2580" operator="lessThan">
      <formula>0.8</formula>
    </cfRule>
  </conditionalFormatting>
  <conditionalFormatting sqref="Q123 Q125:Q126 Q128:Q130">
    <cfRule type="cellIs" dxfId="12614" priority="2577" operator="lessThan">
      <formula>0</formula>
    </cfRule>
  </conditionalFormatting>
  <conditionalFormatting sqref="R123 R125:R126 R128:R130">
    <cfRule type="cellIs" dxfId="12613" priority="2575" operator="lessThan">
      <formula>0.8</formula>
    </cfRule>
    <cfRule type="cellIs" dxfId="12612" priority="2576" operator="greaterThan">
      <formula>1</formula>
    </cfRule>
  </conditionalFormatting>
  <conditionalFormatting sqref="R123 R125:R126 R128:R130">
    <cfRule type="cellIs" dxfId="12611" priority="2573" operator="greaterThan">
      <formula>1</formula>
    </cfRule>
    <cfRule type="cellIs" dxfId="12610" priority="2574" operator="lessThan">
      <formula>0.8</formula>
    </cfRule>
  </conditionalFormatting>
  <conditionalFormatting sqref="P123 P125:P126 P128:P130">
    <cfRule type="cellIs" dxfId="12609" priority="2572" operator="greaterThan">
      <formula>0</formula>
    </cfRule>
  </conditionalFormatting>
  <conditionalFormatting sqref="Q31">
    <cfRule type="cellIs" dxfId="12608" priority="2571" operator="lessThan">
      <formula>0</formula>
    </cfRule>
  </conditionalFormatting>
  <conditionalFormatting sqref="R31">
    <cfRule type="cellIs" dxfId="12607" priority="2569" operator="lessThan">
      <formula>0.8</formula>
    </cfRule>
    <cfRule type="cellIs" dxfId="12606" priority="2570" operator="greaterThan">
      <formula>1</formula>
    </cfRule>
  </conditionalFormatting>
  <conditionalFormatting sqref="R31">
    <cfRule type="cellIs" dxfId="12605" priority="2567" operator="greaterThan">
      <formula>1</formula>
    </cfRule>
    <cfRule type="cellIs" dxfId="12604" priority="2568" operator="lessThan">
      <formula>0.8</formula>
    </cfRule>
  </conditionalFormatting>
  <conditionalFormatting sqref="P31">
    <cfRule type="cellIs" dxfId="12603" priority="2566" operator="greaterThan">
      <formula>0</formula>
    </cfRule>
  </conditionalFormatting>
  <conditionalFormatting sqref="Q31">
    <cfRule type="cellIs" dxfId="12602" priority="2565" operator="lessThan">
      <formula>0</formula>
    </cfRule>
  </conditionalFormatting>
  <conditionalFormatting sqref="R31">
    <cfRule type="cellIs" dxfId="12601" priority="2563" operator="lessThan">
      <formula>0.8</formula>
    </cfRule>
    <cfRule type="cellIs" dxfId="12600" priority="2564" operator="greaterThan">
      <formula>1</formula>
    </cfRule>
  </conditionalFormatting>
  <conditionalFormatting sqref="R31">
    <cfRule type="cellIs" dxfId="12599" priority="2561" operator="greaterThan">
      <formula>1</formula>
    </cfRule>
    <cfRule type="cellIs" dxfId="12598" priority="2562" operator="lessThan">
      <formula>0.8</formula>
    </cfRule>
  </conditionalFormatting>
  <conditionalFormatting sqref="P31">
    <cfRule type="cellIs" dxfId="12597" priority="2560" operator="greaterThan">
      <formula>0</formula>
    </cfRule>
  </conditionalFormatting>
  <conditionalFormatting sqref="Q31">
    <cfRule type="cellIs" dxfId="12596" priority="2559" operator="lessThan">
      <formula>0</formula>
    </cfRule>
  </conditionalFormatting>
  <conditionalFormatting sqref="R31">
    <cfRule type="cellIs" dxfId="12595" priority="2557" operator="lessThan">
      <formula>0.8</formula>
    </cfRule>
    <cfRule type="cellIs" dxfId="12594" priority="2558" operator="greaterThan">
      <formula>1</formula>
    </cfRule>
  </conditionalFormatting>
  <conditionalFormatting sqref="R31">
    <cfRule type="cellIs" dxfId="12593" priority="2555" operator="greaterThan">
      <formula>1</formula>
    </cfRule>
    <cfRule type="cellIs" dxfId="12592" priority="2556" operator="lessThan">
      <formula>0.8</formula>
    </cfRule>
  </conditionalFormatting>
  <conditionalFormatting sqref="P31">
    <cfRule type="cellIs" dxfId="12591" priority="2554" operator="greaterThan">
      <formula>0</formula>
    </cfRule>
  </conditionalFormatting>
  <conditionalFormatting sqref="Q31">
    <cfRule type="cellIs" dxfId="12590" priority="2553" operator="lessThan">
      <formula>0</formula>
    </cfRule>
  </conditionalFormatting>
  <conditionalFormatting sqref="R31">
    <cfRule type="cellIs" dxfId="12589" priority="2551" operator="lessThan">
      <formula>0.8</formula>
    </cfRule>
    <cfRule type="cellIs" dxfId="12588" priority="2552" operator="greaterThan">
      <formula>1</formula>
    </cfRule>
  </conditionalFormatting>
  <conditionalFormatting sqref="R31">
    <cfRule type="cellIs" dxfId="12587" priority="2549" operator="greaterThan">
      <formula>1</formula>
    </cfRule>
    <cfRule type="cellIs" dxfId="12586" priority="2550" operator="lessThan">
      <formula>0.8</formula>
    </cfRule>
  </conditionalFormatting>
  <conditionalFormatting sqref="P31">
    <cfRule type="cellIs" dxfId="12585" priority="2548" operator="greaterThan">
      <formula>0</formula>
    </cfRule>
  </conditionalFormatting>
  <conditionalFormatting sqref="P31">
    <cfRule type="cellIs" dxfId="12584" priority="2542" operator="greaterThan">
      <formula>0</formula>
    </cfRule>
  </conditionalFormatting>
  <conditionalFormatting sqref="Q31">
    <cfRule type="cellIs" dxfId="12583" priority="2547" operator="lessThan">
      <formula>0</formula>
    </cfRule>
  </conditionalFormatting>
  <conditionalFormatting sqref="R31">
    <cfRule type="cellIs" dxfId="12582" priority="2545" operator="lessThan">
      <formula>0.8</formula>
    </cfRule>
    <cfRule type="cellIs" dxfId="12581" priority="2546" operator="greaterThan">
      <formula>1</formula>
    </cfRule>
  </conditionalFormatting>
  <conditionalFormatting sqref="R31">
    <cfRule type="cellIs" dxfId="12580" priority="2543" operator="greaterThan">
      <formula>1</formula>
    </cfRule>
    <cfRule type="cellIs" dxfId="12579" priority="2544" operator="lessThan">
      <formula>0.8</formula>
    </cfRule>
  </conditionalFormatting>
  <conditionalFormatting sqref="P31">
    <cfRule type="cellIs" dxfId="12578" priority="2536" operator="greaterThan">
      <formula>0</formula>
    </cfRule>
  </conditionalFormatting>
  <conditionalFormatting sqref="Q31">
    <cfRule type="cellIs" dxfId="12577" priority="2541" operator="lessThan">
      <formula>0</formula>
    </cfRule>
  </conditionalFormatting>
  <conditionalFormatting sqref="R31">
    <cfRule type="cellIs" dxfId="12576" priority="2539" operator="lessThan">
      <formula>0.8</formula>
    </cfRule>
    <cfRule type="cellIs" dxfId="12575" priority="2540" operator="greaterThan">
      <formula>1</formula>
    </cfRule>
  </conditionalFormatting>
  <conditionalFormatting sqref="R31">
    <cfRule type="cellIs" dxfId="12574" priority="2537" operator="greaterThan">
      <formula>1</formula>
    </cfRule>
    <cfRule type="cellIs" dxfId="12573" priority="2538" operator="lessThan">
      <formula>0.8</formula>
    </cfRule>
  </conditionalFormatting>
  <conditionalFormatting sqref="R31">
    <cfRule type="cellIs" dxfId="12572" priority="2533" operator="lessThan">
      <formula>0.8</formula>
    </cfRule>
    <cfRule type="cellIs" dxfId="12571" priority="2534" operator="greaterThan">
      <formula>1</formula>
    </cfRule>
  </conditionalFormatting>
  <conditionalFormatting sqref="R31">
    <cfRule type="cellIs" dxfId="12570" priority="2531" operator="greaterThan">
      <formula>1</formula>
    </cfRule>
    <cfRule type="cellIs" dxfId="12569" priority="2532" operator="lessThan">
      <formula>0.8</formula>
    </cfRule>
  </conditionalFormatting>
  <conditionalFormatting sqref="P31">
    <cfRule type="cellIs" dxfId="12568" priority="2530" operator="greaterThan">
      <formula>0</formula>
    </cfRule>
  </conditionalFormatting>
  <conditionalFormatting sqref="Q31">
    <cfRule type="cellIs" dxfId="12567" priority="2535" operator="lessThan">
      <formula>0</formula>
    </cfRule>
  </conditionalFormatting>
  <conditionalFormatting sqref="Q31">
    <cfRule type="cellIs" dxfId="12566" priority="2529" operator="lessThan">
      <formula>0</formula>
    </cfRule>
  </conditionalFormatting>
  <conditionalFormatting sqref="R31">
    <cfRule type="cellIs" dxfId="12565" priority="2527" operator="lessThan">
      <formula>0.8</formula>
    </cfRule>
    <cfRule type="cellIs" dxfId="12564" priority="2528" operator="greaterThan">
      <formula>1</formula>
    </cfRule>
  </conditionalFormatting>
  <conditionalFormatting sqref="R31">
    <cfRule type="cellIs" dxfId="12563" priority="2525" operator="greaterThan">
      <formula>1</formula>
    </cfRule>
    <cfRule type="cellIs" dxfId="12562" priority="2526" operator="lessThan">
      <formula>0.8</formula>
    </cfRule>
  </conditionalFormatting>
  <conditionalFormatting sqref="P31">
    <cfRule type="cellIs" dxfId="12561" priority="2524" operator="greaterThan">
      <formula>0</formula>
    </cfRule>
  </conditionalFormatting>
  <conditionalFormatting sqref="P31">
    <cfRule type="cellIs" dxfId="12560" priority="2518" operator="greaterThan">
      <formula>0</formula>
    </cfRule>
  </conditionalFormatting>
  <conditionalFormatting sqref="Q31">
    <cfRule type="cellIs" dxfId="12559" priority="2523" operator="lessThan">
      <formula>0</formula>
    </cfRule>
  </conditionalFormatting>
  <conditionalFormatting sqref="R31">
    <cfRule type="cellIs" dxfId="12558" priority="2521" operator="lessThan">
      <formula>0.8</formula>
    </cfRule>
    <cfRule type="cellIs" dxfId="12557" priority="2522" operator="greaterThan">
      <formula>1</formula>
    </cfRule>
  </conditionalFormatting>
  <conditionalFormatting sqref="R31">
    <cfRule type="cellIs" dxfId="12556" priority="2519" operator="greaterThan">
      <formula>1</formula>
    </cfRule>
    <cfRule type="cellIs" dxfId="12555" priority="2520" operator="lessThan">
      <formula>0.8</formula>
    </cfRule>
  </conditionalFormatting>
  <conditionalFormatting sqref="P31">
    <cfRule type="cellIs" dxfId="12554" priority="2512" operator="greaterThan">
      <formula>0</formula>
    </cfRule>
  </conditionalFormatting>
  <conditionalFormatting sqref="Q31">
    <cfRule type="cellIs" dxfId="12553" priority="2517" operator="lessThan">
      <formula>0</formula>
    </cfRule>
  </conditionalFormatting>
  <conditionalFormatting sqref="R31">
    <cfRule type="cellIs" dxfId="12552" priority="2515" operator="lessThan">
      <formula>0.8</formula>
    </cfRule>
    <cfRule type="cellIs" dxfId="12551" priority="2516" operator="greaterThan">
      <formula>1</formula>
    </cfRule>
  </conditionalFormatting>
  <conditionalFormatting sqref="R31">
    <cfRule type="cellIs" dxfId="12550" priority="2513" operator="greaterThan">
      <formula>1</formula>
    </cfRule>
    <cfRule type="cellIs" dxfId="12549" priority="2514" operator="lessThan">
      <formula>0.8</formula>
    </cfRule>
  </conditionalFormatting>
  <conditionalFormatting sqref="R31">
    <cfRule type="cellIs" dxfId="12548" priority="2509" operator="lessThan">
      <formula>0.8</formula>
    </cfRule>
    <cfRule type="cellIs" dxfId="12547" priority="2510" operator="greaterThan">
      <formula>1</formula>
    </cfRule>
  </conditionalFormatting>
  <conditionalFormatting sqref="R31">
    <cfRule type="cellIs" dxfId="12546" priority="2507" operator="greaterThan">
      <formula>1</formula>
    </cfRule>
    <cfRule type="cellIs" dxfId="12545" priority="2508" operator="lessThan">
      <formula>0.8</formula>
    </cfRule>
  </conditionalFormatting>
  <conditionalFormatting sqref="P31">
    <cfRule type="cellIs" dxfId="12544" priority="2506" operator="greaterThan">
      <formula>0</formula>
    </cfRule>
  </conditionalFormatting>
  <conditionalFormatting sqref="Q31">
    <cfRule type="cellIs" dxfId="12543" priority="2511" operator="lessThan">
      <formula>0</formula>
    </cfRule>
  </conditionalFormatting>
  <conditionalFormatting sqref="P31">
    <cfRule type="cellIs" dxfId="12542" priority="2500" operator="greaterThan">
      <formula>0</formula>
    </cfRule>
  </conditionalFormatting>
  <conditionalFormatting sqref="Q31">
    <cfRule type="cellIs" dxfId="12541" priority="2505" operator="lessThan">
      <formula>0</formula>
    </cfRule>
  </conditionalFormatting>
  <conditionalFormatting sqref="R31">
    <cfRule type="cellIs" dxfId="12540" priority="2503" operator="lessThan">
      <formula>0.8</formula>
    </cfRule>
    <cfRule type="cellIs" dxfId="12539" priority="2504" operator="greaterThan">
      <formula>1</formula>
    </cfRule>
  </conditionalFormatting>
  <conditionalFormatting sqref="R31">
    <cfRule type="cellIs" dxfId="12538" priority="2501" operator="greaterThan">
      <formula>1</formula>
    </cfRule>
    <cfRule type="cellIs" dxfId="12537" priority="2502" operator="lessThan">
      <formula>0.8</formula>
    </cfRule>
  </conditionalFormatting>
  <conditionalFormatting sqref="R31">
    <cfRule type="cellIs" dxfId="12536" priority="2497" operator="lessThan">
      <formula>0.8</formula>
    </cfRule>
    <cfRule type="cellIs" dxfId="12535" priority="2498" operator="greaterThan">
      <formula>1</formula>
    </cfRule>
  </conditionalFormatting>
  <conditionalFormatting sqref="R31">
    <cfRule type="cellIs" dxfId="12534" priority="2495" operator="greaterThan">
      <formula>1</formula>
    </cfRule>
    <cfRule type="cellIs" dxfId="12533" priority="2496" operator="lessThan">
      <formula>0.8</formula>
    </cfRule>
  </conditionalFormatting>
  <conditionalFormatting sqref="P31">
    <cfRule type="cellIs" dxfId="12532" priority="2494" operator="greaterThan">
      <formula>0</formula>
    </cfRule>
  </conditionalFormatting>
  <conditionalFormatting sqref="Q31">
    <cfRule type="cellIs" dxfId="12531" priority="2499" operator="lessThan">
      <formula>0</formula>
    </cfRule>
  </conditionalFormatting>
  <conditionalFormatting sqref="R31">
    <cfRule type="cellIs" dxfId="12530" priority="2491" operator="lessThan">
      <formula>0.8</formula>
    </cfRule>
    <cfRule type="cellIs" dxfId="12529" priority="2492" operator="greaterThan">
      <formula>1</formula>
    </cfRule>
  </conditionalFormatting>
  <conditionalFormatting sqref="R31">
    <cfRule type="cellIs" dxfId="12528" priority="2489" operator="greaterThan">
      <formula>1</formula>
    </cfRule>
    <cfRule type="cellIs" dxfId="12527" priority="2490" operator="lessThan">
      <formula>0.8</formula>
    </cfRule>
  </conditionalFormatting>
  <conditionalFormatting sqref="P31">
    <cfRule type="cellIs" dxfId="12526" priority="2488" operator="greaterThan">
      <formula>0</formula>
    </cfRule>
  </conditionalFormatting>
  <conditionalFormatting sqref="Q31">
    <cfRule type="cellIs" dxfId="12525" priority="2493" operator="lessThan">
      <formula>0</formula>
    </cfRule>
  </conditionalFormatting>
  <conditionalFormatting sqref="Q31">
    <cfRule type="cellIs" dxfId="12524" priority="2487" operator="lessThan">
      <formula>0</formula>
    </cfRule>
  </conditionalFormatting>
  <conditionalFormatting sqref="R31">
    <cfRule type="cellIs" dxfId="12523" priority="2485" operator="lessThan">
      <formula>0.8</formula>
    </cfRule>
    <cfRule type="cellIs" dxfId="12522" priority="2486" operator="greaterThan">
      <formula>1</formula>
    </cfRule>
  </conditionalFormatting>
  <conditionalFormatting sqref="R31">
    <cfRule type="cellIs" dxfId="12521" priority="2483" operator="greaterThan">
      <formula>1</formula>
    </cfRule>
    <cfRule type="cellIs" dxfId="12520" priority="2484" operator="lessThan">
      <formula>0.8</formula>
    </cfRule>
  </conditionalFormatting>
  <conditionalFormatting sqref="P31">
    <cfRule type="cellIs" dxfId="12519" priority="2482" operator="greaterThan">
      <formula>0</formula>
    </cfRule>
  </conditionalFormatting>
  <conditionalFormatting sqref="Q31">
    <cfRule type="cellIs" dxfId="12518" priority="2476" operator="lessThan">
      <formula>0</formula>
    </cfRule>
  </conditionalFormatting>
  <conditionalFormatting sqref="R31">
    <cfRule type="cellIs" dxfId="12517" priority="2480" operator="lessThan">
      <formula>0.8</formula>
    </cfRule>
    <cfRule type="cellIs" dxfId="12516" priority="2481" operator="greaterThan">
      <formula>1</formula>
    </cfRule>
  </conditionalFormatting>
  <conditionalFormatting sqref="R31">
    <cfRule type="cellIs" dxfId="12515" priority="2478" operator="greaterThan">
      <formula>1</formula>
    </cfRule>
    <cfRule type="cellIs" dxfId="12514" priority="2479" operator="lessThan">
      <formula>0.8</formula>
    </cfRule>
  </conditionalFormatting>
  <conditionalFormatting sqref="P31">
    <cfRule type="cellIs" dxfId="12513" priority="2477" operator="greaterThan">
      <formula>0</formula>
    </cfRule>
  </conditionalFormatting>
  <conditionalFormatting sqref="Q31">
    <cfRule type="cellIs" dxfId="12512" priority="2475" operator="lessThan">
      <formula>0</formula>
    </cfRule>
  </conditionalFormatting>
  <conditionalFormatting sqref="R31">
    <cfRule type="cellIs" dxfId="12511" priority="2473" operator="lessThan">
      <formula>0.8</formula>
    </cfRule>
    <cfRule type="cellIs" dxfId="12510" priority="2474" operator="greaterThan">
      <formula>1</formula>
    </cfRule>
  </conditionalFormatting>
  <conditionalFormatting sqref="R31">
    <cfRule type="cellIs" dxfId="12509" priority="2471" operator="greaterThan">
      <formula>1</formula>
    </cfRule>
    <cfRule type="cellIs" dxfId="12508" priority="2472" operator="lessThan">
      <formula>0.8</formula>
    </cfRule>
  </conditionalFormatting>
  <conditionalFormatting sqref="P31">
    <cfRule type="cellIs" dxfId="12507" priority="2470" operator="greaterThan">
      <formula>0</formula>
    </cfRule>
  </conditionalFormatting>
  <conditionalFormatting sqref="Q31">
    <cfRule type="cellIs" dxfId="12506" priority="2469" operator="lessThan">
      <formula>0</formula>
    </cfRule>
  </conditionalFormatting>
  <conditionalFormatting sqref="R31">
    <cfRule type="cellIs" dxfId="12505" priority="2467" operator="lessThan">
      <formula>0.8</formula>
    </cfRule>
    <cfRule type="cellIs" dxfId="12504" priority="2468" operator="greaterThan">
      <formula>1</formula>
    </cfRule>
  </conditionalFormatting>
  <conditionalFormatting sqref="R31">
    <cfRule type="cellIs" dxfId="12503" priority="2465" operator="greaterThan">
      <formula>1</formula>
    </cfRule>
    <cfRule type="cellIs" dxfId="12502" priority="2466" operator="lessThan">
      <formula>0.8</formula>
    </cfRule>
  </conditionalFormatting>
  <conditionalFormatting sqref="P31">
    <cfRule type="cellIs" dxfId="12501" priority="2464" operator="greaterThan">
      <formula>0</formula>
    </cfRule>
  </conditionalFormatting>
  <conditionalFormatting sqref="Q31">
    <cfRule type="cellIs" dxfId="12500" priority="2463" operator="lessThan">
      <formula>0</formula>
    </cfRule>
  </conditionalFormatting>
  <conditionalFormatting sqref="R31">
    <cfRule type="cellIs" dxfId="12499" priority="2461" operator="lessThan">
      <formula>0.8</formula>
    </cfRule>
    <cfRule type="cellIs" dxfId="12498" priority="2462" operator="greaterThan">
      <formula>1</formula>
    </cfRule>
  </conditionalFormatting>
  <conditionalFormatting sqref="R31">
    <cfRule type="cellIs" dxfId="12497" priority="2459" operator="greaterThan">
      <formula>1</formula>
    </cfRule>
    <cfRule type="cellIs" dxfId="12496" priority="2460" operator="lessThan">
      <formula>0.8</formula>
    </cfRule>
  </conditionalFormatting>
  <conditionalFormatting sqref="P31">
    <cfRule type="cellIs" dxfId="12495" priority="2458" operator="greaterThan">
      <formula>0</formula>
    </cfRule>
  </conditionalFormatting>
  <conditionalFormatting sqref="Q31">
    <cfRule type="cellIs" dxfId="12494" priority="2457" operator="lessThan">
      <formula>0</formula>
    </cfRule>
  </conditionalFormatting>
  <conditionalFormatting sqref="R31">
    <cfRule type="cellIs" dxfId="12493" priority="2455" operator="lessThan">
      <formula>0.8</formula>
    </cfRule>
    <cfRule type="cellIs" dxfId="12492" priority="2456" operator="greaterThan">
      <formula>1</formula>
    </cfRule>
  </conditionalFormatting>
  <conditionalFormatting sqref="R31">
    <cfRule type="cellIs" dxfId="12491" priority="2453" operator="greaterThan">
      <formula>1</formula>
    </cfRule>
    <cfRule type="cellIs" dxfId="12490" priority="2454" operator="lessThan">
      <formula>0.8</formula>
    </cfRule>
  </conditionalFormatting>
  <conditionalFormatting sqref="P31">
    <cfRule type="cellIs" dxfId="12489" priority="2452" operator="greaterThan">
      <formula>0</formula>
    </cfRule>
  </conditionalFormatting>
  <conditionalFormatting sqref="Q31">
    <cfRule type="cellIs" dxfId="12488" priority="2451" operator="lessThan">
      <formula>0</formula>
    </cfRule>
  </conditionalFormatting>
  <conditionalFormatting sqref="R31">
    <cfRule type="cellIs" dxfId="12487" priority="2449" operator="lessThan">
      <formula>0.8</formula>
    </cfRule>
    <cfRule type="cellIs" dxfId="12486" priority="2450" operator="greaterThan">
      <formula>1</formula>
    </cfRule>
  </conditionalFormatting>
  <conditionalFormatting sqref="R31">
    <cfRule type="cellIs" dxfId="12485" priority="2447" operator="greaterThan">
      <formula>1</formula>
    </cfRule>
    <cfRule type="cellIs" dxfId="12484" priority="2448" operator="lessThan">
      <formula>0.8</formula>
    </cfRule>
  </conditionalFormatting>
  <conditionalFormatting sqref="P31">
    <cfRule type="cellIs" dxfId="12483" priority="2446" operator="greaterThan">
      <formula>0</formula>
    </cfRule>
  </conditionalFormatting>
  <conditionalFormatting sqref="P31">
    <cfRule type="cellIs" dxfId="12482" priority="2440" operator="greaterThan">
      <formula>0</formula>
    </cfRule>
  </conditionalFormatting>
  <conditionalFormatting sqref="Q31">
    <cfRule type="cellIs" dxfId="12481" priority="2445" operator="lessThan">
      <formula>0</formula>
    </cfRule>
  </conditionalFormatting>
  <conditionalFormatting sqref="R31">
    <cfRule type="cellIs" dxfId="12480" priority="2443" operator="lessThan">
      <formula>0.8</formula>
    </cfRule>
    <cfRule type="cellIs" dxfId="12479" priority="2444" operator="greaterThan">
      <formula>1</formula>
    </cfRule>
  </conditionalFormatting>
  <conditionalFormatting sqref="R31">
    <cfRule type="cellIs" dxfId="12478" priority="2441" operator="greaterThan">
      <formula>1</formula>
    </cfRule>
    <cfRule type="cellIs" dxfId="12477" priority="2442" operator="lessThan">
      <formula>0.8</formula>
    </cfRule>
  </conditionalFormatting>
  <conditionalFormatting sqref="P31">
    <cfRule type="cellIs" dxfId="12476" priority="2434" operator="greaterThan">
      <formula>0</formula>
    </cfRule>
  </conditionalFormatting>
  <conditionalFormatting sqref="Q31">
    <cfRule type="cellIs" dxfId="12475" priority="2439" operator="lessThan">
      <formula>0</formula>
    </cfRule>
  </conditionalFormatting>
  <conditionalFormatting sqref="R31">
    <cfRule type="cellIs" dxfId="12474" priority="2437" operator="lessThan">
      <formula>0.8</formula>
    </cfRule>
    <cfRule type="cellIs" dxfId="12473" priority="2438" operator="greaterThan">
      <formula>1</formula>
    </cfRule>
  </conditionalFormatting>
  <conditionalFormatting sqref="R31">
    <cfRule type="cellIs" dxfId="12472" priority="2435" operator="greaterThan">
      <formula>1</formula>
    </cfRule>
    <cfRule type="cellIs" dxfId="12471" priority="2436" operator="lessThan">
      <formula>0.8</formula>
    </cfRule>
  </conditionalFormatting>
  <conditionalFormatting sqref="R31">
    <cfRule type="cellIs" dxfId="12470" priority="2431" operator="lessThan">
      <formula>0.8</formula>
    </cfRule>
    <cfRule type="cellIs" dxfId="12469" priority="2432" operator="greaterThan">
      <formula>1</formula>
    </cfRule>
  </conditionalFormatting>
  <conditionalFormatting sqref="R31">
    <cfRule type="cellIs" dxfId="12468" priority="2429" operator="greaterThan">
      <formula>1</formula>
    </cfRule>
    <cfRule type="cellIs" dxfId="12467" priority="2430" operator="lessThan">
      <formula>0.8</formula>
    </cfRule>
  </conditionalFormatting>
  <conditionalFormatting sqref="P31">
    <cfRule type="cellIs" dxfId="12466" priority="2428" operator="greaterThan">
      <formula>0</formula>
    </cfRule>
  </conditionalFormatting>
  <conditionalFormatting sqref="Q31">
    <cfRule type="cellIs" dxfId="12465" priority="2433" operator="lessThan">
      <formula>0</formula>
    </cfRule>
  </conditionalFormatting>
  <conditionalFormatting sqref="Q31">
    <cfRule type="cellIs" dxfId="12464" priority="2427" operator="lessThan">
      <formula>0</formula>
    </cfRule>
  </conditionalFormatting>
  <conditionalFormatting sqref="R31">
    <cfRule type="cellIs" dxfId="12463" priority="2425" operator="lessThan">
      <formula>0.8</formula>
    </cfRule>
    <cfRule type="cellIs" dxfId="12462" priority="2426" operator="greaterThan">
      <formula>1</formula>
    </cfRule>
  </conditionalFormatting>
  <conditionalFormatting sqref="R31">
    <cfRule type="cellIs" dxfId="12461" priority="2423" operator="greaterThan">
      <formula>1</formula>
    </cfRule>
    <cfRule type="cellIs" dxfId="12460" priority="2424" operator="lessThan">
      <formula>0.8</formula>
    </cfRule>
  </conditionalFormatting>
  <conditionalFormatting sqref="P31">
    <cfRule type="cellIs" dxfId="12459" priority="2422" operator="greaterThan">
      <formula>0</formula>
    </cfRule>
  </conditionalFormatting>
  <conditionalFormatting sqref="Q31">
    <cfRule type="cellIs" dxfId="12458" priority="2421" operator="lessThan">
      <formula>0</formula>
    </cfRule>
  </conditionalFormatting>
  <conditionalFormatting sqref="R31">
    <cfRule type="cellIs" dxfId="12457" priority="2419" operator="lessThan">
      <formula>0.8</formula>
    </cfRule>
    <cfRule type="cellIs" dxfId="12456" priority="2420" operator="greaterThan">
      <formula>1</formula>
    </cfRule>
  </conditionalFormatting>
  <conditionalFormatting sqref="R31">
    <cfRule type="cellIs" dxfId="12455" priority="2417" operator="greaterThan">
      <formula>1</formula>
    </cfRule>
    <cfRule type="cellIs" dxfId="12454" priority="2418" operator="lessThan">
      <formula>0.8</formula>
    </cfRule>
  </conditionalFormatting>
  <conditionalFormatting sqref="P31">
    <cfRule type="cellIs" dxfId="12453" priority="2416" operator="greaterThan">
      <formula>0</formula>
    </cfRule>
  </conditionalFormatting>
  <conditionalFormatting sqref="Q31">
    <cfRule type="cellIs" dxfId="12452" priority="2415" operator="lessThan">
      <formula>0</formula>
    </cfRule>
  </conditionalFormatting>
  <conditionalFormatting sqref="R31">
    <cfRule type="cellIs" dxfId="12451" priority="2413" operator="lessThan">
      <formula>0.8</formula>
    </cfRule>
    <cfRule type="cellIs" dxfId="12450" priority="2414" operator="greaterThan">
      <formula>1</formula>
    </cfRule>
  </conditionalFormatting>
  <conditionalFormatting sqref="R31">
    <cfRule type="cellIs" dxfId="12449" priority="2411" operator="greaterThan">
      <formula>1</formula>
    </cfRule>
    <cfRule type="cellIs" dxfId="12448" priority="2412" operator="lessThan">
      <formula>0.8</formula>
    </cfRule>
  </conditionalFormatting>
  <conditionalFormatting sqref="P31">
    <cfRule type="cellIs" dxfId="12447" priority="2410" operator="greaterThan">
      <formula>0</formula>
    </cfRule>
  </conditionalFormatting>
  <conditionalFormatting sqref="Q31">
    <cfRule type="cellIs" dxfId="12446" priority="2409" operator="lessThan">
      <formula>0</formula>
    </cfRule>
  </conditionalFormatting>
  <conditionalFormatting sqref="R31">
    <cfRule type="cellIs" dxfId="12445" priority="2407" operator="lessThan">
      <formula>0.8</formula>
    </cfRule>
    <cfRule type="cellIs" dxfId="12444" priority="2408" operator="greaterThan">
      <formula>1</formula>
    </cfRule>
  </conditionalFormatting>
  <conditionalFormatting sqref="R31">
    <cfRule type="cellIs" dxfId="12443" priority="2405" operator="greaterThan">
      <formula>1</formula>
    </cfRule>
    <cfRule type="cellIs" dxfId="12442" priority="2406" operator="lessThan">
      <formula>0.8</formula>
    </cfRule>
  </conditionalFormatting>
  <conditionalFormatting sqref="P31">
    <cfRule type="cellIs" dxfId="12441" priority="2404" operator="greaterThan">
      <formula>0</formula>
    </cfRule>
  </conditionalFormatting>
  <conditionalFormatting sqref="P31">
    <cfRule type="cellIs" dxfId="12440" priority="2398" operator="greaterThan">
      <formula>0</formula>
    </cfRule>
  </conditionalFormatting>
  <conditionalFormatting sqref="Q31">
    <cfRule type="cellIs" dxfId="12439" priority="2403" operator="lessThan">
      <formula>0</formula>
    </cfRule>
  </conditionalFormatting>
  <conditionalFormatting sqref="R31">
    <cfRule type="cellIs" dxfId="12438" priority="2401" operator="lessThan">
      <formula>0.8</formula>
    </cfRule>
    <cfRule type="cellIs" dxfId="12437" priority="2402" operator="greaterThan">
      <formula>1</formula>
    </cfRule>
  </conditionalFormatting>
  <conditionalFormatting sqref="R31">
    <cfRule type="cellIs" dxfId="12436" priority="2399" operator="greaterThan">
      <formula>1</formula>
    </cfRule>
    <cfRule type="cellIs" dxfId="12435" priority="2400" operator="lessThan">
      <formula>0.8</formula>
    </cfRule>
  </conditionalFormatting>
  <conditionalFormatting sqref="P31">
    <cfRule type="cellIs" dxfId="12434" priority="2392" operator="greaterThan">
      <formula>0</formula>
    </cfRule>
  </conditionalFormatting>
  <conditionalFormatting sqref="Q31">
    <cfRule type="cellIs" dxfId="12433" priority="2397" operator="lessThan">
      <formula>0</formula>
    </cfRule>
  </conditionalFormatting>
  <conditionalFormatting sqref="R31">
    <cfRule type="cellIs" dxfId="12432" priority="2395" operator="lessThan">
      <formula>0.8</formula>
    </cfRule>
    <cfRule type="cellIs" dxfId="12431" priority="2396" operator="greaterThan">
      <formula>1</formula>
    </cfRule>
  </conditionalFormatting>
  <conditionalFormatting sqref="R31">
    <cfRule type="cellIs" dxfId="12430" priority="2393" operator="greaterThan">
      <formula>1</formula>
    </cfRule>
    <cfRule type="cellIs" dxfId="12429" priority="2394" operator="lessThan">
      <formula>0.8</formula>
    </cfRule>
  </conditionalFormatting>
  <conditionalFormatting sqref="R31">
    <cfRule type="cellIs" dxfId="12428" priority="2389" operator="lessThan">
      <formula>0.8</formula>
    </cfRule>
    <cfRule type="cellIs" dxfId="12427" priority="2390" operator="greaterThan">
      <formula>1</formula>
    </cfRule>
  </conditionalFormatting>
  <conditionalFormatting sqref="R31">
    <cfRule type="cellIs" dxfId="12426" priority="2387" operator="greaterThan">
      <formula>1</formula>
    </cfRule>
    <cfRule type="cellIs" dxfId="12425" priority="2388" operator="lessThan">
      <formula>0.8</formula>
    </cfRule>
  </conditionalFormatting>
  <conditionalFormatting sqref="P31">
    <cfRule type="cellIs" dxfId="12424" priority="2386" operator="greaterThan">
      <formula>0</formula>
    </cfRule>
  </conditionalFormatting>
  <conditionalFormatting sqref="Q31">
    <cfRule type="cellIs" dxfId="12423" priority="2391" operator="lessThan">
      <formula>0</formula>
    </cfRule>
  </conditionalFormatting>
  <conditionalFormatting sqref="Q31">
    <cfRule type="cellIs" dxfId="12422" priority="2385" operator="lessThan">
      <formula>0</formula>
    </cfRule>
  </conditionalFormatting>
  <conditionalFormatting sqref="R31">
    <cfRule type="cellIs" dxfId="12421" priority="2383" operator="lessThan">
      <formula>0.8</formula>
    </cfRule>
    <cfRule type="cellIs" dxfId="12420" priority="2384" operator="greaterThan">
      <formula>1</formula>
    </cfRule>
  </conditionalFormatting>
  <conditionalFormatting sqref="R31">
    <cfRule type="cellIs" dxfId="12419" priority="2381" operator="greaterThan">
      <formula>1</formula>
    </cfRule>
    <cfRule type="cellIs" dxfId="12418" priority="2382" operator="lessThan">
      <formula>0.8</formula>
    </cfRule>
  </conditionalFormatting>
  <conditionalFormatting sqref="P31">
    <cfRule type="cellIs" dxfId="12417" priority="2380" operator="greaterThan">
      <formula>0</formula>
    </cfRule>
  </conditionalFormatting>
  <conditionalFormatting sqref="P31">
    <cfRule type="cellIs" dxfId="12416" priority="2374" operator="greaterThan">
      <formula>0</formula>
    </cfRule>
  </conditionalFormatting>
  <conditionalFormatting sqref="Q31">
    <cfRule type="cellIs" dxfId="12415" priority="2379" operator="lessThan">
      <formula>0</formula>
    </cfRule>
  </conditionalFormatting>
  <conditionalFormatting sqref="R31">
    <cfRule type="cellIs" dxfId="12414" priority="2377" operator="lessThan">
      <formula>0.8</formula>
    </cfRule>
    <cfRule type="cellIs" dxfId="12413" priority="2378" operator="greaterThan">
      <formula>1</formula>
    </cfRule>
  </conditionalFormatting>
  <conditionalFormatting sqref="R31">
    <cfRule type="cellIs" dxfId="12412" priority="2375" operator="greaterThan">
      <formula>1</formula>
    </cfRule>
    <cfRule type="cellIs" dxfId="12411" priority="2376" operator="lessThan">
      <formula>0.8</formula>
    </cfRule>
  </conditionalFormatting>
  <conditionalFormatting sqref="P31">
    <cfRule type="cellIs" dxfId="12410" priority="2368" operator="greaterThan">
      <formula>0</formula>
    </cfRule>
  </conditionalFormatting>
  <conditionalFormatting sqref="Q31">
    <cfRule type="cellIs" dxfId="12409" priority="2373" operator="lessThan">
      <formula>0</formula>
    </cfRule>
  </conditionalFormatting>
  <conditionalFormatting sqref="R31">
    <cfRule type="cellIs" dxfId="12408" priority="2371" operator="lessThan">
      <formula>0.8</formula>
    </cfRule>
    <cfRule type="cellIs" dxfId="12407" priority="2372" operator="greaterThan">
      <formula>1</formula>
    </cfRule>
  </conditionalFormatting>
  <conditionalFormatting sqref="R31">
    <cfRule type="cellIs" dxfId="12406" priority="2369" operator="greaterThan">
      <formula>1</formula>
    </cfRule>
    <cfRule type="cellIs" dxfId="12405" priority="2370" operator="lessThan">
      <formula>0.8</formula>
    </cfRule>
  </conditionalFormatting>
  <conditionalFormatting sqref="R31">
    <cfRule type="cellIs" dxfId="12404" priority="2365" operator="lessThan">
      <formula>0.8</formula>
    </cfRule>
    <cfRule type="cellIs" dxfId="12403" priority="2366" operator="greaterThan">
      <formula>1</formula>
    </cfRule>
  </conditionalFormatting>
  <conditionalFormatting sqref="R31">
    <cfRule type="cellIs" dxfId="12402" priority="2363" operator="greaterThan">
      <formula>1</formula>
    </cfRule>
    <cfRule type="cellIs" dxfId="12401" priority="2364" operator="lessThan">
      <formula>0.8</formula>
    </cfRule>
  </conditionalFormatting>
  <conditionalFormatting sqref="P31">
    <cfRule type="cellIs" dxfId="12400" priority="2362" operator="greaterThan">
      <formula>0</formula>
    </cfRule>
  </conditionalFormatting>
  <conditionalFormatting sqref="Q31">
    <cfRule type="cellIs" dxfId="12399" priority="2367" operator="lessThan">
      <formula>0</formula>
    </cfRule>
  </conditionalFormatting>
  <conditionalFormatting sqref="P31">
    <cfRule type="cellIs" dxfId="12398" priority="2356" operator="greaterThan">
      <formula>0</formula>
    </cfRule>
  </conditionalFormatting>
  <conditionalFormatting sqref="Q31">
    <cfRule type="cellIs" dxfId="12397" priority="2361" operator="lessThan">
      <formula>0</formula>
    </cfRule>
  </conditionalFormatting>
  <conditionalFormatting sqref="R31">
    <cfRule type="cellIs" dxfId="12396" priority="2359" operator="lessThan">
      <formula>0.8</formula>
    </cfRule>
    <cfRule type="cellIs" dxfId="12395" priority="2360" operator="greaterThan">
      <formula>1</formula>
    </cfRule>
  </conditionalFormatting>
  <conditionalFormatting sqref="R31">
    <cfRule type="cellIs" dxfId="12394" priority="2357" operator="greaterThan">
      <formula>1</formula>
    </cfRule>
    <cfRule type="cellIs" dxfId="12393" priority="2358" operator="lessThan">
      <formula>0.8</formula>
    </cfRule>
  </conditionalFormatting>
  <conditionalFormatting sqref="R31">
    <cfRule type="cellIs" dxfId="12392" priority="2353" operator="lessThan">
      <formula>0.8</formula>
    </cfRule>
    <cfRule type="cellIs" dxfId="12391" priority="2354" operator="greaterThan">
      <formula>1</formula>
    </cfRule>
  </conditionalFormatting>
  <conditionalFormatting sqref="R31">
    <cfRule type="cellIs" dxfId="12390" priority="2351" operator="greaterThan">
      <formula>1</formula>
    </cfRule>
    <cfRule type="cellIs" dxfId="12389" priority="2352" operator="lessThan">
      <formula>0.8</formula>
    </cfRule>
  </conditionalFormatting>
  <conditionalFormatting sqref="P31">
    <cfRule type="cellIs" dxfId="12388" priority="2350" operator="greaterThan">
      <formula>0</formula>
    </cfRule>
  </conditionalFormatting>
  <conditionalFormatting sqref="Q31">
    <cfRule type="cellIs" dxfId="12387" priority="2355" operator="lessThan">
      <formula>0</formula>
    </cfRule>
  </conditionalFormatting>
  <conditionalFormatting sqref="R31">
    <cfRule type="cellIs" dxfId="12386" priority="2347" operator="lessThan">
      <formula>0.8</formula>
    </cfRule>
    <cfRule type="cellIs" dxfId="12385" priority="2348" operator="greaterThan">
      <formula>1</formula>
    </cfRule>
  </conditionalFormatting>
  <conditionalFormatting sqref="R31">
    <cfRule type="cellIs" dxfId="12384" priority="2345" operator="greaterThan">
      <formula>1</formula>
    </cfRule>
    <cfRule type="cellIs" dxfId="12383" priority="2346" operator="lessThan">
      <formula>0.8</formula>
    </cfRule>
  </conditionalFormatting>
  <conditionalFormatting sqref="P31">
    <cfRule type="cellIs" dxfId="12382" priority="2344" operator="greaterThan">
      <formula>0</formula>
    </cfRule>
  </conditionalFormatting>
  <conditionalFormatting sqref="Q31">
    <cfRule type="cellIs" dxfId="12381" priority="2349" operator="lessThan">
      <formula>0</formula>
    </cfRule>
  </conditionalFormatting>
  <conditionalFormatting sqref="Q31">
    <cfRule type="cellIs" dxfId="12380" priority="2343" operator="lessThan">
      <formula>0</formula>
    </cfRule>
  </conditionalFormatting>
  <conditionalFormatting sqref="R31">
    <cfRule type="cellIs" dxfId="12379" priority="2341" operator="lessThan">
      <formula>0.8</formula>
    </cfRule>
    <cfRule type="cellIs" dxfId="12378" priority="2342" operator="greaterThan">
      <formula>1</formula>
    </cfRule>
  </conditionalFormatting>
  <conditionalFormatting sqref="R31">
    <cfRule type="cellIs" dxfId="12377" priority="2339" operator="greaterThan">
      <formula>1</formula>
    </cfRule>
    <cfRule type="cellIs" dxfId="12376" priority="2340" operator="lessThan">
      <formula>0.8</formula>
    </cfRule>
  </conditionalFormatting>
  <conditionalFormatting sqref="P31">
    <cfRule type="cellIs" dxfId="12375" priority="2338" operator="greaterThan">
      <formula>0</formula>
    </cfRule>
  </conditionalFormatting>
  <conditionalFormatting sqref="Q31">
    <cfRule type="cellIs" dxfId="12374" priority="2332" operator="lessThan">
      <formula>0</formula>
    </cfRule>
  </conditionalFormatting>
  <conditionalFormatting sqref="R31">
    <cfRule type="cellIs" dxfId="12373" priority="2336" operator="lessThan">
      <formula>0.8</formula>
    </cfRule>
    <cfRule type="cellIs" dxfId="12372" priority="2337" operator="greaterThan">
      <formula>1</formula>
    </cfRule>
  </conditionalFormatting>
  <conditionalFormatting sqref="R31">
    <cfRule type="cellIs" dxfId="12371" priority="2334" operator="greaterThan">
      <formula>1</formula>
    </cfRule>
    <cfRule type="cellIs" dxfId="12370" priority="2335" operator="lessThan">
      <formula>0.8</formula>
    </cfRule>
  </conditionalFormatting>
  <conditionalFormatting sqref="P31">
    <cfRule type="cellIs" dxfId="12369" priority="2333" operator="greaterThan">
      <formula>0</formula>
    </cfRule>
  </conditionalFormatting>
  <conditionalFormatting sqref="Q31">
    <cfRule type="cellIs" dxfId="12368" priority="2331" operator="lessThan">
      <formula>0</formula>
    </cfRule>
  </conditionalFormatting>
  <conditionalFormatting sqref="R31">
    <cfRule type="cellIs" dxfId="12367" priority="2329" operator="lessThan">
      <formula>0.8</formula>
    </cfRule>
    <cfRule type="cellIs" dxfId="12366" priority="2330" operator="greaterThan">
      <formula>1</formula>
    </cfRule>
  </conditionalFormatting>
  <conditionalFormatting sqref="R31">
    <cfRule type="cellIs" dxfId="12365" priority="2327" operator="greaterThan">
      <formula>1</formula>
    </cfRule>
    <cfRule type="cellIs" dxfId="12364" priority="2328" operator="lessThan">
      <formula>0.8</formula>
    </cfRule>
  </conditionalFormatting>
  <conditionalFormatting sqref="P31">
    <cfRule type="cellIs" dxfId="12363" priority="2326" operator="greaterThan">
      <formula>0</formula>
    </cfRule>
  </conditionalFormatting>
  <conditionalFormatting sqref="Q31">
    <cfRule type="cellIs" dxfId="12362" priority="2325" operator="lessThan">
      <formula>0</formula>
    </cfRule>
  </conditionalFormatting>
  <conditionalFormatting sqref="R31">
    <cfRule type="cellIs" dxfId="12361" priority="2323" operator="lessThan">
      <formula>0.8</formula>
    </cfRule>
    <cfRule type="cellIs" dxfId="12360" priority="2324" operator="greaterThan">
      <formula>1</formula>
    </cfRule>
  </conditionalFormatting>
  <conditionalFormatting sqref="R31">
    <cfRule type="cellIs" dxfId="12359" priority="2321" operator="greaterThan">
      <formula>1</formula>
    </cfRule>
    <cfRule type="cellIs" dxfId="12358" priority="2322" operator="lessThan">
      <formula>0.8</formula>
    </cfRule>
  </conditionalFormatting>
  <conditionalFormatting sqref="P31">
    <cfRule type="cellIs" dxfId="12357" priority="2320" operator="greaterThan">
      <formula>0</formula>
    </cfRule>
  </conditionalFormatting>
  <conditionalFormatting sqref="Q31">
    <cfRule type="cellIs" dxfId="12356" priority="2319" operator="lessThan">
      <formula>0</formula>
    </cfRule>
  </conditionalFormatting>
  <conditionalFormatting sqref="R31">
    <cfRule type="cellIs" dxfId="12355" priority="2317" operator="lessThan">
      <formula>0.8</formula>
    </cfRule>
    <cfRule type="cellIs" dxfId="12354" priority="2318" operator="greaterThan">
      <formula>1</formula>
    </cfRule>
  </conditionalFormatting>
  <conditionalFormatting sqref="R31">
    <cfRule type="cellIs" dxfId="12353" priority="2315" operator="greaterThan">
      <formula>1</formula>
    </cfRule>
    <cfRule type="cellIs" dxfId="12352" priority="2316" operator="lessThan">
      <formula>0.8</formula>
    </cfRule>
  </conditionalFormatting>
  <conditionalFormatting sqref="P31">
    <cfRule type="cellIs" dxfId="12351" priority="2314" operator="greaterThan">
      <formula>0</formula>
    </cfRule>
  </conditionalFormatting>
  <conditionalFormatting sqref="Q31">
    <cfRule type="cellIs" dxfId="12350" priority="2313" operator="lessThan">
      <formula>0</formula>
    </cfRule>
  </conditionalFormatting>
  <conditionalFormatting sqref="R31">
    <cfRule type="cellIs" dxfId="12349" priority="2311" operator="lessThan">
      <formula>0.8</formula>
    </cfRule>
    <cfRule type="cellIs" dxfId="12348" priority="2312" operator="greaterThan">
      <formula>1</formula>
    </cfRule>
  </conditionalFormatting>
  <conditionalFormatting sqref="R31">
    <cfRule type="cellIs" dxfId="12347" priority="2309" operator="greaterThan">
      <formula>1</formula>
    </cfRule>
    <cfRule type="cellIs" dxfId="12346" priority="2310" operator="lessThan">
      <formula>0.8</formula>
    </cfRule>
  </conditionalFormatting>
  <conditionalFormatting sqref="P31">
    <cfRule type="cellIs" dxfId="12345" priority="2308" operator="greaterThan">
      <formula>0</formula>
    </cfRule>
  </conditionalFormatting>
  <conditionalFormatting sqref="Q31">
    <cfRule type="cellIs" dxfId="12344" priority="2307" operator="lessThan">
      <formula>0</formula>
    </cfRule>
  </conditionalFormatting>
  <conditionalFormatting sqref="R31">
    <cfRule type="cellIs" dxfId="12343" priority="2305" operator="lessThan">
      <formula>0.8</formula>
    </cfRule>
    <cfRule type="cellIs" dxfId="12342" priority="2306" operator="greaterThan">
      <formula>1</formula>
    </cfRule>
  </conditionalFormatting>
  <conditionalFormatting sqref="R31">
    <cfRule type="cellIs" dxfId="12341" priority="2303" operator="greaterThan">
      <formula>1</formula>
    </cfRule>
    <cfRule type="cellIs" dxfId="12340" priority="2304" operator="lessThan">
      <formula>0.8</formula>
    </cfRule>
  </conditionalFormatting>
  <conditionalFormatting sqref="P31">
    <cfRule type="cellIs" dxfId="12339" priority="2302" operator="greaterThan">
      <formula>0</formula>
    </cfRule>
  </conditionalFormatting>
  <conditionalFormatting sqref="P31">
    <cfRule type="cellIs" dxfId="12338" priority="2296" operator="greaterThan">
      <formula>0</formula>
    </cfRule>
  </conditionalFormatting>
  <conditionalFormatting sqref="Q31">
    <cfRule type="cellIs" dxfId="12337" priority="2301" operator="lessThan">
      <formula>0</formula>
    </cfRule>
  </conditionalFormatting>
  <conditionalFormatting sqref="R31">
    <cfRule type="cellIs" dxfId="12336" priority="2299" operator="lessThan">
      <formula>0.8</formula>
    </cfRule>
    <cfRule type="cellIs" dxfId="12335" priority="2300" operator="greaterThan">
      <formula>1</formula>
    </cfRule>
  </conditionalFormatting>
  <conditionalFormatting sqref="R31">
    <cfRule type="cellIs" dxfId="12334" priority="2297" operator="greaterThan">
      <formula>1</formula>
    </cfRule>
    <cfRule type="cellIs" dxfId="12333" priority="2298" operator="lessThan">
      <formula>0.8</formula>
    </cfRule>
  </conditionalFormatting>
  <conditionalFormatting sqref="P31">
    <cfRule type="cellIs" dxfId="12332" priority="2290" operator="greaterThan">
      <formula>0</formula>
    </cfRule>
  </conditionalFormatting>
  <conditionalFormatting sqref="Q31">
    <cfRule type="cellIs" dxfId="12331" priority="2295" operator="lessThan">
      <formula>0</formula>
    </cfRule>
  </conditionalFormatting>
  <conditionalFormatting sqref="R31">
    <cfRule type="cellIs" dxfId="12330" priority="2293" operator="lessThan">
      <formula>0.8</formula>
    </cfRule>
    <cfRule type="cellIs" dxfId="12329" priority="2294" operator="greaterThan">
      <formula>1</formula>
    </cfRule>
  </conditionalFormatting>
  <conditionalFormatting sqref="R31">
    <cfRule type="cellIs" dxfId="12328" priority="2291" operator="greaterThan">
      <formula>1</formula>
    </cfRule>
    <cfRule type="cellIs" dxfId="12327" priority="2292" operator="lessThan">
      <formula>0.8</formula>
    </cfRule>
  </conditionalFormatting>
  <conditionalFormatting sqref="R31">
    <cfRule type="cellIs" dxfId="12326" priority="2287" operator="lessThan">
      <formula>0.8</formula>
    </cfRule>
    <cfRule type="cellIs" dxfId="12325" priority="2288" operator="greaterThan">
      <formula>1</formula>
    </cfRule>
  </conditionalFormatting>
  <conditionalFormatting sqref="R31">
    <cfRule type="cellIs" dxfId="12324" priority="2285" operator="greaterThan">
      <formula>1</formula>
    </cfRule>
    <cfRule type="cellIs" dxfId="12323" priority="2286" operator="lessThan">
      <formula>0.8</formula>
    </cfRule>
  </conditionalFormatting>
  <conditionalFormatting sqref="P31">
    <cfRule type="cellIs" dxfId="12322" priority="2284" operator="greaterThan">
      <formula>0</formula>
    </cfRule>
  </conditionalFormatting>
  <conditionalFormatting sqref="Q31">
    <cfRule type="cellIs" dxfId="12321" priority="2289" operator="lessThan">
      <formula>0</formula>
    </cfRule>
  </conditionalFormatting>
  <conditionalFormatting sqref="P79">
    <cfRule type="cellIs" dxfId="12320" priority="2278" operator="greaterThan">
      <formula>0</formula>
    </cfRule>
  </conditionalFormatting>
  <conditionalFormatting sqref="Q79">
    <cfRule type="cellIs" dxfId="12319" priority="2283" operator="lessThan">
      <formula>0</formula>
    </cfRule>
  </conditionalFormatting>
  <conditionalFormatting sqref="R79">
    <cfRule type="cellIs" dxfId="12318" priority="2281" operator="lessThan">
      <formula>0.8</formula>
    </cfRule>
    <cfRule type="cellIs" dxfId="12317" priority="2282" operator="greaterThan">
      <formula>1</formula>
    </cfRule>
  </conditionalFormatting>
  <conditionalFormatting sqref="R79">
    <cfRule type="cellIs" dxfId="12316" priority="2279" operator="greaterThan">
      <formula>1</formula>
    </cfRule>
    <cfRule type="cellIs" dxfId="12315" priority="2280" operator="lessThan">
      <formula>0.8</formula>
    </cfRule>
  </conditionalFormatting>
  <conditionalFormatting sqref="Q79">
    <cfRule type="cellIs" dxfId="12314" priority="2277" operator="lessThan">
      <formula>0</formula>
    </cfRule>
  </conditionalFormatting>
  <conditionalFormatting sqref="R79">
    <cfRule type="cellIs" dxfId="12313" priority="2275" operator="lessThan">
      <formula>0.8</formula>
    </cfRule>
    <cfRule type="cellIs" dxfId="12312" priority="2276" operator="greaterThan">
      <formula>1</formula>
    </cfRule>
  </conditionalFormatting>
  <conditionalFormatting sqref="R79">
    <cfRule type="cellIs" dxfId="12311" priority="2273" operator="greaterThan">
      <formula>1</formula>
    </cfRule>
    <cfRule type="cellIs" dxfId="12310" priority="2274" operator="lessThan">
      <formula>0.8</formula>
    </cfRule>
  </conditionalFormatting>
  <conditionalFormatting sqref="P79">
    <cfRule type="cellIs" dxfId="12309" priority="2272" operator="greaterThan">
      <formula>0</formula>
    </cfRule>
  </conditionalFormatting>
  <conditionalFormatting sqref="P79">
    <cfRule type="cellIs" dxfId="12308" priority="2266" operator="greaterThan">
      <formula>0</formula>
    </cfRule>
  </conditionalFormatting>
  <conditionalFormatting sqref="Q79">
    <cfRule type="cellIs" dxfId="12307" priority="2271" operator="lessThan">
      <formula>0</formula>
    </cfRule>
  </conditionalFormatting>
  <conditionalFormatting sqref="R79">
    <cfRule type="cellIs" dxfId="12306" priority="2269" operator="lessThan">
      <formula>0.8</formula>
    </cfRule>
    <cfRule type="cellIs" dxfId="12305" priority="2270" operator="greaterThan">
      <formula>1</formula>
    </cfRule>
  </conditionalFormatting>
  <conditionalFormatting sqref="R79">
    <cfRule type="cellIs" dxfId="12304" priority="2267" operator="greaterThan">
      <formula>1</formula>
    </cfRule>
    <cfRule type="cellIs" dxfId="12303" priority="2268" operator="lessThan">
      <formula>0.8</formula>
    </cfRule>
  </conditionalFormatting>
  <conditionalFormatting sqref="Q79">
    <cfRule type="cellIs" dxfId="12302" priority="2260" operator="lessThan">
      <formula>0</formula>
    </cfRule>
  </conditionalFormatting>
  <conditionalFormatting sqref="P79">
    <cfRule type="cellIs" dxfId="12301" priority="2261" operator="greaterThan">
      <formula>0</formula>
    </cfRule>
  </conditionalFormatting>
  <conditionalFormatting sqref="R79">
    <cfRule type="cellIs" dxfId="12300" priority="2264" operator="lessThan">
      <formula>0.8</formula>
    </cfRule>
    <cfRule type="cellIs" dxfId="12299" priority="2265" operator="greaterThan">
      <formula>1</formula>
    </cfRule>
  </conditionalFormatting>
  <conditionalFormatting sqref="R79">
    <cfRule type="cellIs" dxfId="12298" priority="2262" operator="greaterThan">
      <formula>1</formula>
    </cfRule>
    <cfRule type="cellIs" dxfId="12297" priority="2263" operator="lessThan">
      <formula>0.8</formula>
    </cfRule>
  </conditionalFormatting>
  <conditionalFormatting sqref="Q79">
    <cfRule type="cellIs" dxfId="12296" priority="2254" operator="lessThan">
      <formula>0</formula>
    </cfRule>
  </conditionalFormatting>
  <conditionalFormatting sqref="R79">
    <cfRule type="cellIs" dxfId="12295" priority="2258" operator="lessThan">
      <formula>0.8</formula>
    </cfRule>
    <cfRule type="cellIs" dxfId="12294" priority="2259" operator="greaterThan">
      <formula>1</formula>
    </cfRule>
  </conditionalFormatting>
  <conditionalFormatting sqref="R79">
    <cfRule type="cellIs" dxfId="12293" priority="2256" operator="greaterThan">
      <formula>1</formula>
    </cfRule>
    <cfRule type="cellIs" dxfId="12292" priority="2257" operator="lessThan">
      <formula>0.8</formula>
    </cfRule>
  </conditionalFormatting>
  <conditionalFormatting sqref="P79">
    <cfRule type="cellIs" dxfId="12291" priority="2255" operator="greaterThan">
      <formula>0</formula>
    </cfRule>
  </conditionalFormatting>
  <conditionalFormatting sqref="Q79">
    <cfRule type="cellIs" dxfId="12290" priority="2253" operator="lessThan">
      <formula>0</formula>
    </cfRule>
  </conditionalFormatting>
  <conditionalFormatting sqref="R79">
    <cfRule type="cellIs" dxfId="12289" priority="2251" operator="lessThan">
      <formula>0.8</formula>
    </cfRule>
    <cfRule type="cellIs" dxfId="12288" priority="2252" operator="greaterThan">
      <formula>1</formula>
    </cfRule>
  </conditionalFormatting>
  <conditionalFormatting sqref="R79">
    <cfRule type="cellIs" dxfId="12287" priority="2249" operator="greaterThan">
      <formula>1</formula>
    </cfRule>
    <cfRule type="cellIs" dxfId="12286" priority="2250" operator="lessThan">
      <formula>0.8</formula>
    </cfRule>
  </conditionalFormatting>
  <conditionalFormatting sqref="P79">
    <cfRule type="cellIs" dxfId="12285" priority="2248" operator="greaterThan">
      <formula>0</formula>
    </cfRule>
  </conditionalFormatting>
  <conditionalFormatting sqref="Q79">
    <cfRule type="cellIs" dxfId="12284" priority="2247" operator="lessThan">
      <formula>0</formula>
    </cfRule>
  </conditionalFormatting>
  <conditionalFormatting sqref="R79">
    <cfRule type="cellIs" dxfId="12283" priority="2245" operator="lessThan">
      <formula>0.8</formula>
    </cfRule>
    <cfRule type="cellIs" dxfId="12282" priority="2246" operator="greaterThan">
      <formula>1</formula>
    </cfRule>
  </conditionalFormatting>
  <conditionalFormatting sqref="R79">
    <cfRule type="cellIs" dxfId="12281" priority="2243" operator="greaterThan">
      <formula>1</formula>
    </cfRule>
    <cfRule type="cellIs" dxfId="12280" priority="2244" operator="lessThan">
      <formula>0.8</formula>
    </cfRule>
  </conditionalFormatting>
  <conditionalFormatting sqref="P79">
    <cfRule type="cellIs" dxfId="12279" priority="2242" operator="greaterThan">
      <formula>0</formula>
    </cfRule>
  </conditionalFormatting>
  <conditionalFormatting sqref="P79">
    <cfRule type="cellIs" dxfId="12278" priority="2236" operator="greaterThan">
      <formula>0</formula>
    </cfRule>
  </conditionalFormatting>
  <conditionalFormatting sqref="Q79">
    <cfRule type="cellIs" dxfId="12277" priority="2241" operator="lessThan">
      <formula>0</formula>
    </cfRule>
  </conditionalFormatting>
  <conditionalFormatting sqref="R79">
    <cfRule type="cellIs" dxfId="12276" priority="2239" operator="lessThan">
      <formula>0.8</formula>
    </cfRule>
    <cfRule type="cellIs" dxfId="12275" priority="2240" operator="greaterThan">
      <formula>1</formula>
    </cfRule>
  </conditionalFormatting>
  <conditionalFormatting sqref="R79">
    <cfRule type="cellIs" dxfId="12274" priority="2237" operator="greaterThan">
      <formula>1</formula>
    </cfRule>
    <cfRule type="cellIs" dxfId="12273" priority="2238" operator="lessThan">
      <formula>0.8</formula>
    </cfRule>
  </conditionalFormatting>
  <conditionalFormatting sqref="P71:P78">
    <cfRule type="cellIs" dxfId="12272" priority="2230" operator="greaterThan">
      <formula>0</formula>
    </cfRule>
  </conditionalFormatting>
  <conditionalFormatting sqref="Q71:Q78">
    <cfRule type="cellIs" dxfId="12271" priority="2235" operator="lessThan">
      <formula>0</formula>
    </cfRule>
  </conditionalFormatting>
  <conditionalFormatting sqref="R71:R78">
    <cfRule type="cellIs" dxfId="12270" priority="2233" operator="lessThan">
      <formula>0.8</formula>
    </cfRule>
    <cfRule type="cellIs" dxfId="12269" priority="2234" operator="greaterThan">
      <formula>1</formula>
    </cfRule>
  </conditionalFormatting>
  <conditionalFormatting sqref="R71:R78">
    <cfRule type="cellIs" dxfId="12268" priority="2231" operator="greaterThan">
      <formula>1</formula>
    </cfRule>
    <cfRule type="cellIs" dxfId="12267" priority="2232" operator="lessThan">
      <formula>0.8</formula>
    </cfRule>
  </conditionalFormatting>
  <conditionalFormatting sqref="Q148:Q153">
    <cfRule type="cellIs" dxfId="12266" priority="2229" operator="lessThan">
      <formula>0</formula>
    </cfRule>
  </conditionalFormatting>
  <conditionalFormatting sqref="R148:R153">
    <cfRule type="cellIs" dxfId="12265" priority="2227" operator="lessThan">
      <formula>0.8</formula>
    </cfRule>
    <cfRule type="cellIs" dxfId="12264" priority="2228" operator="greaterThan">
      <formula>1</formula>
    </cfRule>
  </conditionalFormatting>
  <conditionalFormatting sqref="R148:R153">
    <cfRule type="cellIs" dxfId="12263" priority="2225" operator="greaterThan">
      <formula>1</formula>
    </cfRule>
    <cfRule type="cellIs" dxfId="12262" priority="2226" operator="lessThan">
      <formula>0.8</formula>
    </cfRule>
  </conditionalFormatting>
  <conditionalFormatting sqref="P148:P153">
    <cfRule type="cellIs" dxfId="12261" priority="2224" operator="greaterThan">
      <formula>0</formula>
    </cfRule>
  </conditionalFormatting>
  <conditionalFormatting sqref="Q148:Q153">
    <cfRule type="cellIs" dxfId="12260" priority="2223" operator="lessThan">
      <formula>0</formula>
    </cfRule>
  </conditionalFormatting>
  <conditionalFormatting sqref="R148:R153">
    <cfRule type="cellIs" dxfId="12259" priority="2221" operator="lessThan">
      <formula>0.8</formula>
    </cfRule>
    <cfRule type="cellIs" dxfId="12258" priority="2222" operator="greaterThan">
      <formula>1</formula>
    </cfRule>
  </conditionalFormatting>
  <conditionalFormatting sqref="R148:R153">
    <cfRule type="cellIs" dxfId="12257" priority="2219" operator="greaterThan">
      <formula>1</formula>
    </cfRule>
    <cfRule type="cellIs" dxfId="12256" priority="2220" operator="lessThan">
      <formula>0.8</formula>
    </cfRule>
  </conditionalFormatting>
  <conditionalFormatting sqref="P148:P153">
    <cfRule type="cellIs" dxfId="12255" priority="2218" operator="greaterThan">
      <formula>0</formula>
    </cfRule>
  </conditionalFormatting>
  <conditionalFormatting sqref="Q148:Q153">
    <cfRule type="cellIs" dxfId="12254" priority="2217" operator="lessThan">
      <formula>0</formula>
    </cfRule>
  </conditionalFormatting>
  <conditionalFormatting sqref="R148:R153">
    <cfRule type="cellIs" dxfId="12253" priority="2215" operator="lessThan">
      <formula>0.8</formula>
    </cfRule>
    <cfRule type="cellIs" dxfId="12252" priority="2216" operator="greaterThan">
      <formula>1</formula>
    </cfRule>
  </conditionalFormatting>
  <conditionalFormatting sqref="R148:R153">
    <cfRule type="cellIs" dxfId="12251" priority="2213" operator="greaterThan">
      <formula>1</formula>
    </cfRule>
    <cfRule type="cellIs" dxfId="12250" priority="2214" operator="lessThan">
      <formula>0.8</formula>
    </cfRule>
  </conditionalFormatting>
  <conditionalFormatting sqref="P148:P153">
    <cfRule type="cellIs" dxfId="12249" priority="2212" operator="greaterThan">
      <formula>0</formula>
    </cfRule>
  </conditionalFormatting>
  <conditionalFormatting sqref="Q148:Q153">
    <cfRule type="cellIs" dxfId="12248" priority="2211" operator="lessThan">
      <formula>0</formula>
    </cfRule>
  </conditionalFormatting>
  <conditionalFormatting sqref="R148:R153">
    <cfRule type="cellIs" dxfId="12247" priority="2209" operator="lessThan">
      <formula>0.8</formula>
    </cfRule>
    <cfRule type="cellIs" dxfId="12246" priority="2210" operator="greaterThan">
      <formula>1</formula>
    </cfRule>
  </conditionalFormatting>
  <conditionalFormatting sqref="R148:R153">
    <cfRule type="cellIs" dxfId="12245" priority="2207" operator="greaterThan">
      <formula>1</formula>
    </cfRule>
    <cfRule type="cellIs" dxfId="12244" priority="2208" operator="lessThan">
      <formula>0.8</formula>
    </cfRule>
  </conditionalFormatting>
  <conditionalFormatting sqref="P148:P153">
    <cfRule type="cellIs" dxfId="12243" priority="2206" operator="greaterThan">
      <formula>0</formula>
    </cfRule>
  </conditionalFormatting>
  <conditionalFormatting sqref="P148:P153">
    <cfRule type="cellIs" dxfId="12242" priority="2200" operator="greaterThan">
      <formula>0</formula>
    </cfRule>
  </conditionalFormatting>
  <conditionalFormatting sqref="Q148:Q153">
    <cfRule type="cellIs" dxfId="12241" priority="2205" operator="lessThan">
      <formula>0</formula>
    </cfRule>
  </conditionalFormatting>
  <conditionalFormatting sqref="R148:R153">
    <cfRule type="cellIs" dxfId="12240" priority="2203" operator="lessThan">
      <formula>0.8</formula>
    </cfRule>
    <cfRule type="cellIs" dxfId="12239" priority="2204" operator="greaterThan">
      <formula>1</formula>
    </cfRule>
  </conditionalFormatting>
  <conditionalFormatting sqref="R148:R153">
    <cfRule type="cellIs" dxfId="12238" priority="2201" operator="greaterThan">
      <formula>1</formula>
    </cfRule>
    <cfRule type="cellIs" dxfId="12237" priority="2202" operator="lessThan">
      <formula>0.8</formula>
    </cfRule>
  </conditionalFormatting>
  <conditionalFormatting sqref="P148:P153">
    <cfRule type="cellIs" dxfId="12236" priority="2194" operator="greaterThan">
      <formula>0</formula>
    </cfRule>
  </conditionalFormatting>
  <conditionalFormatting sqref="Q148:Q153">
    <cfRule type="cellIs" dxfId="12235" priority="2199" operator="lessThan">
      <formula>0</formula>
    </cfRule>
  </conditionalFormatting>
  <conditionalFormatting sqref="R148:R153">
    <cfRule type="cellIs" dxfId="12234" priority="2197" operator="lessThan">
      <formula>0.8</formula>
    </cfRule>
    <cfRule type="cellIs" dxfId="12233" priority="2198" operator="greaterThan">
      <formula>1</formula>
    </cfRule>
  </conditionalFormatting>
  <conditionalFormatting sqref="R148:R153">
    <cfRule type="cellIs" dxfId="12232" priority="2195" operator="greaterThan">
      <formula>1</formula>
    </cfRule>
    <cfRule type="cellIs" dxfId="12231" priority="2196" operator="lessThan">
      <formula>0.8</formula>
    </cfRule>
  </conditionalFormatting>
  <conditionalFormatting sqref="R148:R153">
    <cfRule type="cellIs" dxfId="12230" priority="2191" operator="lessThan">
      <formula>0.8</formula>
    </cfRule>
    <cfRule type="cellIs" dxfId="12229" priority="2192" operator="greaterThan">
      <formula>1</formula>
    </cfRule>
  </conditionalFormatting>
  <conditionalFormatting sqref="R148:R153">
    <cfRule type="cellIs" dxfId="12228" priority="2189" operator="greaterThan">
      <formula>1</formula>
    </cfRule>
    <cfRule type="cellIs" dxfId="12227" priority="2190" operator="lessThan">
      <formula>0.8</formula>
    </cfRule>
  </conditionalFormatting>
  <conditionalFormatting sqref="P148:P153">
    <cfRule type="cellIs" dxfId="12226" priority="2188" operator="greaterThan">
      <formula>0</formula>
    </cfRule>
  </conditionalFormatting>
  <conditionalFormatting sqref="Q148:Q153">
    <cfRule type="cellIs" dxfId="12225" priority="2193" operator="lessThan">
      <formula>0</formula>
    </cfRule>
  </conditionalFormatting>
  <conditionalFormatting sqref="Q148:Q153">
    <cfRule type="cellIs" dxfId="12224" priority="2187" operator="lessThan">
      <formula>0</formula>
    </cfRule>
  </conditionalFormatting>
  <conditionalFormatting sqref="R148:R153">
    <cfRule type="cellIs" dxfId="12223" priority="2185" operator="lessThan">
      <formula>0.8</formula>
    </cfRule>
    <cfRule type="cellIs" dxfId="12222" priority="2186" operator="greaterThan">
      <formula>1</formula>
    </cfRule>
  </conditionalFormatting>
  <conditionalFormatting sqref="R148:R153">
    <cfRule type="cellIs" dxfId="12221" priority="2183" operator="greaterThan">
      <formula>1</formula>
    </cfRule>
    <cfRule type="cellIs" dxfId="12220" priority="2184" operator="lessThan">
      <formula>0.8</formula>
    </cfRule>
  </conditionalFormatting>
  <conditionalFormatting sqref="P148:P153">
    <cfRule type="cellIs" dxfId="12219" priority="2182" operator="greaterThan">
      <formula>0</formula>
    </cfRule>
  </conditionalFormatting>
  <conditionalFormatting sqref="P148:P153">
    <cfRule type="cellIs" dxfId="12218" priority="2176" operator="greaterThan">
      <formula>0</formula>
    </cfRule>
  </conditionalFormatting>
  <conditionalFormatting sqref="Q148:Q153">
    <cfRule type="cellIs" dxfId="12217" priority="2181" operator="lessThan">
      <formula>0</formula>
    </cfRule>
  </conditionalFormatting>
  <conditionalFormatting sqref="R148:R153">
    <cfRule type="cellIs" dxfId="12216" priority="2179" operator="lessThan">
      <formula>0.8</formula>
    </cfRule>
    <cfRule type="cellIs" dxfId="12215" priority="2180" operator="greaterThan">
      <formula>1</formula>
    </cfRule>
  </conditionalFormatting>
  <conditionalFormatting sqref="R148:R153">
    <cfRule type="cellIs" dxfId="12214" priority="2177" operator="greaterThan">
      <formula>1</formula>
    </cfRule>
    <cfRule type="cellIs" dxfId="12213" priority="2178" operator="lessThan">
      <formula>0.8</formula>
    </cfRule>
  </conditionalFormatting>
  <conditionalFormatting sqref="P148:P153">
    <cfRule type="cellIs" dxfId="12212" priority="2170" operator="greaterThan">
      <formula>0</formula>
    </cfRule>
  </conditionalFormatting>
  <conditionalFormatting sqref="Q148:Q153">
    <cfRule type="cellIs" dxfId="12211" priority="2175" operator="lessThan">
      <formula>0</formula>
    </cfRule>
  </conditionalFormatting>
  <conditionalFormatting sqref="R148:R153">
    <cfRule type="cellIs" dxfId="12210" priority="2173" operator="lessThan">
      <formula>0.8</formula>
    </cfRule>
    <cfRule type="cellIs" dxfId="12209" priority="2174" operator="greaterThan">
      <formula>1</formula>
    </cfRule>
  </conditionalFormatting>
  <conditionalFormatting sqref="R148:R153">
    <cfRule type="cellIs" dxfId="12208" priority="2171" operator="greaterThan">
      <formula>1</formula>
    </cfRule>
    <cfRule type="cellIs" dxfId="12207" priority="2172" operator="lessThan">
      <formula>0.8</formula>
    </cfRule>
  </conditionalFormatting>
  <conditionalFormatting sqref="R148:R153">
    <cfRule type="cellIs" dxfId="12206" priority="2167" operator="lessThan">
      <formula>0.8</formula>
    </cfRule>
    <cfRule type="cellIs" dxfId="12205" priority="2168" operator="greaterThan">
      <formula>1</formula>
    </cfRule>
  </conditionalFormatting>
  <conditionalFormatting sqref="R148:R153">
    <cfRule type="cellIs" dxfId="12204" priority="2165" operator="greaterThan">
      <formula>1</formula>
    </cfRule>
    <cfRule type="cellIs" dxfId="12203" priority="2166" operator="lessThan">
      <formula>0.8</formula>
    </cfRule>
  </conditionalFormatting>
  <conditionalFormatting sqref="P148:P153">
    <cfRule type="cellIs" dxfId="12202" priority="2164" operator="greaterThan">
      <formula>0</formula>
    </cfRule>
  </conditionalFormatting>
  <conditionalFormatting sqref="Q148:Q153">
    <cfRule type="cellIs" dxfId="12201" priority="2169" operator="lessThan">
      <formula>0</formula>
    </cfRule>
  </conditionalFormatting>
  <conditionalFormatting sqref="P148:P153">
    <cfRule type="cellIs" dxfId="12200" priority="2158" operator="greaterThan">
      <formula>0</formula>
    </cfRule>
  </conditionalFormatting>
  <conditionalFormatting sqref="Q148:Q153">
    <cfRule type="cellIs" dxfId="12199" priority="2163" operator="lessThan">
      <formula>0</formula>
    </cfRule>
  </conditionalFormatting>
  <conditionalFormatting sqref="R148:R153">
    <cfRule type="cellIs" dxfId="12198" priority="2161" operator="lessThan">
      <formula>0.8</formula>
    </cfRule>
    <cfRule type="cellIs" dxfId="12197" priority="2162" operator="greaterThan">
      <formula>1</formula>
    </cfRule>
  </conditionalFormatting>
  <conditionalFormatting sqref="R148:R153">
    <cfRule type="cellIs" dxfId="12196" priority="2159" operator="greaterThan">
      <formula>1</formula>
    </cfRule>
    <cfRule type="cellIs" dxfId="12195" priority="2160" operator="lessThan">
      <formula>0.8</formula>
    </cfRule>
  </conditionalFormatting>
  <conditionalFormatting sqref="R148:R153">
    <cfRule type="cellIs" dxfId="12194" priority="2155" operator="lessThan">
      <formula>0.8</formula>
    </cfRule>
    <cfRule type="cellIs" dxfId="12193" priority="2156" operator="greaterThan">
      <formula>1</formula>
    </cfRule>
  </conditionalFormatting>
  <conditionalFormatting sqref="R148:R153">
    <cfRule type="cellIs" dxfId="12192" priority="2153" operator="greaterThan">
      <formula>1</formula>
    </cfRule>
    <cfRule type="cellIs" dxfId="12191" priority="2154" operator="lessThan">
      <formula>0.8</formula>
    </cfRule>
  </conditionalFormatting>
  <conditionalFormatting sqref="P148:P153">
    <cfRule type="cellIs" dxfId="12190" priority="2152" operator="greaterThan">
      <formula>0</formula>
    </cfRule>
  </conditionalFormatting>
  <conditionalFormatting sqref="Q148:Q153">
    <cfRule type="cellIs" dxfId="12189" priority="2157" operator="lessThan">
      <formula>0</formula>
    </cfRule>
  </conditionalFormatting>
  <conditionalFormatting sqref="R148:R153">
    <cfRule type="cellIs" dxfId="12188" priority="2149" operator="lessThan">
      <formula>0.8</formula>
    </cfRule>
    <cfRule type="cellIs" dxfId="12187" priority="2150" operator="greaterThan">
      <formula>1</formula>
    </cfRule>
  </conditionalFormatting>
  <conditionalFormatting sqref="R148:R153">
    <cfRule type="cellIs" dxfId="12186" priority="2147" operator="greaterThan">
      <formula>1</formula>
    </cfRule>
    <cfRule type="cellIs" dxfId="12185" priority="2148" operator="lessThan">
      <formula>0.8</formula>
    </cfRule>
  </conditionalFormatting>
  <conditionalFormatting sqref="P148:P153">
    <cfRule type="cellIs" dxfId="12184" priority="2146" operator="greaterThan">
      <formula>0</formula>
    </cfRule>
  </conditionalFormatting>
  <conditionalFormatting sqref="Q148:Q153">
    <cfRule type="cellIs" dxfId="12183" priority="2151" operator="lessThan">
      <formula>0</formula>
    </cfRule>
  </conditionalFormatting>
  <conditionalFormatting sqref="Q148:Q153">
    <cfRule type="cellIs" dxfId="12182" priority="2145" operator="lessThan">
      <formula>0</formula>
    </cfRule>
  </conditionalFormatting>
  <conditionalFormatting sqref="R148:R153">
    <cfRule type="cellIs" dxfId="12181" priority="2143" operator="lessThan">
      <formula>0.8</formula>
    </cfRule>
    <cfRule type="cellIs" dxfId="12180" priority="2144" operator="greaterThan">
      <formula>1</formula>
    </cfRule>
  </conditionalFormatting>
  <conditionalFormatting sqref="R148:R153">
    <cfRule type="cellIs" dxfId="12179" priority="2141" operator="greaterThan">
      <formula>1</formula>
    </cfRule>
    <cfRule type="cellIs" dxfId="12178" priority="2142" operator="lessThan">
      <formula>0.8</formula>
    </cfRule>
  </conditionalFormatting>
  <conditionalFormatting sqref="P148:P153">
    <cfRule type="cellIs" dxfId="12177" priority="2140" operator="greaterThan">
      <formula>0</formula>
    </cfRule>
  </conditionalFormatting>
  <conditionalFormatting sqref="Q148:Q153">
    <cfRule type="cellIs" dxfId="12176" priority="2134" operator="lessThan">
      <formula>0</formula>
    </cfRule>
  </conditionalFormatting>
  <conditionalFormatting sqref="R148:R153">
    <cfRule type="cellIs" dxfId="12175" priority="2138" operator="lessThan">
      <formula>0.8</formula>
    </cfRule>
    <cfRule type="cellIs" dxfId="12174" priority="2139" operator="greaterThan">
      <formula>1</formula>
    </cfRule>
  </conditionalFormatting>
  <conditionalFormatting sqref="R148:R153">
    <cfRule type="cellIs" dxfId="12173" priority="2136" operator="greaterThan">
      <formula>1</formula>
    </cfRule>
    <cfRule type="cellIs" dxfId="12172" priority="2137" operator="lessThan">
      <formula>0.8</formula>
    </cfRule>
  </conditionalFormatting>
  <conditionalFormatting sqref="P148:P153">
    <cfRule type="cellIs" dxfId="12171" priority="2135" operator="greaterThan">
      <formula>0</formula>
    </cfRule>
  </conditionalFormatting>
  <conditionalFormatting sqref="Q148:Q153">
    <cfRule type="cellIs" dxfId="12170" priority="2133" operator="lessThan">
      <formula>0</formula>
    </cfRule>
  </conditionalFormatting>
  <conditionalFormatting sqref="R148:R153">
    <cfRule type="cellIs" dxfId="12169" priority="2131" operator="lessThan">
      <formula>0.8</formula>
    </cfRule>
    <cfRule type="cellIs" dxfId="12168" priority="2132" operator="greaterThan">
      <formula>1</formula>
    </cfRule>
  </conditionalFormatting>
  <conditionalFormatting sqref="R148:R153">
    <cfRule type="cellIs" dxfId="12167" priority="2129" operator="greaterThan">
      <formula>1</formula>
    </cfRule>
    <cfRule type="cellIs" dxfId="12166" priority="2130" operator="lessThan">
      <formula>0.8</formula>
    </cfRule>
  </conditionalFormatting>
  <conditionalFormatting sqref="P148:P153">
    <cfRule type="cellIs" dxfId="12165" priority="2128" operator="greaterThan">
      <formula>0</formula>
    </cfRule>
  </conditionalFormatting>
  <conditionalFormatting sqref="Q148:Q153">
    <cfRule type="cellIs" dxfId="12164" priority="2127" operator="lessThan">
      <formula>0</formula>
    </cfRule>
  </conditionalFormatting>
  <conditionalFormatting sqref="R148:R153">
    <cfRule type="cellIs" dxfId="12163" priority="2125" operator="lessThan">
      <formula>0.8</formula>
    </cfRule>
    <cfRule type="cellIs" dxfId="12162" priority="2126" operator="greaterThan">
      <formula>1</formula>
    </cfRule>
  </conditionalFormatting>
  <conditionalFormatting sqref="R148:R153">
    <cfRule type="cellIs" dxfId="12161" priority="2123" operator="greaterThan">
      <formula>1</formula>
    </cfRule>
    <cfRule type="cellIs" dxfId="12160" priority="2124" operator="lessThan">
      <formula>0.8</formula>
    </cfRule>
  </conditionalFormatting>
  <conditionalFormatting sqref="P148:P153">
    <cfRule type="cellIs" dxfId="12159" priority="2122" operator="greaterThan">
      <formula>0</formula>
    </cfRule>
  </conditionalFormatting>
  <conditionalFormatting sqref="Q148:Q153">
    <cfRule type="cellIs" dxfId="12158" priority="2121" operator="lessThan">
      <formula>0</formula>
    </cfRule>
  </conditionalFormatting>
  <conditionalFormatting sqref="R148:R153">
    <cfRule type="cellIs" dxfId="12157" priority="2119" operator="lessThan">
      <formula>0.8</formula>
    </cfRule>
    <cfRule type="cellIs" dxfId="12156" priority="2120" operator="greaterThan">
      <formula>1</formula>
    </cfRule>
  </conditionalFormatting>
  <conditionalFormatting sqref="R148:R153">
    <cfRule type="cellIs" dxfId="12155" priority="2117" operator="greaterThan">
      <formula>1</formula>
    </cfRule>
    <cfRule type="cellIs" dxfId="12154" priority="2118" operator="lessThan">
      <formula>0.8</formula>
    </cfRule>
  </conditionalFormatting>
  <conditionalFormatting sqref="P148:P153">
    <cfRule type="cellIs" dxfId="12153" priority="2116" operator="greaterThan">
      <formula>0</formula>
    </cfRule>
  </conditionalFormatting>
  <conditionalFormatting sqref="Q148:Q153">
    <cfRule type="cellIs" dxfId="12152" priority="2115" operator="lessThan">
      <formula>0</formula>
    </cfRule>
  </conditionalFormatting>
  <conditionalFormatting sqref="R148:R153">
    <cfRule type="cellIs" dxfId="12151" priority="2113" operator="lessThan">
      <formula>0.8</formula>
    </cfRule>
    <cfRule type="cellIs" dxfId="12150" priority="2114" operator="greaterThan">
      <formula>1</formula>
    </cfRule>
  </conditionalFormatting>
  <conditionalFormatting sqref="R148:R153">
    <cfRule type="cellIs" dxfId="12149" priority="2111" operator="greaterThan">
      <formula>1</formula>
    </cfRule>
    <cfRule type="cellIs" dxfId="12148" priority="2112" operator="lessThan">
      <formula>0.8</formula>
    </cfRule>
  </conditionalFormatting>
  <conditionalFormatting sqref="P148:P153">
    <cfRule type="cellIs" dxfId="12147" priority="2110" operator="greaterThan">
      <formula>0</formula>
    </cfRule>
  </conditionalFormatting>
  <conditionalFormatting sqref="Q148:Q153">
    <cfRule type="cellIs" dxfId="12146" priority="2109" operator="lessThan">
      <formula>0</formula>
    </cfRule>
  </conditionalFormatting>
  <conditionalFormatting sqref="R148:R153">
    <cfRule type="cellIs" dxfId="12145" priority="2107" operator="lessThan">
      <formula>0.8</formula>
    </cfRule>
    <cfRule type="cellIs" dxfId="12144" priority="2108" operator="greaterThan">
      <formula>1</formula>
    </cfRule>
  </conditionalFormatting>
  <conditionalFormatting sqref="R148:R153">
    <cfRule type="cellIs" dxfId="12143" priority="2105" operator="greaterThan">
      <formula>1</formula>
    </cfRule>
    <cfRule type="cellIs" dxfId="12142" priority="2106" operator="lessThan">
      <formula>0.8</formula>
    </cfRule>
  </conditionalFormatting>
  <conditionalFormatting sqref="P148:P153">
    <cfRule type="cellIs" dxfId="12141" priority="2104" operator="greaterThan">
      <formula>0</formula>
    </cfRule>
  </conditionalFormatting>
  <conditionalFormatting sqref="P148:P153">
    <cfRule type="cellIs" dxfId="12140" priority="2098" operator="greaterThan">
      <formula>0</formula>
    </cfRule>
  </conditionalFormatting>
  <conditionalFormatting sqref="Q148:Q153">
    <cfRule type="cellIs" dxfId="12139" priority="2103" operator="lessThan">
      <formula>0</formula>
    </cfRule>
  </conditionalFormatting>
  <conditionalFormatting sqref="R148:R153">
    <cfRule type="cellIs" dxfId="12138" priority="2101" operator="lessThan">
      <formula>0.8</formula>
    </cfRule>
    <cfRule type="cellIs" dxfId="12137" priority="2102" operator="greaterThan">
      <formula>1</formula>
    </cfRule>
  </conditionalFormatting>
  <conditionalFormatting sqref="R148:R153">
    <cfRule type="cellIs" dxfId="12136" priority="2099" operator="greaterThan">
      <formula>1</formula>
    </cfRule>
    <cfRule type="cellIs" dxfId="12135" priority="2100" operator="lessThan">
      <formula>0.8</formula>
    </cfRule>
  </conditionalFormatting>
  <conditionalFormatting sqref="P148:P153">
    <cfRule type="cellIs" dxfId="12134" priority="2092" operator="greaterThan">
      <formula>0</formula>
    </cfRule>
  </conditionalFormatting>
  <conditionalFormatting sqref="Q148:Q153">
    <cfRule type="cellIs" dxfId="12133" priority="2097" operator="lessThan">
      <formula>0</formula>
    </cfRule>
  </conditionalFormatting>
  <conditionalFormatting sqref="R148:R153">
    <cfRule type="cellIs" dxfId="12132" priority="2095" operator="lessThan">
      <formula>0.8</formula>
    </cfRule>
    <cfRule type="cellIs" dxfId="12131" priority="2096" operator="greaterThan">
      <formula>1</formula>
    </cfRule>
  </conditionalFormatting>
  <conditionalFormatting sqref="R148:R153">
    <cfRule type="cellIs" dxfId="12130" priority="2093" operator="greaterThan">
      <formula>1</formula>
    </cfRule>
    <cfRule type="cellIs" dxfId="12129" priority="2094" operator="lessThan">
      <formula>0.8</formula>
    </cfRule>
  </conditionalFormatting>
  <conditionalFormatting sqref="R148:R153">
    <cfRule type="cellIs" dxfId="12128" priority="2089" operator="lessThan">
      <formula>0.8</formula>
    </cfRule>
    <cfRule type="cellIs" dxfId="12127" priority="2090" operator="greaterThan">
      <formula>1</formula>
    </cfRule>
  </conditionalFormatting>
  <conditionalFormatting sqref="R148:R153">
    <cfRule type="cellIs" dxfId="12126" priority="2087" operator="greaterThan">
      <formula>1</formula>
    </cfRule>
    <cfRule type="cellIs" dxfId="12125" priority="2088" operator="lessThan">
      <formula>0.8</formula>
    </cfRule>
  </conditionalFormatting>
  <conditionalFormatting sqref="P148:P153">
    <cfRule type="cellIs" dxfId="12124" priority="2086" operator="greaterThan">
      <formula>0</formula>
    </cfRule>
  </conditionalFormatting>
  <conditionalFormatting sqref="Q148:Q153">
    <cfRule type="cellIs" dxfId="12123" priority="2091" operator="lessThan">
      <formula>0</formula>
    </cfRule>
  </conditionalFormatting>
  <conditionalFormatting sqref="Q148:Q153">
    <cfRule type="cellIs" dxfId="12122" priority="2080" operator="lessThan">
      <formula>0</formula>
    </cfRule>
  </conditionalFormatting>
  <conditionalFormatting sqref="P148:P153">
    <cfRule type="cellIs" dxfId="12121" priority="2081" operator="greaterThan">
      <formula>0</formula>
    </cfRule>
  </conditionalFormatting>
  <conditionalFormatting sqref="R148:R153">
    <cfRule type="cellIs" dxfId="12120" priority="2084" operator="lessThan">
      <formula>0.8</formula>
    </cfRule>
    <cfRule type="cellIs" dxfId="12119" priority="2085" operator="greaterThan">
      <formula>1</formula>
    </cfRule>
  </conditionalFormatting>
  <conditionalFormatting sqref="R148:R153">
    <cfRule type="cellIs" dxfId="12118" priority="2082" operator="greaterThan">
      <formula>1</formula>
    </cfRule>
    <cfRule type="cellIs" dxfId="12117" priority="2083" operator="lessThan">
      <formula>0.8</formula>
    </cfRule>
  </conditionalFormatting>
  <conditionalFormatting sqref="Q148:Q153">
    <cfRule type="cellIs" dxfId="12116" priority="2074" operator="lessThan">
      <formula>0</formula>
    </cfRule>
  </conditionalFormatting>
  <conditionalFormatting sqref="R148:R153">
    <cfRule type="cellIs" dxfId="12115" priority="2078" operator="lessThan">
      <formula>0.8</formula>
    </cfRule>
    <cfRule type="cellIs" dxfId="12114" priority="2079" operator="greaterThan">
      <formula>1</formula>
    </cfRule>
  </conditionalFormatting>
  <conditionalFormatting sqref="R148:R153">
    <cfRule type="cellIs" dxfId="12113" priority="2076" operator="greaterThan">
      <formula>1</formula>
    </cfRule>
    <cfRule type="cellIs" dxfId="12112" priority="2077" operator="lessThan">
      <formula>0.8</formula>
    </cfRule>
  </conditionalFormatting>
  <conditionalFormatting sqref="P148:P153">
    <cfRule type="cellIs" dxfId="12111" priority="2075" operator="greaterThan">
      <formula>0</formula>
    </cfRule>
  </conditionalFormatting>
  <conditionalFormatting sqref="Q148:Q153">
    <cfRule type="cellIs" dxfId="12110" priority="2073" operator="lessThan">
      <formula>0</formula>
    </cfRule>
  </conditionalFormatting>
  <conditionalFormatting sqref="R148:R153">
    <cfRule type="cellIs" dxfId="12109" priority="2071" operator="lessThan">
      <formula>0.8</formula>
    </cfRule>
    <cfRule type="cellIs" dxfId="12108" priority="2072" operator="greaterThan">
      <formula>1</formula>
    </cfRule>
  </conditionalFormatting>
  <conditionalFormatting sqref="R148:R153">
    <cfRule type="cellIs" dxfId="12107" priority="2069" operator="greaterThan">
      <formula>1</formula>
    </cfRule>
    <cfRule type="cellIs" dxfId="12106" priority="2070" operator="lessThan">
      <formula>0.8</formula>
    </cfRule>
  </conditionalFormatting>
  <conditionalFormatting sqref="P148:P153">
    <cfRule type="cellIs" dxfId="12105" priority="2068" operator="greaterThan">
      <formula>0</formula>
    </cfRule>
  </conditionalFormatting>
  <conditionalFormatting sqref="Q148:Q153">
    <cfRule type="cellIs" dxfId="12104" priority="2067" operator="lessThan">
      <formula>0</formula>
    </cfRule>
  </conditionalFormatting>
  <conditionalFormatting sqref="R148:R153">
    <cfRule type="cellIs" dxfId="12103" priority="2065" operator="lessThan">
      <formula>0.8</formula>
    </cfRule>
    <cfRule type="cellIs" dxfId="12102" priority="2066" operator="greaterThan">
      <formula>1</formula>
    </cfRule>
  </conditionalFormatting>
  <conditionalFormatting sqref="R148:R153">
    <cfRule type="cellIs" dxfId="12101" priority="2063" operator="greaterThan">
      <formula>1</formula>
    </cfRule>
    <cfRule type="cellIs" dxfId="12100" priority="2064" operator="lessThan">
      <formula>0.8</formula>
    </cfRule>
  </conditionalFormatting>
  <conditionalFormatting sqref="P148:P153">
    <cfRule type="cellIs" dxfId="12099" priority="2062" operator="greaterThan">
      <formula>0</formula>
    </cfRule>
  </conditionalFormatting>
  <conditionalFormatting sqref="Q148:Q153">
    <cfRule type="cellIs" dxfId="12098" priority="2061" operator="lessThan">
      <formula>0</formula>
    </cfRule>
  </conditionalFormatting>
  <conditionalFormatting sqref="R148:R153">
    <cfRule type="cellIs" dxfId="12097" priority="2059" operator="lessThan">
      <formula>0.8</formula>
    </cfRule>
    <cfRule type="cellIs" dxfId="12096" priority="2060" operator="greaterThan">
      <formula>1</formula>
    </cfRule>
  </conditionalFormatting>
  <conditionalFormatting sqref="R148:R153">
    <cfRule type="cellIs" dxfId="12095" priority="2057" operator="greaterThan">
      <formula>1</formula>
    </cfRule>
    <cfRule type="cellIs" dxfId="12094" priority="2058" operator="lessThan">
      <formula>0.8</formula>
    </cfRule>
  </conditionalFormatting>
  <conditionalFormatting sqref="P148:P153">
    <cfRule type="cellIs" dxfId="12093" priority="2056" operator="greaterThan">
      <formula>0</formula>
    </cfRule>
  </conditionalFormatting>
  <conditionalFormatting sqref="Q148:Q153">
    <cfRule type="cellIs" dxfId="12092" priority="2055" operator="lessThan">
      <formula>0</formula>
    </cfRule>
  </conditionalFormatting>
  <conditionalFormatting sqref="R148:R153">
    <cfRule type="cellIs" dxfId="12091" priority="2053" operator="lessThan">
      <formula>0.8</formula>
    </cfRule>
    <cfRule type="cellIs" dxfId="12090" priority="2054" operator="greaterThan">
      <formula>1</formula>
    </cfRule>
  </conditionalFormatting>
  <conditionalFormatting sqref="R148:R153">
    <cfRule type="cellIs" dxfId="12089" priority="2051" operator="greaterThan">
      <formula>1</formula>
    </cfRule>
    <cfRule type="cellIs" dxfId="12088" priority="2052" operator="lessThan">
      <formula>0.8</formula>
    </cfRule>
  </conditionalFormatting>
  <conditionalFormatting sqref="P148:P153">
    <cfRule type="cellIs" dxfId="12087" priority="2050" operator="greaterThan">
      <formula>0</formula>
    </cfRule>
  </conditionalFormatting>
  <conditionalFormatting sqref="Q124 Q131 Q127">
    <cfRule type="cellIs" dxfId="12086" priority="2044" operator="lessThan">
      <formula>0</formula>
    </cfRule>
  </conditionalFormatting>
  <conditionalFormatting sqref="P124 P131 P127">
    <cfRule type="cellIs" dxfId="12085" priority="2045" operator="greaterThan">
      <formula>0</formula>
    </cfRule>
  </conditionalFormatting>
  <conditionalFormatting sqref="R124 R131 R127">
    <cfRule type="cellIs" dxfId="12084" priority="2048" operator="lessThan">
      <formula>0.8</formula>
    </cfRule>
    <cfRule type="cellIs" dxfId="12083" priority="2049" operator="greaterThan">
      <formula>1</formula>
    </cfRule>
  </conditionalFormatting>
  <conditionalFormatting sqref="R124 R131 R127">
    <cfRule type="cellIs" dxfId="12082" priority="2046" operator="greaterThan">
      <formula>1</formula>
    </cfRule>
    <cfRule type="cellIs" dxfId="12081" priority="2047" operator="lessThan">
      <formula>0.8</formula>
    </cfRule>
  </conditionalFormatting>
  <conditionalFormatting sqref="Q124 Q131 Q127">
    <cfRule type="cellIs" dxfId="12080" priority="2038" operator="lessThan">
      <formula>0</formula>
    </cfRule>
  </conditionalFormatting>
  <conditionalFormatting sqref="R124 R131 R127">
    <cfRule type="cellIs" dxfId="12079" priority="2042" operator="lessThan">
      <formula>0.8</formula>
    </cfRule>
    <cfRule type="cellIs" dxfId="12078" priority="2043" operator="greaterThan">
      <formula>1</formula>
    </cfRule>
  </conditionalFormatting>
  <conditionalFormatting sqref="R124 R131 R127">
    <cfRule type="cellIs" dxfId="12077" priority="2040" operator="greaterThan">
      <formula>1</formula>
    </cfRule>
    <cfRule type="cellIs" dxfId="12076" priority="2041" operator="lessThan">
      <formula>0.8</formula>
    </cfRule>
  </conditionalFormatting>
  <conditionalFormatting sqref="P124 P131 P127">
    <cfRule type="cellIs" dxfId="12075" priority="2039" operator="greaterThan">
      <formula>0</formula>
    </cfRule>
  </conditionalFormatting>
  <conditionalFormatting sqref="Q124 Q131 Q127">
    <cfRule type="cellIs" dxfId="12074" priority="2037" operator="lessThan">
      <formula>0</formula>
    </cfRule>
  </conditionalFormatting>
  <conditionalFormatting sqref="R124 R131 R127">
    <cfRule type="cellIs" dxfId="12073" priority="2035" operator="lessThan">
      <formula>0.8</formula>
    </cfRule>
    <cfRule type="cellIs" dxfId="12072" priority="2036" operator="greaterThan">
      <formula>1</formula>
    </cfRule>
  </conditionalFormatting>
  <conditionalFormatting sqref="R124 R131 R127">
    <cfRule type="cellIs" dxfId="12071" priority="2033" operator="greaterThan">
      <formula>1</formula>
    </cfRule>
    <cfRule type="cellIs" dxfId="12070" priority="2034" operator="lessThan">
      <formula>0.8</formula>
    </cfRule>
  </conditionalFormatting>
  <conditionalFormatting sqref="P124 P131 P127">
    <cfRule type="cellIs" dxfId="12069" priority="2032" operator="greaterThan">
      <formula>0</formula>
    </cfRule>
  </conditionalFormatting>
  <conditionalFormatting sqref="Q124 Q131 Q127">
    <cfRule type="cellIs" dxfId="12068" priority="2031" operator="lessThan">
      <formula>0</formula>
    </cfRule>
  </conditionalFormatting>
  <conditionalFormatting sqref="R124 R131 R127">
    <cfRule type="cellIs" dxfId="12067" priority="2029" operator="lessThan">
      <formula>0.8</formula>
    </cfRule>
    <cfRule type="cellIs" dxfId="12066" priority="2030" operator="greaterThan">
      <formula>1</formula>
    </cfRule>
  </conditionalFormatting>
  <conditionalFormatting sqref="R124 R131 R127">
    <cfRule type="cellIs" dxfId="12065" priority="2027" operator="greaterThan">
      <formula>1</formula>
    </cfRule>
    <cfRule type="cellIs" dxfId="12064" priority="2028" operator="lessThan">
      <formula>0.8</formula>
    </cfRule>
  </conditionalFormatting>
  <conditionalFormatting sqref="P124 P131 P127">
    <cfRule type="cellIs" dxfId="12063" priority="2026" operator="greaterThan">
      <formula>0</formula>
    </cfRule>
  </conditionalFormatting>
  <conditionalFormatting sqref="Q124 Q131 Q127">
    <cfRule type="cellIs" dxfId="12062" priority="2025" operator="lessThan">
      <formula>0</formula>
    </cfRule>
  </conditionalFormatting>
  <conditionalFormatting sqref="R124 R131 R127">
    <cfRule type="cellIs" dxfId="12061" priority="2023" operator="lessThan">
      <formula>0.8</formula>
    </cfRule>
    <cfRule type="cellIs" dxfId="12060" priority="2024" operator="greaterThan">
      <formula>1</formula>
    </cfRule>
  </conditionalFormatting>
  <conditionalFormatting sqref="R124 R131 R127">
    <cfRule type="cellIs" dxfId="12059" priority="2021" operator="greaterThan">
      <formula>1</formula>
    </cfRule>
    <cfRule type="cellIs" dxfId="12058" priority="2022" operator="lessThan">
      <formula>0.8</formula>
    </cfRule>
  </conditionalFormatting>
  <conditionalFormatting sqref="P124 P131 P127">
    <cfRule type="cellIs" dxfId="12057" priority="2020" operator="greaterThan">
      <formula>0</formula>
    </cfRule>
  </conditionalFormatting>
  <conditionalFormatting sqref="Q124 Q131 Q127">
    <cfRule type="cellIs" dxfId="12056" priority="2019" operator="lessThan">
      <formula>0</formula>
    </cfRule>
  </conditionalFormatting>
  <conditionalFormatting sqref="R124 R131 R127">
    <cfRule type="cellIs" dxfId="12055" priority="2017" operator="lessThan">
      <formula>0.8</formula>
    </cfRule>
    <cfRule type="cellIs" dxfId="12054" priority="2018" operator="greaterThan">
      <formula>1</formula>
    </cfRule>
  </conditionalFormatting>
  <conditionalFormatting sqref="R124 R131 R127">
    <cfRule type="cellIs" dxfId="12053" priority="2015" operator="greaterThan">
      <formula>1</formula>
    </cfRule>
    <cfRule type="cellIs" dxfId="12052" priority="2016" operator="lessThan">
      <formula>0.8</formula>
    </cfRule>
  </conditionalFormatting>
  <conditionalFormatting sqref="P124 P131 P127">
    <cfRule type="cellIs" dxfId="12051" priority="2014" operator="greaterThan">
      <formula>0</formula>
    </cfRule>
  </conditionalFormatting>
  <conditionalFormatting sqref="Q124 Q131 Q127">
    <cfRule type="cellIs" dxfId="12050" priority="2013" operator="lessThan">
      <formula>0</formula>
    </cfRule>
  </conditionalFormatting>
  <conditionalFormatting sqref="R124 R131 R127">
    <cfRule type="cellIs" dxfId="12049" priority="2011" operator="lessThan">
      <formula>0.8</formula>
    </cfRule>
    <cfRule type="cellIs" dxfId="12048" priority="2012" operator="greaterThan">
      <formula>1</formula>
    </cfRule>
  </conditionalFormatting>
  <conditionalFormatting sqref="R124 R131 R127">
    <cfRule type="cellIs" dxfId="12047" priority="2009" operator="greaterThan">
      <formula>1</formula>
    </cfRule>
    <cfRule type="cellIs" dxfId="12046" priority="2010" operator="lessThan">
      <formula>0.8</formula>
    </cfRule>
  </conditionalFormatting>
  <conditionalFormatting sqref="P124 P131 P127">
    <cfRule type="cellIs" dxfId="12045" priority="2008" operator="greaterThan">
      <formula>0</formula>
    </cfRule>
  </conditionalFormatting>
  <conditionalFormatting sqref="Q124 Q131 Q127">
    <cfRule type="cellIs" dxfId="12044" priority="2007" operator="lessThan">
      <formula>0</formula>
    </cfRule>
  </conditionalFormatting>
  <conditionalFormatting sqref="R124 R131 R127">
    <cfRule type="cellIs" dxfId="12043" priority="2005" operator="lessThan">
      <formula>0.8</formula>
    </cfRule>
    <cfRule type="cellIs" dxfId="12042" priority="2006" operator="greaterThan">
      <formula>1</formula>
    </cfRule>
  </conditionalFormatting>
  <conditionalFormatting sqref="R124 R131 R127">
    <cfRule type="cellIs" dxfId="12041" priority="2003" operator="greaterThan">
      <formula>1</formula>
    </cfRule>
    <cfRule type="cellIs" dxfId="12040" priority="2004" operator="lessThan">
      <formula>0.8</formula>
    </cfRule>
  </conditionalFormatting>
  <conditionalFormatting sqref="P124 P131 P127">
    <cfRule type="cellIs" dxfId="12039" priority="2002" operator="greaterThan">
      <formula>0</formula>
    </cfRule>
  </conditionalFormatting>
  <conditionalFormatting sqref="Q124 Q131 Q127">
    <cfRule type="cellIs" dxfId="12038" priority="2001" operator="lessThan">
      <formula>0</formula>
    </cfRule>
  </conditionalFormatting>
  <conditionalFormatting sqref="R124 R131 R127">
    <cfRule type="cellIs" dxfId="12037" priority="1999" operator="lessThan">
      <formula>0.8</formula>
    </cfRule>
    <cfRule type="cellIs" dxfId="12036" priority="2000" operator="greaterThan">
      <formula>1</formula>
    </cfRule>
  </conditionalFormatting>
  <conditionalFormatting sqref="R124 R131 R127">
    <cfRule type="cellIs" dxfId="12035" priority="1997" operator="greaterThan">
      <formula>1</formula>
    </cfRule>
    <cfRule type="cellIs" dxfId="12034" priority="1998" operator="lessThan">
      <formula>0.8</formula>
    </cfRule>
  </conditionalFormatting>
  <conditionalFormatting sqref="P124 P131 P127">
    <cfRule type="cellIs" dxfId="12033" priority="1996" operator="greaterThan">
      <formula>0</formula>
    </cfRule>
  </conditionalFormatting>
  <conditionalFormatting sqref="P124 P131 P127">
    <cfRule type="cellIs" dxfId="12032" priority="1990" operator="greaterThan">
      <formula>0</formula>
    </cfRule>
  </conditionalFormatting>
  <conditionalFormatting sqref="Q124 Q131 Q127">
    <cfRule type="cellIs" dxfId="12031" priority="1995" operator="lessThan">
      <formula>0</formula>
    </cfRule>
  </conditionalFormatting>
  <conditionalFormatting sqref="R124 R131 R127">
    <cfRule type="cellIs" dxfId="12030" priority="1993" operator="lessThan">
      <formula>0.8</formula>
    </cfRule>
    <cfRule type="cellIs" dxfId="12029" priority="1994" operator="greaterThan">
      <formula>1</formula>
    </cfRule>
  </conditionalFormatting>
  <conditionalFormatting sqref="R124 R131 R127">
    <cfRule type="cellIs" dxfId="12028" priority="1991" operator="greaterThan">
      <formula>1</formula>
    </cfRule>
    <cfRule type="cellIs" dxfId="12027" priority="1992" operator="lessThan">
      <formula>0.8</formula>
    </cfRule>
  </conditionalFormatting>
  <conditionalFormatting sqref="P124 P131 P127">
    <cfRule type="cellIs" dxfId="12026" priority="1984" operator="greaterThan">
      <formula>0</formula>
    </cfRule>
  </conditionalFormatting>
  <conditionalFormatting sqref="Q124 Q131 Q127">
    <cfRule type="cellIs" dxfId="12025" priority="1989" operator="lessThan">
      <formula>0</formula>
    </cfRule>
  </conditionalFormatting>
  <conditionalFormatting sqref="R124 R131 R127">
    <cfRule type="cellIs" dxfId="12024" priority="1987" operator="lessThan">
      <formula>0.8</formula>
    </cfRule>
    <cfRule type="cellIs" dxfId="12023" priority="1988" operator="greaterThan">
      <formula>1</formula>
    </cfRule>
  </conditionalFormatting>
  <conditionalFormatting sqref="R124 R131 R127">
    <cfRule type="cellIs" dxfId="12022" priority="1985" operator="greaterThan">
      <formula>1</formula>
    </cfRule>
    <cfRule type="cellIs" dxfId="12021" priority="1986" operator="lessThan">
      <formula>0.8</formula>
    </cfRule>
  </conditionalFormatting>
  <conditionalFormatting sqref="R124 R131 R127">
    <cfRule type="cellIs" dxfId="12020" priority="1981" operator="lessThan">
      <formula>0.8</formula>
    </cfRule>
    <cfRule type="cellIs" dxfId="12019" priority="1982" operator="greaterThan">
      <formula>1</formula>
    </cfRule>
  </conditionalFormatting>
  <conditionalFormatting sqref="R124 R131 R127">
    <cfRule type="cellIs" dxfId="12018" priority="1979" operator="greaterThan">
      <formula>1</formula>
    </cfRule>
    <cfRule type="cellIs" dxfId="12017" priority="1980" operator="lessThan">
      <formula>0.8</formula>
    </cfRule>
  </conditionalFormatting>
  <conditionalFormatting sqref="P124 P131 P127">
    <cfRule type="cellIs" dxfId="12016" priority="1978" operator="greaterThan">
      <formula>0</formula>
    </cfRule>
  </conditionalFormatting>
  <conditionalFormatting sqref="Q124 Q131 Q127">
    <cfRule type="cellIs" dxfId="12015" priority="1983" operator="lessThan">
      <formula>0</formula>
    </cfRule>
  </conditionalFormatting>
  <conditionalFormatting sqref="Q124 Q131 Q127">
    <cfRule type="cellIs" dxfId="12014" priority="1977" operator="lessThan">
      <formula>0</formula>
    </cfRule>
  </conditionalFormatting>
  <conditionalFormatting sqref="R124 R131 R127">
    <cfRule type="cellIs" dxfId="12013" priority="1975" operator="lessThan">
      <formula>0.8</formula>
    </cfRule>
    <cfRule type="cellIs" dxfId="12012" priority="1976" operator="greaterThan">
      <formula>1</formula>
    </cfRule>
  </conditionalFormatting>
  <conditionalFormatting sqref="R124 R131 R127">
    <cfRule type="cellIs" dxfId="12011" priority="1973" operator="greaterThan">
      <formula>1</formula>
    </cfRule>
    <cfRule type="cellIs" dxfId="12010" priority="1974" operator="lessThan">
      <formula>0.8</formula>
    </cfRule>
  </conditionalFormatting>
  <conditionalFormatting sqref="P124 P131 P127">
    <cfRule type="cellIs" dxfId="12009" priority="1972" operator="greaterThan">
      <formula>0</formula>
    </cfRule>
  </conditionalFormatting>
  <conditionalFormatting sqref="P124 P131 P127">
    <cfRule type="cellIs" dxfId="12008" priority="1966" operator="greaterThan">
      <formula>0</formula>
    </cfRule>
  </conditionalFormatting>
  <conditionalFormatting sqref="Q124 Q131 Q127">
    <cfRule type="cellIs" dxfId="12007" priority="1971" operator="lessThan">
      <formula>0</formula>
    </cfRule>
  </conditionalFormatting>
  <conditionalFormatting sqref="R124 R131 R127">
    <cfRule type="cellIs" dxfId="12006" priority="1969" operator="lessThan">
      <formula>0.8</formula>
    </cfRule>
    <cfRule type="cellIs" dxfId="12005" priority="1970" operator="greaterThan">
      <formula>1</formula>
    </cfRule>
  </conditionalFormatting>
  <conditionalFormatting sqref="R124 R131 R127">
    <cfRule type="cellIs" dxfId="12004" priority="1967" operator="greaterThan">
      <formula>1</formula>
    </cfRule>
    <cfRule type="cellIs" dxfId="12003" priority="1968" operator="lessThan">
      <formula>0.8</formula>
    </cfRule>
  </conditionalFormatting>
  <conditionalFormatting sqref="P124 P131 P127">
    <cfRule type="cellIs" dxfId="12002" priority="1960" operator="greaterThan">
      <formula>0</formula>
    </cfRule>
  </conditionalFormatting>
  <conditionalFormatting sqref="Q124 Q131 Q127">
    <cfRule type="cellIs" dxfId="12001" priority="1965" operator="lessThan">
      <formula>0</formula>
    </cfRule>
  </conditionalFormatting>
  <conditionalFormatting sqref="R124 R131 R127">
    <cfRule type="cellIs" dxfId="12000" priority="1963" operator="lessThan">
      <formula>0.8</formula>
    </cfRule>
    <cfRule type="cellIs" dxfId="11999" priority="1964" operator="greaterThan">
      <formula>1</formula>
    </cfRule>
  </conditionalFormatting>
  <conditionalFormatting sqref="R124 R131 R127">
    <cfRule type="cellIs" dxfId="11998" priority="1961" operator="greaterThan">
      <formula>1</formula>
    </cfRule>
    <cfRule type="cellIs" dxfId="11997" priority="1962" operator="lessThan">
      <formula>0.8</formula>
    </cfRule>
  </conditionalFormatting>
  <conditionalFormatting sqref="R124 R131 R127">
    <cfRule type="cellIs" dxfId="11996" priority="1957" operator="lessThan">
      <formula>0.8</formula>
    </cfRule>
    <cfRule type="cellIs" dxfId="11995" priority="1958" operator="greaterThan">
      <formula>1</formula>
    </cfRule>
  </conditionalFormatting>
  <conditionalFormatting sqref="R124 R131 R127">
    <cfRule type="cellIs" dxfId="11994" priority="1955" operator="greaterThan">
      <formula>1</formula>
    </cfRule>
    <cfRule type="cellIs" dxfId="11993" priority="1956" operator="lessThan">
      <formula>0.8</formula>
    </cfRule>
  </conditionalFormatting>
  <conditionalFormatting sqref="P124 P131 P127">
    <cfRule type="cellIs" dxfId="11992" priority="1954" operator="greaterThan">
      <formula>0</formula>
    </cfRule>
  </conditionalFormatting>
  <conditionalFormatting sqref="Q124 Q131 Q127">
    <cfRule type="cellIs" dxfId="11991" priority="1959" operator="lessThan">
      <formula>0</formula>
    </cfRule>
  </conditionalFormatting>
  <conditionalFormatting sqref="P124 P131 P127">
    <cfRule type="cellIs" dxfId="11990" priority="1948" operator="greaterThan">
      <formula>0</formula>
    </cfRule>
  </conditionalFormatting>
  <conditionalFormatting sqref="Q124 Q131 Q127">
    <cfRule type="cellIs" dxfId="11989" priority="1953" operator="lessThan">
      <formula>0</formula>
    </cfRule>
  </conditionalFormatting>
  <conditionalFormatting sqref="R124 R131 R127">
    <cfRule type="cellIs" dxfId="11988" priority="1951" operator="lessThan">
      <formula>0.8</formula>
    </cfRule>
    <cfRule type="cellIs" dxfId="11987" priority="1952" operator="greaterThan">
      <formula>1</formula>
    </cfRule>
  </conditionalFormatting>
  <conditionalFormatting sqref="R124 R131 R127">
    <cfRule type="cellIs" dxfId="11986" priority="1949" operator="greaterThan">
      <formula>1</formula>
    </cfRule>
    <cfRule type="cellIs" dxfId="11985" priority="1950" operator="lessThan">
      <formula>0.8</formula>
    </cfRule>
  </conditionalFormatting>
  <conditionalFormatting sqref="R124 R131 R127">
    <cfRule type="cellIs" dxfId="11984" priority="1945" operator="lessThan">
      <formula>0.8</formula>
    </cfRule>
    <cfRule type="cellIs" dxfId="11983" priority="1946" operator="greaterThan">
      <formula>1</formula>
    </cfRule>
  </conditionalFormatting>
  <conditionalFormatting sqref="R124 R131 R127">
    <cfRule type="cellIs" dxfId="11982" priority="1943" operator="greaterThan">
      <formula>1</formula>
    </cfRule>
    <cfRule type="cellIs" dxfId="11981" priority="1944" operator="lessThan">
      <formula>0.8</formula>
    </cfRule>
  </conditionalFormatting>
  <conditionalFormatting sqref="P124 P131 P127">
    <cfRule type="cellIs" dxfId="11980" priority="1942" operator="greaterThan">
      <formula>0</formula>
    </cfRule>
  </conditionalFormatting>
  <conditionalFormatting sqref="Q124 Q131 Q127">
    <cfRule type="cellIs" dxfId="11979" priority="1947" operator="lessThan">
      <formula>0</formula>
    </cfRule>
  </conditionalFormatting>
  <conditionalFormatting sqref="R124 R131 R127">
    <cfRule type="cellIs" dxfId="11978" priority="1939" operator="lessThan">
      <formula>0.8</formula>
    </cfRule>
    <cfRule type="cellIs" dxfId="11977" priority="1940" operator="greaterThan">
      <formula>1</formula>
    </cfRule>
  </conditionalFormatting>
  <conditionalFormatting sqref="R124 R131 R127">
    <cfRule type="cellIs" dxfId="11976" priority="1937" operator="greaterThan">
      <formula>1</formula>
    </cfRule>
    <cfRule type="cellIs" dxfId="11975" priority="1938" operator="lessThan">
      <formula>0.8</formula>
    </cfRule>
  </conditionalFormatting>
  <conditionalFormatting sqref="P124 P131 P127">
    <cfRule type="cellIs" dxfId="11974" priority="1936" operator="greaterThan">
      <formula>0</formula>
    </cfRule>
  </conditionalFormatting>
  <conditionalFormatting sqref="Q124 Q131 Q127">
    <cfRule type="cellIs" dxfId="11973" priority="1941" operator="lessThan">
      <formula>0</formula>
    </cfRule>
  </conditionalFormatting>
  <conditionalFormatting sqref="Q124 Q131 Q127">
    <cfRule type="cellIs" dxfId="11972" priority="1935" operator="lessThan">
      <formula>0</formula>
    </cfRule>
  </conditionalFormatting>
  <conditionalFormatting sqref="R124 R131 R127">
    <cfRule type="cellIs" dxfId="11971" priority="1933" operator="lessThan">
      <formula>0.8</formula>
    </cfRule>
    <cfRule type="cellIs" dxfId="11970" priority="1934" operator="greaterThan">
      <formula>1</formula>
    </cfRule>
  </conditionalFormatting>
  <conditionalFormatting sqref="R124 R131 R127">
    <cfRule type="cellIs" dxfId="11969" priority="1931" operator="greaterThan">
      <formula>1</formula>
    </cfRule>
    <cfRule type="cellIs" dxfId="11968" priority="1932" operator="lessThan">
      <formula>0.8</formula>
    </cfRule>
  </conditionalFormatting>
  <conditionalFormatting sqref="P124 P131 P127">
    <cfRule type="cellIs" dxfId="11967" priority="1930" operator="greaterThan">
      <formula>0</formula>
    </cfRule>
  </conditionalFormatting>
  <conditionalFormatting sqref="Q124 Q131 Q127">
    <cfRule type="cellIs" dxfId="11966" priority="1924" operator="lessThan">
      <formula>0</formula>
    </cfRule>
  </conditionalFormatting>
  <conditionalFormatting sqref="R124 R131 R127">
    <cfRule type="cellIs" dxfId="11965" priority="1928" operator="lessThan">
      <formula>0.8</formula>
    </cfRule>
    <cfRule type="cellIs" dxfId="11964" priority="1929" operator="greaterThan">
      <formula>1</formula>
    </cfRule>
  </conditionalFormatting>
  <conditionalFormatting sqref="R124 R131 R127">
    <cfRule type="cellIs" dxfId="11963" priority="1926" operator="greaterThan">
      <formula>1</formula>
    </cfRule>
    <cfRule type="cellIs" dxfId="11962" priority="1927" operator="lessThan">
      <formula>0.8</formula>
    </cfRule>
  </conditionalFormatting>
  <conditionalFormatting sqref="P124 P131 P127">
    <cfRule type="cellIs" dxfId="11961" priority="1925" operator="greaterThan">
      <formula>0</formula>
    </cfRule>
  </conditionalFormatting>
  <conditionalFormatting sqref="Q124 Q131 Q127">
    <cfRule type="cellIs" dxfId="11960" priority="1923" operator="lessThan">
      <formula>0</formula>
    </cfRule>
  </conditionalFormatting>
  <conditionalFormatting sqref="R124 R131 R127">
    <cfRule type="cellIs" dxfId="11959" priority="1921" operator="lessThan">
      <formula>0.8</formula>
    </cfRule>
    <cfRule type="cellIs" dxfId="11958" priority="1922" operator="greaterThan">
      <formula>1</formula>
    </cfRule>
  </conditionalFormatting>
  <conditionalFormatting sqref="R124 R131 R127">
    <cfRule type="cellIs" dxfId="11957" priority="1919" operator="greaterThan">
      <formula>1</formula>
    </cfRule>
    <cfRule type="cellIs" dxfId="11956" priority="1920" operator="lessThan">
      <formula>0.8</formula>
    </cfRule>
  </conditionalFormatting>
  <conditionalFormatting sqref="P124 P131 P127">
    <cfRule type="cellIs" dxfId="11955" priority="1918" operator="greaterThan">
      <formula>0</formula>
    </cfRule>
  </conditionalFormatting>
  <conditionalFormatting sqref="Q124 Q131 Q127">
    <cfRule type="cellIs" dxfId="11954" priority="1917" operator="lessThan">
      <formula>0</formula>
    </cfRule>
  </conditionalFormatting>
  <conditionalFormatting sqref="R124 R131 R127">
    <cfRule type="cellIs" dxfId="11953" priority="1915" operator="lessThan">
      <formula>0.8</formula>
    </cfRule>
    <cfRule type="cellIs" dxfId="11952" priority="1916" operator="greaterThan">
      <formula>1</formula>
    </cfRule>
  </conditionalFormatting>
  <conditionalFormatting sqref="R124 R131 R127">
    <cfRule type="cellIs" dxfId="11951" priority="1913" operator="greaterThan">
      <formula>1</formula>
    </cfRule>
    <cfRule type="cellIs" dxfId="11950" priority="1914" operator="lessThan">
      <formula>0.8</formula>
    </cfRule>
  </conditionalFormatting>
  <conditionalFormatting sqref="P124 P131 P127">
    <cfRule type="cellIs" dxfId="11949" priority="1912" operator="greaterThan">
      <formula>0</formula>
    </cfRule>
  </conditionalFormatting>
  <conditionalFormatting sqref="Q124 Q131 Q127">
    <cfRule type="cellIs" dxfId="11948" priority="1911" operator="lessThan">
      <formula>0</formula>
    </cfRule>
  </conditionalFormatting>
  <conditionalFormatting sqref="R124 R131 R127">
    <cfRule type="cellIs" dxfId="11947" priority="1909" operator="lessThan">
      <formula>0.8</formula>
    </cfRule>
    <cfRule type="cellIs" dxfId="11946" priority="1910" operator="greaterThan">
      <formula>1</formula>
    </cfRule>
  </conditionalFormatting>
  <conditionalFormatting sqref="R124 R131 R127">
    <cfRule type="cellIs" dxfId="11945" priority="1907" operator="greaterThan">
      <formula>1</formula>
    </cfRule>
    <cfRule type="cellIs" dxfId="11944" priority="1908" operator="lessThan">
      <formula>0.8</formula>
    </cfRule>
  </conditionalFormatting>
  <conditionalFormatting sqref="P124 P131 P127">
    <cfRule type="cellIs" dxfId="11943" priority="1906" operator="greaterThan">
      <formula>0</formula>
    </cfRule>
  </conditionalFormatting>
  <conditionalFormatting sqref="Q124 Q131 Q127">
    <cfRule type="cellIs" dxfId="11942" priority="1905" operator="lessThan">
      <formula>0</formula>
    </cfRule>
  </conditionalFormatting>
  <conditionalFormatting sqref="R124 R131 R127">
    <cfRule type="cellIs" dxfId="11941" priority="1903" operator="lessThan">
      <formula>0.8</formula>
    </cfRule>
    <cfRule type="cellIs" dxfId="11940" priority="1904" operator="greaterThan">
      <formula>1</formula>
    </cfRule>
  </conditionalFormatting>
  <conditionalFormatting sqref="R124 R131 R127">
    <cfRule type="cellIs" dxfId="11939" priority="1901" operator="greaterThan">
      <formula>1</formula>
    </cfRule>
    <cfRule type="cellIs" dxfId="11938" priority="1902" operator="lessThan">
      <formula>0.8</formula>
    </cfRule>
  </conditionalFormatting>
  <conditionalFormatting sqref="P124 P131 P127">
    <cfRule type="cellIs" dxfId="11937" priority="1900" operator="greaterThan">
      <formula>0</formula>
    </cfRule>
  </conditionalFormatting>
  <conditionalFormatting sqref="Q124 Q131 Q127">
    <cfRule type="cellIs" dxfId="11936" priority="1899" operator="lessThan">
      <formula>0</formula>
    </cfRule>
  </conditionalFormatting>
  <conditionalFormatting sqref="R124 R131 R127">
    <cfRule type="cellIs" dxfId="11935" priority="1897" operator="lessThan">
      <formula>0.8</formula>
    </cfRule>
    <cfRule type="cellIs" dxfId="11934" priority="1898" operator="greaterThan">
      <formula>1</formula>
    </cfRule>
  </conditionalFormatting>
  <conditionalFormatting sqref="R124 R131 R127">
    <cfRule type="cellIs" dxfId="11933" priority="1895" operator="greaterThan">
      <formula>1</formula>
    </cfRule>
    <cfRule type="cellIs" dxfId="11932" priority="1896" operator="lessThan">
      <formula>0.8</formula>
    </cfRule>
  </conditionalFormatting>
  <conditionalFormatting sqref="P124 P131 P127">
    <cfRule type="cellIs" dxfId="11931" priority="1894" operator="greaterThan">
      <formula>0</formula>
    </cfRule>
  </conditionalFormatting>
  <conditionalFormatting sqref="P124 P131 P127">
    <cfRule type="cellIs" dxfId="11930" priority="1888" operator="greaterThan">
      <formula>0</formula>
    </cfRule>
  </conditionalFormatting>
  <conditionalFormatting sqref="Q124 Q131 Q127">
    <cfRule type="cellIs" dxfId="11929" priority="1893" operator="lessThan">
      <formula>0</formula>
    </cfRule>
  </conditionalFormatting>
  <conditionalFormatting sqref="R124 R131 R127">
    <cfRule type="cellIs" dxfId="11928" priority="1891" operator="lessThan">
      <formula>0.8</formula>
    </cfRule>
    <cfRule type="cellIs" dxfId="11927" priority="1892" operator="greaterThan">
      <formula>1</formula>
    </cfRule>
  </conditionalFormatting>
  <conditionalFormatting sqref="R124 R131 R127">
    <cfRule type="cellIs" dxfId="11926" priority="1889" operator="greaterThan">
      <formula>1</formula>
    </cfRule>
    <cfRule type="cellIs" dxfId="11925" priority="1890" operator="lessThan">
      <formula>0.8</formula>
    </cfRule>
  </conditionalFormatting>
  <conditionalFormatting sqref="P124 P131 P127">
    <cfRule type="cellIs" dxfId="11924" priority="1882" operator="greaterThan">
      <formula>0</formula>
    </cfRule>
  </conditionalFormatting>
  <conditionalFormatting sqref="Q124 Q131 Q127">
    <cfRule type="cellIs" dxfId="11923" priority="1887" operator="lessThan">
      <formula>0</formula>
    </cfRule>
  </conditionalFormatting>
  <conditionalFormatting sqref="R124 R131 R127">
    <cfRule type="cellIs" dxfId="11922" priority="1885" operator="lessThan">
      <formula>0.8</formula>
    </cfRule>
    <cfRule type="cellIs" dxfId="11921" priority="1886" operator="greaterThan">
      <formula>1</formula>
    </cfRule>
  </conditionalFormatting>
  <conditionalFormatting sqref="R124 R131 R127">
    <cfRule type="cellIs" dxfId="11920" priority="1883" operator="greaterThan">
      <formula>1</formula>
    </cfRule>
    <cfRule type="cellIs" dxfId="11919" priority="1884" operator="lessThan">
      <formula>0.8</formula>
    </cfRule>
  </conditionalFormatting>
  <conditionalFormatting sqref="R124 R131 R127">
    <cfRule type="cellIs" dxfId="11918" priority="1879" operator="lessThan">
      <formula>0.8</formula>
    </cfRule>
    <cfRule type="cellIs" dxfId="11917" priority="1880" operator="greaterThan">
      <formula>1</formula>
    </cfRule>
  </conditionalFormatting>
  <conditionalFormatting sqref="R124 R131 R127">
    <cfRule type="cellIs" dxfId="11916" priority="1877" operator="greaterThan">
      <formula>1</formula>
    </cfRule>
    <cfRule type="cellIs" dxfId="11915" priority="1878" operator="lessThan">
      <formula>0.8</formula>
    </cfRule>
  </conditionalFormatting>
  <conditionalFormatting sqref="P124 P131 P127">
    <cfRule type="cellIs" dxfId="11914" priority="1876" operator="greaterThan">
      <formula>0</formula>
    </cfRule>
  </conditionalFormatting>
  <conditionalFormatting sqref="Q124 Q131 Q127">
    <cfRule type="cellIs" dxfId="11913" priority="1881" operator="lessThan">
      <formula>0</formula>
    </cfRule>
  </conditionalFormatting>
  <conditionalFormatting sqref="Q5:Q14">
    <cfRule type="cellIs" dxfId="11912" priority="1875" operator="lessThan">
      <formula>0</formula>
    </cfRule>
  </conditionalFormatting>
  <conditionalFormatting sqref="R5:R14">
    <cfRule type="cellIs" dxfId="11911" priority="1873" operator="lessThan">
      <formula>0.8</formula>
    </cfRule>
    <cfRule type="cellIs" dxfId="11910" priority="1874" operator="greaterThan">
      <formula>1</formula>
    </cfRule>
  </conditionalFormatting>
  <conditionalFormatting sqref="R5:R14">
    <cfRule type="cellIs" dxfId="11909" priority="1871" operator="greaterThan">
      <formula>1</formula>
    </cfRule>
    <cfRule type="cellIs" dxfId="11908" priority="1872" operator="lessThan">
      <formula>0.8</formula>
    </cfRule>
  </conditionalFormatting>
  <conditionalFormatting sqref="P5:P14">
    <cfRule type="cellIs" dxfId="11907" priority="1870" operator="greaterThan">
      <formula>0</formula>
    </cfRule>
  </conditionalFormatting>
  <conditionalFormatting sqref="Q83">
    <cfRule type="cellIs" dxfId="11906" priority="1869" operator="lessThan">
      <formula>0</formula>
    </cfRule>
  </conditionalFormatting>
  <conditionalFormatting sqref="R83">
    <cfRule type="cellIs" dxfId="11905" priority="1867" operator="lessThan">
      <formula>0.8</formula>
    </cfRule>
    <cfRule type="cellIs" dxfId="11904" priority="1868" operator="greaterThan">
      <formula>1</formula>
    </cfRule>
  </conditionalFormatting>
  <conditionalFormatting sqref="R83">
    <cfRule type="cellIs" dxfId="11903" priority="1865" operator="greaterThan">
      <formula>1</formula>
    </cfRule>
    <cfRule type="cellIs" dxfId="11902" priority="1866" operator="lessThan">
      <formula>0.8</formula>
    </cfRule>
  </conditionalFormatting>
  <conditionalFormatting sqref="P83">
    <cfRule type="cellIs" dxfId="11901" priority="1864" operator="greaterThan">
      <formula>0</formula>
    </cfRule>
  </conditionalFormatting>
  <conditionalFormatting sqref="Q83">
    <cfRule type="cellIs" dxfId="11900" priority="1863" operator="lessThan">
      <formula>0</formula>
    </cfRule>
  </conditionalFormatting>
  <conditionalFormatting sqref="R83">
    <cfRule type="cellIs" dxfId="11899" priority="1861" operator="lessThan">
      <formula>0.8</formula>
    </cfRule>
    <cfRule type="cellIs" dxfId="11898" priority="1862" operator="greaterThan">
      <formula>1</formula>
    </cfRule>
  </conditionalFormatting>
  <conditionalFormatting sqref="R83">
    <cfRule type="cellIs" dxfId="11897" priority="1859" operator="greaterThan">
      <formula>1</formula>
    </cfRule>
    <cfRule type="cellIs" dxfId="11896" priority="1860" operator="lessThan">
      <formula>0.8</formula>
    </cfRule>
  </conditionalFormatting>
  <conditionalFormatting sqref="P83">
    <cfRule type="cellIs" dxfId="11895" priority="1858" operator="greaterThan">
      <formula>0</formula>
    </cfRule>
  </conditionalFormatting>
  <conditionalFormatting sqref="Q83">
    <cfRule type="cellIs" dxfId="11894" priority="1857" operator="lessThan">
      <formula>0</formula>
    </cfRule>
  </conditionalFormatting>
  <conditionalFormatting sqref="R83">
    <cfRule type="cellIs" dxfId="11893" priority="1855" operator="lessThan">
      <formula>0.8</formula>
    </cfRule>
    <cfRule type="cellIs" dxfId="11892" priority="1856" operator="greaterThan">
      <formula>1</formula>
    </cfRule>
  </conditionalFormatting>
  <conditionalFormatting sqref="R83">
    <cfRule type="cellIs" dxfId="11891" priority="1853" operator="greaterThan">
      <formula>1</formula>
    </cfRule>
    <cfRule type="cellIs" dxfId="11890" priority="1854" operator="lessThan">
      <formula>0.8</formula>
    </cfRule>
  </conditionalFormatting>
  <conditionalFormatting sqref="P83">
    <cfRule type="cellIs" dxfId="11889" priority="1852" operator="greaterThan">
      <formula>0</formula>
    </cfRule>
  </conditionalFormatting>
  <conditionalFormatting sqref="Q83">
    <cfRule type="cellIs" dxfId="11888" priority="1851" operator="lessThan">
      <formula>0</formula>
    </cfRule>
  </conditionalFormatting>
  <conditionalFormatting sqref="R83">
    <cfRule type="cellIs" dxfId="11887" priority="1849" operator="lessThan">
      <formula>0.8</formula>
    </cfRule>
    <cfRule type="cellIs" dxfId="11886" priority="1850" operator="greaterThan">
      <formula>1</formula>
    </cfRule>
  </conditionalFormatting>
  <conditionalFormatting sqref="R83">
    <cfRule type="cellIs" dxfId="11885" priority="1847" operator="greaterThan">
      <formula>1</formula>
    </cfRule>
    <cfRule type="cellIs" dxfId="11884" priority="1848" operator="lessThan">
      <formula>0.8</formula>
    </cfRule>
  </conditionalFormatting>
  <conditionalFormatting sqref="P83">
    <cfRule type="cellIs" dxfId="11883" priority="1846" operator="greaterThan">
      <formula>0</formula>
    </cfRule>
  </conditionalFormatting>
  <conditionalFormatting sqref="P83">
    <cfRule type="cellIs" dxfId="11882" priority="1840" operator="greaterThan">
      <formula>0</formula>
    </cfRule>
  </conditionalFormatting>
  <conditionalFormatting sqref="Q83">
    <cfRule type="cellIs" dxfId="11881" priority="1845" operator="lessThan">
      <formula>0</formula>
    </cfRule>
  </conditionalFormatting>
  <conditionalFormatting sqref="R83">
    <cfRule type="cellIs" dxfId="11880" priority="1843" operator="lessThan">
      <formula>0.8</formula>
    </cfRule>
    <cfRule type="cellIs" dxfId="11879" priority="1844" operator="greaterThan">
      <formula>1</formula>
    </cfRule>
  </conditionalFormatting>
  <conditionalFormatting sqref="R83">
    <cfRule type="cellIs" dxfId="11878" priority="1841" operator="greaterThan">
      <formula>1</formula>
    </cfRule>
    <cfRule type="cellIs" dxfId="11877" priority="1842" operator="lessThan">
      <formula>0.8</formula>
    </cfRule>
  </conditionalFormatting>
  <conditionalFormatting sqref="P83">
    <cfRule type="cellIs" dxfId="11876" priority="1834" operator="greaterThan">
      <formula>0</formula>
    </cfRule>
  </conditionalFormatting>
  <conditionalFormatting sqref="Q83">
    <cfRule type="cellIs" dxfId="11875" priority="1839" operator="lessThan">
      <formula>0</formula>
    </cfRule>
  </conditionalFormatting>
  <conditionalFormatting sqref="R83">
    <cfRule type="cellIs" dxfId="11874" priority="1837" operator="lessThan">
      <formula>0.8</formula>
    </cfRule>
    <cfRule type="cellIs" dxfId="11873" priority="1838" operator="greaterThan">
      <formula>1</formula>
    </cfRule>
  </conditionalFormatting>
  <conditionalFormatting sqref="R83">
    <cfRule type="cellIs" dxfId="11872" priority="1835" operator="greaterThan">
      <formula>1</formula>
    </cfRule>
    <cfRule type="cellIs" dxfId="11871" priority="1836" operator="lessThan">
      <formula>0.8</formula>
    </cfRule>
  </conditionalFormatting>
  <conditionalFormatting sqref="R83">
    <cfRule type="cellIs" dxfId="11870" priority="1831" operator="lessThan">
      <formula>0.8</formula>
    </cfRule>
    <cfRule type="cellIs" dxfId="11869" priority="1832" operator="greaterThan">
      <formula>1</formula>
    </cfRule>
  </conditionalFormatting>
  <conditionalFormatting sqref="R83">
    <cfRule type="cellIs" dxfId="11868" priority="1829" operator="greaterThan">
      <formula>1</formula>
    </cfRule>
    <cfRule type="cellIs" dxfId="11867" priority="1830" operator="lessThan">
      <formula>0.8</formula>
    </cfRule>
  </conditionalFormatting>
  <conditionalFormatting sqref="P83">
    <cfRule type="cellIs" dxfId="11866" priority="1828" operator="greaterThan">
      <formula>0</formula>
    </cfRule>
  </conditionalFormatting>
  <conditionalFormatting sqref="Q83">
    <cfRule type="cellIs" dxfId="11865" priority="1833" operator="lessThan">
      <formula>0</formula>
    </cfRule>
  </conditionalFormatting>
  <conditionalFormatting sqref="Q83">
    <cfRule type="cellIs" dxfId="11864" priority="1827" operator="lessThan">
      <formula>0</formula>
    </cfRule>
  </conditionalFormatting>
  <conditionalFormatting sqref="R83">
    <cfRule type="cellIs" dxfId="11863" priority="1825" operator="lessThan">
      <formula>0.8</formula>
    </cfRule>
    <cfRule type="cellIs" dxfId="11862" priority="1826" operator="greaterThan">
      <formula>1</formula>
    </cfRule>
  </conditionalFormatting>
  <conditionalFormatting sqref="R83">
    <cfRule type="cellIs" dxfId="11861" priority="1823" operator="greaterThan">
      <formula>1</formula>
    </cfRule>
    <cfRule type="cellIs" dxfId="11860" priority="1824" operator="lessThan">
      <formula>0.8</formula>
    </cfRule>
  </conditionalFormatting>
  <conditionalFormatting sqref="P83">
    <cfRule type="cellIs" dxfId="11859" priority="1822" operator="greaterThan">
      <formula>0</formula>
    </cfRule>
  </conditionalFormatting>
  <conditionalFormatting sqref="P83">
    <cfRule type="cellIs" dxfId="11858" priority="1816" operator="greaterThan">
      <formula>0</formula>
    </cfRule>
  </conditionalFormatting>
  <conditionalFormatting sqref="Q83">
    <cfRule type="cellIs" dxfId="11857" priority="1821" operator="lessThan">
      <formula>0</formula>
    </cfRule>
  </conditionalFormatting>
  <conditionalFormatting sqref="R83">
    <cfRule type="cellIs" dxfId="11856" priority="1819" operator="lessThan">
      <formula>0.8</formula>
    </cfRule>
    <cfRule type="cellIs" dxfId="11855" priority="1820" operator="greaterThan">
      <formula>1</formula>
    </cfRule>
  </conditionalFormatting>
  <conditionalFormatting sqref="R83">
    <cfRule type="cellIs" dxfId="11854" priority="1817" operator="greaterThan">
      <formula>1</formula>
    </cfRule>
    <cfRule type="cellIs" dxfId="11853" priority="1818" operator="lessThan">
      <formula>0.8</formula>
    </cfRule>
  </conditionalFormatting>
  <conditionalFormatting sqref="P83">
    <cfRule type="cellIs" dxfId="11852" priority="1810" operator="greaterThan">
      <formula>0</formula>
    </cfRule>
  </conditionalFormatting>
  <conditionalFormatting sqref="Q83">
    <cfRule type="cellIs" dxfId="11851" priority="1815" operator="lessThan">
      <formula>0</formula>
    </cfRule>
  </conditionalFormatting>
  <conditionalFormatting sqref="R83">
    <cfRule type="cellIs" dxfId="11850" priority="1813" operator="lessThan">
      <formula>0.8</formula>
    </cfRule>
    <cfRule type="cellIs" dxfId="11849" priority="1814" operator="greaterThan">
      <formula>1</formula>
    </cfRule>
  </conditionalFormatting>
  <conditionalFormatting sqref="R83">
    <cfRule type="cellIs" dxfId="11848" priority="1811" operator="greaterThan">
      <formula>1</formula>
    </cfRule>
    <cfRule type="cellIs" dxfId="11847" priority="1812" operator="lessThan">
      <formula>0.8</formula>
    </cfRule>
  </conditionalFormatting>
  <conditionalFormatting sqref="R83">
    <cfRule type="cellIs" dxfId="11846" priority="1807" operator="lessThan">
      <formula>0.8</formula>
    </cfRule>
    <cfRule type="cellIs" dxfId="11845" priority="1808" operator="greaterThan">
      <formula>1</formula>
    </cfRule>
  </conditionalFormatting>
  <conditionalFormatting sqref="R83">
    <cfRule type="cellIs" dxfId="11844" priority="1805" operator="greaterThan">
      <formula>1</formula>
    </cfRule>
    <cfRule type="cellIs" dxfId="11843" priority="1806" operator="lessThan">
      <formula>0.8</formula>
    </cfRule>
  </conditionalFormatting>
  <conditionalFormatting sqref="P83">
    <cfRule type="cellIs" dxfId="11842" priority="1804" operator="greaterThan">
      <formula>0</formula>
    </cfRule>
  </conditionalFormatting>
  <conditionalFormatting sqref="Q83">
    <cfRule type="cellIs" dxfId="11841" priority="1809" operator="lessThan">
      <formula>0</formula>
    </cfRule>
  </conditionalFormatting>
  <conditionalFormatting sqref="P83">
    <cfRule type="cellIs" dxfId="11840" priority="1798" operator="greaterThan">
      <formula>0</formula>
    </cfRule>
  </conditionalFormatting>
  <conditionalFormatting sqref="Q83">
    <cfRule type="cellIs" dxfId="11839" priority="1803" operator="lessThan">
      <formula>0</formula>
    </cfRule>
  </conditionalFormatting>
  <conditionalFormatting sqref="R83">
    <cfRule type="cellIs" dxfId="11838" priority="1801" operator="lessThan">
      <formula>0.8</formula>
    </cfRule>
    <cfRule type="cellIs" dxfId="11837" priority="1802" operator="greaterThan">
      <formula>1</formula>
    </cfRule>
  </conditionalFormatting>
  <conditionalFormatting sqref="R83">
    <cfRule type="cellIs" dxfId="11836" priority="1799" operator="greaterThan">
      <formula>1</formula>
    </cfRule>
    <cfRule type="cellIs" dxfId="11835" priority="1800" operator="lessThan">
      <formula>0.8</formula>
    </cfRule>
  </conditionalFormatting>
  <conditionalFormatting sqref="R83">
    <cfRule type="cellIs" dxfId="11834" priority="1795" operator="lessThan">
      <formula>0.8</formula>
    </cfRule>
    <cfRule type="cellIs" dxfId="11833" priority="1796" operator="greaterThan">
      <formula>1</formula>
    </cfRule>
  </conditionalFormatting>
  <conditionalFormatting sqref="R83">
    <cfRule type="cellIs" dxfId="11832" priority="1793" operator="greaterThan">
      <formula>1</formula>
    </cfRule>
    <cfRule type="cellIs" dxfId="11831" priority="1794" operator="lessThan">
      <formula>0.8</formula>
    </cfRule>
  </conditionalFormatting>
  <conditionalFormatting sqref="P83">
    <cfRule type="cellIs" dxfId="11830" priority="1792" operator="greaterThan">
      <formula>0</formula>
    </cfRule>
  </conditionalFormatting>
  <conditionalFormatting sqref="Q83">
    <cfRule type="cellIs" dxfId="11829" priority="1797" operator="lessThan">
      <formula>0</formula>
    </cfRule>
  </conditionalFormatting>
  <conditionalFormatting sqref="R83">
    <cfRule type="cellIs" dxfId="11828" priority="1789" operator="lessThan">
      <formula>0.8</formula>
    </cfRule>
    <cfRule type="cellIs" dxfId="11827" priority="1790" operator="greaterThan">
      <formula>1</formula>
    </cfRule>
  </conditionalFormatting>
  <conditionalFormatting sqref="R83">
    <cfRule type="cellIs" dxfId="11826" priority="1787" operator="greaterThan">
      <formula>1</formula>
    </cfRule>
    <cfRule type="cellIs" dxfId="11825" priority="1788" operator="lessThan">
      <formula>0.8</formula>
    </cfRule>
  </conditionalFormatting>
  <conditionalFormatting sqref="P83">
    <cfRule type="cellIs" dxfId="11824" priority="1786" operator="greaterThan">
      <formula>0</formula>
    </cfRule>
  </conditionalFormatting>
  <conditionalFormatting sqref="Q83">
    <cfRule type="cellIs" dxfId="11823" priority="1791" operator="lessThan">
      <formula>0</formula>
    </cfRule>
  </conditionalFormatting>
  <conditionalFormatting sqref="Q83">
    <cfRule type="cellIs" dxfId="11822" priority="1785" operator="lessThan">
      <formula>0</formula>
    </cfRule>
  </conditionalFormatting>
  <conditionalFormatting sqref="R83">
    <cfRule type="cellIs" dxfId="11821" priority="1783" operator="lessThan">
      <formula>0.8</formula>
    </cfRule>
    <cfRule type="cellIs" dxfId="11820" priority="1784" operator="greaterThan">
      <formula>1</formula>
    </cfRule>
  </conditionalFormatting>
  <conditionalFormatting sqref="R83">
    <cfRule type="cellIs" dxfId="11819" priority="1781" operator="greaterThan">
      <formula>1</formula>
    </cfRule>
    <cfRule type="cellIs" dxfId="11818" priority="1782" operator="lessThan">
      <formula>0.8</formula>
    </cfRule>
  </conditionalFormatting>
  <conditionalFormatting sqref="P83">
    <cfRule type="cellIs" dxfId="11817" priority="1780" operator="greaterThan">
      <formula>0</formula>
    </cfRule>
  </conditionalFormatting>
  <conditionalFormatting sqref="Q83">
    <cfRule type="cellIs" dxfId="11816" priority="1774" operator="lessThan">
      <formula>0</formula>
    </cfRule>
  </conditionalFormatting>
  <conditionalFormatting sqref="R83">
    <cfRule type="cellIs" dxfId="11815" priority="1778" operator="lessThan">
      <formula>0.8</formula>
    </cfRule>
    <cfRule type="cellIs" dxfId="11814" priority="1779" operator="greaterThan">
      <formula>1</formula>
    </cfRule>
  </conditionalFormatting>
  <conditionalFormatting sqref="R83">
    <cfRule type="cellIs" dxfId="11813" priority="1776" operator="greaterThan">
      <formula>1</formula>
    </cfRule>
    <cfRule type="cellIs" dxfId="11812" priority="1777" operator="lessThan">
      <formula>0.8</formula>
    </cfRule>
  </conditionalFormatting>
  <conditionalFormatting sqref="P83">
    <cfRule type="cellIs" dxfId="11811" priority="1775" operator="greaterThan">
      <formula>0</formula>
    </cfRule>
  </conditionalFormatting>
  <conditionalFormatting sqref="Q83">
    <cfRule type="cellIs" dxfId="11810" priority="1773" operator="lessThan">
      <formula>0</formula>
    </cfRule>
  </conditionalFormatting>
  <conditionalFormatting sqref="R83">
    <cfRule type="cellIs" dxfId="11809" priority="1771" operator="lessThan">
      <formula>0.8</formula>
    </cfRule>
    <cfRule type="cellIs" dxfId="11808" priority="1772" operator="greaterThan">
      <formula>1</formula>
    </cfRule>
  </conditionalFormatting>
  <conditionalFormatting sqref="R83">
    <cfRule type="cellIs" dxfId="11807" priority="1769" operator="greaterThan">
      <formula>1</formula>
    </cfRule>
    <cfRule type="cellIs" dxfId="11806" priority="1770" operator="lessThan">
      <formula>0.8</formula>
    </cfRule>
  </conditionalFormatting>
  <conditionalFormatting sqref="P83">
    <cfRule type="cellIs" dxfId="11805" priority="1768" operator="greaterThan">
      <formula>0</formula>
    </cfRule>
  </conditionalFormatting>
  <conditionalFormatting sqref="Q83">
    <cfRule type="cellIs" dxfId="11804" priority="1767" operator="lessThan">
      <formula>0</formula>
    </cfRule>
  </conditionalFormatting>
  <conditionalFormatting sqref="R83">
    <cfRule type="cellIs" dxfId="11803" priority="1765" operator="lessThan">
      <formula>0.8</formula>
    </cfRule>
    <cfRule type="cellIs" dxfId="11802" priority="1766" operator="greaterThan">
      <formula>1</formula>
    </cfRule>
  </conditionalFormatting>
  <conditionalFormatting sqref="R83">
    <cfRule type="cellIs" dxfId="11801" priority="1763" operator="greaterThan">
      <formula>1</formula>
    </cfRule>
    <cfRule type="cellIs" dxfId="11800" priority="1764" operator="lessThan">
      <formula>0.8</formula>
    </cfRule>
  </conditionalFormatting>
  <conditionalFormatting sqref="P83">
    <cfRule type="cellIs" dxfId="11799" priority="1762" operator="greaterThan">
      <formula>0</formula>
    </cfRule>
  </conditionalFormatting>
  <conditionalFormatting sqref="Q83">
    <cfRule type="cellIs" dxfId="11798" priority="1761" operator="lessThan">
      <formula>0</formula>
    </cfRule>
  </conditionalFormatting>
  <conditionalFormatting sqref="R83">
    <cfRule type="cellIs" dxfId="11797" priority="1759" operator="lessThan">
      <formula>0.8</formula>
    </cfRule>
    <cfRule type="cellIs" dxfId="11796" priority="1760" operator="greaterThan">
      <formula>1</formula>
    </cfRule>
  </conditionalFormatting>
  <conditionalFormatting sqref="R83">
    <cfRule type="cellIs" dxfId="11795" priority="1757" operator="greaterThan">
      <formula>1</formula>
    </cfRule>
    <cfRule type="cellIs" dxfId="11794" priority="1758" operator="lessThan">
      <formula>0.8</formula>
    </cfRule>
  </conditionalFormatting>
  <conditionalFormatting sqref="P83">
    <cfRule type="cellIs" dxfId="11793" priority="1756" operator="greaterThan">
      <formula>0</formula>
    </cfRule>
  </conditionalFormatting>
  <conditionalFormatting sqref="Q83">
    <cfRule type="cellIs" dxfId="11792" priority="1755" operator="lessThan">
      <formula>0</formula>
    </cfRule>
  </conditionalFormatting>
  <conditionalFormatting sqref="R83">
    <cfRule type="cellIs" dxfId="11791" priority="1753" operator="lessThan">
      <formula>0.8</formula>
    </cfRule>
    <cfRule type="cellIs" dxfId="11790" priority="1754" operator="greaterThan">
      <formula>1</formula>
    </cfRule>
  </conditionalFormatting>
  <conditionalFormatting sqref="R83">
    <cfRule type="cellIs" dxfId="11789" priority="1751" operator="greaterThan">
      <formula>1</formula>
    </cfRule>
    <cfRule type="cellIs" dxfId="11788" priority="1752" operator="lessThan">
      <formula>0.8</formula>
    </cfRule>
  </conditionalFormatting>
  <conditionalFormatting sqref="P83">
    <cfRule type="cellIs" dxfId="11787" priority="1750" operator="greaterThan">
      <formula>0</formula>
    </cfRule>
  </conditionalFormatting>
  <conditionalFormatting sqref="Q83">
    <cfRule type="cellIs" dxfId="11786" priority="1749" operator="lessThan">
      <formula>0</formula>
    </cfRule>
  </conditionalFormatting>
  <conditionalFormatting sqref="R83">
    <cfRule type="cellIs" dxfId="11785" priority="1747" operator="lessThan">
      <formula>0.8</formula>
    </cfRule>
    <cfRule type="cellIs" dxfId="11784" priority="1748" operator="greaterThan">
      <formula>1</formula>
    </cfRule>
  </conditionalFormatting>
  <conditionalFormatting sqref="R83">
    <cfRule type="cellIs" dxfId="11783" priority="1745" operator="greaterThan">
      <formula>1</formula>
    </cfRule>
    <cfRule type="cellIs" dxfId="11782" priority="1746" operator="lessThan">
      <formula>0.8</formula>
    </cfRule>
  </conditionalFormatting>
  <conditionalFormatting sqref="P83">
    <cfRule type="cellIs" dxfId="11781" priority="1744" operator="greaterThan">
      <formula>0</formula>
    </cfRule>
  </conditionalFormatting>
  <conditionalFormatting sqref="P83">
    <cfRule type="cellIs" dxfId="11780" priority="1738" operator="greaterThan">
      <formula>0</formula>
    </cfRule>
  </conditionalFormatting>
  <conditionalFormatting sqref="Q83">
    <cfRule type="cellIs" dxfId="11779" priority="1743" operator="lessThan">
      <formula>0</formula>
    </cfRule>
  </conditionalFormatting>
  <conditionalFormatting sqref="R83">
    <cfRule type="cellIs" dxfId="11778" priority="1741" operator="lessThan">
      <formula>0.8</formula>
    </cfRule>
    <cfRule type="cellIs" dxfId="11777" priority="1742" operator="greaterThan">
      <formula>1</formula>
    </cfRule>
  </conditionalFormatting>
  <conditionalFormatting sqref="R83">
    <cfRule type="cellIs" dxfId="11776" priority="1739" operator="greaterThan">
      <formula>1</formula>
    </cfRule>
    <cfRule type="cellIs" dxfId="11775" priority="1740" operator="lessThan">
      <formula>0.8</formula>
    </cfRule>
  </conditionalFormatting>
  <conditionalFormatting sqref="P83">
    <cfRule type="cellIs" dxfId="11774" priority="1732" operator="greaterThan">
      <formula>0</formula>
    </cfRule>
  </conditionalFormatting>
  <conditionalFormatting sqref="Q83">
    <cfRule type="cellIs" dxfId="11773" priority="1737" operator="lessThan">
      <formula>0</formula>
    </cfRule>
  </conditionalFormatting>
  <conditionalFormatting sqref="R83">
    <cfRule type="cellIs" dxfId="11772" priority="1735" operator="lessThan">
      <formula>0.8</formula>
    </cfRule>
    <cfRule type="cellIs" dxfId="11771" priority="1736" operator="greaterThan">
      <formula>1</formula>
    </cfRule>
  </conditionalFormatting>
  <conditionalFormatting sqref="R83">
    <cfRule type="cellIs" dxfId="11770" priority="1733" operator="greaterThan">
      <formula>1</formula>
    </cfRule>
    <cfRule type="cellIs" dxfId="11769" priority="1734" operator="lessThan">
      <formula>0.8</formula>
    </cfRule>
  </conditionalFormatting>
  <conditionalFormatting sqref="R83">
    <cfRule type="cellIs" dxfId="11768" priority="1729" operator="lessThan">
      <formula>0.8</formula>
    </cfRule>
    <cfRule type="cellIs" dxfId="11767" priority="1730" operator="greaterThan">
      <formula>1</formula>
    </cfRule>
  </conditionalFormatting>
  <conditionalFormatting sqref="R83">
    <cfRule type="cellIs" dxfId="11766" priority="1727" operator="greaterThan">
      <formula>1</formula>
    </cfRule>
    <cfRule type="cellIs" dxfId="11765" priority="1728" operator="lessThan">
      <formula>0.8</formula>
    </cfRule>
  </conditionalFormatting>
  <conditionalFormatting sqref="P83">
    <cfRule type="cellIs" dxfId="11764" priority="1726" operator="greaterThan">
      <formula>0</formula>
    </cfRule>
  </conditionalFormatting>
  <conditionalFormatting sqref="Q83">
    <cfRule type="cellIs" dxfId="11763" priority="1731" operator="lessThan">
      <formula>0</formula>
    </cfRule>
  </conditionalFormatting>
  <conditionalFormatting sqref="Q83">
    <cfRule type="cellIs" dxfId="11762" priority="1720" operator="lessThan">
      <formula>0</formula>
    </cfRule>
  </conditionalFormatting>
  <conditionalFormatting sqref="P83">
    <cfRule type="cellIs" dxfId="11761" priority="1721" operator="greaterThan">
      <formula>0</formula>
    </cfRule>
  </conditionalFormatting>
  <conditionalFormatting sqref="R83">
    <cfRule type="cellIs" dxfId="11760" priority="1724" operator="lessThan">
      <formula>0.8</formula>
    </cfRule>
    <cfRule type="cellIs" dxfId="11759" priority="1725" operator="greaterThan">
      <formula>1</formula>
    </cfRule>
  </conditionalFormatting>
  <conditionalFormatting sqref="R83">
    <cfRule type="cellIs" dxfId="11758" priority="1722" operator="greaterThan">
      <formula>1</formula>
    </cfRule>
    <cfRule type="cellIs" dxfId="11757" priority="1723" operator="lessThan">
      <formula>0.8</formula>
    </cfRule>
  </conditionalFormatting>
  <conditionalFormatting sqref="Q83">
    <cfRule type="cellIs" dxfId="11756" priority="1714" operator="lessThan">
      <formula>0</formula>
    </cfRule>
  </conditionalFormatting>
  <conditionalFormatting sqref="R83">
    <cfRule type="cellIs" dxfId="11755" priority="1718" operator="lessThan">
      <formula>0.8</formula>
    </cfRule>
    <cfRule type="cellIs" dxfId="11754" priority="1719" operator="greaterThan">
      <formula>1</formula>
    </cfRule>
  </conditionalFormatting>
  <conditionalFormatting sqref="R83">
    <cfRule type="cellIs" dxfId="11753" priority="1716" operator="greaterThan">
      <formula>1</formula>
    </cfRule>
    <cfRule type="cellIs" dxfId="11752" priority="1717" operator="lessThan">
      <formula>0.8</formula>
    </cfRule>
  </conditionalFormatting>
  <conditionalFormatting sqref="P83">
    <cfRule type="cellIs" dxfId="11751" priority="1715" operator="greaterThan">
      <formula>0</formula>
    </cfRule>
  </conditionalFormatting>
  <conditionalFormatting sqref="Q83">
    <cfRule type="cellIs" dxfId="11750" priority="1713" operator="lessThan">
      <formula>0</formula>
    </cfRule>
  </conditionalFormatting>
  <conditionalFormatting sqref="R83">
    <cfRule type="cellIs" dxfId="11749" priority="1711" operator="lessThan">
      <formula>0.8</formula>
    </cfRule>
    <cfRule type="cellIs" dxfId="11748" priority="1712" operator="greaterThan">
      <formula>1</formula>
    </cfRule>
  </conditionalFormatting>
  <conditionalFormatting sqref="R83">
    <cfRule type="cellIs" dxfId="11747" priority="1709" operator="greaterThan">
      <formula>1</formula>
    </cfRule>
    <cfRule type="cellIs" dxfId="11746" priority="1710" operator="lessThan">
      <formula>0.8</formula>
    </cfRule>
  </conditionalFormatting>
  <conditionalFormatting sqref="P83">
    <cfRule type="cellIs" dxfId="11745" priority="1708" operator="greaterThan">
      <formula>0</formula>
    </cfRule>
  </conditionalFormatting>
  <conditionalFormatting sqref="Q83">
    <cfRule type="cellIs" dxfId="11744" priority="1707" operator="lessThan">
      <formula>0</formula>
    </cfRule>
  </conditionalFormatting>
  <conditionalFormatting sqref="R83">
    <cfRule type="cellIs" dxfId="11743" priority="1705" operator="lessThan">
      <formula>0.8</formula>
    </cfRule>
    <cfRule type="cellIs" dxfId="11742" priority="1706" operator="greaterThan">
      <formula>1</formula>
    </cfRule>
  </conditionalFormatting>
  <conditionalFormatting sqref="R83">
    <cfRule type="cellIs" dxfId="11741" priority="1703" operator="greaterThan">
      <formula>1</formula>
    </cfRule>
    <cfRule type="cellIs" dxfId="11740" priority="1704" operator="lessThan">
      <formula>0.8</formula>
    </cfRule>
  </conditionalFormatting>
  <conditionalFormatting sqref="P83">
    <cfRule type="cellIs" dxfId="11739" priority="1702" operator="greaterThan">
      <formula>0</formula>
    </cfRule>
  </conditionalFormatting>
  <conditionalFormatting sqref="Q83">
    <cfRule type="cellIs" dxfId="11738" priority="1701" operator="lessThan">
      <formula>0</formula>
    </cfRule>
  </conditionalFormatting>
  <conditionalFormatting sqref="R83">
    <cfRule type="cellIs" dxfId="11737" priority="1699" operator="lessThan">
      <formula>0.8</formula>
    </cfRule>
    <cfRule type="cellIs" dxfId="11736" priority="1700" operator="greaterThan">
      <formula>1</formula>
    </cfRule>
  </conditionalFormatting>
  <conditionalFormatting sqref="R83">
    <cfRule type="cellIs" dxfId="11735" priority="1697" operator="greaterThan">
      <formula>1</formula>
    </cfRule>
    <cfRule type="cellIs" dxfId="11734" priority="1698" operator="lessThan">
      <formula>0.8</formula>
    </cfRule>
  </conditionalFormatting>
  <conditionalFormatting sqref="P83">
    <cfRule type="cellIs" dxfId="11733" priority="1696" operator="greaterThan">
      <formula>0</formula>
    </cfRule>
  </conditionalFormatting>
  <conditionalFormatting sqref="Q32:Q39">
    <cfRule type="cellIs" dxfId="11732" priority="1690" operator="lessThan">
      <formula>0</formula>
    </cfRule>
  </conditionalFormatting>
  <conditionalFormatting sqref="P32:P39">
    <cfRule type="cellIs" dxfId="11731" priority="1691" operator="greaterThan">
      <formula>0</formula>
    </cfRule>
  </conditionalFormatting>
  <conditionalFormatting sqref="R32:R39">
    <cfRule type="cellIs" dxfId="11730" priority="1694" operator="lessThan">
      <formula>0.8</formula>
    </cfRule>
    <cfRule type="cellIs" dxfId="11729" priority="1695" operator="greaterThan">
      <formula>1</formula>
    </cfRule>
  </conditionalFormatting>
  <conditionalFormatting sqref="R32:R39">
    <cfRule type="cellIs" dxfId="11728" priority="1692" operator="greaterThan">
      <formula>1</formula>
    </cfRule>
    <cfRule type="cellIs" dxfId="11727" priority="1693" operator="lessThan">
      <formula>0.8</formula>
    </cfRule>
  </conditionalFormatting>
  <conditionalFormatting sqref="Q32:Q39">
    <cfRule type="cellIs" dxfId="11726" priority="1684" operator="lessThan">
      <formula>0</formula>
    </cfRule>
  </conditionalFormatting>
  <conditionalFormatting sqref="R32:R39">
    <cfRule type="cellIs" dxfId="11725" priority="1688" operator="lessThan">
      <formula>0.8</formula>
    </cfRule>
    <cfRule type="cellIs" dxfId="11724" priority="1689" operator="greaterThan">
      <formula>1</formula>
    </cfRule>
  </conditionalFormatting>
  <conditionalFormatting sqref="R32:R39">
    <cfRule type="cellIs" dxfId="11723" priority="1686" operator="greaterThan">
      <formula>1</formula>
    </cfRule>
    <cfRule type="cellIs" dxfId="11722" priority="1687" operator="lessThan">
      <formula>0.8</formula>
    </cfRule>
  </conditionalFormatting>
  <conditionalFormatting sqref="P32:P39">
    <cfRule type="cellIs" dxfId="11721" priority="1685" operator="greaterThan">
      <formula>0</formula>
    </cfRule>
  </conditionalFormatting>
  <conditionalFormatting sqref="Q32:Q39">
    <cfRule type="cellIs" dxfId="11720" priority="1683" operator="lessThan">
      <formula>0</formula>
    </cfRule>
  </conditionalFormatting>
  <conditionalFormatting sqref="R32:R39">
    <cfRule type="cellIs" dxfId="11719" priority="1681" operator="lessThan">
      <formula>0.8</formula>
    </cfRule>
    <cfRule type="cellIs" dxfId="11718" priority="1682" operator="greaterThan">
      <formula>1</formula>
    </cfRule>
  </conditionalFormatting>
  <conditionalFormatting sqref="R32:R39">
    <cfRule type="cellIs" dxfId="11717" priority="1679" operator="greaterThan">
      <formula>1</formula>
    </cfRule>
    <cfRule type="cellIs" dxfId="11716" priority="1680" operator="lessThan">
      <formula>0.8</formula>
    </cfRule>
  </conditionalFormatting>
  <conditionalFormatting sqref="P32:P39">
    <cfRule type="cellIs" dxfId="11715" priority="1678" operator="greaterThan">
      <formula>0</formula>
    </cfRule>
  </conditionalFormatting>
  <conditionalFormatting sqref="Q32:Q39">
    <cfRule type="cellIs" dxfId="11714" priority="1677" operator="lessThan">
      <formula>0</formula>
    </cfRule>
  </conditionalFormatting>
  <conditionalFormatting sqref="R32:R39">
    <cfRule type="cellIs" dxfId="11713" priority="1675" operator="lessThan">
      <formula>0.8</formula>
    </cfRule>
    <cfRule type="cellIs" dxfId="11712" priority="1676" operator="greaterThan">
      <formula>1</formula>
    </cfRule>
  </conditionalFormatting>
  <conditionalFormatting sqref="R32:R39">
    <cfRule type="cellIs" dxfId="11711" priority="1673" operator="greaterThan">
      <formula>1</formula>
    </cfRule>
    <cfRule type="cellIs" dxfId="11710" priority="1674" operator="lessThan">
      <formula>0.8</formula>
    </cfRule>
  </conditionalFormatting>
  <conditionalFormatting sqref="P32:P39">
    <cfRule type="cellIs" dxfId="11709" priority="1672" operator="greaterThan">
      <formula>0</formula>
    </cfRule>
  </conditionalFormatting>
  <conditionalFormatting sqref="Q32:Q39">
    <cfRule type="cellIs" dxfId="11708" priority="1666" operator="lessThan">
      <formula>0</formula>
    </cfRule>
  </conditionalFormatting>
  <conditionalFormatting sqref="R32:R39">
    <cfRule type="cellIs" dxfId="11707" priority="1670" operator="lessThan">
      <formula>0.8</formula>
    </cfRule>
    <cfRule type="cellIs" dxfId="11706" priority="1671" operator="greaterThan">
      <formula>1</formula>
    </cfRule>
  </conditionalFormatting>
  <conditionalFormatting sqref="R32:R39">
    <cfRule type="cellIs" dxfId="11705" priority="1668" operator="greaterThan">
      <formula>1</formula>
    </cfRule>
    <cfRule type="cellIs" dxfId="11704" priority="1669" operator="lessThan">
      <formula>0.8</formula>
    </cfRule>
  </conditionalFormatting>
  <conditionalFormatting sqref="P32:P39">
    <cfRule type="cellIs" dxfId="11703" priority="1667" operator="greaterThan">
      <formula>0</formula>
    </cfRule>
  </conditionalFormatting>
  <conditionalFormatting sqref="Q32:Q39">
    <cfRule type="cellIs" dxfId="11702" priority="1665" operator="lessThan">
      <formula>0</formula>
    </cfRule>
  </conditionalFormatting>
  <conditionalFormatting sqref="R32:R39">
    <cfRule type="cellIs" dxfId="11701" priority="1663" operator="lessThan">
      <formula>0.8</formula>
    </cfRule>
    <cfRule type="cellIs" dxfId="11700" priority="1664" operator="greaterThan">
      <formula>1</formula>
    </cfRule>
  </conditionalFormatting>
  <conditionalFormatting sqref="R32:R39">
    <cfRule type="cellIs" dxfId="11699" priority="1661" operator="greaterThan">
      <formula>1</formula>
    </cfRule>
    <cfRule type="cellIs" dxfId="11698" priority="1662" operator="lessThan">
      <formula>0.8</formula>
    </cfRule>
  </conditionalFormatting>
  <conditionalFormatting sqref="P32:P39">
    <cfRule type="cellIs" dxfId="11697" priority="1660" operator="greaterThan">
      <formula>0</formula>
    </cfRule>
  </conditionalFormatting>
  <conditionalFormatting sqref="Q32:Q39">
    <cfRule type="cellIs" dxfId="11696" priority="1659" operator="lessThan">
      <formula>0</formula>
    </cfRule>
  </conditionalFormatting>
  <conditionalFormatting sqref="R32:R39">
    <cfRule type="cellIs" dxfId="11695" priority="1657" operator="lessThan">
      <formula>0.8</formula>
    </cfRule>
    <cfRule type="cellIs" dxfId="11694" priority="1658" operator="greaterThan">
      <formula>1</formula>
    </cfRule>
  </conditionalFormatting>
  <conditionalFormatting sqref="R32:R39">
    <cfRule type="cellIs" dxfId="11693" priority="1655" operator="greaterThan">
      <formula>1</formula>
    </cfRule>
    <cfRule type="cellIs" dxfId="11692" priority="1656" operator="lessThan">
      <formula>0.8</formula>
    </cfRule>
  </conditionalFormatting>
  <conditionalFormatting sqref="P32:P39">
    <cfRule type="cellIs" dxfId="11691" priority="1654" operator="greaterThan">
      <formula>0</formula>
    </cfRule>
  </conditionalFormatting>
  <conditionalFormatting sqref="Q32:Q39">
    <cfRule type="cellIs" dxfId="11690" priority="1653" operator="lessThan">
      <formula>0</formula>
    </cfRule>
  </conditionalFormatting>
  <conditionalFormatting sqref="R32:R39">
    <cfRule type="cellIs" dxfId="11689" priority="1651" operator="lessThan">
      <formula>0.8</formula>
    </cfRule>
    <cfRule type="cellIs" dxfId="11688" priority="1652" operator="greaterThan">
      <formula>1</formula>
    </cfRule>
  </conditionalFormatting>
  <conditionalFormatting sqref="R32:R39">
    <cfRule type="cellIs" dxfId="11687" priority="1649" operator="greaterThan">
      <formula>1</formula>
    </cfRule>
    <cfRule type="cellIs" dxfId="11686" priority="1650" operator="lessThan">
      <formula>0.8</formula>
    </cfRule>
  </conditionalFormatting>
  <conditionalFormatting sqref="P32:P39">
    <cfRule type="cellIs" dxfId="11685" priority="1648" operator="greaterThan">
      <formula>0</formula>
    </cfRule>
  </conditionalFormatting>
  <conditionalFormatting sqref="Q32:Q39">
    <cfRule type="cellIs" dxfId="11684" priority="1647" operator="lessThan">
      <formula>0</formula>
    </cfRule>
  </conditionalFormatting>
  <conditionalFormatting sqref="R32:R39">
    <cfRule type="cellIs" dxfId="11683" priority="1645" operator="lessThan">
      <formula>0.8</formula>
    </cfRule>
    <cfRule type="cellIs" dxfId="11682" priority="1646" operator="greaterThan">
      <formula>1</formula>
    </cfRule>
  </conditionalFormatting>
  <conditionalFormatting sqref="R32:R39">
    <cfRule type="cellIs" dxfId="11681" priority="1643" operator="greaterThan">
      <formula>1</formula>
    </cfRule>
    <cfRule type="cellIs" dxfId="11680" priority="1644" operator="lessThan">
      <formula>0.8</formula>
    </cfRule>
  </conditionalFormatting>
  <conditionalFormatting sqref="P32:P39">
    <cfRule type="cellIs" dxfId="11679" priority="1642" operator="greaterThan">
      <formula>0</formula>
    </cfRule>
  </conditionalFormatting>
  <conditionalFormatting sqref="Q32:Q39">
    <cfRule type="cellIs" dxfId="11678" priority="1641" operator="lessThan">
      <formula>0</formula>
    </cfRule>
  </conditionalFormatting>
  <conditionalFormatting sqref="R32:R39">
    <cfRule type="cellIs" dxfId="11677" priority="1639" operator="lessThan">
      <formula>0.8</formula>
    </cfRule>
    <cfRule type="cellIs" dxfId="11676" priority="1640" operator="greaterThan">
      <formula>1</formula>
    </cfRule>
  </conditionalFormatting>
  <conditionalFormatting sqref="R32:R39">
    <cfRule type="cellIs" dxfId="11675" priority="1637" operator="greaterThan">
      <formula>1</formula>
    </cfRule>
    <cfRule type="cellIs" dxfId="11674" priority="1638" operator="lessThan">
      <formula>0.8</formula>
    </cfRule>
  </conditionalFormatting>
  <conditionalFormatting sqref="P32:P39">
    <cfRule type="cellIs" dxfId="11673" priority="1636" operator="greaterThan">
      <formula>0</formula>
    </cfRule>
  </conditionalFormatting>
  <conditionalFormatting sqref="P32:P39">
    <cfRule type="cellIs" dxfId="11672" priority="1630" operator="greaterThan">
      <formula>0</formula>
    </cfRule>
  </conditionalFormatting>
  <conditionalFormatting sqref="Q32:Q39">
    <cfRule type="cellIs" dxfId="11671" priority="1635" operator="lessThan">
      <formula>0</formula>
    </cfRule>
  </conditionalFormatting>
  <conditionalFormatting sqref="R32:R39">
    <cfRule type="cellIs" dxfId="11670" priority="1633" operator="lessThan">
      <formula>0.8</formula>
    </cfRule>
    <cfRule type="cellIs" dxfId="11669" priority="1634" operator="greaterThan">
      <formula>1</formula>
    </cfRule>
  </conditionalFormatting>
  <conditionalFormatting sqref="R32:R39">
    <cfRule type="cellIs" dxfId="11668" priority="1631" operator="greaterThan">
      <formula>1</formula>
    </cfRule>
    <cfRule type="cellIs" dxfId="11667" priority="1632" operator="lessThan">
      <formula>0.8</formula>
    </cfRule>
  </conditionalFormatting>
  <conditionalFormatting sqref="P32:P39">
    <cfRule type="cellIs" dxfId="11666" priority="1624" operator="greaterThan">
      <formula>0</formula>
    </cfRule>
  </conditionalFormatting>
  <conditionalFormatting sqref="Q32:Q39">
    <cfRule type="cellIs" dxfId="11665" priority="1629" operator="lessThan">
      <formula>0</formula>
    </cfRule>
  </conditionalFormatting>
  <conditionalFormatting sqref="R32:R39">
    <cfRule type="cellIs" dxfId="11664" priority="1627" operator="lessThan">
      <formula>0.8</formula>
    </cfRule>
    <cfRule type="cellIs" dxfId="11663" priority="1628" operator="greaterThan">
      <formula>1</formula>
    </cfRule>
  </conditionalFormatting>
  <conditionalFormatting sqref="R32:R39">
    <cfRule type="cellIs" dxfId="11662" priority="1625" operator="greaterThan">
      <formula>1</formula>
    </cfRule>
    <cfRule type="cellIs" dxfId="11661" priority="1626" operator="lessThan">
      <formula>0.8</formula>
    </cfRule>
  </conditionalFormatting>
  <conditionalFormatting sqref="R32:R39">
    <cfRule type="cellIs" dxfId="11660" priority="1621" operator="lessThan">
      <formula>0.8</formula>
    </cfRule>
    <cfRule type="cellIs" dxfId="11659" priority="1622" operator="greaterThan">
      <formula>1</formula>
    </cfRule>
  </conditionalFormatting>
  <conditionalFormatting sqref="R32:R39">
    <cfRule type="cellIs" dxfId="11658" priority="1619" operator="greaterThan">
      <formula>1</formula>
    </cfRule>
    <cfRule type="cellIs" dxfId="11657" priority="1620" operator="lessThan">
      <formula>0.8</formula>
    </cfRule>
  </conditionalFormatting>
  <conditionalFormatting sqref="P32:P39">
    <cfRule type="cellIs" dxfId="11656" priority="1618" operator="greaterThan">
      <formula>0</formula>
    </cfRule>
  </conditionalFormatting>
  <conditionalFormatting sqref="Q32:Q39">
    <cfRule type="cellIs" dxfId="11655" priority="1623" operator="lessThan">
      <formula>0</formula>
    </cfRule>
  </conditionalFormatting>
  <conditionalFormatting sqref="Q32:Q39">
    <cfRule type="cellIs" dxfId="11654" priority="1612" operator="lessThan">
      <formula>0</formula>
    </cfRule>
  </conditionalFormatting>
  <conditionalFormatting sqref="P32:P39">
    <cfRule type="cellIs" dxfId="11653" priority="1613" operator="greaterThan">
      <formula>0</formula>
    </cfRule>
  </conditionalFormatting>
  <conditionalFormatting sqref="R32:R39">
    <cfRule type="cellIs" dxfId="11652" priority="1616" operator="lessThan">
      <formula>0.8</formula>
    </cfRule>
    <cfRule type="cellIs" dxfId="11651" priority="1617" operator="greaterThan">
      <formula>1</formula>
    </cfRule>
  </conditionalFormatting>
  <conditionalFormatting sqref="R32:R39">
    <cfRule type="cellIs" dxfId="11650" priority="1614" operator="greaterThan">
      <formula>1</formula>
    </cfRule>
    <cfRule type="cellIs" dxfId="11649" priority="1615" operator="lessThan">
      <formula>0.8</formula>
    </cfRule>
  </conditionalFormatting>
  <conditionalFormatting sqref="Q32:Q39">
    <cfRule type="cellIs" dxfId="11648" priority="1606" operator="lessThan">
      <formula>0</formula>
    </cfRule>
  </conditionalFormatting>
  <conditionalFormatting sqref="R32:R39">
    <cfRule type="cellIs" dxfId="11647" priority="1610" operator="lessThan">
      <formula>0.8</formula>
    </cfRule>
    <cfRule type="cellIs" dxfId="11646" priority="1611" operator="greaterThan">
      <formula>1</formula>
    </cfRule>
  </conditionalFormatting>
  <conditionalFormatting sqref="R32:R39">
    <cfRule type="cellIs" dxfId="11645" priority="1608" operator="greaterThan">
      <formula>1</formula>
    </cfRule>
    <cfRule type="cellIs" dxfId="11644" priority="1609" operator="lessThan">
      <formula>0.8</formula>
    </cfRule>
  </conditionalFormatting>
  <conditionalFormatting sqref="P32:P39">
    <cfRule type="cellIs" dxfId="11643" priority="1607" operator="greaterThan">
      <formula>0</formula>
    </cfRule>
  </conditionalFormatting>
  <conditionalFormatting sqref="Q32:Q39">
    <cfRule type="cellIs" dxfId="11642" priority="1605" operator="lessThan">
      <formula>0</formula>
    </cfRule>
  </conditionalFormatting>
  <conditionalFormatting sqref="R32:R39">
    <cfRule type="cellIs" dxfId="11641" priority="1603" operator="lessThan">
      <formula>0.8</formula>
    </cfRule>
    <cfRule type="cellIs" dxfId="11640" priority="1604" operator="greaterThan">
      <formula>1</formula>
    </cfRule>
  </conditionalFormatting>
  <conditionalFormatting sqref="R32:R39">
    <cfRule type="cellIs" dxfId="11639" priority="1601" operator="greaterThan">
      <formula>1</formula>
    </cfRule>
    <cfRule type="cellIs" dxfId="11638" priority="1602" operator="lessThan">
      <formula>0.8</formula>
    </cfRule>
  </conditionalFormatting>
  <conditionalFormatting sqref="P32:P39">
    <cfRule type="cellIs" dxfId="11637" priority="1600" operator="greaterThan">
      <formula>0</formula>
    </cfRule>
  </conditionalFormatting>
  <conditionalFormatting sqref="Q32:Q39">
    <cfRule type="cellIs" dxfId="11636" priority="1599" operator="lessThan">
      <formula>0</formula>
    </cfRule>
  </conditionalFormatting>
  <conditionalFormatting sqref="R32:R39">
    <cfRule type="cellIs" dxfId="11635" priority="1597" operator="lessThan">
      <formula>0.8</formula>
    </cfRule>
    <cfRule type="cellIs" dxfId="11634" priority="1598" operator="greaterThan">
      <formula>1</formula>
    </cfRule>
  </conditionalFormatting>
  <conditionalFormatting sqref="R32:R39">
    <cfRule type="cellIs" dxfId="11633" priority="1595" operator="greaterThan">
      <formula>1</formula>
    </cfRule>
    <cfRule type="cellIs" dxfId="11632" priority="1596" operator="lessThan">
      <formula>0.8</formula>
    </cfRule>
  </conditionalFormatting>
  <conditionalFormatting sqref="P32:P39">
    <cfRule type="cellIs" dxfId="11631" priority="1594" operator="greaterThan">
      <formula>0</formula>
    </cfRule>
  </conditionalFormatting>
  <conditionalFormatting sqref="Q32:Q39">
    <cfRule type="cellIs" dxfId="11630" priority="1588" operator="lessThan">
      <formula>0</formula>
    </cfRule>
  </conditionalFormatting>
  <conditionalFormatting sqref="P32:P39">
    <cfRule type="cellIs" dxfId="11629" priority="1589" operator="greaterThan">
      <formula>0</formula>
    </cfRule>
  </conditionalFormatting>
  <conditionalFormatting sqref="R32:R39">
    <cfRule type="cellIs" dxfId="11628" priority="1592" operator="lessThan">
      <formula>0.8</formula>
    </cfRule>
    <cfRule type="cellIs" dxfId="11627" priority="1593" operator="greaterThan">
      <formula>1</formula>
    </cfRule>
  </conditionalFormatting>
  <conditionalFormatting sqref="R32:R39">
    <cfRule type="cellIs" dxfId="11626" priority="1590" operator="greaterThan">
      <formula>1</formula>
    </cfRule>
    <cfRule type="cellIs" dxfId="11625" priority="1591" operator="lessThan">
      <formula>0.8</formula>
    </cfRule>
  </conditionalFormatting>
  <conditionalFormatting sqref="Q32:Q39">
    <cfRule type="cellIs" dxfId="11624" priority="1582" operator="lessThan">
      <formula>0</formula>
    </cfRule>
  </conditionalFormatting>
  <conditionalFormatting sqref="R32:R39">
    <cfRule type="cellIs" dxfId="11623" priority="1586" operator="lessThan">
      <formula>0.8</formula>
    </cfRule>
    <cfRule type="cellIs" dxfId="11622" priority="1587" operator="greaterThan">
      <formula>1</formula>
    </cfRule>
  </conditionalFormatting>
  <conditionalFormatting sqref="R32:R39">
    <cfRule type="cellIs" dxfId="11621" priority="1584" operator="greaterThan">
      <formula>1</formula>
    </cfRule>
    <cfRule type="cellIs" dxfId="11620" priority="1585" operator="lessThan">
      <formula>0.8</formula>
    </cfRule>
  </conditionalFormatting>
  <conditionalFormatting sqref="P32:P39">
    <cfRule type="cellIs" dxfId="11619" priority="1583" operator="greaterThan">
      <formula>0</formula>
    </cfRule>
  </conditionalFormatting>
  <conditionalFormatting sqref="Q32:Q39">
    <cfRule type="cellIs" dxfId="11618" priority="1581" operator="lessThan">
      <formula>0</formula>
    </cfRule>
  </conditionalFormatting>
  <conditionalFormatting sqref="R32:R39">
    <cfRule type="cellIs" dxfId="11617" priority="1579" operator="lessThan">
      <formula>0.8</formula>
    </cfRule>
    <cfRule type="cellIs" dxfId="11616" priority="1580" operator="greaterThan">
      <formula>1</formula>
    </cfRule>
  </conditionalFormatting>
  <conditionalFormatting sqref="R32:R39">
    <cfRule type="cellIs" dxfId="11615" priority="1577" operator="greaterThan">
      <formula>1</formula>
    </cfRule>
    <cfRule type="cellIs" dxfId="11614" priority="1578" operator="lessThan">
      <formula>0.8</formula>
    </cfRule>
  </conditionalFormatting>
  <conditionalFormatting sqref="P32:P39">
    <cfRule type="cellIs" dxfId="11613" priority="1576" operator="greaterThan">
      <formula>0</formula>
    </cfRule>
  </conditionalFormatting>
  <conditionalFormatting sqref="Q32:Q39">
    <cfRule type="cellIs" dxfId="11612" priority="1575" operator="lessThan">
      <formula>0</formula>
    </cfRule>
  </conditionalFormatting>
  <conditionalFormatting sqref="R32:R39">
    <cfRule type="cellIs" dxfId="11611" priority="1573" operator="lessThan">
      <formula>0.8</formula>
    </cfRule>
    <cfRule type="cellIs" dxfId="11610" priority="1574" operator="greaterThan">
      <formula>1</formula>
    </cfRule>
  </conditionalFormatting>
  <conditionalFormatting sqref="R32:R39">
    <cfRule type="cellIs" dxfId="11609" priority="1571" operator="greaterThan">
      <formula>1</formula>
    </cfRule>
    <cfRule type="cellIs" dxfId="11608" priority="1572" operator="lessThan">
      <formula>0.8</formula>
    </cfRule>
  </conditionalFormatting>
  <conditionalFormatting sqref="P32:P39">
    <cfRule type="cellIs" dxfId="11607" priority="1570" operator="greaterThan">
      <formula>0</formula>
    </cfRule>
  </conditionalFormatting>
  <conditionalFormatting sqref="Q19:Q25">
    <cfRule type="cellIs" dxfId="11606" priority="1569" operator="lessThan">
      <formula>0</formula>
    </cfRule>
  </conditionalFormatting>
  <conditionalFormatting sqref="R19:R25">
    <cfRule type="cellIs" dxfId="11605" priority="1567" operator="lessThan">
      <formula>0.8</formula>
    </cfRule>
    <cfRule type="cellIs" dxfId="11604" priority="1568" operator="greaterThan">
      <formula>1</formula>
    </cfRule>
  </conditionalFormatting>
  <conditionalFormatting sqref="R19:R25">
    <cfRule type="cellIs" dxfId="11603" priority="1565" operator="greaterThan">
      <formula>1</formula>
    </cfRule>
    <cfRule type="cellIs" dxfId="11602" priority="1566" operator="lessThan">
      <formula>0.8</formula>
    </cfRule>
  </conditionalFormatting>
  <conditionalFormatting sqref="P19:P25">
    <cfRule type="cellIs" dxfId="11601" priority="1564" operator="greaterThan">
      <formula>0</formula>
    </cfRule>
  </conditionalFormatting>
  <conditionalFormatting sqref="R19:R25">
    <cfRule type="cellIs" dxfId="11600" priority="1561" operator="lessThan">
      <formula>0.8</formula>
    </cfRule>
    <cfRule type="cellIs" dxfId="11599" priority="1562" operator="greaterThan">
      <formula>1</formula>
    </cfRule>
  </conditionalFormatting>
  <conditionalFormatting sqref="R19:R25">
    <cfRule type="cellIs" dxfId="11598" priority="1559" operator="greaterThan">
      <formula>1</formula>
    </cfRule>
    <cfRule type="cellIs" dxfId="11597" priority="1560" operator="lessThan">
      <formula>0.8</formula>
    </cfRule>
  </conditionalFormatting>
  <conditionalFormatting sqref="P19:P25">
    <cfRule type="cellIs" dxfId="11596" priority="1558" operator="greaterThan">
      <formula>0</formula>
    </cfRule>
  </conditionalFormatting>
  <conditionalFormatting sqref="Q19:Q25">
    <cfRule type="cellIs" dxfId="11595" priority="1563" operator="lessThan">
      <formula>0</formula>
    </cfRule>
  </conditionalFormatting>
  <conditionalFormatting sqref="R19:R25">
    <cfRule type="cellIs" dxfId="11594" priority="1555" operator="lessThan">
      <formula>0.8</formula>
    </cfRule>
    <cfRule type="cellIs" dxfId="11593" priority="1556" operator="greaterThan">
      <formula>1</formula>
    </cfRule>
  </conditionalFormatting>
  <conditionalFormatting sqref="R19:R25">
    <cfRule type="cellIs" dxfId="11592" priority="1553" operator="greaterThan">
      <formula>1</formula>
    </cfRule>
    <cfRule type="cellIs" dxfId="11591" priority="1554" operator="lessThan">
      <formula>0.8</formula>
    </cfRule>
  </conditionalFormatting>
  <conditionalFormatting sqref="P19:P25">
    <cfRule type="cellIs" dxfId="11590" priority="1552" operator="greaterThan">
      <formula>0</formula>
    </cfRule>
  </conditionalFormatting>
  <conditionalFormatting sqref="Q19:Q25">
    <cfRule type="cellIs" dxfId="11589" priority="1557" operator="lessThan">
      <formula>0</formula>
    </cfRule>
  </conditionalFormatting>
  <conditionalFormatting sqref="Q19:Q25">
    <cfRule type="cellIs" dxfId="11588" priority="1551" operator="lessThan">
      <formula>0</formula>
    </cfRule>
  </conditionalFormatting>
  <conditionalFormatting sqref="R19:R25">
    <cfRule type="cellIs" dxfId="11587" priority="1549" operator="lessThan">
      <formula>0.8</formula>
    </cfRule>
    <cfRule type="cellIs" dxfId="11586" priority="1550" operator="greaterThan">
      <formula>1</formula>
    </cfRule>
  </conditionalFormatting>
  <conditionalFormatting sqref="R19:R25">
    <cfRule type="cellIs" dxfId="11585" priority="1547" operator="greaterThan">
      <formula>1</formula>
    </cfRule>
    <cfRule type="cellIs" dxfId="11584" priority="1548" operator="lessThan">
      <formula>0.8</formula>
    </cfRule>
  </conditionalFormatting>
  <conditionalFormatting sqref="P19:P25">
    <cfRule type="cellIs" dxfId="11583" priority="1546" operator="greaterThan">
      <formula>0</formula>
    </cfRule>
  </conditionalFormatting>
  <conditionalFormatting sqref="Q135:Q136 Q139 Q142">
    <cfRule type="cellIs" dxfId="11582" priority="1545" operator="lessThan">
      <formula>0</formula>
    </cfRule>
  </conditionalFormatting>
  <conditionalFormatting sqref="R135:R136 R139 R142">
    <cfRule type="cellIs" dxfId="11581" priority="1543" operator="lessThan">
      <formula>0.8</formula>
    </cfRule>
    <cfRule type="cellIs" dxfId="11580" priority="1544" operator="greaterThan">
      <formula>1</formula>
    </cfRule>
  </conditionalFormatting>
  <conditionalFormatting sqref="R135:R136 R139 R142">
    <cfRule type="cellIs" dxfId="11579" priority="1541" operator="greaterThan">
      <formula>1</formula>
    </cfRule>
    <cfRule type="cellIs" dxfId="11578" priority="1542" operator="lessThan">
      <formula>0.8</formula>
    </cfRule>
  </conditionalFormatting>
  <conditionalFormatting sqref="P135:P136 P139 P142">
    <cfRule type="cellIs" dxfId="11577" priority="1540" operator="greaterThan">
      <formula>0</formula>
    </cfRule>
  </conditionalFormatting>
  <conditionalFormatting sqref="P135:P136 P139 P142">
    <cfRule type="cellIs" dxfId="11576" priority="1534" operator="greaterThan">
      <formula>0</formula>
    </cfRule>
  </conditionalFormatting>
  <conditionalFormatting sqref="Q135:Q136 Q139 Q142">
    <cfRule type="cellIs" dxfId="11575" priority="1539" operator="lessThan">
      <formula>0</formula>
    </cfRule>
  </conditionalFormatting>
  <conditionalFormatting sqref="R135:R136 R139 R142">
    <cfRule type="cellIs" dxfId="11574" priority="1537" operator="lessThan">
      <formula>0.8</formula>
    </cfRule>
    <cfRule type="cellIs" dxfId="11573" priority="1538" operator="greaterThan">
      <formula>1</formula>
    </cfRule>
  </conditionalFormatting>
  <conditionalFormatting sqref="R135:R136 R139 R142">
    <cfRule type="cellIs" dxfId="11572" priority="1535" operator="greaterThan">
      <formula>1</formula>
    </cfRule>
    <cfRule type="cellIs" dxfId="11571" priority="1536" operator="lessThan">
      <formula>0.8</formula>
    </cfRule>
  </conditionalFormatting>
  <conditionalFormatting sqref="P19:P25">
    <cfRule type="cellIs" dxfId="11570" priority="1528" operator="greaterThan">
      <formula>0</formula>
    </cfRule>
  </conditionalFormatting>
  <conditionalFormatting sqref="Q19:Q25">
    <cfRule type="cellIs" dxfId="11569" priority="1533" operator="lessThan">
      <formula>0</formula>
    </cfRule>
  </conditionalFormatting>
  <conditionalFormatting sqref="R19:R25">
    <cfRule type="cellIs" dxfId="11568" priority="1531" operator="lessThan">
      <formula>0.8</formula>
    </cfRule>
    <cfRule type="cellIs" dxfId="11567" priority="1532" operator="greaterThan">
      <formula>1</formula>
    </cfRule>
  </conditionalFormatting>
  <conditionalFormatting sqref="R19:R25">
    <cfRule type="cellIs" dxfId="11566" priority="1529" operator="greaterThan">
      <formula>1</formula>
    </cfRule>
    <cfRule type="cellIs" dxfId="11565" priority="1530" operator="lessThan">
      <formula>0.8</formula>
    </cfRule>
  </conditionalFormatting>
  <conditionalFormatting sqref="Q19:Q25">
    <cfRule type="cellIs" dxfId="11564" priority="1527" operator="lessThan">
      <formula>0</formula>
    </cfRule>
  </conditionalFormatting>
  <conditionalFormatting sqref="R19:R25">
    <cfRule type="cellIs" dxfId="11563" priority="1525" operator="lessThan">
      <formula>0.8</formula>
    </cfRule>
    <cfRule type="cellIs" dxfId="11562" priority="1526" operator="greaterThan">
      <formula>1</formula>
    </cfRule>
  </conditionalFormatting>
  <conditionalFormatting sqref="R19:R25">
    <cfRule type="cellIs" dxfId="11561" priority="1523" operator="greaterThan">
      <formula>1</formula>
    </cfRule>
    <cfRule type="cellIs" dxfId="11560" priority="1524" operator="lessThan">
      <formula>0.8</formula>
    </cfRule>
  </conditionalFormatting>
  <conditionalFormatting sqref="P19:P25">
    <cfRule type="cellIs" dxfId="11559" priority="1522" operator="greaterThan">
      <formula>0</formula>
    </cfRule>
  </conditionalFormatting>
  <conditionalFormatting sqref="Q19:Q25">
    <cfRule type="cellIs" dxfId="11558" priority="1521" operator="lessThan">
      <formula>0</formula>
    </cfRule>
  </conditionalFormatting>
  <conditionalFormatting sqref="R19:R25">
    <cfRule type="cellIs" dxfId="11557" priority="1519" operator="lessThan">
      <formula>0.8</formula>
    </cfRule>
    <cfRule type="cellIs" dxfId="11556" priority="1520" operator="greaterThan">
      <formula>1</formula>
    </cfRule>
  </conditionalFormatting>
  <conditionalFormatting sqref="R19:R25">
    <cfRule type="cellIs" dxfId="11555" priority="1517" operator="greaterThan">
      <formula>1</formula>
    </cfRule>
    <cfRule type="cellIs" dxfId="11554" priority="1518" operator="lessThan">
      <formula>0.8</formula>
    </cfRule>
  </conditionalFormatting>
  <conditionalFormatting sqref="P19:P25">
    <cfRule type="cellIs" dxfId="11553" priority="1516" operator="greaterThan">
      <formula>0</formula>
    </cfRule>
  </conditionalFormatting>
  <conditionalFormatting sqref="Q19:Q25">
    <cfRule type="cellIs" dxfId="11552" priority="1515" operator="lessThan">
      <formula>0</formula>
    </cfRule>
  </conditionalFormatting>
  <conditionalFormatting sqref="R19:R25">
    <cfRule type="cellIs" dxfId="11551" priority="1513" operator="lessThan">
      <formula>0.8</formula>
    </cfRule>
    <cfRule type="cellIs" dxfId="11550" priority="1514" operator="greaterThan">
      <formula>1</formula>
    </cfRule>
  </conditionalFormatting>
  <conditionalFormatting sqref="R19:R25">
    <cfRule type="cellIs" dxfId="11549" priority="1511" operator="greaterThan">
      <formula>1</formula>
    </cfRule>
    <cfRule type="cellIs" dxfId="11548" priority="1512" operator="lessThan">
      <formula>0.8</formula>
    </cfRule>
  </conditionalFormatting>
  <conditionalFormatting sqref="P19:P25">
    <cfRule type="cellIs" dxfId="11547" priority="1510" operator="greaterThan">
      <formula>0</formula>
    </cfRule>
  </conditionalFormatting>
  <conditionalFormatting sqref="R19:R25">
    <cfRule type="cellIs" dxfId="11546" priority="1507" operator="lessThan">
      <formula>0.8</formula>
    </cfRule>
    <cfRule type="cellIs" dxfId="11545" priority="1508" operator="greaterThan">
      <formula>1</formula>
    </cfRule>
  </conditionalFormatting>
  <conditionalFormatting sqref="R19:R25">
    <cfRule type="cellIs" dxfId="11544" priority="1505" operator="greaterThan">
      <formula>1</formula>
    </cfRule>
    <cfRule type="cellIs" dxfId="11543" priority="1506" operator="lessThan">
      <formula>0.8</formula>
    </cfRule>
  </conditionalFormatting>
  <conditionalFormatting sqref="P19:P25">
    <cfRule type="cellIs" dxfId="11542" priority="1504" operator="greaterThan">
      <formula>0</formula>
    </cfRule>
  </conditionalFormatting>
  <conditionalFormatting sqref="Q19:Q25">
    <cfRule type="cellIs" dxfId="11541" priority="1509" operator="lessThan">
      <formula>0</formula>
    </cfRule>
  </conditionalFormatting>
  <conditionalFormatting sqref="Q19:Q25">
    <cfRule type="cellIs" dxfId="11540" priority="1503" operator="lessThan">
      <formula>0</formula>
    </cfRule>
  </conditionalFormatting>
  <conditionalFormatting sqref="R19:R25">
    <cfRule type="cellIs" dxfId="11539" priority="1501" operator="lessThan">
      <formula>0.8</formula>
    </cfRule>
    <cfRule type="cellIs" dxfId="11538" priority="1502" operator="greaterThan">
      <formula>1</formula>
    </cfRule>
  </conditionalFormatting>
  <conditionalFormatting sqref="R19:R25">
    <cfRule type="cellIs" dxfId="11537" priority="1499" operator="greaterThan">
      <formula>1</formula>
    </cfRule>
    <cfRule type="cellIs" dxfId="11536" priority="1500" operator="lessThan">
      <formula>0.8</formula>
    </cfRule>
  </conditionalFormatting>
  <conditionalFormatting sqref="P19:P25">
    <cfRule type="cellIs" dxfId="11535" priority="1498" operator="greaterThan">
      <formula>0</formula>
    </cfRule>
  </conditionalFormatting>
  <conditionalFormatting sqref="P19:P25">
    <cfRule type="cellIs" dxfId="11534" priority="1492" operator="greaterThan">
      <formula>0</formula>
    </cfRule>
  </conditionalFormatting>
  <conditionalFormatting sqref="Q19:Q25">
    <cfRule type="cellIs" dxfId="11533" priority="1497" operator="lessThan">
      <formula>0</formula>
    </cfRule>
  </conditionalFormatting>
  <conditionalFormatting sqref="R19:R25">
    <cfRule type="cellIs" dxfId="11532" priority="1495" operator="lessThan">
      <formula>0.8</formula>
    </cfRule>
    <cfRule type="cellIs" dxfId="11531" priority="1496" operator="greaterThan">
      <formula>1</formula>
    </cfRule>
  </conditionalFormatting>
  <conditionalFormatting sqref="R19:R25">
    <cfRule type="cellIs" dxfId="11530" priority="1493" operator="greaterThan">
      <formula>1</formula>
    </cfRule>
    <cfRule type="cellIs" dxfId="11529" priority="1494" operator="lessThan">
      <formula>0.8</formula>
    </cfRule>
  </conditionalFormatting>
  <conditionalFormatting sqref="P19:P25">
    <cfRule type="cellIs" dxfId="11528" priority="1486" operator="greaterThan">
      <formula>0</formula>
    </cfRule>
  </conditionalFormatting>
  <conditionalFormatting sqref="Q19:Q25">
    <cfRule type="cellIs" dxfId="11527" priority="1491" operator="lessThan">
      <formula>0</formula>
    </cfRule>
  </conditionalFormatting>
  <conditionalFormatting sqref="R19:R25">
    <cfRule type="cellIs" dxfId="11526" priority="1489" operator="lessThan">
      <formula>0.8</formula>
    </cfRule>
    <cfRule type="cellIs" dxfId="11525" priority="1490" operator="greaterThan">
      <formula>1</formula>
    </cfRule>
  </conditionalFormatting>
  <conditionalFormatting sqref="R19:R25">
    <cfRule type="cellIs" dxfId="11524" priority="1487" operator="greaterThan">
      <formula>1</formula>
    </cfRule>
    <cfRule type="cellIs" dxfId="11523" priority="1488" operator="lessThan">
      <formula>0.8</formula>
    </cfRule>
  </conditionalFormatting>
  <conditionalFormatting sqref="Q19:Q25">
    <cfRule type="cellIs" dxfId="11522" priority="1485" operator="lessThan">
      <formula>0</formula>
    </cfRule>
  </conditionalFormatting>
  <conditionalFormatting sqref="R19:R25">
    <cfRule type="cellIs" dxfId="11521" priority="1483" operator="lessThan">
      <formula>0.8</formula>
    </cfRule>
    <cfRule type="cellIs" dxfId="11520" priority="1484" operator="greaterThan">
      <formula>1</formula>
    </cfRule>
  </conditionalFormatting>
  <conditionalFormatting sqref="R19:R25">
    <cfRule type="cellIs" dxfId="11519" priority="1481" operator="greaterThan">
      <formula>1</formula>
    </cfRule>
    <cfRule type="cellIs" dxfId="11518" priority="1482" operator="lessThan">
      <formula>0.8</formula>
    </cfRule>
  </conditionalFormatting>
  <conditionalFormatting sqref="P19:P25">
    <cfRule type="cellIs" dxfId="11517" priority="1480" operator="greaterThan">
      <formula>0</formula>
    </cfRule>
  </conditionalFormatting>
  <conditionalFormatting sqref="Q19:Q25">
    <cfRule type="cellIs" dxfId="11516" priority="1479" operator="lessThan">
      <formula>0</formula>
    </cfRule>
  </conditionalFormatting>
  <conditionalFormatting sqref="R19:R25">
    <cfRule type="cellIs" dxfId="11515" priority="1477" operator="lessThan">
      <formula>0.8</formula>
    </cfRule>
    <cfRule type="cellIs" dxfId="11514" priority="1478" operator="greaterThan">
      <formula>1</formula>
    </cfRule>
  </conditionalFormatting>
  <conditionalFormatting sqref="R19:R25">
    <cfRule type="cellIs" dxfId="11513" priority="1475" operator="greaterThan">
      <formula>1</formula>
    </cfRule>
    <cfRule type="cellIs" dxfId="11512" priority="1476" operator="lessThan">
      <formula>0.8</formula>
    </cfRule>
  </conditionalFormatting>
  <conditionalFormatting sqref="P19:P25">
    <cfRule type="cellIs" dxfId="11511" priority="1474" operator="greaterThan">
      <formula>0</formula>
    </cfRule>
  </conditionalFormatting>
  <conditionalFormatting sqref="P19:P25">
    <cfRule type="cellIs" dxfId="11510" priority="1468" operator="greaterThan">
      <formula>0</formula>
    </cfRule>
  </conditionalFormatting>
  <conditionalFormatting sqref="Q19:Q25">
    <cfRule type="cellIs" dxfId="11509" priority="1473" operator="lessThan">
      <formula>0</formula>
    </cfRule>
  </conditionalFormatting>
  <conditionalFormatting sqref="R19:R25">
    <cfRule type="cellIs" dxfId="11508" priority="1471" operator="lessThan">
      <formula>0.8</formula>
    </cfRule>
    <cfRule type="cellIs" dxfId="11507" priority="1472" operator="greaterThan">
      <formula>1</formula>
    </cfRule>
  </conditionalFormatting>
  <conditionalFormatting sqref="R19:R25">
    <cfRule type="cellIs" dxfId="11506" priority="1469" operator="greaterThan">
      <formula>1</formula>
    </cfRule>
    <cfRule type="cellIs" dxfId="11505" priority="1470" operator="lessThan">
      <formula>0.8</formula>
    </cfRule>
  </conditionalFormatting>
  <conditionalFormatting sqref="Q19:Q25">
    <cfRule type="cellIs" dxfId="11504" priority="1467" operator="lessThan">
      <formula>0</formula>
    </cfRule>
  </conditionalFormatting>
  <conditionalFormatting sqref="R19:R25">
    <cfRule type="cellIs" dxfId="11503" priority="1465" operator="lessThan">
      <formula>0.8</formula>
    </cfRule>
    <cfRule type="cellIs" dxfId="11502" priority="1466" operator="greaterThan">
      <formula>1</formula>
    </cfRule>
  </conditionalFormatting>
  <conditionalFormatting sqref="R19:R25">
    <cfRule type="cellIs" dxfId="11501" priority="1463" operator="greaterThan">
      <formula>1</formula>
    </cfRule>
    <cfRule type="cellIs" dxfId="11500" priority="1464" operator="lessThan">
      <formula>0.8</formula>
    </cfRule>
  </conditionalFormatting>
  <conditionalFormatting sqref="P19:P25">
    <cfRule type="cellIs" dxfId="11499" priority="1462" operator="greaterThan">
      <formula>0</formula>
    </cfRule>
  </conditionalFormatting>
  <conditionalFormatting sqref="Q19:Q25">
    <cfRule type="cellIs" dxfId="11498" priority="1461" operator="lessThan">
      <formula>0</formula>
    </cfRule>
  </conditionalFormatting>
  <conditionalFormatting sqref="R19:R25">
    <cfRule type="cellIs" dxfId="11497" priority="1459" operator="lessThan">
      <formula>0.8</formula>
    </cfRule>
    <cfRule type="cellIs" dxfId="11496" priority="1460" operator="greaterThan">
      <formula>1</formula>
    </cfRule>
  </conditionalFormatting>
  <conditionalFormatting sqref="R19:R25">
    <cfRule type="cellIs" dxfId="11495" priority="1457" operator="greaterThan">
      <formula>1</formula>
    </cfRule>
    <cfRule type="cellIs" dxfId="11494" priority="1458" operator="lessThan">
      <formula>0.8</formula>
    </cfRule>
  </conditionalFormatting>
  <conditionalFormatting sqref="P19:P25">
    <cfRule type="cellIs" dxfId="11493" priority="1456" operator="greaterThan">
      <formula>0</formula>
    </cfRule>
  </conditionalFormatting>
  <conditionalFormatting sqref="Q19:Q25">
    <cfRule type="cellIs" dxfId="11492" priority="1455" operator="lessThan">
      <formula>0</formula>
    </cfRule>
  </conditionalFormatting>
  <conditionalFormatting sqref="R19:R25">
    <cfRule type="cellIs" dxfId="11491" priority="1453" operator="lessThan">
      <formula>0.8</formula>
    </cfRule>
    <cfRule type="cellIs" dxfId="11490" priority="1454" operator="greaterThan">
      <formula>1</formula>
    </cfRule>
  </conditionalFormatting>
  <conditionalFormatting sqref="R19:R25">
    <cfRule type="cellIs" dxfId="11489" priority="1451" operator="greaterThan">
      <formula>1</formula>
    </cfRule>
    <cfRule type="cellIs" dxfId="11488" priority="1452" operator="lessThan">
      <formula>0.8</formula>
    </cfRule>
  </conditionalFormatting>
  <conditionalFormatting sqref="P19:P25">
    <cfRule type="cellIs" dxfId="11487" priority="1450" operator="greaterThan">
      <formula>0</formula>
    </cfRule>
  </conditionalFormatting>
  <conditionalFormatting sqref="R19:R25">
    <cfRule type="cellIs" dxfId="11486" priority="1447" operator="lessThan">
      <formula>0.8</formula>
    </cfRule>
    <cfRule type="cellIs" dxfId="11485" priority="1448" operator="greaterThan">
      <formula>1</formula>
    </cfRule>
  </conditionalFormatting>
  <conditionalFormatting sqref="R19:R25">
    <cfRule type="cellIs" dxfId="11484" priority="1445" operator="greaterThan">
      <formula>1</formula>
    </cfRule>
    <cfRule type="cellIs" dxfId="11483" priority="1446" operator="lessThan">
      <formula>0.8</formula>
    </cfRule>
  </conditionalFormatting>
  <conditionalFormatting sqref="P19:P25">
    <cfRule type="cellIs" dxfId="11482" priority="1444" operator="greaterThan">
      <formula>0</formula>
    </cfRule>
  </conditionalFormatting>
  <conditionalFormatting sqref="Q19:Q25">
    <cfRule type="cellIs" dxfId="11481" priority="1449" operator="lessThan">
      <formula>0</formula>
    </cfRule>
  </conditionalFormatting>
  <conditionalFormatting sqref="Q40">
    <cfRule type="cellIs" dxfId="11480" priority="1443" operator="lessThan">
      <formula>0</formula>
    </cfRule>
  </conditionalFormatting>
  <conditionalFormatting sqref="R40">
    <cfRule type="cellIs" dxfId="11479" priority="1441" operator="lessThan">
      <formula>0.8</formula>
    </cfRule>
    <cfRule type="cellIs" dxfId="11478" priority="1442" operator="greaterThan">
      <formula>1</formula>
    </cfRule>
  </conditionalFormatting>
  <conditionalFormatting sqref="R40">
    <cfRule type="cellIs" dxfId="11477" priority="1439" operator="greaterThan">
      <formula>1</formula>
    </cfRule>
    <cfRule type="cellIs" dxfId="11476" priority="1440" operator="lessThan">
      <formula>0.8</formula>
    </cfRule>
  </conditionalFormatting>
  <conditionalFormatting sqref="P40">
    <cfRule type="cellIs" dxfId="11475" priority="1438" operator="greaterThan">
      <formula>0</formula>
    </cfRule>
  </conditionalFormatting>
  <conditionalFormatting sqref="P40">
    <cfRule type="cellIs" dxfId="11474" priority="1432" operator="greaterThan">
      <formula>0</formula>
    </cfRule>
  </conditionalFormatting>
  <conditionalFormatting sqref="Q40">
    <cfRule type="cellIs" dxfId="11473" priority="1437" operator="lessThan">
      <formula>0</formula>
    </cfRule>
  </conditionalFormatting>
  <conditionalFormatting sqref="R40">
    <cfRule type="cellIs" dxfId="11472" priority="1435" operator="lessThan">
      <formula>0.8</formula>
    </cfRule>
    <cfRule type="cellIs" dxfId="11471" priority="1436" operator="greaterThan">
      <formula>1</formula>
    </cfRule>
  </conditionalFormatting>
  <conditionalFormatting sqref="R40">
    <cfRule type="cellIs" dxfId="11470" priority="1433" operator="greaterThan">
      <formula>1</formula>
    </cfRule>
    <cfRule type="cellIs" dxfId="11469" priority="1434" operator="lessThan">
      <formula>0.8</formula>
    </cfRule>
  </conditionalFormatting>
  <conditionalFormatting sqref="P40">
    <cfRule type="cellIs" dxfId="11468" priority="1426" operator="greaterThan">
      <formula>0</formula>
    </cfRule>
  </conditionalFormatting>
  <conditionalFormatting sqref="Q40">
    <cfRule type="cellIs" dxfId="11467" priority="1431" operator="lessThan">
      <formula>0</formula>
    </cfRule>
  </conditionalFormatting>
  <conditionalFormatting sqref="R40">
    <cfRule type="cellIs" dxfId="11466" priority="1429" operator="lessThan">
      <formula>0.8</formula>
    </cfRule>
    <cfRule type="cellIs" dxfId="11465" priority="1430" operator="greaterThan">
      <formula>1</formula>
    </cfRule>
  </conditionalFormatting>
  <conditionalFormatting sqref="R40">
    <cfRule type="cellIs" dxfId="11464" priority="1427" operator="greaterThan">
      <formula>1</formula>
    </cfRule>
    <cfRule type="cellIs" dxfId="11463" priority="1428" operator="lessThan">
      <formula>0.8</formula>
    </cfRule>
  </conditionalFormatting>
  <conditionalFormatting sqref="Q40">
    <cfRule type="cellIs" dxfId="11462" priority="1425" operator="lessThan">
      <formula>0</formula>
    </cfRule>
  </conditionalFormatting>
  <conditionalFormatting sqref="R40">
    <cfRule type="cellIs" dxfId="11461" priority="1423" operator="lessThan">
      <formula>0.8</formula>
    </cfRule>
    <cfRule type="cellIs" dxfId="11460" priority="1424" operator="greaterThan">
      <formula>1</formula>
    </cfRule>
  </conditionalFormatting>
  <conditionalFormatting sqref="R40">
    <cfRule type="cellIs" dxfId="11459" priority="1421" operator="greaterThan">
      <formula>1</formula>
    </cfRule>
    <cfRule type="cellIs" dxfId="11458" priority="1422" operator="lessThan">
      <formula>0.8</formula>
    </cfRule>
  </conditionalFormatting>
  <conditionalFormatting sqref="P40">
    <cfRule type="cellIs" dxfId="11457" priority="1420" operator="greaterThan">
      <formula>0</formula>
    </cfRule>
  </conditionalFormatting>
  <conditionalFormatting sqref="P40">
    <cfRule type="cellIs" dxfId="11456" priority="1414" operator="greaterThan">
      <formula>0</formula>
    </cfRule>
  </conditionalFormatting>
  <conditionalFormatting sqref="Q40">
    <cfRule type="cellIs" dxfId="11455" priority="1419" operator="lessThan">
      <formula>0</formula>
    </cfRule>
  </conditionalFormatting>
  <conditionalFormatting sqref="R40">
    <cfRule type="cellIs" dxfId="11454" priority="1417" operator="lessThan">
      <formula>0.8</formula>
    </cfRule>
    <cfRule type="cellIs" dxfId="11453" priority="1418" operator="greaterThan">
      <formula>1</formula>
    </cfRule>
  </conditionalFormatting>
  <conditionalFormatting sqref="R40">
    <cfRule type="cellIs" dxfId="11452" priority="1415" operator="greaterThan">
      <formula>1</formula>
    </cfRule>
    <cfRule type="cellIs" dxfId="11451" priority="1416" operator="lessThan">
      <formula>0.8</formula>
    </cfRule>
  </conditionalFormatting>
  <conditionalFormatting sqref="P40">
    <cfRule type="cellIs" dxfId="11450" priority="1408" operator="greaterThan">
      <formula>0</formula>
    </cfRule>
  </conditionalFormatting>
  <conditionalFormatting sqref="Q40">
    <cfRule type="cellIs" dxfId="11449" priority="1413" operator="lessThan">
      <formula>0</formula>
    </cfRule>
  </conditionalFormatting>
  <conditionalFormatting sqref="R40">
    <cfRule type="cellIs" dxfId="11448" priority="1411" operator="lessThan">
      <formula>0.8</formula>
    </cfRule>
    <cfRule type="cellIs" dxfId="11447" priority="1412" operator="greaterThan">
      <formula>1</formula>
    </cfRule>
  </conditionalFormatting>
  <conditionalFormatting sqref="R40">
    <cfRule type="cellIs" dxfId="11446" priority="1409" operator="greaterThan">
      <formula>1</formula>
    </cfRule>
    <cfRule type="cellIs" dxfId="11445" priority="1410" operator="lessThan">
      <formula>0.8</formula>
    </cfRule>
  </conditionalFormatting>
  <conditionalFormatting sqref="P40">
    <cfRule type="cellIs" dxfId="11444" priority="1402" operator="greaterThan">
      <formula>0</formula>
    </cfRule>
  </conditionalFormatting>
  <conditionalFormatting sqref="Q40">
    <cfRule type="cellIs" dxfId="11443" priority="1407" operator="lessThan">
      <formula>0</formula>
    </cfRule>
  </conditionalFormatting>
  <conditionalFormatting sqref="R40">
    <cfRule type="cellIs" dxfId="11442" priority="1405" operator="lessThan">
      <formula>0.8</formula>
    </cfRule>
    <cfRule type="cellIs" dxfId="11441" priority="1406" operator="greaterThan">
      <formula>1</formula>
    </cfRule>
  </conditionalFormatting>
  <conditionalFormatting sqref="R40">
    <cfRule type="cellIs" dxfId="11440" priority="1403" operator="greaterThan">
      <formula>1</formula>
    </cfRule>
    <cfRule type="cellIs" dxfId="11439" priority="1404" operator="lessThan">
      <formula>0.8</formula>
    </cfRule>
  </conditionalFormatting>
  <conditionalFormatting sqref="Q40">
    <cfRule type="cellIs" dxfId="11438" priority="1396" operator="lessThan">
      <formula>0</formula>
    </cfRule>
  </conditionalFormatting>
  <conditionalFormatting sqref="P40">
    <cfRule type="cellIs" dxfId="11437" priority="1397" operator="greaterThan">
      <formula>0</formula>
    </cfRule>
  </conditionalFormatting>
  <conditionalFormatting sqref="R40">
    <cfRule type="cellIs" dxfId="11436" priority="1400" operator="lessThan">
      <formula>0.8</formula>
    </cfRule>
    <cfRule type="cellIs" dxfId="11435" priority="1401" operator="greaterThan">
      <formula>1</formula>
    </cfRule>
  </conditionalFormatting>
  <conditionalFormatting sqref="R40">
    <cfRule type="cellIs" dxfId="11434" priority="1398" operator="greaterThan">
      <formula>1</formula>
    </cfRule>
    <cfRule type="cellIs" dxfId="11433" priority="1399" operator="lessThan">
      <formula>0.8</formula>
    </cfRule>
  </conditionalFormatting>
  <conditionalFormatting sqref="Q40">
    <cfRule type="cellIs" dxfId="11432" priority="1390" operator="lessThan">
      <formula>0</formula>
    </cfRule>
  </conditionalFormatting>
  <conditionalFormatting sqref="R40">
    <cfRule type="cellIs" dxfId="11431" priority="1394" operator="lessThan">
      <formula>0.8</formula>
    </cfRule>
    <cfRule type="cellIs" dxfId="11430" priority="1395" operator="greaterThan">
      <formula>1</formula>
    </cfRule>
  </conditionalFormatting>
  <conditionalFormatting sqref="R40">
    <cfRule type="cellIs" dxfId="11429" priority="1392" operator="greaterThan">
      <formula>1</formula>
    </cfRule>
    <cfRule type="cellIs" dxfId="11428" priority="1393" operator="lessThan">
      <formula>0.8</formula>
    </cfRule>
  </conditionalFormatting>
  <conditionalFormatting sqref="P40">
    <cfRule type="cellIs" dxfId="11427" priority="1391" operator="greaterThan">
      <formula>0</formula>
    </cfRule>
  </conditionalFormatting>
  <conditionalFormatting sqref="Q40">
    <cfRule type="cellIs" dxfId="11426" priority="1389" operator="lessThan">
      <formula>0</formula>
    </cfRule>
  </conditionalFormatting>
  <conditionalFormatting sqref="R40">
    <cfRule type="cellIs" dxfId="11425" priority="1387" operator="lessThan">
      <formula>0.8</formula>
    </cfRule>
    <cfRule type="cellIs" dxfId="11424" priority="1388" operator="greaterThan">
      <formula>1</formula>
    </cfRule>
  </conditionalFormatting>
  <conditionalFormatting sqref="R40">
    <cfRule type="cellIs" dxfId="11423" priority="1385" operator="greaterThan">
      <formula>1</formula>
    </cfRule>
    <cfRule type="cellIs" dxfId="11422" priority="1386" operator="lessThan">
      <formula>0.8</formula>
    </cfRule>
  </conditionalFormatting>
  <conditionalFormatting sqref="P40">
    <cfRule type="cellIs" dxfId="11421" priority="1384" operator="greaterThan">
      <formula>0</formula>
    </cfRule>
  </conditionalFormatting>
  <conditionalFormatting sqref="Q40">
    <cfRule type="cellIs" dxfId="11420" priority="1383" operator="lessThan">
      <formula>0</formula>
    </cfRule>
  </conditionalFormatting>
  <conditionalFormatting sqref="R40">
    <cfRule type="cellIs" dxfId="11419" priority="1381" operator="lessThan">
      <formula>0.8</formula>
    </cfRule>
    <cfRule type="cellIs" dxfId="11418" priority="1382" operator="greaterThan">
      <formula>1</formula>
    </cfRule>
  </conditionalFormatting>
  <conditionalFormatting sqref="R40">
    <cfRule type="cellIs" dxfId="11417" priority="1379" operator="greaterThan">
      <formula>1</formula>
    </cfRule>
    <cfRule type="cellIs" dxfId="11416" priority="1380" operator="lessThan">
      <formula>0.8</formula>
    </cfRule>
  </conditionalFormatting>
  <conditionalFormatting sqref="P40">
    <cfRule type="cellIs" dxfId="11415" priority="1378" operator="greaterThan">
      <formula>0</formula>
    </cfRule>
  </conditionalFormatting>
  <conditionalFormatting sqref="Q32:Q39">
    <cfRule type="cellIs" dxfId="11414" priority="1377" operator="lessThan">
      <formula>0</formula>
    </cfRule>
  </conditionalFormatting>
  <conditionalFormatting sqref="R32:R39">
    <cfRule type="cellIs" dxfId="11413" priority="1375" operator="lessThan">
      <formula>0.8</formula>
    </cfRule>
    <cfRule type="cellIs" dxfId="11412" priority="1376" operator="greaterThan">
      <formula>1</formula>
    </cfRule>
  </conditionalFormatting>
  <conditionalFormatting sqref="R32:R39">
    <cfRule type="cellIs" dxfId="11411" priority="1373" operator="greaterThan">
      <formula>1</formula>
    </cfRule>
    <cfRule type="cellIs" dxfId="11410" priority="1374" operator="lessThan">
      <formula>0.8</formula>
    </cfRule>
  </conditionalFormatting>
  <conditionalFormatting sqref="P32:P39">
    <cfRule type="cellIs" dxfId="11409" priority="1372" operator="greaterThan">
      <formula>0</formula>
    </cfRule>
  </conditionalFormatting>
  <conditionalFormatting sqref="Q32:Q39">
    <cfRule type="cellIs" dxfId="11408" priority="1371" operator="lessThan">
      <formula>0</formula>
    </cfRule>
  </conditionalFormatting>
  <conditionalFormatting sqref="R32:R39">
    <cfRule type="cellIs" dxfId="11407" priority="1369" operator="lessThan">
      <formula>0.8</formula>
    </cfRule>
    <cfRule type="cellIs" dxfId="11406" priority="1370" operator="greaterThan">
      <formula>1</formula>
    </cfRule>
  </conditionalFormatting>
  <conditionalFormatting sqref="R32:R39">
    <cfRule type="cellIs" dxfId="11405" priority="1367" operator="greaterThan">
      <formula>1</formula>
    </cfRule>
    <cfRule type="cellIs" dxfId="11404" priority="1368" operator="lessThan">
      <formula>0.8</formula>
    </cfRule>
  </conditionalFormatting>
  <conditionalFormatting sqref="P32:P39">
    <cfRule type="cellIs" dxfId="11403" priority="1366" operator="greaterThan">
      <formula>0</formula>
    </cfRule>
  </conditionalFormatting>
  <conditionalFormatting sqref="Q32:Q39">
    <cfRule type="cellIs" dxfId="11402" priority="1365" operator="lessThan">
      <formula>0</formula>
    </cfRule>
  </conditionalFormatting>
  <conditionalFormatting sqref="R32:R39">
    <cfRule type="cellIs" dxfId="11401" priority="1363" operator="lessThan">
      <formula>0.8</formula>
    </cfRule>
    <cfRule type="cellIs" dxfId="11400" priority="1364" operator="greaterThan">
      <formula>1</formula>
    </cfRule>
  </conditionalFormatting>
  <conditionalFormatting sqref="R32:R39">
    <cfRule type="cellIs" dxfId="11399" priority="1361" operator="greaterThan">
      <formula>1</formula>
    </cfRule>
    <cfRule type="cellIs" dxfId="11398" priority="1362" operator="lessThan">
      <formula>0.8</formula>
    </cfRule>
  </conditionalFormatting>
  <conditionalFormatting sqref="P32:P39">
    <cfRule type="cellIs" dxfId="11397" priority="1360" operator="greaterThan">
      <formula>0</formula>
    </cfRule>
  </conditionalFormatting>
  <conditionalFormatting sqref="Q32:Q39">
    <cfRule type="cellIs" dxfId="11396" priority="1359" operator="lessThan">
      <formula>0</formula>
    </cfRule>
  </conditionalFormatting>
  <conditionalFormatting sqref="R32:R39">
    <cfRule type="cellIs" dxfId="11395" priority="1357" operator="lessThan">
      <formula>0.8</formula>
    </cfRule>
    <cfRule type="cellIs" dxfId="11394" priority="1358" operator="greaterThan">
      <formula>1</formula>
    </cfRule>
  </conditionalFormatting>
  <conditionalFormatting sqref="R32:R39">
    <cfRule type="cellIs" dxfId="11393" priority="1355" operator="greaterThan">
      <formula>1</formula>
    </cfRule>
    <cfRule type="cellIs" dxfId="11392" priority="1356" operator="lessThan">
      <formula>0.8</formula>
    </cfRule>
  </conditionalFormatting>
  <conditionalFormatting sqref="P32:P39">
    <cfRule type="cellIs" dxfId="11391" priority="1354" operator="greaterThan">
      <formula>0</formula>
    </cfRule>
  </conditionalFormatting>
  <conditionalFormatting sqref="P32:P39">
    <cfRule type="cellIs" dxfId="11390" priority="1348" operator="greaterThan">
      <formula>0</formula>
    </cfRule>
  </conditionalFormatting>
  <conditionalFormatting sqref="Q32:Q39">
    <cfRule type="cellIs" dxfId="11389" priority="1353" operator="lessThan">
      <formula>0</formula>
    </cfRule>
  </conditionalFormatting>
  <conditionalFormatting sqref="R32:R39">
    <cfRule type="cellIs" dxfId="11388" priority="1351" operator="lessThan">
      <formula>0.8</formula>
    </cfRule>
    <cfRule type="cellIs" dxfId="11387" priority="1352" operator="greaterThan">
      <formula>1</formula>
    </cfRule>
  </conditionalFormatting>
  <conditionalFormatting sqref="R32:R39">
    <cfRule type="cellIs" dxfId="11386" priority="1349" operator="greaterThan">
      <formula>1</formula>
    </cfRule>
    <cfRule type="cellIs" dxfId="11385" priority="1350" operator="lessThan">
      <formula>0.8</formula>
    </cfRule>
  </conditionalFormatting>
  <conditionalFormatting sqref="P32:P39">
    <cfRule type="cellIs" dxfId="11384" priority="1342" operator="greaterThan">
      <formula>0</formula>
    </cfRule>
  </conditionalFormatting>
  <conditionalFormatting sqref="Q32:Q39">
    <cfRule type="cellIs" dxfId="11383" priority="1347" operator="lessThan">
      <formula>0</formula>
    </cfRule>
  </conditionalFormatting>
  <conditionalFormatting sqref="R32:R39">
    <cfRule type="cellIs" dxfId="11382" priority="1345" operator="lessThan">
      <formula>0.8</formula>
    </cfRule>
    <cfRule type="cellIs" dxfId="11381" priority="1346" operator="greaterThan">
      <formula>1</formula>
    </cfRule>
  </conditionalFormatting>
  <conditionalFormatting sqref="R32:R39">
    <cfRule type="cellIs" dxfId="11380" priority="1343" operator="greaterThan">
      <formula>1</formula>
    </cfRule>
    <cfRule type="cellIs" dxfId="11379" priority="1344" operator="lessThan">
      <formula>0.8</formula>
    </cfRule>
  </conditionalFormatting>
  <conditionalFormatting sqref="R32:R39">
    <cfRule type="cellIs" dxfId="11378" priority="1339" operator="lessThan">
      <formula>0.8</formula>
    </cfRule>
    <cfRule type="cellIs" dxfId="11377" priority="1340" operator="greaterThan">
      <formula>1</formula>
    </cfRule>
  </conditionalFormatting>
  <conditionalFormatting sqref="R32:R39">
    <cfRule type="cellIs" dxfId="11376" priority="1337" operator="greaterThan">
      <formula>1</formula>
    </cfRule>
    <cfRule type="cellIs" dxfId="11375" priority="1338" operator="lessThan">
      <formula>0.8</formula>
    </cfRule>
  </conditionalFormatting>
  <conditionalFormatting sqref="P32:P39">
    <cfRule type="cellIs" dxfId="11374" priority="1336" operator="greaterThan">
      <formula>0</formula>
    </cfRule>
  </conditionalFormatting>
  <conditionalFormatting sqref="Q32:Q39">
    <cfRule type="cellIs" dxfId="11373" priority="1341" operator="lessThan">
      <formula>0</formula>
    </cfRule>
  </conditionalFormatting>
  <conditionalFormatting sqref="Q32:Q39">
    <cfRule type="cellIs" dxfId="11372" priority="1335" operator="lessThan">
      <formula>0</formula>
    </cfRule>
  </conditionalFormatting>
  <conditionalFormatting sqref="R32:R39">
    <cfRule type="cellIs" dxfId="11371" priority="1333" operator="lessThan">
      <formula>0.8</formula>
    </cfRule>
    <cfRule type="cellIs" dxfId="11370" priority="1334" operator="greaterThan">
      <formula>1</formula>
    </cfRule>
  </conditionalFormatting>
  <conditionalFormatting sqref="R32:R39">
    <cfRule type="cellIs" dxfId="11369" priority="1331" operator="greaterThan">
      <formula>1</formula>
    </cfRule>
    <cfRule type="cellIs" dxfId="11368" priority="1332" operator="lessThan">
      <formula>0.8</formula>
    </cfRule>
  </conditionalFormatting>
  <conditionalFormatting sqref="P32:P39">
    <cfRule type="cellIs" dxfId="11367" priority="1330" operator="greaterThan">
      <formula>0</formula>
    </cfRule>
  </conditionalFormatting>
  <conditionalFormatting sqref="P32:P39">
    <cfRule type="cellIs" dxfId="11366" priority="1324" operator="greaterThan">
      <formula>0</formula>
    </cfRule>
  </conditionalFormatting>
  <conditionalFormatting sqref="Q32:Q39">
    <cfRule type="cellIs" dxfId="11365" priority="1329" operator="lessThan">
      <formula>0</formula>
    </cfRule>
  </conditionalFormatting>
  <conditionalFormatting sqref="R32:R39">
    <cfRule type="cellIs" dxfId="11364" priority="1327" operator="lessThan">
      <formula>0.8</formula>
    </cfRule>
    <cfRule type="cellIs" dxfId="11363" priority="1328" operator="greaterThan">
      <formula>1</formula>
    </cfRule>
  </conditionalFormatting>
  <conditionalFormatting sqref="R32:R39">
    <cfRule type="cellIs" dxfId="11362" priority="1325" operator="greaterThan">
      <formula>1</formula>
    </cfRule>
    <cfRule type="cellIs" dxfId="11361" priority="1326" operator="lessThan">
      <formula>0.8</formula>
    </cfRule>
  </conditionalFormatting>
  <conditionalFormatting sqref="P32:P39">
    <cfRule type="cellIs" dxfId="11360" priority="1318" operator="greaterThan">
      <formula>0</formula>
    </cfRule>
  </conditionalFormatting>
  <conditionalFormatting sqref="Q32:Q39">
    <cfRule type="cellIs" dxfId="11359" priority="1323" operator="lessThan">
      <formula>0</formula>
    </cfRule>
  </conditionalFormatting>
  <conditionalFormatting sqref="R32:R39">
    <cfRule type="cellIs" dxfId="11358" priority="1321" operator="lessThan">
      <formula>0.8</formula>
    </cfRule>
    <cfRule type="cellIs" dxfId="11357" priority="1322" operator="greaterThan">
      <formula>1</formula>
    </cfRule>
  </conditionalFormatting>
  <conditionalFormatting sqref="R32:R39">
    <cfRule type="cellIs" dxfId="11356" priority="1319" operator="greaterThan">
      <formula>1</formula>
    </cfRule>
    <cfRule type="cellIs" dxfId="11355" priority="1320" operator="lessThan">
      <formula>0.8</formula>
    </cfRule>
  </conditionalFormatting>
  <conditionalFormatting sqref="R32:R39">
    <cfRule type="cellIs" dxfId="11354" priority="1315" operator="lessThan">
      <formula>0.8</formula>
    </cfRule>
    <cfRule type="cellIs" dxfId="11353" priority="1316" operator="greaterThan">
      <formula>1</formula>
    </cfRule>
  </conditionalFormatting>
  <conditionalFormatting sqref="R32:R39">
    <cfRule type="cellIs" dxfId="11352" priority="1313" operator="greaterThan">
      <formula>1</formula>
    </cfRule>
    <cfRule type="cellIs" dxfId="11351" priority="1314" operator="lessThan">
      <formula>0.8</formula>
    </cfRule>
  </conditionalFormatting>
  <conditionalFormatting sqref="P32:P39">
    <cfRule type="cellIs" dxfId="11350" priority="1312" operator="greaterThan">
      <formula>0</formula>
    </cfRule>
  </conditionalFormatting>
  <conditionalFormatting sqref="Q32:Q39">
    <cfRule type="cellIs" dxfId="11349" priority="1317" operator="lessThan">
      <formula>0</formula>
    </cfRule>
  </conditionalFormatting>
  <conditionalFormatting sqref="P32:P39">
    <cfRule type="cellIs" dxfId="11348" priority="1306" operator="greaterThan">
      <formula>0</formula>
    </cfRule>
  </conditionalFormatting>
  <conditionalFormatting sqref="Q32:Q39">
    <cfRule type="cellIs" dxfId="11347" priority="1311" operator="lessThan">
      <formula>0</formula>
    </cfRule>
  </conditionalFormatting>
  <conditionalFormatting sqref="R32:R39">
    <cfRule type="cellIs" dxfId="11346" priority="1309" operator="lessThan">
      <formula>0.8</formula>
    </cfRule>
    <cfRule type="cellIs" dxfId="11345" priority="1310" operator="greaterThan">
      <formula>1</formula>
    </cfRule>
  </conditionalFormatting>
  <conditionalFormatting sqref="R32:R39">
    <cfRule type="cellIs" dxfId="11344" priority="1307" operator="greaterThan">
      <formula>1</formula>
    </cfRule>
    <cfRule type="cellIs" dxfId="11343" priority="1308" operator="lessThan">
      <formula>0.8</formula>
    </cfRule>
  </conditionalFormatting>
  <conditionalFormatting sqref="R32:R39">
    <cfRule type="cellIs" dxfId="11342" priority="1303" operator="lessThan">
      <formula>0.8</formula>
    </cfRule>
    <cfRule type="cellIs" dxfId="11341" priority="1304" operator="greaterThan">
      <formula>1</formula>
    </cfRule>
  </conditionalFormatting>
  <conditionalFormatting sqref="R32:R39">
    <cfRule type="cellIs" dxfId="11340" priority="1301" operator="greaterThan">
      <formula>1</formula>
    </cfRule>
    <cfRule type="cellIs" dxfId="11339" priority="1302" operator="lessThan">
      <formula>0.8</formula>
    </cfRule>
  </conditionalFormatting>
  <conditionalFormatting sqref="P32:P39">
    <cfRule type="cellIs" dxfId="11338" priority="1300" operator="greaterThan">
      <formula>0</formula>
    </cfRule>
  </conditionalFormatting>
  <conditionalFormatting sqref="Q32:Q39">
    <cfRule type="cellIs" dxfId="11337" priority="1305" operator="lessThan">
      <formula>0</formula>
    </cfRule>
  </conditionalFormatting>
  <conditionalFormatting sqref="R32:R39">
    <cfRule type="cellIs" dxfId="11336" priority="1297" operator="lessThan">
      <formula>0.8</formula>
    </cfRule>
    <cfRule type="cellIs" dxfId="11335" priority="1298" operator="greaterThan">
      <formula>1</formula>
    </cfRule>
  </conditionalFormatting>
  <conditionalFormatting sqref="R32:R39">
    <cfRule type="cellIs" dxfId="11334" priority="1295" operator="greaterThan">
      <formula>1</formula>
    </cfRule>
    <cfRule type="cellIs" dxfId="11333" priority="1296" operator="lessThan">
      <formula>0.8</formula>
    </cfRule>
  </conditionalFormatting>
  <conditionalFormatting sqref="P32:P39">
    <cfRule type="cellIs" dxfId="11332" priority="1294" operator="greaterThan">
      <formula>0</formula>
    </cfRule>
  </conditionalFormatting>
  <conditionalFormatting sqref="Q32:Q39">
    <cfRule type="cellIs" dxfId="11331" priority="1299" operator="lessThan">
      <formula>0</formula>
    </cfRule>
  </conditionalFormatting>
  <conditionalFormatting sqref="Q32:Q39">
    <cfRule type="cellIs" dxfId="11330" priority="1293" operator="lessThan">
      <formula>0</formula>
    </cfRule>
  </conditionalFormatting>
  <conditionalFormatting sqref="R32:R39">
    <cfRule type="cellIs" dxfId="11329" priority="1291" operator="lessThan">
      <formula>0.8</formula>
    </cfRule>
    <cfRule type="cellIs" dxfId="11328" priority="1292" operator="greaterThan">
      <formula>1</formula>
    </cfRule>
  </conditionalFormatting>
  <conditionalFormatting sqref="R32:R39">
    <cfRule type="cellIs" dxfId="11327" priority="1289" operator="greaterThan">
      <formula>1</formula>
    </cfRule>
    <cfRule type="cellIs" dxfId="11326" priority="1290" operator="lessThan">
      <formula>0.8</formula>
    </cfRule>
  </conditionalFormatting>
  <conditionalFormatting sqref="P32:P39">
    <cfRule type="cellIs" dxfId="11325" priority="1288" operator="greaterThan">
      <formula>0</formula>
    </cfRule>
  </conditionalFormatting>
  <conditionalFormatting sqref="Q32:Q39">
    <cfRule type="cellIs" dxfId="11324" priority="1282" operator="lessThan">
      <formula>0</formula>
    </cfRule>
  </conditionalFormatting>
  <conditionalFormatting sqref="R32:R39">
    <cfRule type="cellIs" dxfId="11323" priority="1286" operator="lessThan">
      <formula>0.8</formula>
    </cfRule>
    <cfRule type="cellIs" dxfId="11322" priority="1287" operator="greaterThan">
      <formula>1</formula>
    </cfRule>
  </conditionalFormatting>
  <conditionalFormatting sqref="R32:R39">
    <cfRule type="cellIs" dxfId="11321" priority="1284" operator="greaterThan">
      <formula>1</formula>
    </cfRule>
    <cfRule type="cellIs" dxfId="11320" priority="1285" operator="lessThan">
      <formula>0.8</formula>
    </cfRule>
  </conditionalFormatting>
  <conditionalFormatting sqref="P32:P39">
    <cfRule type="cellIs" dxfId="11319" priority="1283" operator="greaterThan">
      <formula>0</formula>
    </cfRule>
  </conditionalFormatting>
  <conditionalFormatting sqref="Q32:Q39">
    <cfRule type="cellIs" dxfId="11318" priority="1281" operator="lessThan">
      <formula>0</formula>
    </cfRule>
  </conditionalFormatting>
  <conditionalFormatting sqref="R32:R39">
    <cfRule type="cellIs" dxfId="11317" priority="1279" operator="lessThan">
      <formula>0.8</formula>
    </cfRule>
    <cfRule type="cellIs" dxfId="11316" priority="1280" operator="greaterThan">
      <formula>1</formula>
    </cfRule>
  </conditionalFormatting>
  <conditionalFormatting sqref="R32:R39">
    <cfRule type="cellIs" dxfId="11315" priority="1277" operator="greaterThan">
      <formula>1</formula>
    </cfRule>
    <cfRule type="cellIs" dxfId="11314" priority="1278" operator="lessThan">
      <formula>0.8</formula>
    </cfRule>
  </conditionalFormatting>
  <conditionalFormatting sqref="P32:P39">
    <cfRule type="cellIs" dxfId="11313" priority="1276" operator="greaterThan">
      <formula>0</formula>
    </cfRule>
  </conditionalFormatting>
  <conditionalFormatting sqref="Q32:Q39">
    <cfRule type="cellIs" dxfId="11312" priority="1275" operator="lessThan">
      <formula>0</formula>
    </cfRule>
  </conditionalFormatting>
  <conditionalFormatting sqref="R32:R39">
    <cfRule type="cellIs" dxfId="11311" priority="1273" operator="lessThan">
      <formula>0.8</formula>
    </cfRule>
    <cfRule type="cellIs" dxfId="11310" priority="1274" operator="greaterThan">
      <formula>1</formula>
    </cfRule>
  </conditionalFormatting>
  <conditionalFormatting sqref="R32:R39">
    <cfRule type="cellIs" dxfId="11309" priority="1271" operator="greaterThan">
      <formula>1</formula>
    </cfRule>
    <cfRule type="cellIs" dxfId="11308" priority="1272" operator="lessThan">
      <formula>0.8</formula>
    </cfRule>
  </conditionalFormatting>
  <conditionalFormatting sqref="P32:P39">
    <cfRule type="cellIs" dxfId="11307" priority="1270" operator="greaterThan">
      <formula>0</formula>
    </cfRule>
  </conditionalFormatting>
  <conditionalFormatting sqref="Q32:Q39">
    <cfRule type="cellIs" dxfId="11306" priority="1269" operator="lessThan">
      <formula>0</formula>
    </cfRule>
  </conditionalFormatting>
  <conditionalFormatting sqref="R32:R39">
    <cfRule type="cellIs" dxfId="11305" priority="1267" operator="lessThan">
      <formula>0.8</formula>
    </cfRule>
    <cfRule type="cellIs" dxfId="11304" priority="1268" operator="greaterThan">
      <formula>1</formula>
    </cfRule>
  </conditionalFormatting>
  <conditionalFormatting sqref="R32:R39">
    <cfRule type="cellIs" dxfId="11303" priority="1265" operator="greaterThan">
      <formula>1</formula>
    </cfRule>
    <cfRule type="cellIs" dxfId="11302" priority="1266" operator="lessThan">
      <formula>0.8</formula>
    </cfRule>
  </conditionalFormatting>
  <conditionalFormatting sqref="P32:P39">
    <cfRule type="cellIs" dxfId="11301" priority="1264" operator="greaterThan">
      <formula>0</formula>
    </cfRule>
  </conditionalFormatting>
  <conditionalFormatting sqref="Q32:Q39">
    <cfRule type="cellIs" dxfId="11300" priority="1263" operator="lessThan">
      <formula>0</formula>
    </cfRule>
  </conditionalFormatting>
  <conditionalFormatting sqref="R32:R39">
    <cfRule type="cellIs" dxfId="11299" priority="1261" operator="lessThan">
      <formula>0.8</formula>
    </cfRule>
    <cfRule type="cellIs" dxfId="11298" priority="1262" operator="greaterThan">
      <formula>1</formula>
    </cfRule>
  </conditionalFormatting>
  <conditionalFormatting sqref="R32:R39">
    <cfRule type="cellIs" dxfId="11297" priority="1259" operator="greaterThan">
      <formula>1</formula>
    </cfRule>
    <cfRule type="cellIs" dxfId="11296" priority="1260" operator="lessThan">
      <formula>0.8</formula>
    </cfRule>
  </conditionalFormatting>
  <conditionalFormatting sqref="P32:P39">
    <cfRule type="cellIs" dxfId="11295" priority="1258" operator="greaterThan">
      <formula>0</formula>
    </cfRule>
  </conditionalFormatting>
  <conditionalFormatting sqref="Q32:Q39">
    <cfRule type="cellIs" dxfId="11294" priority="1257" operator="lessThan">
      <formula>0</formula>
    </cfRule>
  </conditionalFormatting>
  <conditionalFormatting sqref="R32:R39">
    <cfRule type="cellIs" dxfId="11293" priority="1255" operator="lessThan">
      <formula>0.8</formula>
    </cfRule>
    <cfRule type="cellIs" dxfId="11292" priority="1256" operator="greaterThan">
      <formula>1</formula>
    </cfRule>
  </conditionalFormatting>
  <conditionalFormatting sqref="R32:R39">
    <cfRule type="cellIs" dxfId="11291" priority="1253" operator="greaterThan">
      <formula>1</formula>
    </cfRule>
    <cfRule type="cellIs" dxfId="11290" priority="1254" operator="lessThan">
      <formula>0.8</formula>
    </cfRule>
  </conditionalFormatting>
  <conditionalFormatting sqref="P32:P39">
    <cfRule type="cellIs" dxfId="11289" priority="1252" operator="greaterThan">
      <formula>0</formula>
    </cfRule>
  </conditionalFormatting>
  <conditionalFormatting sqref="P32:P39">
    <cfRule type="cellIs" dxfId="11288" priority="1246" operator="greaterThan">
      <formula>0</formula>
    </cfRule>
  </conditionalFormatting>
  <conditionalFormatting sqref="Q32:Q39">
    <cfRule type="cellIs" dxfId="11287" priority="1251" operator="lessThan">
      <formula>0</formula>
    </cfRule>
  </conditionalFormatting>
  <conditionalFormatting sqref="R32:R39">
    <cfRule type="cellIs" dxfId="11286" priority="1249" operator="lessThan">
      <formula>0.8</formula>
    </cfRule>
    <cfRule type="cellIs" dxfId="11285" priority="1250" operator="greaterThan">
      <formula>1</formula>
    </cfRule>
  </conditionalFormatting>
  <conditionalFormatting sqref="R32:R39">
    <cfRule type="cellIs" dxfId="11284" priority="1247" operator="greaterThan">
      <formula>1</formula>
    </cfRule>
    <cfRule type="cellIs" dxfId="11283" priority="1248" operator="lessThan">
      <formula>0.8</formula>
    </cfRule>
  </conditionalFormatting>
  <conditionalFormatting sqref="P32:P39">
    <cfRule type="cellIs" dxfId="11282" priority="1240" operator="greaterThan">
      <formula>0</formula>
    </cfRule>
  </conditionalFormatting>
  <conditionalFormatting sqref="Q32:Q39">
    <cfRule type="cellIs" dxfId="11281" priority="1245" operator="lessThan">
      <formula>0</formula>
    </cfRule>
  </conditionalFormatting>
  <conditionalFormatting sqref="R32:R39">
    <cfRule type="cellIs" dxfId="11280" priority="1243" operator="lessThan">
      <formula>0.8</formula>
    </cfRule>
    <cfRule type="cellIs" dxfId="11279" priority="1244" operator="greaterThan">
      <formula>1</formula>
    </cfRule>
  </conditionalFormatting>
  <conditionalFormatting sqref="R32:R39">
    <cfRule type="cellIs" dxfId="11278" priority="1241" operator="greaterThan">
      <formula>1</formula>
    </cfRule>
    <cfRule type="cellIs" dxfId="11277" priority="1242" operator="lessThan">
      <formula>0.8</formula>
    </cfRule>
  </conditionalFormatting>
  <conditionalFormatting sqref="R32:R39">
    <cfRule type="cellIs" dxfId="11276" priority="1237" operator="lessThan">
      <formula>0.8</formula>
    </cfRule>
    <cfRule type="cellIs" dxfId="11275" priority="1238" operator="greaterThan">
      <formula>1</formula>
    </cfRule>
  </conditionalFormatting>
  <conditionalFormatting sqref="R32:R39">
    <cfRule type="cellIs" dxfId="11274" priority="1235" operator="greaterThan">
      <formula>1</formula>
    </cfRule>
    <cfRule type="cellIs" dxfId="11273" priority="1236" operator="lessThan">
      <formula>0.8</formula>
    </cfRule>
  </conditionalFormatting>
  <conditionalFormatting sqref="P32:P39">
    <cfRule type="cellIs" dxfId="11272" priority="1234" operator="greaterThan">
      <formula>0</formula>
    </cfRule>
  </conditionalFormatting>
  <conditionalFormatting sqref="Q32:Q39">
    <cfRule type="cellIs" dxfId="11271" priority="1239" operator="lessThan">
      <formula>0</formula>
    </cfRule>
  </conditionalFormatting>
  <conditionalFormatting sqref="Q32:Q39">
    <cfRule type="cellIs" dxfId="11270" priority="1228" operator="lessThan">
      <formula>0</formula>
    </cfRule>
  </conditionalFormatting>
  <conditionalFormatting sqref="P32:P39">
    <cfRule type="cellIs" dxfId="11269" priority="1229" operator="greaterThan">
      <formula>0</formula>
    </cfRule>
  </conditionalFormatting>
  <conditionalFormatting sqref="R32:R39">
    <cfRule type="cellIs" dxfId="11268" priority="1232" operator="lessThan">
      <formula>0.8</formula>
    </cfRule>
    <cfRule type="cellIs" dxfId="11267" priority="1233" operator="greaterThan">
      <formula>1</formula>
    </cfRule>
  </conditionalFormatting>
  <conditionalFormatting sqref="R32:R39">
    <cfRule type="cellIs" dxfId="11266" priority="1230" operator="greaterThan">
      <formula>1</formula>
    </cfRule>
    <cfRule type="cellIs" dxfId="11265" priority="1231" operator="lessThan">
      <formula>0.8</formula>
    </cfRule>
  </conditionalFormatting>
  <conditionalFormatting sqref="Q32:Q39">
    <cfRule type="cellIs" dxfId="11264" priority="1222" operator="lessThan">
      <formula>0</formula>
    </cfRule>
  </conditionalFormatting>
  <conditionalFormatting sqref="R32:R39">
    <cfRule type="cellIs" dxfId="11263" priority="1226" operator="lessThan">
      <formula>0.8</formula>
    </cfRule>
    <cfRule type="cellIs" dxfId="11262" priority="1227" operator="greaterThan">
      <formula>1</formula>
    </cfRule>
  </conditionalFormatting>
  <conditionalFormatting sqref="R32:R39">
    <cfRule type="cellIs" dxfId="11261" priority="1224" operator="greaterThan">
      <formula>1</formula>
    </cfRule>
    <cfRule type="cellIs" dxfId="11260" priority="1225" operator="lessThan">
      <formula>0.8</formula>
    </cfRule>
  </conditionalFormatting>
  <conditionalFormatting sqref="P32:P39">
    <cfRule type="cellIs" dxfId="11259" priority="1223" operator="greaterThan">
      <formula>0</formula>
    </cfRule>
  </conditionalFormatting>
  <conditionalFormatting sqref="Q32:Q39">
    <cfRule type="cellIs" dxfId="11258" priority="1221" operator="lessThan">
      <formula>0</formula>
    </cfRule>
  </conditionalFormatting>
  <conditionalFormatting sqref="R32:R39">
    <cfRule type="cellIs" dxfId="11257" priority="1219" operator="lessThan">
      <formula>0.8</formula>
    </cfRule>
    <cfRule type="cellIs" dxfId="11256" priority="1220" operator="greaterThan">
      <formula>1</formula>
    </cfRule>
  </conditionalFormatting>
  <conditionalFormatting sqref="R32:R39">
    <cfRule type="cellIs" dxfId="11255" priority="1217" operator="greaterThan">
      <formula>1</formula>
    </cfRule>
    <cfRule type="cellIs" dxfId="11254" priority="1218" operator="lessThan">
      <formula>0.8</formula>
    </cfRule>
  </conditionalFormatting>
  <conditionalFormatting sqref="P32:P39">
    <cfRule type="cellIs" dxfId="11253" priority="1216" operator="greaterThan">
      <formula>0</formula>
    </cfRule>
  </conditionalFormatting>
  <conditionalFormatting sqref="Q32:Q39">
    <cfRule type="cellIs" dxfId="11252" priority="1215" operator="lessThan">
      <formula>0</formula>
    </cfRule>
  </conditionalFormatting>
  <conditionalFormatting sqref="R32:R39">
    <cfRule type="cellIs" dxfId="11251" priority="1213" operator="lessThan">
      <formula>0.8</formula>
    </cfRule>
    <cfRule type="cellIs" dxfId="11250" priority="1214" operator="greaterThan">
      <formula>1</formula>
    </cfRule>
  </conditionalFormatting>
  <conditionalFormatting sqref="R32:R39">
    <cfRule type="cellIs" dxfId="11249" priority="1211" operator="greaterThan">
      <formula>1</formula>
    </cfRule>
    <cfRule type="cellIs" dxfId="11248" priority="1212" operator="lessThan">
      <formula>0.8</formula>
    </cfRule>
  </conditionalFormatting>
  <conditionalFormatting sqref="P32:P39">
    <cfRule type="cellIs" dxfId="11247" priority="1210" operator="greaterThan">
      <formula>0</formula>
    </cfRule>
  </conditionalFormatting>
  <conditionalFormatting sqref="Q32:Q39">
    <cfRule type="cellIs" dxfId="11246" priority="1209" operator="lessThan">
      <formula>0</formula>
    </cfRule>
  </conditionalFormatting>
  <conditionalFormatting sqref="R32:R39">
    <cfRule type="cellIs" dxfId="11245" priority="1207" operator="lessThan">
      <formula>0.8</formula>
    </cfRule>
    <cfRule type="cellIs" dxfId="11244" priority="1208" operator="greaterThan">
      <formula>1</formula>
    </cfRule>
  </conditionalFormatting>
  <conditionalFormatting sqref="R32:R39">
    <cfRule type="cellIs" dxfId="11243" priority="1205" operator="greaterThan">
      <formula>1</formula>
    </cfRule>
    <cfRule type="cellIs" dxfId="11242" priority="1206" operator="lessThan">
      <formula>0.8</formula>
    </cfRule>
  </conditionalFormatting>
  <conditionalFormatting sqref="P32:P39">
    <cfRule type="cellIs" dxfId="11241" priority="1204" operator="greaterThan">
      <formula>0</formula>
    </cfRule>
  </conditionalFormatting>
  <conditionalFormatting sqref="Q32:Q39">
    <cfRule type="cellIs" dxfId="11240" priority="1203" operator="lessThan">
      <formula>0</formula>
    </cfRule>
  </conditionalFormatting>
  <conditionalFormatting sqref="R32:R39">
    <cfRule type="cellIs" dxfId="11239" priority="1201" operator="lessThan">
      <formula>0.8</formula>
    </cfRule>
    <cfRule type="cellIs" dxfId="11238" priority="1202" operator="greaterThan">
      <formula>1</formula>
    </cfRule>
  </conditionalFormatting>
  <conditionalFormatting sqref="R32:R39">
    <cfRule type="cellIs" dxfId="11237" priority="1199" operator="greaterThan">
      <formula>1</formula>
    </cfRule>
    <cfRule type="cellIs" dxfId="11236" priority="1200" operator="lessThan">
      <formula>0.8</formula>
    </cfRule>
  </conditionalFormatting>
  <conditionalFormatting sqref="P32:P39">
    <cfRule type="cellIs" dxfId="11235" priority="1198" operator="greaterThan">
      <formula>0</formula>
    </cfRule>
  </conditionalFormatting>
  <conditionalFormatting sqref="Q96:Q105">
    <cfRule type="cellIs" dxfId="11234" priority="1192" operator="lessThan">
      <formula>0</formula>
    </cfRule>
  </conditionalFormatting>
  <conditionalFormatting sqref="P96:P105">
    <cfRule type="cellIs" dxfId="11233" priority="1193" operator="greaterThan">
      <formula>0</formula>
    </cfRule>
  </conditionalFormatting>
  <conditionalFormatting sqref="R96:R105">
    <cfRule type="cellIs" dxfId="11232" priority="1196" operator="lessThan">
      <formula>0.8</formula>
    </cfRule>
    <cfRule type="cellIs" dxfId="11231" priority="1197" operator="greaterThan">
      <formula>1</formula>
    </cfRule>
  </conditionalFormatting>
  <conditionalFormatting sqref="R96:R105">
    <cfRule type="cellIs" dxfId="11230" priority="1194" operator="greaterThan">
      <formula>1</formula>
    </cfRule>
    <cfRule type="cellIs" dxfId="11229" priority="1195" operator="lessThan">
      <formula>0.8</formula>
    </cfRule>
  </conditionalFormatting>
  <conditionalFormatting sqref="Q96:Q105">
    <cfRule type="cellIs" dxfId="11228" priority="1186" operator="lessThan">
      <formula>0</formula>
    </cfRule>
  </conditionalFormatting>
  <conditionalFormatting sqref="R96:R105">
    <cfRule type="cellIs" dxfId="11227" priority="1190" operator="lessThan">
      <formula>0.8</formula>
    </cfRule>
    <cfRule type="cellIs" dxfId="11226" priority="1191" operator="greaterThan">
      <formula>1</formula>
    </cfRule>
  </conditionalFormatting>
  <conditionalFormatting sqref="R96:R105">
    <cfRule type="cellIs" dxfId="11225" priority="1188" operator="greaterThan">
      <formula>1</formula>
    </cfRule>
    <cfRule type="cellIs" dxfId="11224" priority="1189" operator="lessThan">
      <formula>0.8</formula>
    </cfRule>
  </conditionalFormatting>
  <conditionalFormatting sqref="P96:P105">
    <cfRule type="cellIs" dxfId="11223" priority="1187" operator="greaterThan">
      <formula>0</formula>
    </cfRule>
  </conditionalFormatting>
  <conditionalFormatting sqref="Q96:Q105">
    <cfRule type="cellIs" dxfId="11222" priority="1185" operator="lessThan">
      <formula>0</formula>
    </cfRule>
  </conditionalFormatting>
  <conditionalFormatting sqref="R96:R105">
    <cfRule type="cellIs" dxfId="11221" priority="1183" operator="lessThan">
      <formula>0.8</formula>
    </cfRule>
    <cfRule type="cellIs" dxfId="11220" priority="1184" operator="greaterThan">
      <formula>1</formula>
    </cfRule>
  </conditionalFormatting>
  <conditionalFormatting sqref="R96:R105">
    <cfRule type="cellIs" dxfId="11219" priority="1181" operator="greaterThan">
      <formula>1</formula>
    </cfRule>
    <cfRule type="cellIs" dxfId="11218" priority="1182" operator="lessThan">
      <formula>0.8</formula>
    </cfRule>
  </conditionalFormatting>
  <conditionalFormatting sqref="P96:P105">
    <cfRule type="cellIs" dxfId="11217" priority="1180" operator="greaterThan">
      <formula>0</formula>
    </cfRule>
  </conditionalFormatting>
  <conditionalFormatting sqref="Q96:Q105">
    <cfRule type="cellIs" dxfId="11216" priority="1179" operator="lessThan">
      <formula>0</formula>
    </cfRule>
  </conditionalFormatting>
  <conditionalFormatting sqref="R96:R105">
    <cfRule type="cellIs" dxfId="11215" priority="1177" operator="lessThan">
      <formula>0.8</formula>
    </cfRule>
    <cfRule type="cellIs" dxfId="11214" priority="1178" operator="greaterThan">
      <formula>1</formula>
    </cfRule>
  </conditionalFormatting>
  <conditionalFormatting sqref="R96:R105">
    <cfRule type="cellIs" dxfId="11213" priority="1175" operator="greaterThan">
      <formula>1</formula>
    </cfRule>
    <cfRule type="cellIs" dxfId="11212" priority="1176" operator="lessThan">
      <formula>0.8</formula>
    </cfRule>
  </conditionalFormatting>
  <conditionalFormatting sqref="P96:P105">
    <cfRule type="cellIs" dxfId="11211" priority="1174" operator="greaterThan">
      <formula>0</formula>
    </cfRule>
  </conditionalFormatting>
  <conditionalFormatting sqref="Q96:Q105">
    <cfRule type="cellIs" dxfId="11210" priority="1168" operator="lessThan">
      <formula>0</formula>
    </cfRule>
  </conditionalFormatting>
  <conditionalFormatting sqref="R96:R105">
    <cfRule type="cellIs" dxfId="11209" priority="1172" operator="lessThan">
      <formula>0.8</formula>
    </cfRule>
    <cfRule type="cellIs" dxfId="11208" priority="1173" operator="greaterThan">
      <formula>1</formula>
    </cfRule>
  </conditionalFormatting>
  <conditionalFormatting sqref="R96:R105">
    <cfRule type="cellIs" dxfId="11207" priority="1170" operator="greaterThan">
      <formula>1</formula>
    </cfRule>
    <cfRule type="cellIs" dxfId="11206" priority="1171" operator="lessThan">
      <formula>0.8</formula>
    </cfRule>
  </conditionalFormatting>
  <conditionalFormatting sqref="P96:P105">
    <cfRule type="cellIs" dxfId="11205" priority="1169" operator="greaterThan">
      <formula>0</formula>
    </cfRule>
  </conditionalFormatting>
  <conditionalFormatting sqref="Q96:Q105">
    <cfRule type="cellIs" dxfId="11204" priority="1167" operator="lessThan">
      <formula>0</formula>
    </cfRule>
  </conditionalFormatting>
  <conditionalFormatting sqref="R96:R105">
    <cfRule type="cellIs" dxfId="11203" priority="1165" operator="lessThan">
      <formula>0.8</formula>
    </cfRule>
    <cfRule type="cellIs" dxfId="11202" priority="1166" operator="greaterThan">
      <formula>1</formula>
    </cfRule>
  </conditionalFormatting>
  <conditionalFormatting sqref="R96:R105">
    <cfRule type="cellIs" dxfId="11201" priority="1163" operator="greaterThan">
      <formula>1</formula>
    </cfRule>
    <cfRule type="cellIs" dxfId="11200" priority="1164" operator="lessThan">
      <formula>0.8</formula>
    </cfRule>
  </conditionalFormatting>
  <conditionalFormatting sqref="P96:P105">
    <cfRule type="cellIs" dxfId="11199" priority="1162" operator="greaterThan">
      <formula>0</formula>
    </cfRule>
  </conditionalFormatting>
  <conditionalFormatting sqref="Q96:Q105">
    <cfRule type="cellIs" dxfId="11198" priority="1161" operator="lessThan">
      <formula>0</formula>
    </cfRule>
  </conditionalFormatting>
  <conditionalFormatting sqref="R96:R105">
    <cfRule type="cellIs" dxfId="11197" priority="1159" operator="lessThan">
      <formula>0.8</formula>
    </cfRule>
    <cfRule type="cellIs" dxfId="11196" priority="1160" operator="greaterThan">
      <formula>1</formula>
    </cfRule>
  </conditionalFormatting>
  <conditionalFormatting sqref="R96:R105">
    <cfRule type="cellIs" dxfId="11195" priority="1157" operator="greaterThan">
      <formula>1</formula>
    </cfRule>
    <cfRule type="cellIs" dxfId="11194" priority="1158" operator="lessThan">
      <formula>0.8</formula>
    </cfRule>
  </conditionalFormatting>
  <conditionalFormatting sqref="P96:P105">
    <cfRule type="cellIs" dxfId="11193" priority="1156" operator="greaterThan">
      <formula>0</formula>
    </cfRule>
  </conditionalFormatting>
  <conditionalFormatting sqref="Q96:Q105">
    <cfRule type="cellIs" dxfId="11192" priority="1155" operator="lessThan">
      <formula>0</formula>
    </cfRule>
  </conditionalFormatting>
  <conditionalFormatting sqref="R96:R105">
    <cfRule type="cellIs" dxfId="11191" priority="1153" operator="lessThan">
      <formula>0.8</formula>
    </cfRule>
    <cfRule type="cellIs" dxfId="11190" priority="1154" operator="greaterThan">
      <formula>1</formula>
    </cfRule>
  </conditionalFormatting>
  <conditionalFormatting sqref="R96:R105">
    <cfRule type="cellIs" dxfId="11189" priority="1151" operator="greaterThan">
      <formula>1</formula>
    </cfRule>
    <cfRule type="cellIs" dxfId="11188" priority="1152" operator="lessThan">
      <formula>0.8</formula>
    </cfRule>
  </conditionalFormatting>
  <conditionalFormatting sqref="P96:P105">
    <cfRule type="cellIs" dxfId="11187" priority="1150" operator="greaterThan">
      <formula>0</formula>
    </cfRule>
  </conditionalFormatting>
  <conditionalFormatting sqref="Q96:Q105">
    <cfRule type="cellIs" dxfId="11186" priority="1149" operator="lessThan">
      <formula>0</formula>
    </cfRule>
  </conditionalFormatting>
  <conditionalFormatting sqref="R96:R105">
    <cfRule type="cellIs" dxfId="11185" priority="1147" operator="lessThan">
      <formula>0.8</formula>
    </cfRule>
    <cfRule type="cellIs" dxfId="11184" priority="1148" operator="greaterThan">
      <formula>1</formula>
    </cfRule>
  </conditionalFormatting>
  <conditionalFormatting sqref="R96:R105">
    <cfRule type="cellIs" dxfId="11183" priority="1145" operator="greaterThan">
      <formula>1</formula>
    </cfRule>
    <cfRule type="cellIs" dxfId="11182" priority="1146" operator="lessThan">
      <formula>0.8</formula>
    </cfRule>
  </conditionalFormatting>
  <conditionalFormatting sqref="P96:P105">
    <cfRule type="cellIs" dxfId="11181" priority="1144" operator="greaterThan">
      <formula>0</formula>
    </cfRule>
  </conditionalFormatting>
  <conditionalFormatting sqref="Q96:Q105">
    <cfRule type="cellIs" dxfId="11180" priority="1143" operator="lessThan">
      <formula>0</formula>
    </cfRule>
  </conditionalFormatting>
  <conditionalFormatting sqref="R96:R105">
    <cfRule type="cellIs" dxfId="11179" priority="1141" operator="lessThan">
      <formula>0.8</formula>
    </cfRule>
    <cfRule type="cellIs" dxfId="11178" priority="1142" operator="greaterThan">
      <formula>1</formula>
    </cfRule>
  </conditionalFormatting>
  <conditionalFormatting sqref="R96:R105">
    <cfRule type="cellIs" dxfId="11177" priority="1139" operator="greaterThan">
      <formula>1</formula>
    </cfRule>
    <cfRule type="cellIs" dxfId="11176" priority="1140" operator="lessThan">
      <formula>0.8</formula>
    </cfRule>
  </conditionalFormatting>
  <conditionalFormatting sqref="P96:P105">
    <cfRule type="cellIs" dxfId="11175" priority="1138" operator="greaterThan">
      <formula>0</formula>
    </cfRule>
  </conditionalFormatting>
  <conditionalFormatting sqref="P96:P105">
    <cfRule type="cellIs" dxfId="11174" priority="1132" operator="greaterThan">
      <formula>0</formula>
    </cfRule>
  </conditionalFormatting>
  <conditionalFormatting sqref="Q96:Q105">
    <cfRule type="cellIs" dxfId="11173" priority="1137" operator="lessThan">
      <formula>0</formula>
    </cfRule>
  </conditionalFormatting>
  <conditionalFormatting sqref="R96:R105">
    <cfRule type="cellIs" dxfId="11172" priority="1135" operator="lessThan">
      <formula>0.8</formula>
    </cfRule>
    <cfRule type="cellIs" dxfId="11171" priority="1136" operator="greaterThan">
      <formula>1</formula>
    </cfRule>
  </conditionalFormatting>
  <conditionalFormatting sqref="R96:R105">
    <cfRule type="cellIs" dxfId="11170" priority="1133" operator="greaterThan">
      <formula>1</formula>
    </cfRule>
    <cfRule type="cellIs" dxfId="11169" priority="1134" operator="lessThan">
      <formula>0.8</formula>
    </cfRule>
  </conditionalFormatting>
  <conditionalFormatting sqref="P96:P105">
    <cfRule type="cellIs" dxfId="11168" priority="1126" operator="greaterThan">
      <formula>0</formula>
    </cfRule>
  </conditionalFormatting>
  <conditionalFormatting sqref="Q96:Q105">
    <cfRule type="cellIs" dxfId="11167" priority="1131" operator="lessThan">
      <formula>0</formula>
    </cfRule>
  </conditionalFormatting>
  <conditionalFormatting sqref="R96:R105">
    <cfRule type="cellIs" dxfId="11166" priority="1129" operator="lessThan">
      <formula>0.8</formula>
    </cfRule>
    <cfRule type="cellIs" dxfId="11165" priority="1130" operator="greaterThan">
      <formula>1</formula>
    </cfRule>
  </conditionalFormatting>
  <conditionalFormatting sqref="R96:R105">
    <cfRule type="cellIs" dxfId="11164" priority="1127" operator="greaterThan">
      <formula>1</formula>
    </cfRule>
    <cfRule type="cellIs" dxfId="11163" priority="1128" operator="lessThan">
      <formula>0.8</formula>
    </cfRule>
  </conditionalFormatting>
  <conditionalFormatting sqref="R96:R105">
    <cfRule type="cellIs" dxfId="11162" priority="1123" operator="lessThan">
      <formula>0.8</formula>
    </cfRule>
    <cfRule type="cellIs" dxfId="11161" priority="1124" operator="greaterThan">
      <formula>1</formula>
    </cfRule>
  </conditionalFormatting>
  <conditionalFormatting sqref="R96:R105">
    <cfRule type="cellIs" dxfId="11160" priority="1121" operator="greaterThan">
      <formula>1</formula>
    </cfRule>
    <cfRule type="cellIs" dxfId="11159" priority="1122" operator="lessThan">
      <formula>0.8</formula>
    </cfRule>
  </conditionalFormatting>
  <conditionalFormatting sqref="P96:P105">
    <cfRule type="cellIs" dxfId="11158" priority="1120" operator="greaterThan">
      <formula>0</formula>
    </cfRule>
  </conditionalFormatting>
  <conditionalFormatting sqref="Q96:Q105">
    <cfRule type="cellIs" dxfId="11157" priority="1125" operator="lessThan">
      <formula>0</formula>
    </cfRule>
  </conditionalFormatting>
  <conditionalFormatting sqref="Q96:Q105">
    <cfRule type="cellIs" dxfId="11156" priority="1114" operator="lessThan">
      <formula>0</formula>
    </cfRule>
  </conditionalFormatting>
  <conditionalFormatting sqref="P96:P105">
    <cfRule type="cellIs" dxfId="11155" priority="1115" operator="greaterThan">
      <formula>0</formula>
    </cfRule>
  </conditionalFormatting>
  <conditionalFormatting sqref="R96:R105">
    <cfRule type="cellIs" dxfId="11154" priority="1118" operator="lessThan">
      <formula>0.8</formula>
    </cfRule>
    <cfRule type="cellIs" dxfId="11153" priority="1119" operator="greaterThan">
      <formula>1</formula>
    </cfRule>
  </conditionalFormatting>
  <conditionalFormatting sqref="R96:R105">
    <cfRule type="cellIs" dxfId="11152" priority="1116" operator="greaterThan">
      <formula>1</formula>
    </cfRule>
    <cfRule type="cellIs" dxfId="11151" priority="1117" operator="lessThan">
      <formula>0.8</formula>
    </cfRule>
  </conditionalFormatting>
  <conditionalFormatting sqref="Q96:Q105">
    <cfRule type="cellIs" dxfId="11150" priority="1108" operator="lessThan">
      <formula>0</formula>
    </cfRule>
  </conditionalFormatting>
  <conditionalFormatting sqref="R96:R105">
    <cfRule type="cellIs" dxfId="11149" priority="1112" operator="lessThan">
      <formula>0.8</formula>
    </cfRule>
    <cfRule type="cellIs" dxfId="11148" priority="1113" operator="greaterThan">
      <formula>1</formula>
    </cfRule>
  </conditionalFormatting>
  <conditionalFormatting sqref="R96:R105">
    <cfRule type="cellIs" dxfId="11147" priority="1110" operator="greaterThan">
      <formula>1</formula>
    </cfRule>
    <cfRule type="cellIs" dxfId="11146" priority="1111" operator="lessThan">
      <formula>0.8</formula>
    </cfRule>
  </conditionalFormatting>
  <conditionalFormatting sqref="P96:P105">
    <cfRule type="cellIs" dxfId="11145" priority="1109" operator="greaterThan">
      <formula>0</formula>
    </cfRule>
  </conditionalFormatting>
  <conditionalFormatting sqref="Q96:Q105">
    <cfRule type="cellIs" dxfId="11144" priority="1107" operator="lessThan">
      <formula>0</formula>
    </cfRule>
  </conditionalFormatting>
  <conditionalFormatting sqref="R96:R105">
    <cfRule type="cellIs" dxfId="11143" priority="1105" operator="lessThan">
      <formula>0.8</formula>
    </cfRule>
    <cfRule type="cellIs" dxfId="11142" priority="1106" operator="greaterThan">
      <formula>1</formula>
    </cfRule>
  </conditionalFormatting>
  <conditionalFormatting sqref="R96:R105">
    <cfRule type="cellIs" dxfId="11141" priority="1103" operator="greaterThan">
      <formula>1</formula>
    </cfRule>
    <cfRule type="cellIs" dxfId="11140" priority="1104" operator="lessThan">
      <formula>0.8</formula>
    </cfRule>
  </conditionalFormatting>
  <conditionalFormatting sqref="P96:P105">
    <cfRule type="cellIs" dxfId="11139" priority="1102" operator="greaterThan">
      <formula>0</formula>
    </cfRule>
  </conditionalFormatting>
  <conditionalFormatting sqref="Q96:Q105">
    <cfRule type="cellIs" dxfId="11138" priority="1101" operator="lessThan">
      <formula>0</formula>
    </cfRule>
  </conditionalFormatting>
  <conditionalFormatting sqref="R96:R105">
    <cfRule type="cellIs" dxfId="11137" priority="1099" operator="lessThan">
      <formula>0.8</formula>
    </cfRule>
    <cfRule type="cellIs" dxfId="11136" priority="1100" operator="greaterThan">
      <formula>1</formula>
    </cfRule>
  </conditionalFormatting>
  <conditionalFormatting sqref="R96:R105">
    <cfRule type="cellIs" dxfId="11135" priority="1097" operator="greaterThan">
      <formula>1</formula>
    </cfRule>
    <cfRule type="cellIs" dxfId="11134" priority="1098" operator="lessThan">
      <formula>0.8</formula>
    </cfRule>
  </conditionalFormatting>
  <conditionalFormatting sqref="P96:P105">
    <cfRule type="cellIs" dxfId="11133" priority="1096" operator="greaterThan">
      <formula>0</formula>
    </cfRule>
  </conditionalFormatting>
  <conditionalFormatting sqref="Q96:Q105">
    <cfRule type="cellIs" dxfId="11132" priority="1090" operator="lessThan">
      <formula>0</formula>
    </cfRule>
  </conditionalFormatting>
  <conditionalFormatting sqref="P96:P105">
    <cfRule type="cellIs" dxfId="11131" priority="1091" operator="greaterThan">
      <formula>0</formula>
    </cfRule>
  </conditionalFormatting>
  <conditionalFormatting sqref="R96:R105">
    <cfRule type="cellIs" dxfId="11130" priority="1094" operator="lessThan">
      <formula>0.8</formula>
    </cfRule>
    <cfRule type="cellIs" dxfId="11129" priority="1095" operator="greaterThan">
      <formula>1</formula>
    </cfRule>
  </conditionalFormatting>
  <conditionalFormatting sqref="R96:R105">
    <cfRule type="cellIs" dxfId="11128" priority="1092" operator="greaterThan">
      <formula>1</formula>
    </cfRule>
    <cfRule type="cellIs" dxfId="11127" priority="1093" operator="lessThan">
      <formula>0.8</formula>
    </cfRule>
  </conditionalFormatting>
  <conditionalFormatting sqref="Q96:Q105">
    <cfRule type="cellIs" dxfId="11126" priority="1084" operator="lessThan">
      <formula>0</formula>
    </cfRule>
  </conditionalFormatting>
  <conditionalFormatting sqref="R96:R105">
    <cfRule type="cellIs" dxfId="11125" priority="1088" operator="lessThan">
      <formula>0.8</formula>
    </cfRule>
    <cfRule type="cellIs" dxfId="11124" priority="1089" operator="greaterThan">
      <formula>1</formula>
    </cfRule>
  </conditionalFormatting>
  <conditionalFormatting sqref="R96:R105">
    <cfRule type="cellIs" dxfId="11123" priority="1086" operator="greaterThan">
      <formula>1</formula>
    </cfRule>
    <cfRule type="cellIs" dxfId="11122" priority="1087" operator="lessThan">
      <formula>0.8</formula>
    </cfRule>
  </conditionalFormatting>
  <conditionalFormatting sqref="P96:P105">
    <cfRule type="cellIs" dxfId="11121" priority="1085" operator="greaterThan">
      <formula>0</formula>
    </cfRule>
  </conditionalFormatting>
  <conditionalFormatting sqref="Q96:Q105">
    <cfRule type="cellIs" dxfId="11120" priority="1083" operator="lessThan">
      <formula>0</formula>
    </cfRule>
  </conditionalFormatting>
  <conditionalFormatting sqref="R96:R105">
    <cfRule type="cellIs" dxfId="11119" priority="1081" operator="lessThan">
      <formula>0.8</formula>
    </cfRule>
    <cfRule type="cellIs" dxfId="11118" priority="1082" operator="greaterThan">
      <formula>1</formula>
    </cfRule>
  </conditionalFormatting>
  <conditionalFormatting sqref="R96:R105">
    <cfRule type="cellIs" dxfId="11117" priority="1079" operator="greaterThan">
      <formula>1</formula>
    </cfRule>
    <cfRule type="cellIs" dxfId="11116" priority="1080" operator="lessThan">
      <formula>0.8</formula>
    </cfRule>
  </conditionalFormatting>
  <conditionalFormatting sqref="P96:P105">
    <cfRule type="cellIs" dxfId="11115" priority="1078" operator="greaterThan">
      <formula>0</formula>
    </cfRule>
  </conditionalFormatting>
  <conditionalFormatting sqref="Q96:Q105">
    <cfRule type="cellIs" dxfId="11114" priority="1077" operator="lessThan">
      <formula>0</formula>
    </cfRule>
  </conditionalFormatting>
  <conditionalFormatting sqref="R96:R105">
    <cfRule type="cellIs" dxfId="11113" priority="1075" operator="lessThan">
      <formula>0.8</formula>
    </cfRule>
    <cfRule type="cellIs" dxfId="11112" priority="1076" operator="greaterThan">
      <formula>1</formula>
    </cfRule>
  </conditionalFormatting>
  <conditionalFormatting sqref="R96:R105">
    <cfRule type="cellIs" dxfId="11111" priority="1073" operator="greaterThan">
      <formula>1</formula>
    </cfRule>
    <cfRule type="cellIs" dxfId="11110" priority="1074" operator="lessThan">
      <formula>0.8</formula>
    </cfRule>
  </conditionalFormatting>
  <conditionalFormatting sqref="P96:P105">
    <cfRule type="cellIs" dxfId="11109" priority="1072" operator="greaterThan">
      <formula>0</formula>
    </cfRule>
  </conditionalFormatting>
  <conditionalFormatting sqref="P124 P131 P127">
    <cfRule type="cellIs" dxfId="11108" priority="1066" operator="greaterThan">
      <formula>0</formula>
    </cfRule>
  </conditionalFormatting>
  <conditionalFormatting sqref="Q124 Q131 Q127">
    <cfRule type="cellIs" dxfId="11107" priority="1071" operator="lessThan">
      <formula>0</formula>
    </cfRule>
  </conditionalFormatting>
  <conditionalFormatting sqref="R124 R131 R127">
    <cfRule type="cellIs" dxfId="11106" priority="1069" operator="lessThan">
      <formula>0.8</formula>
    </cfRule>
    <cfRule type="cellIs" dxfId="11105" priority="1070" operator="greaterThan">
      <formula>1</formula>
    </cfRule>
  </conditionalFormatting>
  <conditionalFormatting sqref="R124 R131 R127">
    <cfRule type="cellIs" dxfId="11104" priority="1067" operator="greaterThan">
      <formula>1</formula>
    </cfRule>
    <cfRule type="cellIs" dxfId="11103" priority="1068" operator="lessThan">
      <formula>0.8</formula>
    </cfRule>
  </conditionalFormatting>
  <conditionalFormatting sqref="Q124 Q131 Q127">
    <cfRule type="cellIs" dxfId="11102" priority="1065" operator="lessThan">
      <formula>0</formula>
    </cfRule>
  </conditionalFormatting>
  <conditionalFormatting sqref="R124 R131 R127">
    <cfRule type="cellIs" dxfId="11101" priority="1063" operator="lessThan">
      <formula>0.8</formula>
    </cfRule>
    <cfRule type="cellIs" dxfId="11100" priority="1064" operator="greaterThan">
      <formula>1</formula>
    </cfRule>
  </conditionalFormatting>
  <conditionalFormatting sqref="R124 R131 R127">
    <cfRule type="cellIs" dxfId="11099" priority="1061" operator="greaterThan">
      <formula>1</formula>
    </cfRule>
    <cfRule type="cellIs" dxfId="11098" priority="1062" operator="lessThan">
      <formula>0.8</formula>
    </cfRule>
  </conditionalFormatting>
  <conditionalFormatting sqref="P124 P131 P127">
    <cfRule type="cellIs" dxfId="11097" priority="1060" operator="greaterThan">
      <formula>0</formula>
    </cfRule>
  </conditionalFormatting>
  <conditionalFormatting sqref="Q123 Q125:Q126 Q128:Q130">
    <cfRule type="cellIs" dxfId="11096" priority="1059" operator="lessThan">
      <formula>0</formula>
    </cfRule>
  </conditionalFormatting>
  <conditionalFormatting sqref="R123 R125:R126 R128:R130">
    <cfRule type="cellIs" dxfId="11095" priority="1057" operator="lessThan">
      <formula>0.8</formula>
    </cfRule>
    <cfRule type="cellIs" dxfId="11094" priority="1058" operator="greaterThan">
      <formula>1</formula>
    </cfRule>
  </conditionalFormatting>
  <conditionalFormatting sqref="R123 R125:R126 R128:R130">
    <cfRule type="cellIs" dxfId="11093" priority="1055" operator="greaterThan">
      <formula>1</formula>
    </cfRule>
    <cfRule type="cellIs" dxfId="11092" priority="1056" operator="lessThan">
      <formula>0.8</formula>
    </cfRule>
  </conditionalFormatting>
  <conditionalFormatting sqref="P123 P125:P126 P128:P130">
    <cfRule type="cellIs" dxfId="11091" priority="1054" operator="greaterThan">
      <formula>0</formula>
    </cfRule>
  </conditionalFormatting>
  <conditionalFormatting sqref="P123 P125:P126 P128:P130">
    <cfRule type="cellIs" dxfId="11090" priority="1048" operator="greaterThan">
      <formula>0</formula>
    </cfRule>
  </conditionalFormatting>
  <conditionalFormatting sqref="Q123 Q125:Q126 Q128:Q130">
    <cfRule type="cellIs" dxfId="11089" priority="1053" operator="lessThan">
      <formula>0</formula>
    </cfRule>
  </conditionalFormatting>
  <conditionalFormatting sqref="R123 R125:R126 R128:R130">
    <cfRule type="cellIs" dxfId="11088" priority="1051" operator="lessThan">
      <formula>0.8</formula>
    </cfRule>
    <cfRule type="cellIs" dxfId="11087" priority="1052" operator="greaterThan">
      <formula>1</formula>
    </cfRule>
  </conditionalFormatting>
  <conditionalFormatting sqref="R123 R125:R126 R128:R130">
    <cfRule type="cellIs" dxfId="11086" priority="1049" operator="greaterThan">
      <formula>1</formula>
    </cfRule>
    <cfRule type="cellIs" dxfId="11085" priority="1050" operator="lessThan">
      <formula>0.8</formula>
    </cfRule>
  </conditionalFormatting>
  <conditionalFormatting sqref="P122">
    <cfRule type="cellIs" dxfId="11084" priority="1042" operator="greaterThan">
      <formula>0</formula>
    </cfRule>
  </conditionalFormatting>
  <conditionalFormatting sqref="Q122">
    <cfRule type="cellIs" dxfId="11083" priority="1047" operator="lessThan">
      <formula>0</formula>
    </cfRule>
  </conditionalFormatting>
  <conditionalFormatting sqref="R122">
    <cfRule type="cellIs" dxfId="11082" priority="1045" operator="lessThan">
      <formula>0.8</formula>
    </cfRule>
    <cfRule type="cellIs" dxfId="11081" priority="1046" operator="greaterThan">
      <formula>1</formula>
    </cfRule>
  </conditionalFormatting>
  <conditionalFormatting sqref="R122">
    <cfRule type="cellIs" dxfId="11080" priority="1043" operator="greaterThan">
      <formula>1</formula>
    </cfRule>
    <cfRule type="cellIs" dxfId="11079" priority="1044" operator="lessThan">
      <formula>0.8</formula>
    </cfRule>
  </conditionalFormatting>
  <conditionalFormatting sqref="Q109:Q116">
    <cfRule type="cellIs" dxfId="11078" priority="1041" operator="lessThan">
      <formula>0</formula>
    </cfRule>
  </conditionalFormatting>
  <conditionalFormatting sqref="R109:R116">
    <cfRule type="cellIs" dxfId="11077" priority="1039" operator="lessThan">
      <formula>0.8</formula>
    </cfRule>
    <cfRule type="cellIs" dxfId="11076" priority="1040" operator="greaterThan">
      <formula>1</formula>
    </cfRule>
  </conditionalFormatting>
  <conditionalFormatting sqref="R109:R116">
    <cfRule type="cellIs" dxfId="11075" priority="1037" operator="greaterThan">
      <formula>1</formula>
    </cfRule>
    <cfRule type="cellIs" dxfId="11074" priority="1038" operator="lessThan">
      <formula>0.8</formula>
    </cfRule>
  </conditionalFormatting>
  <conditionalFormatting sqref="P109:P116">
    <cfRule type="cellIs" dxfId="11073" priority="1036" operator="greaterThan">
      <formula>0</formula>
    </cfRule>
  </conditionalFormatting>
  <conditionalFormatting sqref="P137 P140 P143">
    <cfRule type="cellIs" dxfId="11072" priority="1035" operator="greaterThan">
      <formula>0</formula>
    </cfRule>
  </conditionalFormatting>
  <conditionalFormatting sqref="Q137 Q140 Q143">
    <cfRule type="cellIs" dxfId="11071" priority="1034" operator="lessThan">
      <formula>0</formula>
    </cfRule>
  </conditionalFormatting>
  <conditionalFormatting sqref="R137 R140 R143">
    <cfRule type="cellIs" dxfId="11070" priority="1032" operator="lessThan">
      <formula>0.8</formula>
    </cfRule>
    <cfRule type="cellIs" dxfId="11069" priority="1033" operator="greaterThan">
      <formula>1</formula>
    </cfRule>
  </conditionalFormatting>
  <conditionalFormatting sqref="R137 R140 R143">
    <cfRule type="cellIs" dxfId="11068" priority="1030" operator="greaterThan">
      <formula>1</formula>
    </cfRule>
    <cfRule type="cellIs" dxfId="11067" priority="1031" operator="lessThan">
      <formula>0.8</formula>
    </cfRule>
  </conditionalFormatting>
  <conditionalFormatting sqref="P137 P140 P143">
    <cfRule type="cellIs" dxfId="11066" priority="1029" operator="greaterThan">
      <formula>0</formula>
    </cfRule>
  </conditionalFormatting>
  <conditionalFormatting sqref="Q137 Q140 Q143">
    <cfRule type="cellIs" dxfId="11065" priority="1028" operator="lessThan">
      <formula>0</formula>
    </cfRule>
  </conditionalFormatting>
  <conditionalFormatting sqref="R137 R140 R143">
    <cfRule type="cellIs" dxfId="11064" priority="1026" operator="lessThan">
      <formula>0.8</formula>
    </cfRule>
    <cfRule type="cellIs" dxfId="11063" priority="1027" operator="greaterThan">
      <formula>1</formula>
    </cfRule>
  </conditionalFormatting>
  <conditionalFormatting sqref="R137 R140 R143">
    <cfRule type="cellIs" dxfId="11062" priority="1024" operator="greaterThan">
      <formula>1</formula>
    </cfRule>
    <cfRule type="cellIs" dxfId="11061" priority="1025" operator="lessThan">
      <formula>0.8</formula>
    </cfRule>
  </conditionalFormatting>
  <conditionalFormatting sqref="P137 P140 P143">
    <cfRule type="cellIs" dxfId="11060" priority="1023" operator="greaterThan">
      <formula>0</formula>
    </cfRule>
  </conditionalFormatting>
  <conditionalFormatting sqref="P137 P140 P143">
    <cfRule type="cellIs" dxfId="11059" priority="1017" operator="greaterThan">
      <formula>0</formula>
    </cfRule>
  </conditionalFormatting>
  <conditionalFormatting sqref="Q137 Q140 Q143">
    <cfRule type="cellIs" dxfId="11058" priority="1022" operator="lessThan">
      <formula>0</formula>
    </cfRule>
  </conditionalFormatting>
  <conditionalFormatting sqref="R137 R140 R143">
    <cfRule type="cellIs" dxfId="11057" priority="1020" operator="lessThan">
      <formula>0.8</formula>
    </cfRule>
    <cfRule type="cellIs" dxfId="11056" priority="1021" operator="greaterThan">
      <formula>1</formula>
    </cfRule>
  </conditionalFormatting>
  <conditionalFormatting sqref="R137 R140 R143">
    <cfRule type="cellIs" dxfId="11055" priority="1018" operator="greaterThan">
      <formula>1</formula>
    </cfRule>
    <cfRule type="cellIs" dxfId="11054" priority="1019" operator="lessThan">
      <formula>0.8</formula>
    </cfRule>
  </conditionalFormatting>
  <conditionalFormatting sqref="Q137 Q140 Q143">
    <cfRule type="cellIs" dxfId="11053" priority="1016" operator="lessThan">
      <formula>0</formula>
    </cfRule>
  </conditionalFormatting>
  <conditionalFormatting sqref="R137 R140 R143">
    <cfRule type="cellIs" dxfId="11052" priority="1014" operator="lessThan">
      <formula>0.8</formula>
    </cfRule>
    <cfRule type="cellIs" dxfId="11051" priority="1015" operator="greaterThan">
      <formula>1</formula>
    </cfRule>
  </conditionalFormatting>
  <conditionalFormatting sqref="R137 R140 R143">
    <cfRule type="cellIs" dxfId="11050" priority="1012" operator="greaterThan">
      <formula>1</formula>
    </cfRule>
    <cfRule type="cellIs" dxfId="11049" priority="1013" operator="lessThan">
      <formula>0.8</formula>
    </cfRule>
  </conditionalFormatting>
  <conditionalFormatting sqref="P137 P140 P143">
    <cfRule type="cellIs" dxfId="11048" priority="1011" operator="greaterThan">
      <formula>0</formula>
    </cfRule>
  </conditionalFormatting>
  <conditionalFormatting sqref="Q137 Q140 Q143">
    <cfRule type="cellIs" dxfId="11047" priority="1010" operator="lessThan">
      <formula>0</formula>
    </cfRule>
  </conditionalFormatting>
  <conditionalFormatting sqref="R137 R140 R143">
    <cfRule type="cellIs" dxfId="11046" priority="1008" operator="lessThan">
      <formula>0.8</formula>
    </cfRule>
    <cfRule type="cellIs" dxfId="11045" priority="1009" operator="greaterThan">
      <formula>1</formula>
    </cfRule>
  </conditionalFormatting>
  <conditionalFormatting sqref="R137 R140 R143">
    <cfRule type="cellIs" dxfId="11044" priority="1006" operator="greaterThan">
      <formula>1</formula>
    </cfRule>
    <cfRule type="cellIs" dxfId="11043" priority="1007" operator="lessThan">
      <formula>0.8</formula>
    </cfRule>
  </conditionalFormatting>
  <conditionalFormatting sqref="P137 P140 P143">
    <cfRule type="cellIs" dxfId="11042" priority="1005" operator="greaterThan">
      <formula>0</formula>
    </cfRule>
  </conditionalFormatting>
  <conditionalFormatting sqref="P137 P140 P143">
    <cfRule type="cellIs" dxfId="11041" priority="999" operator="greaterThan">
      <formula>0</formula>
    </cfRule>
  </conditionalFormatting>
  <conditionalFormatting sqref="Q137 Q140 Q143">
    <cfRule type="cellIs" dxfId="11040" priority="1004" operator="lessThan">
      <formula>0</formula>
    </cfRule>
  </conditionalFormatting>
  <conditionalFormatting sqref="R137 R140 R143">
    <cfRule type="cellIs" dxfId="11039" priority="1002" operator="lessThan">
      <formula>0.8</formula>
    </cfRule>
    <cfRule type="cellIs" dxfId="11038" priority="1003" operator="greaterThan">
      <formula>1</formula>
    </cfRule>
  </conditionalFormatting>
  <conditionalFormatting sqref="R137 R140 R143">
    <cfRule type="cellIs" dxfId="11037" priority="1000" operator="greaterThan">
      <formula>1</formula>
    </cfRule>
    <cfRule type="cellIs" dxfId="11036" priority="1001" operator="lessThan">
      <formula>0.8</formula>
    </cfRule>
  </conditionalFormatting>
  <conditionalFormatting sqref="Q137 Q140 Q143">
    <cfRule type="cellIs" dxfId="11035" priority="998" operator="lessThan">
      <formula>0</formula>
    </cfRule>
  </conditionalFormatting>
  <conditionalFormatting sqref="R137 R140 R143">
    <cfRule type="cellIs" dxfId="11034" priority="996" operator="lessThan">
      <formula>0.8</formula>
    </cfRule>
    <cfRule type="cellIs" dxfId="11033" priority="997" operator="greaterThan">
      <formula>1</formula>
    </cfRule>
  </conditionalFormatting>
  <conditionalFormatting sqref="R137 R140 R143">
    <cfRule type="cellIs" dxfId="11032" priority="994" operator="greaterThan">
      <formula>1</formula>
    </cfRule>
    <cfRule type="cellIs" dxfId="11031" priority="995" operator="lessThan">
      <formula>0.8</formula>
    </cfRule>
  </conditionalFormatting>
  <conditionalFormatting sqref="P137 P140 P143">
    <cfRule type="cellIs" dxfId="11030" priority="993" operator="greaterThan">
      <formula>0</formula>
    </cfRule>
  </conditionalFormatting>
  <conditionalFormatting sqref="Q137 Q140 Q143">
    <cfRule type="cellIs" dxfId="11029" priority="992" operator="lessThan">
      <formula>0</formula>
    </cfRule>
  </conditionalFormatting>
  <conditionalFormatting sqref="R137 R140 R143">
    <cfRule type="cellIs" dxfId="11028" priority="990" operator="lessThan">
      <formula>0.8</formula>
    </cfRule>
    <cfRule type="cellIs" dxfId="11027" priority="991" operator="greaterThan">
      <formula>1</formula>
    </cfRule>
  </conditionalFormatting>
  <conditionalFormatting sqref="R137 R140 R143">
    <cfRule type="cellIs" dxfId="11026" priority="988" operator="greaterThan">
      <formula>1</formula>
    </cfRule>
    <cfRule type="cellIs" dxfId="11025" priority="989" operator="lessThan">
      <formula>0.8</formula>
    </cfRule>
  </conditionalFormatting>
  <conditionalFormatting sqref="P137 P140 P143">
    <cfRule type="cellIs" dxfId="11024" priority="987" operator="greaterThan">
      <formula>0</formula>
    </cfRule>
  </conditionalFormatting>
  <conditionalFormatting sqref="P137 P140 P143">
    <cfRule type="cellIs" dxfId="11023" priority="981" operator="greaterThan">
      <formula>0</formula>
    </cfRule>
  </conditionalFormatting>
  <conditionalFormatting sqref="Q137 Q140 Q143">
    <cfRule type="cellIs" dxfId="11022" priority="986" operator="lessThan">
      <formula>0</formula>
    </cfRule>
  </conditionalFormatting>
  <conditionalFormatting sqref="R137 R140 R143">
    <cfRule type="cellIs" dxfId="11021" priority="984" operator="lessThan">
      <formula>0.8</formula>
    </cfRule>
    <cfRule type="cellIs" dxfId="11020" priority="985" operator="greaterThan">
      <formula>1</formula>
    </cfRule>
  </conditionalFormatting>
  <conditionalFormatting sqref="R137 R140 R143">
    <cfRule type="cellIs" dxfId="11019" priority="982" operator="greaterThan">
      <formula>1</formula>
    </cfRule>
    <cfRule type="cellIs" dxfId="11018" priority="983" operator="lessThan">
      <formula>0.8</formula>
    </cfRule>
  </conditionalFormatting>
  <conditionalFormatting sqref="Q137 Q140 Q143">
    <cfRule type="cellIs" dxfId="11017" priority="980" operator="lessThan">
      <formula>0</formula>
    </cfRule>
  </conditionalFormatting>
  <conditionalFormatting sqref="R137 R140 R143">
    <cfRule type="cellIs" dxfId="11016" priority="978" operator="lessThan">
      <formula>0.8</formula>
    </cfRule>
    <cfRule type="cellIs" dxfId="11015" priority="979" operator="greaterThan">
      <formula>1</formula>
    </cfRule>
  </conditionalFormatting>
  <conditionalFormatting sqref="R137 R140 R143">
    <cfRule type="cellIs" dxfId="11014" priority="976" operator="greaterThan">
      <formula>1</formula>
    </cfRule>
    <cfRule type="cellIs" dxfId="11013" priority="977" operator="lessThan">
      <formula>0.8</formula>
    </cfRule>
  </conditionalFormatting>
  <conditionalFormatting sqref="P137 P140 P143">
    <cfRule type="cellIs" dxfId="11012" priority="975" operator="greaterThan">
      <formula>0</formula>
    </cfRule>
  </conditionalFormatting>
  <conditionalFormatting sqref="P138 P144 P141">
    <cfRule type="cellIs" dxfId="11011" priority="969" operator="greaterThan">
      <formula>0</formula>
    </cfRule>
  </conditionalFormatting>
  <conditionalFormatting sqref="Q138 Q144 Q141">
    <cfRule type="cellIs" dxfId="11010" priority="974" operator="lessThan">
      <formula>0</formula>
    </cfRule>
  </conditionalFormatting>
  <conditionalFormatting sqref="R138 R144 R141">
    <cfRule type="cellIs" dxfId="11009" priority="972" operator="lessThan">
      <formula>0.8</formula>
    </cfRule>
    <cfRule type="cellIs" dxfId="11008" priority="973" operator="greaterThan">
      <formula>1</formula>
    </cfRule>
  </conditionalFormatting>
  <conditionalFormatting sqref="R138 R144 R141">
    <cfRule type="cellIs" dxfId="11007" priority="970" operator="greaterThan">
      <formula>1</formula>
    </cfRule>
    <cfRule type="cellIs" dxfId="11006" priority="971" operator="lessThan">
      <formula>0.8</formula>
    </cfRule>
  </conditionalFormatting>
  <conditionalFormatting sqref="Q138 Q144 Q141">
    <cfRule type="cellIs" dxfId="11005" priority="968" operator="lessThan">
      <formula>0</formula>
    </cfRule>
  </conditionalFormatting>
  <conditionalFormatting sqref="R138 R144 R141">
    <cfRule type="cellIs" dxfId="11004" priority="966" operator="lessThan">
      <formula>0.8</formula>
    </cfRule>
    <cfRule type="cellIs" dxfId="11003" priority="967" operator="greaterThan">
      <formula>1</formula>
    </cfRule>
  </conditionalFormatting>
  <conditionalFormatting sqref="R138 R144 R141">
    <cfRule type="cellIs" dxfId="11002" priority="964" operator="greaterThan">
      <formula>1</formula>
    </cfRule>
    <cfRule type="cellIs" dxfId="11001" priority="965" operator="lessThan">
      <formula>0.8</formula>
    </cfRule>
  </conditionalFormatting>
  <conditionalFormatting sqref="P138 P144 P141">
    <cfRule type="cellIs" dxfId="11000" priority="963" operator="greaterThan">
      <formula>0</formula>
    </cfRule>
  </conditionalFormatting>
  <conditionalFormatting sqref="Q138 Q144 Q141">
    <cfRule type="cellIs" dxfId="10999" priority="962" operator="lessThan">
      <formula>0</formula>
    </cfRule>
  </conditionalFormatting>
  <conditionalFormatting sqref="R138 R144 R141">
    <cfRule type="cellIs" dxfId="10998" priority="960" operator="lessThan">
      <formula>0.8</formula>
    </cfRule>
    <cfRule type="cellIs" dxfId="10997" priority="961" operator="greaterThan">
      <formula>1</formula>
    </cfRule>
  </conditionalFormatting>
  <conditionalFormatting sqref="R138 R144 R141">
    <cfRule type="cellIs" dxfId="10996" priority="958" operator="greaterThan">
      <formula>1</formula>
    </cfRule>
    <cfRule type="cellIs" dxfId="10995" priority="959" operator="lessThan">
      <formula>0.8</formula>
    </cfRule>
  </conditionalFormatting>
  <conditionalFormatting sqref="P138 P144 P141">
    <cfRule type="cellIs" dxfId="10994" priority="957" operator="greaterThan">
      <formula>0</formula>
    </cfRule>
  </conditionalFormatting>
  <conditionalFormatting sqref="Q138 Q144 Q141">
    <cfRule type="cellIs" dxfId="10993" priority="956" operator="lessThan">
      <formula>0</formula>
    </cfRule>
  </conditionalFormatting>
  <conditionalFormatting sqref="R138 R144 R141">
    <cfRule type="cellIs" dxfId="10992" priority="954" operator="lessThan">
      <formula>0.8</formula>
    </cfRule>
    <cfRule type="cellIs" dxfId="10991" priority="955" operator="greaterThan">
      <formula>1</formula>
    </cfRule>
  </conditionalFormatting>
  <conditionalFormatting sqref="R138 R144 R141">
    <cfRule type="cellIs" dxfId="10990" priority="952" operator="greaterThan">
      <formula>1</formula>
    </cfRule>
    <cfRule type="cellIs" dxfId="10989" priority="953" operator="lessThan">
      <formula>0.8</formula>
    </cfRule>
  </conditionalFormatting>
  <conditionalFormatting sqref="P138 P144 P141">
    <cfRule type="cellIs" dxfId="10988" priority="951" operator="greaterThan">
      <formula>0</formula>
    </cfRule>
  </conditionalFormatting>
  <conditionalFormatting sqref="Q138 Q144 Q141">
    <cfRule type="cellIs" dxfId="10987" priority="950" operator="lessThan">
      <formula>0</formula>
    </cfRule>
  </conditionalFormatting>
  <conditionalFormatting sqref="R138 R144 R141">
    <cfRule type="cellIs" dxfId="10986" priority="948" operator="lessThan">
      <formula>0.8</formula>
    </cfRule>
    <cfRule type="cellIs" dxfId="10985" priority="949" operator="greaterThan">
      <formula>1</formula>
    </cfRule>
  </conditionalFormatting>
  <conditionalFormatting sqref="R138 R144 R141">
    <cfRule type="cellIs" dxfId="10984" priority="946" operator="greaterThan">
      <formula>1</formula>
    </cfRule>
    <cfRule type="cellIs" dxfId="10983" priority="947" operator="lessThan">
      <formula>0.8</formula>
    </cfRule>
  </conditionalFormatting>
  <conditionalFormatting sqref="Q138 Q144 Q141">
    <cfRule type="cellIs" dxfId="10982" priority="945" operator="lessThan">
      <formula>0</formula>
    </cfRule>
  </conditionalFormatting>
  <conditionalFormatting sqref="R138 R144 R141">
    <cfRule type="cellIs" dxfId="10981" priority="943" operator="lessThan">
      <formula>0.8</formula>
    </cfRule>
    <cfRule type="cellIs" dxfId="10980" priority="944" operator="greaterThan">
      <formula>1</formula>
    </cfRule>
  </conditionalFormatting>
  <conditionalFormatting sqref="R138 R144 R141">
    <cfRule type="cellIs" dxfId="10979" priority="941" operator="greaterThan">
      <formula>1</formula>
    </cfRule>
    <cfRule type="cellIs" dxfId="10978" priority="942" operator="lessThan">
      <formula>0.8</formula>
    </cfRule>
  </conditionalFormatting>
  <conditionalFormatting sqref="P138 P144 P141">
    <cfRule type="cellIs" dxfId="10977" priority="940" operator="greaterThan">
      <formula>0</formula>
    </cfRule>
  </conditionalFormatting>
  <conditionalFormatting sqref="P138 P144 P141">
    <cfRule type="cellIs" dxfId="10976" priority="934" operator="greaterThan">
      <formula>0</formula>
    </cfRule>
  </conditionalFormatting>
  <conditionalFormatting sqref="Q138 Q144 Q141">
    <cfRule type="cellIs" dxfId="10975" priority="939" operator="lessThan">
      <formula>0</formula>
    </cfRule>
  </conditionalFormatting>
  <conditionalFormatting sqref="R138 R144 R141">
    <cfRule type="cellIs" dxfId="10974" priority="937" operator="lessThan">
      <formula>0.8</formula>
    </cfRule>
    <cfRule type="cellIs" dxfId="10973" priority="938" operator="greaterThan">
      <formula>1</formula>
    </cfRule>
  </conditionalFormatting>
  <conditionalFormatting sqref="R138 R144 R141">
    <cfRule type="cellIs" dxfId="10972" priority="935" operator="greaterThan">
      <formula>1</formula>
    </cfRule>
    <cfRule type="cellIs" dxfId="10971" priority="936" operator="lessThan">
      <formula>0.8</formula>
    </cfRule>
  </conditionalFormatting>
  <conditionalFormatting sqref="Q138 Q144 Q141">
    <cfRule type="cellIs" dxfId="10970" priority="933" operator="lessThan">
      <formula>0</formula>
    </cfRule>
  </conditionalFormatting>
  <conditionalFormatting sqref="R138 R144 R141">
    <cfRule type="cellIs" dxfId="10969" priority="931" operator="lessThan">
      <formula>0.8</formula>
    </cfRule>
    <cfRule type="cellIs" dxfId="10968" priority="932" operator="greaterThan">
      <formula>1</formula>
    </cfRule>
  </conditionalFormatting>
  <conditionalFormatting sqref="R138 R144 R141">
    <cfRule type="cellIs" dxfId="10967" priority="929" operator="greaterThan">
      <formula>1</formula>
    </cfRule>
    <cfRule type="cellIs" dxfId="10966" priority="930" operator="lessThan">
      <formula>0.8</formula>
    </cfRule>
  </conditionalFormatting>
  <conditionalFormatting sqref="P138 P144 P141">
    <cfRule type="cellIs" dxfId="10965" priority="928" operator="greaterThan">
      <formula>0</formula>
    </cfRule>
  </conditionalFormatting>
  <conditionalFormatting sqref="Q148:Q153">
    <cfRule type="cellIs" dxfId="10964" priority="927" operator="lessThan">
      <formula>0</formula>
    </cfRule>
  </conditionalFormatting>
  <conditionalFormatting sqref="R148:R153">
    <cfRule type="cellIs" dxfId="10963" priority="925" operator="lessThan">
      <formula>0.8</formula>
    </cfRule>
    <cfRule type="cellIs" dxfId="10962" priority="926" operator="greaterThan">
      <formula>1</formula>
    </cfRule>
  </conditionalFormatting>
  <conditionalFormatting sqref="R148:R153">
    <cfRule type="cellIs" dxfId="10961" priority="923" operator="greaterThan">
      <formula>1</formula>
    </cfRule>
    <cfRule type="cellIs" dxfId="10960" priority="924" operator="lessThan">
      <formula>0.8</formula>
    </cfRule>
  </conditionalFormatting>
  <conditionalFormatting sqref="P148:P153">
    <cfRule type="cellIs" dxfId="10959" priority="922" operator="greaterThan">
      <formula>0</formula>
    </cfRule>
  </conditionalFormatting>
  <conditionalFormatting sqref="P148:P153">
    <cfRule type="cellIs" dxfId="10958" priority="916" operator="greaterThan">
      <formula>0</formula>
    </cfRule>
  </conditionalFormatting>
  <conditionalFormatting sqref="Q148:Q153">
    <cfRule type="cellIs" dxfId="10957" priority="921" operator="lessThan">
      <formula>0</formula>
    </cfRule>
  </conditionalFormatting>
  <conditionalFormatting sqref="R148:R153">
    <cfRule type="cellIs" dxfId="10956" priority="919" operator="lessThan">
      <formula>0.8</formula>
    </cfRule>
    <cfRule type="cellIs" dxfId="10955" priority="920" operator="greaterThan">
      <formula>1</formula>
    </cfRule>
  </conditionalFormatting>
  <conditionalFormatting sqref="R148:R153">
    <cfRule type="cellIs" dxfId="10954" priority="917" operator="greaterThan">
      <formula>1</formula>
    </cfRule>
    <cfRule type="cellIs" dxfId="10953" priority="918" operator="lessThan">
      <formula>0.8</formula>
    </cfRule>
  </conditionalFormatting>
  <conditionalFormatting sqref="Q148:Q153">
    <cfRule type="cellIs" dxfId="10952" priority="915" operator="lessThan">
      <formula>0</formula>
    </cfRule>
  </conditionalFormatting>
  <conditionalFormatting sqref="R148:R153">
    <cfRule type="cellIs" dxfId="10951" priority="913" operator="lessThan">
      <formula>0.8</formula>
    </cfRule>
    <cfRule type="cellIs" dxfId="10950" priority="914" operator="greaterThan">
      <formula>1</formula>
    </cfRule>
  </conditionalFormatting>
  <conditionalFormatting sqref="R148:R153">
    <cfRule type="cellIs" dxfId="10949" priority="911" operator="greaterThan">
      <formula>1</formula>
    </cfRule>
    <cfRule type="cellIs" dxfId="10948" priority="912" operator="lessThan">
      <formula>0.8</formula>
    </cfRule>
  </conditionalFormatting>
  <conditionalFormatting sqref="P148:P153">
    <cfRule type="cellIs" dxfId="10947" priority="910" operator="greaterThan">
      <formula>0</formula>
    </cfRule>
  </conditionalFormatting>
  <conditionalFormatting sqref="Q148:Q153">
    <cfRule type="cellIs" dxfId="10946" priority="909" operator="lessThan">
      <formula>0</formula>
    </cfRule>
  </conditionalFormatting>
  <conditionalFormatting sqref="R148:R153">
    <cfRule type="cellIs" dxfId="10945" priority="907" operator="lessThan">
      <formula>0.8</formula>
    </cfRule>
    <cfRule type="cellIs" dxfId="10944" priority="908" operator="greaterThan">
      <formula>1</formula>
    </cfRule>
  </conditionalFormatting>
  <conditionalFormatting sqref="R148:R153">
    <cfRule type="cellIs" dxfId="10943" priority="905" operator="greaterThan">
      <formula>1</formula>
    </cfRule>
    <cfRule type="cellIs" dxfId="10942" priority="906" operator="lessThan">
      <formula>0.8</formula>
    </cfRule>
  </conditionalFormatting>
  <conditionalFormatting sqref="P148:P153">
    <cfRule type="cellIs" dxfId="10941" priority="904" operator="greaterThan">
      <formula>0</formula>
    </cfRule>
  </conditionalFormatting>
  <conditionalFormatting sqref="P148:P153">
    <cfRule type="cellIs" dxfId="10940" priority="898" operator="greaterThan">
      <formula>0</formula>
    </cfRule>
  </conditionalFormatting>
  <conditionalFormatting sqref="Q148:Q153">
    <cfRule type="cellIs" dxfId="10939" priority="903" operator="lessThan">
      <formula>0</formula>
    </cfRule>
  </conditionalFormatting>
  <conditionalFormatting sqref="R148:R153">
    <cfRule type="cellIs" dxfId="10938" priority="901" operator="lessThan">
      <formula>0.8</formula>
    </cfRule>
    <cfRule type="cellIs" dxfId="10937" priority="902" operator="greaterThan">
      <formula>1</formula>
    </cfRule>
  </conditionalFormatting>
  <conditionalFormatting sqref="R148:R153">
    <cfRule type="cellIs" dxfId="10936" priority="899" operator="greaterThan">
      <formula>1</formula>
    </cfRule>
    <cfRule type="cellIs" dxfId="10935" priority="900" operator="lessThan">
      <formula>0.8</formula>
    </cfRule>
  </conditionalFormatting>
  <conditionalFormatting sqref="Q148:Q153">
    <cfRule type="cellIs" dxfId="10934" priority="897" operator="lessThan">
      <formula>0</formula>
    </cfRule>
  </conditionalFormatting>
  <conditionalFormatting sqref="R148:R153">
    <cfRule type="cellIs" dxfId="10933" priority="895" operator="lessThan">
      <formula>0.8</formula>
    </cfRule>
    <cfRule type="cellIs" dxfId="10932" priority="896" operator="greaterThan">
      <formula>1</formula>
    </cfRule>
  </conditionalFormatting>
  <conditionalFormatting sqref="R148:R153">
    <cfRule type="cellIs" dxfId="10931" priority="893" operator="greaterThan">
      <formula>1</formula>
    </cfRule>
    <cfRule type="cellIs" dxfId="10930" priority="894" operator="lessThan">
      <formula>0.8</formula>
    </cfRule>
  </conditionalFormatting>
  <conditionalFormatting sqref="P148:P153">
    <cfRule type="cellIs" dxfId="10929" priority="892" operator="greaterThan">
      <formula>0</formula>
    </cfRule>
  </conditionalFormatting>
  <conditionalFormatting sqref="Q148:Q153">
    <cfRule type="cellIs" dxfId="10928" priority="886" operator="lessThan">
      <formula>0</formula>
    </cfRule>
  </conditionalFormatting>
  <conditionalFormatting sqref="P148:P153">
    <cfRule type="cellIs" dxfId="10927" priority="887" operator="greaterThan">
      <formula>0</formula>
    </cfRule>
  </conditionalFormatting>
  <conditionalFormatting sqref="R148:R153">
    <cfRule type="cellIs" dxfId="10926" priority="890" operator="lessThan">
      <formula>0.8</formula>
    </cfRule>
    <cfRule type="cellIs" dxfId="10925" priority="891" operator="greaterThan">
      <formula>1</formula>
    </cfRule>
  </conditionalFormatting>
  <conditionalFormatting sqref="R148:R153">
    <cfRule type="cellIs" dxfId="10924" priority="888" operator="greaterThan">
      <formula>1</formula>
    </cfRule>
    <cfRule type="cellIs" dxfId="10923" priority="889" operator="lessThan">
      <formula>0.8</formula>
    </cfRule>
  </conditionalFormatting>
  <conditionalFormatting sqref="Q148:Q153">
    <cfRule type="cellIs" dxfId="10922" priority="880" operator="lessThan">
      <formula>0</formula>
    </cfRule>
  </conditionalFormatting>
  <conditionalFormatting sqref="R148:R153">
    <cfRule type="cellIs" dxfId="10921" priority="884" operator="lessThan">
      <formula>0.8</formula>
    </cfRule>
    <cfRule type="cellIs" dxfId="10920" priority="885" operator="greaterThan">
      <formula>1</formula>
    </cfRule>
  </conditionalFormatting>
  <conditionalFormatting sqref="R148:R153">
    <cfRule type="cellIs" dxfId="10919" priority="882" operator="greaterThan">
      <formula>1</formula>
    </cfRule>
    <cfRule type="cellIs" dxfId="10918" priority="883" operator="lessThan">
      <formula>0.8</formula>
    </cfRule>
  </conditionalFormatting>
  <conditionalFormatting sqref="P148:P153">
    <cfRule type="cellIs" dxfId="10917" priority="881" operator="greaterThan">
      <formula>0</formula>
    </cfRule>
  </conditionalFormatting>
  <conditionalFormatting sqref="Q148:Q153">
    <cfRule type="cellIs" dxfId="10916" priority="879" operator="lessThan">
      <formula>0</formula>
    </cfRule>
  </conditionalFormatting>
  <conditionalFormatting sqref="R148:R153">
    <cfRule type="cellIs" dxfId="10915" priority="877" operator="lessThan">
      <formula>0.8</formula>
    </cfRule>
    <cfRule type="cellIs" dxfId="10914" priority="878" operator="greaterThan">
      <formula>1</formula>
    </cfRule>
  </conditionalFormatting>
  <conditionalFormatting sqref="R148:R153">
    <cfRule type="cellIs" dxfId="10913" priority="875" operator="greaterThan">
      <formula>1</formula>
    </cfRule>
    <cfRule type="cellIs" dxfId="10912" priority="876" operator="lessThan">
      <formula>0.8</formula>
    </cfRule>
  </conditionalFormatting>
  <conditionalFormatting sqref="P148:P153">
    <cfRule type="cellIs" dxfId="10911" priority="874" operator="greaterThan">
      <formula>0</formula>
    </cfRule>
  </conditionalFormatting>
  <conditionalFormatting sqref="Q148:Q153">
    <cfRule type="cellIs" dxfId="10910" priority="873" operator="lessThan">
      <formula>0</formula>
    </cfRule>
  </conditionalFormatting>
  <conditionalFormatting sqref="R148:R153">
    <cfRule type="cellIs" dxfId="10909" priority="871" operator="lessThan">
      <formula>0.8</formula>
    </cfRule>
    <cfRule type="cellIs" dxfId="10908" priority="872" operator="greaterThan">
      <formula>1</formula>
    </cfRule>
  </conditionalFormatting>
  <conditionalFormatting sqref="R148:R153">
    <cfRule type="cellIs" dxfId="10907" priority="869" operator="greaterThan">
      <formula>1</formula>
    </cfRule>
    <cfRule type="cellIs" dxfId="10906" priority="870" operator="lessThan">
      <formula>0.8</formula>
    </cfRule>
  </conditionalFormatting>
  <conditionalFormatting sqref="P148:P153">
    <cfRule type="cellIs" dxfId="10905" priority="868" operator="greaterThan">
      <formula>0</formula>
    </cfRule>
  </conditionalFormatting>
  <conditionalFormatting sqref="Q148:Q153">
    <cfRule type="cellIs" dxfId="10904" priority="867" operator="lessThan">
      <formula>0</formula>
    </cfRule>
  </conditionalFormatting>
  <conditionalFormatting sqref="R148:R153">
    <cfRule type="cellIs" dxfId="10903" priority="865" operator="lessThan">
      <formula>0.8</formula>
    </cfRule>
    <cfRule type="cellIs" dxfId="10902" priority="866" operator="greaterThan">
      <formula>1</formula>
    </cfRule>
  </conditionalFormatting>
  <conditionalFormatting sqref="R148:R153">
    <cfRule type="cellIs" dxfId="10901" priority="863" operator="greaterThan">
      <formula>1</formula>
    </cfRule>
    <cfRule type="cellIs" dxfId="10900" priority="864" operator="lessThan">
      <formula>0.8</formula>
    </cfRule>
  </conditionalFormatting>
  <conditionalFormatting sqref="P148:P153">
    <cfRule type="cellIs" dxfId="10899" priority="862" operator="greaterThan">
      <formula>0</formula>
    </cfRule>
  </conditionalFormatting>
  <conditionalFormatting sqref="Q148:Q153">
    <cfRule type="cellIs" dxfId="10898" priority="861" operator="lessThan">
      <formula>0</formula>
    </cfRule>
  </conditionalFormatting>
  <conditionalFormatting sqref="R148:R153">
    <cfRule type="cellIs" dxfId="10897" priority="859" operator="lessThan">
      <formula>0.8</formula>
    </cfRule>
    <cfRule type="cellIs" dxfId="10896" priority="860" operator="greaterThan">
      <formula>1</formula>
    </cfRule>
  </conditionalFormatting>
  <conditionalFormatting sqref="R148:R153">
    <cfRule type="cellIs" dxfId="10895" priority="857" operator="greaterThan">
      <formula>1</formula>
    </cfRule>
    <cfRule type="cellIs" dxfId="10894" priority="858" operator="lessThan">
      <formula>0.8</formula>
    </cfRule>
  </conditionalFormatting>
  <conditionalFormatting sqref="P148:P153">
    <cfRule type="cellIs" dxfId="10893" priority="856" operator="greaterThan">
      <formula>0</formula>
    </cfRule>
  </conditionalFormatting>
  <conditionalFormatting sqref="Q148:Q153">
    <cfRule type="cellIs" dxfId="10892" priority="855" operator="lessThan">
      <formula>0</formula>
    </cfRule>
  </conditionalFormatting>
  <conditionalFormatting sqref="R148:R153">
    <cfRule type="cellIs" dxfId="10891" priority="853" operator="lessThan">
      <formula>0.8</formula>
    </cfRule>
    <cfRule type="cellIs" dxfId="10890" priority="854" operator="greaterThan">
      <formula>1</formula>
    </cfRule>
  </conditionalFormatting>
  <conditionalFormatting sqref="R148:R153">
    <cfRule type="cellIs" dxfId="10889" priority="851" operator="greaterThan">
      <formula>1</formula>
    </cfRule>
    <cfRule type="cellIs" dxfId="10888" priority="852" operator="lessThan">
      <formula>0.8</formula>
    </cfRule>
  </conditionalFormatting>
  <conditionalFormatting sqref="P148:P153">
    <cfRule type="cellIs" dxfId="10887" priority="850" operator="greaterThan">
      <formula>0</formula>
    </cfRule>
  </conditionalFormatting>
  <conditionalFormatting sqref="Q148:Q153">
    <cfRule type="cellIs" dxfId="10886" priority="849" operator="lessThan">
      <formula>0</formula>
    </cfRule>
  </conditionalFormatting>
  <conditionalFormatting sqref="R148:R153">
    <cfRule type="cellIs" dxfId="10885" priority="847" operator="lessThan">
      <formula>0.8</formula>
    </cfRule>
    <cfRule type="cellIs" dxfId="10884" priority="848" operator="greaterThan">
      <formula>1</formula>
    </cfRule>
  </conditionalFormatting>
  <conditionalFormatting sqref="R148:R153">
    <cfRule type="cellIs" dxfId="10883" priority="845" operator="greaterThan">
      <formula>1</formula>
    </cfRule>
    <cfRule type="cellIs" dxfId="10882" priority="846" operator="lessThan">
      <formula>0.8</formula>
    </cfRule>
  </conditionalFormatting>
  <conditionalFormatting sqref="P148:P153">
    <cfRule type="cellIs" dxfId="10881" priority="844" operator="greaterThan">
      <formula>0</formula>
    </cfRule>
  </conditionalFormatting>
  <conditionalFormatting sqref="Q148:Q153">
    <cfRule type="cellIs" dxfId="10880" priority="843" operator="lessThan">
      <formula>0</formula>
    </cfRule>
  </conditionalFormatting>
  <conditionalFormatting sqref="R148:R153">
    <cfRule type="cellIs" dxfId="10879" priority="841" operator="lessThan">
      <formula>0.8</formula>
    </cfRule>
    <cfRule type="cellIs" dxfId="10878" priority="842" operator="greaterThan">
      <formula>1</formula>
    </cfRule>
  </conditionalFormatting>
  <conditionalFormatting sqref="R148:R153">
    <cfRule type="cellIs" dxfId="10877" priority="839" operator="greaterThan">
      <formula>1</formula>
    </cfRule>
    <cfRule type="cellIs" dxfId="10876" priority="840" operator="lessThan">
      <formula>0.8</formula>
    </cfRule>
  </conditionalFormatting>
  <conditionalFormatting sqref="P148:P153">
    <cfRule type="cellIs" dxfId="10875" priority="838" operator="greaterThan">
      <formula>0</formula>
    </cfRule>
  </conditionalFormatting>
  <conditionalFormatting sqref="P148:P153">
    <cfRule type="cellIs" dxfId="10874" priority="832" operator="greaterThan">
      <formula>0</formula>
    </cfRule>
  </conditionalFormatting>
  <conditionalFormatting sqref="Q148:Q153">
    <cfRule type="cellIs" dxfId="10873" priority="837" operator="lessThan">
      <formula>0</formula>
    </cfRule>
  </conditionalFormatting>
  <conditionalFormatting sqref="R148:R153">
    <cfRule type="cellIs" dxfId="10872" priority="835" operator="lessThan">
      <formula>0.8</formula>
    </cfRule>
    <cfRule type="cellIs" dxfId="10871" priority="836" operator="greaterThan">
      <formula>1</formula>
    </cfRule>
  </conditionalFormatting>
  <conditionalFormatting sqref="R148:R153">
    <cfRule type="cellIs" dxfId="10870" priority="833" operator="greaterThan">
      <formula>1</formula>
    </cfRule>
    <cfRule type="cellIs" dxfId="10869" priority="834" operator="lessThan">
      <formula>0.8</formula>
    </cfRule>
  </conditionalFormatting>
  <conditionalFormatting sqref="P148:P153">
    <cfRule type="cellIs" dxfId="10868" priority="826" operator="greaterThan">
      <formula>0</formula>
    </cfRule>
  </conditionalFormatting>
  <conditionalFormatting sqref="Q148:Q153">
    <cfRule type="cellIs" dxfId="10867" priority="831" operator="lessThan">
      <formula>0</formula>
    </cfRule>
  </conditionalFormatting>
  <conditionalFormatting sqref="R148:R153">
    <cfRule type="cellIs" dxfId="10866" priority="829" operator="lessThan">
      <formula>0.8</formula>
    </cfRule>
    <cfRule type="cellIs" dxfId="10865" priority="830" operator="greaterThan">
      <formula>1</formula>
    </cfRule>
  </conditionalFormatting>
  <conditionalFormatting sqref="R148:R153">
    <cfRule type="cellIs" dxfId="10864" priority="827" operator="greaterThan">
      <formula>1</formula>
    </cfRule>
    <cfRule type="cellIs" dxfId="10863" priority="828" operator="lessThan">
      <formula>0.8</formula>
    </cfRule>
  </conditionalFormatting>
  <conditionalFormatting sqref="R148:R153">
    <cfRule type="cellIs" dxfId="10862" priority="823" operator="lessThan">
      <formula>0.8</formula>
    </cfRule>
    <cfRule type="cellIs" dxfId="10861" priority="824" operator="greaterThan">
      <formula>1</formula>
    </cfRule>
  </conditionalFormatting>
  <conditionalFormatting sqref="R148:R153">
    <cfRule type="cellIs" dxfId="10860" priority="821" operator="greaterThan">
      <formula>1</formula>
    </cfRule>
    <cfRule type="cellIs" dxfId="10859" priority="822" operator="lessThan">
      <formula>0.8</formula>
    </cfRule>
  </conditionalFormatting>
  <conditionalFormatting sqref="P148:P153">
    <cfRule type="cellIs" dxfId="10858" priority="820" operator="greaterThan">
      <formula>0</formula>
    </cfRule>
  </conditionalFormatting>
  <conditionalFormatting sqref="Q148:Q153">
    <cfRule type="cellIs" dxfId="10857" priority="825" operator="lessThan">
      <formula>0</formula>
    </cfRule>
  </conditionalFormatting>
  <conditionalFormatting sqref="Q148:Q153">
    <cfRule type="cellIs" dxfId="10856" priority="819" operator="lessThan">
      <formula>0</formula>
    </cfRule>
  </conditionalFormatting>
  <conditionalFormatting sqref="R148:R153">
    <cfRule type="cellIs" dxfId="10855" priority="817" operator="lessThan">
      <formula>0.8</formula>
    </cfRule>
    <cfRule type="cellIs" dxfId="10854" priority="818" operator="greaterThan">
      <formula>1</formula>
    </cfRule>
  </conditionalFormatting>
  <conditionalFormatting sqref="R148:R153">
    <cfRule type="cellIs" dxfId="10853" priority="815" operator="greaterThan">
      <formula>1</formula>
    </cfRule>
    <cfRule type="cellIs" dxfId="10852" priority="816" operator="lessThan">
      <formula>0.8</formula>
    </cfRule>
  </conditionalFormatting>
  <conditionalFormatting sqref="P148:P153">
    <cfRule type="cellIs" dxfId="10851" priority="814" operator="greaterThan">
      <formula>0</formula>
    </cfRule>
  </conditionalFormatting>
  <conditionalFormatting sqref="P148:P153">
    <cfRule type="cellIs" dxfId="10850" priority="808" operator="greaterThan">
      <formula>0</formula>
    </cfRule>
  </conditionalFormatting>
  <conditionalFormatting sqref="Q148:Q153">
    <cfRule type="cellIs" dxfId="10849" priority="813" operator="lessThan">
      <formula>0</formula>
    </cfRule>
  </conditionalFormatting>
  <conditionalFormatting sqref="R148:R153">
    <cfRule type="cellIs" dxfId="10848" priority="811" operator="lessThan">
      <formula>0.8</formula>
    </cfRule>
    <cfRule type="cellIs" dxfId="10847" priority="812" operator="greaterThan">
      <formula>1</formula>
    </cfRule>
  </conditionalFormatting>
  <conditionalFormatting sqref="R148:R153">
    <cfRule type="cellIs" dxfId="10846" priority="809" operator="greaterThan">
      <formula>1</formula>
    </cfRule>
    <cfRule type="cellIs" dxfId="10845" priority="810" operator="lessThan">
      <formula>0.8</formula>
    </cfRule>
  </conditionalFormatting>
  <conditionalFormatting sqref="P148:P153">
    <cfRule type="cellIs" dxfId="10844" priority="802" operator="greaterThan">
      <formula>0</formula>
    </cfRule>
  </conditionalFormatting>
  <conditionalFormatting sqref="Q148:Q153">
    <cfRule type="cellIs" dxfId="10843" priority="807" operator="lessThan">
      <formula>0</formula>
    </cfRule>
  </conditionalFormatting>
  <conditionalFormatting sqref="R148:R153">
    <cfRule type="cellIs" dxfId="10842" priority="805" operator="lessThan">
      <formula>0.8</formula>
    </cfRule>
    <cfRule type="cellIs" dxfId="10841" priority="806" operator="greaterThan">
      <formula>1</formula>
    </cfRule>
  </conditionalFormatting>
  <conditionalFormatting sqref="R148:R153">
    <cfRule type="cellIs" dxfId="10840" priority="803" operator="greaterThan">
      <formula>1</formula>
    </cfRule>
    <cfRule type="cellIs" dxfId="10839" priority="804" operator="lessThan">
      <formula>0.8</formula>
    </cfRule>
  </conditionalFormatting>
  <conditionalFormatting sqref="R148:R153">
    <cfRule type="cellIs" dxfId="10838" priority="799" operator="lessThan">
      <formula>0.8</formula>
    </cfRule>
    <cfRule type="cellIs" dxfId="10837" priority="800" operator="greaterThan">
      <formula>1</formula>
    </cfRule>
  </conditionalFormatting>
  <conditionalFormatting sqref="R148:R153">
    <cfRule type="cellIs" dxfId="10836" priority="797" operator="greaterThan">
      <formula>1</formula>
    </cfRule>
    <cfRule type="cellIs" dxfId="10835" priority="798" operator="lessThan">
      <formula>0.8</formula>
    </cfRule>
  </conditionalFormatting>
  <conditionalFormatting sqref="P148:P153">
    <cfRule type="cellIs" dxfId="10834" priority="796" operator="greaterThan">
      <formula>0</formula>
    </cfRule>
  </conditionalFormatting>
  <conditionalFormatting sqref="Q148:Q153">
    <cfRule type="cellIs" dxfId="10833" priority="801" operator="lessThan">
      <formula>0</formula>
    </cfRule>
  </conditionalFormatting>
  <conditionalFormatting sqref="P148:P153">
    <cfRule type="cellIs" dxfId="10832" priority="790" operator="greaterThan">
      <formula>0</formula>
    </cfRule>
  </conditionalFormatting>
  <conditionalFormatting sqref="Q148:Q153">
    <cfRule type="cellIs" dxfId="10831" priority="795" operator="lessThan">
      <formula>0</formula>
    </cfRule>
  </conditionalFormatting>
  <conditionalFormatting sqref="R148:R153">
    <cfRule type="cellIs" dxfId="10830" priority="793" operator="lessThan">
      <formula>0.8</formula>
    </cfRule>
    <cfRule type="cellIs" dxfId="10829" priority="794" operator="greaterThan">
      <formula>1</formula>
    </cfRule>
  </conditionalFormatting>
  <conditionalFormatting sqref="R148:R153">
    <cfRule type="cellIs" dxfId="10828" priority="791" operator="greaterThan">
      <formula>1</formula>
    </cfRule>
    <cfRule type="cellIs" dxfId="10827" priority="792" operator="lessThan">
      <formula>0.8</formula>
    </cfRule>
  </conditionalFormatting>
  <conditionalFormatting sqref="R148:R153">
    <cfRule type="cellIs" dxfId="10826" priority="787" operator="lessThan">
      <formula>0.8</formula>
    </cfRule>
    <cfRule type="cellIs" dxfId="10825" priority="788" operator="greaterThan">
      <formula>1</formula>
    </cfRule>
  </conditionalFormatting>
  <conditionalFormatting sqref="R148:R153">
    <cfRule type="cellIs" dxfId="10824" priority="785" operator="greaterThan">
      <formula>1</formula>
    </cfRule>
    <cfRule type="cellIs" dxfId="10823" priority="786" operator="lessThan">
      <formula>0.8</formula>
    </cfRule>
  </conditionalFormatting>
  <conditionalFormatting sqref="P148:P153">
    <cfRule type="cellIs" dxfId="10822" priority="784" operator="greaterThan">
      <formula>0</formula>
    </cfRule>
  </conditionalFormatting>
  <conditionalFormatting sqref="Q148:Q153">
    <cfRule type="cellIs" dxfId="10821" priority="789" operator="lessThan">
      <formula>0</formula>
    </cfRule>
  </conditionalFormatting>
  <conditionalFormatting sqref="R148:R153">
    <cfRule type="cellIs" dxfId="10820" priority="781" operator="lessThan">
      <formula>0.8</formula>
    </cfRule>
    <cfRule type="cellIs" dxfId="10819" priority="782" operator="greaterThan">
      <formula>1</formula>
    </cfRule>
  </conditionalFormatting>
  <conditionalFormatting sqref="R148:R153">
    <cfRule type="cellIs" dxfId="10818" priority="779" operator="greaterThan">
      <formula>1</formula>
    </cfRule>
    <cfRule type="cellIs" dxfId="10817" priority="780" operator="lessThan">
      <formula>0.8</formula>
    </cfRule>
  </conditionalFormatting>
  <conditionalFormatting sqref="P148:P153">
    <cfRule type="cellIs" dxfId="10816" priority="778" operator="greaterThan">
      <formula>0</formula>
    </cfRule>
  </conditionalFormatting>
  <conditionalFormatting sqref="Q148:Q153">
    <cfRule type="cellIs" dxfId="10815" priority="783" operator="lessThan">
      <formula>0</formula>
    </cfRule>
  </conditionalFormatting>
  <conditionalFormatting sqref="Q148:Q153">
    <cfRule type="cellIs" dxfId="10814" priority="777" operator="lessThan">
      <formula>0</formula>
    </cfRule>
  </conditionalFormatting>
  <conditionalFormatting sqref="R148:R153">
    <cfRule type="cellIs" dxfId="10813" priority="775" operator="lessThan">
      <formula>0.8</formula>
    </cfRule>
    <cfRule type="cellIs" dxfId="10812" priority="776" operator="greaterThan">
      <formula>1</formula>
    </cfRule>
  </conditionalFormatting>
  <conditionalFormatting sqref="R148:R153">
    <cfRule type="cellIs" dxfId="10811" priority="773" operator="greaterThan">
      <formula>1</formula>
    </cfRule>
    <cfRule type="cellIs" dxfId="10810" priority="774" operator="lessThan">
      <formula>0.8</formula>
    </cfRule>
  </conditionalFormatting>
  <conditionalFormatting sqref="P148:P153">
    <cfRule type="cellIs" dxfId="10809" priority="772" operator="greaterThan">
      <formula>0</formula>
    </cfRule>
  </conditionalFormatting>
  <conditionalFormatting sqref="Q148:Q153">
    <cfRule type="cellIs" dxfId="10808" priority="766" operator="lessThan">
      <formula>0</formula>
    </cfRule>
  </conditionalFormatting>
  <conditionalFormatting sqref="R148:R153">
    <cfRule type="cellIs" dxfId="10807" priority="770" operator="lessThan">
      <formula>0.8</formula>
    </cfRule>
    <cfRule type="cellIs" dxfId="10806" priority="771" operator="greaterThan">
      <formula>1</formula>
    </cfRule>
  </conditionalFormatting>
  <conditionalFormatting sqref="R148:R153">
    <cfRule type="cellIs" dxfId="10805" priority="768" operator="greaterThan">
      <formula>1</formula>
    </cfRule>
    <cfRule type="cellIs" dxfId="10804" priority="769" operator="lessThan">
      <formula>0.8</formula>
    </cfRule>
  </conditionalFormatting>
  <conditionalFormatting sqref="P148:P153">
    <cfRule type="cellIs" dxfId="10803" priority="767" operator="greaterThan">
      <formula>0</formula>
    </cfRule>
  </conditionalFormatting>
  <conditionalFormatting sqref="Q148:Q153">
    <cfRule type="cellIs" dxfId="10802" priority="765" operator="lessThan">
      <formula>0</formula>
    </cfRule>
  </conditionalFormatting>
  <conditionalFormatting sqref="R148:R153">
    <cfRule type="cellIs" dxfId="10801" priority="763" operator="lessThan">
      <formula>0.8</formula>
    </cfRule>
    <cfRule type="cellIs" dxfId="10800" priority="764" operator="greaterThan">
      <formula>1</formula>
    </cfRule>
  </conditionalFormatting>
  <conditionalFormatting sqref="R148:R153">
    <cfRule type="cellIs" dxfId="10799" priority="761" operator="greaterThan">
      <formula>1</formula>
    </cfRule>
    <cfRule type="cellIs" dxfId="10798" priority="762" operator="lessThan">
      <formula>0.8</formula>
    </cfRule>
  </conditionalFormatting>
  <conditionalFormatting sqref="P148:P153">
    <cfRule type="cellIs" dxfId="10797" priority="760" operator="greaterThan">
      <formula>0</formula>
    </cfRule>
  </conditionalFormatting>
  <conditionalFormatting sqref="Q148:Q153">
    <cfRule type="cellIs" dxfId="10796" priority="759" operator="lessThan">
      <formula>0</formula>
    </cfRule>
  </conditionalFormatting>
  <conditionalFormatting sqref="R148:R153">
    <cfRule type="cellIs" dxfId="10795" priority="757" operator="lessThan">
      <formula>0.8</formula>
    </cfRule>
    <cfRule type="cellIs" dxfId="10794" priority="758" operator="greaterThan">
      <formula>1</formula>
    </cfRule>
  </conditionalFormatting>
  <conditionalFormatting sqref="R148:R153">
    <cfRule type="cellIs" dxfId="10793" priority="755" operator="greaterThan">
      <formula>1</formula>
    </cfRule>
    <cfRule type="cellIs" dxfId="10792" priority="756" operator="lessThan">
      <formula>0.8</formula>
    </cfRule>
  </conditionalFormatting>
  <conditionalFormatting sqref="P148:P153">
    <cfRule type="cellIs" dxfId="10791" priority="754" operator="greaterThan">
      <formula>0</formula>
    </cfRule>
  </conditionalFormatting>
  <conditionalFormatting sqref="Q148:Q153">
    <cfRule type="cellIs" dxfId="10790" priority="753" operator="lessThan">
      <formula>0</formula>
    </cfRule>
  </conditionalFormatting>
  <conditionalFormatting sqref="R148:R153">
    <cfRule type="cellIs" dxfId="10789" priority="751" operator="lessThan">
      <formula>0.8</formula>
    </cfRule>
    <cfRule type="cellIs" dxfId="10788" priority="752" operator="greaterThan">
      <formula>1</formula>
    </cfRule>
  </conditionalFormatting>
  <conditionalFormatting sqref="R148:R153">
    <cfRule type="cellIs" dxfId="10787" priority="749" operator="greaterThan">
      <formula>1</formula>
    </cfRule>
    <cfRule type="cellIs" dxfId="10786" priority="750" operator="lessThan">
      <formula>0.8</formula>
    </cfRule>
  </conditionalFormatting>
  <conditionalFormatting sqref="P148:P153">
    <cfRule type="cellIs" dxfId="10785" priority="748" operator="greaterThan">
      <formula>0</formula>
    </cfRule>
  </conditionalFormatting>
  <conditionalFormatting sqref="Q148:Q153">
    <cfRule type="cellIs" dxfId="10784" priority="747" operator="lessThan">
      <formula>0</formula>
    </cfRule>
  </conditionalFormatting>
  <conditionalFormatting sqref="R148:R153">
    <cfRule type="cellIs" dxfId="10783" priority="745" operator="lessThan">
      <formula>0.8</formula>
    </cfRule>
    <cfRule type="cellIs" dxfId="10782" priority="746" operator="greaterThan">
      <formula>1</formula>
    </cfRule>
  </conditionalFormatting>
  <conditionalFormatting sqref="R148:R153">
    <cfRule type="cellIs" dxfId="10781" priority="743" operator="greaterThan">
      <formula>1</formula>
    </cfRule>
    <cfRule type="cellIs" dxfId="10780" priority="744" operator="lessThan">
      <formula>0.8</formula>
    </cfRule>
  </conditionalFormatting>
  <conditionalFormatting sqref="P148:P153">
    <cfRule type="cellIs" dxfId="10779" priority="742" operator="greaterThan">
      <formula>0</formula>
    </cfRule>
  </conditionalFormatting>
  <conditionalFormatting sqref="Q148:Q153">
    <cfRule type="cellIs" dxfId="10778" priority="741" operator="lessThan">
      <formula>0</formula>
    </cfRule>
  </conditionalFormatting>
  <conditionalFormatting sqref="R148:R153">
    <cfRule type="cellIs" dxfId="10777" priority="739" operator="lessThan">
      <formula>0.8</formula>
    </cfRule>
    <cfRule type="cellIs" dxfId="10776" priority="740" operator="greaterThan">
      <formula>1</formula>
    </cfRule>
  </conditionalFormatting>
  <conditionalFormatting sqref="R148:R153">
    <cfRule type="cellIs" dxfId="10775" priority="737" operator="greaterThan">
      <formula>1</formula>
    </cfRule>
    <cfRule type="cellIs" dxfId="10774" priority="738" operator="lessThan">
      <formula>0.8</formula>
    </cfRule>
  </conditionalFormatting>
  <conditionalFormatting sqref="P148:P153">
    <cfRule type="cellIs" dxfId="10773" priority="736" operator="greaterThan">
      <formula>0</formula>
    </cfRule>
  </conditionalFormatting>
  <conditionalFormatting sqref="P148:P153">
    <cfRule type="cellIs" dxfId="10772" priority="730" operator="greaterThan">
      <formula>0</formula>
    </cfRule>
  </conditionalFormatting>
  <conditionalFormatting sqref="Q148:Q153">
    <cfRule type="cellIs" dxfId="10771" priority="735" operator="lessThan">
      <formula>0</formula>
    </cfRule>
  </conditionalFormatting>
  <conditionalFormatting sqref="R148:R153">
    <cfRule type="cellIs" dxfId="10770" priority="733" operator="lessThan">
      <formula>0.8</formula>
    </cfRule>
    <cfRule type="cellIs" dxfId="10769" priority="734" operator="greaterThan">
      <formula>1</formula>
    </cfRule>
  </conditionalFormatting>
  <conditionalFormatting sqref="R148:R153">
    <cfRule type="cellIs" dxfId="10768" priority="731" operator="greaterThan">
      <formula>1</formula>
    </cfRule>
    <cfRule type="cellIs" dxfId="10767" priority="732" operator="lessThan">
      <formula>0.8</formula>
    </cfRule>
  </conditionalFormatting>
  <conditionalFormatting sqref="P148:P153">
    <cfRule type="cellIs" dxfId="10766" priority="724" operator="greaterThan">
      <formula>0</formula>
    </cfRule>
  </conditionalFormatting>
  <conditionalFormatting sqref="Q148:Q153">
    <cfRule type="cellIs" dxfId="10765" priority="729" operator="lessThan">
      <formula>0</formula>
    </cfRule>
  </conditionalFormatting>
  <conditionalFormatting sqref="R148:R153">
    <cfRule type="cellIs" dxfId="10764" priority="727" operator="lessThan">
      <formula>0.8</formula>
    </cfRule>
    <cfRule type="cellIs" dxfId="10763" priority="728" operator="greaterThan">
      <formula>1</formula>
    </cfRule>
  </conditionalFormatting>
  <conditionalFormatting sqref="R148:R153">
    <cfRule type="cellIs" dxfId="10762" priority="725" operator="greaterThan">
      <formula>1</formula>
    </cfRule>
    <cfRule type="cellIs" dxfId="10761" priority="726" operator="lessThan">
      <formula>0.8</formula>
    </cfRule>
  </conditionalFormatting>
  <conditionalFormatting sqref="R148:R153">
    <cfRule type="cellIs" dxfId="10760" priority="721" operator="lessThan">
      <formula>0.8</formula>
    </cfRule>
    <cfRule type="cellIs" dxfId="10759" priority="722" operator="greaterThan">
      <formula>1</formula>
    </cfRule>
  </conditionalFormatting>
  <conditionalFormatting sqref="R148:R153">
    <cfRule type="cellIs" dxfId="10758" priority="719" operator="greaterThan">
      <formula>1</formula>
    </cfRule>
    <cfRule type="cellIs" dxfId="10757" priority="720" operator="lessThan">
      <formula>0.8</formula>
    </cfRule>
  </conditionalFormatting>
  <conditionalFormatting sqref="P148:P153">
    <cfRule type="cellIs" dxfId="10756" priority="718" operator="greaterThan">
      <formula>0</formula>
    </cfRule>
  </conditionalFormatting>
  <conditionalFormatting sqref="Q148:Q153">
    <cfRule type="cellIs" dxfId="10755" priority="723" operator="lessThan">
      <formula>0</formula>
    </cfRule>
  </conditionalFormatting>
  <conditionalFormatting sqref="P44:P51">
    <cfRule type="cellIs" dxfId="10754" priority="712" operator="greaterThan">
      <formula>0</formula>
    </cfRule>
  </conditionalFormatting>
  <conditionalFormatting sqref="Q44:Q51">
    <cfRule type="cellIs" dxfId="10753" priority="717" operator="lessThan">
      <formula>0</formula>
    </cfRule>
  </conditionalFormatting>
  <conditionalFormatting sqref="R44:R51">
    <cfRule type="cellIs" dxfId="10752" priority="715" operator="lessThan">
      <formula>0.8</formula>
    </cfRule>
    <cfRule type="cellIs" dxfId="10751" priority="716" operator="greaterThan">
      <formula>1</formula>
    </cfRule>
  </conditionalFormatting>
  <conditionalFormatting sqref="R44:R51">
    <cfRule type="cellIs" dxfId="10750" priority="713" operator="greaterThan">
      <formula>1</formula>
    </cfRule>
    <cfRule type="cellIs" dxfId="10749" priority="714" operator="lessThan">
      <formula>0.8</formula>
    </cfRule>
  </conditionalFormatting>
  <conditionalFormatting sqref="Q84:Q91">
    <cfRule type="cellIs" dxfId="10748" priority="711" operator="lessThan">
      <formula>0</formula>
    </cfRule>
  </conditionalFormatting>
  <conditionalFormatting sqref="R84:R91">
    <cfRule type="cellIs" dxfId="10747" priority="709" operator="lessThan">
      <formula>0.8</formula>
    </cfRule>
    <cfRule type="cellIs" dxfId="10746" priority="710" operator="greaterThan">
      <formula>1</formula>
    </cfRule>
  </conditionalFormatting>
  <conditionalFormatting sqref="R84:R91">
    <cfRule type="cellIs" dxfId="10745" priority="707" operator="greaterThan">
      <formula>1</formula>
    </cfRule>
    <cfRule type="cellIs" dxfId="10744" priority="708" operator="lessThan">
      <formula>0.8</formula>
    </cfRule>
  </conditionalFormatting>
  <conditionalFormatting sqref="P84:P91">
    <cfRule type="cellIs" dxfId="10743" priority="706" operator="greaterThan">
      <formula>0</formula>
    </cfRule>
  </conditionalFormatting>
  <conditionalFormatting sqref="Q84:Q91">
    <cfRule type="cellIs" dxfId="10742" priority="705" operator="lessThan">
      <formula>0</formula>
    </cfRule>
  </conditionalFormatting>
  <conditionalFormatting sqref="R84:R91">
    <cfRule type="cellIs" dxfId="10741" priority="703" operator="lessThan">
      <formula>0.8</formula>
    </cfRule>
    <cfRule type="cellIs" dxfId="10740" priority="704" operator="greaterThan">
      <formula>1</formula>
    </cfRule>
  </conditionalFormatting>
  <conditionalFormatting sqref="R84:R91">
    <cfRule type="cellIs" dxfId="10739" priority="701" operator="greaterThan">
      <formula>1</formula>
    </cfRule>
    <cfRule type="cellIs" dxfId="10738" priority="702" operator="lessThan">
      <formula>0.8</formula>
    </cfRule>
  </conditionalFormatting>
  <conditionalFormatting sqref="P84:P91">
    <cfRule type="cellIs" dxfId="10737" priority="700" operator="greaterThan">
      <formula>0</formula>
    </cfRule>
  </conditionalFormatting>
  <conditionalFormatting sqref="Q84:Q91">
    <cfRule type="cellIs" dxfId="10736" priority="699" operator="lessThan">
      <formula>0</formula>
    </cfRule>
  </conditionalFormatting>
  <conditionalFormatting sqref="R84:R91">
    <cfRule type="cellIs" dxfId="10735" priority="697" operator="lessThan">
      <formula>0.8</formula>
    </cfRule>
    <cfRule type="cellIs" dxfId="10734" priority="698" operator="greaterThan">
      <formula>1</formula>
    </cfRule>
  </conditionalFormatting>
  <conditionalFormatting sqref="R84:R91">
    <cfRule type="cellIs" dxfId="10733" priority="695" operator="greaterThan">
      <formula>1</formula>
    </cfRule>
    <cfRule type="cellIs" dxfId="10732" priority="696" operator="lessThan">
      <formula>0.8</formula>
    </cfRule>
  </conditionalFormatting>
  <conditionalFormatting sqref="P84:P91">
    <cfRule type="cellIs" dxfId="10731" priority="694" operator="greaterThan">
      <formula>0</formula>
    </cfRule>
  </conditionalFormatting>
  <conditionalFormatting sqref="Q84:Q91">
    <cfRule type="cellIs" dxfId="10730" priority="693" operator="lessThan">
      <formula>0</formula>
    </cfRule>
  </conditionalFormatting>
  <conditionalFormatting sqref="R84:R91">
    <cfRule type="cellIs" dxfId="10729" priority="691" operator="lessThan">
      <formula>0.8</formula>
    </cfRule>
    <cfRule type="cellIs" dxfId="10728" priority="692" operator="greaterThan">
      <formula>1</formula>
    </cfRule>
  </conditionalFormatting>
  <conditionalFormatting sqref="R84:R91">
    <cfRule type="cellIs" dxfId="10727" priority="689" operator="greaterThan">
      <formula>1</formula>
    </cfRule>
    <cfRule type="cellIs" dxfId="10726" priority="690" operator="lessThan">
      <formula>0.8</formula>
    </cfRule>
  </conditionalFormatting>
  <conditionalFormatting sqref="P84:P91">
    <cfRule type="cellIs" dxfId="10725" priority="688" operator="greaterThan">
      <formula>0</formula>
    </cfRule>
  </conditionalFormatting>
  <conditionalFormatting sqref="P84:P91">
    <cfRule type="cellIs" dxfId="10724" priority="682" operator="greaterThan">
      <formula>0</formula>
    </cfRule>
  </conditionalFormatting>
  <conditionalFormatting sqref="Q84:Q91">
    <cfRule type="cellIs" dxfId="10723" priority="687" operator="lessThan">
      <formula>0</formula>
    </cfRule>
  </conditionalFormatting>
  <conditionalFormatting sqref="R84:R91">
    <cfRule type="cellIs" dxfId="10722" priority="685" operator="lessThan">
      <formula>0.8</formula>
    </cfRule>
    <cfRule type="cellIs" dxfId="10721" priority="686" operator="greaterThan">
      <formula>1</formula>
    </cfRule>
  </conditionalFormatting>
  <conditionalFormatting sqref="R84:R91">
    <cfRule type="cellIs" dxfId="10720" priority="683" operator="greaterThan">
      <formula>1</formula>
    </cfRule>
    <cfRule type="cellIs" dxfId="10719" priority="684" operator="lessThan">
      <formula>0.8</formula>
    </cfRule>
  </conditionalFormatting>
  <conditionalFormatting sqref="P84:P91">
    <cfRule type="cellIs" dxfId="10718" priority="676" operator="greaterThan">
      <formula>0</formula>
    </cfRule>
  </conditionalFormatting>
  <conditionalFormatting sqref="Q84:Q91">
    <cfRule type="cellIs" dxfId="10717" priority="681" operator="lessThan">
      <formula>0</formula>
    </cfRule>
  </conditionalFormatting>
  <conditionalFormatting sqref="R84:R91">
    <cfRule type="cellIs" dxfId="10716" priority="679" operator="lessThan">
      <formula>0.8</formula>
    </cfRule>
    <cfRule type="cellIs" dxfId="10715" priority="680" operator="greaterThan">
      <formula>1</formula>
    </cfRule>
  </conditionalFormatting>
  <conditionalFormatting sqref="R84:R91">
    <cfRule type="cellIs" dxfId="10714" priority="677" operator="greaterThan">
      <formula>1</formula>
    </cfRule>
    <cfRule type="cellIs" dxfId="10713" priority="678" operator="lessThan">
      <formula>0.8</formula>
    </cfRule>
  </conditionalFormatting>
  <conditionalFormatting sqref="R84:R91">
    <cfRule type="cellIs" dxfId="10712" priority="673" operator="lessThan">
      <formula>0.8</formula>
    </cfRule>
    <cfRule type="cellIs" dxfId="10711" priority="674" operator="greaterThan">
      <formula>1</formula>
    </cfRule>
  </conditionalFormatting>
  <conditionalFormatting sqref="R84:R91">
    <cfRule type="cellIs" dxfId="10710" priority="671" operator="greaterThan">
      <formula>1</formula>
    </cfRule>
    <cfRule type="cellIs" dxfId="10709" priority="672" operator="lessThan">
      <formula>0.8</formula>
    </cfRule>
  </conditionalFormatting>
  <conditionalFormatting sqref="P84:P91">
    <cfRule type="cellIs" dxfId="10708" priority="670" operator="greaterThan">
      <formula>0</formula>
    </cfRule>
  </conditionalFormatting>
  <conditionalFormatting sqref="Q84:Q91">
    <cfRule type="cellIs" dxfId="10707" priority="675" operator="lessThan">
      <formula>0</formula>
    </cfRule>
  </conditionalFormatting>
  <conditionalFormatting sqref="Q84:Q91">
    <cfRule type="cellIs" dxfId="10706" priority="669" operator="lessThan">
      <formula>0</formula>
    </cfRule>
  </conditionalFormatting>
  <conditionalFormatting sqref="R84:R91">
    <cfRule type="cellIs" dxfId="10705" priority="667" operator="lessThan">
      <formula>0.8</formula>
    </cfRule>
    <cfRule type="cellIs" dxfId="10704" priority="668" operator="greaterThan">
      <formula>1</formula>
    </cfRule>
  </conditionalFormatting>
  <conditionalFormatting sqref="R84:R91">
    <cfRule type="cellIs" dxfId="10703" priority="665" operator="greaterThan">
      <formula>1</formula>
    </cfRule>
    <cfRule type="cellIs" dxfId="10702" priority="666" operator="lessThan">
      <formula>0.8</formula>
    </cfRule>
  </conditionalFormatting>
  <conditionalFormatting sqref="P84:P91">
    <cfRule type="cellIs" dxfId="10701" priority="664" operator="greaterThan">
      <formula>0</formula>
    </cfRule>
  </conditionalFormatting>
  <conditionalFormatting sqref="P84:P91">
    <cfRule type="cellIs" dxfId="10700" priority="658" operator="greaterThan">
      <formula>0</formula>
    </cfRule>
  </conditionalFormatting>
  <conditionalFormatting sqref="Q84:Q91">
    <cfRule type="cellIs" dxfId="10699" priority="663" operator="lessThan">
      <formula>0</formula>
    </cfRule>
  </conditionalFormatting>
  <conditionalFormatting sqref="R84:R91">
    <cfRule type="cellIs" dxfId="10698" priority="661" operator="lessThan">
      <formula>0.8</formula>
    </cfRule>
    <cfRule type="cellIs" dxfId="10697" priority="662" operator="greaterThan">
      <formula>1</formula>
    </cfRule>
  </conditionalFormatting>
  <conditionalFormatting sqref="R84:R91">
    <cfRule type="cellIs" dxfId="10696" priority="659" operator="greaterThan">
      <formula>1</formula>
    </cfRule>
    <cfRule type="cellIs" dxfId="10695" priority="660" operator="lessThan">
      <formula>0.8</formula>
    </cfRule>
  </conditionalFormatting>
  <conditionalFormatting sqref="P84:P91">
    <cfRule type="cellIs" dxfId="10694" priority="652" operator="greaterThan">
      <formula>0</formula>
    </cfRule>
  </conditionalFormatting>
  <conditionalFormatting sqref="Q84:Q91">
    <cfRule type="cellIs" dxfId="10693" priority="657" operator="lessThan">
      <formula>0</formula>
    </cfRule>
  </conditionalFormatting>
  <conditionalFormatting sqref="R84:R91">
    <cfRule type="cellIs" dxfId="10692" priority="655" operator="lessThan">
      <formula>0.8</formula>
    </cfRule>
    <cfRule type="cellIs" dxfId="10691" priority="656" operator="greaterThan">
      <formula>1</formula>
    </cfRule>
  </conditionalFormatting>
  <conditionalFormatting sqref="R84:R91">
    <cfRule type="cellIs" dxfId="10690" priority="653" operator="greaterThan">
      <formula>1</formula>
    </cfRule>
    <cfRule type="cellIs" dxfId="10689" priority="654" operator="lessThan">
      <formula>0.8</formula>
    </cfRule>
  </conditionalFormatting>
  <conditionalFormatting sqref="R84:R91">
    <cfRule type="cellIs" dxfId="10688" priority="649" operator="lessThan">
      <formula>0.8</formula>
    </cfRule>
    <cfRule type="cellIs" dxfId="10687" priority="650" operator="greaterThan">
      <formula>1</formula>
    </cfRule>
  </conditionalFormatting>
  <conditionalFormatting sqref="R84:R91">
    <cfRule type="cellIs" dxfId="10686" priority="647" operator="greaterThan">
      <formula>1</formula>
    </cfRule>
    <cfRule type="cellIs" dxfId="10685" priority="648" operator="lessThan">
      <formula>0.8</formula>
    </cfRule>
  </conditionalFormatting>
  <conditionalFormatting sqref="P84:P91">
    <cfRule type="cellIs" dxfId="10684" priority="646" operator="greaterThan">
      <formula>0</formula>
    </cfRule>
  </conditionalFormatting>
  <conditionalFormatting sqref="Q84:Q91">
    <cfRule type="cellIs" dxfId="10683" priority="651" operator="lessThan">
      <formula>0</formula>
    </cfRule>
  </conditionalFormatting>
  <conditionalFormatting sqref="P84:P91">
    <cfRule type="cellIs" dxfId="10682" priority="640" operator="greaterThan">
      <formula>0</formula>
    </cfRule>
  </conditionalFormatting>
  <conditionalFormatting sqref="Q84:Q91">
    <cfRule type="cellIs" dxfId="10681" priority="645" operator="lessThan">
      <formula>0</formula>
    </cfRule>
  </conditionalFormatting>
  <conditionalFormatting sqref="R84:R91">
    <cfRule type="cellIs" dxfId="10680" priority="643" operator="lessThan">
      <formula>0.8</formula>
    </cfRule>
    <cfRule type="cellIs" dxfId="10679" priority="644" operator="greaterThan">
      <formula>1</formula>
    </cfRule>
  </conditionalFormatting>
  <conditionalFormatting sqref="R84:R91">
    <cfRule type="cellIs" dxfId="10678" priority="641" operator="greaterThan">
      <formula>1</formula>
    </cfRule>
    <cfRule type="cellIs" dxfId="10677" priority="642" operator="lessThan">
      <formula>0.8</formula>
    </cfRule>
  </conditionalFormatting>
  <conditionalFormatting sqref="R84:R91">
    <cfRule type="cellIs" dxfId="10676" priority="637" operator="lessThan">
      <formula>0.8</formula>
    </cfRule>
    <cfRule type="cellIs" dxfId="10675" priority="638" operator="greaterThan">
      <formula>1</formula>
    </cfRule>
  </conditionalFormatting>
  <conditionalFormatting sqref="R84:R91">
    <cfRule type="cellIs" dxfId="10674" priority="635" operator="greaterThan">
      <formula>1</formula>
    </cfRule>
    <cfRule type="cellIs" dxfId="10673" priority="636" operator="lessThan">
      <formula>0.8</formula>
    </cfRule>
  </conditionalFormatting>
  <conditionalFormatting sqref="P84:P91">
    <cfRule type="cellIs" dxfId="10672" priority="634" operator="greaterThan">
      <formula>0</formula>
    </cfRule>
  </conditionalFormatting>
  <conditionalFormatting sqref="Q84:Q91">
    <cfRule type="cellIs" dxfId="10671" priority="639" operator="lessThan">
      <formula>0</formula>
    </cfRule>
  </conditionalFormatting>
  <conditionalFormatting sqref="R84:R91">
    <cfRule type="cellIs" dxfId="10670" priority="631" operator="lessThan">
      <formula>0.8</formula>
    </cfRule>
    <cfRule type="cellIs" dxfId="10669" priority="632" operator="greaterThan">
      <formula>1</formula>
    </cfRule>
  </conditionalFormatting>
  <conditionalFormatting sqref="R84:R91">
    <cfRule type="cellIs" dxfId="10668" priority="629" operator="greaterThan">
      <formula>1</formula>
    </cfRule>
    <cfRule type="cellIs" dxfId="10667" priority="630" operator="lessThan">
      <formula>0.8</formula>
    </cfRule>
  </conditionalFormatting>
  <conditionalFormatting sqref="P84:P91">
    <cfRule type="cellIs" dxfId="10666" priority="628" operator="greaterThan">
      <formula>0</formula>
    </cfRule>
  </conditionalFormatting>
  <conditionalFormatting sqref="Q84:Q91">
    <cfRule type="cellIs" dxfId="10665" priority="633" operator="lessThan">
      <formula>0</formula>
    </cfRule>
  </conditionalFormatting>
  <conditionalFormatting sqref="Q84:Q91">
    <cfRule type="cellIs" dxfId="10664" priority="627" operator="lessThan">
      <formula>0</formula>
    </cfRule>
  </conditionalFormatting>
  <conditionalFormatting sqref="R84:R91">
    <cfRule type="cellIs" dxfId="10663" priority="625" operator="lessThan">
      <formula>0.8</formula>
    </cfRule>
    <cfRule type="cellIs" dxfId="10662" priority="626" operator="greaterThan">
      <formula>1</formula>
    </cfRule>
  </conditionalFormatting>
  <conditionalFormatting sqref="R84:R91">
    <cfRule type="cellIs" dxfId="10661" priority="623" operator="greaterThan">
      <formula>1</formula>
    </cfRule>
    <cfRule type="cellIs" dxfId="10660" priority="624" operator="lessThan">
      <formula>0.8</formula>
    </cfRule>
  </conditionalFormatting>
  <conditionalFormatting sqref="P84:P91">
    <cfRule type="cellIs" dxfId="10659" priority="622" operator="greaterThan">
      <formula>0</formula>
    </cfRule>
  </conditionalFormatting>
  <conditionalFormatting sqref="Q84:Q91">
    <cfRule type="cellIs" dxfId="10658" priority="616" operator="lessThan">
      <formula>0</formula>
    </cfRule>
  </conditionalFormatting>
  <conditionalFormatting sqref="R84:R91">
    <cfRule type="cellIs" dxfId="10657" priority="620" operator="lessThan">
      <formula>0.8</formula>
    </cfRule>
    <cfRule type="cellIs" dxfId="10656" priority="621" operator="greaterThan">
      <formula>1</formula>
    </cfRule>
  </conditionalFormatting>
  <conditionalFormatting sqref="R84:R91">
    <cfRule type="cellIs" dxfId="10655" priority="618" operator="greaterThan">
      <formula>1</formula>
    </cfRule>
    <cfRule type="cellIs" dxfId="10654" priority="619" operator="lessThan">
      <formula>0.8</formula>
    </cfRule>
  </conditionalFormatting>
  <conditionalFormatting sqref="P84:P91">
    <cfRule type="cellIs" dxfId="10653" priority="617" operator="greaterThan">
      <formula>0</formula>
    </cfRule>
  </conditionalFormatting>
  <conditionalFormatting sqref="Q84:Q91">
    <cfRule type="cellIs" dxfId="10652" priority="615" operator="lessThan">
      <formula>0</formula>
    </cfRule>
  </conditionalFormatting>
  <conditionalFormatting sqref="R84:R91">
    <cfRule type="cellIs" dxfId="10651" priority="613" operator="lessThan">
      <formula>0.8</formula>
    </cfRule>
    <cfRule type="cellIs" dxfId="10650" priority="614" operator="greaterThan">
      <formula>1</formula>
    </cfRule>
  </conditionalFormatting>
  <conditionalFormatting sqref="R84:R91">
    <cfRule type="cellIs" dxfId="10649" priority="611" operator="greaterThan">
      <formula>1</formula>
    </cfRule>
    <cfRule type="cellIs" dxfId="10648" priority="612" operator="lessThan">
      <formula>0.8</formula>
    </cfRule>
  </conditionalFormatting>
  <conditionalFormatting sqref="P84:P91">
    <cfRule type="cellIs" dxfId="10647" priority="610" operator="greaterThan">
      <formula>0</formula>
    </cfRule>
  </conditionalFormatting>
  <conditionalFormatting sqref="Q84:Q91">
    <cfRule type="cellIs" dxfId="10646" priority="609" operator="lessThan">
      <formula>0</formula>
    </cfRule>
  </conditionalFormatting>
  <conditionalFormatting sqref="R84:R91">
    <cfRule type="cellIs" dxfId="10645" priority="607" operator="lessThan">
      <formula>0.8</formula>
    </cfRule>
    <cfRule type="cellIs" dxfId="10644" priority="608" operator="greaterThan">
      <formula>1</formula>
    </cfRule>
  </conditionalFormatting>
  <conditionalFormatting sqref="R84:R91">
    <cfRule type="cellIs" dxfId="10643" priority="605" operator="greaterThan">
      <formula>1</formula>
    </cfRule>
    <cfRule type="cellIs" dxfId="10642" priority="606" operator="lessThan">
      <formula>0.8</formula>
    </cfRule>
  </conditionalFormatting>
  <conditionalFormatting sqref="P84:P91">
    <cfRule type="cellIs" dxfId="10641" priority="604" operator="greaterThan">
      <formula>0</formula>
    </cfRule>
  </conditionalFormatting>
  <conditionalFormatting sqref="Q84:Q91">
    <cfRule type="cellIs" dxfId="10640" priority="603" operator="lessThan">
      <formula>0</formula>
    </cfRule>
  </conditionalFormatting>
  <conditionalFormatting sqref="R84:R91">
    <cfRule type="cellIs" dxfId="10639" priority="601" operator="lessThan">
      <formula>0.8</formula>
    </cfRule>
    <cfRule type="cellIs" dxfId="10638" priority="602" operator="greaterThan">
      <formula>1</formula>
    </cfRule>
  </conditionalFormatting>
  <conditionalFormatting sqref="R84:R91">
    <cfRule type="cellIs" dxfId="10637" priority="599" operator="greaterThan">
      <formula>1</formula>
    </cfRule>
    <cfRule type="cellIs" dxfId="10636" priority="600" operator="lessThan">
      <formula>0.8</formula>
    </cfRule>
  </conditionalFormatting>
  <conditionalFormatting sqref="P84:P91">
    <cfRule type="cellIs" dxfId="10635" priority="598" operator="greaterThan">
      <formula>0</formula>
    </cfRule>
  </conditionalFormatting>
  <conditionalFormatting sqref="Q84:Q91">
    <cfRule type="cellIs" dxfId="10634" priority="597" operator="lessThan">
      <formula>0</formula>
    </cfRule>
  </conditionalFormatting>
  <conditionalFormatting sqref="R84:R91">
    <cfRule type="cellIs" dxfId="10633" priority="595" operator="lessThan">
      <formula>0.8</formula>
    </cfRule>
    <cfRule type="cellIs" dxfId="10632" priority="596" operator="greaterThan">
      <formula>1</formula>
    </cfRule>
  </conditionalFormatting>
  <conditionalFormatting sqref="R84:R91">
    <cfRule type="cellIs" dxfId="10631" priority="593" operator="greaterThan">
      <formula>1</formula>
    </cfRule>
    <cfRule type="cellIs" dxfId="10630" priority="594" operator="lessThan">
      <formula>0.8</formula>
    </cfRule>
  </conditionalFormatting>
  <conditionalFormatting sqref="P84:P91">
    <cfRule type="cellIs" dxfId="10629" priority="592" operator="greaterThan">
      <formula>0</formula>
    </cfRule>
  </conditionalFormatting>
  <conditionalFormatting sqref="Q84:Q91">
    <cfRule type="cellIs" dxfId="10628" priority="591" operator="lessThan">
      <formula>0</formula>
    </cfRule>
  </conditionalFormatting>
  <conditionalFormatting sqref="R84:R91">
    <cfRule type="cellIs" dxfId="10627" priority="589" operator="lessThan">
      <formula>0.8</formula>
    </cfRule>
    <cfRule type="cellIs" dxfId="10626" priority="590" operator="greaterThan">
      <formula>1</formula>
    </cfRule>
  </conditionalFormatting>
  <conditionalFormatting sqref="R84:R91">
    <cfRule type="cellIs" dxfId="10625" priority="587" operator="greaterThan">
      <formula>1</formula>
    </cfRule>
    <cfRule type="cellIs" dxfId="10624" priority="588" operator="lessThan">
      <formula>0.8</formula>
    </cfRule>
  </conditionalFormatting>
  <conditionalFormatting sqref="P84:P91">
    <cfRule type="cellIs" dxfId="10623" priority="586" operator="greaterThan">
      <formula>0</formula>
    </cfRule>
  </conditionalFormatting>
  <conditionalFormatting sqref="P84:P91">
    <cfRule type="cellIs" dxfId="10622" priority="580" operator="greaterThan">
      <formula>0</formula>
    </cfRule>
  </conditionalFormatting>
  <conditionalFormatting sqref="Q84:Q91">
    <cfRule type="cellIs" dxfId="10621" priority="585" operator="lessThan">
      <formula>0</formula>
    </cfRule>
  </conditionalFormatting>
  <conditionalFormatting sqref="R84:R91">
    <cfRule type="cellIs" dxfId="10620" priority="583" operator="lessThan">
      <formula>0.8</formula>
    </cfRule>
    <cfRule type="cellIs" dxfId="10619" priority="584" operator="greaterThan">
      <formula>1</formula>
    </cfRule>
  </conditionalFormatting>
  <conditionalFormatting sqref="R84:R91">
    <cfRule type="cellIs" dxfId="10618" priority="581" operator="greaterThan">
      <formula>1</formula>
    </cfRule>
    <cfRule type="cellIs" dxfId="10617" priority="582" operator="lessThan">
      <formula>0.8</formula>
    </cfRule>
  </conditionalFormatting>
  <conditionalFormatting sqref="P84:P91">
    <cfRule type="cellIs" dxfId="10616" priority="574" operator="greaterThan">
      <formula>0</formula>
    </cfRule>
  </conditionalFormatting>
  <conditionalFormatting sqref="Q84:Q91">
    <cfRule type="cellIs" dxfId="10615" priority="579" operator="lessThan">
      <formula>0</formula>
    </cfRule>
  </conditionalFormatting>
  <conditionalFormatting sqref="R84:R91">
    <cfRule type="cellIs" dxfId="10614" priority="577" operator="lessThan">
      <formula>0.8</formula>
    </cfRule>
    <cfRule type="cellIs" dxfId="10613" priority="578" operator="greaterThan">
      <formula>1</formula>
    </cfRule>
  </conditionalFormatting>
  <conditionalFormatting sqref="R84:R91">
    <cfRule type="cellIs" dxfId="10612" priority="575" operator="greaterThan">
      <formula>1</formula>
    </cfRule>
    <cfRule type="cellIs" dxfId="10611" priority="576" operator="lessThan">
      <formula>0.8</formula>
    </cfRule>
  </conditionalFormatting>
  <conditionalFormatting sqref="R84:R91">
    <cfRule type="cellIs" dxfId="10610" priority="571" operator="lessThan">
      <formula>0.8</formula>
    </cfRule>
    <cfRule type="cellIs" dxfId="10609" priority="572" operator="greaterThan">
      <formula>1</formula>
    </cfRule>
  </conditionalFormatting>
  <conditionalFormatting sqref="R84:R91">
    <cfRule type="cellIs" dxfId="10608" priority="569" operator="greaterThan">
      <formula>1</formula>
    </cfRule>
    <cfRule type="cellIs" dxfId="10607" priority="570" operator="lessThan">
      <formula>0.8</formula>
    </cfRule>
  </conditionalFormatting>
  <conditionalFormatting sqref="P84:P91">
    <cfRule type="cellIs" dxfId="10606" priority="568" operator="greaterThan">
      <formula>0</formula>
    </cfRule>
  </conditionalFormatting>
  <conditionalFormatting sqref="Q84:Q91">
    <cfRule type="cellIs" dxfId="10605" priority="573" operator="lessThan">
      <formula>0</formula>
    </cfRule>
  </conditionalFormatting>
  <conditionalFormatting sqref="Q84:Q91">
    <cfRule type="cellIs" dxfId="10604" priority="567" operator="lessThan">
      <formula>0</formula>
    </cfRule>
  </conditionalFormatting>
  <conditionalFormatting sqref="R84:R91">
    <cfRule type="cellIs" dxfId="10603" priority="565" operator="lessThan">
      <formula>0.8</formula>
    </cfRule>
    <cfRule type="cellIs" dxfId="10602" priority="566" operator="greaterThan">
      <formula>1</formula>
    </cfRule>
  </conditionalFormatting>
  <conditionalFormatting sqref="R84:R91">
    <cfRule type="cellIs" dxfId="10601" priority="563" operator="greaterThan">
      <formula>1</formula>
    </cfRule>
    <cfRule type="cellIs" dxfId="10600" priority="564" operator="lessThan">
      <formula>0.8</formula>
    </cfRule>
  </conditionalFormatting>
  <conditionalFormatting sqref="P84:P91">
    <cfRule type="cellIs" dxfId="10599" priority="562" operator="greaterThan">
      <formula>0</formula>
    </cfRule>
  </conditionalFormatting>
  <conditionalFormatting sqref="Q84:Q91">
    <cfRule type="cellIs" dxfId="10598" priority="561" operator="lessThan">
      <formula>0</formula>
    </cfRule>
  </conditionalFormatting>
  <conditionalFormatting sqref="R84:R91">
    <cfRule type="cellIs" dxfId="10597" priority="559" operator="lessThan">
      <formula>0.8</formula>
    </cfRule>
    <cfRule type="cellIs" dxfId="10596" priority="560" operator="greaterThan">
      <formula>1</formula>
    </cfRule>
  </conditionalFormatting>
  <conditionalFormatting sqref="R84:R91">
    <cfRule type="cellIs" dxfId="10595" priority="557" operator="greaterThan">
      <formula>1</formula>
    </cfRule>
    <cfRule type="cellIs" dxfId="10594" priority="558" operator="lessThan">
      <formula>0.8</formula>
    </cfRule>
  </conditionalFormatting>
  <conditionalFormatting sqref="P84:P91">
    <cfRule type="cellIs" dxfId="10593" priority="556" operator="greaterThan">
      <formula>0</formula>
    </cfRule>
  </conditionalFormatting>
  <conditionalFormatting sqref="Q84:Q91">
    <cfRule type="cellIs" dxfId="10592" priority="555" operator="lessThan">
      <formula>0</formula>
    </cfRule>
  </conditionalFormatting>
  <conditionalFormatting sqref="R84:R91">
    <cfRule type="cellIs" dxfId="10591" priority="553" operator="lessThan">
      <formula>0.8</formula>
    </cfRule>
    <cfRule type="cellIs" dxfId="10590" priority="554" operator="greaterThan">
      <formula>1</formula>
    </cfRule>
  </conditionalFormatting>
  <conditionalFormatting sqref="R84:R91">
    <cfRule type="cellIs" dxfId="10589" priority="551" operator="greaterThan">
      <formula>1</formula>
    </cfRule>
    <cfRule type="cellIs" dxfId="10588" priority="552" operator="lessThan">
      <formula>0.8</formula>
    </cfRule>
  </conditionalFormatting>
  <conditionalFormatting sqref="P84:P91">
    <cfRule type="cellIs" dxfId="10587" priority="550" operator="greaterThan">
      <formula>0</formula>
    </cfRule>
  </conditionalFormatting>
  <conditionalFormatting sqref="Q84:Q91">
    <cfRule type="cellIs" dxfId="10586" priority="549" operator="lessThan">
      <formula>0</formula>
    </cfRule>
  </conditionalFormatting>
  <conditionalFormatting sqref="R84:R91">
    <cfRule type="cellIs" dxfId="10585" priority="547" operator="lessThan">
      <formula>0.8</formula>
    </cfRule>
    <cfRule type="cellIs" dxfId="10584" priority="548" operator="greaterThan">
      <formula>1</formula>
    </cfRule>
  </conditionalFormatting>
  <conditionalFormatting sqref="R84:R91">
    <cfRule type="cellIs" dxfId="10583" priority="545" operator="greaterThan">
      <formula>1</formula>
    </cfRule>
    <cfRule type="cellIs" dxfId="10582" priority="546" operator="lessThan">
      <formula>0.8</formula>
    </cfRule>
  </conditionalFormatting>
  <conditionalFormatting sqref="P84:P91">
    <cfRule type="cellIs" dxfId="10581" priority="544" operator="greaterThan">
      <formula>0</formula>
    </cfRule>
  </conditionalFormatting>
  <conditionalFormatting sqref="P84:P91">
    <cfRule type="cellIs" dxfId="10580" priority="538" operator="greaterThan">
      <formula>0</formula>
    </cfRule>
  </conditionalFormatting>
  <conditionalFormatting sqref="Q84:Q91">
    <cfRule type="cellIs" dxfId="10579" priority="543" operator="lessThan">
      <formula>0</formula>
    </cfRule>
  </conditionalFormatting>
  <conditionalFormatting sqref="R84:R91">
    <cfRule type="cellIs" dxfId="10578" priority="541" operator="lessThan">
      <formula>0.8</formula>
    </cfRule>
    <cfRule type="cellIs" dxfId="10577" priority="542" operator="greaterThan">
      <formula>1</formula>
    </cfRule>
  </conditionalFormatting>
  <conditionalFormatting sqref="R84:R91">
    <cfRule type="cellIs" dxfId="10576" priority="539" operator="greaterThan">
      <formula>1</formula>
    </cfRule>
    <cfRule type="cellIs" dxfId="10575" priority="540" operator="lessThan">
      <formula>0.8</formula>
    </cfRule>
  </conditionalFormatting>
  <conditionalFormatting sqref="P84:P91">
    <cfRule type="cellIs" dxfId="10574" priority="532" operator="greaterThan">
      <formula>0</formula>
    </cfRule>
  </conditionalFormatting>
  <conditionalFormatting sqref="Q84:Q91">
    <cfRule type="cellIs" dxfId="10573" priority="537" operator="lessThan">
      <formula>0</formula>
    </cfRule>
  </conditionalFormatting>
  <conditionalFormatting sqref="R84:R91">
    <cfRule type="cellIs" dxfId="10572" priority="535" operator="lessThan">
      <formula>0.8</formula>
    </cfRule>
    <cfRule type="cellIs" dxfId="10571" priority="536" operator="greaterThan">
      <formula>1</formula>
    </cfRule>
  </conditionalFormatting>
  <conditionalFormatting sqref="R84:R91">
    <cfRule type="cellIs" dxfId="10570" priority="533" operator="greaterThan">
      <formula>1</formula>
    </cfRule>
    <cfRule type="cellIs" dxfId="10569" priority="534" operator="lessThan">
      <formula>0.8</formula>
    </cfRule>
  </conditionalFormatting>
  <conditionalFormatting sqref="R84:R91">
    <cfRule type="cellIs" dxfId="10568" priority="529" operator="lessThan">
      <formula>0.8</formula>
    </cfRule>
    <cfRule type="cellIs" dxfId="10567" priority="530" operator="greaterThan">
      <formula>1</formula>
    </cfRule>
  </conditionalFormatting>
  <conditionalFormatting sqref="R84:R91">
    <cfRule type="cellIs" dxfId="10566" priority="527" operator="greaterThan">
      <formula>1</formula>
    </cfRule>
    <cfRule type="cellIs" dxfId="10565" priority="528" operator="lessThan">
      <formula>0.8</formula>
    </cfRule>
  </conditionalFormatting>
  <conditionalFormatting sqref="P84:P91">
    <cfRule type="cellIs" dxfId="10564" priority="526" operator="greaterThan">
      <formula>0</formula>
    </cfRule>
  </conditionalFormatting>
  <conditionalFormatting sqref="Q84:Q91">
    <cfRule type="cellIs" dxfId="10563" priority="531" operator="lessThan">
      <formula>0</formula>
    </cfRule>
  </conditionalFormatting>
  <conditionalFormatting sqref="Q84:Q91">
    <cfRule type="cellIs" dxfId="10562" priority="525" operator="lessThan">
      <formula>0</formula>
    </cfRule>
  </conditionalFormatting>
  <conditionalFormatting sqref="R84:R91">
    <cfRule type="cellIs" dxfId="10561" priority="523" operator="lessThan">
      <formula>0.8</formula>
    </cfRule>
    <cfRule type="cellIs" dxfId="10560" priority="524" operator="greaterThan">
      <formula>1</formula>
    </cfRule>
  </conditionalFormatting>
  <conditionalFormatting sqref="R84:R91">
    <cfRule type="cellIs" dxfId="10559" priority="521" operator="greaterThan">
      <formula>1</formula>
    </cfRule>
    <cfRule type="cellIs" dxfId="10558" priority="522" operator="lessThan">
      <formula>0.8</formula>
    </cfRule>
  </conditionalFormatting>
  <conditionalFormatting sqref="P84:P91">
    <cfRule type="cellIs" dxfId="10557" priority="520" operator="greaterThan">
      <formula>0</formula>
    </cfRule>
  </conditionalFormatting>
  <conditionalFormatting sqref="P84:P91">
    <cfRule type="cellIs" dxfId="10556" priority="514" operator="greaterThan">
      <formula>0</formula>
    </cfRule>
  </conditionalFormatting>
  <conditionalFormatting sqref="Q84:Q91">
    <cfRule type="cellIs" dxfId="10555" priority="519" operator="lessThan">
      <formula>0</formula>
    </cfRule>
  </conditionalFormatting>
  <conditionalFormatting sqref="R84:R91">
    <cfRule type="cellIs" dxfId="10554" priority="517" operator="lessThan">
      <formula>0.8</formula>
    </cfRule>
    <cfRule type="cellIs" dxfId="10553" priority="518" operator="greaterThan">
      <formula>1</formula>
    </cfRule>
  </conditionalFormatting>
  <conditionalFormatting sqref="R84:R91">
    <cfRule type="cellIs" dxfId="10552" priority="515" operator="greaterThan">
      <formula>1</formula>
    </cfRule>
    <cfRule type="cellIs" dxfId="10551" priority="516" operator="lessThan">
      <formula>0.8</formula>
    </cfRule>
  </conditionalFormatting>
  <conditionalFormatting sqref="P84:P91">
    <cfRule type="cellIs" dxfId="10550" priority="508" operator="greaterThan">
      <formula>0</formula>
    </cfRule>
  </conditionalFormatting>
  <conditionalFormatting sqref="Q84:Q91">
    <cfRule type="cellIs" dxfId="10549" priority="513" operator="lessThan">
      <formula>0</formula>
    </cfRule>
  </conditionalFormatting>
  <conditionalFormatting sqref="R84:R91">
    <cfRule type="cellIs" dxfId="10548" priority="511" operator="lessThan">
      <formula>0.8</formula>
    </cfRule>
    <cfRule type="cellIs" dxfId="10547" priority="512" operator="greaterThan">
      <formula>1</formula>
    </cfRule>
  </conditionalFormatting>
  <conditionalFormatting sqref="R84:R91">
    <cfRule type="cellIs" dxfId="10546" priority="509" operator="greaterThan">
      <formula>1</formula>
    </cfRule>
    <cfRule type="cellIs" dxfId="10545" priority="510" operator="lessThan">
      <formula>0.8</formula>
    </cfRule>
  </conditionalFormatting>
  <conditionalFormatting sqref="R84:R91">
    <cfRule type="cellIs" dxfId="10544" priority="505" operator="lessThan">
      <formula>0.8</formula>
    </cfRule>
    <cfRule type="cellIs" dxfId="10543" priority="506" operator="greaterThan">
      <formula>1</formula>
    </cfRule>
  </conditionalFormatting>
  <conditionalFormatting sqref="R84:R91">
    <cfRule type="cellIs" dxfId="10542" priority="503" operator="greaterThan">
      <formula>1</formula>
    </cfRule>
    <cfRule type="cellIs" dxfId="10541" priority="504" operator="lessThan">
      <formula>0.8</formula>
    </cfRule>
  </conditionalFormatting>
  <conditionalFormatting sqref="P84:P91">
    <cfRule type="cellIs" dxfId="10540" priority="502" operator="greaterThan">
      <formula>0</formula>
    </cfRule>
  </conditionalFormatting>
  <conditionalFormatting sqref="Q84:Q91">
    <cfRule type="cellIs" dxfId="10539" priority="507" operator="lessThan">
      <formula>0</formula>
    </cfRule>
  </conditionalFormatting>
  <conditionalFormatting sqref="P84:P91">
    <cfRule type="cellIs" dxfId="10538" priority="496" operator="greaterThan">
      <formula>0</formula>
    </cfRule>
  </conditionalFormatting>
  <conditionalFormatting sqref="Q84:Q91">
    <cfRule type="cellIs" dxfId="10537" priority="501" operator="lessThan">
      <formula>0</formula>
    </cfRule>
  </conditionalFormatting>
  <conditionalFormatting sqref="R84:R91">
    <cfRule type="cellIs" dxfId="10536" priority="499" operator="lessThan">
      <formula>0.8</formula>
    </cfRule>
    <cfRule type="cellIs" dxfId="10535" priority="500" operator="greaterThan">
      <formula>1</formula>
    </cfRule>
  </conditionalFormatting>
  <conditionalFormatting sqref="R84:R91">
    <cfRule type="cellIs" dxfId="10534" priority="497" operator="greaterThan">
      <formula>1</formula>
    </cfRule>
    <cfRule type="cellIs" dxfId="10533" priority="498" operator="lessThan">
      <formula>0.8</formula>
    </cfRule>
  </conditionalFormatting>
  <conditionalFormatting sqref="R84:R91">
    <cfRule type="cellIs" dxfId="10532" priority="493" operator="lessThan">
      <formula>0.8</formula>
    </cfRule>
    <cfRule type="cellIs" dxfId="10531" priority="494" operator="greaterThan">
      <formula>1</formula>
    </cfRule>
  </conditionalFormatting>
  <conditionalFormatting sqref="R84:R91">
    <cfRule type="cellIs" dxfId="10530" priority="491" operator="greaterThan">
      <formula>1</formula>
    </cfRule>
    <cfRule type="cellIs" dxfId="10529" priority="492" operator="lessThan">
      <formula>0.8</formula>
    </cfRule>
  </conditionalFormatting>
  <conditionalFormatting sqref="P84:P91">
    <cfRule type="cellIs" dxfId="10528" priority="490" operator="greaterThan">
      <formula>0</formula>
    </cfRule>
  </conditionalFormatting>
  <conditionalFormatting sqref="Q84:Q91">
    <cfRule type="cellIs" dxfId="10527" priority="495" operator="lessThan">
      <formula>0</formula>
    </cfRule>
  </conditionalFormatting>
  <conditionalFormatting sqref="R84:R91">
    <cfRule type="cellIs" dxfId="10526" priority="487" operator="lessThan">
      <formula>0.8</formula>
    </cfRule>
    <cfRule type="cellIs" dxfId="10525" priority="488" operator="greaterThan">
      <formula>1</formula>
    </cfRule>
  </conditionalFormatting>
  <conditionalFormatting sqref="R84:R91">
    <cfRule type="cellIs" dxfId="10524" priority="485" operator="greaterThan">
      <formula>1</formula>
    </cfRule>
    <cfRule type="cellIs" dxfId="10523" priority="486" operator="lessThan">
      <formula>0.8</formula>
    </cfRule>
  </conditionalFormatting>
  <conditionalFormatting sqref="P84:P91">
    <cfRule type="cellIs" dxfId="10522" priority="484" operator="greaterThan">
      <formula>0</formula>
    </cfRule>
  </conditionalFormatting>
  <conditionalFormatting sqref="Q84:Q91">
    <cfRule type="cellIs" dxfId="10521" priority="489" operator="lessThan">
      <formula>0</formula>
    </cfRule>
  </conditionalFormatting>
  <conditionalFormatting sqref="Q84:Q91">
    <cfRule type="cellIs" dxfId="10520" priority="483" operator="lessThan">
      <formula>0</formula>
    </cfRule>
  </conditionalFormatting>
  <conditionalFormatting sqref="R84:R91">
    <cfRule type="cellIs" dxfId="10519" priority="481" operator="lessThan">
      <formula>0.8</formula>
    </cfRule>
    <cfRule type="cellIs" dxfId="10518" priority="482" operator="greaterThan">
      <formula>1</formula>
    </cfRule>
  </conditionalFormatting>
  <conditionalFormatting sqref="R84:R91">
    <cfRule type="cellIs" dxfId="10517" priority="479" operator="greaterThan">
      <formula>1</formula>
    </cfRule>
    <cfRule type="cellIs" dxfId="10516" priority="480" operator="lessThan">
      <formula>0.8</formula>
    </cfRule>
  </conditionalFormatting>
  <conditionalFormatting sqref="P84:P91">
    <cfRule type="cellIs" dxfId="10515" priority="478" operator="greaterThan">
      <formula>0</formula>
    </cfRule>
  </conditionalFormatting>
  <conditionalFormatting sqref="Q84:Q91">
    <cfRule type="cellIs" dxfId="10514" priority="472" operator="lessThan">
      <formula>0</formula>
    </cfRule>
  </conditionalFormatting>
  <conditionalFormatting sqref="R84:R91">
    <cfRule type="cellIs" dxfId="10513" priority="476" operator="lessThan">
      <formula>0.8</formula>
    </cfRule>
    <cfRule type="cellIs" dxfId="10512" priority="477" operator="greaterThan">
      <formula>1</formula>
    </cfRule>
  </conditionalFormatting>
  <conditionalFormatting sqref="R84:R91">
    <cfRule type="cellIs" dxfId="10511" priority="474" operator="greaterThan">
      <formula>1</formula>
    </cfRule>
    <cfRule type="cellIs" dxfId="10510" priority="475" operator="lessThan">
      <formula>0.8</formula>
    </cfRule>
  </conditionalFormatting>
  <conditionalFormatting sqref="P84:P91">
    <cfRule type="cellIs" dxfId="10509" priority="473" operator="greaterThan">
      <formula>0</formula>
    </cfRule>
  </conditionalFormatting>
  <conditionalFormatting sqref="Q84:Q91">
    <cfRule type="cellIs" dxfId="10508" priority="471" operator="lessThan">
      <formula>0</formula>
    </cfRule>
  </conditionalFormatting>
  <conditionalFormatting sqref="R84:R91">
    <cfRule type="cellIs" dxfId="10507" priority="469" operator="lessThan">
      <formula>0.8</formula>
    </cfRule>
    <cfRule type="cellIs" dxfId="10506" priority="470" operator="greaterThan">
      <formula>1</formula>
    </cfRule>
  </conditionalFormatting>
  <conditionalFormatting sqref="R84:R91">
    <cfRule type="cellIs" dxfId="10505" priority="467" operator="greaterThan">
      <formula>1</formula>
    </cfRule>
    <cfRule type="cellIs" dxfId="10504" priority="468" operator="lessThan">
      <formula>0.8</formula>
    </cfRule>
  </conditionalFormatting>
  <conditionalFormatting sqref="P84:P91">
    <cfRule type="cellIs" dxfId="10503" priority="466" operator="greaterThan">
      <formula>0</formula>
    </cfRule>
  </conditionalFormatting>
  <conditionalFormatting sqref="Q84:Q91">
    <cfRule type="cellIs" dxfId="10502" priority="465" operator="lessThan">
      <formula>0</formula>
    </cfRule>
  </conditionalFormatting>
  <conditionalFormatting sqref="R84:R91">
    <cfRule type="cellIs" dxfId="10501" priority="463" operator="lessThan">
      <formula>0.8</formula>
    </cfRule>
    <cfRule type="cellIs" dxfId="10500" priority="464" operator="greaterThan">
      <formula>1</formula>
    </cfRule>
  </conditionalFormatting>
  <conditionalFormatting sqref="R84:R91">
    <cfRule type="cellIs" dxfId="10499" priority="461" operator="greaterThan">
      <formula>1</formula>
    </cfRule>
    <cfRule type="cellIs" dxfId="10498" priority="462" operator="lessThan">
      <formula>0.8</formula>
    </cfRule>
  </conditionalFormatting>
  <conditionalFormatting sqref="P84:P91">
    <cfRule type="cellIs" dxfId="10497" priority="460" operator="greaterThan">
      <formula>0</formula>
    </cfRule>
  </conditionalFormatting>
  <conditionalFormatting sqref="Q84:Q91">
    <cfRule type="cellIs" dxfId="10496" priority="459" operator="lessThan">
      <formula>0</formula>
    </cfRule>
  </conditionalFormatting>
  <conditionalFormatting sqref="R84:R91">
    <cfRule type="cellIs" dxfId="10495" priority="457" operator="lessThan">
      <formula>0.8</formula>
    </cfRule>
    <cfRule type="cellIs" dxfId="10494" priority="458" operator="greaterThan">
      <formula>1</formula>
    </cfRule>
  </conditionalFormatting>
  <conditionalFormatting sqref="R84:R91">
    <cfRule type="cellIs" dxfId="10493" priority="455" operator="greaterThan">
      <formula>1</formula>
    </cfRule>
    <cfRule type="cellIs" dxfId="10492" priority="456" operator="lessThan">
      <formula>0.8</formula>
    </cfRule>
  </conditionalFormatting>
  <conditionalFormatting sqref="P84:P91">
    <cfRule type="cellIs" dxfId="10491" priority="454" operator="greaterThan">
      <formula>0</formula>
    </cfRule>
  </conditionalFormatting>
  <conditionalFormatting sqref="Q84:Q91">
    <cfRule type="cellIs" dxfId="10490" priority="453" operator="lessThan">
      <formula>0</formula>
    </cfRule>
  </conditionalFormatting>
  <conditionalFormatting sqref="R84:R91">
    <cfRule type="cellIs" dxfId="10489" priority="451" operator="lessThan">
      <formula>0.8</formula>
    </cfRule>
    <cfRule type="cellIs" dxfId="10488" priority="452" operator="greaterThan">
      <formula>1</formula>
    </cfRule>
  </conditionalFormatting>
  <conditionalFormatting sqref="R84:R91">
    <cfRule type="cellIs" dxfId="10487" priority="449" operator="greaterThan">
      <formula>1</formula>
    </cfRule>
    <cfRule type="cellIs" dxfId="10486" priority="450" operator="lessThan">
      <formula>0.8</formula>
    </cfRule>
  </conditionalFormatting>
  <conditionalFormatting sqref="P84:P91">
    <cfRule type="cellIs" dxfId="10485" priority="448" operator="greaterThan">
      <formula>0</formula>
    </cfRule>
  </conditionalFormatting>
  <conditionalFormatting sqref="Q84:Q91">
    <cfRule type="cellIs" dxfId="10484" priority="447" operator="lessThan">
      <formula>0</formula>
    </cfRule>
  </conditionalFormatting>
  <conditionalFormatting sqref="R84:R91">
    <cfRule type="cellIs" dxfId="10483" priority="445" operator="lessThan">
      <formula>0.8</formula>
    </cfRule>
    <cfRule type="cellIs" dxfId="10482" priority="446" operator="greaterThan">
      <formula>1</formula>
    </cfRule>
  </conditionalFormatting>
  <conditionalFormatting sqref="R84:R91">
    <cfRule type="cellIs" dxfId="10481" priority="443" operator="greaterThan">
      <formula>1</formula>
    </cfRule>
    <cfRule type="cellIs" dxfId="10480" priority="444" operator="lessThan">
      <formula>0.8</formula>
    </cfRule>
  </conditionalFormatting>
  <conditionalFormatting sqref="P84:P91">
    <cfRule type="cellIs" dxfId="10479" priority="442" operator="greaterThan">
      <formula>0</formula>
    </cfRule>
  </conditionalFormatting>
  <conditionalFormatting sqref="P84:P91">
    <cfRule type="cellIs" dxfId="10478" priority="436" operator="greaterThan">
      <formula>0</formula>
    </cfRule>
  </conditionalFormatting>
  <conditionalFormatting sqref="Q84:Q91">
    <cfRule type="cellIs" dxfId="10477" priority="441" operator="lessThan">
      <formula>0</formula>
    </cfRule>
  </conditionalFormatting>
  <conditionalFormatting sqref="R84:R91">
    <cfRule type="cellIs" dxfId="10476" priority="439" operator="lessThan">
      <formula>0.8</formula>
    </cfRule>
    <cfRule type="cellIs" dxfId="10475" priority="440" operator="greaterThan">
      <formula>1</formula>
    </cfRule>
  </conditionalFormatting>
  <conditionalFormatting sqref="R84:R91">
    <cfRule type="cellIs" dxfId="10474" priority="437" operator="greaterThan">
      <formula>1</formula>
    </cfRule>
    <cfRule type="cellIs" dxfId="10473" priority="438" operator="lessThan">
      <formula>0.8</formula>
    </cfRule>
  </conditionalFormatting>
  <conditionalFormatting sqref="P84:P91">
    <cfRule type="cellIs" dxfId="10472" priority="430" operator="greaterThan">
      <formula>0</formula>
    </cfRule>
  </conditionalFormatting>
  <conditionalFormatting sqref="Q84:Q91">
    <cfRule type="cellIs" dxfId="10471" priority="435" operator="lessThan">
      <formula>0</formula>
    </cfRule>
  </conditionalFormatting>
  <conditionalFormatting sqref="R84:R91">
    <cfRule type="cellIs" dxfId="10470" priority="433" operator="lessThan">
      <formula>0.8</formula>
    </cfRule>
    <cfRule type="cellIs" dxfId="10469" priority="434" operator="greaterThan">
      <formula>1</formula>
    </cfRule>
  </conditionalFormatting>
  <conditionalFormatting sqref="R84:R91">
    <cfRule type="cellIs" dxfId="10468" priority="431" operator="greaterThan">
      <formula>1</formula>
    </cfRule>
    <cfRule type="cellIs" dxfId="10467" priority="432" operator="lessThan">
      <formula>0.8</formula>
    </cfRule>
  </conditionalFormatting>
  <conditionalFormatting sqref="R84:R91">
    <cfRule type="cellIs" dxfId="10466" priority="427" operator="lessThan">
      <formula>0.8</formula>
    </cfRule>
    <cfRule type="cellIs" dxfId="10465" priority="428" operator="greaterThan">
      <formula>1</formula>
    </cfRule>
  </conditionalFormatting>
  <conditionalFormatting sqref="R84:R91">
    <cfRule type="cellIs" dxfId="10464" priority="425" operator="greaterThan">
      <formula>1</formula>
    </cfRule>
    <cfRule type="cellIs" dxfId="10463" priority="426" operator="lessThan">
      <formula>0.8</formula>
    </cfRule>
  </conditionalFormatting>
  <conditionalFormatting sqref="P84:P91">
    <cfRule type="cellIs" dxfId="10462" priority="424" operator="greaterThan">
      <formula>0</formula>
    </cfRule>
  </conditionalFormatting>
  <conditionalFormatting sqref="Q84:Q91">
    <cfRule type="cellIs" dxfId="10461" priority="429" operator="lessThan">
      <formula>0</formula>
    </cfRule>
  </conditionalFormatting>
  <conditionalFormatting sqref="Q84:Q91">
    <cfRule type="cellIs" dxfId="10460" priority="418" operator="lessThan">
      <formula>0</formula>
    </cfRule>
  </conditionalFormatting>
  <conditionalFormatting sqref="P84:P91">
    <cfRule type="cellIs" dxfId="10459" priority="419" operator="greaterThan">
      <formula>0</formula>
    </cfRule>
  </conditionalFormatting>
  <conditionalFormatting sqref="R84:R91">
    <cfRule type="cellIs" dxfId="10458" priority="422" operator="lessThan">
      <formula>0.8</formula>
    </cfRule>
    <cfRule type="cellIs" dxfId="10457" priority="423" operator="greaterThan">
      <formula>1</formula>
    </cfRule>
  </conditionalFormatting>
  <conditionalFormatting sqref="R84:R91">
    <cfRule type="cellIs" dxfId="10456" priority="420" operator="greaterThan">
      <formula>1</formula>
    </cfRule>
    <cfRule type="cellIs" dxfId="10455" priority="421" operator="lessThan">
      <formula>0.8</formula>
    </cfRule>
  </conditionalFormatting>
  <conditionalFormatting sqref="Q84:Q91">
    <cfRule type="cellIs" dxfId="10454" priority="412" operator="lessThan">
      <formula>0</formula>
    </cfRule>
  </conditionalFormatting>
  <conditionalFormatting sqref="R84:R91">
    <cfRule type="cellIs" dxfId="10453" priority="416" operator="lessThan">
      <formula>0.8</formula>
    </cfRule>
    <cfRule type="cellIs" dxfId="10452" priority="417" operator="greaterThan">
      <formula>1</formula>
    </cfRule>
  </conditionalFormatting>
  <conditionalFormatting sqref="R84:R91">
    <cfRule type="cellIs" dxfId="10451" priority="414" operator="greaterThan">
      <formula>1</formula>
    </cfRule>
    <cfRule type="cellIs" dxfId="10450" priority="415" operator="lessThan">
      <formula>0.8</formula>
    </cfRule>
  </conditionalFormatting>
  <conditionalFormatting sqref="P84:P91">
    <cfRule type="cellIs" dxfId="10449" priority="413" operator="greaterThan">
      <formula>0</formula>
    </cfRule>
  </conditionalFormatting>
  <conditionalFormatting sqref="Q84:Q91">
    <cfRule type="cellIs" dxfId="10448" priority="411" operator="lessThan">
      <formula>0</formula>
    </cfRule>
  </conditionalFormatting>
  <conditionalFormatting sqref="R84:R91">
    <cfRule type="cellIs" dxfId="10447" priority="409" operator="lessThan">
      <formula>0.8</formula>
    </cfRule>
    <cfRule type="cellIs" dxfId="10446" priority="410" operator="greaterThan">
      <formula>1</formula>
    </cfRule>
  </conditionalFormatting>
  <conditionalFormatting sqref="R84:R91">
    <cfRule type="cellIs" dxfId="10445" priority="407" operator="greaterThan">
      <formula>1</formula>
    </cfRule>
    <cfRule type="cellIs" dxfId="10444" priority="408" operator="lessThan">
      <formula>0.8</formula>
    </cfRule>
  </conditionalFormatting>
  <conditionalFormatting sqref="P84:P91">
    <cfRule type="cellIs" dxfId="10443" priority="406" operator="greaterThan">
      <formula>0</formula>
    </cfRule>
  </conditionalFormatting>
  <conditionalFormatting sqref="Q84:Q91">
    <cfRule type="cellIs" dxfId="10442" priority="405" operator="lessThan">
      <formula>0</formula>
    </cfRule>
  </conditionalFormatting>
  <conditionalFormatting sqref="R84:R91">
    <cfRule type="cellIs" dxfId="10441" priority="403" operator="lessThan">
      <formula>0.8</formula>
    </cfRule>
    <cfRule type="cellIs" dxfId="10440" priority="404" operator="greaterThan">
      <formula>1</formula>
    </cfRule>
  </conditionalFormatting>
  <conditionalFormatting sqref="R84:R91">
    <cfRule type="cellIs" dxfId="10439" priority="401" operator="greaterThan">
      <formula>1</formula>
    </cfRule>
    <cfRule type="cellIs" dxfId="10438" priority="402" operator="lessThan">
      <formula>0.8</formula>
    </cfRule>
  </conditionalFormatting>
  <conditionalFormatting sqref="P84:P91">
    <cfRule type="cellIs" dxfId="10437" priority="400" operator="greaterThan">
      <formula>0</formula>
    </cfRule>
  </conditionalFormatting>
  <conditionalFormatting sqref="Q84:Q91">
    <cfRule type="cellIs" dxfId="10436" priority="399" operator="lessThan">
      <formula>0</formula>
    </cfRule>
  </conditionalFormatting>
  <conditionalFormatting sqref="R84:R91">
    <cfRule type="cellIs" dxfId="10435" priority="397" operator="lessThan">
      <formula>0.8</formula>
    </cfRule>
    <cfRule type="cellIs" dxfId="10434" priority="398" operator="greaterThan">
      <formula>1</formula>
    </cfRule>
  </conditionalFormatting>
  <conditionalFormatting sqref="R84:R91">
    <cfRule type="cellIs" dxfId="10433" priority="395" operator="greaterThan">
      <formula>1</formula>
    </cfRule>
    <cfRule type="cellIs" dxfId="10432" priority="396" operator="lessThan">
      <formula>0.8</formula>
    </cfRule>
  </conditionalFormatting>
  <conditionalFormatting sqref="P84:P91">
    <cfRule type="cellIs" dxfId="10431" priority="394" operator="greaterThan">
      <formula>0</formula>
    </cfRule>
  </conditionalFormatting>
  <conditionalFormatting sqref="Q84:Q91">
    <cfRule type="cellIs" dxfId="10430" priority="393" operator="lessThan">
      <formula>0</formula>
    </cfRule>
  </conditionalFormatting>
  <conditionalFormatting sqref="R84:R91">
    <cfRule type="cellIs" dxfId="10429" priority="391" operator="lessThan">
      <formula>0.8</formula>
    </cfRule>
    <cfRule type="cellIs" dxfId="10428" priority="392" operator="greaterThan">
      <formula>1</formula>
    </cfRule>
  </conditionalFormatting>
  <conditionalFormatting sqref="R84:R91">
    <cfRule type="cellIs" dxfId="10427" priority="389" operator="greaterThan">
      <formula>1</formula>
    </cfRule>
    <cfRule type="cellIs" dxfId="10426" priority="390" operator="lessThan">
      <formula>0.8</formula>
    </cfRule>
  </conditionalFormatting>
  <conditionalFormatting sqref="P84:P91">
    <cfRule type="cellIs" dxfId="10425" priority="388" operator="greaterThan">
      <formula>0</formula>
    </cfRule>
  </conditionalFormatting>
  <conditionalFormatting sqref="Q84:Q91">
    <cfRule type="cellIs" dxfId="10424" priority="387" operator="lessThan">
      <formula>0</formula>
    </cfRule>
  </conditionalFormatting>
  <conditionalFormatting sqref="R84:R91">
    <cfRule type="cellIs" dxfId="10423" priority="385" operator="lessThan">
      <formula>0.8</formula>
    </cfRule>
    <cfRule type="cellIs" dxfId="10422" priority="386" operator="greaterThan">
      <formula>1</formula>
    </cfRule>
  </conditionalFormatting>
  <conditionalFormatting sqref="R84:R91">
    <cfRule type="cellIs" dxfId="10421" priority="383" operator="greaterThan">
      <formula>1</formula>
    </cfRule>
    <cfRule type="cellIs" dxfId="10420" priority="384" operator="lessThan">
      <formula>0.8</formula>
    </cfRule>
  </conditionalFormatting>
  <conditionalFormatting sqref="P84:P91">
    <cfRule type="cellIs" dxfId="10419" priority="382" operator="greaterThan">
      <formula>0</formula>
    </cfRule>
  </conditionalFormatting>
  <conditionalFormatting sqref="Q84:Q91">
    <cfRule type="cellIs" dxfId="10418" priority="381" operator="lessThan">
      <formula>0</formula>
    </cfRule>
  </conditionalFormatting>
  <conditionalFormatting sqref="R84:R91">
    <cfRule type="cellIs" dxfId="10417" priority="379" operator="lessThan">
      <formula>0.8</formula>
    </cfRule>
    <cfRule type="cellIs" dxfId="10416" priority="380" operator="greaterThan">
      <formula>1</formula>
    </cfRule>
  </conditionalFormatting>
  <conditionalFormatting sqref="R84:R91">
    <cfRule type="cellIs" dxfId="10415" priority="377" operator="greaterThan">
      <formula>1</formula>
    </cfRule>
    <cfRule type="cellIs" dxfId="10414" priority="378" operator="lessThan">
      <formula>0.8</formula>
    </cfRule>
  </conditionalFormatting>
  <conditionalFormatting sqref="P84:P91">
    <cfRule type="cellIs" dxfId="10413" priority="376" operator="greaterThan">
      <formula>0</formula>
    </cfRule>
  </conditionalFormatting>
  <conditionalFormatting sqref="Q84:Q91">
    <cfRule type="cellIs" dxfId="10412" priority="375" operator="lessThan">
      <formula>0</formula>
    </cfRule>
  </conditionalFormatting>
  <conditionalFormatting sqref="R84:R91">
    <cfRule type="cellIs" dxfId="10411" priority="373" operator="lessThan">
      <formula>0.8</formula>
    </cfRule>
    <cfRule type="cellIs" dxfId="10410" priority="374" operator="greaterThan">
      <formula>1</formula>
    </cfRule>
  </conditionalFormatting>
  <conditionalFormatting sqref="R84:R91">
    <cfRule type="cellIs" dxfId="10409" priority="371" operator="greaterThan">
      <formula>1</formula>
    </cfRule>
    <cfRule type="cellIs" dxfId="10408" priority="372" operator="lessThan">
      <formula>0.8</formula>
    </cfRule>
  </conditionalFormatting>
  <conditionalFormatting sqref="P84:P91">
    <cfRule type="cellIs" dxfId="10407" priority="370" operator="greaterThan">
      <formula>0</formula>
    </cfRule>
  </conditionalFormatting>
  <conditionalFormatting sqref="P84:P91">
    <cfRule type="cellIs" dxfId="10406" priority="364" operator="greaterThan">
      <formula>0</formula>
    </cfRule>
  </conditionalFormatting>
  <conditionalFormatting sqref="Q84:Q91">
    <cfRule type="cellIs" dxfId="10405" priority="369" operator="lessThan">
      <formula>0</formula>
    </cfRule>
  </conditionalFormatting>
  <conditionalFormatting sqref="R84:R91">
    <cfRule type="cellIs" dxfId="10404" priority="367" operator="lessThan">
      <formula>0.8</formula>
    </cfRule>
    <cfRule type="cellIs" dxfId="10403" priority="368" operator="greaterThan">
      <formula>1</formula>
    </cfRule>
  </conditionalFormatting>
  <conditionalFormatting sqref="R84:R91">
    <cfRule type="cellIs" dxfId="10402" priority="365" operator="greaterThan">
      <formula>1</formula>
    </cfRule>
    <cfRule type="cellIs" dxfId="10401" priority="366" operator="lessThan">
      <formula>0.8</formula>
    </cfRule>
  </conditionalFormatting>
  <conditionalFormatting sqref="P84:P91">
    <cfRule type="cellIs" dxfId="10400" priority="358" operator="greaterThan">
      <formula>0</formula>
    </cfRule>
  </conditionalFormatting>
  <conditionalFormatting sqref="Q84:Q91">
    <cfRule type="cellIs" dxfId="10399" priority="363" operator="lessThan">
      <formula>0</formula>
    </cfRule>
  </conditionalFormatting>
  <conditionalFormatting sqref="R84:R91">
    <cfRule type="cellIs" dxfId="10398" priority="361" operator="lessThan">
      <formula>0.8</formula>
    </cfRule>
    <cfRule type="cellIs" dxfId="10397" priority="362" operator="greaterThan">
      <formula>1</formula>
    </cfRule>
  </conditionalFormatting>
  <conditionalFormatting sqref="R84:R91">
    <cfRule type="cellIs" dxfId="10396" priority="359" operator="greaterThan">
      <formula>1</formula>
    </cfRule>
    <cfRule type="cellIs" dxfId="10395" priority="360" operator="lessThan">
      <formula>0.8</formula>
    </cfRule>
  </conditionalFormatting>
  <conditionalFormatting sqref="R84:R91">
    <cfRule type="cellIs" dxfId="10394" priority="355" operator="lessThan">
      <formula>0.8</formula>
    </cfRule>
    <cfRule type="cellIs" dxfId="10393" priority="356" operator="greaterThan">
      <formula>1</formula>
    </cfRule>
  </conditionalFormatting>
  <conditionalFormatting sqref="R84:R91">
    <cfRule type="cellIs" dxfId="10392" priority="353" operator="greaterThan">
      <formula>1</formula>
    </cfRule>
    <cfRule type="cellIs" dxfId="10391" priority="354" operator="lessThan">
      <formula>0.8</formula>
    </cfRule>
  </conditionalFormatting>
  <conditionalFormatting sqref="P84:P91">
    <cfRule type="cellIs" dxfId="10390" priority="352" operator="greaterThan">
      <formula>0</formula>
    </cfRule>
  </conditionalFormatting>
  <conditionalFormatting sqref="Q84:Q91">
    <cfRule type="cellIs" dxfId="10389" priority="357" operator="lessThan">
      <formula>0</formula>
    </cfRule>
  </conditionalFormatting>
  <conditionalFormatting sqref="Q84:Q91">
    <cfRule type="cellIs" dxfId="10388" priority="351" operator="lessThan">
      <formula>0</formula>
    </cfRule>
  </conditionalFormatting>
  <conditionalFormatting sqref="R84:R91">
    <cfRule type="cellIs" dxfId="10387" priority="349" operator="lessThan">
      <formula>0.8</formula>
    </cfRule>
    <cfRule type="cellIs" dxfId="10386" priority="350" operator="greaterThan">
      <formula>1</formula>
    </cfRule>
  </conditionalFormatting>
  <conditionalFormatting sqref="R84:R91">
    <cfRule type="cellIs" dxfId="10385" priority="347" operator="greaterThan">
      <formula>1</formula>
    </cfRule>
    <cfRule type="cellIs" dxfId="10384" priority="348" operator="lessThan">
      <formula>0.8</formula>
    </cfRule>
  </conditionalFormatting>
  <conditionalFormatting sqref="P84:P91">
    <cfRule type="cellIs" dxfId="10383" priority="346" operator="greaterThan">
      <formula>0</formula>
    </cfRule>
  </conditionalFormatting>
  <conditionalFormatting sqref="P84:P91">
    <cfRule type="cellIs" dxfId="10382" priority="340" operator="greaterThan">
      <formula>0</formula>
    </cfRule>
  </conditionalFormatting>
  <conditionalFormatting sqref="Q84:Q91">
    <cfRule type="cellIs" dxfId="10381" priority="345" operator="lessThan">
      <formula>0</formula>
    </cfRule>
  </conditionalFormatting>
  <conditionalFormatting sqref="R84:R91">
    <cfRule type="cellIs" dxfId="10380" priority="343" operator="lessThan">
      <formula>0.8</formula>
    </cfRule>
    <cfRule type="cellIs" dxfId="10379" priority="344" operator="greaterThan">
      <formula>1</formula>
    </cfRule>
  </conditionalFormatting>
  <conditionalFormatting sqref="R84:R91">
    <cfRule type="cellIs" dxfId="10378" priority="341" operator="greaterThan">
      <formula>1</formula>
    </cfRule>
    <cfRule type="cellIs" dxfId="10377" priority="342" operator="lessThan">
      <formula>0.8</formula>
    </cfRule>
  </conditionalFormatting>
  <conditionalFormatting sqref="P84:P91">
    <cfRule type="cellIs" dxfId="10376" priority="334" operator="greaterThan">
      <formula>0</formula>
    </cfRule>
  </conditionalFormatting>
  <conditionalFormatting sqref="Q84:Q91">
    <cfRule type="cellIs" dxfId="10375" priority="339" operator="lessThan">
      <formula>0</formula>
    </cfRule>
  </conditionalFormatting>
  <conditionalFormatting sqref="R84:R91">
    <cfRule type="cellIs" dxfId="10374" priority="337" operator="lessThan">
      <formula>0.8</formula>
    </cfRule>
    <cfRule type="cellIs" dxfId="10373" priority="338" operator="greaterThan">
      <formula>1</formula>
    </cfRule>
  </conditionalFormatting>
  <conditionalFormatting sqref="R84:R91">
    <cfRule type="cellIs" dxfId="10372" priority="335" operator="greaterThan">
      <formula>1</formula>
    </cfRule>
    <cfRule type="cellIs" dxfId="10371" priority="336" operator="lessThan">
      <formula>0.8</formula>
    </cfRule>
  </conditionalFormatting>
  <conditionalFormatting sqref="R84:R91">
    <cfRule type="cellIs" dxfId="10370" priority="331" operator="lessThan">
      <formula>0.8</formula>
    </cfRule>
    <cfRule type="cellIs" dxfId="10369" priority="332" operator="greaterThan">
      <formula>1</formula>
    </cfRule>
  </conditionalFormatting>
  <conditionalFormatting sqref="R84:R91">
    <cfRule type="cellIs" dxfId="10368" priority="329" operator="greaterThan">
      <formula>1</formula>
    </cfRule>
    <cfRule type="cellIs" dxfId="10367" priority="330" operator="lessThan">
      <formula>0.8</formula>
    </cfRule>
  </conditionalFormatting>
  <conditionalFormatting sqref="P84:P91">
    <cfRule type="cellIs" dxfId="10366" priority="328" operator="greaterThan">
      <formula>0</formula>
    </cfRule>
  </conditionalFormatting>
  <conditionalFormatting sqref="Q84:Q91">
    <cfRule type="cellIs" dxfId="10365" priority="333" operator="lessThan">
      <formula>0</formula>
    </cfRule>
  </conditionalFormatting>
  <conditionalFormatting sqref="P84:P91">
    <cfRule type="cellIs" dxfId="10364" priority="322" operator="greaterThan">
      <formula>0</formula>
    </cfRule>
  </conditionalFormatting>
  <conditionalFormatting sqref="Q84:Q91">
    <cfRule type="cellIs" dxfId="10363" priority="327" operator="lessThan">
      <formula>0</formula>
    </cfRule>
  </conditionalFormatting>
  <conditionalFormatting sqref="R84:R91">
    <cfRule type="cellIs" dxfId="10362" priority="325" operator="lessThan">
      <formula>0.8</formula>
    </cfRule>
    <cfRule type="cellIs" dxfId="10361" priority="326" operator="greaterThan">
      <formula>1</formula>
    </cfRule>
  </conditionalFormatting>
  <conditionalFormatting sqref="R84:R91">
    <cfRule type="cellIs" dxfId="10360" priority="323" operator="greaterThan">
      <formula>1</formula>
    </cfRule>
    <cfRule type="cellIs" dxfId="10359" priority="324" operator="lessThan">
      <formula>0.8</formula>
    </cfRule>
  </conditionalFormatting>
  <conditionalFormatting sqref="R84:R91">
    <cfRule type="cellIs" dxfId="10358" priority="319" operator="lessThan">
      <formula>0.8</formula>
    </cfRule>
    <cfRule type="cellIs" dxfId="10357" priority="320" operator="greaterThan">
      <formula>1</formula>
    </cfRule>
  </conditionalFormatting>
  <conditionalFormatting sqref="R84:R91">
    <cfRule type="cellIs" dxfId="10356" priority="317" operator="greaterThan">
      <formula>1</formula>
    </cfRule>
    <cfRule type="cellIs" dxfId="10355" priority="318" operator="lessThan">
      <formula>0.8</formula>
    </cfRule>
  </conditionalFormatting>
  <conditionalFormatting sqref="P84:P91">
    <cfRule type="cellIs" dxfId="10354" priority="316" operator="greaterThan">
      <formula>0</formula>
    </cfRule>
  </conditionalFormatting>
  <conditionalFormatting sqref="Q84:Q91">
    <cfRule type="cellIs" dxfId="10353" priority="321" operator="lessThan">
      <formula>0</formula>
    </cfRule>
  </conditionalFormatting>
  <conditionalFormatting sqref="R84:R91">
    <cfRule type="cellIs" dxfId="10352" priority="313" operator="lessThan">
      <formula>0.8</formula>
    </cfRule>
    <cfRule type="cellIs" dxfId="10351" priority="314" operator="greaterThan">
      <formula>1</formula>
    </cfRule>
  </conditionalFormatting>
  <conditionalFormatting sqref="R84:R91">
    <cfRule type="cellIs" dxfId="10350" priority="311" operator="greaterThan">
      <formula>1</formula>
    </cfRule>
    <cfRule type="cellIs" dxfId="10349" priority="312" operator="lessThan">
      <formula>0.8</formula>
    </cfRule>
  </conditionalFormatting>
  <conditionalFormatting sqref="P84:P91">
    <cfRule type="cellIs" dxfId="10348" priority="310" operator="greaterThan">
      <formula>0</formula>
    </cfRule>
  </conditionalFormatting>
  <conditionalFormatting sqref="Q84:Q91">
    <cfRule type="cellIs" dxfId="10347" priority="315" operator="lessThan">
      <formula>0</formula>
    </cfRule>
  </conditionalFormatting>
  <conditionalFormatting sqref="Q84:Q91">
    <cfRule type="cellIs" dxfId="10346" priority="309" operator="lessThan">
      <formula>0</formula>
    </cfRule>
  </conditionalFormatting>
  <conditionalFormatting sqref="R84:R91">
    <cfRule type="cellIs" dxfId="10345" priority="307" operator="lessThan">
      <formula>0.8</formula>
    </cfRule>
    <cfRule type="cellIs" dxfId="10344" priority="308" operator="greaterThan">
      <formula>1</formula>
    </cfRule>
  </conditionalFormatting>
  <conditionalFormatting sqref="R84:R91">
    <cfRule type="cellIs" dxfId="10343" priority="305" operator="greaterThan">
      <formula>1</formula>
    </cfRule>
    <cfRule type="cellIs" dxfId="10342" priority="306" operator="lessThan">
      <formula>0.8</formula>
    </cfRule>
  </conditionalFormatting>
  <conditionalFormatting sqref="P84:P91">
    <cfRule type="cellIs" dxfId="10341" priority="304" operator="greaterThan">
      <formula>0</formula>
    </cfRule>
  </conditionalFormatting>
  <conditionalFormatting sqref="Q84:Q91">
    <cfRule type="cellIs" dxfId="10340" priority="298" operator="lessThan">
      <formula>0</formula>
    </cfRule>
  </conditionalFormatting>
  <conditionalFormatting sqref="R84:R91">
    <cfRule type="cellIs" dxfId="10339" priority="302" operator="lessThan">
      <formula>0.8</formula>
    </cfRule>
    <cfRule type="cellIs" dxfId="10338" priority="303" operator="greaterThan">
      <formula>1</formula>
    </cfRule>
  </conditionalFormatting>
  <conditionalFormatting sqref="R84:R91">
    <cfRule type="cellIs" dxfId="10337" priority="300" operator="greaterThan">
      <formula>1</formula>
    </cfRule>
    <cfRule type="cellIs" dxfId="10336" priority="301" operator="lessThan">
      <formula>0.8</formula>
    </cfRule>
  </conditionalFormatting>
  <conditionalFormatting sqref="P84:P91">
    <cfRule type="cellIs" dxfId="10335" priority="299" operator="greaterThan">
      <formula>0</formula>
    </cfRule>
  </conditionalFormatting>
  <conditionalFormatting sqref="Q84:Q91">
    <cfRule type="cellIs" dxfId="10334" priority="297" operator="lessThan">
      <formula>0</formula>
    </cfRule>
  </conditionalFormatting>
  <conditionalFormatting sqref="R84:R91">
    <cfRule type="cellIs" dxfId="10333" priority="295" operator="lessThan">
      <formula>0.8</formula>
    </cfRule>
    <cfRule type="cellIs" dxfId="10332" priority="296" operator="greaterThan">
      <formula>1</formula>
    </cfRule>
  </conditionalFormatting>
  <conditionalFormatting sqref="R84:R91">
    <cfRule type="cellIs" dxfId="10331" priority="293" operator="greaterThan">
      <formula>1</formula>
    </cfRule>
    <cfRule type="cellIs" dxfId="10330" priority="294" operator="lessThan">
      <formula>0.8</formula>
    </cfRule>
  </conditionalFormatting>
  <conditionalFormatting sqref="P84:P91">
    <cfRule type="cellIs" dxfId="10329" priority="292" operator="greaterThan">
      <formula>0</formula>
    </cfRule>
  </conditionalFormatting>
  <conditionalFormatting sqref="Q84:Q91">
    <cfRule type="cellIs" dxfId="10328" priority="291" operator="lessThan">
      <formula>0</formula>
    </cfRule>
  </conditionalFormatting>
  <conditionalFormatting sqref="R84:R91">
    <cfRule type="cellIs" dxfId="10327" priority="289" operator="lessThan">
      <formula>0.8</formula>
    </cfRule>
    <cfRule type="cellIs" dxfId="10326" priority="290" operator="greaterThan">
      <formula>1</formula>
    </cfRule>
  </conditionalFormatting>
  <conditionalFormatting sqref="R84:R91">
    <cfRule type="cellIs" dxfId="10325" priority="287" operator="greaterThan">
      <formula>1</formula>
    </cfRule>
    <cfRule type="cellIs" dxfId="10324" priority="288" operator="lessThan">
      <formula>0.8</formula>
    </cfRule>
  </conditionalFormatting>
  <conditionalFormatting sqref="P84:P91">
    <cfRule type="cellIs" dxfId="10323" priority="286" operator="greaterThan">
      <formula>0</formula>
    </cfRule>
  </conditionalFormatting>
  <conditionalFormatting sqref="Q84:Q91">
    <cfRule type="cellIs" dxfId="10322" priority="285" operator="lessThan">
      <formula>0</formula>
    </cfRule>
  </conditionalFormatting>
  <conditionalFormatting sqref="R84:R91">
    <cfRule type="cellIs" dxfId="10321" priority="283" operator="lessThan">
      <formula>0.8</formula>
    </cfRule>
    <cfRule type="cellIs" dxfId="10320" priority="284" operator="greaterThan">
      <formula>1</formula>
    </cfRule>
  </conditionalFormatting>
  <conditionalFormatting sqref="R84:R91">
    <cfRule type="cellIs" dxfId="10319" priority="281" operator="greaterThan">
      <formula>1</formula>
    </cfRule>
    <cfRule type="cellIs" dxfId="10318" priority="282" operator="lessThan">
      <formula>0.8</formula>
    </cfRule>
  </conditionalFormatting>
  <conditionalFormatting sqref="P84:P91">
    <cfRule type="cellIs" dxfId="10317" priority="280" operator="greaterThan">
      <formula>0</formula>
    </cfRule>
  </conditionalFormatting>
  <conditionalFormatting sqref="Q84:Q91">
    <cfRule type="cellIs" dxfId="10316" priority="279" operator="lessThan">
      <formula>0</formula>
    </cfRule>
  </conditionalFormatting>
  <conditionalFormatting sqref="R84:R91">
    <cfRule type="cellIs" dxfId="10315" priority="277" operator="lessThan">
      <formula>0.8</formula>
    </cfRule>
    <cfRule type="cellIs" dxfId="10314" priority="278" operator="greaterThan">
      <formula>1</formula>
    </cfRule>
  </conditionalFormatting>
  <conditionalFormatting sqref="R84:R91">
    <cfRule type="cellIs" dxfId="10313" priority="275" operator="greaterThan">
      <formula>1</formula>
    </cfRule>
    <cfRule type="cellIs" dxfId="10312" priority="276" operator="lessThan">
      <formula>0.8</formula>
    </cfRule>
  </conditionalFormatting>
  <conditionalFormatting sqref="P84:P91">
    <cfRule type="cellIs" dxfId="10311" priority="274" operator="greaterThan">
      <formula>0</formula>
    </cfRule>
  </conditionalFormatting>
  <conditionalFormatting sqref="Q84:Q91">
    <cfRule type="cellIs" dxfId="10310" priority="273" operator="lessThan">
      <formula>0</formula>
    </cfRule>
  </conditionalFormatting>
  <conditionalFormatting sqref="R84:R91">
    <cfRule type="cellIs" dxfId="10309" priority="271" operator="lessThan">
      <formula>0.8</formula>
    </cfRule>
    <cfRule type="cellIs" dxfId="10308" priority="272" operator="greaterThan">
      <formula>1</formula>
    </cfRule>
  </conditionalFormatting>
  <conditionalFormatting sqref="R84:R91">
    <cfRule type="cellIs" dxfId="10307" priority="269" operator="greaterThan">
      <formula>1</formula>
    </cfRule>
    <cfRule type="cellIs" dxfId="10306" priority="270" operator="lessThan">
      <formula>0.8</formula>
    </cfRule>
  </conditionalFormatting>
  <conditionalFormatting sqref="P84:P91">
    <cfRule type="cellIs" dxfId="10305" priority="268" operator="greaterThan">
      <formula>0</formula>
    </cfRule>
  </conditionalFormatting>
  <conditionalFormatting sqref="P84:P91">
    <cfRule type="cellIs" dxfId="10304" priority="262" operator="greaterThan">
      <formula>0</formula>
    </cfRule>
  </conditionalFormatting>
  <conditionalFormatting sqref="Q84:Q91">
    <cfRule type="cellIs" dxfId="10303" priority="267" operator="lessThan">
      <formula>0</formula>
    </cfRule>
  </conditionalFormatting>
  <conditionalFormatting sqref="R84:R91">
    <cfRule type="cellIs" dxfId="10302" priority="265" operator="lessThan">
      <formula>0.8</formula>
    </cfRule>
    <cfRule type="cellIs" dxfId="10301" priority="266" operator="greaterThan">
      <formula>1</formula>
    </cfRule>
  </conditionalFormatting>
  <conditionalFormatting sqref="R84:R91">
    <cfRule type="cellIs" dxfId="10300" priority="263" operator="greaterThan">
      <formula>1</formula>
    </cfRule>
    <cfRule type="cellIs" dxfId="10299" priority="264" operator="lessThan">
      <formula>0.8</formula>
    </cfRule>
  </conditionalFormatting>
  <conditionalFormatting sqref="P84:P91">
    <cfRule type="cellIs" dxfId="10298" priority="256" operator="greaterThan">
      <formula>0</formula>
    </cfRule>
  </conditionalFormatting>
  <conditionalFormatting sqref="Q84:Q91">
    <cfRule type="cellIs" dxfId="10297" priority="261" operator="lessThan">
      <formula>0</formula>
    </cfRule>
  </conditionalFormatting>
  <conditionalFormatting sqref="R84:R91">
    <cfRule type="cellIs" dxfId="10296" priority="259" operator="lessThan">
      <formula>0.8</formula>
    </cfRule>
    <cfRule type="cellIs" dxfId="10295" priority="260" operator="greaterThan">
      <formula>1</formula>
    </cfRule>
  </conditionalFormatting>
  <conditionalFormatting sqref="R84:R91">
    <cfRule type="cellIs" dxfId="10294" priority="257" operator="greaterThan">
      <formula>1</formula>
    </cfRule>
    <cfRule type="cellIs" dxfId="10293" priority="258" operator="lessThan">
      <formula>0.8</formula>
    </cfRule>
  </conditionalFormatting>
  <conditionalFormatting sqref="R84:R91">
    <cfRule type="cellIs" dxfId="10292" priority="253" operator="lessThan">
      <formula>0.8</formula>
    </cfRule>
    <cfRule type="cellIs" dxfId="10291" priority="254" operator="greaterThan">
      <formula>1</formula>
    </cfRule>
  </conditionalFormatting>
  <conditionalFormatting sqref="R84:R91">
    <cfRule type="cellIs" dxfId="10290" priority="251" operator="greaterThan">
      <formula>1</formula>
    </cfRule>
    <cfRule type="cellIs" dxfId="10289" priority="252" operator="lessThan">
      <formula>0.8</formula>
    </cfRule>
  </conditionalFormatting>
  <conditionalFormatting sqref="P84:P91">
    <cfRule type="cellIs" dxfId="10288" priority="250" operator="greaterThan">
      <formula>0</formula>
    </cfRule>
  </conditionalFormatting>
  <conditionalFormatting sqref="Q84:Q91">
    <cfRule type="cellIs" dxfId="10287" priority="255" operator="lessThan">
      <formula>0</formula>
    </cfRule>
  </conditionalFormatting>
  <conditionalFormatting sqref="Q84:Q91">
    <cfRule type="cellIs" dxfId="10286" priority="249" operator="lessThan">
      <formula>0</formula>
    </cfRule>
  </conditionalFormatting>
  <conditionalFormatting sqref="R84:R91">
    <cfRule type="cellIs" dxfId="10285" priority="247" operator="lessThan">
      <formula>0.8</formula>
    </cfRule>
    <cfRule type="cellIs" dxfId="10284" priority="248" operator="greaterThan">
      <formula>1</formula>
    </cfRule>
  </conditionalFormatting>
  <conditionalFormatting sqref="R84:R91">
    <cfRule type="cellIs" dxfId="10283" priority="245" operator="greaterThan">
      <formula>1</formula>
    </cfRule>
    <cfRule type="cellIs" dxfId="10282" priority="246" operator="lessThan">
      <formula>0.8</formula>
    </cfRule>
  </conditionalFormatting>
  <conditionalFormatting sqref="P84:P91">
    <cfRule type="cellIs" dxfId="10281" priority="244" operator="greaterThan">
      <formula>0</formula>
    </cfRule>
  </conditionalFormatting>
  <conditionalFormatting sqref="Q84:Q91">
    <cfRule type="cellIs" dxfId="10280" priority="243" operator="lessThan">
      <formula>0</formula>
    </cfRule>
  </conditionalFormatting>
  <conditionalFormatting sqref="R84:R91">
    <cfRule type="cellIs" dxfId="10279" priority="241" operator="lessThan">
      <formula>0.8</formula>
    </cfRule>
    <cfRule type="cellIs" dxfId="10278" priority="242" operator="greaterThan">
      <formula>1</formula>
    </cfRule>
  </conditionalFormatting>
  <conditionalFormatting sqref="R84:R91">
    <cfRule type="cellIs" dxfId="10277" priority="239" operator="greaterThan">
      <formula>1</formula>
    </cfRule>
    <cfRule type="cellIs" dxfId="10276" priority="240" operator="lessThan">
      <formula>0.8</formula>
    </cfRule>
  </conditionalFormatting>
  <conditionalFormatting sqref="P84:P91">
    <cfRule type="cellIs" dxfId="10275" priority="238" operator="greaterThan">
      <formula>0</formula>
    </cfRule>
  </conditionalFormatting>
  <conditionalFormatting sqref="Q84:Q91">
    <cfRule type="cellIs" dxfId="10274" priority="237" operator="lessThan">
      <formula>0</formula>
    </cfRule>
  </conditionalFormatting>
  <conditionalFormatting sqref="R84:R91">
    <cfRule type="cellIs" dxfId="10273" priority="235" operator="lessThan">
      <formula>0.8</formula>
    </cfRule>
    <cfRule type="cellIs" dxfId="10272" priority="236" operator="greaterThan">
      <formula>1</formula>
    </cfRule>
  </conditionalFormatting>
  <conditionalFormatting sqref="R84:R91">
    <cfRule type="cellIs" dxfId="10271" priority="233" operator="greaterThan">
      <formula>1</formula>
    </cfRule>
    <cfRule type="cellIs" dxfId="10270" priority="234" operator="lessThan">
      <formula>0.8</formula>
    </cfRule>
  </conditionalFormatting>
  <conditionalFormatting sqref="P84:P91">
    <cfRule type="cellIs" dxfId="10269" priority="232" operator="greaterThan">
      <formula>0</formula>
    </cfRule>
  </conditionalFormatting>
  <conditionalFormatting sqref="Q84:Q91">
    <cfRule type="cellIs" dxfId="10268" priority="231" operator="lessThan">
      <formula>0</formula>
    </cfRule>
  </conditionalFormatting>
  <conditionalFormatting sqref="R84:R91">
    <cfRule type="cellIs" dxfId="10267" priority="229" operator="lessThan">
      <formula>0.8</formula>
    </cfRule>
    <cfRule type="cellIs" dxfId="10266" priority="230" operator="greaterThan">
      <formula>1</formula>
    </cfRule>
  </conditionalFormatting>
  <conditionalFormatting sqref="R84:R91">
    <cfRule type="cellIs" dxfId="10265" priority="227" operator="greaterThan">
      <formula>1</formula>
    </cfRule>
    <cfRule type="cellIs" dxfId="10264" priority="228" operator="lessThan">
      <formula>0.8</formula>
    </cfRule>
  </conditionalFormatting>
  <conditionalFormatting sqref="P84:P91">
    <cfRule type="cellIs" dxfId="10263" priority="226" operator="greaterThan">
      <formula>0</formula>
    </cfRule>
  </conditionalFormatting>
  <conditionalFormatting sqref="P84:P91">
    <cfRule type="cellIs" dxfId="10262" priority="220" operator="greaterThan">
      <formula>0</formula>
    </cfRule>
  </conditionalFormatting>
  <conditionalFormatting sqref="Q84:Q91">
    <cfRule type="cellIs" dxfId="10261" priority="225" operator="lessThan">
      <formula>0</formula>
    </cfRule>
  </conditionalFormatting>
  <conditionalFormatting sqref="R84:R91">
    <cfRule type="cellIs" dxfId="10260" priority="223" operator="lessThan">
      <formula>0.8</formula>
    </cfRule>
    <cfRule type="cellIs" dxfId="10259" priority="224" operator="greaterThan">
      <formula>1</formula>
    </cfRule>
  </conditionalFormatting>
  <conditionalFormatting sqref="R84:R91">
    <cfRule type="cellIs" dxfId="10258" priority="221" operator="greaterThan">
      <formula>1</formula>
    </cfRule>
    <cfRule type="cellIs" dxfId="10257" priority="222" operator="lessThan">
      <formula>0.8</formula>
    </cfRule>
  </conditionalFormatting>
  <conditionalFormatting sqref="P84:P91">
    <cfRule type="cellIs" dxfId="10256" priority="214" operator="greaterThan">
      <formula>0</formula>
    </cfRule>
  </conditionalFormatting>
  <conditionalFormatting sqref="Q84:Q91">
    <cfRule type="cellIs" dxfId="10255" priority="219" operator="lessThan">
      <formula>0</formula>
    </cfRule>
  </conditionalFormatting>
  <conditionalFormatting sqref="R84:R91">
    <cfRule type="cellIs" dxfId="10254" priority="217" operator="lessThan">
      <formula>0.8</formula>
    </cfRule>
    <cfRule type="cellIs" dxfId="10253" priority="218" operator="greaterThan">
      <formula>1</formula>
    </cfRule>
  </conditionalFormatting>
  <conditionalFormatting sqref="R84:R91">
    <cfRule type="cellIs" dxfId="10252" priority="215" operator="greaterThan">
      <formula>1</formula>
    </cfRule>
    <cfRule type="cellIs" dxfId="10251" priority="216" operator="lessThan">
      <formula>0.8</formula>
    </cfRule>
  </conditionalFormatting>
  <conditionalFormatting sqref="R84:R91">
    <cfRule type="cellIs" dxfId="10250" priority="211" operator="lessThan">
      <formula>0.8</formula>
    </cfRule>
    <cfRule type="cellIs" dxfId="10249" priority="212" operator="greaterThan">
      <formula>1</formula>
    </cfRule>
  </conditionalFormatting>
  <conditionalFormatting sqref="R84:R91">
    <cfRule type="cellIs" dxfId="10248" priority="209" operator="greaterThan">
      <formula>1</formula>
    </cfRule>
    <cfRule type="cellIs" dxfId="10247" priority="210" operator="lessThan">
      <formula>0.8</formula>
    </cfRule>
  </conditionalFormatting>
  <conditionalFormatting sqref="P84:P91">
    <cfRule type="cellIs" dxfId="10246" priority="208" operator="greaterThan">
      <formula>0</formula>
    </cfRule>
  </conditionalFormatting>
  <conditionalFormatting sqref="Q84:Q91">
    <cfRule type="cellIs" dxfId="10245" priority="213" operator="lessThan">
      <formula>0</formula>
    </cfRule>
  </conditionalFormatting>
  <conditionalFormatting sqref="Q84:Q91">
    <cfRule type="cellIs" dxfId="10244" priority="207" operator="lessThan">
      <formula>0</formula>
    </cfRule>
  </conditionalFormatting>
  <conditionalFormatting sqref="R84:R91">
    <cfRule type="cellIs" dxfId="10243" priority="205" operator="lessThan">
      <formula>0.8</formula>
    </cfRule>
    <cfRule type="cellIs" dxfId="10242" priority="206" operator="greaterThan">
      <formula>1</formula>
    </cfRule>
  </conditionalFormatting>
  <conditionalFormatting sqref="R84:R91">
    <cfRule type="cellIs" dxfId="10241" priority="203" operator="greaterThan">
      <formula>1</formula>
    </cfRule>
    <cfRule type="cellIs" dxfId="10240" priority="204" operator="lessThan">
      <formula>0.8</formula>
    </cfRule>
  </conditionalFormatting>
  <conditionalFormatting sqref="P84:P91">
    <cfRule type="cellIs" dxfId="10239" priority="202" operator="greaterThan">
      <formula>0</formula>
    </cfRule>
  </conditionalFormatting>
  <conditionalFormatting sqref="P84:P91">
    <cfRule type="cellIs" dxfId="10238" priority="196" operator="greaterThan">
      <formula>0</formula>
    </cfRule>
  </conditionalFormatting>
  <conditionalFormatting sqref="Q84:Q91">
    <cfRule type="cellIs" dxfId="10237" priority="201" operator="lessThan">
      <formula>0</formula>
    </cfRule>
  </conditionalFormatting>
  <conditionalFormatting sqref="R84:R91">
    <cfRule type="cellIs" dxfId="10236" priority="199" operator="lessThan">
      <formula>0.8</formula>
    </cfRule>
    <cfRule type="cellIs" dxfId="10235" priority="200" operator="greaterThan">
      <formula>1</formula>
    </cfRule>
  </conditionalFormatting>
  <conditionalFormatting sqref="R84:R91">
    <cfRule type="cellIs" dxfId="10234" priority="197" operator="greaterThan">
      <formula>1</formula>
    </cfRule>
    <cfRule type="cellIs" dxfId="10233" priority="198" operator="lessThan">
      <formula>0.8</formula>
    </cfRule>
  </conditionalFormatting>
  <conditionalFormatting sqref="P84:P91">
    <cfRule type="cellIs" dxfId="10232" priority="190" operator="greaterThan">
      <formula>0</formula>
    </cfRule>
  </conditionalFormatting>
  <conditionalFormatting sqref="Q84:Q91">
    <cfRule type="cellIs" dxfId="10231" priority="195" operator="lessThan">
      <formula>0</formula>
    </cfRule>
  </conditionalFormatting>
  <conditionalFormatting sqref="R84:R91">
    <cfRule type="cellIs" dxfId="10230" priority="193" operator="lessThan">
      <formula>0.8</formula>
    </cfRule>
    <cfRule type="cellIs" dxfId="10229" priority="194" operator="greaterThan">
      <formula>1</formula>
    </cfRule>
  </conditionalFormatting>
  <conditionalFormatting sqref="R84:R91">
    <cfRule type="cellIs" dxfId="10228" priority="191" operator="greaterThan">
      <formula>1</formula>
    </cfRule>
    <cfRule type="cellIs" dxfId="10227" priority="192" operator="lessThan">
      <formula>0.8</formula>
    </cfRule>
  </conditionalFormatting>
  <conditionalFormatting sqref="R84:R91">
    <cfRule type="cellIs" dxfId="10226" priority="187" operator="lessThan">
      <formula>0.8</formula>
    </cfRule>
    <cfRule type="cellIs" dxfId="10225" priority="188" operator="greaterThan">
      <formula>1</formula>
    </cfRule>
  </conditionalFormatting>
  <conditionalFormatting sqref="R84:R91">
    <cfRule type="cellIs" dxfId="10224" priority="185" operator="greaterThan">
      <formula>1</formula>
    </cfRule>
    <cfRule type="cellIs" dxfId="10223" priority="186" operator="lessThan">
      <formula>0.8</formula>
    </cfRule>
  </conditionalFormatting>
  <conditionalFormatting sqref="P84:P91">
    <cfRule type="cellIs" dxfId="10222" priority="184" operator="greaterThan">
      <formula>0</formula>
    </cfRule>
  </conditionalFormatting>
  <conditionalFormatting sqref="Q84:Q91">
    <cfRule type="cellIs" dxfId="10221" priority="189" operator="lessThan">
      <formula>0</formula>
    </cfRule>
  </conditionalFormatting>
  <conditionalFormatting sqref="P84:P91">
    <cfRule type="cellIs" dxfId="10220" priority="178" operator="greaterThan">
      <formula>0</formula>
    </cfRule>
  </conditionalFormatting>
  <conditionalFormatting sqref="Q84:Q91">
    <cfRule type="cellIs" dxfId="10219" priority="183" operator="lessThan">
      <formula>0</formula>
    </cfRule>
  </conditionalFormatting>
  <conditionalFormatting sqref="R84:R91">
    <cfRule type="cellIs" dxfId="10218" priority="181" operator="lessThan">
      <formula>0.8</formula>
    </cfRule>
    <cfRule type="cellIs" dxfId="10217" priority="182" operator="greaterThan">
      <formula>1</formula>
    </cfRule>
  </conditionalFormatting>
  <conditionalFormatting sqref="R84:R91">
    <cfRule type="cellIs" dxfId="10216" priority="179" operator="greaterThan">
      <formula>1</formula>
    </cfRule>
    <cfRule type="cellIs" dxfId="10215" priority="180" operator="lessThan">
      <formula>0.8</formula>
    </cfRule>
  </conditionalFormatting>
  <conditionalFormatting sqref="R84:R91">
    <cfRule type="cellIs" dxfId="10214" priority="175" operator="lessThan">
      <formula>0.8</formula>
    </cfRule>
    <cfRule type="cellIs" dxfId="10213" priority="176" operator="greaterThan">
      <formula>1</formula>
    </cfRule>
  </conditionalFormatting>
  <conditionalFormatting sqref="R84:R91">
    <cfRule type="cellIs" dxfId="10212" priority="173" operator="greaterThan">
      <formula>1</formula>
    </cfRule>
    <cfRule type="cellIs" dxfId="10211" priority="174" operator="lessThan">
      <formula>0.8</formula>
    </cfRule>
  </conditionalFormatting>
  <conditionalFormatting sqref="P84:P91">
    <cfRule type="cellIs" dxfId="10210" priority="172" operator="greaterThan">
      <formula>0</formula>
    </cfRule>
  </conditionalFormatting>
  <conditionalFormatting sqref="Q84:Q91">
    <cfRule type="cellIs" dxfId="10209" priority="177" operator="lessThan">
      <formula>0</formula>
    </cfRule>
  </conditionalFormatting>
  <conditionalFormatting sqref="R84:R91">
    <cfRule type="cellIs" dxfId="10208" priority="169" operator="lessThan">
      <formula>0.8</formula>
    </cfRule>
    <cfRule type="cellIs" dxfId="10207" priority="170" operator="greaterThan">
      <formula>1</formula>
    </cfRule>
  </conditionalFormatting>
  <conditionalFormatting sqref="R84:R91">
    <cfRule type="cellIs" dxfId="10206" priority="167" operator="greaterThan">
      <formula>1</formula>
    </cfRule>
    <cfRule type="cellIs" dxfId="10205" priority="168" operator="lessThan">
      <formula>0.8</formula>
    </cfRule>
  </conditionalFormatting>
  <conditionalFormatting sqref="P84:P91">
    <cfRule type="cellIs" dxfId="10204" priority="166" operator="greaterThan">
      <formula>0</formula>
    </cfRule>
  </conditionalFormatting>
  <conditionalFormatting sqref="Q84:Q91">
    <cfRule type="cellIs" dxfId="10203" priority="171" operator="lessThan">
      <formula>0</formula>
    </cfRule>
  </conditionalFormatting>
  <conditionalFormatting sqref="Q84:Q91">
    <cfRule type="cellIs" dxfId="10202" priority="165" operator="lessThan">
      <formula>0</formula>
    </cfRule>
  </conditionalFormatting>
  <conditionalFormatting sqref="R84:R91">
    <cfRule type="cellIs" dxfId="10201" priority="163" operator="lessThan">
      <formula>0.8</formula>
    </cfRule>
    <cfRule type="cellIs" dxfId="10200" priority="164" operator="greaterThan">
      <formula>1</formula>
    </cfRule>
  </conditionalFormatting>
  <conditionalFormatting sqref="R84:R91">
    <cfRule type="cellIs" dxfId="10199" priority="161" operator="greaterThan">
      <formula>1</formula>
    </cfRule>
    <cfRule type="cellIs" dxfId="10198" priority="162" operator="lessThan">
      <formula>0.8</formula>
    </cfRule>
  </conditionalFormatting>
  <conditionalFormatting sqref="P84:P91">
    <cfRule type="cellIs" dxfId="10197" priority="160" operator="greaterThan">
      <formula>0</formula>
    </cfRule>
  </conditionalFormatting>
  <conditionalFormatting sqref="Q84:Q91">
    <cfRule type="cellIs" dxfId="10196" priority="154" operator="lessThan">
      <formula>0</formula>
    </cfRule>
  </conditionalFormatting>
  <conditionalFormatting sqref="R84:R91">
    <cfRule type="cellIs" dxfId="10195" priority="158" operator="lessThan">
      <formula>0.8</formula>
    </cfRule>
    <cfRule type="cellIs" dxfId="10194" priority="159" operator="greaterThan">
      <formula>1</formula>
    </cfRule>
  </conditionalFormatting>
  <conditionalFormatting sqref="R84:R91">
    <cfRule type="cellIs" dxfId="10193" priority="156" operator="greaterThan">
      <formula>1</formula>
    </cfRule>
    <cfRule type="cellIs" dxfId="10192" priority="157" operator="lessThan">
      <formula>0.8</formula>
    </cfRule>
  </conditionalFormatting>
  <conditionalFormatting sqref="P84:P91">
    <cfRule type="cellIs" dxfId="10191" priority="155" operator="greaterThan">
      <formula>0</formula>
    </cfRule>
  </conditionalFormatting>
  <conditionalFormatting sqref="Q84:Q91">
    <cfRule type="cellIs" dxfId="10190" priority="153" operator="lessThan">
      <formula>0</formula>
    </cfRule>
  </conditionalFormatting>
  <conditionalFormatting sqref="R84:R91">
    <cfRule type="cellIs" dxfId="10189" priority="151" operator="lessThan">
      <formula>0.8</formula>
    </cfRule>
    <cfRule type="cellIs" dxfId="10188" priority="152" operator="greaterThan">
      <formula>1</formula>
    </cfRule>
  </conditionalFormatting>
  <conditionalFormatting sqref="R84:R91">
    <cfRule type="cellIs" dxfId="10187" priority="149" operator="greaterThan">
      <formula>1</formula>
    </cfRule>
    <cfRule type="cellIs" dxfId="10186" priority="150" operator="lessThan">
      <formula>0.8</formula>
    </cfRule>
  </conditionalFormatting>
  <conditionalFormatting sqref="P84:P91">
    <cfRule type="cellIs" dxfId="10185" priority="148" operator="greaterThan">
      <formula>0</formula>
    </cfRule>
  </conditionalFormatting>
  <conditionalFormatting sqref="Q84:Q91">
    <cfRule type="cellIs" dxfId="10184" priority="147" operator="lessThan">
      <formula>0</formula>
    </cfRule>
  </conditionalFormatting>
  <conditionalFormatting sqref="R84:R91">
    <cfRule type="cellIs" dxfId="10183" priority="145" operator="lessThan">
      <formula>0.8</formula>
    </cfRule>
    <cfRule type="cellIs" dxfId="10182" priority="146" operator="greaterThan">
      <formula>1</formula>
    </cfRule>
  </conditionalFormatting>
  <conditionalFormatting sqref="R84:R91">
    <cfRule type="cellIs" dxfId="10181" priority="143" operator="greaterThan">
      <formula>1</formula>
    </cfRule>
    <cfRule type="cellIs" dxfId="10180" priority="144" operator="lessThan">
      <formula>0.8</formula>
    </cfRule>
  </conditionalFormatting>
  <conditionalFormatting sqref="P84:P91">
    <cfRule type="cellIs" dxfId="10179" priority="142" operator="greaterThan">
      <formula>0</formula>
    </cfRule>
  </conditionalFormatting>
  <conditionalFormatting sqref="Q84:Q91">
    <cfRule type="cellIs" dxfId="10178" priority="141" operator="lessThan">
      <formula>0</formula>
    </cfRule>
  </conditionalFormatting>
  <conditionalFormatting sqref="R84:R91">
    <cfRule type="cellIs" dxfId="10177" priority="139" operator="lessThan">
      <formula>0.8</formula>
    </cfRule>
    <cfRule type="cellIs" dxfId="10176" priority="140" operator="greaterThan">
      <formula>1</formula>
    </cfRule>
  </conditionalFormatting>
  <conditionalFormatting sqref="R84:R91">
    <cfRule type="cellIs" dxfId="10175" priority="137" operator="greaterThan">
      <formula>1</formula>
    </cfRule>
    <cfRule type="cellIs" dxfId="10174" priority="138" operator="lessThan">
      <formula>0.8</formula>
    </cfRule>
  </conditionalFormatting>
  <conditionalFormatting sqref="P84:P91">
    <cfRule type="cellIs" dxfId="10173" priority="136" operator="greaterThan">
      <formula>0</formula>
    </cfRule>
  </conditionalFormatting>
  <conditionalFormatting sqref="Q84:Q91">
    <cfRule type="cellIs" dxfId="10172" priority="135" operator="lessThan">
      <formula>0</formula>
    </cfRule>
  </conditionalFormatting>
  <conditionalFormatting sqref="R84:R91">
    <cfRule type="cellIs" dxfId="10171" priority="133" operator="lessThan">
      <formula>0.8</formula>
    </cfRule>
    <cfRule type="cellIs" dxfId="10170" priority="134" operator="greaterThan">
      <formula>1</formula>
    </cfRule>
  </conditionalFormatting>
  <conditionalFormatting sqref="R84:R91">
    <cfRule type="cellIs" dxfId="10169" priority="131" operator="greaterThan">
      <formula>1</formula>
    </cfRule>
    <cfRule type="cellIs" dxfId="10168" priority="132" operator="lessThan">
      <formula>0.8</formula>
    </cfRule>
  </conditionalFormatting>
  <conditionalFormatting sqref="P84:P91">
    <cfRule type="cellIs" dxfId="10167" priority="130" operator="greaterThan">
      <formula>0</formula>
    </cfRule>
  </conditionalFormatting>
  <conditionalFormatting sqref="Q84:Q91">
    <cfRule type="cellIs" dxfId="10166" priority="129" operator="lessThan">
      <formula>0</formula>
    </cfRule>
  </conditionalFormatting>
  <conditionalFormatting sqref="R84:R91">
    <cfRule type="cellIs" dxfId="10165" priority="127" operator="lessThan">
      <formula>0.8</formula>
    </cfRule>
    <cfRule type="cellIs" dxfId="10164" priority="128" operator="greaterThan">
      <formula>1</formula>
    </cfRule>
  </conditionalFormatting>
  <conditionalFormatting sqref="R84:R91">
    <cfRule type="cellIs" dxfId="10163" priority="125" operator="greaterThan">
      <formula>1</formula>
    </cfRule>
    <cfRule type="cellIs" dxfId="10162" priority="126" operator="lessThan">
      <formula>0.8</formula>
    </cfRule>
  </conditionalFormatting>
  <conditionalFormatting sqref="P84:P91">
    <cfRule type="cellIs" dxfId="10161" priority="124" operator="greaterThan">
      <formula>0</formula>
    </cfRule>
  </conditionalFormatting>
  <conditionalFormatting sqref="P84:P91">
    <cfRule type="cellIs" dxfId="10160" priority="118" operator="greaterThan">
      <formula>0</formula>
    </cfRule>
  </conditionalFormatting>
  <conditionalFormatting sqref="Q84:Q91">
    <cfRule type="cellIs" dxfId="10159" priority="123" operator="lessThan">
      <formula>0</formula>
    </cfRule>
  </conditionalFormatting>
  <conditionalFormatting sqref="R84:R91">
    <cfRule type="cellIs" dxfId="10158" priority="121" operator="lessThan">
      <formula>0.8</formula>
    </cfRule>
    <cfRule type="cellIs" dxfId="10157" priority="122" operator="greaterThan">
      <formula>1</formula>
    </cfRule>
  </conditionalFormatting>
  <conditionalFormatting sqref="R84:R91">
    <cfRule type="cellIs" dxfId="10156" priority="119" operator="greaterThan">
      <formula>1</formula>
    </cfRule>
    <cfRule type="cellIs" dxfId="10155" priority="120" operator="lessThan">
      <formula>0.8</formula>
    </cfRule>
  </conditionalFormatting>
  <conditionalFormatting sqref="P84:P91">
    <cfRule type="cellIs" dxfId="10154" priority="112" operator="greaterThan">
      <formula>0</formula>
    </cfRule>
  </conditionalFormatting>
  <conditionalFormatting sqref="Q84:Q91">
    <cfRule type="cellIs" dxfId="10153" priority="117" operator="lessThan">
      <formula>0</formula>
    </cfRule>
  </conditionalFormatting>
  <conditionalFormatting sqref="R84:R91">
    <cfRule type="cellIs" dxfId="10152" priority="115" operator="lessThan">
      <formula>0.8</formula>
    </cfRule>
    <cfRule type="cellIs" dxfId="10151" priority="116" operator="greaterThan">
      <formula>1</formula>
    </cfRule>
  </conditionalFormatting>
  <conditionalFormatting sqref="R84:R91">
    <cfRule type="cellIs" dxfId="10150" priority="113" operator="greaterThan">
      <formula>1</formula>
    </cfRule>
    <cfRule type="cellIs" dxfId="10149" priority="114" operator="lessThan">
      <formula>0.8</formula>
    </cfRule>
  </conditionalFormatting>
  <conditionalFormatting sqref="R84:R91">
    <cfRule type="cellIs" dxfId="10148" priority="109" operator="lessThan">
      <formula>0.8</formula>
    </cfRule>
    <cfRule type="cellIs" dxfId="10147" priority="110" operator="greaterThan">
      <formula>1</formula>
    </cfRule>
  </conditionalFormatting>
  <conditionalFormatting sqref="R84:R91">
    <cfRule type="cellIs" dxfId="10146" priority="107" operator="greaterThan">
      <formula>1</formula>
    </cfRule>
    <cfRule type="cellIs" dxfId="10145" priority="108" operator="lessThan">
      <formula>0.8</formula>
    </cfRule>
  </conditionalFormatting>
  <conditionalFormatting sqref="P84:P91">
    <cfRule type="cellIs" dxfId="10144" priority="106" operator="greaterThan">
      <formula>0</formula>
    </cfRule>
  </conditionalFormatting>
  <conditionalFormatting sqref="Q84:Q91">
    <cfRule type="cellIs" dxfId="10143" priority="111" operator="lessThan">
      <formula>0</formula>
    </cfRule>
  </conditionalFormatting>
  <conditionalFormatting sqref="Q84:Q91">
    <cfRule type="cellIs" dxfId="10142" priority="100" operator="lessThan">
      <formula>0</formula>
    </cfRule>
  </conditionalFormatting>
  <conditionalFormatting sqref="P84:P91">
    <cfRule type="cellIs" dxfId="10141" priority="101" operator="greaterThan">
      <formula>0</formula>
    </cfRule>
  </conditionalFormatting>
  <conditionalFormatting sqref="R84:R91">
    <cfRule type="cellIs" dxfId="10140" priority="104" operator="lessThan">
      <formula>0.8</formula>
    </cfRule>
    <cfRule type="cellIs" dxfId="10139" priority="105" operator="greaterThan">
      <formula>1</formula>
    </cfRule>
  </conditionalFormatting>
  <conditionalFormatting sqref="R84:R91">
    <cfRule type="cellIs" dxfId="10138" priority="102" operator="greaterThan">
      <formula>1</formula>
    </cfRule>
    <cfRule type="cellIs" dxfId="10137" priority="103" operator="lessThan">
      <formula>0.8</formula>
    </cfRule>
  </conditionalFormatting>
  <conditionalFormatting sqref="Q84:Q91">
    <cfRule type="cellIs" dxfId="10136" priority="94" operator="lessThan">
      <formula>0</formula>
    </cfRule>
  </conditionalFormatting>
  <conditionalFormatting sqref="R84:R91">
    <cfRule type="cellIs" dxfId="10135" priority="98" operator="lessThan">
      <formula>0.8</formula>
    </cfRule>
    <cfRule type="cellIs" dxfId="10134" priority="99" operator="greaterThan">
      <formula>1</formula>
    </cfRule>
  </conditionalFormatting>
  <conditionalFormatting sqref="R84:R91">
    <cfRule type="cellIs" dxfId="10133" priority="96" operator="greaterThan">
      <formula>1</formula>
    </cfRule>
    <cfRule type="cellIs" dxfId="10132" priority="97" operator="lessThan">
      <formula>0.8</formula>
    </cfRule>
  </conditionalFormatting>
  <conditionalFormatting sqref="P84:P91">
    <cfRule type="cellIs" dxfId="10131" priority="95" operator="greaterThan">
      <formula>0</formula>
    </cfRule>
  </conditionalFormatting>
  <conditionalFormatting sqref="Q84:Q91">
    <cfRule type="cellIs" dxfId="10130" priority="93" operator="lessThan">
      <formula>0</formula>
    </cfRule>
  </conditionalFormatting>
  <conditionalFormatting sqref="R84:R91">
    <cfRule type="cellIs" dxfId="10129" priority="91" operator="lessThan">
      <formula>0.8</formula>
    </cfRule>
    <cfRule type="cellIs" dxfId="10128" priority="92" operator="greaterThan">
      <formula>1</formula>
    </cfRule>
  </conditionalFormatting>
  <conditionalFormatting sqref="R84:R91">
    <cfRule type="cellIs" dxfId="10127" priority="89" operator="greaterThan">
      <formula>1</formula>
    </cfRule>
    <cfRule type="cellIs" dxfId="10126" priority="90" operator="lessThan">
      <formula>0.8</formula>
    </cfRule>
  </conditionalFormatting>
  <conditionalFormatting sqref="P84:P91">
    <cfRule type="cellIs" dxfId="10125" priority="88" operator="greaterThan">
      <formula>0</formula>
    </cfRule>
  </conditionalFormatting>
  <conditionalFormatting sqref="Q84:Q91">
    <cfRule type="cellIs" dxfId="10124" priority="87" operator="lessThan">
      <formula>0</formula>
    </cfRule>
  </conditionalFormatting>
  <conditionalFormatting sqref="R84:R91">
    <cfRule type="cellIs" dxfId="10123" priority="85" operator="lessThan">
      <formula>0.8</formula>
    </cfRule>
    <cfRule type="cellIs" dxfId="10122" priority="86" operator="greaterThan">
      <formula>1</formula>
    </cfRule>
  </conditionalFormatting>
  <conditionalFormatting sqref="R84:R91">
    <cfRule type="cellIs" dxfId="10121" priority="83" operator="greaterThan">
      <formula>1</formula>
    </cfRule>
    <cfRule type="cellIs" dxfId="10120" priority="84" operator="lessThan">
      <formula>0.8</formula>
    </cfRule>
  </conditionalFormatting>
  <conditionalFormatting sqref="P84:P91">
    <cfRule type="cellIs" dxfId="10119" priority="82" operator="greaterThan">
      <formula>0</formula>
    </cfRule>
  </conditionalFormatting>
  <conditionalFormatting sqref="Q84:Q91">
    <cfRule type="cellIs" dxfId="10118" priority="81" operator="lessThan">
      <formula>0</formula>
    </cfRule>
  </conditionalFormatting>
  <conditionalFormatting sqref="R84:R91">
    <cfRule type="cellIs" dxfId="10117" priority="79" operator="lessThan">
      <formula>0.8</formula>
    </cfRule>
    <cfRule type="cellIs" dxfId="10116" priority="80" operator="greaterThan">
      <formula>1</formula>
    </cfRule>
  </conditionalFormatting>
  <conditionalFormatting sqref="R84:R91">
    <cfRule type="cellIs" dxfId="10115" priority="77" operator="greaterThan">
      <formula>1</formula>
    </cfRule>
    <cfRule type="cellIs" dxfId="10114" priority="78" operator="lessThan">
      <formula>0.8</formula>
    </cfRule>
  </conditionalFormatting>
  <conditionalFormatting sqref="P84:P91">
    <cfRule type="cellIs" dxfId="10113" priority="76" operator="greaterThan">
      <formula>0</formula>
    </cfRule>
  </conditionalFormatting>
  <conditionalFormatting sqref="Q162:Q166">
    <cfRule type="cellIs" dxfId="10112" priority="75" operator="lessThan">
      <formula>0</formula>
    </cfRule>
  </conditionalFormatting>
  <conditionalFormatting sqref="R162:R166">
    <cfRule type="cellIs" dxfId="10111" priority="73" operator="lessThan">
      <formula>0.8</formula>
    </cfRule>
    <cfRule type="cellIs" dxfId="10110" priority="74" operator="greaterThan">
      <formula>1</formula>
    </cfRule>
  </conditionalFormatting>
  <conditionalFormatting sqref="R162:R166">
    <cfRule type="cellIs" dxfId="10109" priority="71" operator="greaterThan">
      <formula>1</formula>
    </cfRule>
    <cfRule type="cellIs" dxfId="10108" priority="72" operator="lessThan">
      <formula>0.8</formula>
    </cfRule>
  </conditionalFormatting>
  <conditionalFormatting sqref="P162:P166">
    <cfRule type="cellIs" dxfId="10107" priority="70" operator="greaterThan">
      <formula>0</formula>
    </cfRule>
  </conditionalFormatting>
  <conditionalFormatting sqref="P167:P168">
    <cfRule type="cellIs" dxfId="10106" priority="64" operator="greaterThan">
      <formula>0</formula>
    </cfRule>
  </conditionalFormatting>
  <conditionalFormatting sqref="R167:R168">
    <cfRule type="cellIs" dxfId="10105" priority="67" operator="lessThan">
      <formula>0.8</formula>
    </cfRule>
    <cfRule type="cellIs" dxfId="10104" priority="68" operator="greaterThan">
      <formula>1</formula>
    </cfRule>
  </conditionalFormatting>
  <conditionalFormatting sqref="R167:R168">
    <cfRule type="cellIs" dxfId="10103" priority="65" operator="greaterThan">
      <formula>1</formula>
    </cfRule>
    <cfRule type="cellIs" dxfId="10102" priority="66" operator="lessThan">
      <formula>0.8</formula>
    </cfRule>
  </conditionalFormatting>
  <conditionalFormatting sqref="Q167:Q168">
    <cfRule type="cellIs" dxfId="10101" priority="69" operator="lessThan">
      <formula>0</formula>
    </cfRule>
  </conditionalFormatting>
  <conditionalFormatting sqref="Q161">
    <cfRule type="cellIs" dxfId="10100" priority="63" operator="lessThan">
      <formula>0</formula>
    </cfRule>
  </conditionalFormatting>
  <conditionalFormatting sqref="R161">
    <cfRule type="cellIs" dxfId="10099" priority="61" operator="lessThan">
      <formula>0.8</formula>
    </cfRule>
    <cfRule type="cellIs" dxfId="10098" priority="62" operator="greaterThan">
      <formula>1</formula>
    </cfRule>
  </conditionalFormatting>
  <conditionalFormatting sqref="R161">
    <cfRule type="cellIs" dxfId="10097" priority="59" operator="greaterThan">
      <formula>1</formula>
    </cfRule>
    <cfRule type="cellIs" dxfId="10096" priority="60" operator="lessThan">
      <formula>0.8</formula>
    </cfRule>
  </conditionalFormatting>
  <conditionalFormatting sqref="P161">
    <cfRule type="cellIs" dxfId="10095" priority="58" operator="greaterThan">
      <formula>0</formula>
    </cfRule>
  </conditionalFormatting>
  <conditionalFormatting sqref="Q162:Q166">
    <cfRule type="cellIs" dxfId="10094" priority="57" operator="lessThan">
      <formula>0</formula>
    </cfRule>
  </conditionalFormatting>
  <conditionalFormatting sqref="R162:R166">
    <cfRule type="cellIs" dxfId="10093" priority="55" operator="lessThan">
      <formula>0.8</formula>
    </cfRule>
    <cfRule type="cellIs" dxfId="10092" priority="56" operator="greaterThan">
      <formula>1</formula>
    </cfRule>
  </conditionalFormatting>
  <conditionalFormatting sqref="R162:R166">
    <cfRule type="cellIs" dxfId="10091" priority="53" operator="greaterThan">
      <formula>1</formula>
    </cfRule>
    <cfRule type="cellIs" dxfId="10090" priority="54" operator="lessThan">
      <formula>0.8</formula>
    </cfRule>
  </conditionalFormatting>
  <conditionalFormatting sqref="P162:P166">
    <cfRule type="cellIs" dxfId="10089" priority="52" operator="greaterThan">
      <formula>0</formula>
    </cfRule>
  </conditionalFormatting>
  <conditionalFormatting sqref="Q162:Q166">
    <cfRule type="cellIs" dxfId="10088" priority="51" operator="lessThan">
      <formula>0</formula>
    </cfRule>
  </conditionalFormatting>
  <conditionalFormatting sqref="R162:R166">
    <cfRule type="cellIs" dxfId="10087" priority="49" operator="lessThan">
      <formula>0.8</formula>
    </cfRule>
    <cfRule type="cellIs" dxfId="10086" priority="50" operator="greaterThan">
      <formula>1</formula>
    </cfRule>
  </conditionalFormatting>
  <conditionalFormatting sqref="R162:R166">
    <cfRule type="cellIs" dxfId="10085" priority="47" operator="greaterThan">
      <formula>1</formula>
    </cfRule>
    <cfRule type="cellIs" dxfId="10084" priority="48" operator="lessThan">
      <formula>0.8</formula>
    </cfRule>
  </conditionalFormatting>
  <conditionalFormatting sqref="P162:P166">
    <cfRule type="cellIs" dxfId="10083" priority="46" operator="greaterThan">
      <formula>0</formula>
    </cfRule>
  </conditionalFormatting>
  <conditionalFormatting sqref="Q167:Q168">
    <cfRule type="cellIs" dxfId="10082" priority="45" operator="lessThan">
      <formula>0</formula>
    </cfRule>
  </conditionalFormatting>
  <conditionalFormatting sqref="R167:R168">
    <cfRule type="cellIs" dxfId="10081" priority="43" operator="lessThan">
      <formula>0.8</formula>
    </cfRule>
    <cfRule type="cellIs" dxfId="10080" priority="44" operator="greaterThan">
      <formula>1</formula>
    </cfRule>
  </conditionalFormatting>
  <conditionalFormatting sqref="R167:R168">
    <cfRule type="cellIs" dxfId="10079" priority="41" operator="greaterThan">
      <formula>1</formula>
    </cfRule>
    <cfRule type="cellIs" dxfId="10078" priority="42" operator="lessThan">
      <formula>0.8</formula>
    </cfRule>
  </conditionalFormatting>
  <conditionalFormatting sqref="P167:P168">
    <cfRule type="cellIs" dxfId="10077" priority="40" operator="greaterThan">
      <formula>0</formula>
    </cfRule>
  </conditionalFormatting>
  <conditionalFormatting sqref="Q161">
    <cfRule type="cellIs" dxfId="10076" priority="39" operator="lessThan">
      <formula>0</formula>
    </cfRule>
  </conditionalFormatting>
  <conditionalFormatting sqref="R161">
    <cfRule type="cellIs" dxfId="10075" priority="37" operator="lessThan">
      <formula>0.8</formula>
    </cfRule>
    <cfRule type="cellIs" dxfId="10074" priority="38" operator="greaterThan">
      <formula>1</formula>
    </cfRule>
  </conditionalFormatting>
  <conditionalFormatting sqref="R161">
    <cfRule type="cellIs" dxfId="10073" priority="35" operator="greaterThan">
      <formula>1</formula>
    </cfRule>
    <cfRule type="cellIs" dxfId="10072" priority="36" operator="lessThan">
      <formula>0.8</formula>
    </cfRule>
  </conditionalFormatting>
  <conditionalFormatting sqref="P161">
    <cfRule type="cellIs" dxfId="10071" priority="34" operator="greaterThan">
      <formula>0</formula>
    </cfRule>
  </conditionalFormatting>
  <conditionalFormatting sqref="Q162:Q166">
    <cfRule type="cellIs" dxfId="10070" priority="33" operator="lessThan">
      <formula>0</formula>
    </cfRule>
  </conditionalFormatting>
  <conditionalFormatting sqref="R162:R166">
    <cfRule type="cellIs" dxfId="10069" priority="31" operator="lessThan">
      <formula>0.8</formula>
    </cfRule>
    <cfRule type="cellIs" dxfId="10068" priority="32" operator="greaterThan">
      <formula>1</formula>
    </cfRule>
  </conditionalFormatting>
  <conditionalFormatting sqref="R162:R166">
    <cfRule type="cellIs" dxfId="10067" priority="29" operator="greaterThan">
      <formula>1</formula>
    </cfRule>
    <cfRule type="cellIs" dxfId="10066" priority="30" operator="lessThan">
      <formula>0.8</formula>
    </cfRule>
  </conditionalFormatting>
  <conditionalFormatting sqref="P162:P166">
    <cfRule type="cellIs" dxfId="10065" priority="28" operator="greaterThan">
      <formula>0</formula>
    </cfRule>
  </conditionalFormatting>
  <conditionalFormatting sqref="Q161">
    <cfRule type="cellIs" dxfId="10064" priority="27" operator="lessThan">
      <formula>0</formula>
    </cfRule>
  </conditionalFormatting>
  <conditionalFormatting sqref="R161">
    <cfRule type="cellIs" dxfId="10063" priority="25" operator="lessThan">
      <formula>0.8</formula>
    </cfRule>
    <cfRule type="cellIs" dxfId="10062" priority="26" operator="greaterThan">
      <formula>1</formula>
    </cfRule>
  </conditionalFormatting>
  <conditionalFormatting sqref="R161">
    <cfRule type="cellIs" dxfId="10061" priority="23" operator="greaterThan">
      <formula>1</formula>
    </cfRule>
    <cfRule type="cellIs" dxfId="10060" priority="24" operator="lessThan">
      <formula>0.8</formula>
    </cfRule>
  </conditionalFormatting>
  <conditionalFormatting sqref="P161">
    <cfRule type="cellIs" dxfId="10059" priority="22" operator="greaterThan">
      <formula>0</formula>
    </cfRule>
  </conditionalFormatting>
  <conditionalFormatting sqref="Q162:Q166">
    <cfRule type="cellIs" dxfId="10058" priority="21" operator="lessThan">
      <formula>0</formula>
    </cfRule>
  </conditionalFormatting>
  <conditionalFormatting sqref="R162:R166">
    <cfRule type="cellIs" dxfId="10057" priority="19" operator="lessThan">
      <formula>0.8</formula>
    </cfRule>
    <cfRule type="cellIs" dxfId="10056" priority="20" operator="greaterThan">
      <formula>1</formula>
    </cfRule>
  </conditionalFormatting>
  <conditionalFormatting sqref="R162:R166">
    <cfRule type="cellIs" dxfId="10055" priority="17" operator="greaterThan">
      <formula>1</formula>
    </cfRule>
    <cfRule type="cellIs" dxfId="10054" priority="18" operator="lessThan">
      <formula>0.8</formula>
    </cfRule>
  </conditionalFormatting>
  <conditionalFormatting sqref="P162:P166">
    <cfRule type="cellIs" dxfId="10053" priority="16" operator="greaterThan">
      <formula>0</formula>
    </cfRule>
  </conditionalFormatting>
  <conditionalFormatting sqref="Q161">
    <cfRule type="cellIs" dxfId="10052" priority="15" operator="lessThan">
      <formula>0</formula>
    </cfRule>
  </conditionalFormatting>
  <conditionalFormatting sqref="R161">
    <cfRule type="cellIs" dxfId="10051" priority="13" operator="lessThan">
      <formula>0.8</formula>
    </cfRule>
    <cfRule type="cellIs" dxfId="10050" priority="14" operator="greaterThan">
      <formula>1</formula>
    </cfRule>
  </conditionalFormatting>
  <conditionalFormatting sqref="R161">
    <cfRule type="cellIs" dxfId="10049" priority="11" operator="greaterThan">
      <formula>1</formula>
    </cfRule>
    <cfRule type="cellIs" dxfId="10048" priority="12" operator="lessThan">
      <formula>0.8</formula>
    </cfRule>
  </conditionalFormatting>
  <conditionalFormatting sqref="P161">
    <cfRule type="cellIs" dxfId="10047" priority="10" operator="greaterThan">
      <formula>0</formula>
    </cfRule>
  </conditionalFormatting>
  <conditionalFormatting sqref="P167:P168">
    <cfRule type="cellIs" dxfId="10046" priority="4" operator="greaterThan">
      <formula>0</formula>
    </cfRule>
  </conditionalFormatting>
  <conditionalFormatting sqref="R167:R168">
    <cfRule type="cellIs" dxfId="10045" priority="7" operator="lessThan">
      <formula>0.8</formula>
    </cfRule>
    <cfRule type="cellIs" dxfId="10044" priority="8" operator="greaterThan">
      <formula>1</formula>
    </cfRule>
  </conditionalFormatting>
  <conditionalFormatting sqref="R167:R168">
    <cfRule type="cellIs" dxfId="10043" priority="5" operator="greaterThan">
      <formula>1</formula>
    </cfRule>
    <cfRule type="cellIs" dxfId="10042" priority="6" operator="lessThan">
      <formula>0.8</formula>
    </cfRule>
  </conditionalFormatting>
  <conditionalFormatting sqref="Q167:Q168">
    <cfRule type="cellIs" dxfId="10041" priority="9" operator="lessThan">
      <formula>0</formula>
    </cfRule>
  </conditionalFormatting>
  <conditionalFormatting sqref="AF30">
    <cfRule type="cellIs" dxfId="10040" priority="3" operator="lessThan">
      <formula>0</formula>
    </cfRule>
  </conditionalFormatting>
  <conditionalFormatting sqref="AG30">
    <cfRule type="cellIs" dxfId="10039" priority="1" operator="greaterThan">
      <formula>1</formula>
    </cfRule>
    <cfRule type="cellIs" dxfId="1003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Q33" sqref="Q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265</v>
      </c>
      <c r="E3" s="501"/>
      <c r="F3" s="491" t="s">
        <v>2</v>
      </c>
      <c r="G3" s="492"/>
      <c r="H3" s="502">
        <v>210540</v>
      </c>
      <c r="I3" s="503"/>
      <c r="J3" s="491" t="s">
        <v>3</v>
      </c>
      <c r="K3" s="492"/>
      <c r="L3" s="504">
        <v>6800456.9675522745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261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378.64701847814615</v>
      </c>
      <c r="G6" s="494"/>
      <c r="H6" s="469">
        <f>AVERAGE(D13:P13,Q13)</f>
        <v>138.23102903708684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f>[1]晉欣4度C0307!$Z$2</f>
        <v>0</v>
      </c>
      <c r="O6" s="458">
        <f>[1]晉欣4度C0307!$AA$2</f>
        <v>0</v>
      </c>
      <c r="P6" s="474">
        <f>[1]晉欣4度C0307!$AD$2</f>
        <v>3</v>
      </c>
      <c r="Q6" s="458">
        <f>[1]晉欣4度C0307!$AE$2</f>
        <v>2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354.59411988855641</v>
      </c>
      <c r="G7" s="462"/>
      <c r="H7" s="463">
        <f>AVERAGE(D14:P14,Q14)</f>
        <v>123.56656140364355</v>
      </c>
      <c r="I7" s="464"/>
      <c r="J7" s="463">
        <f>AVERAGE(D31:H31)</f>
        <v>761.68394749694778</v>
      </c>
      <c r="K7" s="464"/>
      <c r="L7" s="465">
        <f>AVERAGE(J31:M31)</f>
        <v>782.12628788090092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0.90114319146294131</v>
      </c>
      <c r="G8" s="468"/>
      <c r="H8" s="467">
        <f>AVERAGE(D15:O15,P15:Q15)</f>
        <v>0.88568934477901284</v>
      </c>
      <c r="I8" s="468"/>
      <c r="J8" s="467">
        <f>AVERAGE(D32:H32)</f>
        <v>0.98596751261084647</v>
      </c>
      <c r="K8" s="468"/>
      <c r="L8" s="467">
        <f>AVERAGE(J32:M32)</f>
        <v>0.88770345118079885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88.087850344816275</v>
      </c>
      <c r="J13" s="15">
        <v>78.728795026782649</v>
      </c>
      <c r="K13" s="15">
        <v>114.46527777777779</v>
      </c>
      <c r="L13" s="15">
        <v>86.759085213032577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123.32298674763307</v>
      </c>
      <c r="E14" s="15">
        <v>88.981570924874362</v>
      </c>
      <c r="F14" s="15">
        <v>119.17827237772228</v>
      </c>
      <c r="G14" s="15">
        <v>325.3745701929949</v>
      </c>
      <c r="H14" s="15">
        <v>210.09379234998946</v>
      </c>
      <c r="I14" s="15">
        <v>77.988363991197915</v>
      </c>
      <c r="J14" s="15">
        <v>65.339700137060518</v>
      </c>
      <c r="K14" s="15">
        <v>98.329711115784036</v>
      </c>
      <c r="L14" s="15">
        <v>70.706662455511733</v>
      </c>
      <c r="M14" s="15">
        <v>73.53870893979213</v>
      </c>
      <c r="N14" s="15">
        <v>75.693174098695394</v>
      </c>
      <c r="O14" s="15">
        <v>69.762562643473046</v>
      </c>
      <c r="P14" s="15">
        <v>190.39943602393305</v>
      </c>
      <c r="Q14" s="16">
        <v>141.22234765234768</v>
      </c>
    </row>
    <row r="15" spans="2:17" ht="39.9" customHeight="1">
      <c r="B15" s="446"/>
      <c r="C15" s="10" t="s">
        <v>44</v>
      </c>
      <c r="D15" s="17">
        <f t="shared" ref="D15:P15" si="0">D14/D13</f>
        <v>0.94476617355073567</v>
      </c>
      <c r="E15" s="17">
        <f t="shared" si="0"/>
        <v>0.88790931571793741</v>
      </c>
      <c r="F15" s="17">
        <f t="shared" si="0"/>
        <v>0.86714725100160794</v>
      </c>
      <c r="G15" s="17">
        <f t="shared" si="0"/>
        <v>0.88297033973675687</v>
      </c>
      <c r="H15" s="17">
        <f t="shared" si="0"/>
        <v>0.91916034153120385</v>
      </c>
      <c r="I15" s="17">
        <f t="shared" si="0"/>
        <v>0.88534756706987017</v>
      </c>
      <c r="J15" s="17">
        <f t="shared" si="0"/>
        <v>0.82993395383268209</v>
      </c>
      <c r="K15" s="17">
        <f t="shared" si="0"/>
        <v>0.85903527274603531</v>
      </c>
      <c r="L15" s="17">
        <f t="shared" si="0"/>
        <v>0.81497703994797865</v>
      </c>
      <c r="M15" s="17">
        <f t="shared" si="0"/>
        <v>0.9040580053750773</v>
      </c>
      <c r="N15" s="17">
        <f t="shared" si="0"/>
        <v>0.90373585660578282</v>
      </c>
      <c r="O15" s="17">
        <f t="shared" si="0"/>
        <v>0.81101680239196705</v>
      </c>
      <c r="P15" s="17">
        <f t="shared" si="0"/>
        <v>0.94811058971622708</v>
      </c>
      <c r="Q15" s="18">
        <f>Q14/Q13</f>
        <v>0.94148231768231783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0.75694444444444453</v>
      </c>
      <c r="E17" s="19">
        <v>0.47083333333333321</v>
      </c>
      <c r="F17" s="19">
        <v>0.54791666666666661</v>
      </c>
      <c r="G17" s="19">
        <v>0.63958333333333328</v>
      </c>
      <c r="H17" s="19">
        <v>0.62291666666666656</v>
      </c>
      <c r="I17" s="19">
        <v>0.69722222222222208</v>
      </c>
      <c r="J17" s="19">
        <v>0.78888888888888886</v>
      </c>
      <c r="K17" s="19">
        <v>0.76597222222222228</v>
      </c>
      <c r="L17" s="19">
        <v>0.85763888888888895</v>
      </c>
      <c r="M17" s="19">
        <v>0.92222222222222205</v>
      </c>
      <c r="N17" s="19">
        <v>0.97222222222222221</v>
      </c>
      <c r="O17" s="19">
        <v>0.83888888888888868</v>
      </c>
      <c r="P17" s="19">
        <v>0.58055555555555549</v>
      </c>
      <c r="Q17" s="20">
        <v>0.57986111111111105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 t="s">
        <v>49</v>
      </c>
      <c r="E20" s="21" t="s">
        <v>49</v>
      </c>
      <c r="F20" s="21">
        <v>2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451"/>
      <c r="C21" s="45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>
        <v>1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8" customHeight="1">
      <c r="B22" s="428" t="s">
        <v>51</v>
      </c>
      <c r="C22" s="429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17</v>
      </c>
      <c r="J22" s="23">
        <v>19</v>
      </c>
      <c r="K22" s="23">
        <v>15.285714285714286</v>
      </c>
      <c r="L22" s="23">
        <v>17.5</v>
      </c>
      <c r="M22" s="23">
        <v>18.625</v>
      </c>
      <c r="N22" s="23">
        <v>17.833333333333332</v>
      </c>
      <c r="O22" s="23">
        <v>17.600000000000001</v>
      </c>
      <c r="P22" s="23">
        <v>11.8</v>
      </c>
      <c r="Q22" s="24">
        <v>11.2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261.81333333333373</v>
      </c>
      <c r="E31" s="15">
        <v>701.1214285714284</v>
      </c>
      <c r="F31" s="15">
        <v>991.75000000000114</v>
      </c>
      <c r="G31" s="15">
        <v>865.78611111111081</v>
      </c>
      <c r="H31" s="41">
        <v>987.94886446886505</v>
      </c>
      <c r="I31" s="42">
        <v>0</v>
      </c>
      <c r="J31" s="15">
        <v>739.4999999999992</v>
      </c>
      <c r="K31" s="15">
        <v>630.22424242424381</v>
      </c>
      <c r="L31" s="15">
        <v>863.90136364481475</v>
      </c>
      <c r="M31" s="16">
        <v>894.87954545454556</v>
      </c>
    </row>
    <row r="32" spans="2:17" ht="39.9" customHeight="1">
      <c r="B32" s="446"/>
      <c r="C32" s="43" t="s">
        <v>44</v>
      </c>
      <c r="D32" s="17">
        <f t="shared" ref="D32:M32" si="1">D31/D30</f>
        <v>0.81816666666666793</v>
      </c>
      <c r="E32" s="17">
        <f t="shared" si="1"/>
        <v>0.84984415584415562</v>
      </c>
      <c r="F32" s="17">
        <f t="shared" si="1"/>
        <v>1.2021212121212135</v>
      </c>
      <c r="G32" s="17">
        <f t="shared" si="1"/>
        <v>0.96198456790123421</v>
      </c>
      <c r="H32" s="44">
        <f t="shared" si="1"/>
        <v>1.0977209605209612</v>
      </c>
      <c r="I32" s="45">
        <f t="shared" si="1"/>
        <v>0</v>
      </c>
      <c r="J32" s="17">
        <f t="shared" si="1"/>
        <v>0.89636363636363536</v>
      </c>
      <c r="K32" s="17">
        <f t="shared" si="1"/>
        <v>0.70024915824915979</v>
      </c>
      <c r="L32" s="17">
        <f t="shared" si="1"/>
        <v>0.9598904040497942</v>
      </c>
      <c r="M32" s="18">
        <f t="shared" si="1"/>
        <v>0.99431060606060617</v>
      </c>
    </row>
    <row r="33" spans="2:13" ht="25.8" customHeight="1">
      <c r="B33" s="44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3087.9999999999945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0.22222222222222221</v>
      </c>
      <c r="E34" s="19">
        <v>0.3263888888888889</v>
      </c>
      <c r="F34" s="19">
        <v>0.23263888888888887</v>
      </c>
      <c r="G34" s="19">
        <v>1044.4444444444446</v>
      </c>
      <c r="H34" s="46">
        <v>0.39999999999999997</v>
      </c>
      <c r="I34" s="47">
        <v>0</v>
      </c>
      <c r="J34" s="19">
        <v>0.83333333333333337</v>
      </c>
      <c r="K34" s="19">
        <v>0.83680555555555547</v>
      </c>
      <c r="L34" s="19">
        <v>46089.104166666664</v>
      </c>
      <c r="M34" s="20">
        <v>0.92013888888888884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39" priority="6" operator="lessThan">
      <formula>0.8</formula>
    </cfRule>
  </conditionalFormatting>
  <conditionalFormatting sqref="M32">
    <cfRule type="cellIs" dxfId="23438" priority="5" operator="lessThan">
      <formula>0.8</formula>
    </cfRule>
  </conditionalFormatting>
  <conditionalFormatting sqref="K32">
    <cfRule type="cellIs" dxfId="23437" priority="4" operator="lessThan">
      <formula>0.8</formula>
    </cfRule>
  </conditionalFormatting>
  <conditionalFormatting sqref="E32">
    <cfRule type="cellIs" dxfId="23436" priority="3" operator="lessThan">
      <formula>0.8</formula>
    </cfRule>
  </conditionalFormatting>
  <conditionalFormatting sqref="D15:P15">
    <cfRule type="cellIs" dxfId="23435" priority="2" operator="lessThan">
      <formula>0.8</formula>
    </cfRule>
  </conditionalFormatting>
  <conditionalFormatting sqref="Q15">
    <cfRule type="cellIs" dxfId="2343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75601</v>
      </c>
      <c r="F1" s="340" t="s">
        <v>3</v>
      </c>
      <c r="G1" s="341">
        <f>SUM(H5:H124)</f>
        <v>1435924.5400490619</v>
      </c>
      <c r="H1" s="342" t="s">
        <v>390</v>
      </c>
      <c r="I1" s="343">
        <f>+J16+J64+J24+J38+J51+J81+J100+J91+J57+J124+J111</f>
        <v>41.68333333333333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405</v>
      </c>
      <c r="B2" s="561"/>
      <c r="C2" s="345"/>
      <c r="D2" s="346" t="s">
        <v>278</v>
      </c>
      <c r="E2" s="347">
        <f>AVERAGE(L16,L24,L38,L51,L100,L111,L91)</f>
        <v>618.50467366088128</v>
      </c>
      <c r="F2" s="348" t="s">
        <v>80</v>
      </c>
      <c r="G2" s="349">
        <f>G1/E1</f>
        <v>18.993459610971573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1702</v>
      </c>
      <c r="H5" s="358">
        <f>F5*G5</f>
        <v>51001.26984126983</v>
      </c>
      <c r="I5" s="359"/>
      <c r="J5" s="360">
        <v>13</v>
      </c>
      <c r="K5" s="361">
        <f t="shared" ref="K5:K12" si="0">G5/P5*60</f>
        <v>1276.5000000000007</v>
      </c>
      <c r="L5" s="362">
        <f t="shared" ref="L5:L12" si="1">K5/J5</f>
        <v>98.19230769230775</v>
      </c>
      <c r="M5" s="363">
        <v>0.17361111111111113</v>
      </c>
      <c r="N5" s="363">
        <v>0.22916666666666666</v>
      </c>
      <c r="O5" s="354">
        <v>10</v>
      </c>
      <c r="P5" s="364">
        <f t="shared" ref="P5:P14" si="2">(N5-M5)*24*60</f>
        <v>79.999999999999957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1037</v>
      </c>
      <c r="H6" s="358">
        <f t="shared" ref="H6:H113" si="3">F6*G6</f>
        <v>0</v>
      </c>
      <c r="I6" s="359"/>
      <c r="J6" s="360">
        <v>9</v>
      </c>
      <c r="K6" s="361">
        <f t="shared" si="0"/>
        <v>1555.4999999999977</v>
      </c>
      <c r="L6" s="362">
        <f t="shared" si="1"/>
        <v>172.83333333333309</v>
      </c>
      <c r="M6" s="363">
        <v>0.23263888888888887</v>
      </c>
      <c r="N6" s="363">
        <v>0.26041666666666669</v>
      </c>
      <c r="O6" s="354">
        <v>5</v>
      </c>
      <c r="P6" s="364">
        <f t="shared" si="2"/>
        <v>40.000000000000057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1114</v>
      </c>
      <c r="H7" s="358">
        <f t="shared" si="3"/>
        <v>0</v>
      </c>
      <c r="I7" s="359"/>
      <c r="J7" s="360">
        <v>9</v>
      </c>
      <c r="K7" s="361">
        <f t="shared" si="0"/>
        <v>1670.9999999999995</v>
      </c>
      <c r="L7" s="362">
        <f t="shared" si="1"/>
        <v>185.66666666666663</v>
      </c>
      <c r="M7" s="363">
        <v>0.2638888888888889</v>
      </c>
      <c r="N7" s="363">
        <v>0.29166666666666669</v>
      </c>
      <c r="O7" s="354">
        <v>5</v>
      </c>
      <c r="P7" s="364">
        <f t="shared" si="2"/>
        <v>40.000000000000014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1527</v>
      </c>
      <c r="H8" s="358">
        <f t="shared" si="3"/>
        <v>55659.15</v>
      </c>
      <c r="I8" s="359"/>
      <c r="J8" s="360">
        <v>10</v>
      </c>
      <c r="K8" s="361">
        <f t="shared" si="0"/>
        <v>1526.9999999999993</v>
      </c>
      <c r="L8" s="362">
        <f t="shared" si="1"/>
        <v>152.69999999999993</v>
      </c>
      <c r="M8" s="363">
        <v>0.2951388888888889</v>
      </c>
      <c r="N8" s="363">
        <v>0.33680555555555558</v>
      </c>
      <c r="O8" s="354">
        <v>5</v>
      </c>
      <c r="P8" s="364">
        <f t="shared" si="2"/>
        <v>60.000000000000028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494</v>
      </c>
      <c r="H9" s="358">
        <f t="shared" si="3"/>
        <v>13362.7</v>
      </c>
      <c r="I9" s="359"/>
      <c r="J9" s="360">
        <v>13</v>
      </c>
      <c r="K9" s="361">
        <f t="shared" si="0"/>
        <v>1481.9999999999934</v>
      </c>
      <c r="L9" s="362">
        <f t="shared" si="1"/>
        <v>113.99999999999949</v>
      </c>
      <c r="M9" s="363">
        <v>0.34027777777777773</v>
      </c>
      <c r="N9" s="363">
        <v>0.35416666666666669</v>
      </c>
      <c r="O9" s="354">
        <v>5</v>
      </c>
      <c r="P9" s="364">
        <f t="shared" si="2"/>
        <v>20.000000000000089</v>
      </c>
      <c r="Q9" s="365">
        <v>0.35416666666666669</v>
      </c>
      <c r="R9" s="365">
        <v>0.39583333333333331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1968</v>
      </c>
      <c r="H10" s="358">
        <f t="shared" si="3"/>
        <v>35168.160000000003</v>
      </c>
      <c r="I10" s="359"/>
      <c r="J10" s="360">
        <v>12</v>
      </c>
      <c r="K10" s="361">
        <f t="shared" si="0"/>
        <v>1180.8000000000004</v>
      </c>
      <c r="L10" s="362">
        <f t="shared" si="1"/>
        <v>98.400000000000034</v>
      </c>
      <c r="M10" s="363">
        <v>0.39583333333333331</v>
      </c>
      <c r="N10" s="363">
        <v>0.46527777777777773</v>
      </c>
      <c r="O10" s="354">
        <v>5</v>
      </c>
      <c r="P10" s="364">
        <f t="shared" si="2"/>
        <v>99.999999999999972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540</v>
      </c>
      <c r="H11" s="358">
        <f t="shared" si="3"/>
        <v>13845.6</v>
      </c>
      <c r="I11" s="359"/>
      <c r="J11" s="360">
        <v>12</v>
      </c>
      <c r="K11" s="361">
        <f t="shared" si="0"/>
        <v>1619.9999999999993</v>
      </c>
      <c r="L11" s="362">
        <f t="shared" si="1"/>
        <v>134.99999999999994</v>
      </c>
      <c r="M11" s="363">
        <v>0.46875</v>
      </c>
      <c r="N11" s="363">
        <v>0.4826388888888889</v>
      </c>
      <c r="O11" s="354">
        <v>5</v>
      </c>
      <c r="P11" s="364">
        <f t="shared" si="2"/>
        <v>20.000000000000007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1037</v>
      </c>
      <c r="H12" s="358">
        <f t="shared" si="3"/>
        <v>30612.239999999998</v>
      </c>
      <c r="I12" s="359"/>
      <c r="J12" s="360">
        <v>12</v>
      </c>
      <c r="K12" s="361">
        <f t="shared" si="0"/>
        <v>1777.7142857142878</v>
      </c>
      <c r="L12" s="362">
        <f t="shared" si="1"/>
        <v>148.14285714285731</v>
      </c>
      <c r="M12" s="363">
        <v>0.4861111111111111</v>
      </c>
      <c r="N12" s="363">
        <v>0.51041666666666663</v>
      </c>
      <c r="O12" s="354">
        <v>5</v>
      </c>
      <c r="P12" s="364">
        <f t="shared" si="2"/>
        <v>34.999999999999957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1114</v>
      </c>
      <c r="H13" s="358">
        <f t="shared" si="3"/>
        <v>33260.697999999997</v>
      </c>
      <c r="I13" s="359"/>
      <c r="J13" s="360">
        <v>12</v>
      </c>
      <c r="K13" s="361">
        <f>G13/P13*60</f>
        <v>1909.7142857142928</v>
      </c>
      <c r="L13" s="362">
        <f>K13/J13</f>
        <v>159.14285714285774</v>
      </c>
      <c r="M13" s="363">
        <v>0.51388888888888895</v>
      </c>
      <c r="N13" s="363">
        <v>0.53819444444444442</v>
      </c>
      <c r="O13" s="354">
        <v>5</v>
      </c>
      <c r="P13" s="364">
        <f t="shared" si="2"/>
        <v>34.999999999999872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1358</v>
      </c>
      <c r="H14" s="358">
        <f t="shared" si="3"/>
        <v>38798.06</v>
      </c>
      <c r="I14" s="359"/>
      <c r="J14" s="360">
        <v>10</v>
      </c>
      <c r="K14" s="361">
        <f>G14/P14*60</f>
        <v>1481.4545454545464</v>
      </c>
      <c r="L14" s="362">
        <f>K14/J14</f>
        <v>148.14545454545464</v>
      </c>
      <c r="M14" s="363">
        <v>0.54166666666666663</v>
      </c>
      <c r="N14" s="363">
        <v>0.57986111111111105</v>
      </c>
      <c r="O14" s="354">
        <v>5</v>
      </c>
      <c r="P14" s="364">
        <f t="shared" si="2"/>
        <v>54.999999999999964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11.2</v>
      </c>
      <c r="K16" s="375">
        <f>AVERAGE(K5:K15)</f>
        <v>1548.1683116883119</v>
      </c>
      <c r="L16" s="376">
        <f>AVERAGE(L5:L15)</f>
        <v>141.22234765234768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370</v>
      </c>
      <c r="H17" s="377">
        <f t="shared" ref="H17:H23" si="4">F17*G17</f>
        <v>5191.0999999999995</v>
      </c>
      <c r="I17" s="378"/>
      <c r="J17" s="360">
        <v>6</v>
      </c>
      <c r="K17" s="361">
        <f>G17/P17*60</f>
        <v>1480.0000000000014</v>
      </c>
      <c r="L17" s="362">
        <f>K17/J17</f>
        <v>246.66666666666688</v>
      </c>
      <c r="M17" s="363">
        <v>0.18055555555555555</v>
      </c>
      <c r="N17" s="363">
        <v>0.19097222222222221</v>
      </c>
      <c r="O17" s="354">
        <v>20</v>
      </c>
      <c r="P17" s="364">
        <f>(N17-M17)*24*60</f>
        <v>14.999999999999986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577</v>
      </c>
      <c r="H18" s="358">
        <f t="shared" si="4"/>
        <v>8360.73</v>
      </c>
      <c r="I18" s="359"/>
      <c r="J18" s="360">
        <v>5</v>
      </c>
      <c r="K18" s="361">
        <f>G18/P18*60</f>
        <v>1384.8000000000027</v>
      </c>
      <c r="L18" s="362">
        <f>K18/J18</f>
        <v>276.96000000000055</v>
      </c>
      <c r="M18" s="363">
        <v>0.20486111111111113</v>
      </c>
      <c r="N18" s="363">
        <v>0.22222222222222221</v>
      </c>
      <c r="O18" s="354">
        <v>20</v>
      </c>
      <c r="P18" s="364">
        <f t="shared" ref="P18" si="5">(N18-M18)*24*60</f>
        <v>24.99999999999995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1432.4000000000019</v>
      </c>
      <c r="L24" s="376">
        <f>AVERAGE(L17:L23)</f>
        <v>261.81333333333373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488</v>
      </c>
      <c r="H25" s="358">
        <f t="shared" ref="H25:H37" si="6">F25*G25</f>
        <v>10873.527272727273</v>
      </c>
      <c r="I25" s="359"/>
      <c r="J25" s="360">
        <v>4</v>
      </c>
      <c r="K25" s="361">
        <f t="shared" ref="K25:K28" si="7">G25/P25*60</f>
        <v>2927.9999999999991</v>
      </c>
      <c r="L25" s="362">
        <f t="shared" ref="L25:L28" si="8">K25/J25</f>
        <v>731.99999999999977</v>
      </c>
      <c r="M25" s="363">
        <v>0.18055555555555555</v>
      </c>
      <c r="N25" s="363">
        <v>0.1875</v>
      </c>
      <c r="O25" s="354">
        <v>20</v>
      </c>
      <c r="P25" s="364">
        <f t="shared" ref="P25:P28" si="9">(N25-M25)*24*60</f>
        <v>10.000000000000004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2459</v>
      </c>
      <c r="H26" s="358">
        <f t="shared" si="6"/>
        <v>44704.62</v>
      </c>
      <c r="I26" s="359"/>
      <c r="J26" s="360">
        <v>4</v>
      </c>
      <c r="K26" s="361">
        <f t="shared" si="7"/>
        <v>2950.7999999999961</v>
      </c>
      <c r="L26" s="362">
        <f t="shared" si="8"/>
        <v>737.69999999999902</v>
      </c>
      <c r="M26" s="363">
        <v>0.20138888888888887</v>
      </c>
      <c r="N26" s="363">
        <v>0.23611111111111113</v>
      </c>
      <c r="O26" s="354">
        <v>20</v>
      </c>
      <c r="P26" s="364">
        <f t="shared" si="9"/>
        <v>50.000000000000064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820</v>
      </c>
      <c r="H27" s="358">
        <f t="shared" si="6"/>
        <v>22361.4</v>
      </c>
      <c r="I27" s="359"/>
      <c r="J27" s="360">
        <v>4</v>
      </c>
      <c r="K27" s="361">
        <f t="shared" si="7"/>
        <v>2459.9999999999991</v>
      </c>
      <c r="L27" s="362">
        <f t="shared" si="8"/>
        <v>614.99999999999977</v>
      </c>
      <c r="M27" s="363">
        <v>0.25</v>
      </c>
      <c r="N27" s="363">
        <v>0.2638888888888889</v>
      </c>
      <c r="O27" s="354">
        <v>20</v>
      </c>
      <c r="P27" s="364">
        <f t="shared" si="9"/>
        <v>20.000000000000007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3359</v>
      </c>
      <c r="H28" s="358">
        <f t="shared" si="6"/>
        <v>50485.77</v>
      </c>
      <c r="I28" s="359"/>
      <c r="J28" s="360">
        <v>4</v>
      </c>
      <c r="K28" s="361">
        <f t="shared" si="7"/>
        <v>2879.1428571428578</v>
      </c>
      <c r="L28" s="362">
        <f t="shared" si="8"/>
        <v>719.78571428571445</v>
      </c>
      <c r="M28" s="363">
        <v>0.27777777777777779</v>
      </c>
      <c r="N28" s="363">
        <v>0.3263888888888889</v>
      </c>
      <c r="O28" s="354">
        <v>20</v>
      </c>
      <c r="P28" s="364">
        <f t="shared" si="9"/>
        <v>69.999999999999986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2804.4857142857136</v>
      </c>
      <c r="L38" s="376">
        <f>AVERAGE(L25:L37)</f>
        <v>701.1214285714284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747</v>
      </c>
      <c r="H39" s="358">
        <f t="shared" ref="H39:H47" si="10">F39*G39</f>
        <v>16023.15</v>
      </c>
      <c r="I39" s="359"/>
      <c r="J39" s="360">
        <v>3</v>
      </c>
      <c r="K39" s="361">
        <f>G39/P39*60</f>
        <v>2988.0000000000027</v>
      </c>
      <c r="L39" s="362">
        <f>K39/J39</f>
        <v>996.00000000000091</v>
      </c>
      <c r="M39" s="363">
        <v>0.18055555555555555</v>
      </c>
      <c r="N39" s="363">
        <v>0.19097222222222221</v>
      </c>
      <c r="O39" s="354">
        <v>20</v>
      </c>
      <c r="P39" s="391">
        <f t="shared" ref="P39:P40" si="11">(N39-M39)*24*60</f>
        <v>14.999999999999986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1975</v>
      </c>
      <c r="H40" s="358">
        <f t="shared" si="10"/>
        <v>36596.75</v>
      </c>
      <c r="I40" s="359"/>
      <c r="J40" s="360">
        <v>3</v>
      </c>
      <c r="K40" s="361">
        <f>G40/P40*60</f>
        <v>2962.5000000000045</v>
      </c>
      <c r="L40" s="362">
        <f>K40/J40</f>
        <v>987.50000000000148</v>
      </c>
      <c r="M40" s="363">
        <v>0.20486111111111113</v>
      </c>
      <c r="N40" s="363">
        <v>0.23263888888888887</v>
      </c>
      <c r="O40" s="354">
        <v>20</v>
      </c>
      <c r="P40" s="391">
        <f t="shared" si="11"/>
        <v>39.999999999999936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2975.2500000000036</v>
      </c>
      <c r="L51" s="376">
        <f>AVERAGE(L39:L50)</f>
        <v>991.75000000000114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573</v>
      </c>
      <c r="H52" s="358">
        <f>F52*G52</f>
        <v>14342.19</v>
      </c>
      <c r="I52" s="359"/>
      <c r="J52" s="360">
        <v>4</v>
      </c>
      <c r="K52" s="361">
        <f>G52/P52*60</f>
        <v>3437.9999999999991</v>
      </c>
      <c r="L52" s="362">
        <f>K52/J52</f>
        <v>859.49999999999977</v>
      </c>
      <c r="M52" s="363">
        <v>0.18055555555555555</v>
      </c>
      <c r="N52" s="363">
        <v>0.1875</v>
      </c>
      <c r="O52" s="361">
        <v>20</v>
      </c>
      <c r="P52" s="364">
        <f>(N52-M52)*24*60</f>
        <v>10.000000000000004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772</v>
      </c>
      <c r="H53" s="358">
        <f t="shared" ref="H53:H62" si="12">F53*G53</f>
        <v>19161.04</v>
      </c>
      <c r="I53" s="359"/>
      <c r="J53" s="360">
        <v>4</v>
      </c>
      <c r="K53" s="361">
        <f t="shared" ref="K53:K55" si="13">G53/P53*60</f>
        <v>3087.9999999999945</v>
      </c>
      <c r="L53" s="362">
        <f t="shared" ref="L53:L55" si="14">K53/J53</f>
        <v>771.99999999999864</v>
      </c>
      <c r="M53" s="363">
        <v>0.20138888888888887</v>
      </c>
      <c r="N53" s="363">
        <v>0.21180555555555555</v>
      </c>
      <c r="O53" s="361">
        <v>20</v>
      </c>
      <c r="P53" s="364">
        <f t="shared" ref="P53:P55" si="15">(N53-M53)*24*60</f>
        <v>15.000000000000027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1312</v>
      </c>
      <c r="H54" s="358">
        <f t="shared" si="12"/>
        <v>39360</v>
      </c>
      <c r="I54" s="359"/>
      <c r="J54" s="360">
        <v>4</v>
      </c>
      <c r="K54" s="361">
        <f t="shared" si="13"/>
        <v>3148.8000000000011</v>
      </c>
      <c r="L54" s="362">
        <f t="shared" si="14"/>
        <v>787.20000000000027</v>
      </c>
      <c r="M54" s="363">
        <v>0.22569444444444445</v>
      </c>
      <c r="N54" s="363">
        <v>0.24305555555555555</v>
      </c>
      <c r="O54" s="361">
        <v>20</v>
      </c>
      <c r="P54" s="364">
        <f t="shared" si="15"/>
        <v>24.999999999999993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2350</v>
      </c>
      <c r="H55" s="358">
        <f t="shared" si="12"/>
        <v>32970.5</v>
      </c>
      <c r="I55" s="359"/>
      <c r="J55" s="360">
        <v>3</v>
      </c>
      <c r="K55" s="361">
        <f t="shared" si="13"/>
        <v>3133.3333333333335</v>
      </c>
      <c r="L55" s="362">
        <f t="shared" si="14"/>
        <v>1044.4444444444446</v>
      </c>
      <c r="M55" s="363">
        <v>0.25694444444444448</v>
      </c>
      <c r="N55" s="363">
        <v>0.28819444444444448</v>
      </c>
      <c r="O55" s="361">
        <v>20</v>
      </c>
      <c r="P55" s="364">
        <f t="shared" si="15"/>
        <v>45</v>
      </c>
      <c r="Q55" s="365"/>
      <c r="R55" s="365"/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3202.0333333333324</v>
      </c>
      <c r="L64" s="376">
        <f>AVERAGE(L52:L63)</f>
        <v>865.78611111111081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679</v>
      </c>
      <c r="H65" s="358">
        <f>F65*G65</f>
        <v>12344.22</v>
      </c>
      <c r="I65" s="359"/>
      <c r="J65" s="360">
        <v>3</v>
      </c>
      <c r="K65" s="361">
        <f t="shared" ref="K65:K69" si="16">G65/P65*60</f>
        <v>3133.8461538461556</v>
      </c>
      <c r="L65" s="362">
        <f t="shared" ref="L65:L69" si="17">K65/J65</f>
        <v>1044.6153846153852</v>
      </c>
      <c r="M65" s="363">
        <v>0.18055555555555555</v>
      </c>
      <c r="N65" s="363">
        <v>0.18958333333333333</v>
      </c>
      <c r="O65" s="361">
        <v>20</v>
      </c>
      <c r="P65" s="364">
        <f>(N65-M65)*24*60</f>
        <v>12.999999999999993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2293</v>
      </c>
      <c r="H66" s="358">
        <f t="shared" ref="H66:H74" si="18">F66*G66</f>
        <v>38201.379999999997</v>
      </c>
      <c r="I66" s="359"/>
      <c r="J66" s="360">
        <v>4</v>
      </c>
      <c r="K66" s="361">
        <f t="shared" si="16"/>
        <v>3057.3333333333335</v>
      </c>
      <c r="L66" s="362">
        <f t="shared" si="17"/>
        <v>764.33333333333337</v>
      </c>
      <c r="M66" s="363">
        <v>0.20347222222222219</v>
      </c>
      <c r="N66" s="363">
        <v>0.23472222222222219</v>
      </c>
      <c r="O66" s="361">
        <v>20</v>
      </c>
      <c r="P66" s="364">
        <f t="shared" ref="P66:P69" si="19">(N66-M66)*24*60</f>
        <v>45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1432</v>
      </c>
      <c r="H67" s="358">
        <f t="shared" si="18"/>
        <v>25619.781818181818</v>
      </c>
      <c r="I67" s="359"/>
      <c r="J67" s="360">
        <v>3</v>
      </c>
      <c r="K67" s="361">
        <f t="shared" si="16"/>
        <v>3068.5714285714307</v>
      </c>
      <c r="L67" s="362">
        <f t="shared" si="17"/>
        <v>1022.8571428571436</v>
      </c>
      <c r="M67" s="363">
        <v>0.24861111111111112</v>
      </c>
      <c r="N67" s="363">
        <v>0.26805555555555555</v>
      </c>
      <c r="O67" s="361">
        <v>20</v>
      </c>
      <c r="P67" s="364">
        <f t="shared" si="19"/>
        <v>27.999999999999979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1288</v>
      </c>
      <c r="H68" s="358">
        <f t="shared" si="18"/>
        <v>23415.84</v>
      </c>
      <c r="I68" s="359"/>
      <c r="J68" s="360">
        <v>3</v>
      </c>
      <c r="K68" s="361">
        <f t="shared" si="16"/>
        <v>3091.2000000000012</v>
      </c>
      <c r="L68" s="362">
        <f t="shared" si="17"/>
        <v>1030.4000000000003</v>
      </c>
      <c r="M68" s="363">
        <v>0.28194444444444444</v>
      </c>
      <c r="N68" s="363">
        <v>0.29930555555555555</v>
      </c>
      <c r="O68" s="361">
        <v>20</v>
      </c>
      <c r="P68" s="364">
        <f t="shared" si="19"/>
        <v>24.999999999999993</v>
      </c>
      <c r="Q68" s="365">
        <v>0.29930555555555555</v>
      </c>
      <c r="R68" s="365">
        <v>0.34097222222222223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3502</v>
      </c>
      <c r="H69" s="358">
        <f t="shared" si="18"/>
        <v>50028.57142857142</v>
      </c>
      <c r="I69" s="359"/>
      <c r="J69" s="360">
        <v>3</v>
      </c>
      <c r="K69" s="361">
        <f t="shared" si="16"/>
        <v>3232.6153846153879</v>
      </c>
      <c r="L69" s="362">
        <f t="shared" si="17"/>
        <v>1077.5384615384626</v>
      </c>
      <c r="M69" s="363">
        <v>0.35486111111111113</v>
      </c>
      <c r="N69" s="363">
        <v>0.39999999999999997</v>
      </c>
      <c r="O69" s="361">
        <v>20</v>
      </c>
      <c r="P69" s="364">
        <f t="shared" si="19"/>
        <v>64.999999999999929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3116.7132600732616</v>
      </c>
      <c r="L75" s="376">
        <f>AVERAGE(L65:L74)</f>
        <v>987.94886446886505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417</v>
      </c>
      <c r="H82" s="414">
        <f t="shared" ref="H82:H90" si="20">F82*G82</f>
        <v>7581.0599999999995</v>
      </c>
      <c r="I82" s="359"/>
      <c r="J82" s="360">
        <v>4</v>
      </c>
      <c r="K82" s="361">
        <f t="shared" ref="K82:K84" si="21">G82/P82*60</f>
        <v>2502.0000000000086</v>
      </c>
      <c r="L82" s="362">
        <f t="shared" ref="L82:L84" si="22">K82/J82</f>
        <v>625.50000000000216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1173</v>
      </c>
      <c r="H83" s="414">
        <f t="shared" si="20"/>
        <v>19589.099999999999</v>
      </c>
      <c r="I83" s="359"/>
      <c r="J83" s="360">
        <v>3</v>
      </c>
      <c r="K83" s="361">
        <f t="shared" si="21"/>
        <v>2815.1999999999921</v>
      </c>
      <c r="L83" s="362">
        <f t="shared" si="22"/>
        <v>938.39999999999736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1091</v>
      </c>
      <c r="H84" s="414">
        <f t="shared" si="20"/>
        <v>24309.463636363635</v>
      </c>
      <c r="I84" s="359"/>
      <c r="J84" s="360">
        <v>4</v>
      </c>
      <c r="K84" s="361">
        <f t="shared" si="21"/>
        <v>2618.3999999999924</v>
      </c>
      <c r="L84" s="362">
        <f t="shared" si="22"/>
        <v>654.59999999999809</v>
      </c>
      <c r="M84" s="363">
        <v>0.81597222222222221</v>
      </c>
      <c r="N84" s="363">
        <v>0.83333333333333337</v>
      </c>
      <c r="O84" s="361">
        <v>20</v>
      </c>
      <c r="P84" s="391">
        <f t="shared" ref="P84" si="23">(N84-M84)*24*60</f>
        <v>25.000000000000071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2645.1999999999975</v>
      </c>
      <c r="L91" s="376">
        <f>AVERAGE(L82:L90)</f>
        <v>739.4999999999992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1710</v>
      </c>
      <c r="H92" s="358">
        <f t="shared" ref="H92:H97" si="24">F92*G92</f>
        <v>41963.4</v>
      </c>
      <c r="I92" s="359"/>
      <c r="J92" s="360">
        <v>3</v>
      </c>
      <c r="K92" s="361">
        <f>G92/P92*60</f>
        <v>2280</v>
      </c>
      <c r="L92" s="362">
        <f t="shared" ref="L92:L94" si="25">K92/J92</f>
        <v>760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984</v>
      </c>
      <c r="H93" s="358">
        <f t="shared" si="24"/>
        <v>22120.32</v>
      </c>
      <c r="I93" s="359"/>
      <c r="J93" s="360">
        <v>4</v>
      </c>
      <c r="K93" s="361">
        <f t="shared" ref="K93:K94" si="26">G93/P93*60</f>
        <v>2361.6000000000085</v>
      </c>
      <c r="L93" s="362">
        <f t="shared" si="25"/>
        <v>590.40000000000214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1981</v>
      </c>
      <c r="H94" s="358">
        <f t="shared" si="24"/>
        <v>43998.01</v>
      </c>
      <c r="I94" s="359"/>
      <c r="J94" s="360">
        <v>4</v>
      </c>
      <c r="K94" s="361">
        <f t="shared" si="26"/>
        <v>2161.0909090909172</v>
      </c>
      <c r="L94" s="362">
        <f t="shared" si="25"/>
        <v>540.2727272727293</v>
      </c>
      <c r="M94" s="363">
        <v>0.79861111111111116</v>
      </c>
      <c r="N94" s="363">
        <v>0.83680555555555547</v>
      </c>
      <c r="O94" s="354">
        <v>20</v>
      </c>
      <c r="P94" s="364">
        <f>(N94-M94)*24*60</f>
        <v>54.999999999999801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2267.5636363636418</v>
      </c>
      <c r="L100" s="376">
        <f>AVERAGE(L92:L99)</f>
        <v>630.22424242424381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1132</v>
      </c>
      <c r="H101" s="358">
        <f t="shared" ref="H101:H110" si="27">F101*G101</f>
        <v>28333.960000000003</v>
      </c>
      <c r="I101" s="359"/>
      <c r="J101" s="360">
        <v>4</v>
      </c>
      <c r="K101" s="361">
        <f>G101/P101*60</f>
        <v>2716.7999999999925</v>
      </c>
      <c r="L101" s="362">
        <f t="shared" ref="L101:L105" si="28">K101/J101</f>
        <v>679.19999999999811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1827</v>
      </c>
      <c r="H102" s="358">
        <f t="shared" si="27"/>
        <v>45346.14</v>
      </c>
      <c r="I102" s="359"/>
      <c r="J102" s="360">
        <v>4</v>
      </c>
      <c r="K102" s="361">
        <f t="shared" ref="K102:K105" si="30">G102/P102*60</f>
        <v>2740.4999999999991</v>
      </c>
      <c r="L102" s="362">
        <f t="shared" si="28"/>
        <v>685.12499999999977</v>
      </c>
      <c r="M102" s="363">
        <v>0.75347222222222221</v>
      </c>
      <c r="N102" s="363">
        <v>0.78125</v>
      </c>
      <c r="O102" s="354">
        <v>20</v>
      </c>
      <c r="P102" s="361">
        <f t="shared" si="29"/>
        <v>40.000000000000014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2937</v>
      </c>
      <c r="H103" s="358">
        <f t="shared" si="27"/>
        <v>83910.09</v>
      </c>
      <c r="I103" s="359"/>
      <c r="J103" s="360">
        <v>3</v>
      </c>
      <c r="K103" s="361">
        <f t="shared" si="30"/>
        <v>2937.0000000000027</v>
      </c>
      <c r="L103" s="362">
        <f t="shared" si="28"/>
        <v>979.00000000000091</v>
      </c>
      <c r="M103" s="363">
        <v>0.79513888888888884</v>
      </c>
      <c r="N103" s="363">
        <v>0.83680555555555547</v>
      </c>
      <c r="O103" s="354">
        <v>20</v>
      </c>
      <c r="P103" s="361">
        <f t="shared" si="29"/>
        <v>59.999999999999943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5868</v>
      </c>
      <c r="H104" s="358">
        <f t="shared" si="27"/>
        <v>82328.039999999994</v>
      </c>
      <c r="I104" s="359"/>
      <c r="J104" s="360">
        <v>3</v>
      </c>
      <c r="K104" s="361">
        <f t="shared" si="30"/>
        <v>2934.0000000000027</v>
      </c>
      <c r="L104" s="362">
        <f t="shared" si="28"/>
        <v>978.00000000000091</v>
      </c>
      <c r="M104" s="363">
        <v>0.85069444444444453</v>
      </c>
      <c r="N104" s="363">
        <v>0.93402777777777779</v>
      </c>
      <c r="O104" s="354">
        <v>20</v>
      </c>
      <c r="P104" s="361">
        <f>(N104-M104)*24*60</f>
        <v>119.99999999999989</v>
      </c>
      <c r="Q104" s="365">
        <v>0.93402777777777779</v>
      </c>
      <c r="R104" s="365">
        <v>0.97569444444444453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8235</v>
      </c>
      <c r="H105" s="358">
        <f t="shared" si="27"/>
        <v>117642.85714285712</v>
      </c>
      <c r="I105" s="359"/>
      <c r="J105" s="360">
        <v>3</v>
      </c>
      <c r="K105" s="361">
        <f t="shared" si="30"/>
        <v>2994.5454546722221</v>
      </c>
      <c r="L105" s="362">
        <f t="shared" si="28"/>
        <v>998.18181822407405</v>
      </c>
      <c r="M105" s="363">
        <v>46088.989583333336</v>
      </c>
      <c r="N105" s="363">
        <v>46089.104166666664</v>
      </c>
      <c r="O105" s="354">
        <v>20</v>
      </c>
      <c r="P105" s="361">
        <f>(N105-M105)*24*60</f>
        <v>164.99999999301508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2864.5690909344439</v>
      </c>
      <c r="L111" s="376">
        <f>AVERAGE(L101:L110)</f>
        <v>863.90136364481475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968</v>
      </c>
      <c r="H112" s="414">
        <f t="shared" si="3"/>
        <v>17598.239999999998</v>
      </c>
      <c r="I112" s="359"/>
      <c r="J112" s="360">
        <v>4</v>
      </c>
      <c r="K112" s="361">
        <f t="shared" ref="K112:K115" si="31">G112/P112*60</f>
        <v>2903.9999999999873</v>
      </c>
      <c r="L112" s="362">
        <f t="shared" ref="L112:L115" si="32">K112/J112</f>
        <v>725.99999999999682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1089</v>
      </c>
      <c r="H113" s="414">
        <f t="shared" si="3"/>
        <v>19798.02</v>
      </c>
      <c r="I113" s="359"/>
      <c r="J113" s="360">
        <v>3</v>
      </c>
      <c r="K113" s="361">
        <f t="shared" si="31"/>
        <v>3267.0000000000118</v>
      </c>
      <c r="L113" s="362">
        <f t="shared" si="32"/>
        <v>1089.0000000000039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5495</v>
      </c>
      <c r="H114" s="414">
        <f>F114*G114</f>
        <v>91546.7</v>
      </c>
      <c r="I114" s="359"/>
      <c r="J114" s="360">
        <v>4</v>
      </c>
      <c r="K114" s="361">
        <f t="shared" si="31"/>
        <v>2997.2727272727293</v>
      </c>
      <c r="L114" s="362">
        <f t="shared" si="32"/>
        <v>749.31818181818232</v>
      </c>
      <c r="M114" s="363">
        <v>0.77777777777777779</v>
      </c>
      <c r="N114" s="363">
        <v>0.85416666666666663</v>
      </c>
      <c r="O114" s="354">
        <v>20</v>
      </c>
      <c r="P114" s="364">
        <f t="shared" si="33"/>
        <v>109.99999999999993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3807</v>
      </c>
      <c r="H115" s="414">
        <f t="shared" ref="H115:H123" si="34">F115*G115</f>
        <v>68110.690909090903</v>
      </c>
      <c r="I115" s="359"/>
      <c r="J115" s="360">
        <v>3</v>
      </c>
      <c r="K115" s="361">
        <f t="shared" si="31"/>
        <v>3045.5999999999976</v>
      </c>
      <c r="L115" s="362">
        <f t="shared" si="32"/>
        <v>1015.1999999999992</v>
      </c>
      <c r="M115" s="363">
        <v>0.86805555555555547</v>
      </c>
      <c r="N115" s="363">
        <v>0.92013888888888884</v>
      </c>
      <c r="O115" s="354">
        <v>20</v>
      </c>
      <c r="P115" s="364">
        <f t="shared" si="33"/>
        <v>75.000000000000057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3053.4681818181816</v>
      </c>
      <c r="L124" s="376">
        <f>AVERAGE(L112:L123)</f>
        <v>894.87954545454556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134939</v>
      </c>
      <c r="F1" s="75" t="s">
        <v>3</v>
      </c>
      <c r="G1" s="64">
        <f>SUM(H5:H173)</f>
        <v>5364532.4275032124</v>
      </c>
      <c r="H1" s="67" t="s">
        <v>77</v>
      </c>
      <c r="I1" s="65">
        <f>M17+M30+M43+M56+M69+M82+M95+M108+M121+M134+M147+M160+M173</f>
        <v>199.44166666666666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352</v>
      </c>
      <c r="B2" s="637"/>
      <c r="C2" s="69"/>
      <c r="D2" s="69" t="s">
        <v>181</v>
      </c>
      <c r="E2" s="70">
        <f>AVERAGE(O17,O30,O43,O56,O69,O82,O95,O108,O121,O134,O147,O160,O173)</f>
        <v>122.20842399989708</v>
      </c>
      <c r="F2" s="71" t="s">
        <v>80</v>
      </c>
      <c r="G2" s="72">
        <f>G1/E1</f>
        <v>39.755240719904641</v>
      </c>
      <c r="H2" s="67" t="s">
        <v>81</v>
      </c>
      <c r="I2" s="67">
        <f>COUNT(I5:I173)</f>
        <v>4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3</v>
      </c>
      <c r="AE2" s="74">
        <f>AE17+AE30+AE43+AE56+AE69+AE82+AE95+AE108+AE121+AE134+AE147+AE160+AE173</f>
        <v>2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1927.25</v>
      </c>
      <c r="H5" s="83">
        <f t="shared" ref="H5:H16" si="0">F5*G5</f>
        <v>73119.864999999991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2267.3529411764716</v>
      </c>
      <c r="O5" s="86">
        <f t="shared" ref="O5:O13" si="2">N5/M5</f>
        <v>113.36764705882358</v>
      </c>
      <c r="P5" s="88">
        <f t="shared" ref="P5:P13" si="3">M5-J5</f>
        <v>0</v>
      </c>
      <c r="Q5" s="89">
        <f t="shared" ref="Q5:Q13" si="4">O5-L5</f>
        <v>-6.6323529411764213</v>
      </c>
      <c r="R5" s="90">
        <f t="shared" ref="R5:R13" si="5">O5/L5</f>
        <v>0.94473039215686316</v>
      </c>
      <c r="S5" s="590">
        <f>R17</f>
        <v>0.94476617355073567</v>
      </c>
      <c r="T5" s="91">
        <v>0.29166666666666669</v>
      </c>
      <c r="U5" s="91">
        <v>0.32708333333333334</v>
      </c>
      <c r="V5" s="75">
        <v>5</v>
      </c>
      <c r="W5" s="84">
        <f>(U5-T5)*24*60</f>
        <v>50.999999999999979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-132.64705882352837</v>
      </c>
      <c r="AG5" s="90">
        <f t="shared" ref="AG5:AG70" si="7">N5/K5</f>
        <v>0.94473039215686316</v>
      </c>
      <c r="AH5" s="590">
        <f>AG17</f>
        <v>0.98172947410738765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1246.7</v>
      </c>
      <c r="H6" s="83">
        <f t="shared" si="0"/>
        <v>38979.486533816431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2579.3793103448297</v>
      </c>
      <c r="O6" s="86">
        <f t="shared" si="2"/>
        <v>135.75680580762261</v>
      </c>
      <c r="P6" s="88">
        <f t="shared" si="3"/>
        <v>1</v>
      </c>
      <c r="Q6" s="89">
        <f t="shared" si="4"/>
        <v>-8.6876386368218448</v>
      </c>
      <c r="R6" s="90">
        <f t="shared" si="5"/>
        <v>0.9398548094373872</v>
      </c>
      <c r="S6" s="590"/>
      <c r="T6" s="91">
        <v>0.33124999999999999</v>
      </c>
      <c r="U6" s="91">
        <v>0.35138888888888886</v>
      </c>
      <c r="V6" s="75">
        <v>6</v>
      </c>
      <c r="W6" s="84">
        <f t="shared" ref="W6:W17" si="8">(U6-T6)*24*60</f>
        <v>28.999999999999979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-20.620689655170281</v>
      </c>
      <c r="AG6" s="90">
        <f t="shared" si="7"/>
        <v>0.99206896551724222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1956.5</v>
      </c>
      <c r="H7" s="83">
        <f t="shared" si="0"/>
        <v>75581.458333333314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2608.6666666666665</v>
      </c>
      <c r="O7" s="86">
        <f t="shared" si="2"/>
        <v>137.29824561403507</v>
      </c>
      <c r="P7" s="88">
        <f t="shared" si="3"/>
        <v>1</v>
      </c>
      <c r="Q7" s="89">
        <f t="shared" si="4"/>
        <v>-7.1461988304093893</v>
      </c>
      <c r="R7" s="90">
        <f t="shared" si="5"/>
        <v>0.95052631578947344</v>
      </c>
      <c r="S7" s="590"/>
      <c r="T7" s="91">
        <v>0.36666666666666664</v>
      </c>
      <c r="U7" s="91">
        <v>0.39791666666666664</v>
      </c>
      <c r="V7" s="75">
        <v>22</v>
      </c>
      <c r="W7" s="84">
        <f t="shared" si="8"/>
        <v>45</v>
      </c>
      <c r="X7" s="94">
        <v>0.35486111111111113</v>
      </c>
      <c r="Y7" s="94">
        <v>0.36388888888888887</v>
      </c>
      <c r="Z7" s="95"/>
      <c r="AA7" s="95"/>
      <c r="AB7" s="571"/>
      <c r="AC7" s="571"/>
      <c r="AD7" s="332"/>
      <c r="AE7" s="332"/>
      <c r="AF7" s="88">
        <f t="shared" si="6"/>
        <v>8.6666666666665151</v>
      </c>
      <c r="AG7" s="90">
        <f t="shared" si="7"/>
        <v>1.0033333333333332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2986.2</v>
      </c>
      <c r="H8" s="83">
        <f t="shared" si="0"/>
        <v>113475.59999999999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2634.8823529411766</v>
      </c>
      <c r="O8" s="86">
        <f t="shared" si="2"/>
        <v>131.74411764705883</v>
      </c>
      <c r="P8" s="88">
        <f t="shared" si="3"/>
        <v>1</v>
      </c>
      <c r="Q8" s="89">
        <f t="shared" si="4"/>
        <v>-5.0979876160990614</v>
      </c>
      <c r="R8" s="90">
        <f t="shared" si="5"/>
        <v>0.96274547511312225</v>
      </c>
      <c r="S8" s="590"/>
      <c r="T8" s="91">
        <v>0.40208333333333329</v>
      </c>
      <c r="U8" s="91">
        <v>0.44930555555555551</v>
      </c>
      <c r="V8" s="75">
        <v>6</v>
      </c>
      <c r="W8" s="84">
        <f t="shared" si="8"/>
        <v>68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34.882352941176578</v>
      </c>
      <c r="AG8" s="90">
        <f t="shared" si="7"/>
        <v>1.0134162895927603</v>
      </c>
      <c r="AH8" s="590"/>
    </row>
    <row r="9" spans="1:34" ht="19.2" customHeight="1">
      <c r="A9" s="627"/>
      <c r="B9" s="78" t="s">
        <v>242</v>
      </c>
      <c r="C9" s="96"/>
      <c r="D9" s="80" t="s">
        <v>98</v>
      </c>
      <c r="E9" s="97"/>
      <c r="F9" s="650">
        <v>38</v>
      </c>
      <c r="G9" s="98">
        <v>1279.8</v>
      </c>
      <c r="H9" s="83">
        <f t="shared" si="0"/>
        <v>48632.4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2647.8620689655118</v>
      </c>
      <c r="O9" s="86">
        <f t="shared" si="2"/>
        <v>132.39310344827558</v>
      </c>
      <c r="P9" s="88">
        <f t="shared" si="3"/>
        <v>1</v>
      </c>
      <c r="Q9" s="89">
        <f t="shared" si="4"/>
        <v>-4.4490018148823083</v>
      </c>
      <c r="R9" s="90">
        <f t="shared" si="5"/>
        <v>0.96748806366047546</v>
      </c>
      <c r="S9" s="590"/>
      <c r="T9" s="91">
        <v>0.49097222222222214</v>
      </c>
      <c r="U9" s="91">
        <v>0.51111111111111107</v>
      </c>
      <c r="V9" s="75">
        <v>7</v>
      </c>
      <c r="W9" s="84">
        <f t="shared" si="8"/>
        <v>29.000000000000057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47.862068965511753</v>
      </c>
      <c r="AG9" s="90">
        <f t="shared" si="7"/>
        <v>1.0184084880636584</v>
      </c>
      <c r="AH9" s="590"/>
    </row>
    <row r="10" spans="1:34" ht="19.2" customHeight="1">
      <c r="A10" s="628"/>
      <c r="B10" s="78" t="s">
        <v>242</v>
      </c>
      <c r="C10" s="79"/>
      <c r="D10" s="80" t="s">
        <v>97</v>
      </c>
      <c r="E10" s="81"/>
      <c r="F10" s="650">
        <v>38.630952380952372</v>
      </c>
      <c r="G10" s="82">
        <v>1053.5</v>
      </c>
      <c r="H10" s="83">
        <f t="shared" si="0"/>
        <v>40697.708333333321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2633.7499999999918</v>
      </c>
      <c r="O10" s="86">
        <f t="shared" si="2"/>
        <v>138.61842105263113</v>
      </c>
      <c r="P10" s="88">
        <f t="shared" si="3"/>
        <v>1</v>
      </c>
      <c r="Q10" s="89">
        <f t="shared" si="4"/>
        <v>-5.8260233918133224</v>
      </c>
      <c r="R10" s="90">
        <f t="shared" si="5"/>
        <v>0.95966599190283086</v>
      </c>
      <c r="S10" s="593"/>
      <c r="T10" s="91">
        <v>0.51666666666666661</v>
      </c>
      <c r="U10" s="91">
        <v>0.53333333333333333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33.749999999991815</v>
      </c>
      <c r="AG10" s="90">
        <f t="shared" si="7"/>
        <v>1.0129807692307662</v>
      </c>
      <c r="AH10" s="593"/>
    </row>
    <row r="11" spans="1:34" ht="19.2" customHeight="1">
      <c r="A11" s="628"/>
      <c r="B11" s="78" t="s">
        <v>242</v>
      </c>
      <c r="C11" s="79"/>
      <c r="D11" s="80" t="s">
        <v>96</v>
      </c>
      <c r="E11" s="81"/>
      <c r="F11" s="650">
        <v>31.266131815044861</v>
      </c>
      <c r="G11" s="82">
        <v>671.3</v>
      </c>
      <c r="H11" s="83">
        <f t="shared" si="0"/>
        <v>20988.954287439614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2517.3750000000086</v>
      </c>
      <c r="O11" s="86">
        <f t="shared" si="2"/>
        <v>132.49342105263204</v>
      </c>
      <c r="P11" s="88">
        <f t="shared" si="3"/>
        <v>1</v>
      </c>
      <c r="Q11" s="89">
        <f t="shared" si="4"/>
        <v>-11.951023391812413</v>
      </c>
      <c r="R11" s="90">
        <f t="shared" si="5"/>
        <v>0.91726214574899101</v>
      </c>
      <c r="S11" s="593"/>
      <c r="T11" s="91">
        <v>0.53680555555555554</v>
      </c>
      <c r="U11" s="91">
        <v>0.54791666666666661</v>
      </c>
      <c r="V11" s="75">
        <v>5</v>
      </c>
      <c r="W11" s="84">
        <f t="shared" si="8"/>
        <v>15.999999999999943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-82.62499999999136</v>
      </c>
      <c r="AG11" s="90">
        <f t="shared" si="7"/>
        <v>0.96822115384615715</v>
      </c>
      <c r="AH11" s="593"/>
    </row>
    <row r="12" spans="1:34" ht="19.2" customHeight="1">
      <c r="A12" s="628"/>
      <c r="B12" s="78" t="s">
        <v>242</v>
      </c>
      <c r="C12" s="79"/>
      <c r="D12" s="80" t="s">
        <v>95</v>
      </c>
      <c r="E12" s="81"/>
      <c r="F12" s="650">
        <v>37.94</v>
      </c>
      <c r="G12" s="82">
        <v>1037.75</v>
      </c>
      <c r="H12" s="83">
        <f t="shared" si="0"/>
        <v>39372.235000000001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2223.7499999999955</v>
      </c>
      <c r="O12" s="86">
        <f t="shared" si="2"/>
        <v>111.18749999999977</v>
      </c>
      <c r="P12" s="88">
        <f t="shared" si="3"/>
        <v>0</v>
      </c>
      <c r="Q12" s="89">
        <f t="shared" si="4"/>
        <v>-8.8125000000002274</v>
      </c>
      <c r="R12" s="90">
        <f t="shared" si="5"/>
        <v>0.92656249999999807</v>
      </c>
      <c r="S12" s="593"/>
      <c r="T12" s="91">
        <v>0.56388888888888888</v>
      </c>
      <c r="U12" s="91">
        <v>0.58333333333333337</v>
      </c>
      <c r="V12" s="75">
        <v>23</v>
      </c>
      <c r="W12" s="84">
        <f t="shared" si="8"/>
        <v>28.00000000000006</v>
      </c>
      <c r="X12" s="94">
        <v>0.55138888888888882</v>
      </c>
      <c r="Y12" s="94">
        <v>0.56111111111111112</v>
      </c>
      <c r="Z12" s="95"/>
      <c r="AA12" s="95"/>
      <c r="AB12" s="571"/>
      <c r="AC12" s="571"/>
      <c r="AD12" s="332"/>
      <c r="AE12" s="332"/>
      <c r="AF12" s="88">
        <f t="shared" si="6"/>
        <v>-176.25000000000455</v>
      </c>
      <c r="AG12" s="90">
        <f t="shared" si="7"/>
        <v>0.92656249999999807</v>
      </c>
      <c r="AH12" s="593"/>
    </row>
    <row r="13" spans="1:34" ht="19.2" customHeight="1">
      <c r="A13" s="628"/>
      <c r="B13" s="78" t="s">
        <v>247</v>
      </c>
      <c r="C13" s="99"/>
      <c r="D13" s="100" t="s">
        <v>298</v>
      </c>
      <c r="E13" s="101"/>
      <c r="F13" s="650">
        <v>50.67</v>
      </c>
      <c r="G13" s="102">
        <v>1618</v>
      </c>
      <c r="H13" s="83">
        <f t="shared" si="0"/>
        <v>81984.06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1386.8571428571415</v>
      </c>
      <c r="O13" s="86">
        <f t="shared" si="2"/>
        <v>77.04761904761898</v>
      </c>
      <c r="P13" s="88">
        <f t="shared" si="3"/>
        <v>0</v>
      </c>
      <c r="Q13" s="89">
        <f t="shared" si="4"/>
        <v>-6.2857142857143486</v>
      </c>
      <c r="R13" s="90">
        <f t="shared" si="5"/>
        <v>0.92457142857142782</v>
      </c>
      <c r="S13" s="593"/>
      <c r="T13" s="105">
        <v>0.70833333333333337</v>
      </c>
      <c r="U13" s="105">
        <v>0.75694444444444453</v>
      </c>
      <c r="V13" s="103">
        <v>5</v>
      </c>
      <c r="W13" s="84">
        <f t="shared" si="8"/>
        <v>70.000000000000071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-113.14285714285847</v>
      </c>
      <c r="AG13" s="90">
        <f t="shared" si="7"/>
        <v>0.92457142857142771</v>
      </c>
      <c r="AH13" s="593"/>
    </row>
    <row r="14" spans="1:34" ht="19.2" customHeight="1">
      <c r="A14" s="628"/>
      <c r="B14" s="78">
        <v>0</v>
      </c>
      <c r="C14" s="109"/>
      <c r="D14" s="80"/>
      <c r="E14" s="81"/>
      <c r="F14" s="650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593"/>
      <c r="T14" s="105"/>
      <c r="U14" s="105"/>
      <c r="V14" s="103"/>
      <c r="W14" s="84"/>
      <c r="X14" s="106"/>
      <c r="Y14" s="106"/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J17:O17" si="9">AVERAGE(M5:M16)</f>
        <v>19.333333333333332</v>
      </c>
      <c r="N17" s="113">
        <f t="shared" si="9"/>
        <v>2388.8750536613102</v>
      </c>
      <c r="O17" s="116">
        <f t="shared" si="9"/>
        <v>123.32298674763307</v>
      </c>
      <c r="P17" s="107">
        <f t="shared" ref="P17:P22" si="10">M17-J17</f>
        <v>0.6666666666666643</v>
      </c>
      <c r="Q17" s="117">
        <f t="shared" ref="Q17:Q22" si="11">O17-L17</f>
        <v>-7.209826767636585</v>
      </c>
      <c r="R17" s="118">
        <f>O17/L17</f>
        <v>0.94476617355073567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0</v>
      </c>
      <c r="AE17" s="122">
        <f>SUM(AE5:AE16)</f>
        <v>0</v>
      </c>
      <c r="AF17" s="107">
        <f t="shared" si="6"/>
        <v>-44.458279672023309</v>
      </c>
      <c r="AG17" s="108">
        <f t="shared" si="7"/>
        <v>0.98172947410738765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1541</v>
      </c>
      <c r="H18" s="127">
        <f t="shared" ref="H18:H29" si="12">F18*G18</f>
        <v>56801.26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2150.2325581395344</v>
      </c>
      <c r="O18" s="129">
        <f t="shared" ref="O18:O22" si="14">N18/M18</f>
        <v>119.45736434108524</v>
      </c>
      <c r="P18" s="95">
        <f t="shared" si="10"/>
        <v>1</v>
      </c>
      <c r="Q18" s="131">
        <f t="shared" si="11"/>
        <v>-12.895576835385341</v>
      </c>
      <c r="R18" s="132">
        <f t="shared" ref="R18:R22" si="15">O18/L18</f>
        <v>0.90256675279931076</v>
      </c>
      <c r="S18" s="575">
        <f>R30</f>
        <v>0.88790931571793741</v>
      </c>
      <c r="T18" s="133">
        <v>0.16666666666666666</v>
      </c>
      <c r="U18" s="133">
        <v>0.19652777777777777</v>
      </c>
      <c r="V18" s="332">
        <v>5</v>
      </c>
      <c r="W18" s="134">
        <f>(U18-T18)*24*60</f>
        <v>43.000000000000007</v>
      </c>
      <c r="X18" s="129"/>
      <c r="Y18" s="129"/>
      <c r="Z18" s="95"/>
      <c r="AA18" s="95"/>
      <c r="AB18" s="571"/>
      <c r="AC18" s="571"/>
      <c r="AD18" s="332"/>
      <c r="AE18" s="332"/>
      <c r="AF18" s="135">
        <f t="shared" si="6"/>
        <v>-99.767441860465624</v>
      </c>
      <c r="AG18" s="136">
        <f t="shared" si="7"/>
        <v>0.95565891472868192</v>
      </c>
      <c r="AH18" s="616">
        <f>AG30</f>
        <v>0.91210150453058347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1826.9999999999998</v>
      </c>
      <c r="H19" s="127">
        <f t="shared" si="12"/>
        <v>70138.53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1423.636363636364</v>
      </c>
      <c r="O19" s="139">
        <f t="shared" si="14"/>
        <v>83.743315508021411</v>
      </c>
      <c r="P19" s="95">
        <f t="shared" si="10"/>
        <v>1</v>
      </c>
      <c r="Q19" s="131">
        <f t="shared" si="11"/>
        <v>-18.506684491978589</v>
      </c>
      <c r="R19" s="132">
        <f t="shared" si="15"/>
        <v>0.81900553064079618</v>
      </c>
      <c r="S19" s="575"/>
      <c r="T19" s="133">
        <v>0.2013888888888889</v>
      </c>
      <c r="U19" s="133">
        <v>0.25486111111111109</v>
      </c>
      <c r="V19" s="332">
        <v>7</v>
      </c>
      <c r="W19" s="134">
        <f>(U19-T19)*24*60</f>
        <v>76.999999999999972</v>
      </c>
      <c r="X19" s="140"/>
      <c r="Y19" s="140"/>
      <c r="Z19" s="95"/>
      <c r="AA19" s="95"/>
      <c r="AB19" s="571"/>
      <c r="AC19" s="571"/>
      <c r="AD19" s="332"/>
      <c r="AE19" s="332"/>
      <c r="AF19" s="88">
        <f t="shared" si="6"/>
        <v>-212.36363636363603</v>
      </c>
      <c r="AG19" s="90">
        <f t="shared" si="7"/>
        <v>0.87019337630584592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1822</v>
      </c>
      <c r="H20" s="127">
        <f t="shared" si="12"/>
        <v>78601.08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1419.7402597402602</v>
      </c>
      <c r="O20" s="139">
        <f t="shared" si="14"/>
        <v>88.733766233766261</v>
      </c>
      <c r="P20" s="95">
        <f t="shared" si="10"/>
        <v>0</v>
      </c>
      <c r="Q20" s="131">
        <f t="shared" si="11"/>
        <v>-1.2662337662337393</v>
      </c>
      <c r="R20" s="132">
        <f t="shared" si="15"/>
        <v>0.98593073593073621</v>
      </c>
      <c r="S20" s="575"/>
      <c r="T20" s="133">
        <v>0.27013888888888887</v>
      </c>
      <c r="U20" s="133">
        <v>0.32361111111111107</v>
      </c>
      <c r="V20" s="332">
        <v>22</v>
      </c>
      <c r="W20" s="134">
        <f t="shared" ref="W20:W29" si="16">(U20-T20)*24*60</f>
        <v>76.999999999999972</v>
      </c>
      <c r="X20" s="140">
        <v>0.25833333333333336</v>
      </c>
      <c r="Y20" s="140">
        <v>0.2673611111111111</v>
      </c>
      <c r="Z20" s="95"/>
      <c r="AA20" s="95"/>
      <c r="AB20" s="571"/>
      <c r="AC20" s="571"/>
      <c r="AD20" s="332"/>
      <c r="AE20" s="332"/>
      <c r="AF20" s="135">
        <f t="shared" si="6"/>
        <v>-20.259740259739829</v>
      </c>
      <c r="AG20" s="136">
        <f t="shared" si="7"/>
        <v>0.98593073593073621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1582</v>
      </c>
      <c r="H21" s="127">
        <f t="shared" si="12"/>
        <v>60274.200000000004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1300.2739726027401</v>
      </c>
      <c r="O21" s="139">
        <f t="shared" si="14"/>
        <v>76.486704270749414</v>
      </c>
      <c r="P21" s="95">
        <f t="shared" si="10"/>
        <v>0</v>
      </c>
      <c r="Q21" s="131">
        <f t="shared" si="11"/>
        <v>-11.748589846897644</v>
      </c>
      <c r="R21" s="132">
        <f t="shared" si="15"/>
        <v>0.86684931506849339</v>
      </c>
      <c r="S21" s="575"/>
      <c r="T21" s="133">
        <v>0.32847222222222217</v>
      </c>
      <c r="U21" s="133">
        <v>0.3791666666666666</v>
      </c>
      <c r="V21" s="332">
        <v>7</v>
      </c>
      <c r="W21" s="134">
        <f t="shared" si="16"/>
        <v>72.999999999999986</v>
      </c>
      <c r="X21" s="140"/>
      <c r="Y21" s="140"/>
      <c r="Z21" s="95"/>
      <c r="AA21" s="95"/>
      <c r="AB21" s="571"/>
      <c r="AC21" s="571"/>
      <c r="AD21" s="332"/>
      <c r="AE21" s="332"/>
      <c r="AF21" s="88">
        <f t="shared" si="6"/>
        <v>-199.72602739725994</v>
      </c>
      <c r="AG21" s="90">
        <f t="shared" si="7"/>
        <v>0.86684931506849339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1582</v>
      </c>
      <c r="H22" s="127">
        <f t="shared" si="12"/>
        <v>60274.200000000004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1300.2739726027401</v>
      </c>
      <c r="O22" s="139">
        <f t="shared" si="14"/>
        <v>76.486704270749414</v>
      </c>
      <c r="P22" s="95">
        <f t="shared" si="10"/>
        <v>0</v>
      </c>
      <c r="Q22" s="131">
        <f t="shared" si="11"/>
        <v>-11.748589846897644</v>
      </c>
      <c r="R22" s="132">
        <f t="shared" si="15"/>
        <v>0.86684931506849339</v>
      </c>
      <c r="S22" s="575"/>
      <c r="T22" s="133">
        <v>0.42013888888888878</v>
      </c>
      <c r="U22" s="133">
        <v>0.47083333333333321</v>
      </c>
      <c r="V22" s="332">
        <v>6</v>
      </c>
      <c r="W22" s="134">
        <f t="shared" si="16"/>
        <v>72.999999999999986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-199.72602739725994</v>
      </c>
      <c r="AG22" s="136">
        <f t="shared" si="7"/>
        <v>0.86684931506849339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1518.8314253443277</v>
      </c>
      <c r="O30" s="148">
        <f t="shared" si="17"/>
        <v>88.981570924874362</v>
      </c>
      <c r="P30" s="95">
        <f t="shared" ref="P30:P37" si="18">M30-J30</f>
        <v>0.39999999999999858</v>
      </c>
      <c r="Q30" s="131">
        <f t="shared" ref="Q30:Q37" si="19">O30-L30</f>
        <v>-11.233134957478583</v>
      </c>
      <c r="R30" s="149">
        <f t="shared" ref="R30:R37" si="20">O30/L30</f>
        <v>0.88790931571793741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0</v>
      </c>
      <c r="AF30" s="152">
        <f t="shared" si="6"/>
        <v>-146.36857465567232</v>
      </c>
      <c r="AG30" s="153">
        <f t="shared" ref="AG30" si="21">N30/K30</f>
        <v>0.91210150453058347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1974</v>
      </c>
      <c r="H31" s="157">
        <f t="shared" ref="H31:H40" si="22">F31*G31</f>
        <v>67570.01999999999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2077.894736842105</v>
      </c>
      <c r="O31" s="160">
        <f t="shared" ref="O31:O37" si="24">N31/M31</f>
        <v>159.83805668016191</v>
      </c>
      <c r="P31" s="161">
        <f t="shared" si="18"/>
        <v>0</v>
      </c>
      <c r="Q31" s="162">
        <f t="shared" si="19"/>
        <v>-13.238866396761154</v>
      </c>
      <c r="R31" s="166">
        <f t="shared" si="20"/>
        <v>0.92350877192982439</v>
      </c>
      <c r="S31" s="614">
        <f>R43</f>
        <v>0.86714725100160794</v>
      </c>
      <c r="T31" s="163">
        <v>0.16666666666666666</v>
      </c>
      <c r="U31" s="163">
        <v>0.20624999999999999</v>
      </c>
      <c r="V31" s="93">
        <v>5</v>
      </c>
      <c r="W31" s="164">
        <f t="shared" ref="W31:W42" si="25">(U31-T31)*24*60</f>
        <v>57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-172.10526315789502</v>
      </c>
      <c r="AG31" s="165">
        <f t="shared" si="7"/>
        <v>0.92350877192982439</v>
      </c>
      <c r="AH31" s="592">
        <f>AG43</f>
        <v>0.8744269621480778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2107</v>
      </c>
      <c r="H32" s="127">
        <f t="shared" si="22"/>
        <v>74440.31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1944.9230769230778</v>
      </c>
      <c r="O32" s="86">
        <f t="shared" si="24"/>
        <v>162.07692307692315</v>
      </c>
      <c r="P32" s="88">
        <f t="shared" si="18"/>
        <v>0</v>
      </c>
      <c r="Q32" s="89">
        <f t="shared" si="19"/>
        <v>-14.423076923076849</v>
      </c>
      <c r="R32" s="90">
        <f t="shared" si="20"/>
        <v>0.91828285029418211</v>
      </c>
      <c r="S32" s="575"/>
      <c r="T32" s="133">
        <v>0.21111111111111111</v>
      </c>
      <c r="U32" s="133">
        <v>0.25624999999999998</v>
      </c>
      <c r="V32" s="332">
        <v>7</v>
      </c>
      <c r="W32" s="134">
        <f t="shared" si="25"/>
        <v>64.999999999999972</v>
      </c>
      <c r="X32" s="169"/>
      <c r="Y32" s="169"/>
      <c r="Z32" s="170"/>
      <c r="AA32" s="170"/>
      <c r="AB32" s="571"/>
      <c r="AC32" s="571"/>
      <c r="AD32" s="332">
        <v>1</v>
      </c>
      <c r="AE32" s="332"/>
      <c r="AF32" s="88">
        <f t="shared" si="6"/>
        <v>-173.07692307692218</v>
      </c>
      <c r="AG32" s="90">
        <f t="shared" si="7"/>
        <v>0.91828285029418211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2394</v>
      </c>
      <c r="H33" s="127">
        <f t="shared" si="22"/>
        <v>87165.54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2279.9999999999995</v>
      </c>
      <c r="O33" s="86">
        <f t="shared" si="24"/>
        <v>227.99999999999994</v>
      </c>
      <c r="P33" s="88">
        <f t="shared" si="18"/>
        <v>0</v>
      </c>
      <c r="Q33" s="89">
        <f t="shared" si="19"/>
        <v>-48.900000000000034</v>
      </c>
      <c r="R33" s="90">
        <f t="shared" si="20"/>
        <v>0.82340195016251339</v>
      </c>
      <c r="S33" s="575"/>
      <c r="T33" s="133">
        <v>0.2722222222222222</v>
      </c>
      <c r="U33" s="133">
        <v>0.31597222222222221</v>
      </c>
      <c r="V33" s="332">
        <v>23</v>
      </c>
      <c r="W33" s="134">
        <f t="shared" si="25"/>
        <v>63.000000000000014</v>
      </c>
      <c r="X33" s="169">
        <v>0.25972222222222224</v>
      </c>
      <c r="Y33" s="169">
        <v>0.26944444444444443</v>
      </c>
      <c r="Z33" s="170"/>
      <c r="AA33" s="170"/>
      <c r="AB33" s="571"/>
      <c r="AC33" s="571"/>
      <c r="AD33" s="332">
        <v>1</v>
      </c>
      <c r="AE33" s="332"/>
      <c r="AF33" s="88">
        <f t="shared" si="6"/>
        <v>-489.00000000000045</v>
      </c>
      <c r="AG33" s="171">
        <f t="shared" si="7"/>
        <v>0.82340195016251339</v>
      </c>
      <c r="AH33" s="590"/>
    </row>
    <row r="34" spans="1:34" ht="19.2" customHeight="1">
      <c r="A34" s="613"/>
      <c r="B34" s="167" t="s">
        <v>247</v>
      </c>
      <c r="C34" s="172"/>
      <c r="D34" s="125" t="s">
        <v>110</v>
      </c>
      <c r="E34" s="126"/>
      <c r="F34" s="650">
        <v>53.27</v>
      </c>
      <c r="G34" s="98">
        <v>1317</v>
      </c>
      <c r="H34" s="127">
        <f t="shared" si="22"/>
        <v>70156.590000000011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1316.9999999999993</v>
      </c>
      <c r="O34" s="86">
        <f t="shared" si="24"/>
        <v>73.166666666666629</v>
      </c>
      <c r="P34" s="88">
        <f t="shared" si="18"/>
        <v>0</v>
      </c>
      <c r="Q34" s="89">
        <f t="shared" si="19"/>
        <v>-10.1666666666667</v>
      </c>
      <c r="R34" s="90">
        <f t="shared" si="20"/>
        <v>0.87799999999999956</v>
      </c>
      <c r="S34" s="575"/>
      <c r="T34" s="133">
        <v>0.32152777777777775</v>
      </c>
      <c r="U34" s="133">
        <v>0.36319444444444443</v>
      </c>
      <c r="V34" s="332">
        <v>8</v>
      </c>
      <c r="W34" s="134">
        <f t="shared" si="25"/>
        <v>60.000000000000028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-183.00000000000068</v>
      </c>
      <c r="AG34" s="171">
        <f t="shared" si="7"/>
        <v>0.87799999999999956</v>
      </c>
      <c r="AH34" s="590"/>
    </row>
    <row r="35" spans="1:34" ht="19.2" customHeight="1">
      <c r="A35" s="613"/>
      <c r="B35" s="167" t="s">
        <v>245</v>
      </c>
      <c r="C35" s="79"/>
      <c r="D35" s="80" t="s">
        <v>111</v>
      </c>
      <c r="E35" s="81"/>
      <c r="F35" s="650">
        <v>29.113149847094796</v>
      </c>
      <c r="G35" s="173">
        <v>2472.6</v>
      </c>
      <c r="H35" s="127">
        <f t="shared" si="22"/>
        <v>71985.174311926588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1336.5405405405404</v>
      </c>
      <c r="O35" s="86">
        <f t="shared" si="24"/>
        <v>66.827027027027015</v>
      </c>
      <c r="P35" s="88">
        <f t="shared" si="18"/>
        <v>0</v>
      </c>
      <c r="Q35" s="89">
        <f t="shared" si="19"/>
        <v>-8.1729729729729854</v>
      </c>
      <c r="R35" s="90">
        <f t="shared" si="20"/>
        <v>0.89102702702702685</v>
      </c>
      <c r="S35" s="575"/>
      <c r="T35" s="133">
        <v>0.37847222222222221</v>
      </c>
      <c r="U35" s="133">
        <v>0.45555555555555555</v>
      </c>
      <c r="V35" s="332">
        <v>22</v>
      </c>
      <c r="W35" s="134">
        <f t="shared" si="25"/>
        <v>111</v>
      </c>
      <c r="X35" s="169">
        <v>0.3666666666666667</v>
      </c>
      <c r="Y35" s="169">
        <v>0.3756944444444445</v>
      </c>
      <c r="Z35" s="170"/>
      <c r="AA35" s="170"/>
      <c r="AB35" s="571"/>
      <c r="AC35" s="571"/>
      <c r="AD35" s="332"/>
      <c r="AE35" s="332"/>
      <c r="AF35" s="161">
        <f t="shared" si="6"/>
        <v>-163.45945945945959</v>
      </c>
      <c r="AG35" s="165">
        <f t="shared" si="7"/>
        <v>0.89102702702702696</v>
      </c>
      <c r="AH35" s="593"/>
    </row>
    <row r="36" spans="1:34" ht="19.2" customHeight="1">
      <c r="A36" s="613"/>
      <c r="B36" s="167" t="s">
        <v>244</v>
      </c>
      <c r="C36" s="175"/>
      <c r="D36" s="80" t="s">
        <v>105</v>
      </c>
      <c r="E36" s="126"/>
      <c r="F36" s="650">
        <v>38.39</v>
      </c>
      <c r="G36" s="98">
        <v>783</v>
      </c>
      <c r="H36" s="127">
        <f t="shared" si="22"/>
        <v>30059.37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1342.2857142857158</v>
      </c>
      <c r="O36" s="86">
        <f t="shared" si="24"/>
        <v>78.9579831932774</v>
      </c>
      <c r="P36" s="88">
        <f t="shared" si="18"/>
        <v>1</v>
      </c>
      <c r="Q36" s="89">
        <f t="shared" si="19"/>
        <v>-23.2920168067226</v>
      </c>
      <c r="R36" s="90">
        <f t="shared" si="20"/>
        <v>0.7722052146041799</v>
      </c>
      <c r="S36" s="575"/>
      <c r="T36" s="133">
        <v>0.49652777777777773</v>
      </c>
      <c r="U36" s="133">
        <v>0.52083333333333326</v>
      </c>
      <c r="V36" s="332">
        <v>6</v>
      </c>
      <c r="W36" s="134">
        <f t="shared" si="25"/>
        <v>34.999999999999957</v>
      </c>
      <c r="X36" s="169"/>
      <c r="Y36" s="169"/>
      <c r="Z36" s="170"/>
      <c r="AA36" s="170"/>
      <c r="AB36" s="571"/>
      <c r="AC36" s="571"/>
      <c r="AD36" s="332"/>
      <c r="AE36" s="332"/>
      <c r="AF36" s="88">
        <f t="shared" si="6"/>
        <v>-293.71428571428419</v>
      </c>
      <c r="AG36" s="90">
        <f t="shared" si="7"/>
        <v>0.82046804051694122</v>
      </c>
      <c r="AH36" s="593"/>
    </row>
    <row r="37" spans="1:34" ht="19.2" customHeight="1">
      <c r="A37" s="613"/>
      <c r="B37" s="167" t="s">
        <v>245</v>
      </c>
      <c r="C37" s="175"/>
      <c r="D37" s="125" t="s">
        <v>111</v>
      </c>
      <c r="E37" s="126"/>
      <c r="F37" s="650">
        <v>29.113149847094796</v>
      </c>
      <c r="G37" s="98">
        <v>697.4</v>
      </c>
      <c r="H37" s="127">
        <f t="shared" si="22"/>
        <v>20303.510703363911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1307.6249999999982</v>
      </c>
      <c r="O37" s="86">
        <f t="shared" si="24"/>
        <v>65.381249999999909</v>
      </c>
      <c r="P37" s="88">
        <f t="shared" si="18"/>
        <v>0</v>
      </c>
      <c r="Q37" s="89">
        <f t="shared" si="19"/>
        <v>-9.6187500000000909</v>
      </c>
      <c r="R37" s="90">
        <f t="shared" si="20"/>
        <v>0.8717499999999988</v>
      </c>
      <c r="S37" s="575"/>
      <c r="T37" s="133">
        <v>0.52569444444444435</v>
      </c>
      <c r="U37" s="133">
        <v>0.54791666666666661</v>
      </c>
      <c r="V37" s="332">
        <v>7</v>
      </c>
      <c r="W37" s="134">
        <f t="shared" si="25"/>
        <v>32.000000000000043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-192.37500000000182</v>
      </c>
      <c r="AG37" s="171">
        <f t="shared" si="7"/>
        <v>0.8717499999999988</v>
      </c>
      <c r="AH37" s="593"/>
    </row>
    <row r="38" spans="1:34" ht="19.2" customHeight="1">
      <c r="A38" s="613"/>
      <c r="B38" s="167">
        <v>0</v>
      </c>
      <c r="C38" s="175"/>
      <c r="D38" s="125"/>
      <c r="E38" s="126"/>
      <c r="F38" s="650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575"/>
      <c r="T38" s="133"/>
      <c r="U38" s="133"/>
      <c r="V38" s="332"/>
      <c r="W38" s="134"/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0</v>
      </c>
      <c r="AG38" s="171" t="e">
        <f t="shared" si="7"/>
        <v>#DIV/0!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J43:O43" si="26">AVERAGE(M31:M42)</f>
        <v>15.714285714285714</v>
      </c>
      <c r="N43" s="145">
        <f t="shared" si="26"/>
        <v>1658.0384383702053</v>
      </c>
      <c r="O43" s="148">
        <f t="shared" si="26"/>
        <v>119.17827237772228</v>
      </c>
      <c r="P43" s="95">
        <f>M43-J43</f>
        <v>0.14285714285714235</v>
      </c>
      <c r="Q43" s="131">
        <f>N43-K43</f>
        <v>-238.1044187726518</v>
      </c>
      <c r="R43" s="149">
        <f t="shared" ref="R43:R51" si="27">O43/L43</f>
        <v>0.86714725100160794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2</v>
      </c>
      <c r="AE43" s="151">
        <f>SUM(AE31:AE42)</f>
        <v>0</v>
      </c>
      <c r="AF43" s="88">
        <f t="shared" ref="AF43:AF54" si="28">N43-K43</f>
        <v>-238.1044187726518</v>
      </c>
      <c r="AG43" s="108">
        <f t="shared" si="7"/>
        <v>0.8744269621480778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691</v>
      </c>
      <c r="H44" s="83">
        <f>F44*G44</f>
        <v>15388.57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2072.9999999999995</v>
      </c>
      <c r="O44" s="187">
        <f>N44/M44</f>
        <v>414.59999999999991</v>
      </c>
      <c r="P44" s="92">
        <f t="shared" ref="P44:P51" si="29">M44-J44</f>
        <v>1</v>
      </c>
      <c r="Q44" s="188">
        <f t="shared" ref="Q44:Q51" si="30">O44-L44</f>
        <v>-85.400000000000091</v>
      </c>
      <c r="R44" s="189">
        <f t="shared" si="27"/>
        <v>0.82919999999999983</v>
      </c>
      <c r="S44" s="590">
        <f>R56</f>
        <v>0.88297033973675687</v>
      </c>
      <c r="T44" s="190">
        <v>0.16666666666666666</v>
      </c>
      <c r="U44" s="190">
        <v>0.18055555555555555</v>
      </c>
      <c r="V44" s="191">
        <v>5</v>
      </c>
      <c r="W44" s="192">
        <f t="shared" ref="W44:W56" si="31">(U44-T44)*24*60</f>
        <v>20.000000000000007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72.999999999999545</v>
      </c>
      <c r="AG44" s="194">
        <f t="shared" si="7"/>
        <v>1.0364999999999998</v>
      </c>
      <c r="AH44" s="611">
        <f>AG56</f>
        <v>1.0143302970647097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2094</v>
      </c>
      <c r="H45" s="83">
        <f>F45*G45</f>
        <v>51784.62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2129.4915254237289</v>
      </c>
      <c r="O45" s="187">
        <f>N45/M45</f>
        <v>425.8983050847458</v>
      </c>
      <c r="P45" s="92">
        <f t="shared" si="29"/>
        <v>1</v>
      </c>
      <c r="Q45" s="188">
        <f t="shared" si="30"/>
        <v>-74.1016949152542</v>
      </c>
      <c r="R45" s="189">
        <f t="shared" si="27"/>
        <v>0.8517966101694916</v>
      </c>
      <c r="S45" s="590"/>
      <c r="T45" s="190">
        <v>0.18402777777777776</v>
      </c>
      <c r="U45" s="190">
        <v>0.22499999999999998</v>
      </c>
      <c r="V45" s="191">
        <v>5</v>
      </c>
      <c r="W45" s="192">
        <f t="shared" si="31"/>
        <v>58.999999999999993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129.49152542372894</v>
      </c>
      <c r="AG45" s="194">
        <f t="shared" si="7"/>
        <v>1.0647457627118644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2003</v>
      </c>
      <c r="H46" s="83">
        <f t="shared" ref="H46:H51" si="32">F46*G46</f>
        <v>49534.19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2146.0714285714303</v>
      </c>
      <c r="O46" s="187">
        <f>N46/M46</f>
        <v>429.21428571428606</v>
      </c>
      <c r="P46" s="92">
        <f t="shared" si="29"/>
        <v>1</v>
      </c>
      <c r="Q46" s="188">
        <f t="shared" si="30"/>
        <v>-70.785714285713937</v>
      </c>
      <c r="R46" s="189">
        <f t="shared" si="27"/>
        <v>0.8584285714285721</v>
      </c>
      <c r="S46" s="590"/>
      <c r="T46" s="190">
        <v>0.22847222222222219</v>
      </c>
      <c r="U46" s="190">
        <v>0.26736111111111105</v>
      </c>
      <c r="V46" s="191">
        <v>5</v>
      </c>
      <c r="W46" s="192">
        <f t="shared" si="31"/>
        <v>55.999999999999957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146.07142857143026</v>
      </c>
      <c r="AG46" s="194">
        <f t="shared" si="7"/>
        <v>1.0730357142857152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2694</v>
      </c>
      <c r="H47" s="83">
        <f t="shared" si="32"/>
        <v>84672.42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1469.4545454545453</v>
      </c>
      <c r="O47" s="187">
        <f>N47/M47</f>
        <v>209.9220779220779</v>
      </c>
      <c r="P47" s="92">
        <f t="shared" si="29"/>
        <v>0</v>
      </c>
      <c r="Q47" s="188">
        <f t="shared" si="30"/>
        <v>-4.363636363636374</v>
      </c>
      <c r="R47" s="189">
        <f t="shared" si="27"/>
        <v>0.97963636363636364</v>
      </c>
      <c r="S47" s="590"/>
      <c r="T47" s="190">
        <v>0.28472222222222215</v>
      </c>
      <c r="U47" s="190">
        <v>0.36111111111111105</v>
      </c>
      <c r="V47" s="186">
        <v>25</v>
      </c>
      <c r="W47" s="192">
        <f t="shared" si="31"/>
        <v>110.00000000000001</v>
      </c>
      <c r="X47" s="169">
        <v>0.27083333333333331</v>
      </c>
      <c r="Y47" s="169">
        <v>0.28194444444444444</v>
      </c>
      <c r="Z47" s="170"/>
      <c r="AA47" s="170"/>
      <c r="AB47" s="571"/>
      <c r="AC47" s="571"/>
      <c r="AD47" s="332"/>
      <c r="AE47" s="332"/>
      <c r="AF47" s="193">
        <f t="shared" si="28"/>
        <v>-30.545454545454731</v>
      </c>
      <c r="AG47" s="194">
        <f t="shared" si="7"/>
        <v>0.97963636363636353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2215</v>
      </c>
      <c r="H48" s="83">
        <f t="shared" si="32"/>
        <v>25694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1460.4395604395604</v>
      </c>
      <c r="O48" s="187">
        <f t="shared" ref="O48:O51" si="34">N48/M48</f>
        <v>208.6342229199372</v>
      </c>
      <c r="P48" s="92">
        <f t="shared" si="29"/>
        <v>0</v>
      </c>
      <c r="Q48" s="188">
        <f t="shared" si="30"/>
        <v>-25.080062794348521</v>
      </c>
      <c r="R48" s="189">
        <f t="shared" si="27"/>
        <v>0.89268921787259192</v>
      </c>
      <c r="S48" s="590"/>
      <c r="T48" s="201">
        <v>0.37847222222222215</v>
      </c>
      <c r="U48" s="201">
        <v>0.4416666666666666</v>
      </c>
      <c r="V48" s="183">
        <v>25</v>
      </c>
      <c r="W48" s="192">
        <f t="shared" si="31"/>
        <v>91</v>
      </c>
      <c r="X48" s="169">
        <v>0.36458333333333331</v>
      </c>
      <c r="Y48" s="169">
        <v>0.3756944444444445</v>
      </c>
      <c r="Z48" s="170"/>
      <c r="AA48" s="170"/>
      <c r="AB48" s="571"/>
      <c r="AC48" s="571"/>
      <c r="AD48" s="332"/>
      <c r="AE48" s="332"/>
      <c r="AF48" s="193">
        <f t="shared" si="28"/>
        <v>-175.56043956043959</v>
      </c>
      <c r="AG48" s="194">
        <f t="shared" si="7"/>
        <v>0.89268921787259192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2409</v>
      </c>
      <c r="H49" s="83">
        <f t="shared" si="32"/>
        <v>24306.81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1445.3999999999994</v>
      </c>
      <c r="O49" s="187">
        <f t="shared" si="34"/>
        <v>240.89999999999989</v>
      </c>
      <c r="P49" s="92">
        <f t="shared" si="29"/>
        <v>0</v>
      </c>
      <c r="Q49" s="188">
        <f t="shared" si="30"/>
        <v>-9.100000000000108</v>
      </c>
      <c r="R49" s="189">
        <f t="shared" si="27"/>
        <v>0.96359999999999957</v>
      </c>
      <c r="S49" s="590"/>
      <c r="T49" s="201">
        <v>0.44861111111111102</v>
      </c>
      <c r="U49" s="201">
        <v>0.51805555555555549</v>
      </c>
      <c r="V49" s="183">
        <v>10</v>
      </c>
      <c r="W49" s="192">
        <f t="shared" si="31"/>
        <v>100.00000000000004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-54.600000000000591</v>
      </c>
      <c r="AG49" s="194">
        <f t="shared" si="7"/>
        <v>0.96359999999999957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2529.4499999999998</v>
      </c>
      <c r="H50" s="83">
        <f t="shared" si="32"/>
        <v>25522.150499999996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1473.4660194174762</v>
      </c>
      <c r="O50" s="187">
        <f t="shared" si="34"/>
        <v>245.5776699029127</v>
      </c>
      <c r="P50" s="92">
        <f t="shared" si="29"/>
        <v>0</v>
      </c>
      <c r="Q50" s="188">
        <f t="shared" si="30"/>
        <v>-4.422330097087297</v>
      </c>
      <c r="R50" s="189">
        <f t="shared" si="27"/>
        <v>0.98231067961165086</v>
      </c>
      <c r="S50" s="590"/>
      <c r="T50" s="201">
        <v>0.53888888888888886</v>
      </c>
      <c r="U50" s="201">
        <v>0.61041666666666661</v>
      </c>
      <c r="V50" s="183">
        <v>30</v>
      </c>
      <c r="W50" s="192">
        <f t="shared" si="31"/>
        <v>102.99999999999996</v>
      </c>
      <c r="X50" s="202">
        <v>0.52152777777777781</v>
      </c>
      <c r="Y50" s="202">
        <v>0.53611111111111109</v>
      </c>
      <c r="Z50" s="203"/>
      <c r="AA50" s="203"/>
      <c r="AB50" s="571"/>
      <c r="AC50" s="571"/>
      <c r="AD50" s="332"/>
      <c r="AE50" s="332"/>
      <c r="AF50" s="193">
        <f t="shared" si="28"/>
        <v>-26.533980582523782</v>
      </c>
      <c r="AG50" s="194">
        <f t="shared" si="7"/>
        <v>0.98231067961165086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1142</v>
      </c>
      <c r="H51" s="83">
        <f t="shared" si="32"/>
        <v>25032.640000000003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2141.2499999999968</v>
      </c>
      <c r="O51" s="187">
        <f t="shared" si="34"/>
        <v>428.24999999999937</v>
      </c>
      <c r="P51" s="92">
        <f t="shared" si="29"/>
        <v>1</v>
      </c>
      <c r="Q51" s="188">
        <f t="shared" si="30"/>
        <v>-71.750000000000625</v>
      </c>
      <c r="R51" s="189">
        <f t="shared" si="27"/>
        <v>0.85649999999999871</v>
      </c>
      <c r="S51" s="590"/>
      <c r="T51" s="201">
        <v>0.61736111111111103</v>
      </c>
      <c r="U51" s="201">
        <v>0.63958333333333328</v>
      </c>
      <c r="V51" s="183">
        <v>10</v>
      </c>
      <c r="W51" s="192">
        <f t="shared" si="31"/>
        <v>32.000000000000043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141.24999999999682</v>
      </c>
      <c r="AG51" s="194">
        <f t="shared" si="7"/>
        <v>1.0706249999999984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1792.321634913342</v>
      </c>
      <c r="O56" s="148">
        <f t="shared" si="35"/>
        <v>325.3745701929949</v>
      </c>
      <c r="P56" s="208">
        <f>M56-J56</f>
        <v>0.5</v>
      </c>
      <c r="Q56" s="162">
        <f>N56-K56</f>
        <v>25.321634913341995</v>
      </c>
      <c r="R56" s="209">
        <f t="shared" ref="R56:R61" si="36">O56/L56</f>
        <v>0.88297033973675687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25.321634913341995</v>
      </c>
      <c r="AG56" s="132">
        <f>N56/K56</f>
        <v>1.0143302970647097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1713</v>
      </c>
      <c r="H57" s="127">
        <f t="shared" ref="H57:H66" si="37">F57*G57</f>
        <v>48409.380000000005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1447.6056338028172</v>
      </c>
      <c r="O57" s="129">
        <f t="shared" ref="O57:O61" si="39">N57/M57</f>
        <v>206.8008048289739</v>
      </c>
      <c r="P57" s="216">
        <f t="shared" ref="P57:P61" si="40">M57-J57</f>
        <v>0</v>
      </c>
      <c r="Q57" s="89">
        <f t="shared" ref="Q57:Q61" si="41">O57-L57</f>
        <v>-7.4849094567403824</v>
      </c>
      <c r="R57" s="90">
        <f t="shared" si="36"/>
        <v>0.96507042253521158</v>
      </c>
      <c r="S57" s="590">
        <f>R69</f>
        <v>0.91916034153120385</v>
      </c>
      <c r="T57" s="190">
        <v>0.16666666666666666</v>
      </c>
      <c r="U57" s="190">
        <v>0.2159722222222222</v>
      </c>
      <c r="V57" s="75">
        <v>5</v>
      </c>
      <c r="W57" s="84">
        <f>(U57-T57)*24*60</f>
        <v>70.999999999999986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-52.394366197182762</v>
      </c>
      <c r="AG57" s="166">
        <f t="shared" si="7"/>
        <v>0.96507042253521147</v>
      </c>
      <c r="AH57" s="592">
        <f>AG69</f>
        <v>0.98043769763328403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2413</v>
      </c>
      <c r="H58" s="83">
        <f t="shared" si="37"/>
        <v>67274.44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1477.3469387755106</v>
      </c>
      <c r="O58" s="86">
        <f t="shared" si="39"/>
        <v>211.04956268221579</v>
      </c>
      <c r="P58" s="216">
        <f t="shared" si="40"/>
        <v>0</v>
      </c>
      <c r="Q58" s="89">
        <f t="shared" si="41"/>
        <v>-3.2361516034984845</v>
      </c>
      <c r="R58" s="90">
        <f t="shared" si="36"/>
        <v>0.98489795918367373</v>
      </c>
      <c r="S58" s="590"/>
      <c r="T58" s="217">
        <v>0.22291666666666665</v>
      </c>
      <c r="U58" s="217">
        <v>0.29097222222222219</v>
      </c>
      <c r="V58" s="75">
        <v>10</v>
      </c>
      <c r="W58" s="84">
        <f>(U58-T58)*24*60</f>
        <v>97.999999999999972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-22.65306122448942</v>
      </c>
      <c r="AG58" s="90">
        <f t="shared" si="7"/>
        <v>0.98489795918367373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2719</v>
      </c>
      <c r="H59" s="83">
        <f t="shared" si="37"/>
        <v>76132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1469.7297297297298</v>
      </c>
      <c r="O59" s="86">
        <f t="shared" si="39"/>
        <v>209.96138996138998</v>
      </c>
      <c r="P59" s="216">
        <f t="shared" si="40"/>
        <v>0</v>
      </c>
      <c r="Q59" s="89">
        <f t="shared" si="41"/>
        <v>-4.3243243243242944</v>
      </c>
      <c r="R59" s="90">
        <f t="shared" si="36"/>
        <v>0.97981981981981991</v>
      </c>
      <c r="S59" s="590"/>
      <c r="T59" s="217">
        <v>0.30833333333333329</v>
      </c>
      <c r="U59" s="217">
        <v>0.38541666666666663</v>
      </c>
      <c r="V59" s="191">
        <v>25</v>
      </c>
      <c r="W59" s="84">
        <f>(U59-T59)*24*60</f>
        <v>111</v>
      </c>
      <c r="X59" s="94">
        <v>0.29444444444444445</v>
      </c>
      <c r="Y59" s="94">
        <v>0.30555555555555552</v>
      </c>
      <c r="Z59" s="95"/>
      <c r="AA59" s="95"/>
      <c r="AB59" s="571"/>
      <c r="AC59" s="571"/>
      <c r="AD59" s="332"/>
      <c r="AE59" s="332"/>
      <c r="AF59" s="88">
        <f t="shared" si="6"/>
        <v>-30.270270270270203</v>
      </c>
      <c r="AG59" s="90">
        <f t="shared" si="7"/>
        <v>0.97981981981981991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2288.5500000000002</v>
      </c>
      <c r="H60" s="83">
        <f t="shared" si="37"/>
        <v>23091.469500000003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1460.7765957446811</v>
      </c>
      <c r="O60" s="86">
        <f t="shared" si="39"/>
        <v>208.68237082066872</v>
      </c>
      <c r="P60" s="216">
        <f t="shared" si="40"/>
        <v>1</v>
      </c>
      <c r="Q60" s="89">
        <f t="shared" si="41"/>
        <v>-41.317629179331277</v>
      </c>
      <c r="R60" s="90">
        <f t="shared" si="36"/>
        <v>0.83472948328267493</v>
      </c>
      <c r="S60" s="590"/>
      <c r="T60" s="217">
        <v>0.40277777777777773</v>
      </c>
      <c r="U60" s="217">
        <v>0.4680555555555555</v>
      </c>
      <c r="V60" s="191">
        <v>25</v>
      </c>
      <c r="W60" s="84">
        <f>(U60-T60)*24*60</f>
        <v>93.999999999999986</v>
      </c>
      <c r="X60" s="94">
        <v>0.3888888888888889</v>
      </c>
      <c r="Y60" s="94">
        <v>0.39999999999999997</v>
      </c>
      <c r="Z60" s="95"/>
      <c r="AA60" s="95"/>
      <c r="AB60" s="571"/>
      <c r="AC60" s="571"/>
      <c r="AD60" s="332"/>
      <c r="AE60" s="332"/>
      <c r="AF60" s="88">
        <f t="shared" si="6"/>
        <v>-39.223404255318883</v>
      </c>
      <c r="AG60" s="166">
        <f t="shared" si="7"/>
        <v>0.97385106382978737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4818</v>
      </c>
      <c r="H61" s="83">
        <f t="shared" si="37"/>
        <v>48613.62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1497.8238341968915</v>
      </c>
      <c r="O61" s="86">
        <f t="shared" si="39"/>
        <v>213.9748334566988</v>
      </c>
      <c r="P61" s="216">
        <f t="shared" si="40"/>
        <v>1</v>
      </c>
      <c r="Q61" s="89">
        <f t="shared" si="41"/>
        <v>-36.025166543301196</v>
      </c>
      <c r="R61" s="90">
        <f t="shared" si="36"/>
        <v>0.85589933382679517</v>
      </c>
      <c r="S61" s="590"/>
      <c r="T61" s="217">
        <v>0.48888888888888882</v>
      </c>
      <c r="U61" s="217">
        <v>0.62291666666666656</v>
      </c>
      <c r="V61" s="191">
        <v>30</v>
      </c>
      <c r="W61" s="84">
        <f>(U61-T61)*24*60</f>
        <v>192.99999999999994</v>
      </c>
      <c r="X61" s="94">
        <v>0.47152777777777777</v>
      </c>
      <c r="Y61" s="94">
        <v>0.4861111111111111</v>
      </c>
      <c r="Z61" s="95"/>
      <c r="AA61" s="95"/>
      <c r="AB61" s="571"/>
      <c r="AC61" s="571"/>
      <c r="AD61" s="332"/>
      <c r="AE61" s="332"/>
      <c r="AF61" s="88">
        <f t="shared" si="6"/>
        <v>-2.1761658031084608</v>
      </c>
      <c r="AG61" s="90">
        <f t="shared" si="7"/>
        <v>0.99854922279792768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1470.6565464499261</v>
      </c>
      <c r="O69" s="116">
        <f t="shared" si="43"/>
        <v>210.09379234998946</v>
      </c>
      <c r="P69" s="88">
        <f>M69-J69</f>
        <v>0.40000000000000036</v>
      </c>
      <c r="Q69" s="89">
        <f>N69-K69</f>
        <v>-29.343453550073946</v>
      </c>
      <c r="R69" s="225">
        <f t="shared" ref="R69:R70" si="44">O69/L69</f>
        <v>0.91916034153120385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-29.343453550073946</v>
      </c>
      <c r="AG69" s="90">
        <f t="shared" si="7"/>
        <v>0.98043769763328403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470</v>
      </c>
      <c r="H70" s="83">
        <f>F70*G70</f>
        <v>29201.100000000002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1226.0869565217392</v>
      </c>
      <c r="O70" s="86">
        <f t="shared" ref="O70:O75" si="46">N70/M70</f>
        <v>87.577639751552809</v>
      </c>
      <c r="P70" s="88">
        <f t="shared" ref="P70:P75" si="47">M70-J70</f>
        <v>0</v>
      </c>
      <c r="Q70" s="89">
        <f t="shared" ref="Q70" si="48">O70-L70</f>
        <v>-19.56521739130433</v>
      </c>
      <c r="R70" s="90">
        <f t="shared" si="44"/>
        <v>0.81739130434782625</v>
      </c>
      <c r="S70" s="590">
        <f>R82</f>
        <v>0.88534756706987017</v>
      </c>
      <c r="T70" s="91">
        <v>0.29166666666666669</v>
      </c>
      <c r="U70" s="91">
        <v>0.30763888888888891</v>
      </c>
      <c r="V70" s="75">
        <v>5</v>
      </c>
      <c r="W70" s="84">
        <f>(U70-T70)*24*60</f>
        <v>23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-273.91304347826076</v>
      </c>
      <c r="AG70" s="90">
        <f t="shared" si="7"/>
        <v>0.81739130434782614</v>
      </c>
      <c r="AH70" s="590">
        <f>AG82</f>
        <v>0.88713995481429475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2195</v>
      </c>
      <c r="H71" s="83">
        <f>F71*G71</f>
        <v>104591.75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1330.3030303030305</v>
      </c>
      <c r="O71" s="86">
        <f t="shared" si="46"/>
        <v>73.905723905723917</v>
      </c>
      <c r="P71" s="88">
        <f t="shared" si="47"/>
        <v>0</v>
      </c>
      <c r="Q71" s="89">
        <f>O71-L71</f>
        <v>-6.0942760942760827</v>
      </c>
      <c r="R71" s="90">
        <f>O71/L71</f>
        <v>0.92382154882154899</v>
      </c>
      <c r="S71" s="590"/>
      <c r="T71" s="91">
        <v>0.31319444444444444</v>
      </c>
      <c r="U71" s="91">
        <v>0.38194444444444442</v>
      </c>
      <c r="V71" s="75">
        <v>8</v>
      </c>
      <c r="W71" s="84">
        <f t="shared" ref="W71:W81" si="49">(U71-T71)*24*60</f>
        <v>98.999999999999972</v>
      </c>
      <c r="X71" s="94"/>
      <c r="Y71" s="94"/>
      <c r="Z71" s="95"/>
      <c r="AA71" s="95"/>
      <c r="AB71" s="571"/>
      <c r="AC71" s="571"/>
      <c r="AD71" s="332"/>
      <c r="AE71" s="332">
        <v>1</v>
      </c>
      <c r="AF71" s="88">
        <f>N71-K71</f>
        <v>-109.69696969696952</v>
      </c>
      <c r="AG71" s="90">
        <f>N71/K71</f>
        <v>0.92382154882154899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1151.7</v>
      </c>
      <c r="H72" s="83">
        <f t="shared" ref="H72:H80" si="50">F72*G72</f>
        <v>65474.145000000004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1382.0400000000004</v>
      </c>
      <c r="O72" s="86">
        <f t="shared" si="46"/>
        <v>76.78000000000003</v>
      </c>
      <c r="P72" s="88">
        <f t="shared" si="47"/>
        <v>0</v>
      </c>
      <c r="Q72" s="89">
        <f>O72-L72</f>
        <v>-14.108888888888856</v>
      </c>
      <c r="R72" s="90">
        <f>O72/L72</f>
        <v>0.84476772616136953</v>
      </c>
      <c r="S72" s="590"/>
      <c r="T72" s="91">
        <v>0.3972222222222222</v>
      </c>
      <c r="U72" s="91">
        <v>0.43194444444444441</v>
      </c>
      <c r="V72" s="75">
        <v>22</v>
      </c>
      <c r="W72" s="84">
        <f t="shared" si="49"/>
        <v>49.999999999999986</v>
      </c>
      <c r="X72" s="94">
        <v>0.38541666666666669</v>
      </c>
      <c r="Y72" s="94">
        <v>0.39444444444444443</v>
      </c>
      <c r="Z72" s="95"/>
      <c r="AA72" s="95"/>
      <c r="AB72" s="571"/>
      <c r="AC72" s="571"/>
      <c r="AD72" s="332"/>
      <c r="AE72" s="332"/>
      <c r="AF72" s="88">
        <f>N72-K72</f>
        <v>-253.95999999999958</v>
      </c>
      <c r="AG72" s="90">
        <f>N72/K72</f>
        <v>0.84476772616136941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2258</v>
      </c>
      <c r="H73" s="83">
        <f t="shared" si="50"/>
        <v>121390.08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1341.3861386138608</v>
      </c>
      <c r="O73" s="86">
        <f t="shared" si="46"/>
        <v>83.8366336633663</v>
      </c>
      <c r="P73" s="88">
        <f t="shared" si="47"/>
        <v>0</v>
      </c>
      <c r="Q73" s="89">
        <f>O73-L73</f>
        <v>-6.1633663366337004</v>
      </c>
      <c r="R73" s="90">
        <f>O73/L73</f>
        <v>0.93151815181518116</v>
      </c>
      <c r="S73" s="590"/>
      <c r="T73" s="91">
        <v>0.4729166666666666</v>
      </c>
      <c r="U73" s="91">
        <v>0.54305555555555551</v>
      </c>
      <c r="V73" s="75">
        <v>6</v>
      </c>
      <c r="W73" s="84">
        <f t="shared" si="49"/>
        <v>101.00000000000004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-98.613861386139206</v>
      </c>
      <c r="AG73" s="90">
        <f>N73/K73</f>
        <v>0.93151815181518116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2404</v>
      </c>
      <c r="H74" s="83">
        <f t="shared" si="50"/>
        <v>114214.04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1348.0373831775707</v>
      </c>
      <c r="O74" s="86">
        <f t="shared" si="46"/>
        <v>79.296316657504164</v>
      </c>
      <c r="P74" s="88">
        <f t="shared" si="47"/>
        <v>0</v>
      </c>
      <c r="Q74" s="89">
        <f>O74-L74</f>
        <v>-5.4095656954370099</v>
      </c>
      <c r="R74" s="90">
        <f>O74/L74</f>
        <v>0.93613707165109084</v>
      </c>
      <c r="S74" s="590"/>
      <c r="T74" s="91">
        <v>0.55902777777777768</v>
      </c>
      <c r="U74" s="91">
        <v>0.63333333333333319</v>
      </c>
      <c r="V74" s="75">
        <v>23</v>
      </c>
      <c r="W74" s="84">
        <f t="shared" si="49"/>
        <v>106.99999999999994</v>
      </c>
      <c r="X74" s="233">
        <v>0.54652777777777783</v>
      </c>
      <c r="Y74" s="233">
        <v>0.55625000000000002</v>
      </c>
      <c r="Z74" s="170"/>
      <c r="AA74" s="170"/>
      <c r="AB74" s="571"/>
      <c r="AC74" s="571"/>
      <c r="AD74" s="332"/>
      <c r="AE74" s="332"/>
      <c r="AF74" s="88">
        <f t="shared" ref="AF74:AF80" si="51">N74-K74</f>
        <v>-91.962616822429254</v>
      </c>
      <c r="AG74" s="90">
        <f t="shared" ref="AG74:AG80" si="52">N74/K74</f>
        <v>0.93613707165109084</v>
      </c>
      <c r="AH74" s="590"/>
    </row>
    <row r="75" spans="1:34" ht="19.2" customHeight="1">
      <c r="A75" s="602"/>
      <c r="B75" s="75" t="s">
        <v>243</v>
      </c>
      <c r="C75" s="109"/>
      <c r="D75" s="226" t="s">
        <v>122</v>
      </c>
      <c r="E75" s="81"/>
      <c r="F75" s="650">
        <v>53.36</v>
      </c>
      <c r="G75" s="98">
        <v>1790.87</v>
      </c>
      <c r="H75" s="83">
        <f t="shared" si="50"/>
        <v>95560.823199999999</v>
      </c>
      <c r="I75" s="75"/>
      <c r="J75" s="231">
        <v>19</v>
      </c>
      <c r="K75" s="232">
        <v>1440</v>
      </c>
      <c r="L75" s="129">
        <v>75.78947368421052</v>
      </c>
      <c r="M75" s="87">
        <v>19</v>
      </c>
      <c r="N75" s="82">
        <f t="shared" si="45"/>
        <v>1264.1435294117643</v>
      </c>
      <c r="O75" s="86">
        <f t="shared" si="46"/>
        <v>66.533869969040225</v>
      </c>
      <c r="P75" s="88">
        <f t="shared" si="47"/>
        <v>0</v>
      </c>
      <c r="Q75" s="89">
        <f t="shared" ref="Q75" si="53">O75-L75</f>
        <v>-9.2556037151702952</v>
      </c>
      <c r="R75" s="90">
        <f t="shared" ref="R75" si="54">O75/L75</f>
        <v>0.87787745098039194</v>
      </c>
      <c r="S75" s="590"/>
      <c r="T75" s="91">
        <v>0.63819444444444429</v>
      </c>
      <c r="U75" s="91">
        <v>0.69722222222222208</v>
      </c>
      <c r="V75" s="75">
        <v>7</v>
      </c>
      <c r="W75" s="84">
        <f t="shared" si="49"/>
        <v>85.000000000000014</v>
      </c>
      <c r="X75" s="233"/>
      <c r="Y75" s="233"/>
      <c r="Z75" s="170"/>
      <c r="AA75" s="170"/>
      <c r="AB75" s="571"/>
      <c r="AC75" s="571"/>
      <c r="AD75" s="332"/>
      <c r="AE75" s="332"/>
      <c r="AF75" s="88">
        <f t="shared" si="51"/>
        <v>-175.85647058823565</v>
      </c>
      <c r="AG75" s="90">
        <f t="shared" si="52"/>
        <v>0.87787745098039194</v>
      </c>
      <c r="AH75" s="590"/>
    </row>
    <row r="76" spans="1:34" ht="19.2" customHeight="1">
      <c r="A76" s="602"/>
      <c r="B76" s="75">
        <v>0</v>
      </c>
      <c r="C76" s="228"/>
      <c r="D76" s="229"/>
      <c r="E76" s="230"/>
      <c r="F76" s="650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590"/>
      <c r="T76" s="91"/>
      <c r="U76" s="91"/>
      <c r="V76" s="75"/>
      <c r="W76" s="84"/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0</v>
      </c>
      <c r="AG76" s="90" t="e">
        <f t="shared" si="52"/>
        <v>#DIV/0!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/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17</v>
      </c>
      <c r="K82" s="145">
        <v>1482.6666666666667</v>
      </c>
      <c r="L82" s="148">
        <v>88.087850344816275</v>
      </c>
      <c r="M82" s="145">
        <f t="shared" ref="J82:O82" si="55">AVERAGE(M70:M81)</f>
        <v>17</v>
      </c>
      <c r="N82" s="145">
        <f t="shared" si="55"/>
        <v>1315.3328396713277</v>
      </c>
      <c r="O82" s="237">
        <f t="shared" si="55"/>
        <v>77.988363991197915</v>
      </c>
      <c r="P82" s="161">
        <f>M82-J82</f>
        <v>0</v>
      </c>
      <c r="Q82" s="162">
        <f>N82-K82</f>
        <v>-167.333826995339</v>
      </c>
      <c r="R82" s="225">
        <f>O82/L82</f>
        <v>0.88534756706987017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1</v>
      </c>
      <c r="AF82" s="88">
        <f>N82-K82</f>
        <v>-167.333826995339</v>
      </c>
      <c r="AG82" s="90">
        <f>N82/K82</f>
        <v>0.88713995481429475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1790.87</v>
      </c>
      <c r="H83" s="127">
        <f t="shared" ref="H83:H94" si="56">F83*G83</f>
        <v>95560.823199999999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90" si="57">G83/W83*60</f>
        <v>1249.4441860465113</v>
      </c>
      <c r="O83" s="236">
        <f t="shared" ref="O83:O90" si="58">N83/M83</f>
        <v>65.76022031823743</v>
      </c>
      <c r="P83" s="95">
        <f t="shared" ref="P83:P90" si="59">M83-J83</f>
        <v>0</v>
      </c>
      <c r="Q83" s="131">
        <f t="shared" ref="Q83:Q90" si="60">O83-L83</f>
        <v>-10.029253365973091</v>
      </c>
      <c r="R83" s="239">
        <f t="shared" ref="R83:R90" si="61">O83/L83</f>
        <v>0.86766957364341057</v>
      </c>
      <c r="S83" s="590">
        <f>R95</f>
        <v>0.82993395383268209</v>
      </c>
      <c r="T83" s="91">
        <v>0.33333333333333331</v>
      </c>
      <c r="U83" s="91">
        <v>0.39305555555555555</v>
      </c>
      <c r="V83" s="75">
        <v>5</v>
      </c>
      <c r="W83" s="84">
        <f t="shared" ref="W83:W93" si="62">(U83-T83)*24*60</f>
        <v>86.000000000000014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-190.55581395348872</v>
      </c>
      <c r="AG83" s="90">
        <f t="shared" ref="AG83:AG173" si="64">N83/K83</f>
        <v>0.86766957364341057</v>
      </c>
      <c r="AH83" s="590">
        <f>AG95</f>
        <v>0.83555727086797249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2195.2600000000002</v>
      </c>
      <c r="H84" s="127">
        <f t="shared" si="56"/>
        <v>117139.0736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1219.5888888888887</v>
      </c>
      <c r="O84" s="236">
        <f t="shared" si="58"/>
        <v>64.188888888888883</v>
      </c>
      <c r="P84" s="95">
        <f t="shared" si="59"/>
        <v>0</v>
      </c>
      <c r="Q84" s="131">
        <f t="shared" si="60"/>
        <v>-11.600584795321637</v>
      </c>
      <c r="R84" s="239">
        <f t="shared" si="61"/>
        <v>0.84693672839506173</v>
      </c>
      <c r="S84" s="590"/>
      <c r="T84" s="91">
        <v>0.40902777777777777</v>
      </c>
      <c r="U84" s="91">
        <v>0.48402777777777778</v>
      </c>
      <c r="V84" s="75">
        <v>23</v>
      </c>
      <c r="W84" s="84">
        <f t="shared" si="62"/>
        <v>108.00000000000001</v>
      </c>
      <c r="X84" s="94">
        <v>0.39652777777777781</v>
      </c>
      <c r="Y84" s="94">
        <v>0.40625</v>
      </c>
      <c r="Z84" s="95"/>
      <c r="AA84" s="95"/>
      <c r="AB84" s="571"/>
      <c r="AC84" s="571"/>
      <c r="AD84" s="332"/>
      <c r="AE84" s="332"/>
      <c r="AF84" s="88">
        <f t="shared" si="63"/>
        <v>-220.41111111111127</v>
      </c>
      <c r="AG84" s="90">
        <f t="shared" si="64"/>
        <v>0.84693672839506162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1178</v>
      </c>
      <c r="H85" s="127">
        <f t="shared" si="56"/>
        <v>60961.5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1308.8888888888896</v>
      </c>
      <c r="O85" s="236">
        <f t="shared" si="58"/>
        <v>62.328042328042365</v>
      </c>
      <c r="P85" s="95">
        <f t="shared" si="59"/>
        <v>0</v>
      </c>
      <c r="Q85" s="131">
        <f t="shared" si="60"/>
        <v>-9.1005291005290658</v>
      </c>
      <c r="R85" s="239">
        <f t="shared" si="61"/>
        <v>0.87259259259259303</v>
      </c>
      <c r="S85" s="590"/>
      <c r="T85" s="91">
        <v>0.52499999999999991</v>
      </c>
      <c r="U85" s="91">
        <v>0.56249999999999989</v>
      </c>
      <c r="V85" s="75">
        <v>6</v>
      </c>
      <c r="W85" s="84">
        <f t="shared" si="62"/>
        <v>53.999999999999972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-191.1111111111104</v>
      </c>
      <c r="AG85" s="90">
        <f t="shared" si="64"/>
        <v>0.87259259259259303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590</v>
      </c>
      <c r="H86" s="127">
        <f t="shared" si="56"/>
        <v>35010.6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1072.7272727272712</v>
      </c>
      <c r="O86" s="236">
        <f t="shared" si="58"/>
        <v>63.101604278074774</v>
      </c>
      <c r="P86" s="95">
        <f t="shared" si="59"/>
        <v>0</v>
      </c>
      <c r="Q86" s="131">
        <f t="shared" si="60"/>
        <v>-21.6042780748664</v>
      </c>
      <c r="R86" s="239">
        <f t="shared" si="61"/>
        <v>0.74494949494949392</v>
      </c>
      <c r="S86" s="590"/>
      <c r="T86" s="91">
        <v>0.56736111111111098</v>
      </c>
      <c r="U86" s="91">
        <v>0.59027777777777768</v>
      </c>
      <c r="V86" s="75">
        <v>7</v>
      </c>
      <c r="W86" s="84">
        <f t="shared" si="62"/>
        <v>33.000000000000043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-367.27272727272884</v>
      </c>
      <c r="AG86" s="90">
        <f t="shared" si="64"/>
        <v>0.74494949494949381</v>
      </c>
      <c r="AH86" s="590"/>
    </row>
    <row r="87" spans="1:34" ht="19.2" customHeight="1">
      <c r="A87" s="601"/>
      <c r="B87" s="154" t="s">
        <v>247</v>
      </c>
      <c r="C87" s="141"/>
      <c r="D87" s="240" t="s">
        <v>133</v>
      </c>
      <c r="E87" s="81"/>
      <c r="F87" s="657">
        <v>56.43</v>
      </c>
      <c r="G87" s="82">
        <v>1056</v>
      </c>
      <c r="H87" s="127">
        <f t="shared" si="56"/>
        <v>59590.080000000002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1377.391304347826</v>
      </c>
      <c r="O87" s="236">
        <f t="shared" si="58"/>
        <v>76.521739130434781</v>
      </c>
      <c r="P87" s="95">
        <f t="shared" si="59"/>
        <v>0</v>
      </c>
      <c r="Q87" s="131">
        <f t="shared" si="60"/>
        <v>-6.8115942028985472</v>
      </c>
      <c r="R87" s="239">
        <f t="shared" si="61"/>
        <v>0.91826086956521746</v>
      </c>
      <c r="S87" s="590"/>
      <c r="T87" s="91">
        <v>0.6055555555555554</v>
      </c>
      <c r="U87" s="91">
        <v>0.63749999999999984</v>
      </c>
      <c r="V87" s="75">
        <v>22</v>
      </c>
      <c r="W87" s="84">
        <f t="shared" si="62"/>
        <v>46</v>
      </c>
      <c r="X87" s="94">
        <v>0.59375</v>
      </c>
      <c r="Y87" s="94">
        <v>0.60277777777777775</v>
      </c>
      <c r="Z87" s="95"/>
      <c r="AA87" s="95"/>
      <c r="AB87" s="571"/>
      <c r="AC87" s="571"/>
      <c r="AD87" s="332"/>
      <c r="AE87" s="332"/>
      <c r="AF87" s="88">
        <f t="shared" si="63"/>
        <v>-122.60869565217399</v>
      </c>
      <c r="AG87" s="90">
        <f t="shared" si="64"/>
        <v>0.91826086956521735</v>
      </c>
      <c r="AH87" s="590"/>
    </row>
    <row r="88" spans="1:34" ht="19.2" customHeight="1">
      <c r="A88" s="601"/>
      <c r="B88" s="154" t="s">
        <v>247</v>
      </c>
      <c r="C88" s="218"/>
      <c r="D88" s="240" t="s">
        <v>314</v>
      </c>
      <c r="E88" s="81"/>
      <c r="F88" s="657">
        <v>56.85</v>
      </c>
      <c r="G88" s="98">
        <v>767.80000000000007</v>
      </c>
      <c r="H88" s="127">
        <f t="shared" si="56"/>
        <v>43649.430000000008</v>
      </c>
      <c r="I88" s="75"/>
      <c r="J88" s="130">
        <v>18</v>
      </c>
      <c r="K88" s="98">
        <v>1636</v>
      </c>
      <c r="L88" s="129">
        <v>90.888888888888886</v>
      </c>
      <c r="M88" s="174">
        <v>18</v>
      </c>
      <c r="N88" s="98">
        <f t="shared" si="57"/>
        <v>1354.9411764705867</v>
      </c>
      <c r="O88" s="236">
        <f t="shared" si="58"/>
        <v>75.274509803921489</v>
      </c>
      <c r="P88" s="95">
        <f t="shared" si="59"/>
        <v>0</v>
      </c>
      <c r="Q88" s="131">
        <f t="shared" si="60"/>
        <v>-15.614379084967396</v>
      </c>
      <c r="R88" s="239">
        <f t="shared" si="61"/>
        <v>0.82820365309938071</v>
      </c>
      <c r="S88" s="590"/>
      <c r="T88" s="91">
        <v>0.6416666666666665</v>
      </c>
      <c r="U88" s="91">
        <v>0.66527777777777763</v>
      </c>
      <c r="V88" s="75">
        <v>6</v>
      </c>
      <c r="W88" s="84">
        <f t="shared" si="62"/>
        <v>34.000000000000043</v>
      </c>
      <c r="X88" s="94"/>
      <c r="Y88" s="94"/>
      <c r="Z88" s="95"/>
      <c r="AA88" s="95"/>
      <c r="AB88" s="571"/>
      <c r="AC88" s="571"/>
      <c r="AD88" s="332"/>
      <c r="AE88" s="332"/>
      <c r="AF88" s="88">
        <f t="shared" si="63"/>
        <v>-281.0588235294133</v>
      </c>
      <c r="AG88" s="90">
        <f t="shared" si="64"/>
        <v>0.8282036530993806</v>
      </c>
      <c r="AH88" s="590"/>
    </row>
    <row r="89" spans="1:34" ht="19.2" customHeight="1">
      <c r="A89" s="601"/>
      <c r="B89" s="154" t="s">
        <v>247</v>
      </c>
      <c r="C89" s="218"/>
      <c r="D89" s="80" t="s">
        <v>125</v>
      </c>
      <c r="E89" s="81"/>
      <c r="F89" s="657">
        <v>58.17</v>
      </c>
      <c r="G89" s="159">
        <v>975</v>
      </c>
      <c r="H89" s="127">
        <f t="shared" si="56"/>
        <v>56715.75</v>
      </c>
      <c r="I89" s="75"/>
      <c r="J89" s="130">
        <v>19</v>
      </c>
      <c r="K89" s="98">
        <v>1385</v>
      </c>
      <c r="L89" s="129">
        <v>72.89473684210526</v>
      </c>
      <c r="M89" s="174">
        <v>20</v>
      </c>
      <c r="N89" s="98">
        <f t="shared" si="57"/>
        <v>1147.0588235294122</v>
      </c>
      <c r="O89" s="236">
        <f t="shared" si="58"/>
        <v>57.352941176470608</v>
      </c>
      <c r="P89" s="95">
        <f t="shared" si="59"/>
        <v>1</v>
      </c>
      <c r="Q89" s="131">
        <f t="shared" si="60"/>
        <v>-15.541795665634652</v>
      </c>
      <c r="R89" s="239">
        <f t="shared" si="61"/>
        <v>0.78679125079634771</v>
      </c>
      <c r="S89" s="590"/>
      <c r="T89" s="91">
        <v>0.70833333333333337</v>
      </c>
      <c r="U89" s="91">
        <v>0.74375000000000002</v>
      </c>
      <c r="V89" s="75">
        <v>5</v>
      </c>
      <c r="W89" s="84">
        <f t="shared" si="62"/>
        <v>50.999999999999979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-237.94117647058783</v>
      </c>
      <c r="AG89" s="90">
        <f t="shared" si="64"/>
        <v>0.82820131662773444</v>
      </c>
      <c r="AH89" s="590"/>
    </row>
    <row r="90" spans="1:34" ht="19.2" customHeight="1">
      <c r="A90" s="601"/>
      <c r="B90" s="154" t="s">
        <v>247</v>
      </c>
      <c r="C90" s="218"/>
      <c r="D90" s="80" t="s">
        <v>126</v>
      </c>
      <c r="E90" s="81"/>
      <c r="F90" s="657">
        <v>53.68</v>
      </c>
      <c r="G90" s="173">
        <v>1125</v>
      </c>
      <c r="H90" s="127">
        <f t="shared" si="56"/>
        <v>60390</v>
      </c>
      <c r="I90" s="241"/>
      <c r="J90" s="130">
        <v>20</v>
      </c>
      <c r="K90" s="98">
        <v>1500</v>
      </c>
      <c r="L90" s="129">
        <v>75</v>
      </c>
      <c r="M90" s="174">
        <v>20</v>
      </c>
      <c r="N90" s="98">
        <f t="shared" si="57"/>
        <v>1163.7931034482767</v>
      </c>
      <c r="O90" s="236">
        <f t="shared" si="58"/>
        <v>58.189655172413836</v>
      </c>
      <c r="P90" s="95">
        <f t="shared" si="59"/>
        <v>0</v>
      </c>
      <c r="Q90" s="131">
        <f t="shared" si="60"/>
        <v>-16.810344827586164</v>
      </c>
      <c r="R90" s="239">
        <f t="shared" si="61"/>
        <v>0.77586206896551779</v>
      </c>
      <c r="S90" s="590"/>
      <c r="T90" s="91">
        <v>0.74861111111111112</v>
      </c>
      <c r="U90" s="91">
        <v>0.78888888888888886</v>
      </c>
      <c r="V90" s="75">
        <v>7</v>
      </c>
      <c r="W90" s="84">
        <f t="shared" si="62"/>
        <v>57.999999999999957</v>
      </c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-336.20689655172328</v>
      </c>
      <c r="AG90" s="90">
        <f t="shared" si="64"/>
        <v>0.77586206896551779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18.875</v>
      </c>
      <c r="K95" s="257">
        <v>1480.125</v>
      </c>
      <c r="L95" s="258">
        <v>78.728795026782649</v>
      </c>
      <c r="M95" s="257">
        <f t="shared" ref="J95:O95" si="65">AVERAGE(M83:M94)</f>
        <v>19</v>
      </c>
      <c r="N95" s="257">
        <f t="shared" si="65"/>
        <v>1236.7292055434577</v>
      </c>
      <c r="O95" s="258">
        <f t="shared" si="65"/>
        <v>65.339700137060518</v>
      </c>
      <c r="P95" s="259">
        <f>M95-J95</f>
        <v>0.125</v>
      </c>
      <c r="Q95" s="260">
        <f t="shared" ref="Q95:Q102" si="66">O95-L95</f>
        <v>-13.389094889722131</v>
      </c>
      <c r="R95" s="261">
        <f>O95/L95</f>
        <v>0.82993395383268209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-243.39579445654226</v>
      </c>
      <c r="AG95" s="108">
        <f t="shared" si="64"/>
        <v>0.83555727086797249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368</v>
      </c>
      <c r="H96" s="83">
        <f t="shared" ref="H96:H106" si="67">F96*G96</f>
        <v>13586.560000000001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1298.823529411763</v>
      </c>
      <c r="O96" s="86">
        <f t="shared" ref="O96:O102" si="69">N96/M96</f>
        <v>216.47058823529383</v>
      </c>
      <c r="P96" s="88">
        <f t="shared" ref="P96:P102" si="70">M96-J96</f>
        <v>0</v>
      </c>
      <c r="Q96" s="89">
        <f t="shared" si="66"/>
        <v>-56.196078431372854</v>
      </c>
      <c r="R96" s="90">
        <f t="shared" ref="R96:R102" si="71">O96/L96</f>
        <v>0.79390191284337586</v>
      </c>
      <c r="S96" s="590">
        <f>R108</f>
        <v>0.85903527274603531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-337.17647058823695</v>
      </c>
      <c r="AG96" s="132">
        <f t="shared" si="64"/>
        <v>0.79390191284337597</v>
      </c>
      <c r="AH96" s="575">
        <f>AG108</f>
        <v>0.87629552902322094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1919.5</v>
      </c>
      <c r="H97" s="265">
        <f t="shared" si="67"/>
        <v>109123.575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1308.75</v>
      </c>
      <c r="O97" s="86">
        <f t="shared" si="69"/>
        <v>72.708333333333329</v>
      </c>
      <c r="P97" s="88">
        <f t="shared" si="70"/>
        <v>0</v>
      </c>
      <c r="Q97" s="89">
        <f t="shared" si="66"/>
        <v>-18.180555555555557</v>
      </c>
      <c r="R97" s="90">
        <f t="shared" si="71"/>
        <v>0.7999694376528117</v>
      </c>
      <c r="S97" s="590"/>
      <c r="T97" s="266">
        <v>0.35</v>
      </c>
      <c r="U97" s="266">
        <v>0.41111111111111109</v>
      </c>
      <c r="V97" s="267">
        <v>7</v>
      </c>
      <c r="W97" s="134">
        <f t="shared" si="72"/>
        <v>88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-327.25</v>
      </c>
      <c r="AG97" s="269">
        <f t="shared" si="64"/>
        <v>0.7999694376528117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898</v>
      </c>
      <c r="H98" s="265">
        <f t="shared" si="67"/>
        <v>64251.899999999994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1282.8571428571424</v>
      </c>
      <c r="O98" s="86">
        <f t="shared" si="69"/>
        <v>71.269841269841251</v>
      </c>
      <c r="P98" s="88">
        <f t="shared" si="70"/>
        <v>0</v>
      </c>
      <c r="Q98" s="89">
        <f t="shared" si="66"/>
        <v>-5.6746031746031917</v>
      </c>
      <c r="R98" s="90">
        <f t="shared" si="71"/>
        <v>0.92625064466219675</v>
      </c>
      <c r="S98" s="590"/>
      <c r="T98" s="133">
        <v>0.45208333333333328</v>
      </c>
      <c r="U98" s="133">
        <v>0.48124999999999996</v>
      </c>
      <c r="V98" s="332">
        <v>6</v>
      </c>
      <c r="W98" s="134">
        <f t="shared" si="72"/>
        <v>42.000000000000014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-102.14285714285757</v>
      </c>
      <c r="AG98" s="132">
        <f t="shared" si="64"/>
        <v>0.92625064466219675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1482</v>
      </c>
      <c r="H99" s="265">
        <f t="shared" si="67"/>
        <v>88238.28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1270.2857142857129</v>
      </c>
      <c r="O99" s="86">
        <f t="shared" si="69"/>
        <v>70.571428571428498</v>
      </c>
      <c r="P99" s="88">
        <f t="shared" si="70"/>
        <v>0</v>
      </c>
      <c r="Q99" s="89">
        <f t="shared" si="66"/>
        <v>-6.3730158730159445</v>
      </c>
      <c r="R99" s="90">
        <f t="shared" si="71"/>
        <v>0.91717380092831269</v>
      </c>
      <c r="S99" s="590"/>
      <c r="T99" s="133">
        <v>0.48611111111111105</v>
      </c>
      <c r="U99" s="133">
        <v>0.53472222222222221</v>
      </c>
      <c r="V99" s="332">
        <v>7</v>
      </c>
      <c r="W99" s="134">
        <f t="shared" si="72"/>
        <v>70.000000000000071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-114.71428571428714</v>
      </c>
      <c r="AG99" s="269">
        <f t="shared" si="64"/>
        <v>0.91717380092831258</v>
      </c>
      <c r="AH99" s="575"/>
    </row>
    <row r="100" spans="1:34" s="274" customFormat="1" ht="19.2" customHeight="1">
      <c r="A100" s="598"/>
      <c r="B100" s="75" t="s">
        <v>247</v>
      </c>
      <c r="C100" s="96"/>
      <c r="D100" s="80" t="s">
        <v>132</v>
      </c>
      <c r="E100" s="126"/>
      <c r="F100" s="661">
        <v>57.734999999999999</v>
      </c>
      <c r="G100" s="98">
        <v>1516</v>
      </c>
      <c r="H100" s="265">
        <f t="shared" si="67"/>
        <v>87526.26</v>
      </c>
      <c r="I100" s="332"/>
      <c r="J100" s="85">
        <v>16</v>
      </c>
      <c r="K100" s="82">
        <v>1565</v>
      </c>
      <c r="L100" s="86">
        <v>97.8125</v>
      </c>
      <c r="M100" s="130">
        <v>16</v>
      </c>
      <c r="N100" s="82">
        <f t="shared" si="68"/>
        <v>1378.1818181818196</v>
      </c>
      <c r="O100" s="86">
        <f t="shared" si="69"/>
        <v>86.136363636363726</v>
      </c>
      <c r="P100" s="88">
        <f t="shared" si="70"/>
        <v>0</v>
      </c>
      <c r="Q100" s="89">
        <f t="shared" si="66"/>
        <v>-11.676136363636274</v>
      </c>
      <c r="R100" s="90">
        <f t="shared" si="71"/>
        <v>0.8806273598605876</v>
      </c>
      <c r="S100" s="590"/>
      <c r="T100" s="266">
        <v>0.54999999999999993</v>
      </c>
      <c r="U100" s="266">
        <v>0.59583333333333321</v>
      </c>
      <c r="V100" s="267">
        <v>22</v>
      </c>
      <c r="W100" s="134">
        <f t="shared" si="72"/>
        <v>65.999999999999929</v>
      </c>
      <c r="X100" s="275">
        <v>0.53819444444444442</v>
      </c>
      <c r="Y100" s="275">
        <v>0.54722222222222217</v>
      </c>
      <c r="Z100" s="272"/>
      <c r="AA100" s="272"/>
      <c r="AB100" s="571"/>
      <c r="AC100" s="571"/>
      <c r="AD100" s="332"/>
      <c r="AE100" s="332"/>
      <c r="AF100" s="95">
        <f t="shared" si="63"/>
        <v>-186.81818181818039</v>
      </c>
      <c r="AG100" s="132">
        <f t="shared" si="64"/>
        <v>0.8806273598605876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898</v>
      </c>
      <c r="H101" s="265">
        <f t="shared" si="67"/>
        <v>48752.42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1314.1463414634143</v>
      </c>
      <c r="O101" s="86">
        <f t="shared" si="69"/>
        <v>87.609756097560947</v>
      </c>
      <c r="P101" s="88">
        <f t="shared" si="70"/>
        <v>0</v>
      </c>
      <c r="Q101" s="89">
        <f t="shared" si="66"/>
        <v>-8.3902439024390532</v>
      </c>
      <c r="R101" s="90">
        <f t="shared" si="71"/>
        <v>0.91260162601625983</v>
      </c>
      <c r="S101" s="590"/>
      <c r="T101" s="266">
        <v>0.70833333333333337</v>
      </c>
      <c r="U101" s="133">
        <v>0.7368055555555556</v>
      </c>
      <c r="V101" s="267">
        <v>5</v>
      </c>
      <c r="W101" s="134">
        <f t="shared" si="72"/>
        <v>41.000000000000014</v>
      </c>
      <c r="X101" s="276"/>
      <c r="Y101" s="276"/>
      <c r="Z101" s="272"/>
      <c r="AA101" s="272"/>
      <c r="AB101" s="571"/>
      <c r="AC101" s="571"/>
      <c r="AD101" s="332"/>
      <c r="AE101" s="332"/>
      <c r="AF101" s="268">
        <f t="shared" si="63"/>
        <v>-125.85365853658573</v>
      </c>
      <c r="AG101" s="269">
        <f t="shared" si="64"/>
        <v>0.91260162601625994</v>
      </c>
      <c r="AH101" s="575"/>
    </row>
    <row r="102" spans="1:34" s="274" customFormat="1" ht="19.2" customHeight="1">
      <c r="A102" s="598"/>
      <c r="B102" s="75" t="s">
        <v>247</v>
      </c>
      <c r="C102" s="228"/>
      <c r="D102" s="229" t="s">
        <v>137</v>
      </c>
      <c r="E102" s="230"/>
      <c r="F102" s="661">
        <v>55.56</v>
      </c>
      <c r="G102" s="98">
        <v>802</v>
      </c>
      <c r="H102" s="265">
        <f t="shared" si="67"/>
        <v>44559.12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1336.6666666666656</v>
      </c>
      <c r="O102" s="86">
        <f t="shared" si="69"/>
        <v>83.5416666666666</v>
      </c>
      <c r="P102" s="88">
        <f t="shared" si="70"/>
        <v>0</v>
      </c>
      <c r="Q102" s="89">
        <f t="shared" si="66"/>
        <v>-6.4583333333333997</v>
      </c>
      <c r="R102" s="90">
        <f t="shared" si="71"/>
        <v>0.92824074074074003</v>
      </c>
      <c r="S102" s="590"/>
      <c r="T102" s="266">
        <v>0.74097222222222225</v>
      </c>
      <c r="U102" s="266">
        <v>0.76597222222222228</v>
      </c>
      <c r="V102" s="267">
        <v>6</v>
      </c>
      <c r="W102" s="134">
        <f t="shared" si="72"/>
        <v>36.000000000000028</v>
      </c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-103.33333333333439</v>
      </c>
      <c r="AG102" s="132">
        <f t="shared" si="64"/>
        <v>0.92824074074074003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>
        <f t="shared" si="72"/>
        <v>0</v>
      </c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>
        <f t="shared" si="72"/>
        <v>0</v>
      </c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15.285714285714286</v>
      </c>
      <c r="K108" s="145">
        <v>1498.1428571428571</v>
      </c>
      <c r="L108" s="148">
        <v>114.46527777777779</v>
      </c>
      <c r="M108" s="145">
        <f t="shared" ref="J108:O108" si="73">AVERAGE(M96:M107)</f>
        <v>15.285714285714286</v>
      </c>
      <c r="N108" s="145">
        <f t="shared" si="73"/>
        <v>1312.8158875523598</v>
      </c>
      <c r="O108" s="148">
        <f t="shared" si="73"/>
        <v>98.329711115784036</v>
      </c>
      <c r="P108" s="95">
        <f t="shared" ref="P108:P114" si="74">M108-J108</f>
        <v>0</v>
      </c>
      <c r="Q108" s="131">
        <f t="shared" ref="Q108:Q114" si="75">O108-L108</f>
        <v>-16.135566661993749</v>
      </c>
      <c r="R108" s="149">
        <f t="shared" ref="R108:R114" si="76">O108/L108</f>
        <v>0.85903527274603531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-185.32696959049736</v>
      </c>
      <c r="AG108" s="132">
        <f t="shared" si="64"/>
        <v>0.87629552902322094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604</v>
      </c>
      <c r="H109" s="83">
        <f t="shared" ref="H109:H118" si="77">F109*G109</f>
        <v>46713.36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1294.2857142857115</v>
      </c>
      <c r="O109" s="86">
        <f t="shared" ref="O109:O114" si="79">N109/M109</f>
        <v>71.904761904761756</v>
      </c>
      <c r="P109" s="88">
        <f t="shared" si="74"/>
        <v>0</v>
      </c>
      <c r="Q109" s="89">
        <f t="shared" si="75"/>
        <v>-8.0952380952382441</v>
      </c>
      <c r="R109" s="90">
        <f t="shared" si="76"/>
        <v>0.89880952380952195</v>
      </c>
      <c r="S109" s="597">
        <f>R121</f>
        <v>0.81497703994797865</v>
      </c>
      <c r="T109" s="283">
        <v>0.5</v>
      </c>
      <c r="U109" s="283">
        <v>0.51944444444444449</v>
      </c>
      <c r="V109" s="284">
        <v>5</v>
      </c>
      <c r="W109" s="84">
        <f t="shared" si="72"/>
        <v>28.00000000000006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-145.71428571428851</v>
      </c>
      <c r="AG109" s="171">
        <f t="shared" si="64"/>
        <v>0.89880952380952184</v>
      </c>
      <c r="AH109" s="575">
        <f>AG121</f>
        <v>0.83306341897717251</v>
      </c>
    </row>
    <row r="110" spans="1:34" ht="19.2" customHeight="1">
      <c r="A110" s="595"/>
      <c r="B110" s="75" t="s">
        <v>247</v>
      </c>
      <c r="C110" s="228"/>
      <c r="D110" s="80" t="s">
        <v>131</v>
      </c>
      <c r="E110" s="230"/>
      <c r="F110" s="650">
        <v>53.68</v>
      </c>
      <c r="G110" s="227">
        <v>1067</v>
      </c>
      <c r="H110" s="83">
        <f t="shared" si="77"/>
        <v>57276.56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1362.1276595744685</v>
      </c>
      <c r="O110" s="86">
        <f t="shared" si="79"/>
        <v>85.132978723404278</v>
      </c>
      <c r="P110" s="88">
        <f t="shared" si="74"/>
        <v>0</v>
      </c>
      <c r="Q110" s="89">
        <f t="shared" si="75"/>
        <v>-8.6170212765957217</v>
      </c>
      <c r="R110" s="90">
        <f t="shared" si="76"/>
        <v>0.90808510638297901</v>
      </c>
      <c r="S110" s="586"/>
      <c r="T110" s="283">
        <v>0.52361111111111114</v>
      </c>
      <c r="U110" s="283">
        <v>0.55625000000000002</v>
      </c>
      <c r="V110" s="284">
        <v>6</v>
      </c>
      <c r="W110" s="84">
        <f t="shared" si="72"/>
        <v>46.999999999999993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-137.87234042553155</v>
      </c>
      <c r="AG110" s="171">
        <f t="shared" si="64"/>
        <v>0.90808510638297901</v>
      </c>
      <c r="AH110" s="575"/>
    </row>
    <row r="111" spans="1:34" ht="19.2" customHeight="1">
      <c r="A111" s="595"/>
      <c r="B111" s="75" t="s">
        <v>247</v>
      </c>
      <c r="C111" s="228"/>
      <c r="D111" s="80" t="s">
        <v>322</v>
      </c>
      <c r="E111" s="230"/>
      <c r="F111" s="650">
        <v>44.98</v>
      </c>
      <c r="G111" s="98">
        <v>2324.75</v>
      </c>
      <c r="H111" s="83">
        <f t="shared" si="77"/>
        <v>104567.25499999999</v>
      </c>
      <c r="I111" s="75"/>
      <c r="J111" s="85">
        <v>19</v>
      </c>
      <c r="K111" s="82">
        <v>1500</v>
      </c>
      <c r="L111" s="86">
        <v>78.94736842105263</v>
      </c>
      <c r="M111" s="285">
        <v>19</v>
      </c>
      <c r="N111" s="82">
        <f t="shared" si="78"/>
        <v>1245.4017857142849</v>
      </c>
      <c r="O111" s="86">
        <f t="shared" si="79"/>
        <v>65.547462406014986</v>
      </c>
      <c r="P111" s="88">
        <f t="shared" si="74"/>
        <v>0</v>
      </c>
      <c r="Q111" s="89">
        <f t="shared" si="75"/>
        <v>-13.399906015037644</v>
      </c>
      <c r="R111" s="90">
        <f t="shared" si="76"/>
        <v>0.83026785714285656</v>
      </c>
      <c r="S111" s="586"/>
      <c r="T111" s="283">
        <v>0.70833333333333337</v>
      </c>
      <c r="U111" s="283">
        <v>0.7861111111111112</v>
      </c>
      <c r="V111" s="284">
        <v>5</v>
      </c>
      <c r="W111" s="84">
        <f t="shared" si="72"/>
        <v>112.00000000000009</v>
      </c>
      <c r="X111" s="94"/>
      <c r="Y111" s="94"/>
      <c r="Z111" s="95"/>
      <c r="AA111" s="95"/>
      <c r="AB111" s="571"/>
      <c r="AC111" s="571"/>
      <c r="AD111" s="332">
        <v>1</v>
      </c>
      <c r="AE111" s="332"/>
      <c r="AF111" s="88">
        <f t="shared" si="63"/>
        <v>-254.59821428571513</v>
      </c>
      <c r="AG111" s="171">
        <f t="shared" si="64"/>
        <v>0.83026785714285656</v>
      </c>
      <c r="AH111" s="575"/>
    </row>
    <row r="112" spans="1:34" ht="19.2" customHeight="1">
      <c r="A112" s="595"/>
      <c r="B112" s="75" t="s">
        <v>247</v>
      </c>
      <c r="C112" s="228"/>
      <c r="D112" s="229" t="s">
        <v>138</v>
      </c>
      <c r="E112" s="230"/>
      <c r="F112" s="650">
        <v>57.73</v>
      </c>
      <c r="G112" s="98">
        <v>871</v>
      </c>
      <c r="H112" s="83">
        <f t="shared" si="77"/>
        <v>50282.829999999994</v>
      </c>
      <c r="I112" s="332"/>
      <c r="J112" s="85">
        <v>16</v>
      </c>
      <c r="K112" s="82">
        <v>1440</v>
      </c>
      <c r="L112" s="86">
        <v>90</v>
      </c>
      <c r="M112" s="285">
        <v>17</v>
      </c>
      <c r="N112" s="82">
        <f t="shared" si="78"/>
        <v>1187.7272727272727</v>
      </c>
      <c r="O112" s="86">
        <f t="shared" si="79"/>
        <v>69.866310160427815</v>
      </c>
      <c r="P112" s="88">
        <f t="shared" si="74"/>
        <v>1</v>
      </c>
      <c r="Q112" s="89">
        <f t="shared" si="75"/>
        <v>-20.133689839572185</v>
      </c>
      <c r="R112" s="90">
        <f t="shared" si="76"/>
        <v>0.7762923351158646</v>
      </c>
      <c r="S112" s="586"/>
      <c r="T112" s="283">
        <v>0.79027777777777786</v>
      </c>
      <c r="U112" s="283">
        <v>0.82083333333333341</v>
      </c>
      <c r="V112" s="284">
        <v>6</v>
      </c>
      <c r="W112" s="84">
        <f t="shared" si="72"/>
        <v>44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-252.27272727272725</v>
      </c>
      <c r="AG112" s="171">
        <f t="shared" si="64"/>
        <v>0.82481060606060608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136</v>
      </c>
      <c r="E113" s="230"/>
      <c r="F113" s="650">
        <v>55.32</v>
      </c>
      <c r="G113" s="98">
        <v>491</v>
      </c>
      <c r="H113" s="83">
        <f t="shared" si="77"/>
        <v>27162.12</v>
      </c>
      <c r="I113" s="332"/>
      <c r="J113" s="85">
        <v>14</v>
      </c>
      <c r="K113" s="82">
        <v>1440</v>
      </c>
      <c r="L113" s="86">
        <v>102.85714285714286</v>
      </c>
      <c r="M113" s="285">
        <v>15</v>
      </c>
      <c r="N113" s="82">
        <f t="shared" si="78"/>
        <v>1133.0769230769201</v>
      </c>
      <c r="O113" s="86">
        <f t="shared" si="79"/>
        <v>75.538461538461348</v>
      </c>
      <c r="P113" s="88">
        <f t="shared" si="74"/>
        <v>1</v>
      </c>
      <c r="Q113" s="89">
        <f t="shared" si="75"/>
        <v>-27.318681318681513</v>
      </c>
      <c r="R113" s="90">
        <f t="shared" si="76"/>
        <v>0.73440170940170757</v>
      </c>
      <c r="S113" s="586"/>
      <c r="T113" s="283">
        <v>0.82569444444444451</v>
      </c>
      <c r="U113" s="283">
        <v>0.84375000000000011</v>
      </c>
      <c r="V113" s="284">
        <v>7</v>
      </c>
      <c r="W113" s="84">
        <f t="shared" si="72"/>
        <v>26.000000000000068</v>
      </c>
      <c r="X113" s="271"/>
      <c r="Y113" s="271"/>
      <c r="Z113" s="272"/>
      <c r="AA113" s="272"/>
      <c r="AB113" s="571"/>
      <c r="AC113" s="571"/>
      <c r="AD113" s="277"/>
      <c r="AE113" s="277"/>
      <c r="AF113" s="152">
        <f t="shared" si="63"/>
        <v>-306.92307692307986</v>
      </c>
      <c r="AG113" s="171">
        <f t="shared" si="64"/>
        <v>0.78685897435897234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126</v>
      </c>
      <c r="E114" s="230"/>
      <c r="F114" s="650">
        <v>53.68</v>
      </c>
      <c r="G114" s="98">
        <v>225</v>
      </c>
      <c r="H114" s="83">
        <f t="shared" si="77"/>
        <v>12078</v>
      </c>
      <c r="I114" s="332">
        <v>2</v>
      </c>
      <c r="J114" s="85">
        <v>20</v>
      </c>
      <c r="K114" s="82">
        <v>1500</v>
      </c>
      <c r="L114" s="86">
        <v>75</v>
      </c>
      <c r="M114" s="285">
        <v>20</v>
      </c>
      <c r="N114" s="82">
        <f t="shared" si="78"/>
        <v>1125.0000000000041</v>
      </c>
      <c r="O114" s="86">
        <f t="shared" si="79"/>
        <v>56.250000000000206</v>
      </c>
      <c r="P114" s="88">
        <f t="shared" si="74"/>
        <v>0</v>
      </c>
      <c r="Q114" s="89">
        <f t="shared" si="75"/>
        <v>-18.749999999999794</v>
      </c>
      <c r="R114" s="90">
        <f t="shared" si="76"/>
        <v>0.75000000000000278</v>
      </c>
      <c r="S114" s="586"/>
      <c r="T114" s="283">
        <v>0.84930555555555565</v>
      </c>
      <c r="U114" s="283">
        <v>0.85763888888888895</v>
      </c>
      <c r="V114" s="284">
        <v>8</v>
      </c>
      <c r="W114" s="84">
        <f t="shared" si="72"/>
        <v>11.999999999999957</v>
      </c>
      <c r="X114" s="271"/>
      <c r="Y114" s="271"/>
      <c r="Z114" s="272"/>
      <c r="AA114" s="272"/>
      <c r="AB114" s="571"/>
      <c r="AC114" s="571"/>
      <c r="AD114" s="277"/>
      <c r="AE114" s="277"/>
      <c r="AF114" s="88">
        <f t="shared" si="63"/>
        <v>-374.99999999999591</v>
      </c>
      <c r="AG114" s="171">
        <f t="shared" si="64"/>
        <v>0.75000000000000278</v>
      </c>
      <c r="AH114" s="575"/>
    </row>
    <row r="115" spans="1:34" s="274" customFormat="1" ht="19.2" customHeight="1">
      <c r="A115" s="595"/>
      <c r="B115" s="75">
        <v>0</v>
      </c>
      <c r="C115" s="228"/>
      <c r="D115" s="229"/>
      <c r="E115" s="230"/>
      <c r="F115" s="650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586"/>
      <c r="T115" s="283"/>
      <c r="U115" s="283"/>
      <c r="V115" s="284"/>
      <c r="W115" s="84"/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0</v>
      </c>
      <c r="AG115" s="171" t="e">
        <f t="shared" si="64"/>
        <v>#DIV/0!</v>
      </c>
      <c r="AH115" s="575"/>
    </row>
    <row r="116" spans="1:34" s="274" customFormat="1" ht="19.2" customHeight="1">
      <c r="A116" s="595"/>
      <c r="B116" s="75">
        <v>0</v>
      </c>
      <c r="C116" s="96"/>
      <c r="D116" s="125"/>
      <c r="E116" s="126"/>
      <c r="F116" s="650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586"/>
      <c r="T116" s="283"/>
      <c r="U116" s="283"/>
      <c r="V116" s="284"/>
      <c r="W116" s="84"/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0</v>
      </c>
      <c r="AG116" s="171" t="e">
        <f t="shared" si="64"/>
        <v>#DIV/0!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17.166666666666668</v>
      </c>
      <c r="K121" s="257">
        <v>1470</v>
      </c>
      <c r="L121" s="258">
        <v>86.759085213032577</v>
      </c>
      <c r="M121" s="257">
        <f t="shared" ref="J121:O121" si="80">AVERAGE(M109:M120)</f>
        <v>17.5</v>
      </c>
      <c r="N121" s="257">
        <f t="shared" si="80"/>
        <v>1224.6032258964435</v>
      </c>
      <c r="O121" s="258">
        <f t="shared" si="80"/>
        <v>70.706662455511733</v>
      </c>
      <c r="P121" s="88">
        <f t="shared" ref="P121:P129" si="81">M121-J121</f>
        <v>0.33333333333333215</v>
      </c>
      <c r="Q121" s="89">
        <f t="shared" ref="Q121:Q129" si="82">O121-L121</f>
        <v>-16.052422757520844</v>
      </c>
      <c r="R121" s="225">
        <f t="shared" ref="R121:R129" si="83">O121/L121</f>
        <v>0.81497703994797865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1</v>
      </c>
      <c r="AE121" s="151">
        <f>SUM(AE109:AE120)</f>
        <v>0</v>
      </c>
      <c r="AF121" s="88">
        <f>N121-K121</f>
        <v>-245.39677410355648</v>
      </c>
      <c r="AG121" s="171">
        <f>N121/K121</f>
        <v>0.83306341897717251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1509</v>
      </c>
      <c r="H122" s="83">
        <f t="shared" ref="H122:H132" si="84">F122*G122</f>
        <v>88533.03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1312.1739130434771</v>
      </c>
      <c r="O122" s="294">
        <f t="shared" ref="O122:O129" si="86">N122/M122</f>
        <v>69.061784897025106</v>
      </c>
      <c r="P122" s="152">
        <f t="shared" si="81"/>
        <v>0</v>
      </c>
      <c r="Q122" s="235">
        <f t="shared" si="82"/>
        <v>-6.7276887871854143</v>
      </c>
      <c r="R122" s="153">
        <f t="shared" si="83"/>
        <v>0.91123188405797018</v>
      </c>
      <c r="S122" s="590">
        <f>R134</f>
        <v>0.9040580053750773</v>
      </c>
      <c r="T122" s="91">
        <v>0.5</v>
      </c>
      <c r="U122" s="91">
        <v>0.54791666666666672</v>
      </c>
      <c r="V122" s="284">
        <v>5</v>
      </c>
      <c r="W122" s="84">
        <f t="shared" si="72"/>
        <v>69.000000000000071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-127.82608695652289</v>
      </c>
      <c r="AG122" s="90">
        <f t="shared" si="64"/>
        <v>0.91123188405797018</v>
      </c>
      <c r="AH122" s="592">
        <f>AG134</f>
        <v>0.89800481970139012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1965</v>
      </c>
      <c r="H123" s="83">
        <f t="shared" si="84"/>
        <v>116956.8</v>
      </c>
      <c r="I123" s="332"/>
      <c r="J123" s="130">
        <v>21</v>
      </c>
      <c r="K123" s="98">
        <v>1385</v>
      </c>
      <c r="L123" s="129">
        <v>65.952380952380949</v>
      </c>
      <c r="M123" s="174">
        <v>20</v>
      </c>
      <c r="N123" s="98">
        <f t="shared" si="85"/>
        <v>1281.5217391304348</v>
      </c>
      <c r="O123" s="129">
        <f t="shared" si="86"/>
        <v>64.076086956521735</v>
      </c>
      <c r="P123" s="95">
        <f t="shared" si="81"/>
        <v>-1</v>
      </c>
      <c r="Q123" s="131">
        <f t="shared" si="82"/>
        <v>-1.8762939958592142</v>
      </c>
      <c r="R123" s="132">
        <f t="shared" si="83"/>
        <v>0.97155077695809133</v>
      </c>
      <c r="S123" s="590"/>
      <c r="T123" s="91">
        <v>0.55347222222222225</v>
      </c>
      <c r="U123" s="91">
        <v>0.61736111111111114</v>
      </c>
      <c r="V123" s="284">
        <v>8</v>
      </c>
      <c r="W123" s="84">
        <f>(U123-T123)*24*60</f>
        <v>92</v>
      </c>
      <c r="X123" s="94"/>
      <c r="Y123" s="94"/>
      <c r="Z123" s="95"/>
      <c r="AA123" s="95"/>
      <c r="AB123" s="571"/>
      <c r="AC123" s="571"/>
      <c r="AD123" s="332"/>
      <c r="AE123" s="332"/>
      <c r="AF123" s="88">
        <f t="shared" si="63"/>
        <v>-103.47826086956525</v>
      </c>
      <c r="AG123" s="90">
        <f t="shared" si="64"/>
        <v>0.92528645424580125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1314</v>
      </c>
      <c r="H124" s="83">
        <f t="shared" si="84"/>
        <v>74622.06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1516.1538461538471</v>
      </c>
      <c r="O124" s="294">
        <f t="shared" si="86"/>
        <v>84.230769230769283</v>
      </c>
      <c r="P124" s="152">
        <f t="shared" si="81"/>
        <v>0</v>
      </c>
      <c r="Q124" s="235">
        <f t="shared" si="82"/>
        <v>-6.6581196581196025</v>
      </c>
      <c r="R124" s="153">
        <f t="shared" si="83"/>
        <v>0.92674440473951536</v>
      </c>
      <c r="S124" s="591"/>
      <c r="T124" s="91">
        <v>0.70833333333333337</v>
      </c>
      <c r="U124" s="91">
        <v>0.74444444444444446</v>
      </c>
      <c r="V124" s="284">
        <v>5</v>
      </c>
      <c r="W124" s="297">
        <f>(U124-T124)*24*60</f>
        <v>51.999999999999972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-119.8461538461529</v>
      </c>
      <c r="AG124" s="153">
        <f t="shared" si="64"/>
        <v>0.92674440473951536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1014</v>
      </c>
      <c r="H125" s="83">
        <f t="shared" si="84"/>
        <v>57666.18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1520.9999999999995</v>
      </c>
      <c r="O125" s="129">
        <f t="shared" si="86"/>
        <v>84.499999999999972</v>
      </c>
      <c r="P125" s="95">
        <f t="shared" si="81"/>
        <v>0</v>
      </c>
      <c r="Q125" s="131">
        <f t="shared" si="82"/>
        <v>-6.3888888888889142</v>
      </c>
      <c r="R125" s="132">
        <f t="shared" si="83"/>
        <v>0.92970660146699236</v>
      </c>
      <c r="S125" s="591"/>
      <c r="T125" s="91">
        <v>0.74861111111111112</v>
      </c>
      <c r="U125" s="91">
        <v>0.77638888888888891</v>
      </c>
      <c r="V125" s="284">
        <v>6</v>
      </c>
      <c r="W125" s="297">
        <f t="shared" ref="W125:W133" si="87">(U125-T125)*24*60</f>
        <v>40.000000000000014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-115.00000000000045</v>
      </c>
      <c r="AG125" s="90">
        <f t="shared" si="64"/>
        <v>0.92970660146699236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1214</v>
      </c>
      <c r="H126" s="83">
        <f t="shared" si="84"/>
        <v>65665.260000000009</v>
      </c>
      <c r="I126" s="332"/>
      <c r="J126" s="130">
        <v>17</v>
      </c>
      <c r="K126" s="98">
        <v>1565</v>
      </c>
      <c r="L126" s="129">
        <v>92.058823529411768</v>
      </c>
      <c r="M126" s="174">
        <v>17</v>
      </c>
      <c r="N126" s="98">
        <f t="shared" si="85"/>
        <v>1374.3396226415102</v>
      </c>
      <c r="O126" s="129">
        <f t="shared" si="86"/>
        <v>80.843507214206483</v>
      </c>
      <c r="P126" s="95">
        <f t="shared" si="81"/>
        <v>0</v>
      </c>
      <c r="Q126" s="131">
        <f t="shared" si="82"/>
        <v>-11.215316315205285</v>
      </c>
      <c r="R126" s="132">
        <f t="shared" si="83"/>
        <v>0.87817228283802562</v>
      </c>
      <c r="S126" s="591"/>
      <c r="T126" s="91">
        <v>0.78125</v>
      </c>
      <c r="U126" s="91">
        <v>0.81805555555555554</v>
      </c>
      <c r="V126" s="284">
        <v>7</v>
      </c>
      <c r="W126" s="297">
        <f t="shared" si="87"/>
        <v>52.999999999999972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-190.66037735848977</v>
      </c>
      <c r="AG126" s="153">
        <f t="shared" si="64"/>
        <v>0.87817228283802573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1298</v>
      </c>
      <c r="H127" s="83">
        <f t="shared" si="84"/>
        <v>61784.800000000003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1320.0000000000011</v>
      </c>
      <c r="O127" s="294">
        <f t="shared" si="86"/>
        <v>69.473684210526372</v>
      </c>
      <c r="P127" s="152">
        <f t="shared" si="81"/>
        <v>0</v>
      </c>
      <c r="Q127" s="235">
        <f t="shared" si="82"/>
        <v>-6.3157894736841484</v>
      </c>
      <c r="R127" s="153">
        <f t="shared" si="83"/>
        <v>0.91666666666666752</v>
      </c>
      <c r="S127" s="591"/>
      <c r="T127" s="91">
        <v>0.83333333333333326</v>
      </c>
      <c r="U127" s="91">
        <v>0.87430555555555545</v>
      </c>
      <c r="V127" s="75">
        <v>22</v>
      </c>
      <c r="W127" s="297">
        <f t="shared" si="87"/>
        <v>58.99999999999995</v>
      </c>
      <c r="X127" s="106">
        <v>0.82152777777777775</v>
      </c>
      <c r="Y127" s="106">
        <v>0.8305555555555556</v>
      </c>
      <c r="Z127" s="95"/>
      <c r="AA127" s="95"/>
      <c r="AB127" s="571"/>
      <c r="AC127" s="571"/>
      <c r="AD127" s="332"/>
      <c r="AE127" s="332"/>
      <c r="AF127" s="152">
        <f t="shared" si="63"/>
        <v>-119.99999999999886</v>
      </c>
      <c r="AG127" s="153">
        <f t="shared" si="64"/>
        <v>0.91666666666666741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737</v>
      </c>
      <c r="H128" s="83">
        <f t="shared" si="84"/>
        <v>42230.1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1263.4285714285702</v>
      </c>
      <c r="O128" s="129">
        <f t="shared" si="86"/>
        <v>74.319327731092358</v>
      </c>
      <c r="P128" s="95">
        <f t="shared" si="81"/>
        <v>0</v>
      </c>
      <c r="Q128" s="131">
        <f t="shared" si="82"/>
        <v>-7.1512605042017583</v>
      </c>
      <c r="R128" s="132">
        <f t="shared" si="83"/>
        <v>0.91222279525528527</v>
      </c>
      <c r="S128" s="591"/>
      <c r="T128" s="91">
        <v>0.87986111111111098</v>
      </c>
      <c r="U128" s="91">
        <v>0.90416666666666656</v>
      </c>
      <c r="V128" s="75">
        <v>8</v>
      </c>
      <c r="W128" s="297">
        <f t="shared" si="87"/>
        <v>35.000000000000036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-121.57142857142981</v>
      </c>
      <c r="AG128" s="153">
        <f t="shared" si="64"/>
        <v>0.91222279525528538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411</v>
      </c>
      <c r="H129" s="83">
        <f t="shared" si="84"/>
        <v>20825.37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1297.89473684211</v>
      </c>
      <c r="O129" s="129">
        <f t="shared" si="86"/>
        <v>61.804511278195712</v>
      </c>
      <c r="P129" s="95">
        <f t="shared" si="81"/>
        <v>0</v>
      </c>
      <c r="Q129" s="131">
        <f t="shared" si="82"/>
        <v>-16.100250626566186</v>
      </c>
      <c r="R129" s="132">
        <f t="shared" si="83"/>
        <v>0.79333419122378368</v>
      </c>
      <c r="S129" s="591"/>
      <c r="T129" s="91">
        <v>0.90902777777777766</v>
      </c>
      <c r="U129" s="91">
        <v>0.92222222222222205</v>
      </c>
      <c r="V129" s="75">
        <v>7</v>
      </c>
      <c r="W129" s="297">
        <f t="shared" si="87"/>
        <v>18.999999999999932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18.625</v>
      </c>
      <c r="N134" s="300">
        <f t="shared" si="88"/>
        <v>1360.814053654994</v>
      </c>
      <c r="O134" s="301">
        <f t="shared" si="88"/>
        <v>73.53870893979213</v>
      </c>
      <c r="P134" s="92">
        <f t="shared" ref="P134:P140" si="89">M134-J134</f>
        <v>-0.125</v>
      </c>
      <c r="Q134" s="188">
        <f t="shared" ref="Q134:Q140" si="90">O134-L134</f>
        <v>-7.8042010312138217</v>
      </c>
      <c r="R134" s="302">
        <f t="shared" ref="R134:R140" si="91">O134/L134</f>
        <v>0.9040580053750773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-154.56094634500596</v>
      </c>
      <c r="AG134" s="90">
        <f t="shared" si="64"/>
        <v>0.89800481970139012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828</v>
      </c>
      <c r="H135" s="303">
        <f t="shared" ref="H135:H146" si="92">F135*G135</f>
        <v>41954.76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1379.9999999999989</v>
      </c>
      <c r="O135" s="160">
        <f t="shared" ref="O135:O140" si="94">N135/M135</f>
        <v>81.176470588235233</v>
      </c>
      <c r="P135" s="95">
        <f t="shared" si="89"/>
        <v>0</v>
      </c>
      <c r="Q135" s="131">
        <f t="shared" si="90"/>
        <v>-7.0588235294118249</v>
      </c>
      <c r="R135" s="132">
        <f t="shared" si="91"/>
        <v>0.91999999999999926</v>
      </c>
      <c r="S135" s="586">
        <f>R147</f>
        <v>0.90373585660578282</v>
      </c>
      <c r="T135" s="304">
        <v>0.70833333333333337</v>
      </c>
      <c r="U135" s="91">
        <v>0.73333333333333339</v>
      </c>
      <c r="V135" s="191">
        <v>5</v>
      </c>
      <c r="W135" s="305">
        <f t="shared" ref="W135:W147" si="95">(U135-T135)*24*60</f>
        <v>36.000000000000028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-120.00000000000114</v>
      </c>
      <c r="AG135" s="165">
        <f t="shared" si="64"/>
        <v>0.91999999999999926</v>
      </c>
      <c r="AH135" s="575">
        <f>AG147</f>
        <v>0.91694195592603434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1713</v>
      </c>
      <c r="H136" s="127">
        <f t="shared" si="92"/>
        <v>87328.739999999991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1334.8051948051939</v>
      </c>
      <c r="O136" s="129">
        <f t="shared" si="94"/>
        <v>66.740259740259688</v>
      </c>
      <c r="P136" s="95">
        <f t="shared" si="89"/>
        <v>0</v>
      </c>
      <c r="Q136" s="131">
        <f t="shared" si="90"/>
        <v>-5.2597402597403118</v>
      </c>
      <c r="R136" s="132">
        <f t="shared" si="91"/>
        <v>0.92694805194805119</v>
      </c>
      <c r="S136" s="586"/>
      <c r="T136" s="304">
        <v>0.73750000000000004</v>
      </c>
      <c r="U136" s="91">
        <v>0.7909722222222223</v>
      </c>
      <c r="V136" s="191">
        <v>6</v>
      </c>
      <c r="W136" s="84">
        <f t="shared" si="95"/>
        <v>77.000000000000043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-105.19480519480612</v>
      </c>
      <c r="AG136" s="171">
        <f t="shared" si="64"/>
        <v>0.9269480519480513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823</v>
      </c>
      <c r="H137" s="127">
        <f t="shared" si="92"/>
        <v>44516.07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1371.6666666666656</v>
      </c>
      <c r="O137" s="129">
        <f t="shared" si="94"/>
        <v>72.1929824561403</v>
      </c>
      <c r="P137" s="95">
        <f t="shared" si="89"/>
        <v>0</v>
      </c>
      <c r="Q137" s="131">
        <f t="shared" si="90"/>
        <v>-6.7543859649123306</v>
      </c>
      <c r="R137" s="132">
        <f t="shared" si="91"/>
        <v>0.91444444444444384</v>
      </c>
      <c r="S137" s="586"/>
      <c r="T137" s="91">
        <v>0.79444444444444451</v>
      </c>
      <c r="U137" s="91">
        <v>0.81944444444444453</v>
      </c>
      <c r="V137" s="307">
        <v>5</v>
      </c>
      <c r="W137" s="84">
        <f t="shared" si="95"/>
        <v>36.000000000000028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-128.33333333333439</v>
      </c>
      <c r="AG137" s="171">
        <f t="shared" si="64"/>
        <v>0.91444444444444373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1831</v>
      </c>
      <c r="H138" s="127">
        <f t="shared" si="92"/>
        <v>93234.52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1339.7560975609751</v>
      </c>
      <c r="O138" s="129">
        <f t="shared" si="94"/>
        <v>70.513478818998692</v>
      </c>
      <c r="P138" s="95">
        <f t="shared" si="89"/>
        <v>0</v>
      </c>
      <c r="Q138" s="131">
        <f t="shared" si="90"/>
        <v>-5.2759948652118283</v>
      </c>
      <c r="R138" s="296">
        <f t="shared" si="91"/>
        <v>0.93038617886178843</v>
      </c>
      <c r="S138" s="586"/>
      <c r="T138" s="91">
        <v>0.8354166666666667</v>
      </c>
      <c r="U138" s="91">
        <v>0.89236111111111116</v>
      </c>
      <c r="V138" s="307">
        <v>23</v>
      </c>
      <c r="W138" s="84">
        <f t="shared" si="95"/>
        <v>82.000000000000028</v>
      </c>
      <c r="X138" s="94">
        <v>0.82291666666666663</v>
      </c>
      <c r="Y138" s="94">
        <v>0.83263888888888893</v>
      </c>
      <c r="Z138" s="95"/>
      <c r="AA138" s="95"/>
      <c r="AB138" s="571"/>
      <c r="AC138" s="571"/>
      <c r="AD138" s="332"/>
      <c r="AE138" s="332"/>
      <c r="AF138" s="88">
        <f t="shared" si="63"/>
        <v>-100.24390243902485</v>
      </c>
      <c r="AG138" s="171">
        <f t="shared" si="64"/>
        <v>0.93038617886178832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998</v>
      </c>
      <c r="H139" s="127">
        <f t="shared" si="92"/>
        <v>50568.66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1301.7391304347825</v>
      </c>
      <c r="O139" s="129">
        <f t="shared" si="94"/>
        <v>76.572890025575447</v>
      </c>
      <c r="P139" s="95">
        <f t="shared" si="89"/>
        <v>0</v>
      </c>
      <c r="Q139" s="131">
        <f t="shared" si="90"/>
        <v>-8.1329923273657272</v>
      </c>
      <c r="R139" s="132">
        <f t="shared" si="91"/>
        <v>0.90398550724637683</v>
      </c>
      <c r="S139" s="586"/>
      <c r="T139" s="91">
        <v>0.8979166666666667</v>
      </c>
      <c r="U139" s="91">
        <v>0.92986111111111114</v>
      </c>
      <c r="V139" s="308">
        <v>8</v>
      </c>
      <c r="W139" s="84">
        <f t="shared" si="95"/>
        <v>46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-138.26086956521749</v>
      </c>
      <c r="AG139" s="171">
        <f t="shared" si="64"/>
        <v>0.90398550724637672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1174</v>
      </c>
      <c r="H140" s="127">
        <f t="shared" si="92"/>
        <v>59275.26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1304.444444444445</v>
      </c>
      <c r="O140" s="129">
        <f t="shared" si="94"/>
        <v>86.962962962963005</v>
      </c>
      <c r="P140" s="95">
        <f t="shared" si="89"/>
        <v>1</v>
      </c>
      <c r="Q140" s="131">
        <f t="shared" si="90"/>
        <v>-15.894179894179857</v>
      </c>
      <c r="R140" s="132">
        <f t="shared" si="91"/>
        <v>0.84547325102880699</v>
      </c>
      <c r="S140" s="587"/>
      <c r="T140" s="105">
        <v>0.93472222222222223</v>
      </c>
      <c r="U140" s="310">
        <v>0.97222222222222221</v>
      </c>
      <c r="V140" s="311">
        <v>7</v>
      </c>
      <c r="W140" s="84">
        <f t="shared" si="95"/>
        <v>53.999999999999972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-135.55555555555497</v>
      </c>
      <c r="AG140" s="171">
        <f t="shared" si="64"/>
        <v>0.90586419753086456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1338.7352556520102</v>
      </c>
      <c r="O147" s="301">
        <f t="shared" si="96"/>
        <v>75.693174098695394</v>
      </c>
      <c r="P147" s="92">
        <f t="shared" ref="P147:P152" si="97">M147-J147</f>
        <v>0.1666666666666643</v>
      </c>
      <c r="Q147" s="188">
        <f t="shared" ref="Q147:Q152" si="98">O147-L147</f>
        <v>-8.0626861401369752</v>
      </c>
      <c r="R147" s="316">
        <f t="shared" ref="R147:R152" si="99">O147/L147</f>
        <v>0.90373585660578282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-121.26474434798979</v>
      </c>
      <c r="AG147" s="317">
        <f t="shared" si="64"/>
        <v>0.91694195592603434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493</v>
      </c>
      <c r="H148" s="127">
        <f t="shared" ref="H148:H172" si="100">F148*G148</f>
        <v>24980.31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1137.6923076923049</v>
      </c>
      <c r="O148" s="86">
        <f>N148/M148</f>
        <v>66.923076923076763</v>
      </c>
      <c r="P148" s="88">
        <f t="shared" si="97"/>
        <v>1</v>
      </c>
      <c r="Q148" s="89">
        <f t="shared" si="98"/>
        <v>-23.076923076923237</v>
      </c>
      <c r="R148" s="90">
        <f t="shared" si="99"/>
        <v>0.74358974358974184</v>
      </c>
      <c r="S148" s="579">
        <f>R160</f>
        <v>0.81101680239196705</v>
      </c>
      <c r="T148" s="304">
        <v>0.70833333333333337</v>
      </c>
      <c r="U148" s="91">
        <v>0.72638888888888897</v>
      </c>
      <c r="V148" s="75">
        <v>5</v>
      </c>
      <c r="W148" s="84">
        <f>(U148-T148)*24*60</f>
        <v>26.000000000000068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-302.30769230769511</v>
      </c>
      <c r="AG148" s="171">
        <f t="shared" si="64"/>
        <v>0.79006410256410065</v>
      </c>
      <c r="AH148" s="575">
        <f>AG160</f>
        <v>0.82183575689889898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1407</v>
      </c>
      <c r="H149" s="127">
        <f t="shared" si="100"/>
        <v>80621.099999999991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1383.9344262295094</v>
      </c>
      <c r="O149" s="86">
        <f>N149/M149</f>
        <v>76.885245901639408</v>
      </c>
      <c r="P149" s="88">
        <f t="shared" si="97"/>
        <v>0</v>
      </c>
      <c r="Q149" s="89">
        <f t="shared" si="98"/>
        <v>-6.4480874316939207</v>
      </c>
      <c r="R149" s="90">
        <f t="shared" si="99"/>
        <v>0.92262295081967294</v>
      </c>
      <c r="S149" s="580"/>
      <c r="T149" s="304">
        <v>0.73055555555555562</v>
      </c>
      <c r="U149" s="91">
        <v>0.7729166666666667</v>
      </c>
      <c r="V149" s="75">
        <v>6</v>
      </c>
      <c r="W149" s="84">
        <f t="shared" ref="W149:W159" si="101">(U149-T149)*24*60</f>
        <v>60.999999999999943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-116.06557377049057</v>
      </c>
      <c r="AG149" s="171">
        <f t="shared" si="64"/>
        <v>0.92262295081967294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379</v>
      </c>
      <c r="H150" s="127">
        <f t="shared" si="100"/>
        <v>21881.564999999999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1263.3333333333378</v>
      </c>
      <c r="O150" s="86">
        <f>N150/M150</f>
        <v>78.958333333333613</v>
      </c>
      <c r="P150" s="88">
        <f t="shared" si="97"/>
        <v>0</v>
      </c>
      <c r="Q150" s="89">
        <f t="shared" si="98"/>
        <v>-18.854166666666387</v>
      </c>
      <c r="R150" s="90">
        <f t="shared" si="99"/>
        <v>0.80724174653887404</v>
      </c>
      <c r="S150" s="580"/>
      <c r="T150" s="304">
        <v>0.78819444444444442</v>
      </c>
      <c r="U150" s="91">
        <v>0.80069444444444438</v>
      </c>
      <c r="V150" s="75">
        <v>22</v>
      </c>
      <c r="W150" s="84">
        <f t="shared" si="101"/>
        <v>17.999999999999936</v>
      </c>
      <c r="X150" s="271">
        <v>0.77638888888888891</v>
      </c>
      <c r="Y150" s="271">
        <v>0.78541666666666676</v>
      </c>
      <c r="Z150" s="272"/>
      <c r="AA150" s="272"/>
      <c r="AB150" s="571"/>
      <c r="AC150" s="571"/>
      <c r="AD150" s="332"/>
      <c r="AE150" s="332"/>
      <c r="AF150" s="88">
        <f t="shared" si="63"/>
        <v>-301.66666666666219</v>
      </c>
      <c r="AG150" s="171">
        <f t="shared" si="64"/>
        <v>0.80724174653887404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386</v>
      </c>
      <c r="H151" s="127">
        <f t="shared" si="100"/>
        <v>19411.939999999999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1102.8571428571468</v>
      </c>
      <c r="O151" s="86">
        <f>N151/M151</f>
        <v>61.269841269841486</v>
      </c>
      <c r="P151" s="88">
        <f t="shared" si="97"/>
        <v>0</v>
      </c>
      <c r="Q151" s="89">
        <f t="shared" si="98"/>
        <v>-18.730158730158514</v>
      </c>
      <c r="R151" s="90">
        <f t="shared" si="99"/>
        <v>0.76587301587301859</v>
      </c>
      <c r="S151" s="580"/>
      <c r="T151" s="304">
        <v>0.80486111111111103</v>
      </c>
      <c r="U151" s="91">
        <v>0.81944444444444431</v>
      </c>
      <c r="V151" s="75">
        <v>6</v>
      </c>
      <c r="W151" s="84">
        <f t="shared" si="101"/>
        <v>20.999999999999925</v>
      </c>
      <c r="X151" s="271"/>
      <c r="Y151" s="271"/>
      <c r="Z151" s="272"/>
      <c r="AA151" s="272"/>
      <c r="AB151" s="571"/>
      <c r="AC151" s="571"/>
      <c r="AD151" s="277"/>
      <c r="AE151" s="277"/>
      <c r="AF151" s="88">
        <f t="shared" si="63"/>
        <v>-337.14285714285325</v>
      </c>
      <c r="AG151" s="171">
        <f t="shared" si="64"/>
        <v>0.76587301587301859</v>
      </c>
      <c r="AH151" s="581"/>
    </row>
    <row r="152" spans="1:34" s="274" customFormat="1" ht="19.2" customHeight="1">
      <c r="A152" s="578"/>
      <c r="B152" s="332" t="s">
        <v>247</v>
      </c>
      <c r="C152" s="277"/>
      <c r="D152" s="309" t="s">
        <v>322</v>
      </c>
      <c r="E152" s="101"/>
      <c r="F152" s="657">
        <v>44.98</v>
      </c>
      <c r="G152" s="98">
        <v>410.25</v>
      </c>
      <c r="H152" s="127">
        <f t="shared" si="100"/>
        <v>18453.044999999998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1230.7500000000045</v>
      </c>
      <c r="O152" s="86">
        <f>N152/M152</f>
        <v>64.776315789473927</v>
      </c>
      <c r="P152" s="88">
        <f t="shared" si="97"/>
        <v>0</v>
      </c>
      <c r="Q152" s="89">
        <f t="shared" si="98"/>
        <v>-14.171052631578704</v>
      </c>
      <c r="R152" s="90">
        <f t="shared" si="99"/>
        <v>0.82050000000000312</v>
      </c>
      <c r="S152" s="580"/>
      <c r="T152" s="319">
        <v>0.82499999999999984</v>
      </c>
      <c r="U152" s="105">
        <v>0.83888888888888868</v>
      </c>
      <c r="V152" s="103">
        <v>8</v>
      </c>
      <c r="W152" s="84">
        <f t="shared" si="101"/>
        <v>19.999999999999929</v>
      </c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-269.24999999999545</v>
      </c>
      <c r="AG152" s="171">
        <f t="shared" si="64"/>
        <v>0.820500000000003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J160:O160" si="102">AVERAGE(M148:M159)</f>
        <v>17.600000000000001</v>
      </c>
      <c r="N160" s="327">
        <f t="shared" si="102"/>
        <v>1223.7134420224606</v>
      </c>
      <c r="O160" s="328">
        <f t="shared" si="102"/>
        <v>69.762562643473046</v>
      </c>
      <c r="P160" s="107">
        <f t="shared" ref="P160:P165" si="103">M160-J160</f>
        <v>0.20000000000000284</v>
      </c>
      <c r="Q160" s="117">
        <f t="shared" ref="Q160:Q165" si="104">O160-L160</f>
        <v>-16.256077707404145</v>
      </c>
      <c r="R160" s="329">
        <f>O160/L160</f>
        <v>0.81101680239196705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0</v>
      </c>
      <c r="AE160" s="122">
        <f>SUM(AE148:AE159)</f>
        <v>0</v>
      </c>
      <c r="AF160" s="107">
        <f t="shared" si="63"/>
        <v>-265.28655797753936</v>
      </c>
      <c r="AG160" s="176">
        <f t="shared" si="64"/>
        <v>0.82183575689889898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2770</v>
      </c>
      <c r="H161" s="127">
        <f t="shared" ref="H161:H170" si="105">F161*G161</f>
        <v>94817.099999999991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2186.8421052631575</v>
      </c>
      <c r="O161" s="129">
        <f t="shared" ref="O161:O165" si="107">N161/M161</f>
        <v>168.21862348178135</v>
      </c>
      <c r="P161" s="95">
        <f t="shared" si="103"/>
        <v>0</v>
      </c>
      <c r="Q161" s="131">
        <f t="shared" si="104"/>
        <v>-4.8582995951417161</v>
      </c>
      <c r="R161" s="132">
        <f t="shared" ref="R161:R165" si="108">O161/L161</f>
        <v>0.97192982456140342</v>
      </c>
      <c r="S161" s="575">
        <f>R173</f>
        <v>0.94811058971622708</v>
      </c>
      <c r="T161" s="133">
        <v>0.16666666666666666</v>
      </c>
      <c r="U161" s="133">
        <v>0.21944444444444444</v>
      </c>
      <c r="V161" s="332">
        <v>5</v>
      </c>
      <c r="W161" s="134">
        <f t="shared" ref="W161:W165" si="109">(U161-T161)*24*60</f>
        <v>76.000000000000014</v>
      </c>
      <c r="X161" s="140"/>
      <c r="Y161" s="140"/>
      <c r="Z161" s="95"/>
      <c r="AA161" s="95"/>
      <c r="AB161" s="571"/>
      <c r="AC161" s="571"/>
      <c r="AD161" s="332"/>
      <c r="AE161" s="332">
        <v>1</v>
      </c>
      <c r="AF161" s="95">
        <f t="shared" si="63"/>
        <v>-63.157894736842536</v>
      </c>
      <c r="AG161" s="132">
        <f t="shared" si="64"/>
        <v>0.97192982456140331</v>
      </c>
      <c r="AH161" s="575">
        <f>AG173</f>
        <v>0.95175491953184177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3529</v>
      </c>
      <c r="H162" s="127">
        <f t="shared" si="105"/>
        <v>120797.66999999998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2182.886597938144</v>
      </c>
      <c r="O162" s="129">
        <f t="shared" si="107"/>
        <v>167.91435368754952</v>
      </c>
      <c r="P162" s="95">
        <f t="shared" si="103"/>
        <v>0</v>
      </c>
      <c r="Q162" s="131">
        <f t="shared" si="104"/>
        <v>-5.1625693893735445</v>
      </c>
      <c r="R162" s="132">
        <f t="shared" si="108"/>
        <v>0.97017182130584179</v>
      </c>
      <c r="S162" s="575"/>
      <c r="T162" s="133">
        <v>0.22430555555555556</v>
      </c>
      <c r="U162" s="133">
        <v>0.29166666666666669</v>
      </c>
      <c r="V162" s="332">
        <v>7</v>
      </c>
      <c r="W162" s="134">
        <f t="shared" si="109"/>
        <v>97.000000000000014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-67.11340206185605</v>
      </c>
      <c r="AG162" s="132">
        <f t="shared" si="64"/>
        <v>0.97017182130584179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2260</v>
      </c>
      <c r="H163" s="127">
        <f t="shared" si="105"/>
        <v>77359.799999999988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2086.1538461538457</v>
      </c>
      <c r="O163" s="129">
        <f t="shared" si="107"/>
        <v>173.84615384615381</v>
      </c>
      <c r="P163" s="95">
        <f t="shared" si="103"/>
        <v>0</v>
      </c>
      <c r="Q163" s="131">
        <f t="shared" si="104"/>
        <v>-2.6538461538461888</v>
      </c>
      <c r="R163" s="132">
        <f t="shared" si="108"/>
        <v>0.98496404445412922</v>
      </c>
      <c r="S163" s="575"/>
      <c r="T163" s="133">
        <v>0.33263888888888887</v>
      </c>
      <c r="U163" s="133">
        <v>0.37777777777777777</v>
      </c>
      <c r="V163" s="332">
        <v>6</v>
      </c>
      <c r="W163" s="134">
        <f t="shared" si="109"/>
        <v>65.000000000000014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-31.846153846154266</v>
      </c>
      <c r="AG163" s="132">
        <f t="shared" si="64"/>
        <v>0.98496404445412922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5011</v>
      </c>
      <c r="H164" s="127">
        <f t="shared" si="105"/>
        <v>179544.13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2194.5985401459852</v>
      </c>
      <c r="O164" s="129">
        <f t="shared" si="107"/>
        <v>199.50895819508958</v>
      </c>
      <c r="P164" s="95">
        <f t="shared" si="103"/>
        <v>0</v>
      </c>
      <c r="Q164" s="131">
        <f t="shared" si="104"/>
        <v>-5.0364963503649562</v>
      </c>
      <c r="R164" s="132">
        <f t="shared" si="108"/>
        <v>0.97537712895377138</v>
      </c>
      <c r="S164" s="575"/>
      <c r="T164" s="133">
        <v>0.39305555555555555</v>
      </c>
      <c r="U164" s="133">
        <v>0.48819444444444443</v>
      </c>
      <c r="V164" s="332">
        <v>22</v>
      </c>
      <c r="W164" s="134">
        <f t="shared" si="109"/>
        <v>137</v>
      </c>
      <c r="X164" s="140">
        <v>0.38125000000000003</v>
      </c>
      <c r="Y164" s="140">
        <v>0.39027777777777778</v>
      </c>
      <c r="Z164" s="95"/>
      <c r="AA164" s="95"/>
      <c r="AB164" s="571"/>
      <c r="AC164" s="571"/>
      <c r="AD164" s="332"/>
      <c r="AE164" s="332"/>
      <c r="AF164" s="95">
        <f t="shared" si="63"/>
        <v>-55.401459854014774</v>
      </c>
      <c r="AG164" s="132">
        <f t="shared" si="64"/>
        <v>0.97537712895377127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4446</v>
      </c>
      <c r="H165" s="127">
        <f t="shared" si="105"/>
        <v>161878.85999999999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2425.0909090909104</v>
      </c>
      <c r="O165" s="129">
        <f t="shared" si="107"/>
        <v>242.50909090909104</v>
      </c>
      <c r="P165" s="95">
        <f t="shared" si="103"/>
        <v>0</v>
      </c>
      <c r="Q165" s="131">
        <f t="shared" si="104"/>
        <v>-34.390909090908934</v>
      </c>
      <c r="R165" s="132">
        <f t="shared" si="108"/>
        <v>0.87580025608194678</v>
      </c>
      <c r="S165" s="575"/>
      <c r="T165" s="133">
        <v>0.50416666666666665</v>
      </c>
      <c r="U165" s="133">
        <v>0.58055555555555549</v>
      </c>
      <c r="V165" s="332">
        <v>23</v>
      </c>
      <c r="W165" s="134">
        <f t="shared" si="109"/>
        <v>109.99999999999993</v>
      </c>
      <c r="X165" s="140">
        <v>0.4916666666666667</v>
      </c>
      <c r="Y165" s="140">
        <v>0.50138888888888888</v>
      </c>
      <c r="Z165" s="95"/>
      <c r="AA165" s="95"/>
      <c r="AB165" s="571"/>
      <c r="AC165" s="571"/>
      <c r="AD165" s="332"/>
      <c r="AE165" s="332"/>
      <c r="AF165" s="95">
        <f t="shared" si="63"/>
        <v>-343.90909090908963</v>
      </c>
      <c r="AG165" s="132">
        <f t="shared" si="64"/>
        <v>0.87580025608194667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2215.1143997184085</v>
      </c>
      <c r="O173" s="148">
        <f t="shared" si="110"/>
        <v>190.39943602393305</v>
      </c>
      <c r="P173" s="95">
        <f>M173-J173</f>
        <v>0</v>
      </c>
      <c r="Q173" s="131">
        <f>O173-L173</f>
        <v>-10.420424115927091</v>
      </c>
      <c r="R173" s="149">
        <f>O173/L173</f>
        <v>0.94811058971622708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1</v>
      </c>
      <c r="AF173" s="95">
        <f t="shared" si="63"/>
        <v>-112.28560028159154</v>
      </c>
      <c r="AG173" s="132">
        <f t="shared" si="64"/>
        <v>0.95175491953184177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0037" priority="3346" operator="lessThan">
      <formula>0</formula>
    </cfRule>
  </conditionalFormatting>
  <conditionalFormatting sqref="AH57 AH70 S43 S123 S95 AH95 S5:S9 AH5:AH9 S134 AH17:AH18 S17:S18 S32 S82 AH82 S57:S70">
    <cfRule type="cellIs" dxfId="10036" priority="3345" operator="lessThan">
      <formula>0.8</formula>
    </cfRule>
  </conditionalFormatting>
  <conditionalFormatting sqref="R147 R173 R30 R121 R95 R43 R134 R82 R154:R159 R17:R18 R57:R70">
    <cfRule type="cellIs" dxfId="10035" priority="3343" operator="lessThan">
      <formula>0.8</formula>
    </cfRule>
    <cfRule type="cellIs" dxfId="10034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0033" priority="3341" operator="greaterThan">
      <formula>1</formula>
    </cfRule>
    <cfRule type="cellIs" dxfId="10032" priority="3342" operator="lessThan">
      <formula>0.8</formula>
    </cfRule>
  </conditionalFormatting>
  <conditionalFormatting sqref="P147 P30 P121 P95 P43 P134 P82 P154:P159 P17:P18 P57:P70">
    <cfRule type="cellIs" dxfId="10031" priority="3340" operator="greaterThan">
      <formula>0</formula>
    </cfRule>
  </conditionalFormatting>
  <conditionalFormatting sqref="S161">
    <cfRule type="cellIs" dxfId="10030" priority="3339" operator="lessThan">
      <formula>0.8</formula>
    </cfRule>
  </conditionalFormatting>
  <conditionalFormatting sqref="Q161:Q166">
    <cfRule type="cellIs" dxfId="10029" priority="3338" operator="lessThan">
      <formula>0</formula>
    </cfRule>
  </conditionalFormatting>
  <conditionalFormatting sqref="R161:R166">
    <cfRule type="cellIs" dxfId="10028" priority="3336" operator="lessThan">
      <formula>0.8</formula>
    </cfRule>
    <cfRule type="cellIs" dxfId="10027" priority="3337" operator="greaterThan">
      <formula>1</formula>
    </cfRule>
  </conditionalFormatting>
  <conditionalFormatting sqref="R161:R166">
    <cfRule type="cellIs" dxfId="10026" priority="3334" operator="greaterThan">
      <formula>1</formula>
    </cfRule>
    <cfRule type="cellIs" dxfId="10025" priority="3335" operator="lessThan">
      <formula>0.8</formula>
    </cfRule>
  </conditionalFormatting>
  <conditionalFormatting sqref="P161:P166">
    <cfRule type="cellIs" dxfId="10024" priority="3333" operator="greaterThan">
      <formula>0</formula>
    </cfRule>
  </conditionalFormatting>
  <conditionalFormatting sqref="Q169:Q172 AF161:AF172">
    <cfRule type="cellIs" dxfId="10023" priority="3332" operator="lessThan">
      <formula>0</formula>
    </cfRule>
  </conditionalFormatting>
  <conditionalFormatting sqref="R169:R172">
    <cfRule type="cellIs" dxfId="10022" priority="3330" operator="lessThan">
      <formula>0.8</formula>
    </cfRule>
    <cfRule type="cellIs" dxfId="10021" priority="3331" operator="greaterThan">
      <formula>1</formula>
    </cfRule>
  </conditionalFormatting>
  <conditionalFormatting sqref="R169:R172 AG161:AG172">
    <cfRule type="cellIs" dxfId="10020" priority="3328" operator="greaterThan">
      <formula>1</formula>
    </cfRule>
    <cfRule type="cellIs" dxfId="10019" priority="3329" operator="lessThan">
      <formula>0.8</formula>
    </cfRule>
  </conditionalFormatting>
  <conditionalFormatting sqref="P169:P172">
    <cfRule type="cellIs" dxfId="10018" priority="3327" operator="greaterThan">
      <formula>0</formula>
    </cfRule>
  </conditionalFormatting>
  <conditionalFormatting sqref="AF145">
    <cfRule type="cellIs" dxfId="10017" priority="3326" operator="lessThan">
      <formula>0</formula>
    </cfRule>
  </conditionalFormatting>
  <conditionalFormatting sqref="AG145">
    <cfRule type="cellIs" dxfId="10016" priority="3324" operator="greaterThan">
      <formula>1</formula>
    </cfRule>
    <cfRule type="cellIs" dxfId="10015" priority="3325" operator="lessThan">
      <formula>0.8</formula>
    </cfRule>
  </conditionalFormatting>
  <conditionalFormatting sqref="AF44:AF54">
    <cfRule type="cellIs" dxfId="10014" priority="3323" operator="lessThan">
      <formula>0</formula>
    </cfRule>
  </conditionalFormatting>
  <conditionalFormatting sqref="AG44:AG54">
    <cfRule type="cellIs" dxfId="10013" priority="3321" operator="greaterThan">
      <formula>1</formula>
    </cfRule>
    <cfRule type="cellIs" dxfId="10012" priority="3322" operator="lessThan">
      <formula>0.8</formula>
    </cfRule>
  </conditionalFormatting>
  <conditionalFormatting sqref="AF83:AF94">
    <cfRule type="cellIs" dxfId="10011" priority="3320" operator="lessThan">
      <formula>0</formula>
    </cfRule>
  </conditionalFormatting>
  <conditionalFormatting sqref="AH83">
    <cfRule type="cellIs" dxfId="10010" priority="3319" operator="lessThan">
      <formula>0.8</formula>
    </cfRule>
  </conditionalFormatting>
  <conditionalFormatting sqref="AG83:AG94">
    <cfRule type="cellIs" dxfId="10009" priority="3317" operator="greaterThan">
      <formula>1</formula>
    </cfRule>
    <cfRule type="cellIs" dxfId="10008" priority="3318" operator="lessThan">
      <formula>0.8</formula>
    </cfRule>
  </conditionalFormatting>
  <conditionalFormatting sqref="S83">
    <cfRule type="cellIs" dxfId="10007" priority="3316" operator="lessThan">
      <formula>0.8</formula>
    </cfRule>
  </conditionalFormatting>
  <conditionalFormatting sqref="AH84">
    <cfRule type="cellIs" dxfId="10006" priority="3315" operator="lessThan">
      <formula>0.8</formula>
    </cfRule>
  </conditionalFormatting>
  <conditionalFormatting sqref="S84">
    <cfRule type="cellIs" dxfId="10005" priority="3314" operator="lessThan">
      <formula>0.8</formula>
    </cfRule>
  </conditionalFormatting>
  <conditionalFormatting sqref="S90">
    <cfRule type="cellIs" dxfId="10004" priority="3313" operator="lessThan">
      <formula>0.8</formula>
    </cfRule>
  </conditionalFormatting>
  <conditionalFormatting sqref="AH90">
    <cfRule type="cellIs" dxfId="10003" priority="3312" operator="lessThan">
      <formula>0.8</formula>
    </cfRule>
  </conditionalFormatting>
  <conditionalFormatting sqref="AF122">
    <cfRule type="cellIs" dxfId="10002" priority="3311" operator="lessThan">
      <formula>0</formula>
    </cfRule>
  </conditionalFormatting>
  <conditionalFormatting sqref="S122">
    <cfRule type="cellIs" dxfId="10001" priority="3310" operator="lessThan">
      <formula>0.8</formula>
    </cfRule>
  </conditionalFormatting>
  <conditionalFormatting sqref="AG122">
    <cfRule type="cellIs" dxfId="10000" priority="3308" operator="greaterThan">
      <formula>1</formula>
    </cfRule>
    <cfRule type="cellIs" dxfId="9999" priority="3309" operator="lessThan">
      <formula>0.8</formula>
    </cfRule>
  </conditionalFormatting>
  <conditionalFormatting sqref="P162:P168">
    <cfRule type="cellIs" dxfId="9998" priority="3302" operator="greaterThan">
      <formula>0</formula>
    </cfRule>
  </conditionalFormatting>
  <conditionalFormatting sqref="R162:R168">
    <cfRule type="cellIs" dxfId="9997" priority="3305" operator="lessThan">
      <formula>0.8</formula>
    </cfRule>
    <cfRule type="cellIs" dxfId="9996" priority="3306" operator="greaterThan">
      <formula>1</formula>
    </cfRule>
  </conditionalFormatting>
  <conditionalFormatting sqref="R162:R168">
    <cfRule type="cellIs" dxfId="9995" priority="3303" operator="greaterThan">
      <formula>1</formula>
    </cfRule>
    <cfRule type="cellIs" dxfId="9994" priority="3304" operator="lessThan">
      <formula>0.8</formula>
    </cfRule>
  </conditionalFormatting>
  <conditionalFormatting sqref="Q162:Q168">
    <cfRule type="cellIs" dxfId="9993" priority="3307" operator="lessThan">
      <formula>0</formula>
    </cfRule>
  </conditionalFormatting>
  <conditionalFormatting sqref="P132:P133">
    <cfRule type="cellIs" dxfId="9992" priority="3295" operator="greaterThan">
      <formula>0</formula>
    </cfRule>
  </conditionalFormatting>
  <conditionalFormatting sqref="AF124 Q132:Q133 AF126:AF133">
    <cfRule type="cellIs" dxfId="9991" priority="3301" operator="lessThan">
      <formula>0</formula>
    </cfRule>
  </conditionalFormatting>
  <conditionalFormatting sqref="S124:S133">
    <cfRule type="cellIs" dxfId="9990" priority="3300" operator="lessThan">
      <formula>0.8</formula>
    </cfRule>
  </conditionalFormatting>
  <conditionalFormatting sqref="R132:R133">
    <cfRule type="cellIs" dxfId="9989" priority="3298" operator="lessThan">
      <formula>0.8</formula>
    </cfRule>
    <cfRule type="cellIs" dxfId="9988" priority="3299" operator="greaterThan">
      <formula>1</formula>
    </cfRule>
  </conditionalFormatting>
  <conditionalFormatting sqref="AG124 R132:R133 AG126:AG133">
    <cfRule type="cellIs" dxfId="9987" priority="3296" operator="greaterThan">
      <formula>1</formula>
    </cfRule>
    <cfRule type="cellIs" dxfId="9986" priority="3297" operator="lessThan">
      <formula>0.8</formula>
    </cfRule>
  </conditionalFormatting>
  <conditionalFormatting sqref="AF112 AF115">
    <cfRule type="cellIs" dxfId="9985" priority="3294" operator="lessThan">
      <formula>0</formula>
    </cfRule>
  </conditionalFormatting>
  <conditionalFormatting sqref="AG112 AG115">
    <cfRule type="cellIs" dxfId="9984" priority="3292" operator="greaterThan">
      <formula>1</formula>
    </cfRule>
    <cfRule type="cellIs" dxfId="9983" priority="3293" operator="lessThan">
      <formula>0.8</formula>
    </cfRule>
  </conditionalFormatting>
  <conditionalFormatting sqref="AF111 AF114 AF117">
    <cfRule type="cellIs" dxfId="9982" priority="3291" operator="lessThan">
      <formula>0</formula>
    </cfRule>
  </conditionalFormatting>
  <conditionalFormatting sqref="AH109">
    <cfRule type="cellIs" dxfId="9981" priority="3290" operator="lessThan">
      <formula>0.8</formula>
    </cfRule>
  </conditionalFormatting>
  <conditionalFormatting sqref="AG111 AG114 AG117">
    <cfRule type="cellIs" dxfId="9980" priority="3288" operator="greaterThan">
      <formula>1</formula>
    </cfRule>
    <cfRule type="cellIs" dxfId="9979" priority="3289" operator="lessThan">
      <formula>0.8</formula>
    </cfRule>
  </conditionalFormatting>
  <conditionalFormatting sqref="R160 AG160">
    <cfRule type="cellIs" dxfId="9978" priority="3283" operator="greaterThan">
      <formula>1</formula>
    </cfRule>
    <cfRule type="cellIs" dxfId="9977" priority="3284" operator="lessThan">
      <formula>0.8</formula>
    </cfRule>
  </conditionalFormatting>
  <conditionalFormatting sqref="R160">
    <cfRule type="cellIs" dxfId="9976" priority="3285" operator="lessThan">
      <formula>0.8</formula>
    </cfRule>
    <cfRule type="cellIs" dxfId="9975" priority="3286" operator="greaterThan">
      <formula>1</formula>
    </cfRule>
  </conditionalFormatting>
  <conditionalFormatting sqref="P160">
    <cfRule type="cellIs" dxfId="9974" priority="3282" operator="greaterThan">
      <formula>0</formula>
    </cfRule>
  </conditionalFormatting>
  <conditionalFormatting sqref="AH148">
    <cfRule type="cellIs" dxfId="9973" priority="3281" operator="lessThan">
      <formula>0.8</formula>
    </cfRule>
  </conditionalFormatting>
  <conditionalFormatting sqref="Q160 AF160">
    <cfRule type="cellIs" dxfId="9972" priority="3287" operator="lessThan">
      <formula>0</formula>
    </cfRule>
  </conditionalFormatting>
  <conditionalFormatting sqref="AF148:AF154">
    <cfRule type="cellIs" dxfId="9971" priority="3280" operator="lessThan">
      <formula>0</formula>
    </cfRule>
  </conditionalFormatting>
  <conditionalFormatting sqref="S148">
    <cfRule type="cellIs" dxfId="9970" priority="3279" operator="lessThan">
      <formula>0.8</formula>
    </cfRule>
  </conditionalFormatting>
  <conditionalFormatting sqref="AG148:AG154">
    <cfRule type="cellIs" dxfId="9969" priority="3277" operator="greaterThan">
      <formula>1</formula>
    </cfRule>
    <cfRule type="cellIs" dxfId="9968" priority="3278" operator="lessThan">
      <formula>0.8</formula>
    </cfRule>
  </conditionalFormatting>
  <conditionalFormatting sqref="S86">
    <cfRule type="cellIs" dxfId="9967" priority="3276" operator="lessThan">
      <formula>0.8</formula>
    </cfRule>
  </conditionalFormatting>
  <conditionalFormatting sqref="S88 AH88">
    <cfRule type="cellIs" dxfId="9966" priority="3271" operator="lessThan">
      <formula>0.8</formula>
    </cfRule>
  </conditionalFormatting>
  <conditionalFormatting sqref="AH86">
    <cfRule type="cellIs" dxfId="9965" priority="3275" operator="lessThan">
      <formula>0.8</formula>
    </cfRule>
  </conditionalFormatting>
  <conditionalFormatting sqref="S87">
    <cfRule type="cellIs" dxfId="9964" priority="3274" operator="lessThan">
      <formula>0.8</formula>
    </cfRule>
  </conditionalFormatting>
  <conditionalFormatting sqref="AH87">
    <cfRule type="cellIs" dxfId="9963" priority="3273" operator="lessThan">
      <formula>0.8</formula>
    </cfRule>
  </conditionalFormatting>
  <conditionalFormatting sqref="S89 AH89">
    <cfRule type="cellIs" dxfId="9962" priority="3272" operator="lessThan">
      <formula>0.8</formula>
    </cfRule>
  </conditionalFormatting>
  <conditionalFormatting sqref="AF31 AF35 AF39">
    <cfRule type="cellIs" dxfId="9961" priority="3270" operator="lessThan">
      <formula>0</formula>
    </cfRule>
  </conditionalFormatting>
  <conditionalFormatting sqref="AH31 S31">
    <cfRule type="cellIs" dxfId="9960" priority="3269" operator="lessThan">
      <formula>0.8</formula>
    </cfRule>
  </conditionalFormatting>
  <conditionalFormatting sqref="AG31 AG35 AG39">
    <cfRule type="cellIs" dxfId="9959" priority="3267" operator="greaterThan">
      <formula>1</formula>
    </cfRule>
    <cfRule type="cellIs" dxfId="9958" priority="3268" operator="lessThan">
      <formula>0.8</formula>
    </cfRule>
  </conditionalFormatting>
  <conditionalFormatting sqref="AF135">
    <cfRule type="cellIs" dxfId="9957" priority="3266" operator="lessThan">
      <formula>0</formula>
    </cfRule>
  </conditionalFormatting>
  <conditionalFormatting sqref="AH135 S135">
    <cfRule type="cellIs" dxfId="9956" priority="3265" operator="lessThan">
      <formula>0.8</formula>
    </cfRule>
  </conditionalFormatting>
  <conditionalFormatting sqref="AG135">
    <cfRule type="cellIs" dxfId="9955" priority="3263" operator="greaterThan">
      <formula>1</formula>
    </cfRule>
    <cfRule type="cellIs" dxfId="9954" priority="3264" operator="lessThan">
      <formula>0.8</formula>
    </cfRule>
  </conditionalFormatting>
  <conditionalFormatting sqref="AF110 AF113 AF116">
    <cfRule type="cellIs" dxfId="9953" priority="3262" operator="lessThan">
      <formula>0</formula>
    </cfRule>
  </conditionalFormatting>
  <conditionalFormatting sqref="AG110 AG113 AG116">
    <cfRule type="cellIs" dxfId="9952" priority="3260" operator="greaterThan">
      <formula>1</formula>
    </cfRule>
    <cfRule type="cellIs" dxfId="9951" priority="3261" operator="lessThan">
      <formula>0.8</formula>
    </cfRule>
  </conditionalFormatting>
  <conditionalFormatting sqref="AF108 Q108">
    <cfRule type="cellIs" dxfId="9950" priority="3259" operator="lessThan">
      <formula>0</formula>
    </cfRule>
  </conditionalFormatting>
  <conditionalFormatting sqref="R108">
    <cfRule type="cellIs" dxfId="9949" priority="3257" operator="lessThan">
      <formula>0.8</formula>
    </cfRule>
    <cfRule type="cellIs" dxfId="9948" priority="3258" operator="greaterThan">
      <formula>1</formula>
    </cfRule>
  </conditionalFormatting>
  <conditionalFormatting sqref="AG108 R108">
    <cfRule type="cellIs" dxfId="9947" priority="3255" operator="greaterThan">
      <formula>1</formula>
    </cfRule>
    <cfRule type="cellIs" dxfId="9946" priority="3256" operator="lessThan">
      <formula>0.8</formula>
    </cfRule>
  </conditionalFormatting>
  <conditionalFormatting sqref="P108">
    <cfRule type="cellIs" dxfId="9945" priority="3254" operator="greaterThan">
      <formula>0</formula>
    </cfRule>
  </conditionalFormatting>
  <conditionalFormatting sqref="AH97">
    <cfRule type="cellIs" dxfId="9944" priority="3249" operator="lessThan">
      <formula>0.8</formula>
    </cfRule>
  </conditionalFormatting>
  <conditionalFormatting sqref="AG96 AG98 AG100 AG102 AG104">
    <cfRule type="cellIs" dxfId="9943" priority="3251" operator="greaterThan">
      <formula>1</formula>
    </cfRule>
    <cfRule type="cellIs" dxfId="9942" priority="3252" operator="lessThan">
      <formula>0.8</formula>
    </cfRule>
  </conditionalFormatting>
  <conditionalFormatting sqref="AF96 AF98 AF100 AF102 AF104">
    <cfRule type="cellIs" dxfId="9941" priority="3253" operator="lessThan">
      <formula>0</formula>
    </cfRule>
  </conditionalFormatting>
  <conditionalFormatting sqref="AG97 AG99 AG101 AG103 AG105">
    <cfRule type="cellIs" dxfId="9940" priority="3247" operator="greaterThan">
      <formula>1</formula>
    </cfRule>
    <cfRule type="cellIs" dxfId="9939" priority="3248" operator="lessThan">
      <formula>0.8</formula>
    </cfRule>
  </conditionalFormatting>
  <conditionalFormatting sqref="AF97 AF99 AF101 AF103 AF105">
    <cfRule type="cellIs" dxfId="9938" priority="3250" operator="lessThan">
      <formula>0</formula>
    </cfRule>
  </conditionalFormatting>
  <conditionalFormatting sqref="AF71 AF73 AF75 AF79 AF77">
    <cfRule type="cellIs" dxfId="9937" priority="3244" operator="lessThan">
      <formula>0</formula>
    </cfRule>
  </conditionalFormatting>
  <conditionalFormatting sqref="S71 AH71">
    <cfRule type="cellIs" dxfId="9936" priority="3243" operator="lessThan">
      <formula>0.8</formula>
    </cfRule>
  </conditionalFormatting>
  <conditionalFormatting sqref="AG71 AG73 AG75 AG79 AG77">
    <cfRule type="cellIs" dxfId="9935" priority="3241" operator="greaterThan">
      <formula>1</formula>
    </cfRule>
    <cfRule type="cellIs" dxfId="9934" priority="3242" operator="lessThan">
      <formula>0.8</formula>
    </cfRule>
  </conditionalFormatting>
  <conditionalFormatting sqref="AF72 AF76 AF80">
    <cfRule type="cellIs" dxfId="9933" priority="3240" operator="lessThan">
      <formula>0</formula>
    </cfRule>
  </conditionalFormatting>
  <conditionalFormatting sqref="S72 AH72">
    <cfRule type="cellIs" dxfId="9932" priority="3239" operator="lessThan">
      <formula>0.8</formula>
    </cfRule>
  </conditionalFormatting>
  <conditionalFormatting sqref="S11">
    <cfRule type="cellIs" dxfId="9931" priority="3246" operator="lessThan">
      <formula>0.8</formula>
    </cfRule>
  </conditionalFormatting>
  <conditionalFormatting sqref="S10">
    <cfRule type="cellIs" dxfId="9930" priority="3245" operator="lessThan">
      <formula>0.8</formula>
    </cfRule>
  </conditionalFormatting>
  <conditionalFormatting sqref="AG72 AG76 AG80">
    <cfRule type="cellIs" dxfId="9929" priority="3237" operator="greaterThan">
      <formula>1</formula>
    </cfRule>
    <cfRule type="cellIs" dxfId="9928" priority="3238" operator="lessThan">
      <formula>0.8</formula>
    </cfRule>
  </conditionalFormatting>
  <conditionalFormatting sqref="AF14:AF16 Q15:Q16">
    <cfRule type="cellIs" dxfId="9927" priority="3236" operator="lessThan">
      <formula>0</formula>
    </cfRule>
  </conditionalFormatting>
  <conditionalFormatting sqref="R15:R16">
    <cfRule type="cellIs" dxfId="9926" priority="3234" operator="lessThan">
      <formula>0.8</formula>
    </cfRule>
    <cfRule type="cellIs" dxfId="9925" priority="3235" operator="greaterThan">
      <formula>1</formula>
    </cfRule>
  </conditionalFormatting>
  <conditionalFormatting sqref="AG14:AG16 R15:R16">
    <cfRule type="cellIs" dxfId="9924" priority="3232" operator="greaterThan">
      <formula>1</formula>
    </cfRule>
    <cfRule type="cellIs" dxfId="9923" priority="3233" operator="lessThan">
      <formula>0.8</formula>
    </cfRule>
  </conditionalFormatting>
  <conditionalFormatting sqref="P15:P16">
    <cfRule type="cellIs" dxfId="9922" priority="3231" operator="greaterThan">
      <formula>0</formula>
    </cfRule>
  </conditionalFormatting>
  <conditionalFormatting sqref="AH98">
    <cfRule type="cellIs" dxfId="9921" priority="3230" operator="lessThan">
      <formula>0.8</formula>
    </cfRule>
  </conditionalFormatting>
  <conditionalFormatting sqref="AF33 AF37">
    <cfRule type="cellIs" dxfId="9920" priority="3229" operator="lessThan">
      <formula>0</formula>
    </cfRule>
  </conditionalFormatting>
  <conditionalFormatting sqref="AG33 AG37">
    <cfRule type="cellIs" dxfId="9919" priority="3227" operator="greaterThan">
      <formula>1</formula>
    </cfRule>
    <cfRule type="cellIs" dxfId="9918" priority="3228" operator="lessThan">
      <formula>0.8</formula>
    </cfRule>
  </conditionalFormatting>
  <conditionalFormatting sqref="P41:P42">
    <cfRule type="cellIs" dxfId="9917" priority="3221" operator="greaterThan">
      <formula>0</formula>
    </cfRule>
  </conditionalFormatting>
  <conditionalFormatting sqref="Q41:Q42 AF34 AF41:AF42 AF38">
    <cfRule type="cellIs" dxfId="9916" priority="3226" operator="lessThan">
      <formula>0</formula>
    </cfRule>
  </conditionalFormatting>
  <conditionalFormatting sqref="R41:R42">
    <cfRule type="cellIs" dxfId="9915" priority="3224" operator="lessThan">
      <formula>0.8</formula>
    </cfRule>
    <cfRule type="cellIs" dxfId="9914" priority="3225" operator="greaterThan">
      <formula>1</formula>
    </cfRule>
  </conditionalFormatting>
  <conditionalFormatting sqref="R41:R42 AG34 AG41:AG42 AG38">
    <cfRule type="cellIs" dxfId="9913" priority="3222" operator="greaterThan">
      <formula>1</formula>
    </cfRule>
    <cfRule type="cellIs" dxfId="9912" priority="3223" operator="lessThan">
      <formula>0.8</formula>
    </cfRule>
  </conditionalFormatting>
  <conditionalFormatting sqref="AF137:AF144">
    <cfRule type="cellIs" dxfId="9911" priority="3220" operator="lessThan">
      <formula>0</formula>
    </cfRule>
  </conditionalFormatting>
  <conditionalFormatting sqref="AH137 S137">
    <cfRule type="cellIs" dxfId="9910" priority="3219" operator="lessThan">
      <formula>0.8</formula>
    </cfRule>
  </conditionalFormatting>
  <conditionalFormatting sqref="AG137:AG144">
    <cfRule type="cellIs" dxfId="9909" priority="3217" operator="greaterThan">
      <formula>1</formula>
    </cfRule>
    <cfRule type="cellIs" dxfId="9908" priority="3218" operator="lessThan">
      <formula>0.8</formula>
    </cfRule>
  </conditionalFormatting>
  <conditionalFormatting sqref="AF55">
    <cfRule type="cellIs" dxfId="9907" priority="3216" operator="lessThan">
      <formula>0</formula>
    </cfRule>
  </conditionalFormatting>
  <conditionalFormatting sqref="AG55">
    <cfRule type="cellIs" dxfId="9906" priority="3214" operator="greaterThan">
      <formula>1</formula>
    </cfRule>
    <cfRule type="cellIs" dxfId="9905" priority="3215" operator="lessThan">
      <formula>0.8</formula>
    </cfRule>
  </conditionalFormatting>
  <conditionalFormatting sqref="AF56 Q56">
    <cfRule type="cellIs" dxfId="9904" priority="3213" operator="lessThan">
      <formula>0</formula>
    </cfRule>
  </conditionalFormatting>
  <conditionalFormatting sqref="R56">
    <cfRule type="cellIs" dxfId="9903" priority="3211" operator="lessThan">
      <formula>0.8</formula>
    </cfRule>
    <cfRule type="cellIs" dxfId="9902" priority="3212" operator="greaterThan">
      <formula>1</formula>
    </cfRule>
  </conditionalFormatting>
  <conditionalFormatting sqref="AG56 R56">
    <cfRule type="cellIs" dxfId="9901" priority="3209" operator="greaterThan">
      <formula>1</formula>
    </cfRule>
    <cfRule type="cellIs" dxfId="9900" priority="3210" operator="lessThan">
      <formula>0.8</formula>
    </cfRule>
  </conditionalFormatting>
  <conditionalFormatting sqref="P56">
    <cfRule type="cellIs" dxfId="9899" priority="3208" operator="greaterThan">
      <formula>0</formula>
    </cfRule>
  </conditionalFormatting>
  <conditionalFormatting sqref="P52:P55">
    <cfRule type="cellIs" dxfId="9898" priority="3202" operator="greaterThan">
      <formula>0</formula>
    </cfRule>
  </conditionalFormatting>
  <conditionalFormatting sqref="Q52:Q55">
    <cfRule type="cellIs" dxfId="9897" priority="3207" operator="lessThan">
      <formula>0</formula>
    </cfRule>
  </conditionalFormatting>
  <conditionalFormatting sqref="R52:R55">
    <cfRule type="cellIs" dxfId="9896" priority="3205" operator="lessThan">
      <formula>0.8</formula>
    </cfRule>
    <cfRule type="cellIs" dxfId="9895" priority="3206" operator="greaterThan">
      <formula>1</formula>
    </cfRule>
  </conditionalFormatting>
  <conditionalFormatting sqref="R52:R55">
    <cfRule type="cellIs" dxfId="9894" priority="3203" operator="greaterThan">
      <formula>1</formula>
    </cfRule>
    <cfRule type="cellIs" dxfId="9893" priority="3204" operator="lessThan">
      <formula>0.8</formula>
    </cfRule>
  </conditionalFormatting>
  <conditionalFormatting sqref="P80:P81">
    <cfRule type="cellIs" dxfId="9892" priority="3196" operator="greaterThan">
      <formula>0</formula>
    </cfRule>
  </conditionalFormatting>
  <conditionalFormatting sqref="AF81 Q80:Q81">
    <cfRule type="cellIs" dxfId="9891" priority="3201" operator="lessThan">
      <formula>0</formula>
    </cfRule>
  </conditionalFormatting>
  <conditionalFormatting sqref="R80:R81">
    <cfRule type="cellIs" dxfId="9890" priority="3199" operator="lessThan">
      <formula>0.8</formula>
    </cfRule>
    <cfRule type="cellIs" dxfId="9889" priority="3200" operator="greaterThan">
      <formula>1</formula>
    </cfRule>
  </conditionalFormatting>
  <conditionalFormatting sqref="AG81 R80:R81">
    <cfRule type="cellIs" dxfId="9888" priority="3197" operator="greaterThan">
      <formula>1</formula>
    </cfRule>
    <cfRule type="cellIs" dxfId="9887" priority="3198" operator="lessThan">
      <formula>0.8</formula>
    </cfRule>
  </conditionalFormatting>
  <conditionalFormatting sqref="AH85">
    <cfRule type="cellIs" dxfId="9886" priority="3195" operator="lessThan">
      <formula>0.8</formula>
    </cfRule>
  </conditionalFormatting>
  <conditionalFormatting sqref="S85">
    <cfRule type="cellIs" dxfId="9885" priority="3194" operator="lessThan">
      <formula>0.8</formula>
    </cfRule>
  </conditionalFormatting>
  <conditionalFormatting sqref="AF106:AF107">
    <cfRule type="cellIs" dxfId="9884" priority="3193" operator="lessThan">
      <formula>0</formula>
    </cfRule>
  </conditionalFormatting>
  <conditionalFormatting sqref="AH100:AH107">
    <cfRule type="cellIs" dxfId="9883" priority="3192" operator="lessThan">
      <formula>0.8</formula>
    </cfRule>
  </conditionalFormatting>
  <conditionalFormatting sqref="AG106:AG107">
    <cfRule type="cellIs" dxfId="9882" priority="3190" operator="greaterThan">
      <formula>1</formula>
    </cfRule>
    <cfRule type="cellIs" dxfId="9881" priority="3191" operator="lessThan">
      <formula>0.8</formula>
    </cfRule>
  </conditionalFormatting>
  <conditionalFormatting sqref="P106:P107">
    <cfRule type="cellIs" dxfId="9880" priority="3184" operator="greaterThan">
      <formula>0</formula>
    </cfRule>
  </conditionalFormatting>
  <conditionalFormatting sqref="Q106:Q107">
    <cfRule type="cellIs" dxfId="9879" priority="3189" operator="lessThan">
      <formula>0</formula>
    </cfRule>
  </conditionalFormatting>
  <conditionalFormatting sqref="R106:R107">
    <cfRule type="cellIs" dxfId="9878" priority="3187" operator="lessThan">
      <formula>0.8</formula>
    </cfRule>
    <cfRule type="cellIs" dxfId="9877" priority="3188" operator="greaterThan">
      <formula>1</formula>
    </cfRule>
  </conditionalFormatting>
  <conditionalFormatting sqref="R106:R107">
    <cfRule type="cellIs" dxfId="9876" priority="3185" operator="greaterThan">
      <formula>1</formula>
    </cfRule>
    <cfRule type="cellIs" dxfId="9875" priority="3186" operator="lessThan">
      <formula>0.8</formula>
    </cfRule>
  </conditionalFormatting>
  <conditionalFormatting sqref="AF109">
    <cfRule type="cellIs" dxfId="9874" priority="3183" operator="lessThan">
      <formula>0</formula>
    </cfRule>
  </conditionalFormatting>
  <conditionalFormatting sqref="S109">
    <cfRule type="cellIs" dxfId="9873" priority="3182" operator="lessThan">
      <formula>0.8</formula>
    </cfRule>
  </conditionalFormatting>
  <conditionalFormatting sqref="AG109">
    <cfRule type="cellIs" dxfId="9872" priority="3180" operator="greaterThan">
      <formula>1</formula>
    </cfRule>
    <cfRule type="cellIs" dxfId="9871" priority="3181" operator="lessThan">
      <formula>0.8</formula>
    </cfRule>
  </conditionalFormatting>
  <conditionalFormatting sqref="S150">
    <cfRule type="cellIs" dxfId="9870" priority="3179" operator="lessThan">
      <formula>0.8</formula>
    </cfRule>
  </conditionalFormatting>
  <conditionalFormatting sqref="AH150">
    <cfRule type="cellIs" dxfId="9869" priority="3178" operator="lessThan">
      <formula>0.8</formula>
    </cfRule>
  </conditionalFormatting>
  <conditionalFormatting sqref="S149">
    <cfRule type="cellIs" dxfId="9868" priority="3177" operator="lessThan">
      <formula>0.8</formula>
    </cfRule>
  </conditionalFormatting>
  <conditionalFormatting sqref="Q26:Q29">
    <cfRule type="cellIs" dxfId="9867" priority="3176" operator="lessThan">
      <formula>0</formula>
    </cfRule>
  </conditionalFormatting>
  <conditionalFormatting sqref="S21:S29 AH21:AH29">
    <cfRule type="cellIs" dxfId="9866" priority="3175" operator="lessThan">
      <formula>0.8</formula>
    </cfRule>
  </conditionalFormatting>
  <conditionalFormatting sqref="R26:R29">
    <cfRule type="cellIs" dxfId="9865" priority="3173" operator="lessThan">
      <formula>0.8</formula>
    </cfRule>
    <cfRule type="cellIs" dxfId="9864" priority="3174" operator="greaterThan">
      <formula>1</formula>
    </cfRule>
  </conditionalFormatting>
  <conditionalFormatting sqref="R26:R29">
    <cfRule type="cellIs" dxfId="9863" priority="3171" operator="greaterThan">
      <formula>1</formula>
    </cfRule>
    <cfRule type="cellIs" dxfId="9862" priority="3172" operator="lessThan">
      <formula>0.8</formula>
    </cfRule>
  </conditionalFormatting>
  <conditionalFormatting sqref="P26:P29">
    <cfRule type="cellIs" dxfId="9861" priority="3170" operator="greaterThan">
      <formula>0</formula>
    </cfRule>
  </conditionalFormatting>
  <conditionalFormatting sqref="AH91 S91">
    <cfRule type="cellIs" dxfId="9860" priority="3169" operator="lessThan">
      <formula>0.8</formula>
    </cfRule>
  </conditionalFormatting>
  <conditionalFormatting sqref="P92:P94">
    <cfRule type="cellIs" dxfId="9859" priority="3163" operator="greaterThan">
      <formula>0</formula>
    </cfRule>
  </conditionalFormatting>
  <conditionalFormatting sqref="Q92:Q94">
    <cfRule type="cellIs" dxfId="9858" priority="3168" operator="lessThan">
      <formula>0</formula>
    </cfRule>
  </conditionalFormatting>
  <conditionalFormatting sqref="R92:R94">
    <cfRule type="cellIs" dxfId="9857" priority="3166" operator="lessThan">
      <formula>0.8</formula>
    </cfRule>
    <cfRule type="cellIs" dxfId="9856" priority="3167" operator="greaterThan">
      <formula>1</formula>
    </cfRule>
  </conditionalFormatting>
  <conditionalFormatting sqref="R92:R94">
    <cfRule type="cellIs" dxfId="9855" priority="3164" operator="greaterThan">
      <formula>1</formula>
    </cfRule>
    <cfRule type="cellIs" dxfId="9854" priority="3165" operator="lessThan">
      <formula>0.8</formula>
    </cfRule>
  </conditionalFormatting>
  <conditionalFormatting sqref="AF146 Q145:Q146">
    <cfRule type="cellIs" dxfId="9853" priority="3162" operator="lessThan">
      <formula>0</formula>
    </cfRule>
  </conditionalFormatting>
  <conditionalFormatting sqref="AH139:AH146 S139:S146">
    <cfRule type="cellIs" dxfId="9852" priority="3161" operator="lessThan">
      <formula>0.8</formula>
    </cfRule>
  </conditionalFormatting>
  <conditionalFormatting sqref="R145:R146">
    <cfRule type="cellIs" dxfId="9851" priority="3159" operator="lessThan">
      <formula>0.8</formula>
    </cfRule>
    <cfRule type="cellIs" dxfId="9850" priority="3160" operator="greaterThan">
      <formula>1</formula>
    </cfRule>
  </conditionalFormatting>
  <conditionalFormatting sqref="AG146 R145:R146">
    <cfRule type="cellIs" dxfId="9849" priority="3157" operator="greaterThan">
      <formula>1</formula>
    </cfRule>
    <cfRule type="cellIs" dxfId="9848" priority="3158" operator="lessThan">
      <formula>0.8</formula>
    </cfRule>
  </conditionalFormatting>
  <conditionalFormatting sqref="P145:P146">
    <cfRule type="cellIs" dxfId="9847" priority="3156" operator="greaterThan">
      <formula>0</formula>
    </cfRule>
  </conditionalFormatting>
  <conditionalFormatting sqref="Q119:Q120">
    <cfRule type="cellIs" dxfId="9846" priority="3155" operator="lessThan">
      <formula>0</formula>
    </cfRule>
  </conditionalFormatting>
  <conditionalFormatting sqref="R119:R120">
    <cfRule type="cellIs" dxfId="9845" priority="3153" operator="lessThan">
      <formula>0.8</formula>
    </cfRule>
    <cfRule type="cellIs" dxfId="9844" priority="3154" operator="greaterThan">
      <formula>1</formula>
    </cfRule>
  </conditionalFormatting>
  <conditionalFormatting sqref="R119:R120">
    <cfRule type="cellIs" dxfId="9843" priority="3151" operator="greaterThan">
      <formula>1</formula>
    </cfRule>
    <cfRule type="cellIs" dxfId="9842" priority="3152" operator="lessThan">
      <formula>0.8</formula>
    </cfRule>
  </conditionalFormatting>
  <conditionalFormatting sqref="P119:P120">
    <cfRule type="cellIs" dxfId="9841" priority="3150" operator="greaterThan">
      <formula>0</formula>
    </cfRule>
  </conditionalFormatting>
  <conditionalFormatting sqref="AF118:AF120">
    <cfRule type="cellIs" dxfId="9840" priority="3149" operator="lessThan">
      <formula>0</formula>
    </cfRule>
  </conditionalFormatting>
  <conditionalFormatting sqref="AG118:AG120">
    <cfRule type="cellIs" dxfId="9839" priority="3147" operator="greaterThan">
      <formula>1</formula>
    </cfRule>
    <cfRule type="cellIs" dxfId="9838" priority="3148" operator="lessThan">
      <formula>0.8</formula>
    </cfRule>
  </conditionalFormatting>
  <conditionalFormatting sqref="S44:S56">
    <cfRule type="cellIs" dxfId="9837" priority="3146" operator="lessThan">
      <formula>0.8</formula>
    </cfRule>
  </conditionalFormatting>
  <conditionalFormatting sqref="S108">
    <cfRule type="cellIs" dxfId="9836" priority="3145" operator="lessThan">
      <formula>0.8</formula>
    </cfRule>
  </conditionalFormatting>
  <conditionalFormatting sqref="S96">
    <cfRule type="cellIs" dxfId="9835" priority="3144" operator="lessThan">
      <formula>0.8</formula>
    </cfRule>
  </conditionalFormatting>
  <conditionalFormatting sqref="S97">
    <cfRule type="cellIs" dxfId="9834" priority="3143" operator="lessThan">
      <formula>0.8</formula>
    </cfRule>
  </conditionalFormatting>
  <conditionalFormatting sqref="S103">
    <cfRule type="cellIs" dxfId="9833" priority="3142" operator="lessThan">
      <formula>0.8</formula>
    </cfRule>
  </conditionalFormatting>
  <conditionalFormatting sqref="S99">
    <cfRule type="cellIs" dxfId="9832" priority="3141" operator="lessThan">
      <formula>0.8</formula>
    </cfRule>
  </conditionalFormatting>
  <conditionalFormatting sqref="S101">
    <cfRule type="cellIs" dxfId="9831" priority="3138" operator="lessThan">
      <formula>0.8</formula>
    </cfRule>
  </conditionalFormatting>
  <conditionalFormatting sqref="S100">
    <cfRule type="cellIs" dxfId="9830" priority="3140" operator="lessThan">
      <formula>0.8</formula>
    </cfRule>
  </conditionalFormatting>
  <conditionalFormatting sqref="S102">
    <cfRule type="cellIs" dxfId="9829" priority="3139" operator="lessThan">
      <formula>0.8</formula>
    </cfRule>
  </conditionalFormatting>
  <conditionalFormatting sqref="S98">
    <cfRule type="cellIs" dxfId="9828" priority="3137" operator="lessThan">
      <formula>0.8</formula>
    </cfRule>
  </conditionalFormatting>
  <conditionalFormatting sqref="S104">
    <cfRule type="cellIs" dxfId="9827" priority="3136" operator="lessThan">
      <formula>0.8</formula>
    </cfRule>
  </conditionalFormatting>
  <conditionalFormatting sqref="P118">
    <cfRule type="cellIs" dxfId="9826" priority="3130" operator="greaterThan">
      <formula>0</formula>
    </cfRule>
  </conditionalFormatting>
  <conditionalFormatting sqref="Q118">
    <cfRule type="cellIs" dxfId="9825" priority="3135" operator="lessThan">
      <formula>0</formula>
    </cfRule>
  </conditionalFormatting>
  <conditionalFormatting sqref="R118">
    <cfRule type="cellIs" dxfId="9824" priority="3133" operator="lessThan">
      <formula>0.8</formula>
    </cfRule>
    <cfRule type="cellIs" dxfId="9823" priority="3134" operator="greaterThan">
      <formula>1</formula>
    </cfRule>
  </conditionalFormatting>
  <conditionalFormatting sqref="R118">
    <cfRule type="cellIs" dxfId="9822" priority="3131" operator="greaterThan">
      <formula>1</formula>
    </cfRule>
    <cfRule type="cellIs" dxfId="9821" priority="3132" operator="lessThan">
      <formula>0.8</formula>
    </cfRule>
  </conditionalFormatting>
  <conditionalFormatting sqref="Q162:Q166">
    <cfRule type="cellIs" dxfId="9820" priority="3129" operator="lessThan">
      <formula>0</formula>
    </cfRule>
  </conditionalFormatting>
  <conditionalFormatting sqref="R162:R166">
    <cfRule type="cellIs" dxfId="9819" priority="3127" operator="lessThan">
      <formula>0.8</formula>
    </cfRule>
    <cfRule type="cellIs" dxfId="9818" priority="3128" operator="greaterThan">
      <formula>1</formula>
    </cfRule>
  </conditionalFormatting>
  <conditionalFormatting sqref="R162:R166">
    <cfRule type="cellIs" dxfId="9817" priority="3125" operator="greaterThan">
      <formula>1</formula>
    </cfRule>
    <cfRule type="cellIs" dxfId="9816" priority="3126" operator="lessThan">
      <formula>0.8</formula>
    </cfRule>
  </conditionalFormatting>
  <conditionalFormatting sqref="P162:P166">
    <cfRule type="cellIs" dxfId="9815" priority="3124" operator="greaterThan">
      <formula>0</formula>
    </cfRule>
  </conditionalFormatting>
  <conditionalFormatting sqref="P167:P168">
    <cfRule type="cellIs" dxfId="9814" priority="3118" operator="greaterThan">
      <formula>0</formula>
    </cfRule>
  </conditionalFormatting>
  <conditionalFormatting sqref="R167:R168">
    <cfRule type="cellIs" dxfId="9813" priority="3121" operator="lessThan">
      <formula>0.8</formula>
    </cfRule>
    <cfRule type="cellIs" dxfId="9812" priority="3122" operator="greaterThan">
      <formula>1</formula>
    </cfRule>
  </conditionalFormatting>
  <conditionalFormatting sqref="R167:R168">
    <cfRule type="cellIs" dxfId="9811" priority="3119" operator="greaterThan">
      <formula>1</formula>
    </cfRule>
    <cfRule type="cellIs" dxfId="9810" priority="3120" operator="lessThan">
      <formula>0.8</formula>
    </cfRule>
  </conditionalFormatting>
  <conditionalFormatting sqref="Q167:Q168">
    <cfRule type="cellIs" dxfId="9809" priority="3123" operator="lessThan">
      <formula>0</formula>
    </cfRule>
  </conditionalFormatting>
  <conditionalFormatting sqref="Q117">
    <cfRule type="cellIs" dxfId="9808" priority="3117" operator="lessThan">
      <formula>0</formula>
    </cfRule>
  </conditionalFormatting>
  <conditionalFormatting sqref="R117">
    <cfRule type="cellIs" dxfId="9807" priority="3115" operator="lessThan">
      <formula>0.8</formula>
    </cfRule>
    <cfRule type="cellIs" dxfId="9806" priority="3116" operator="greaterThan">
      <formula>1</formula>
    </cfRule>
  </conditionalFormatting>
  <conditionalFormatting sqref="R117">
    <cfRule type="cellIs" dxfId="9805" priority="3113" operator="greaterThan">
      <formula>1</formula>
    </cfRule>
    <cfRule type="cellIs" dxfId="9804" priority="3114" operator="lessThan">
      <formula>0.8</formula>
    </cfRule>
  </conditionalFormatting>
  <conditionalFormatting sqref="P117">
    <cfRule type="cellIs" dxfId="9803" priority="3112" operator="greaterThan">
      <formula>0</formula>
    </cfRule>
  </conditionalFormatting>
  <conditionalFormatting sqref="Q117">
    <cfRule type="cellIs" dxfId="9802" priority="3111" operator="lessThan">
      <formula>0</formula>
    </cfRule>
  </conditionalFormatting>
  <conditionalFormatting sqref="R117">
    <cfRule type="cellIs" dxfId="9801" priority="3109" operator="lessThan">
      <formula>0.8</formula>
    </cfRule>
    <cfRule type="cellIs" dxfId="9800" priority="3110" operator="greaterThan">
      <formula>1</formula>
    </cfRule>
  </conditionalFormatting>
  <conditionalFormatting sqref="R117">
    <cfRule type="cellIs" dxfId="9799" priority="3107" operator="greaterThan">
      <formula>1</formula>
    </cfRule>
    <cfRule type="cellIs" dxfId="9798" priority="3108" operator="lessThan">
      <formula>0.8</formula>
    </cfRule>
  </conditionalFormatting>
  <conditionalFormatting sqref="P117">
    <cfRule type="cellIs" dxfId="9797" priority="3106" operator="greaterThan">
      <formula>0</formula>
    </cfRule>
  </conditionalFormatting>
  <conditionalFormatting sqref="P117">
    <cfRule type="cellIs" dxfId="9796" priority="3100" operator="greaterThan">
      <formula>0</formula>
    </cfRule>
  </conditionalFormatting>
  <conditionalFormatting sqref="Q117">
    <cfRule type="cellIs" dxfId="9795" priority="3105" operator="lessThan">
      <formula>0</formula>
    </cfRule>
  </conditionalFormatting>
  <conditionalFormatting sqref="R117">
    <cfRule type="cellIs" dxfId="9794" priority="3103" operator="lessThan">
      <formula>0.8</formula>
    </cfRule>
    <cfRule type="cellIs" dxfId="9793" priority="3104" operator="greaterThan">
      <formula>1</formula>
    </cfRule>
  </conditionalFormatting>
  <conditionalFormatting sqref="R117">
    <cfRule type="cellIs" dxfId="9792" priority="3101" operator="greaterThan">
      <formula>1</formula>
    </cfRule>
    <cfRule type="cellIs" dxfId="9791" priority="3102" operator="lessThan">
      <formula>0.8</formula>
    </cfRule>
  </conditionalFormatting>
  <conditionalFormatting sqref="P117">
    <cfRule type="cellIs" dxfId="9790" priority="3094" operator="greaterThan">
      <formula>0</formula>
    </cfRule>
  </conditionalFormatting>
  <conditionalFormatting sqref="Q117">
    <cfRule type="cellIs" dxfId="9789" priority="3099" operator="lessThan">
      <formula>0</formula>
    </cfRule>
  </conditionalFormatting>
  <conditionalFormatting sqref="R117">
    <cfRule type="cellIs" dxfId="9788" priority="3097" operator="lessThan">
      <formula>0.8</formula>
    </cfRule>
    <cfRule type="cellIs" dxfId="9787" priority="3098" operator="greaterThan">
      <formula>1</formula>
    </cfRule>
  </conditionalFormatting>
  <conditionalFormatting sqref="R117">
    <cfRule type="cellIs" dxfId="9786" priority="3095" operator="greaterThan">
      <formula>1</formula>
    </cfRule>
    <cfRule type="cellIs" dxfId="9785" priority="3096" operator="lessThan">
      <formula>0.8</formula>
    </cfRule>
  </conditionalFormatting>
  <conditionalFormatting sqref="P117">
    <cfRule type="cellIs" dxfId="9784" priority="3088" operator="greaterThan">
      <formula>0</formula>
    </cfRule>
  </conditionalFormatting>
  <conditionalFormatting sqref="Q117">
    <cfRule type="cellIs" dxfId="9783" priority="3093" operator="lessThan">
      <formula>0</formula>
    </cfRule>
  </conditionalFormatting>
  <conditionalFormatting sqref="R117">
    <cfRule type="cellIs" dxfId="9782" priority="3091" operator="lessThan">
      <formula>0.8</formula>
    </cfRule>
    <cfRule type="cellIs" dxfId="9781" priority="3092" operator="greaterThan">
      <formula>1</formula>
    </cfRule>
  </conditionalFormatting>
  <conditionalFormatting sqref="R117">
    <cfRule type="cellIs" dxfId="9780" priority="3089" operator="greaterThan">
      <formula>1</formula>
    </cfRule>
    <cfRule type="cellIs" dxfId="9779" priority="3090" operator="lessThan">
      <formula>0.8</formula>
    </cfRule>
  </conditionalFormatting>
  <conditionalFormatting sqref="Q117">
    <cfRule type="cellIs" dxfId="9778" priority="3087" operator="lessThan">
      <formula>0</formula>
    </cfRule>
  </conditionalFormatting>
  <conditionalFormatting sqref="R117">
    <cfRule type="cellIs" dxfId="9777" priority="3085" operator="lessThan">
      <formula>0.8</formula>
    </cfRule>
    <cfRule type="cellIs" dxfId="9776" priority="3086" operator="greaterThan">
      <formula>1</formula>
    </cfRule>
  </conditionalFormatting>
  <conditionalFormatting sqref="R117">
    <cfRule type="cellIs" dxfId="9775" priority="3083" operator="greaterThan">
      <formula>1</formula>
    </cfRule>
    <cfRule type="cellIs" dxfId="9774" priority="3084" operator="lessThan">
      <formula>0.8</formula>
    </cfRule>
  </conditionalFormatting>
  <conditionalFormatting sqref="P117">
    <cfRule type="cellIs" dxfId="9773" priority="3082" operator="greaterThan">
      <formula>0</formula>
    </cfRule>
  </conditionalFormatting>
  <conditionalFormatting sqref="P117">
    <cfRule type="cellIs" dxfId="9772" priority="3076" operator="greaterThan">
      <formula>0</formula>
    </cfRule>
  </conditionalFormatting>
  <conditionalFormatting sqref="Q117">
    <cfRule type="cellIs" dxfId="9771" priority="3081" operator="lessThan">
      <formula>0</formula>
    </cfRule>
  </conditionalFormatting>
  <conditionalFormatting sqref="R117">
    <cfRule type="cellIs" dxfId="9770" priority="3079" operator="lessThan">
      <formula>0.8</formula>
    </cfRule>
    <cfRule type="cellIs" dxfId="9769" priority="3080" operator="greaterThan">
      <formula>1</formula>
    </cfRule>
  </conditionalFormatting>
  <conditionalFormatting sqref="R117">
    <cfRule type="cellIs" dxfId="9768" priority="3077" operator="greaterThan">
      <formula>1</formula>
    </cfRule>
    <cfRule type="cellIs" dxfId="9767" priority="3078" operator="lessThan">
      <formula>0.8</formula>
    </cfRule>
  </conditionalFormatting>
  <conditionalFormatting sqref="P117">
    <cfRule type="cellIs" dxfId="9766" priority="3070" operator="greaterThan">
      <formula>0</formula>
    </cfRule>
  </conditionalFormatting>
  <conditionalFormatting sqref="Q117">
    <cfRule type="cellIs" dxfId="9765" priority="3075" operator="lessThan">
      <formula>0</formula>
    </cfRule>
  </conditionalFormatting>
  <conditionalFormatting sqref="R117">
    <cfRule type="cellIs" dxfId="9764" priority="3073" operator="lessThan">
      <formula>0.8</formula>
    </cfRule>
    <cfRule type="cellIs" dxfId="9763" priority="3074" operator="greaterThan">
      <formula>1</formula>
    </cfRule>
  </conditionalFormatting>
  <conditionalFormatting sqref="R117">
    <cfRule type="cellIs" dxfId="9762" priority="3071" operator="greaterThan">
      <formula>1</formula>
    </cfRule>
    <cfRule type="cellIs" dxfId="9761" priority="3072" operator="lessThan">
      <formula>0.8</formula>
    </cfRule>
  </conditionalFormatting>
  <conditionalFormatting sqref="Q117">
    <cfRule type="cellIs" dxfId="9760" priority="3069" operator="lessThan">
      <formula>0</formula>
    </cfRule>
  </conditionalFormatting>
  <conditionalFormatting sqref="R117">
    <cfRule type="cellIs" dxfId="9759" priority="3067" operator="lessThan">
      <formula>0.8</formula>
    </cfRule>
    <cfRule type="cellIs" dxfId="9758" priority="3068" operator="greaterThan">
      <formula>1</formula>
    </cfRule>
  </conditionalFormatting>
  <conditionalFormatting sqref="R117">
    <cfRule type="cellIs" dxfId="9757" priority="3065" operator="greaterThan">
      <formula>1</formula>
    </cfRule>
    <cfRule type="cellIs" dxfId="9756" priority="3066" operator="lessThan">
      <formula>0.8</formula>
    </cfRule>
  </conditionalFormatting>
  <conditionalFormatting sqref="P117">
    <cfRule type="cellIs" dxfId="9755" priority="3064" operator="greaterThan">
      <formula>0</formula>
    </cfRule>
  </conditionalFormatting>
  <conditionalFormatting sqref="P117">
    <cfRule type="cellIs" dxfId="9754" priority="3058" operator="greaterThan">
      <formula>0</formula>
    </cfRule>
  </conditionalFormatting>
  <conditionalFormatting sqref="Q117">
    <cfRule type="cellIs" dxfId="9753" priority="3063" operator="lessThan">
      <formula>0</formula>
    </cfRule>
  </conditionalFormatting>
  <conditionalFormatting sqref="R117">
    <cfRule type="cellIs" dxfId="9752" priority="3061" operator="lessThan">
      <formula>0.8</formula>
    </cfRule>
    <cfRule type="cellIs" dxfId="9751" priority="3062" operator="greaterThan">
      <formula>1</formula>
    </cfRule>
  </conditionalFormatting>
  <conditionalFormatting sqref="R117">
    <cfRule type="cellIs" dxfId="9750" priority="3059" operator="greaterThan">
      <formula>1</formula>
    </cfRule>
    <cfRule type="cellIs" dxfId="9749" priority="3060" operator="lessThan">
      <formula>0.8</formula>
    </cfRule>
  </conditionalFormatting>
  <conditionalFormatting sqref="Q117">
    <cfRule type="cellIs" dxfId="9748" priority="3057" operator="lessThan">
      <formula>0</formula>
    </cfRule>
  </conditionalFormatting>
  <conditionalFormatting sqref="R117">
    <cfRule type="cellIs" dxfId="9747" priority="3055" operator="lessThan">
      <formula>0.8</formula>
    </cfRule>
    <cfRule type="cellIs" dxfId="9746" priority="3056" operator="greaterThan">
      <formula>1</formula>
    </cfRule>
  </conditionalFormatting>
  <conditionalFormatting sqref="R117">
    <cfRule type="cellIs" dxfId="9745" priority="3053" operator="greaterThan">
      <formula>1</formula>
    </cfRule>
    <cfRule type="cellIs" dxfId="9744" priority="3054" operator="lessThan">
      <formula>0.8</formula>
    </cfRule>
  </conditionalFormatting>
  <conditionalFormatting sqref="P117">
    <cfRule type="cellIs" dxfId="9743" priority="3052" operator="greaterThan">
      <formula>0</formula>
    </cfRule>
  </conditionalFormatting>
  <conditionalFormatting sqref="Q117">
    <cfRule type="cellIs" dxfId="9742" priority="3051" operator="lessThan">
      <formula>0</formula>
    </cfRule>
  </conditionalFormatting>
  <conditionalFormatting sqref="R117">
    <cfRule type="cellIs" dxfId="9741" priority="3049" operator="lessThan">
      <formula>0.8</formula>
    </cfRule>
    <cfRule type="cellIs" dxfId="9740" priority="3050" operator="greaterThan">
      <formula>1</formula>
    </cfRule>
  </conditionalFormatting>
  <conditionalFormatting sqref="R117">
    <cfRule type="cellIs" dxfId="9739" priority="3047" operator="greaterThan">
      <formula>1</formula>
    </cfRule>
    <cfRule type="cellIs" dxfId="9738" priority="3048" operator="lessThan">
      <formula>0.8</formula>
    </cfRule>
  </conditionalFormatting>
  <conditionalFormatting sqref="P117">
    <cfRule type="cellIs" dxfId="9737" priority="3046" operator="greaterThan">
      <formula>0</formula>
    </cfRule>
  </conditionalFormatting>
  <conditionalFormatting sqref="Q83">
    <cfRule type="cellIs" dxfId="9736" priority="3045" operator="lessThan">
      <formula>0</formula>
    </cfRule>
  </conditionalFormatting>
  <conditionalFormatting sqref="R83">
    <cfRule type="cellIs" dxfId="9735" priority="3043" operator="lessThan">
      <formula>0.8</formula>
    </cfRule>
    <cfRule type="cellIs" dxfId="9734" priority="3044" operator="greaterThan">
      <formula>1</formula>
    </cfRule>
  </conditionalFormatting>
  <conditionalFormatting sqref="R83">
    <cfRule type="cellIs" dxfId="9733" priority="3041" operator="greaterThan">
      <formula>1</formula>
    </cfRule>
    <cfRule type="cellIs" dxfId="9732" priority="3042" operator="lessThan">
      <formula>0.8</formula>
    </cfRule>
  </conditionalFormatting>
  <conditionalFormatting sqref="P83">
    <cfRule type="cellIs" dxfId="9731" priority="3040" operator="greaterThan">
      <formula>0</formula>
    </cfRule>
  </conditionalFormatting>
  <conditionalFormatting sqref="Q83">
    <cfRule type="cellIs" dxfId="9730" priority="3039" operator="lessThan">
      <formula>0</formula>
    </cfRule>
  </conditionalFormatting>
  <conditionalFormatting sqref="R83">
    <cfRule type="cellIs" dxfId="9729" priority="3037" operator="lessThan">
      <formula>0.8</formula>
    </cfRule>
    <cfRule type="cellIs" dxfId="9728" priority="3038" operator="greaterThan">
      <formula>1</formula>
    </cfRule>
  </conditionalFormatting>
  <conditionalFormatting sqref="R83">
    <cfRule type="cellIs" dxfId="9727" priority="3035" operator="greaterThan">
      <formula>1</formula>
    </cfRule>
    <cfRule type="cellIs" dxfId="9726" priority="3036" operator="lessThan">
      <formula>0.8</formula>
    </cfRule>
  </conditionalFormatting>
  <conditionalFormatting sqref="P83">
    <cfRule type="cellIs" dxfId="9725" priority="3034" operator="greaterThan">
      <formula>0</formula>
    </cfRule>
  </conditionalFormatting>
  <conditionalFormatting sqref="Q83">
    <cfRule type="cellIs" dxfId="9724" priority="3033" operator="lessThan">
      <formula>0</formula>
    </cfRule>
  </conditionalFormatting>
  <conditionalFormatting sqref="R83">
    <cfRule type="cellIs" dxfId="9723" priority="3031" operator="lessThan">
      <formula>0.8</formula>
    </cfRule>
    <cfRule type="cellIs" dxfId="9722" priority="3032" operator="greaterThan">
      <formula>1</formula>
    </cfRule>
  </conditionalFormatting>
  <conditionalFormatting sqref="R83">
    <cfRule type="cellIs" dxfId="9721" priority="3029" operator="greaterThan">
      <formula>1</formula>
    </cfRule>
    <cfRule type="cellIs" dxfId="9720" priority="3030" operator="lessThan">
      <formula>0.8</formula>
    </cfRule>
  </conditionalFormatting>
  <conditionalFormatting sqref="P83">
    <cfRule type="cellIs" dxfId="9719" priority="3028" operator="greaterThan">
      <formula>0</formula>
    </cfRule>
  </conditionalFormatting>
  <conditionalFormatting sqref="Q83">
    <cfRule type="cellIs" dxfId="9718" priority="3027" operator="lessThan">
      <formula>0</formula>
    </cfRule>
  </conditionalFormatting>
  <conditionalFormatting sqref="R83">
    <cfRule type="cellIs" dxfId="9717" priority="3025" operator="lessThan">
      <formula>0.8</formula>
    </cfRule>
    <cfRule type="cellIs" dxfId="9716" priority="3026" operator="greaterThan">
      <formula>1</formula>
    </cfRule>
  </conditionalFormatting>
  <conditionalFormatting sqref="R83">
    <cfRule type="cellIs" dxfId="9715" priority="3023" operator="greaterThan">
      <formula>1</formula>
    </cfRule>
    <cfRule type="cellIs" dxfId="9714" priority="3024" operator="lessThan">
      <formula>0.8</formula>
    </cfRule>
  </conditionalFormatting>
  <conditionalFormatting sqref="P83">
    <cfRule type="cellIs" dxfId="9713" priority="3022" operator="greaterThan">
      <formula>0</formula>
    </cfRule>
  </conditionalFormatting>
  <conditionalFormatting sqref="P83">
    <cfRule type="cellIs" dxfId="9712" priority="3016" operator="greaterThan">
      <formula>0</formula>
    </cfRule>
  </conditionalFormatting>
  <conditionalFormatting sqref="Q83">
    <cfRule type="cellIs" dxfId="9711" priority="3021" operator="lessThan">
      <formula>0</formula>
    </cfRule>
  </conditionalFormatting>
  <conditionalFormatting sqref="R83">
    <cfRule type="cellIs" dxfId="9710" priority="3019" operator="lessThan">
      <formula>0.8</formula>
    </cfRule>
    <cfRule type="cellIs" dxfId="9709" priority="3020" operator="greaterThan">
      <formula>1</formula>
    </cfRule>
  </conditionalFormatting>
  <conditionalFormatting sqref="R83">
    <cfRule type="cellIs" dxfId="9708" priority="3017" operator="greaterThan">
      <formula>1</formula>
    </cfRule>
    <cfRule type="cellIs" dxfId="9707" priority="3018" operator="lessThan">
      <formula>0.8</formula>
    </cfRule>
  </conditionalFormatting>
  <conditionalFormatting sqref="P83">
    <cfRule type="cellIs" dxfId="9706" priority="3010" operator="greaterThan">
      <formula>0</formula>
    </cfRule>
  </conditionalFormatting>
  <conditionalFormatting sqref="Q83">
    <cfRule type="cellIs" dxfId="9705" priority="3015" operator="lessThan">
      <formula>0</formula>
    </cfRule>
  </conditionalFormatting>
  <conditionalFormatting sqref="R83">
    <cfRule type="cellIs" dxfId="9704" priority="3013" operator="lessThan">
      <formula>0.8</formula>
    </cfRule>
    <cfRule type="cellIs" dxfId="9703" priority="3014" operator="greaterThan">
      <formula>1</formula>
    </cfRule>
  </conditionalFormatting>
  <conditionalFormatting sqref="R83">
    <cfRule type="cellIs" dxfId="9702" priority="3011" operator="greaterThan">
      <formula>1</formula>
    </cfRule>
    <cfRule type="cellIs" dxfId="9701" priority="3012" operator="lessThan">
      <formula>0.8</formula>
    </cfRule>
  </conditionalFormatting>
  <conditionalFormatting sqref="R83">
    <cfRule type="cellIs" dxfId="9700" priority="3007" operator="lessThan">
      <formula>0.8</formula>
    </cfRule>
    <cfRule type="cellIs" dxfId="9699" priority="3008" operator="greaterThan">
      <formula>1</formula>
    </cfRule>
  </conditionalFormatting>
  <conditionalFormatting sqref="R83">
    <cfRule type="cellIs" dxfId="9698" priority="3005" operator="greaterThan">
      <formula>1</formula>
    </cfRule>
    <cfRule type="cellIs" dxfId="9697" priority="3006" operator="lessThan">
      <formula>0.8</formula>
    </cfRule>
  </conditionalFormatting>
  <conditionalFormatting sqref="P83">
    <cfRule type="cellIs" dxfId="9696" priority="3004" operator="greaterThan">
      <formula>0</formula>
    </cfRule>
  </conditionalFormatting>
  <conditionalFormatting sqref="Q83">
    <cfRule type="cellIs" dxfId="9695" priority="3009" operator="lessThan">
      <formula>0</formula>
    </cfRule>
  </conditionalFormatting>
  <conditionalFormatting sqref="Q83">
    <cfRule type="cellIs" dxfId="9694" priority="3003" operator="lessThan">
      <formula>0</formula>
    </cfRule>
  </conditionalFormatting>
  <conditionalFormatting sqref="R83">
    <cfRule type="cellIs" dxfId="9693" priority="3001" operator="lessThan">
      <formula>0.8</formula>
    </cfRule>
    <cfRule type="cellIs" dxfId="9692" priority="3002" operator="greaterThan">
      <formula>1</formula>
    </cfRule>
  </conditionalFormatting>
  <conditionalFormatting sqref="R83">
    <cfRule type="cellIs" dxfId="9691" priority="2999" operator="greaterThan">
      <formula>1</formula>
    </cfRule>
    <cfRule type="cellIs" dxfId="9690" priority="3000" operator="lessThan">
      <formula>0.8</formula>
    </cfRule>
  </conditionalFormatting>
  <conditionalFormatting sqref="P83">
    <cfRule type="cellIs" dxfId="9689" priority="2998" operator="greaterThan">
      <formula>0</formula>
    </cfRule>
  </conditionalFormatting>
  <conditionalFormatting sqref="P83">
    <cfRule type="cellIs" dxfId="9688" priority="2992" operator="greaterThan">
      <formula>0</formula>
    </cfRule>
  </conditionalFormatting>
  <conditionalFormatting sqref="Q83">
    <cfRule type="cellIs" dxfId="9687" priority="2997" operator="lessThan">
      <formula>0</formula>
    </cfRule>
  </conditionalFormatting>
  <conditionalFormatting sqref="R83">
    <cfRule type="cellIs" dxfId="9686" priority="2995" operator="lessThan">
      <formula>0.8</formula>
    </cfRule>
    <cfRule type="cellIs" dxfId="9685" priority="2996" operator="greaterThan">
      <formula>1</formula>
    </cfRule>
  </conditionalFormatting>
  <conditionalFormatting sqref="R83">
    <cfRule type="cellIs" dxfId="9684" priority="2993" operator="greaterThan">
      <formula>1</formula>
    </cfRule>
    <cfRule type="cellIs" dxfId="9683" priority="2994" operator="lessThan">
      <formula>0.8</formula>
    </cfRule>
  </conditionalFormatting>
  <conditionalFormatting sqref="P83">
    <cfRule type="cellIs" dxfId="9682" priority="2986" operator="greaterThan">
      <formula>0</formula>
    </cfRule>
  </conditionalFormatting>
  <conditionalFormatting sqref="Q83">
    <cfRule type="cellIs" dxfId="9681" priority="2991" operator="lessThan">
      <formula>0</formula>
    </cfRule>
  </conditionalFormatting>
  <conditionalFormatting sqref="R83">
    <cfRule type="cellIs" dxfId="9680" priority="2989" operator="lessThan">
      <formula>0.8</formula>
    </cfRule>
    <cfRule type="cellIs" dxfId="9679" priority="2990" operator="greaterThan">
      <formula>1</formula>
    </cfRule>
  </conditionalFormatting>
  <conditionalFormatting sqref="R83">
    <cfRule type="cellIs" dxfId="9678" priority="2987" operator="greaterThan">
      <formula>1</formula>
    </cfRule>
    <cfRule type="cellIs" dxfId="9677" priority="2988" operator="lessThan">
      <formula>0.8</formula>
    </cfRule>
  </conditionalFormatting>
  <conditionalFormatting sqref="R83">
    <cfRule type="cellIs" dxfId="9676" priority="2983" operator="lessThan">
      <formula>0.8</formula>
    </cfRule>
    <cfRule type="cellIs" dxfId="9675" priority="2984" operator="greaterThan">
      <formula>1</formula>
    </cfRule>
  </conditionalFormatting>
  <conditionalFormatting sqref="R83">
    <cfRule type="cellIs" dxfId="9674" priority="2981" operator="greaterThan">
      <formula>1</formula>
    </cfRule>
    <cfRule type="cellIs" dxfId="9673" priority="2982" operator="lessThan">
      <formula>0.8</formula>
    </cfRule>
  </conditionalFormatting>
  <conditionalFormatting sqref="P83">
    <cfRule type="cellIs" dxfId="9672" priority="2980" operator="greaterThan">
      <formula>0</formula>
    </cfRule>
  </conditionalFormatting>
  <conditionalFormatting sqref="Q83">
    <cfRule type="cellIs" dxfId="9671" priority="2985" operator="lessThan">
      <formula>0</formula>
    </cfRule>
  </conditionalFormatting>
  <conditionalFormatting sqref="P83">
    <cfRule type="cellIs" dxfId="9670" priority="2974" operator="greaterThan">
      <formula>0</formula>
    </cfRule>
  </conditionalFormatting>
  <conditionalFormatting sqref="Q83">
    <cfRule type="cellIs" dxfId="9669" priority="2979" operator="lessThan">
      <formula>0</formula>
    </cfRule>
  </conditionalFormatting>
  <conditionalFormatting sqref="R83">
    <cfRule type="cellIs" dxfId="9668" priority="2977" operator="lessThan">
      <formula>0.8</formula>
    </cfRule>
    <cfRule type="cellIs" dxfId="9667" priority="2978" operator="greaterThan">
      <formula>1</formula>
    </cfRule>
  </conditionalFormatting>
  <conditionalFormatting sqref="R83">
    <cfRule type="cellIs" dxfId="9666" priority="2975" operator="greaterThan">
      <formula>1</formula>
    </cfRule>
    <cfRule type="cellIs" dxfId="9665" priority="2976" operator="lessThan">
      <formula>0.8</formula>
    </cfRule>
  </conditionalFormatting>
  <conditionalFormatting sqref="R83">
    <cfRule type="cellIs" dxfId="9664" priority="2971" operator="lessThan">
      <formula>0.8</formula>
    </cfRule>
    <cfRule type="cellIs" dxfId="9663" priority="2972" operator="greaterThan">
      <formula>1</formula>
    </cfRule>
  </conditionalFormatting>
  <conditionalFormatting sqref="R83">
    <cfRule type="cellIs" dxfId="9662" priority="2969" operator="greaterThan">
      <formula>1</formula>
    </cfRule>
    <cfRule type="cellIs" dxfId="9661" priority="2970" operator="lessThan">
      <formula>0.8</formula>
    </cfRule>
  </conditionalFormatting>
  <conditionalFormatting sqref="P83">
    <cfRule type="cellIs" dxfId="9660" priority="2968" operator="greaterThan">
      <formula>0</formula>
    </cfRule>
  </conditionalFormatting>
  <conditionalFormatting sqref="Q83">
    <cfRule type="cellIs" dxfId="9659" priority="2973" operator="lessThan">
      <formula>0</formula>
    </cfRule>
  </conditionalFormatting>
  <conditionalFormatting sqref="R83">
    <cfRule type="cellIs" dxfId="9658" priority="2965" operator="lessThan">
      <formula>0.8</formula>
    </cfRule>
    <cfRule type="cellIs" dxfId="9657" priority="2966" operator="greaterThan">
      <formula>1</formula>
    </cfRule>
  </conditionalFormatting>
  <conditionalFormatting sqref="R83">
    <cfRule type="cellIs" dxfId="9656" priority="2963" operator="greaterThan">
      <formula>1</formula>
    </cfRule>
    <cfRule type="cellIs" dxfId="9655" priority="2964" operator="lessThan">
      <formula>0.8</formula>
    </cfRule>
  </conditionalFormatting>
  <conditionalFormatting sqref="P83">
    <cfRule type="cellIs" dxfId="9654" priority="2962" operator="greaterThan">
      <formula>0</formula>
    </cfRule>
  </conditionalFormatting>
  <conditionalFormatting sqref="Q83">
    <cfRule type="cellIs" dxfId="9653" priority="2967" operator="lessThan">
      <formula>0</formula>
    </cfRule>
  </conditionalFormatting>
  <conditionalFormatting sqref="Q83">
    <cfRule type="cellIs" dxfId="9652" priority="2961" operator="lessThan">
      <formula>0</formula>
    </cfRule>
  </conditionalFormatting>
  <conditionalFormatting sqref="R83">
    <cfRule type="cellIs" dxfId="9651" priority="2959" operator="lessThan">
      <formula>0.8</formula>
    </cfRule>
    <cfRule type="cellIs" dxfId="9650" priority="2960" operator="greaterThan">
      <formula>1</formula>
    </cfRule>
  </conditionalFormatting>
  <conditionalFormatting sqref="R83">
    <cfRule type="cellIs" dxfId="9649" priority="2957" operator="greaterThan">
      <formula>1</formula>
    </cfRule>
    <cfRule type="cellIs" dxfId="9648" priority="2958" operator="lessThan">
      <formula>0.8</formula>
    </cfRule>
  </conditionalFormatting>
  <conditionalFormatting sqref="P83">
    <cfRule type="cellIs" dxfId="9647" priority="2956" operator="greaterThan">
      <formula>0</formula>
    </cfRule>
  </conditionalFormatting>
  <conditionalFormatting sqref="Q83">
    <cfRule type="cellIs" dxfId="9646" priority="2950" operator="lessThan">
      <formula>0</formula>
    </cfRule>
  </conditionalFormatting>
  <conditionalFormatting sqref="R83">
    <cfRule type="cellIs" dxfId="9645" priority="2954" operator="lessThan">
      <formula>0.8</formula>
    </cfRule>
    <cfRule type="cellIs" dxfId="9644" priority="2955" operator="greaterThan">
      <formula>1</formula>
    </cfRule>
  </conditionalFormatting>
  <conditionalFormatting sqref="R83">
    <cfRule type="cellIs" dxfId="9643" priority="2952" operator="greaterThan">
      <formula>1</formula>
    </cfRule>
    <cfRule type="cellIs" dxfId="9642" priority="2953" operator="lessThan">
      <formula>0.8</formula>
    </cfRule>
  </conditionalFormatting>
  <conditionalFormatting sqref="P83">
    <cfRule type="cellIs" dxfId="9641" priority="2951" operator="greaterThan">
      <formula>0</formula>
    </cfRule>
  </conditionalFormatting>
  <conditionalFormatting sqref="Q83">
    <cfRule type="cellIs" dxfId="9640" priority="2949" operator="lessThan">
      <formula>0</formula>
    </cfRule>
  </conditionalFormatting>
  <conditionalFormatting sqref="R83">
    <cfRule type="cellIs" dxfId="9639" priority="2947" operator="lessThan">
      <formula>0.8</formula>
    </cfRule>
    <cfRule type="cellIs" dxfId="9638" priority="2948" operator="greaterThan">
      <formula>1</formula>
    </cfRule>
  </conditionalFormatting>
  <conditionalFormatting sqref="R83">
    <cfRule type="cellIs" dxfId="9637" priority="2945" operator="greaterThan">
      <formula>1</formula>
    </cfRule>
    <cfRule type="cellIs" dxfId="9636" priority="2946" operator="lessThan">
      <formula>0.8</formula>
    </cfRule>
  </conditionalFormatting>
  <conditionalFormatting sqref="P83">
    <cfRule type="cellIs" dxfId="9635" priority="2944" operator="greaterThan">
      <formula>0</formula>
    </cfRule>
  </conditionalFormatting>
  <conditionalFormatting sqref="Q83">
    <cfRule type="cellIs" dxfId="9634" priority="2943" operator="lessThan">
      <formula>0</formula>
    </cfRule>
  </conditionalFormatting>
  <conditionalFormatting sqref="R83">
    <cfRule type="cellIs" dxfId="9633" priority="2941" operator="lessThan">
      <formula>0.8</formula>
    </cfRule>
    <cfRule type="cellIs" dxfId="9632" priority="2942" operator="greaterThan">
      <formula>1</formula>
    </cfRule>
  </conditionalFormatting>
  <conditionalFormatting sqref="R83">
    <cfRule type="cellIs" dxfId="9631" priority="2939" operator="greaterThan">
      <formula>1</formula>
    </cfRule>
    <cfRule type="cellIs" dxfId="9630" priority="2940" operator="lessThan">
      <formula>0.8</formula>
    </cfRule>
  </conditionalFormatting>
  <conditionalFormatting sqref="P83">
    <cfRule type="cellIs" dxfId="9629" priority="2938" operator="greaterThan">
      <formula>0</formula>
    </cfRule>
  </conditionalFormatting>
  <conditionalFormatting sqref="Q83">
    <cfRule type="cellIs" dxfId="9628" priority="2937" operator="lessThan">
      <formula>0</formula>
    </cfRule>
  </conditionalFormatting>
  <conditionalFormatting sqref="R83">
    <cfRule type="cellIs" dxfId="9627" priority="2935" operator="lessThan">
      <formula>0.8</formula>
    </cfRule>
    <cfRule type="cellIs" dxfId="9626" priority="2936" operator="greaterThan">
      <formula>1</formula>
    </cfRule>
  </conditionalFormatting>
  <conditionalFormatting sqref="R83">
    <cfRule type="cellIs" dxfId="9625" priority="2933" operator="greaterThan">
      <formula>1</formula>
    </cfRule>
    <cfRule type="cellIs" dxfId="9624" priority="2934" operator="lessThan">
      <formula>0.8</formula>
    </cfRule>
  </conditionalFormatting>
  <conditionalFormatting sqref="P83">
    <cfRule type="cellIs" dxfId="9623" priority="2932" operator="greaterThan">
      <formula>0</formula>
    </cfRule>
  </conditionalFormatting>
  <conditionalFormatting sqref="Q83">
    <cfRule type="cellIs" dxfId="9622" priority="2931" operator="lessThan">
      <formula>0</formula>
    </cfRule>
  </conditionalFormatting>
  <conditionalFormatting sqref="R83">
    <cfRule type="cellIs" dxfId="9621" priority="2929" operator="lessThan">
      <formula>0.8</formula>
    </cfRule>
    <cfRule type="cellIs" dxfId="9620" priority="2930" operator="greaterThan">
      <formula>1</formula>
    </cfRule>
  </conditionalFormatting>
  <conditionalFormatting sqref="R83">
    <cfRule type="cellIs" dxfId="9619" priority="2927" operator="greaterThan">
      <formula>1</formula>
    </cfRule>
    <cfRule type="cellIs" dxfId="9618" priority="2928" operator="lessThan">
      <formula>0.8</formula>
    </cfRule>
  </conditionalFormatting>
  <conditionalFormatting sqref="P83">
    <cfRule type="cellIs" dxfId="9617" priority="2926" operator="greaterThan">
      <formula>0</formula>
    </cfRule>
  </conditionalFormatting>
  <conditionalFormatting sqref="Q83">
    <cfRule type="cellIs" dxfId="9616" priority="2925" operator="lessThan">
      <formula>0</formula>
    </cfRule>
  </conditionalFormatting>
  <conditionalFormatting sqref="R83">
    <cfRule type="cellIs" dxfId="9615" priority="2923" operator="lessThan">
      <formula>0.8</formula>
    </cfRule>
    <cfRule type="cellIs" dxfId="9614" priority="2924" operator="greaterThan">
      <formula>1</formula>
    </cfRule>
  </conditionalFormatting>
  <conditionalFormatting sqref="R83">
    <cfRule type="cellIs" dxfId="9613" priority="2921" operator="greaterThan">
      <formula>1</formula>
    </cfRule>
    <cfRule type="cellIs" dxfId="9612" priority="2922" operator="lessThan">
      <formula>0.8</formula>
    </cfRule>
  </conditionalFormatting>
  <conditionalFormatting sqref="P83">
    <cfRule type="cellIs" dxfId="9611" priority="2920" operator="greaterThan">
      <formula>0</formula>
    </cfRule>
  </conditionalFormatting>
  <conditionalFormatting sqref="P83">
    <cfRule type="cellIs" dxfId="9610" priority="2914" operator="greaterThan">
      <formula>0</formula>
    </cfRule>
  </conditionalFormatting>
  <conditionalFormatting sqref="Q83">
    <cfRule type="cellIs" dxfId="9609" priority="2919" operator="lessThan">
      <formula>0</formula>
    </cfRule>
  </conditionalFormatting>
  <conditionalFormatting sqref="R83">
    <cfRule type="cellIs" dxfId="9608" priority="2917" operator="lessThan">
      <formula>0.8</formula>
    </cfRule>
    <cfRule type="cellIs" dxfId="9607" priority="2918" operator="greaterThan">
      <formula>1</formula>
    </cfRule>
  </conditionalFormatting>
  <conditionalFormatting sqref="R83">
    <cfRule type="cellIs" dxfId="9606" priority="2915" operator="greaterThan">
      <formula>1</formula>
    </cfRule>
    <cfRule type="cellIs" dxfId="9605" priority="2916" operator="lessThan">
      <formula>0.8</formula>
    </cfRule>
  </conditionalFormatting>
  <conditionalFormatting sqref="P83">
    <cfRule type="cellIs" dxfId="9604" priority="2908" operator="greaterThan">
      <formula>0</formula>
    </cfRule>
  </conditionalFormatting>
  <conditionalFormatting sqref="Q83">
    <cfRule type="cellIs" dxfId="9603" priority="2913" operator="lessThan">
      <formula>0</formula>
    </cfRule>
  </conditionalFormatting>
  <conditionalFormatting sqref="R83">
    <cfRule type="cellIs" dxfId="9602" priority="2911" operator="lessThan">
      <formula>0.8</formula>
    </cfRule>
    <cfRule type="cellIs" dxfId="9601" priority="2912" operator="greaterThan">
      <formula>1</formula>
    </cfRule>
  </conditionalFormatting>
  <conditionalFormatting sqref="R83">
    <cfRule type="cellIs" dxfId="9600" priority="2909" operator="greaterThan">
      <formula>1</formula>
    </cfRule>
    <cfRule type="cellIs" dxfId="9599" priority="2910" operator="lessThan">
      <formula>0.8</formula>
    </cfRule>
  </conditionalFormatting>
  <conditionalFormatting sqref="R83">
    <cfRule type="cellIs" dxfId="9598" priority="2905" operator="lessThan">
      <formula>0.8</formula>
    </cfRule>
    <cfRule type="cellIs" dxfId="9597" priority="2906" operator="greaterThan">
      <formula>1</formula>
    </cfRule>
  </conditionalFormatting>
  <conditionalFormatting sqref="R83">
    <cfRule type="cellIs" dxfId="9596" priority="2903" operator="greaterThan">
      <formula>1</formula>
    </cfRule>
    <cfRule type="cellIs" dxfId="9595" priority="2904" operator="lessThan">
      <formula>0.8</formula>
    </cfRule>
  </conditionalFormatting>
  <conditionalFormatting sqref="P83">
    <cfRule type="cellIs" dxfId="9594" priority="2902" operator="greaterThan">
      <formula>0</formula>
    </cfRule>
  </conditionalFormatting>
  <conditionalFormatting sqref="Q83">
    <cfRule type="cellIs" dxfId="9593" priority="2907" operator="lessThan">
      <formula>0</formula>
    </cfRule>
  </conditionalFormatting>
  <conditionalFormatting sqref="Q83">
    <cfRule type="cellIs" dxfId="9592" priority="2901" operator="lessThan">
      <formula>0</formula>
    </cfRule>
  </conditionalFormatting>
  <conditionalFormatting sqref="R83">
    <cfRule type="cellIs" dxfId="9591" priority="2899" operator="lessThan">
      <formula>0.8</formula>
    </cfRule>
    <cfRule type="cellIs" dxfId="9590" priority="2900" operator="greaterThan">
      <formula>1</formula>
    </cfRule>
  </conditionalFormatting>
  <conditionalFormatting sqref="R83">
    <cfRule type="cellIs" dxfId="9589" priority="2897" operator="greaterThan">
      <formula>1</formula>
    </cfRule>
    <cfRule type="cellIs" dxfId="9588" priority="2898" operator="lessThan">
      <formula>0.8</formula>
    </cfRule>
  </conditionalFormatting>
  <conditionalFormatting sqref="P83">
    <cfRule type="cellIs" dxfId="9587" priority="2896" operator="greaterThan">
      <formula>0</formula>
    </cfRule>
  </conditionalFormatting>
  <conditionalFormatting sqref="Q83">
    <cfRule type="cellIs" dxfId="9586" priority="2895" operator="lessThan">
      <formula>0</formula>
    </cfRule>
  </conditionalFormatting>
  <conditionalFormatting sqref="R83">
    <cfRule type="cellIs" dxfId="9585" priority="2893" operator="lessThan">
      <formula>0.8</formula>
    </cfRule>
    <cfRule type="cellIs" dxfId="9584" priority="2894" operator="greaterThan">
      <formula>1</formula>
    </cfRule>
  </conditionalFormatting>
  <conditionalFormatting sqref="R83">
    <cfRule type="cellIs" dxfId="9583" priority="2891" operator="greaterThan">
      <formula>1</formula>
    </cfRule>
    <cfRule type="cellIs" dxfId="9582" priority="2892" operator="lessThan">
      <formula>0.8</formula>
    </cfRule>
  </conditionalFormatting>
  <conditionalFormatting sqref="P83">
    <cfRule type="cellIs" dxfId="9581" priority="2890" operator="greaterThan">
      <formula>0</formula>
    </cfRule>
  </conditionalFormatting>
  <conditionalFormatting sqref="Q83">
    <cfRule type="cellIs" dxfId="9580" priority="2889" operator="lessThan">
      <formula>0</formula>
    </cfRule>
  </conditionalFormatting>
  <conditionalFormatting sqref="R83">
    <cfRule type="cellIs" dxfId="9579" priority="2887" operator="lessThan">
      <formula>0.8</formula>
    </cfRule>
    <cfRule type="cellIs" dxfId="9578" priority="2888" operator="greaterThan">
      <formula>1</formula>
    </cfRule>
  </conditionalFormatting>
  <conditionalFormatting sqref="R83">
    <cfRule type="cellIs" dxfId="9577" priority="2885" operator="greaterThan">
      <formula>1</formula>
    </cfRule>
    <cfRule type="cellIs" dxfId="9576" priority="2886" operator="lessThan">
      <formula>0.8</formula>
    </cfRule>
  </conditionalFormatting>
  <conditionalFormatting sqref="P83">
    <cfRule type="cellIs" dxfId="9575" priority="2884" operator="greaterThan">
      <formula>0</formula>
    </cfRule>
  </conditionalFormatting>
  <conditionalFormatting sqref="Q83">
    <cfRule type="cellIs" dxfId="9574" priority="2883" operator="lessThan">
      <formula>0</formula>
    </cfRule>
  </conditionalFormatting>
  <conditionalFormatting sqref="R83">
    <cfRule type="cellIs" dxfId="9573" priority="2881" operator="lessThan">
      <formula>0.8</formula>
    </cfRule>
    <cfRule type="cellIs" dxfId="9572" priority="2882" operator="greaterThan">
      <formula>1</formula>
    </cfRule>
  </conditionalFormatting>
  <conditionalFormatting sqref="R83">
    <cfRule type="cellIs" dxfId="9571" priority="2879" operator="greaterThan">
      <formula>1</formula>
    </cfRule>
    <cfRule type="cellIs" dxfId="9570" priority="2880" operator="lessThan">
      <formula>0.8</formula>
    </cfRule>
  </conditionalFormatting>
  <conditionalFormatting sqref="P83">
    <cfRule type="cellIs" dxfId="9569" priority="2878" operator="greaterThan">
      <formula>0</formula>
    </cfRule>
  </conditionalFormatting>
  <conditionalFormatting sqref="P83">
    <cfRule type="cellIs" dxfId="9568" priority="2872" operator="greaterThan">
      <formula>0</formula>
    </cfRule>
  </conditionalFormatting>
  <conditionalFormatting sqref="Q83">
    <cfRule type="cellIs" dxfId="9567" priority="2877" operator="lessThan">
      <formula>0</formula>
    </cfRule>
  </conditionalFormatting>
  <conditionalFormatting sqref="R83">
    <cfRule type="cellIs" dxfId="9566" priority="2875" operator="lessThan">
      <formula>0.8</formula>
    </cfRule>
    <cfRule type="cellIs" dxfId="9565" priority="2876" operator="greaterThan">
      <formula>1</formula>
    </cfRule>
  </conditionalFormatting>
  <conditionalFormatting sqref="R83">
    <cfRule type="cellIs" dxfId="9564" priority="2873" operator="greaterThan">
      <formula>1</formula>
    </cfRule>
    <cfRule type="cellIs" dxfId="9563" priority="2874" operator="lessThan">
      <formula>0.8</formula>
    </cfRule>
  </conditionalFormatting>
  <conditionalFormatting sqref="P83">
    <cfRule type="cellIs" dxfId="9562" priority="2866" operator="greaterThan">
      <formula>0</formula>
    </cfRule>
  </conditionalFormatting>
  <conditionalFormatting sqref="Q83">
    <cfRule type="cellIs" dxfId="9561" priority="2871" operator="lessThan">
      <formula>0</formula>
    </cfRule>
  </conditionalFormatting>
  <conditionalFormatting sqref="R83">
    <cfRule type="cellIs" dxfId="9560" priority="2869" operator="lessThan">
      <formula>0.8</formula>
    </cfRule>
    <cfRule type="cellIs" dxfId="9559" priority="2870" operator="greaterThan">
      <formula>1</formula>
    </cfRule>
  </conditionalFormatting>
  <conditionalFormatting sqref="R83">
    <cfRule type="cellIs" dxfId="9558" priority="2867" operator="greaterThan">
      <formula>1</formula>
    </cfRule>
    <cfRule type="cellIs" dxfId="9557" priority="2868" operator="lessThan">
      <formula>0.8</formula>
    </cfRule>
  </conditionalFormatting>
  <conditionalFormatting sqref="R83">
    <cfRule type="cellIs" dxfId="9556" priority="2863" operator="lessThan">
      <formula>0.8</formula>
    </cfRule>
    <cfRule type="cellIs" dxfId="9555" priority="2864" operator="greaterThan">
      <formula>1</formula>
    </cfRule>
  </conditionalFormatting>
  <conditionalFormatting sqref="R83">
    <cfRule type="cellIs" dxfId="9554" priority="2861" operator="greaterThan">
      <formula>1</formula>
    </cfRule>
    <cfRule type="cellIs" dxfId="9553" priority="2862" operator="lessThan">
      <formula>0.8</formula>
    </cfRule>
  </conditionalFormatting>
  <conditionalFormatting sqref="P83">
    <cfRule type="cellIs" dxfId="9552" priority="2860" operator="greaterThan">
      <formula>0</formula>
    </cfRule>
  </conditionalFormatting>
  <conditionalFormatting sqref="Q83">
    <cfRule type="cellIs" dxfId="9551" priority="2865" operator="lessThan">
      <formula>0</formula>
    </cfRule>
  </conditionalFormatting>
  <conditionalFormatting sqref="Q83">
    <cfRule type="cellIs" dxfId="9550" priority="2859" operator="lessThan">
      <formula>0</formula>
    </cfRule>
  </conditionalFormatting>
  <conditionalFormatting sqref="R83">
    <cfRule type="cellIs" dxfId="9549" priority="2857" operator="lessThan">
      <formula>0.8</formula>
    </cfRule>
    <cfRule type="cellIs" dxfId="9548" priority="2858" operator="greaterThan">
      <formula>1</formula>
    </cfRule>
  </conditionalFormatting>
  <conditionalFormatting sqref="R83">
    <cfRule type="cellIs" dxfId="9547" priority="2855" operator="greaterThan">
      <formula>1</formula>
    </cfRule>
    <cfRule type="cellIs" dxfId="9546" priority="2856" operator="lessThan">
      <formula>0.8</formula>
    </cfRule>
  </conditionalFormatting>
  <conditionalFormatting sqref="P83">
    <cfRule type="cellIs" dxfId="9545" priority="2854" operator="greaterThan">
      <formula>0</formula>
    </cfRule>
  </conditionalFormatting>
  <conditionalFormatting sqref="P83">
    <cfRule type="cellIs" dxfId="9544" priority="2848" operator="greaterThan">
      <formula>0</formula>
    </cfRule>
  </conditionalFormatting>
  <conditionalFormatting sqref="Q83">
    <cfRule type="cellIs" dxfId="9543" priority="2853" operator="lessThan">
      <formula>0</formula>
    </cfRule>
  </conditionalFormatting>
  <conditionalFormatting sqref="R83">
    <cfRule type="cellIs" dxfId="9542" priority="2851" operator="lessThan">
      <formula>0.8</formula>
    </cfRule>
    <cfRule type="cellIs" dxfId="9541" priority="2852" operator="greaterThan">
      <formula>1</formula>
    </cfRule>
  </conditionalFormatting>
  <conditionalFormatting sqref="R83">
    <cfRule type="cellIs" dxfId="9540" priority="2849" operator="greaterThan">
      <formula>1</formula>
    </cfRule>
    <cfRule type="cellIs" dxfId="9539" priority="2850" operator="lessThan">
      <formula>0.8</formula>
    </cfRule>
  </conditionalFormatting>
  <conditionalFormatting sqref="P83">
    <cfRule type="cellIs" dxfId="9538" priority="2842" operator="greaterThan">
      <formula>0</formula>
    </cfRule>
  </conditionalFormatting>
  <conditionalFormatting sqref="Q83">
    <cfRule type="cellIs" dxfId="9537" priority="2847" operator="lessThan">
      <formula>0</formula>
    </cfRule>
  </conditionalFormatting>
  <conditionalFormatting sqref="R83">
    <cfRule type="cellIs" dxfId="9536" priority="2845" operator="lessThan">
      <formula>0.8</formula>
    </cfRule>
    <cfRule type="cellIs" dxfId="9535" priority="2846" operator="greaterThan">
      <formula>1</formula>
    </cfRule>
  </conditionalFormatting>
  <conditionalFormatting sqref="R83">
    <cfRule type="cellIs" dxfId="9534" priority="2843" operator="greaterThan">
      <formula>1</formula>
    </cfRule>
    <cfRule type="cellIs" dxfId="9533" priority="2844" operator="lessThan">
      <formula>0.8</formula>
    </cfRule>
  </conditionalFormatting>
  <conditionalFormatting sqref="R83">
    <cfRule type="cellIs" dxfId="9532" priority="2839" operator="lessThan">
      <formula>0.8</formula>
    </cfRule>
    <cfRule type="cellIs" dxfId="9531" priority="2840" operator="greaterThan">
      <formula>1</formula>
    </cfRule>
  </conditionalFormatting>
  <conditionalFormatting sqref="R83">
    <cfRule type="cellIs" dxfId="9530" priority="2837" operator="greaterThan">
      <formula>1</formula>
    </cfRule>
    <cfRule type="cellIs" dxfId="9529" priority="2838" operator="lessThan">
      <formula>0.8</formula>
    </cfRule>
  </conditionalFormatting>
  <conditionalFormatting sqref="P83">
    <cfRule type="cellIs" dxfId="9528" priority="2836" operator="greaterThan">
      <formula>0</formula>
    </cfRule>
  </conditionalFormatting>
  <conditionalFormatting sqref="Q83">
    <cfRule type="cellIs" dxfId="9527" priority="2841" operator="lessThan">
      <formula>0</formula>
    </cfRule>
  </conditionalFormatting>
  <conditionalFormatting sqref="P83">
    <cfRule type="cellIs" dxfId="9526" priority="2830" operator="greaterThan">
      <formula>0</formula>
    </cfRule>
  </conditionalFormatting>
  <conditionalFormatting sqref="Q83">
    <cfRule type="cellIs" dxfId="9525" priority="2835" operator="lessThan">
      <formula>0</formula>
    </cfRule>
  </conditionalFormatting>
  <conditionalFormatting sqref="R83">
    <cfRule type="cellIs" dxfId="9524" priority="2833" operator="lessThan">
      <formula>0.8</formula>
    </cfRule>
    <cfRule type="cellIs" dxfId="9523" priority="2834" operator="greaterThan">
      <formula>1</formula>
    </cfRule>
  </conditionalFormatting>
  <conditionalFormatting sqref="R83">
    <cfRule type="cellIs" dxfId="9522" priority="2831" operator="greaterThan">
      <formula>1</formula>
    </cfRule>
    <cfRule type="cellIs" dxfId="9521" priority="2832" operator="lessThan">
      <formula>0.8</formula>
    </cfRule>
  </conditionalFormatting>
  <conditionalFormatting sqref="R83">
    <cfRule type="cellIs" dxfId="9520" priority="2827" operator="lessThan">
      <formula>0.8</formula>
    </cfRule>
    <cfRule type="cellIs" dxfId="9519" priority="2828" operator="greaterThan">
      <formula>1</formula>
    </cfRule>
  </conditionalFormatting>
  <conditionalFormatting sqref="R83">
    <cfRule type="cellIs" dxfId="9518" priority="2825" operator="greaterThan">
      <formula>1</formula>
    </cfRule>
    <cfRule type="cellIs" dxfId="9517" priority="2826" operator="lessThan">
      <formula>0.8</formula>
    </cfRule>
  </conditionalFormatting>
  <conditionalFormatting sqref="P83">
    <cfRule type="cellIs" dxfId="9516" priority="2824" operator="greaterThan">
      <formula>0</formula>
    </cfRule>
  </conditionalFormatting>
  <conditionalFormatting sqref="Q83">
    <cfRule type="cellIs" dxfId="9515" priority="2829" operator="lessThan">
      <formula>0</formula>
    </cfRule>
  </conditionalFormatting>
  <conditionalFormatting sqref="R83">
    <cfRule type="cellIs" dxfId="9514" priority="2821" operator="lessThan">
      <formula>0.8</formula>
    </cfRule>
    <cfRule type="cellIs" dxfId="9513" priority="2822" operator="greaterThan">
      <formula>1</formula>
    </cfRule>
  </conditionalFormatting>
  <conditionalFormatting sqref="R83">
    <cfRule type="cellIs" dxfId="9512" priority="2819" operator="greaterThan">
      <formula>1</formula>
    </cfRule>
    <cfRule type="cellIs" dxfId="9511" priority="2820" operator="lessThan">
      <formula>0.8</formula>
    </cfRule>
  </conditionalFormatting>
  <conditionalFormatting sqref="P83">
    <cfRule type="cellIs" dxfId="9510" priority="2818" operator="greaterThan">
      <formula>0</formula>
    </cfRule>
  </conditionalFormatting>
  <conditionalFormatting sqref="Q83">
    <cfRule type="cellIs" dxfId="9509" priority="2823" operator="lessThan">
      <formula>0</formula>
    </cfRule>
  </conditionalFormatting>
  <conditionalFormatting sqref="Q83">
    <cfRule type="cellIs" dxfId="9508" priority="2817" operator="lessThan">
      <formula>0</formula>
    </cfRule>
  </conditionalFormatting>
  <conditionalFormatting sqref="R83">
    <cfRule type="cellIs" dxfId="9507" priority="2815" operator="lessThan">
      <formula>0.8</formula>
    </cfRule>
    <cfRule type="cellIs" dxfId="9506" priority="2816" operator="greaterThan">
      <formula>1</formula>
    </cfRule>
  </conditionalFormatting>
  <conditionalFormatting sqref="R83">
    <cfRule type="cellIs" dxfId="9505" priority="2813" operator="greaterThan">
      <formula>1</formula>
    </cfRule>
    <cfRule type="cellIs" dxfId="9504" priority="2814" operator="lessThan">
      <formula>0.8</formula>
    </cfRule>
  </conditionalFormatting>
  <conditionalFormatting sqref="P83">
    <cfRule type="cellIs" dxfId="9503" priority="2812" operator="greaterThan">
      <formula>0</formula>
    </cfRule>
  </conditionalFormatting>
  <conditionalFormatting sqref="Q83">
    <cfRule type="cellIs" dxfId="9502" priority="2806" operator="lessThan">
      <formula>0</formula>
    </cfRule>
  </conditionalFormatting>
  <conditionalFormatting sqref="R83">
    <cfRule type="cellIs" dxfId="9501" priority="2810" operator="lessThan">
      <formula>0.8</formula>
    </cfRule>
    <cfRule type="cellIs" dxfId="9500" priority="2811" operator="greaterThan">
      <formula>1</formula>
    </cfRule>
  </conditionalFormatting>
  <conditionalFormatting sqref="R83">
    <cfRule type="cellIs" dxfId="9499" priority="2808" operator="greaterThan">
      <formula>1</formula>
    </cfRule>
    <cfRule type="cellIs" dxfId="9498" priority="2809" operator="lessThan">
      <formula>0.8</formula>
    </cfRule>
  </conditionalFormatting>
  <conditionalFormatting sqref="P83">
    <cfRule type="cellIs" dxfId="9497" priority="2807" operator="greaterThan">
      <formula>0</formula>
    </cfRule>
  </conditionalFormatting>
  <conditionalFormatting sqref="Q83">
    <cfRule type="cellIs" dxfId="9496" priority="2805" operator="lessThan">
      <formula>0</formula>
    </cfRule>
  </conditionalFormatting>
  <conditionalFormatting sqref="R83">
    <cfRule type="cellIs" dxfId="9495" priority="2803" operator="lessThan">
      <formula>0.8</formula>
    </cfRule>
    <cfRule type="cellIs" dxfId="9494" priority="2804" operator="greaterThan">
      <formula>1</formula>
    </cfRule>
  </conditionalFormatting>
  <conditionalFormatting sqref="R83">
    <cfRule type="cellIs" dxfId="9493" priority="2801" operator="greaterThan">
      <formula>1</formula>
    </cfRule>
    <cfRule type="cellIs" dxfId="9492" priority="2802" operator="lessThan">
      <formula>0.8</formula>
    </cfRule>
  </conditionalFormatting>
  <conditionalFormatting sqref="P83">
    <cfRule type="cellIs" dxfId="9491" priority="2800" operator="greaterThan">
      <formula>0</formula>
    </cfRule>
  </conditionalFormatting>
  <conditionalFormatting sqref="Q83">
    <cfRule type="cellIs" dxfId="9490" priority="2799" operator="lessThan">
      <formula>0</formula>
    </cfRule>
  </conditionalFormatting>
  <conditionalFormatting sqref="R83">
    <cfRule type="cellIs" dxfId="9489" priority="2797" operator="lessThan">
      <formula>0.8</formula>
    </cfRule>
    <cfRule type="cellIs" dxfId="9488" priority="2798" operator="greaterThan">
      <formula>1</formula>
    </cfRule>
  </conditionalFormatting>
  <conditionalFormatting sqref="R83">
    <cfRule type="cellIs" dxfId="9487" priority="2795" operator="greaterThan">
      <formula>1</formula>
    </cfRule>
    <cfRule type="cellIs" dxfId="9486" priority="2796" operator="lessThan">
      <formula>0.8</formula>
    </cfRule>
  </conditionalFormatting>
  <conditionalFormatting sqref="P83">
    <cfRule type="cellIs" dxfId="9485" priority="2794" operator="greaterThan">
      <formula>0</formula>
    </cfRule>
  </conditionalFormatting>
  <conditionalFormatting sqref="Q83">
    <cfRule type="cellIs" dxfId="9484" priority="2793" operator="lessThan">
      <formula>0</formula>
    </cfRule>
  </conditionalFormatting>
  <conditionalFormatting sqref="R83">
    <cfRule type="cellIs" dxfId="9483" priority="2791" operator="lessThan">
      <formula>0.8</formula>
    </cfRule>
    <cfRule type="cellIs" dxfId="9482" priority="2792" operator="greaterThan">
      <formula>1</formula>
    </cfRule>
  </conditionalFormatting>
  <conditionalFormatting sqref="R83">
    <cfRule type="cellIs" dxfId="9481" priority="2789" operator="greaterThan">
      <formula>1</formula>
    </cfRule>
    <cfRule type="cellIs" dxfId="9480" priority="2790" operator="lessThan">
      <formula>0.8</formula>
    </cfRule>
  </conditionalFormatting>
  <conditionalFormatting sqref="P83">
    <cfRule type="cellIs" dxfId="9479" priority="2788" operator="greaterThan">
      <formula>0</formula>
    </cfRule>
  </conditionalFormatting>
  <conditionalFormatting sqref="Q83">
    <cfRule type="cellIs" dxfId="9478" priority="2787" operator="lessThan">
      <formula>0</formula>
    </cfRule>
  </conditionalFormatting>
  <conditionalFormatting sqref="R83">
    <cfRule type="cellIs" dxfId="9477" priority="2785" operator="lessThan">
      <formula>0.8</formula>
    </cfRule>
    <cfRule type="cellIs" dxfId="9476" priority="2786" operator="greaterThan">
      <formula>1</formula>
    </cfRule>
  </conditionalFormatting>
  <conditionalFormatting sqref="R83">
    <cfRule type="cellIs" dxfId="9475" priority="2783" operator="greaterThan">
      <formula>1</formula>
    </cfRule>
    <cfRule type="cellIs" dxfId="9474" priority="2784" operator="lessThan">
      <formula>0.8</formula>
    </cfRule>
  </conditionalFormatting>
  <conditionalFormatting sqref="P83">
    <cfRule type="cellIs" dxfId="9473" priority="2782" operator="greaterThan">
      <formula>0</formula>
    </cfRule>
  </conditionalFormatting>
  <conditionalFormatting sqref="Q83">
    <cfRule type="cellIs" dxfId="9472" priority="2781" operator="lessThan">
      <formula>0</formula>
    </cfRule>
  </conditionalFormatting>
  <conditionalFormatting sqref="R83">
    <cfRule type="cellIs" dxfId="9471" priority="2779" operator="lessThan">
      <formula>0.8</formula>
    </cfRule>
    <cfRule type="cellIs" dxfId="9470" priority="2780" operator="greaterThan">
      <formula>1</formula>
    </cfRule>
  </conditionalFormatting>
  <conditionalFormatting sqref="R83">
    <cfRule type="cellIs" dxfId="9469" priority="2777" operator="greaterThan">
      <formula>1</formula>
    </cfRule>
    <cfRule type="cellIs" dxfId="9468" priority="2778" operator="lessThan">
      <formula>0.8</formula>
    </cfRule>
  </conditionalFormatting>
  <conditionalFormatting sqref="P83">
    <cfRule type="cellIs" dxfId="9467" priority="2776" operator="greaterThan">
      <formula>0</formula>
    </cfRule>
  </conditionalFormatting>
  <conditionalFormatting sqref="P83">
    <cfRule type="cellIs" dxfId="9466" priority="2770" operator="greaterThan">
      <formula>0</formula>
    </cfRule>
  </conditionalFormatting>
  <conditionalFormatting sqref="Q83">
    <cfRule type="cellIs" dxfId="9465" priority="2775" operator="lessThan">
      <formula>0</formula>
    </cfRule>
  </conditionalFormatting>
  <conditionalFormatting sqref="R83">
    <cfRule type="cellIs" dxfId="9464" priority="2773" operator="lessThan">
      <formula>0.8</formula>
    </cfRule>
    <cfRule type="cellIs" dxfId="9463" priority="2774" operator="greaterThan">
      <formula>1</formula>
    </cfRule>
  </conditionalFormatting>
  <conditionalFormatting sqref="R83">
    <cfRule type="cellIs" dxfId="9462" priority="2771" operator="greaterThan">
      <formula>1</formula>
    </cfRule>
    <cfRule type="cellIs" dxfId="9461" priority="2772" operator="lessThan">
      <formula>0.8</formula>
    </cfRule>
  </conditionalFormatting>
  <conditionalFormatting sqref="P83">
    <cfRule type="cellIs" dxfId="9460" priority="2764" operator="greaterThan">
      <formula>0</formula>
    </cfRule>
  </conditionalFormatting>
  <conditionalFormatting sqref="Q83">
    <cfRule type="cellIs" dxfId="9459" priority="2769" operator="lessThan">
      <formula>0</formula>
    </cfRule>
  </conditionalFormatting>
  <conditionalFormatting sqref="R83">
    <cfRule type="cellIs" dxfId="9458" priority="2767" operator="lessThan">
      <formula>0.8</formula>
    </cfRule>
    <cfRule type="cellIs" dxfId="9457" priority="2768" operator="greaterThan">
      <formula>1</formula>
    </cfRule>
  </conditionalFormatting>
  <conditionalFormatting sqref="R83">
    <cfRule type="cellIs" dxfId="9456" priority="2765" operator="greaterThan">
      <formula>1</formula>
    </cfRule>
    <cfRule type="cellIs" dxfId="9455" priority="2766" operator="lessThan">
      <formula>0.8</formula>
    </cfRule>
  </conditionalFormatting>
  <conditionalFormatting sqref="R83">
    <cfRule type="cellIs" dxfId="9454" priority="2761" operator="lessThan">
      <formula>0.8</formula>
    </cfRule>
    <cfRule type="cellIs" dxfId="9453" priority="2762" operator="greaterThan">
      <formula>1</formula>
    </cfRule>
  </conditionalFormatting>
  <conditionalFormatting sqref="R83">
    <cfRule type="cellIs" dxfId="9452" priority="2759" operator="greaterThan">
      <formula>1</formula>
    </cfRule>
    <cfRule type="cellIs" dxfId="9451" priority="2760" operator="lessThan">
      <formula>0.8</formula>
    </cfRule>
  </conditionalFormatting>
  <conditionalFormatting sqref="P83">
    <cfRule type="cellIs" dxfId="9450" priority="2758" operator="greaterThan">
      <formula>0</formula>
    </cfRule>
  </conditionalFormatting>
  <conditionalFormatting sqref="Q83">
    <cfRule type="cellIs" dxfId="9449" priority="2763" operator="lessThan">
      <formula>0</formula>
    </cfRule>
  </conditionalFormatting>
  <conditionalFormatting sqref="Q83">
    <cfRule type="cellIs" dxfId="9448" priority="2752" operator="lessThan">
      <formula>0</formula>
    </cfRule>
  </conditionalFormatting>
  <conditionalFormatting sqref="P83">
    <cfRule type="cellIs" dxfId="9447" priority="2753" operator="greaterThan">
      <formula>0</formula>
    </cfRule>
  </conditionalFormatting>
  <conditionalFormatting sqref="R83">
    <cfRule type="cellIs" dxfId="9446" priority="2756" operator="lessThan">
      <formula>0.8</formula>
    </cfRule>
    <cfRule type="cellIs" dxfId="9445" priority="2757" operator="greaterThan">
      <formula>1</formula>
    </cfRule>
  </conditionalFormatting>
  <conditionalFormatting sqref="R83">
    <cfRule type="cellIs" dxfId="9444" priority="2754" operator="greaterThan">
      <formula>1</formula>
    </cfRule>
    <cfRule type="cellIs" dxfId="9443" priority="2755" operator="lessThan">
      <formula>0.8</formula>
    </cfRule>
  </conditionalFormatting>
  <conditionalFormatting sqref="Q83">
    <cfRule type="cellIs" dxfId="9442" priority="2746" operator="lessThan">
      <formula>0</formula>
    </cfRule>
  </conditionalFormatting>
  <conditionalFormatting sqref="R83">
    <cfRule type="cellIs" dxfId="9441" priority="2750" operator="lessThan">
      <formula>0.8</formula>
    </cfRule>
    <cfRule type="cellIs" dxfId="9440" priority="2751" operator="greaterThan">
      <formula>1</formula>
    </cfRule>
  </conditionalFormatting>
  <conditionalFormatting sqref="R83">
    <cfRule type="cellIs" dxfId="9439" priority="2748" operator="greaterThan">
      <formula>1</formula>
    </cfRule>
    <cfRule type="cellIs" dxfId="9438" priority="2749" operator="lessThan">
      <formula>0.8</formula>
    </cfRule>
  </conditionalFormatting>
  <conditionalFormatting sqref="P83">
    <cfRule type="cellIs" dxfId="9437" priority="2747" operator="greaterThan">
      <formula>0</formula>
    </cfRule>
  </conditionalFormatting>
  <conditionalFormatting sqref="Q83">
    <cfRule type="cellIs" dxfId="9436" priority="2745" operator="lessThan">
      <formula>0</formula>
    </cfRule>
  </conditionalFormatting>
  <conditionalFormatting sqref="R83">
    <cfRule type="cellIs" dxfId="9435" priority="2743" operator="lessThan">
      <formula>0.8</formula>
    </cfRule>
    <cfRule type="cellIs" dxfId="9434" priority="2744" operator="greaterThan">
      <formula>1</formula>
    </cfRule>
  </conditionalFormatting>
  <conditionalFormatting sqref="R83">
    <cfRule type="cellIs" dxfId="9433" priority="2741" operator="greaterThan">
      <formula>1</formula>
    </cfRule>
    <cfRule type="cellIs" dxfId="9432" priority="2742" operator="lessThan">
      <formula>0.8</formula>
    </cfRule>
  </conditionalFormatting>
  <conditionalFormatting sqref="P83">
    <cfRule type="cellIs" dxfId="9431" priority="2740" operator="greaterThan">
      <formula>0</formula>
    </cfRule>
  </conditionalFormatting>
  <conditionalFormatting sqref="Q83">
    <cfRule type="cellIs" dxfId="9430" priority="2739" operator="lessThan">
      <formula>0</formula>
    </cfRule>
  </conditionalFormatting>
  <conditionalFormatting sqref="R83">
    <cfRule type="cellIs" dxfId="9429" priority="2737" operator="lessThan">
      <formula>0.8</formula>
    </cfRule>
    <cfRule type="cellIs" dxfId="9428" priority="2738" operator="greaterThan">
      <formula>1</formula>
    </cfRule>
  </conditionalFormatting>
  <conditionalFormatting sqref="R83">
    <cfRule type="cellIs" dxfId="9427" priority="2735" operator="greaterThan">
      <formula>1</formula>
    </cfRule>
    <cfRule type="cellIs" dxfId="9426" priority="2736" operator="lessThan">
      <formula>0.8</formula>
    </cfRule>
  </conditionalFormatting>
  <conditionalFormatting sqref="P83">
    <cfRule type="cellIs" dxfId="9425" priority="2734" operator="greaterThan">
      <formula>0</formula>
    </cfRule>
  </conditionalFormatting>
  <conditionalFormatting sqref="Q83">
    <cfRule type="cellIs" dxfId="9424" priority="2733" operator="lessThan">
      <formula>0</formula>
    </cfRule>
  </conditionalFormatting>
  <conditionalFormatting sqref="R83">
    <cfRule type="cellIs" dxfId="9423" priority="2731" operator="lessThan">
      <formula>0.8</formula>
    </cfRule>
    <cfRule type="cellIs" dxfId="9422" priority="2732" operator="greaterThan">
      <formula>1</formula>
    </cfRule>
  </conditionalFormatting>
  <conditionalFormatting sqref="R83">
    <cfRule type="cellIs" dxfId="9421" priority="2729" operator="greaterThan">
      <formula>1</formula>
    </cfRule>
    <cfRule type="cellIs" dxfId="9420" priority="2730" operator="lessThan">
      <formula>0.8</formula>
    </cfRule>
  </conditionalFormatting>
  <conditionalFormatting sqref="P83">
    <cfRule type="cellIs" dxfId="9419" priority="2728" operator="greaterThan">
      <formula>0</formula>
    </cfRule>
  </conditionalFormatting>
  <conditionalFormatting sqref="Q83">
    <cfRule type="cellIs" dxfId="9418" priority="2727" operator="lessThan">
      <formula>0</formula>
    </cfRule>
  </conditionalFormatting>
  <conditionalFormatting sqref="R83">
    <cfRule type="cellIs" dxfId="9417" priority="2725" operator="lessThan">
      <formula>0.8</formula>
    </cfRule>
    <cfRule type="cellIs" dxfId="9416" priority="2726" operator="greaterThan">
      <formula>1</formula>
    </cfRule>
  </conditionalFormatting>
  <conditionalFormatting sqref="R83">
    <cfRule type="cellIs" dxfId="9415" priority="2723" operator="greaterThan">
      <formula>1</formula>
    </cfRule>
    <cfRule type="cellIs" dxfId="9414" priority="2724" operator="lessThan">
      <formula>0.8</formula>
    </cfRule>
  </conditionalFormatting>
  <conditionalFormatting sqref="P83">
    <cfRule type="cellIs" dxfId="9413" priority="2722" operator="greaterThan">
      <formula>0</formula>
    </cfRule>
  </conditionalFormatting>
  <conditionalFormatting sqref="Q83">
    <cfRule type="cellIs" dxfId="9412" priority="2721" operator="lessThan">
      <formula>0</formula>
    </cfRule>
  </conditionalFormatting>
  <conditionalFormatting sqref="R83">
    <cfRule type="cellIs" dxfId="9411" priority="2719" operator="lessThan">
      <formula>0.8</formula>
    </cfRule>
    <cfRule type="cellIs" dxfId="9410" priority="2720" operator="greaterThan">
      <formula>1</formula>
    </cfRule>
  </conditionalFormatting>
  <conditionalFormatting sqref="R83">
    <cfRule type="cellIs" dxfId="9409" priority="2717" operator="greaterThan">
      <formula>1</formula>
    </cfRule>
    <cfRule type="cellIs" dxfId="9408" priority="2718" operator="lessThan">
      <formula>0.8</formula>
    </cfRule>
  </conditionalFormatting>
  <conditionalFormatting sqref="P83">
    <cfRule type="cellIs" dxfId="9407" priority="2716" operator="greaterThan">
      <formula>0</formula>
    </cfRule>
  </conditionalFormatting>
  <conditionalFormatting sqref="Q83">
    <cfRule type="cellIs" dxfId="9406" priority="2715" operator="lessThan">
      <formula>0</formula>
    </cfRule>
  </conditionalFormatting>
  <conditionalFormatting sqref="R83">
    <cfRule type="cellIs" dxfId="9405" priority="2713" operator="lessThan">
      <formula>0.8</formula>
    </cfRule>
    <cfRule type="cellIs" dxfId="9404" priority="2714" operator="greaterThan">
      <formula>1</formula>
    </cfRule>
  </conditionalFormatting>
  <conditionalFormatting sqref="R83">
    <cfRule type="cellIs" dxfId="9403" priority="2711" operator="greaterThan">
      <formula>1</formula>
    </cfRule>
    <cfRule type="cellIs" dxfId="9402" priority="2712" operator="lessThan">
      <formula>0.8</formula>
    </cfRule>
  </conditionalFormatting>
  <conditionalFormatting sqref="P83">
    <cfRule type="cellIs" dxfId="9401" priority="2710" operator="greaterThan">
      <formula>0</formula>
    </cfRule>
  </conditionalFormatting>
  <conditionalFormatting sqref="Q83">
    <cfRule type="cellIs" dxfId="9400" priority="2709" operator="lessThan">
      <formula>0</formula>
    </cfRule>
  </conditionalFormatting>
  <conditionalFormatting sqref="R83">
    <cfRule type="cellIs" dxfId="9399" priority="2707" operator="lessThan">
      <formula>0.8</formula>
    </cfRule>
    <cfRule type="cellIs" dxfId="9398" priority="2708" operator="greaterThan">
      <formula>1</formula>
    </cfRule>
  </conditionalFormatting>
  <conditionalFormatting sqref="R83">
    <cfRule type="cellIs" dxfId="9397" priority="2705" operator="greaterThan">
      <formula>1</formula>
    </cfRule>
    <cfRule type="cellIs" dxfId="9396" priority="2706" operator="lessThan">
      <formula>0.8</formula>
    </cfRule>
  </conditionalFormatting>
  <conditionalFormatting sqref="P83">
    <cfRule type="cellIs" dxfId="9395" priority="2704" operator="greaterThan">
      <formula>0</formula>
    </cfRule>
  </conditionalFormatting>
  <conditionalFormatting sqref="P83">
    <cfRule type="cellIs" dxfId="9394" priority="2698" operator="greaterThan">
      <formula>0</formula>
    </cfRule>
  </conditionalFormatting>
  <conditionalFormatting sqref="Q83">
    <cfRule type="cellIs" dxfId="9393" priority="2703" operator="lessThan">
      <formula>0</formula>
    </cfRule>
  </conditionalFormatting>
  <conditionalFormatting sqref="R83">
    <cfRule type="cellIs" dxfId="9392" priority="2701" operator="lessThan">
      <formula>0.8</formula>
    </cfRule>
    <cfRule type="cellIs" dxfId="9391" priority="2702" operator="greaterThan">
      <formula>1</formula>
    </cfRule>
  </conditionalFormatting>
  <conditionalFormatting sqref="R83">
    <cfRule type="cellIs" dxfId="9390" priority="2699" operator="greaterThan">
      <formula>1</formula>
    </cfRule>
    <cfRule type="cellIs" dxfId="9389" priority="2700" operator="lessThan">
      <formula>0.8</formula>
    </cfRule>
  </conditionalFormatting>
  <conditionalFormatting sqref="P83">
    <cfRule type="cellIs" dxfId="9388" priority="2692" operator="greaterThan">
      <formula>0</formula>
    </cfRule>
  </conditionalFormatting>
  <conditionalFormatting sqref="Q83">
    <cfRule type="cellIs" dxfId="9387" priority="2697" operator="lessThan">
      <formula>0</formula>
    </cfRule>
  </conditionalFormatting>
  <conditionalFormatting sqref="R83">
    <cfRule type="cellIs" dxfId="9386" priority="2695" operator="lessThan">
      <formula>0.8</formula>
    </cfRule>
    <cfRule type="cellIs" dxfId="9385" priority="2696" operator="greaterThan">
      <formula>1</formula>
    </cfRule>
  </conditionalFormatting>
  <conditionalFormatting sqref="R83">
    <cfRule type="cellIs" dxfId="9384" priority="2693" operator="greaterThan">
      <formula>1</formula>
    </cfRule>
    <cfRule type="cellIs" dxfId="9383" priority="2694" operator="lessThan">
      <formula>0.8</formula>
    </cfRule>
  </conditionalFormatting>
  <conditionalFormatting sqref="R83">
    <cfRule type="cellIs" dxfId="9382" priority="2689" operator="lessThan">
      <formula>0.8</formula>
    </cfRule>
    <cfRule type="cellIs" dxfId="9381" priority="2690" operator="greaterThan">
      <formula>1</formula>
    </cfRule>
  </conditionalFormatting>
  <conditionalFormatting sqref="R83">
    <cfRule type="cellIs" dxfId="9380" priority="2687" operator="greaterThan">
      <formula>1</formula>
    </cfRule>
    <cfRule type="cellIs" dxfId="9379" priority="2688" operator="lessThan">
      <formula>0.8</formula>
    </cfRule>
  </conditionalFormatting>
  <conditionalFormatting sqref="P83">
    <cfRule type="cellIs" dxfId="9378" priority="2686" operator="greaterThan">
      <formula>0</formula>
    </cfRule>
  </conditionalFormatting>
  <conditionalFormatting sqref="Q83">
    <cfRule type="cellIs" dxfId="9377" priority="2691" operator="lessThan">
      <formula>0</formula>
    </cfRule>
  </conditionalFormatting>
  <conditionalFormatting sqref="Q83">
    <cfRule type="cellIs" dxfId="9376" priority="2685" operator="lessThan">
      <formula>0</formula>
    </cfRule>
  </conditionalFormatting>
  <conditionalFormatting sqref="R83">
    <cfRule type="cellIs" dxfId="9375" priority="2683" operator="lessThan">
      <formula>0.8</formula>
    </cfRule>
    <cfRule type="cellIs" dxfId="9374" priority="2684" operator="greaterThan">
      <formula>1</formula>
    </cfRule>
  </conditionalFormatting>
  <conditionalFormatting sqref="R83">
    <cfRule type="cellIs" dxfId="9373" priority="2681" operator="greaterThan">
      <formula>1</formula>
    </cfRule>
    <cfRule type="cellIs" dxfId="9372" priority="2682" operator="lessThan">
      <formula>0.8</formula>
    </cfRule>
  </conditionalFormatting>
  <conditionalFormatting sqref="P83">
    <cfRule type="cellIs" dxfId="9371" priority="2680" operator="greaterThan">
      <formula>0</formula>
    </cfRule>
  </conditionalFormatting>
  <conditionalFormatting sqref="P83">
    <cfRule type="cellIs" dxfId="9370" priority="2674" operator="greaterThan">
      <formula>0</formula>
    </cfRule>
  </conditionalFormatting>
  <conditionalFormatting sqref="Q83">
    <cfRule type="cellIs" dxfId="9369" priority="2679" operator="lessThan">
      <formula>0</formula>
    </cfRule>
  </conditionalFormatting>
  <conditionalFormatting sqref="R83">
    <cfRule type="cellIs" dxfId="9368" priority="2677" operator="lessThan">
      <formula>0.8</formula>
    </cfRule>
    <cfRule type="cellIs" dxfId="9367" priority="2678" operator="greaterThan">
      <formula>1</formula>
    </cfRule>
  </conditionalFormatting>
  <conditionalFormatting sqref="R83">
    <cfRule type="cellIs" dxfId="9366" priority="2675" operator="greaterThan">
      <formula>1</formula>
    </cfRule>
    <cfRule type="cellIs" dxfId="9365" priority="2676" operator="lessThan">
      <formula>0.8</formula>
    </cfRule>
  </conditionalFormatting>
  <conditionalFormatting sqref="P83">
    <cfRule type="cellIs" dxfId="9364" priority="2668" operator="greaterThan">
      <formula>0</formula>
    </cfRule>
  </conditionalFormatting>
  <conditionalFormatting sqref="Q83">
    <cfRule type="cellIs" dxfId="9363" priority="2673" operator="lessThan">
      <formula>0</formula>
    </cfRule>
  </conditionalFormatting>
  <conditionalFormatting sqref="R83">
    <cfRule type="cellIs" dxfId="9362" priority="2671" operator="lessThan">
      <formula>0.8</formula>
    </cfRule>
    <cfRule type="cellIs" dxfId="9361" priority="2672" operator="greaterThan">
      <formula>1</formula>
    </cfRule>
  </conditionalFormatting>
  <conditionalFormatting sqref="R83">
    <cfRule type="cellIs" dxfId="9360" priority="2669" operator="greaterThan">
      <formula>1</formula>
    </cfRule>
    <cfRule type="cellIs" dxfId="9359" priority="2670" operator="lessThan">
      <formula>0.8</formula>
    </cfRule>
  </conditionalFormatting>
  <conditionalFormatting sqref="R83">
    <cfRule type="cellIs" dxfId="9358" priority="2665" operator="lessThan">
      <formula>0.8</formula>
    </cfRule>
    <cfRule type="cellIs" dxfId="9357" priority="2666" operator="greaterThan">
      <formula>1</formula>
    </cfRule>
  </conditionalFormatting>
  <conditionalFormatting sqref="R83">
    <cfRule type="cellIs" dxfId="9356" priority="2663" operator="greaterThan">
      <formula>1</formula>
    </cfRule>
    <cfRule type="cellIs" dxfId="9355" priority="2664" operator="lessThan">
      <formula>0.8</formula>
    </cfRule>
  </conditionalFormatting>
  <conditionalFormatting sqref="P83">
    <cfRule type="cellIs" dxfId="9354" priority="2662" operator="greaterThan">
      <formula>0</formula>
    </cfRule>
  </conditionalFormatting>
  <conditionalFormatting sqref="Q83">
    <cfRule type="cellIs" dxfId="9353" priority="2667" operator="lessThan">
      <formula>0</formula>
    </cfRule>
  </conditionalFormatting>
  <conditionalFormatting sqref="P83">
    <cfRule type="cellIs" dxfId="9352" priority="2656" operator="greaterThan">
      <formula>0</formula>
    </cfRule>
  </conditionalFormatting>
  <conditionalFormatting sqref="Q83">
    <cfRule type="cellIs" dxfId="9351" priority="2661" operator="lessThan">
      <formula>0</formula>
    </cfRule>
  </conditionalFormatting>
  <conditionalFormatting sqref="R83">
    <cfRule type="cellIs" dxfId="9350" priority="2659" operator="lessThan">
      <formula>0.8</formula>
    </cfRule>
    <cfRule type="cellIs" dxfId="9349" priority="2660" operator="greaterThan">
      <formula>1</formula>
    </cfRule>
  </conditionalFormatting>
  <conditionalFormatting sqref="R83">
    <cfRule type="cellIs" dxfId="9348" priority="2657" operator="greaterThan">
      <formula>1</formula>
    </cfRule>
    <cfRule type="cellIs" dxfId="9347" priority="2658" operator="lessThan">
      <formula>0.8</formula>
    </cfRule>
  </conditionalFormatting>
  <conditionalFormatting sqref="R83">
    <cfRule type="cellIs" dxfId="9346" priority="2653" operator="lessThan">
      <formula>0.8</formula>
    </cfRule>
    <cfRule type="cellIs" dxfId="9345" priority="2654" operator="greaterThan">
      <formula>1</formula>
    </cfRule>
  </conditionalFormatting>
  <conditionalFormatting sqref="R83">
    <cfRule type="cellIs" dxfId="9344" priority="2651" operator="greaterThan">
      <formula>1</formula>
    </cfRule>
    <cfRule type="cellIs" dxfId="9343" priority="2652" operator="lessThan">
      <formula>0.8</formula>
    </cfRule>
  </conditionalFormatting>
  <conditionalFormatting sqref="P83">
    <cfRule type="cellIs" dxfId="9342" priority="2650" operator="greaterThan">
      <formula>0</formula>
    </cfRule>
  </conditionalFormatting>
  <conditionalFormatting sqref="Q83">
    <cfRule type="cellIs" dxfId="9341" priority="2655" operator="lessThan">
      <formula>0</formula>
    </cfRule>
  </conditionalFormatting>
  <conditionalFormatting sqref="R83">
    <cfRule type="cellIs" dxfId="9340" priority="2647" operator="lessThan">
      <formula>0.8</formula>
    </cfRule>
    <cfRule type="cellIs" dxfId="9339" priority="2648" operator="greaterThan">
      <formula>1</formula>
    </cfRule>
  </conditionalFormatting>
  <conditionalFormatting sqref="R83">
    <cfRule type="cellIs" dxfId="9338" priority="2645" operator="greaterThan">
      <formula>1</formula>
    </cfRule>
    <cfRule type="cellIs" dxfId="9337" priority="2646" operator="lessThan">
      <formula>0.8</formula>
    </cfRule>
  </conditionalFormatting>
  <conditionalFormatting sqref="P83">
    <cfRule type="cellIs" dxfId="9336" priority="2644" operator="greaterThan">
      <formula>0</formula>
    </cfRule>
  </conditionalFormatting>
  <conditionalFormatting sqref="Q83">
    <cfRule type="cellIs" dxfId="9335" priority="2649" operator="lessThan">
      <formula>0</formula>
    </cfRule>
  </conditionalFormatting>
  <conditionalFormatting sqref="Q83">
    <cfRule type="cellIs" dxfId="9334" priority="2643" operator="lessThan">
      <formula>0</formula>
    </cfRule>
  </conditionalFormatting>
  <conditionalFormatting sqref="R83">
    <cfRule type="cellIs" dxfId="9333" priority="2641" operator="lessThan">
      <formula>0.8</formula>
    </cfRule>
    <cfRule type="cellIs" dxfId="9332" priority="2642" operator="greaterThan">
      <formula>1</formula>
    </cfRule>
  </conditionalFormatting>
  <conditionalFormatting sqref="R83">
    <cfRule type="cellIs" dxfId="9331" priority="2639" operator="greaterThan">
      <formula>1</formula>
    </cfRule>
    <cfRule type="cellIs" dxfId="9330" priority="2640" operator="lessThan">
      <formula>0.8</formula>
    </cfRule>
  </conditionalFormatting>
  <conditionalFormatting sqref="P83">
    <cfRule type="cellIs" dxfId="9329" priority="2638" operator="greaterThan">
      <formula>0</formula>
    </cfRule>
  </conditionalFormatting>
  <conditionalFormatting sqref="Q83">
    <cfRule type="cellIs" dxfId="9328" priority="2632" operator="lessThan">
      <formula>0</formula>
    </cfRule>
  </conditionalFormatting>
  <conditionalFormatting sqref="R83">
    <cfRule type="cellIs" dxfId="9327" priority="2636" operator="lessThan">
      <formula>0.8</formula>
    </cfRule>
    <cfRule type="cellIs" dxfId="9326" priority="2637" operator="greaterThan">
      <formula>1</formula>
    </cfRule>
  </conditionalFormatting>
  <conditionalFormatting sqref="R83">
    <cfRule type="cellIs" dxfId="9325" priority="2634" operator="greaterThan">
      <formula>1</formula>
    </cfRule>
    <cfRule type="cellIs" dxfId="9324" priority="2635" operator="lessThan">
      <formula>0.8</formula>
    </cfRule>
  </conditionalFormatting>
  <conditionalFormatting sqref="P83">
    <cfRule type="cellIs" dxfId="9323" priority="2633" operator="greaterThan">
      <formula>0</formula>
    </cfRule>
  </conditionalFormatting>
  <conditionalFormatting sqref="Q83">
    <cfRule type="cellIs" dxfId="9322" priority="2631" operator="lessThan">
      <formula>0</formula>
    </cfRule>
  </conditionalFormatting>
  <conditionalFormatting sqref="R83">
    <cfRule type="cellIs" dxfId="9321" priority="2629" operator="lessThan">
      <formula>0.8</formula>
    </cfRule>
    <cfRule type="cellIs" dxfId="9320" priority="2630" operator="greaterThan">
      <formula>1</formula>
    </cfRule>
  </conditionalFormatting>
  <conditionalFormatting sqref="R83">
    <cfRule type="cellIs" dxfId="9319" priority="2627" operator="greaterThan">
      <formula>1</formula>
    </cfRule>
    <cfRule type="cellIs" dxfId="9318" priority="2628" operator="lessThan">
      <formula>0.8</formula>
    </cfRule>
  </conditionalFormatting>
  <conditionalFormatting sqref="P83">
    <cfRule type="cellIs" dxfId="9317" priority="2626" operator="greaterThan">
      <formula>0</formula>
    </cfRule>
  </conditionalFormatting>
  <conditionalFormatting sqref="Q83">
    <cfRule type="cellIs" dxfId="9316" priority="2625" operator="lessThan">
      <formula>0</formula>
    </cfRule>
  </conditionalFormatting>
  <conditionalFormatting sqref="R83">
    <cfRule type="cellIs" dxfId="9315" priority="2623" operator="lessThan">
      <formula>0.8</formula>
    </cfRule>
    <cfRule type="cellIs" dxfId="9314" priority="2624" operator="greaterThan">
      <formula>1</formula>
    </cfRule>
  </conditionalFormatting>
  <conditionalFormatting sqref="R83">
    <cfRule type="cellIs" dxfId="9313" priority="2621" operator="greaterThan">
      <formula>1</formula>
    </cfRule>
    <cfRule type="cellIs" dxfId="9312" priority="2622" operator="lessThan">
      <formula>0.8</formula>
    </cfRule>
  </conditionalFormatting>
  <conditionalFormatting sqref="P83">
    <cfRule type="cellIs" dxfId="9311" priority="2620" operator="greaterThan">
      <formula>0</formula>
    </cfRule>
  </conditionalFormatting>
  <conditionalFormatting sqref="Q83">
    <cfRule type="cellIs" dxfId="9310" priority="2619" operator="lessThan">
      <formula>0</formula>
    </cfRule>
  </conditionalFormatting>
  <conditionalFormatting sqref="R83">
    <cfRule type="cellIs" dxfId="9309" priority="2617" operator="lessThan">
      <formula>0.8</formula>
    </cfRule>
    <cfRule type="cellIs" dxfId="9308" priority="2618" operator="greaterThan">
      <formula>1</formula>
    </cfRule>
  </conditionalFormatting>
  <conditionalFormatting sqref="R83">
    <cfRule type="cellIs" dxfId="9307" priority="2615" operator="greaterThan">
      <formula>1</formula>
    </cfRule>
    <cfRule type="cellIs" dxfId="9306" priority="2616" operator="lessThan">
      <formula>0.8</formula>
    </cfRule>
  </conditionalFormatting>
  <conditionalFormatting sqref="P83">
    <cfRule type="cellIs" dxfId="9305" priority="2614" operator="greaterThan">
      <formula>0</formula>
    </cfRule>
  </conditionalFormatting>
  <conditionalFormatting sqref="Q83">
    <cfRule type="cellIs" dxfId="9304" priority="2613" operator="lessThan">
      <formula>0</formula>
    </cfRule>
  </conditionalFormatting>
  <conditionalFormatting sqref="R83">
    <cfRule type="cellIs" dxfId="9303" priority="2611" operator="lessThan">
      <formula>0.8</formula>
    </cfRule>
    <cfRule type="cellIs" dxfId="9302" priority="2612" operator="greaterThan">
      <formula>1</formula>
    </cfRule>
  </conditionalFormatting>
  <conditionalFormatting sqref="R83">
    <cfRule type="cellIs" dxfId="9301" priority="2609" operator="greaterThan">
      <formula>1</formula>
    </cfRule>
    <cfRule type="cellIs" dxfId="9300" priority="2610" operator="lessThan">
      <formula>0.8</formula>
    </cfRule>
  </conditionalFormatting>
  <conditionalFormatting sqref="P83">
    <cfRule type="cellIs" dxfId="9299" priority="2608" operator="greaterThan">
      <formula>0</formula>
    </cfRule>
  </conditionalFormatting>
  <conditionalFormatting sqref="Q83">
    <cfRule type="cellIs" dxfId="9298" priority="2607" operator="lessThan">
      <formula>0</formula>
    </cfRule>
  </conditionalFormatting>
  <conditionalFormatting sqref="R83">
    <cfRule type="cellIs" dxfId="9297" priority="2605" operator="lessThan">
      <formula>0.8</formula>
    </cfRule>
    <cfRule type="cellIs" dxfId="9296" priority="2606" operator="greaterThan">
      <formula>1</formula>
    </cfRule>
  </conditionalFormatting>
  <conditionalFormatting sqref="R83">
    <cfRule type="cellIs" dxfId="9295" priority="2603" operator="greaterThan">
      <formula>1</formula>
    </cfRule>
    <cfRule type="cellIs" dxfId="9294" priority="2604" operator="lessThan">
      <formula>0.8</formula>
    </cfRule>
  </conditionalFormatting>
  <conditionalFormatting sqref="P83">
    <cfRule type="cellIs" dxfId="9293" priority="2602" operator="greaterThan">
      <formula>0</formula>
    </cfRule>
  </conditionalFormatting>
  <conditionalFormatting sqref="P83">
    <cfRule type="cellIs" dxfId="9292" priority="2596" operator="greaterThan">
      <formula>0</formula>
    </cfRule>
  </conditionalFormatting>
  <conditionalFormatting sqref="Q83">
    <cfRule type="cellIs" dxfId="9291" priority="2601" operator="lessThan">
      <formula>0</formula>
    </cfRule>
  </conditionalFormatting>
  <conditionalFormatting sqref="R83">
    <cfRule type="cellIs" dxfId="9290" priority="2599" operator="lessThan">
      <formula>0.8</formula>
    </cfRule>
    <cfRule type="cellIs" dxfId="9289" priority="2600" operator="greaterThan">
      <formula>1</formula>
    </cfRule>
  </conditionalFormatting>
  <conditionalFormatting sqref="R83">
    <cfRule type="cellIs" dxfId="9288" priority="2597" operator="greaterThan">
      <formula>1</formula>
    </cfRule>
    <cfRule type="cellIs" dxfId="9287" priority="2598" operator="lessThan">
      <formula>0.8</formula>
    </cfRule>
  </conditionalFormatting>
  <conditionalFormatting sqref="P83">
    <cfRule type="cellIs" dxfId="9286" priority="2590" operator="greaterThan">
      <formula>0</formula>
    </cfRule>
  </conditionalFormatting>
  <conditionalFormatting sqref="Q83">
    <cfRule type="cellIs" dxfId="9285" priority="2595" operator="lessThan">
      <formula>0</formula>
    </cfRule>
  </conditionalFormatting>
  <conditionalFormatting sqref="R83">
    <cfRule type="cellIs" dxfId="9284" priority="2593" operator="lessThan">
      <formula>0.8</formula>
    </cfRule>
    <cfRule type="cellIs" dxfId="9283" priority="2594" operator="greaterThan">
      <formula>1</formula>
    </cfRule>
  </conditionalFormatting>
  <conditionalFormatting sqref="R83">
    <cfRule type="cellIs" dxfId="9282" priority="2591" operator="greaterThan">
      <formula>1</formula>
    </cfRule>
    <cfRule type="cellIs" dxfId="9281" priority="2592" operator="lessThan">
      <formula>0.8</formula>
    </cfRule>
  </conditionalFormatting>
  <conditionalFormatting sqref="R83">
    <cfRule type="cellIs" dxfId="9280" priority="2587" operator="lessThan">
      <formula>0.8</formula>
    </cfRule>
    <cfRule type="cellIs" dxfId="9279" priority="2588" operator="greaterThan">
      <formula>1</formula>
    </cfRule>
  </conditionalFormatting>
  <conditionalFormatting sqref="R83">
    <cfRule type="cellIs" dxfId="9278" priority="2585" operator="greaterThan">
      <formula>1</formula>
    </cfRule>
    <cfRule type="cellIs" dxfId="9277" priority="2586" operator="lessThan">
      <formula>0.8</formula>
    </cfRule>
  </conditionalFormatting>
  <conditionalFormatting sqref="P83">
    <cfRule type="cellIs" dxfId="9276" priority="2584" operator="greaterThan">
      <formula>0</formula>
    </cfRule>
  </conditionalFormatting>
  <conditionalFormatting sqref="Q83">
    <cfRule type="cellIs" dxfId="9275" priority="2589" operator="lessThan">
      <formula>0</formula>
    </cfRule>
  </conditionalFormatting>
  <conditionalFormatting sqref="P123 P125:P126 P128:P130">
    <cfRule type="cellIs" dxfId="9274" priority="2578" operator="greaterThan">
      <formula>0</formula>
    </cfRule>
  </conditionalFormatting>
  <conditionalFormatting sqref="Q123 Q125:Q126 Q128:Q130">
    <cfRule type="cellIs" dxfId="9273" priority="2583" operator="lessThan">
      <formula>0</formula>
    </cfRule>
  </conditionalFormatting>
  <conditionalFormatting sqref="R123 R125:R126 R128:R130">
    <cfRule type="cellIs" dxfId="9272" priority="2581" operator="lessThan">
      <formula>0.8</formula>
    </cfRule>
    <cfRule type="cellIs" dxfId="9271" priority="2582" operator="greaterThan">
      <formula>1</formula>
    </cfRule>
  </conditionalFormatting>
  <conditionalFormatting sqref="R123 R125:R126 R128:R130">
    <cfRule type="cellIs" dxfId="9270" priority="2579" operator="greaterThan">
      <formula>1</formula>
    </cfRule>
    <cfRule type="cellIs" dxfId="9269" priority="2580" operator="lessThan">
      <formula>0.8</formula>
    </cfRule>
  </conditionalFormatting>
  <conditionalFormatting sqref="Q123 Q125:Q126 Q128:Q130">
    <cfRule type="cellIs" dxfId="9268" priority="2577" operator="lessThan">
      <formula>0</formula>
    </cfRule>
  </conditionalFormatting>
  <conditionalFormatting sqref="R123 R125:R126 R128:R130">
    <cfRule type="cellIs" dxfId="9267" priority="2575" operator="lessThan">
      <formula>0.8</formula>
    </cfRule>
    <cfRule type="cellIs" dxfId="9266" priority="2576" operator="greaterThan">
      <formula>1</formula>
    </cfRule>
  </conditionalFormatting>
  <conditionalFormatting sqref="R123 R125:R126 R128:R130">
    <cfRule type="cellIs" dxfId="9265" priority="2573" operator="greaterThan">
      <formula>1</formula>
    </cfRule>
    <cfRule type="cellIs" dxfId="9264" priority="2574" operator="lessThan">
      <formula>0.8</formula>
    </cfRule>
  </conditionalFormatting>
  <conditionalFormatting sqref="P123 P125:P126 P128:P130">
    <cfRule type="cellIs" dxfId="9263" priority="2572" operator="greaterThan">
      <formula>0</formula>
    </cfRule>
  </conditionalFormatting>
  <conditionalFormatting sqref="Q31">
    <cfRule type="cellIs" dxfId="9262" priority="2571" operator="lessThan">
      <formula>0</formula>
    </cfRule>
  </conditionalFormatting>
  <conditionalFormatting sqref="R31">
    <cfRule type="cellIs" dxfId="9261" priority="2569" operator="lessThan">
      <formula>0.8</formula>
    </cfRule>
    <cfRule type="cellIs" dxfId="9260" priority="2570" operator="greaterThan">
      <formula>1</formula>
    </cfRule>
  </conditionalFormatting>
  <conditionalFormatting sqref="R31">
    <cfRule type="cellIs" dxfId="9259" priority="2567" operator="greaterThan">
      <formula>1</formula>
    </cfRule>
    <cfRule type="cellIs" dxfId="9258" priority="2568" operator="lessThan">
      <formula>0.8</formula>
    </cfRule>
  </conditionalFormatting>
  <conditionalFormatting sqref="P31">
    <cfRule type="cellIs" dxfId="9257" priority="2566" operator="greaterThan">
      <formula>0</formula>
    </cfRule>
  </conditionalFormatting>
  <conditionalFormatting sqref="Q31">
    <cfRule type="cellIs" dxfId="9256" priority="2565" operator="lessThan">
      <formula>0</formula>
    </cfRule>
  </conditionalFormatting>
  <conditionalFormatting sqref="R31">
    <cfRule type="cellIs" dxfId="9255" priority="2563" operator="lessThan">
      <formula>0.8</formula>
    </cfRule>
    <cfRule type="cellIs" dxfId="9254" priority="2564" operator="greaterThan">
      <formula>1</formula>
    </cfRule>
  </conditionalFormatting>
  <conditionalFormatting sqref="R31">
    <cfRule type="cellIs" dxfId="9253" priority="2561" operator="greaterThan">
      <formula>1</formula>
    </cfRule>
    <cfRule type="cellIs" dxfId="9252" priority="2562" operator="lessThan">
      <formula>0.8</formula>
    </cfRule>
  </conditionalFormatting>
  <conditionalFormatting sqref="P31">
    <cfRule type="cellIs" dxfId="9251" priority="2560" operator="greaterThan">
      <formula>0</formula>
    </cfRule>
  </conditionalFormatting>
  <conditionalFormatting sqref="Q31">
    <cfRule type="cellIs" dxfId="9250" priority="2559" operator="lessThan">
      <formula>0</formula>
    </cfRule>
  </conditionalFormatting>
  <conditionalFormatting sqref="R31">
    <cfRule type="cellIs" dxfId="9249" priority="2557" operator="lessThan">
      <formula>0.8</formula>
    </cfRule>
    <cfRule type="cellIs" dxfId="9248" priority="2558" operator="greaterThan">
      <formula>1</formula>
    </cfRule>
  </conditionalFormatting>
  <conditionalFormatting sqref="R31">
    <cfRule type="cellIs" dxfId="9247" priority="2555" operator="greaterThan">
      <formula>1</formula>
    </cfRule>
    <cfRule type="cellIs" dxfId="9246" priority="2556" operator="lessThan">
      <formula>0.8</formula>
    </cfRule>
  </conditionalFormatting>
  <conditionalFormatting sqref="P31">
    <cfRule type="cellIs" dxfId="9245" priority="2554" operator="greaterThan">
      <formula>0</formula>
    </cfRule>
  </conditionalFormatting>
  <conditionalFormatting sqref="Q31">
    <cfRule type="cellIs" dxfId="9244" priority="2553" operator="lessThan">
      <formula>0</formula>
    </cfRule>
  </conditionalFormatting>
  <conditionalFormatting sqref="R31">
    <cfRule type="cellIs" dxfId="9243" priority="2551" operator="lessThan">
      <formula>0.8</formula>
    </cfRule>
    <cfRule type="cellIs" dxfId="9242" priority="2552" operator="greaterThan">
      <formula>1</formula>
    </cfRule>
  </conditionalFormatting>
  <conditionalFormatting sqref="R31">
    <cfRule type="cellIs" dxfId="9241" priority="2549" operator="greaterThan">
      <formula>1</formula>
    </cfRule>
    <cfRule type="cellIs" dxfId="9240" priority="2550" operator="lessThan">
      <formula>0.8</formula>
    </cfRule>
  </conditionalFormatting>
  <conditionalFormatting sqref="P31">
    <cfRule type="cellIs" dxfId="9239" priority="2548" operator="greaterThan">
      <formula>0</formula>
    </cfRule>
  </conditionalFormatting>
  <conditionalFormatting sqref="P31">
    <cfRule type="cellIs" dxfId="9238" priority="2542" operator="greaterThan">
      <formula>0</formula>
    </cfRule>
  </conditionalFormatting>
  <conditionalFormatting sqref="Q31">
    <cfRule type="cellIs" dxfId="9237" priority="2547" operator="lessThan">
      <formula>0</formula>
    </cfRule>
  </conditionalFormatting>
  <conditionalFormatting sqref="R31">
    <cfRule type="cellIs" dxfId="9236" priority="2545" operator="lessThan">
      <formula>0.8</formula>
    </cfRule>
    <cfRule type="cellIs" dxfId="9235" priority="2546" operator="greaterThan">
      <formula>1</formula>
    </cfRule>
  </conditionalFormatting>
  <conditionalFormatting sqref="R31">
    <cfRule type="cellIs" dxfId="9234" priority="2543" operator="greaterThan">
      <formula>1</formula>
    </cfRule>
    <cfRule type="cellIs" dxfId="9233" priority="2544" operator="lessThan">
      <formula>0.8</formula>
    </cfRule>
  </conditionalFormatting>
  <conditionalFormatting sqref="P31">
    <cfRule type="cellIs" dxfId="9232" priority="2536" operator="greaterThan">
      <formula>0</formula>
    </cfRule>
  </conditionalFormatting>
  <conditionalFormatting sqref="Q31">
    <cfRule type="cellIs" dxfId="9231" priority="2541" operator="lessThan">
      <formula>0</formula>
    </cfRule>
  </conditionalFormatting>
  <conditionalFormatting sqref="R31">
    <cfRule type="cellIs" dxfId="9230" priority="2539" operator="lessThan">
      <formula>0.8</formula>
    </cfRule>
    <cfRule type="cellIs" dxfId="9229" priority="2540" operator="greaterThan">
      <formula>1</formula>
    </cfRule>
  </conditionalFormatting>
  <conditionalFormatting sqref="R31">
    <cfRule type="cellIs" dxfId="9228" priority="2537" operator="greaterThan">
      <formula>1</formula>
    </cfRule>
    <cfRule type="cellIs" dxfId="9227" priority="2538" operator="lessThan">
      <formula>0.8</formula>
    </cfRule>
  </conditionalFormatting>
  <conditionalFormatting sqref="R31">
    <cfRule type="cellIs" dxfId="9226" priority="2533" operator="lessThan">
      <formula>0.8</formula>
    </cfRule>
    <cfRule type="cellIs" dxfId="9225" priority="2534" operator="greaterThan">
      <formula>1</formula>
    </cfRule>
  </conditionalFormatting>
  <conditionalFormatting sqref="R31">
    <cfRule type="cellIs" dxfId="9224" priority="2531" operator="greaterThan">
      <formula>1</formula>
    </cfRule>
    <cfRule type="cellIs" dxfId="9223" priority="2532" operator="lessThan">
      <formula>0.8</formula>
    </cfRule>
  </conditionalFormatting>
  <conditionalFormatting sqref="P31">
    <cfRule type="cellIs" dxfId="9222" priority="2530" operator="greaterThan">
      <formula>0</formula>
    </cfRule>
  </conditionalFormatting>
  <conditionalFormatting sqref="Q31">
    <cfRule type="cellIs" dxfId="9221" priority="2535" operator="lessThan">
      <formula>0</formula>
    </cfRule>
  </conditionalFormatting>
  <conditionalFormatting sqref="Q31">
    <cfRule type="cellIs" dxfId="9220" priority="2529" operator="lessThan">
      <formula>0</formula>
    </cfRule>
  </conditionalFormatting>
  <conditionalFormatting sqref="R31">
    <cfRule type="cellIs" dxfId="9219" priority="2527" operator="lessThan">
      <formula>0.8</formula>
    </cfRule>
    <cfRule type="cellIs" dxfId="9218" priority="2528" operator="greaterThan">
      <formula>1</formula>
    </cfRule>
  </conditionalFormatting>
  <conditionalFormatting sqref="R31">
    <cfRule type="cellIs" dxfId="9217" priority="2525" operator="greaterThan">
      <formula>1</formula>
    </cfRule>
    <cfRule type="cellIs" dxfId="9216" priority="2526" operator="lessThan">
      <formula>0.8</formula>
    </cfRule>
  </conditionalFormatting>
  <conditionalFormatting sqref="P31">
    <cfRule type="cellIs" dxfId="9215" priority="2524" operator="greaterThan">
      <formula>0</formula>
    </cfRule>
  </conditionalFormatting>
  <conditionalFormatting sqref="P31">
    <cfRule type="cellIs" dxfId="9214" priority="2518" operator="greaterThan">
      <formula>0</formula>
    </cfRule>
  </conditionalFormatting>
  <conditionalFormatting sqref="Q31">
    <cfRule type="cellIs" dxfId="9213" priority="2523" operator="lessThan">
      <formula>0</formula>
    </cfRule>
  </conditionalFormatting>
  <conditionalFormatting sqref="R31">
    <cfRule type="cellIs" dxfId="9212" priority="2521" operator="lessThan">
      <formula>0.8</formula>
    </cfRule>
    <cfRule type="cellIs" dxfId="9211" priority="2522" operator="greaterThan">
      <formula>1</formula>
    </cfRule>
  </conditionalFormatting>
  <conditionalFormatting sqref="R31">
    <cfRule type="cellIs" dxfId="9210" priority="2519" operator="greaterThan">
      <formula>1</formula>
    </cfRule>
    <cfRule type="cellIs" dxfId="9209" priority="2520" operator="lessThan">
      <formula>0.8</formula>
    </cfRule>
  </conditionalFormatting>
  <conditionalFormatting sqref="P31">
    <cfRule type="cellIs" dxfId="9208" priority="2512" operator="greaterThan">
      <formula>0</formula>
    </cfRule>
  </conditionalFormatting>
  <conditionalFormatting sqref="Q31">
    <cfRule type="cellIs" dxfId="9207" priority="2517" operator="lessThan">
      <formula>0</formula>
    </cfRule>
  </conditionalFormatting>
  <conditionalFormatting sqref="R31">
    <cfRule type="cellIs" dxfId="9206" priority="2515" operator="lessThan">
      <formula>0.8</formula>
    </cfRule>
    <cfRule type="cellIs" dxfId="9205" priority="2516" operator="greaterThan">
      <formula>1</formula>
    </cfRule>
  </conditionalFormatting>
  <conditionalFormatting sqref="R31">
    <cfRule type="cellIs" dxfId="9204" priority="2513" operator="greaterThan">
      <formula>1</formula>
    </cfRule>
    <cfRule type="cellIs" dxfId="9203" priority="2514" operator="lessThan">
      <formula>0.8</formula>
    </cfRule>
  </conditionalFormatting>
  <conditionalFormatting sqref="R31">
    <cfRule type="cellIs" dxfId="9202" priority="2509" operator="lessThan">
      <formula>0.8</formula>
    </cfRule>
    <cfRule type="cellIs" dxfId="9201" priority="2510" operator="greaterThan">
      <formula>1</formula>
    </cfRule>
  </conditionalFormatting>
  <conditionalFormatting sqref="R31">
    <cfRule type="cellIs" dxfId="9200" priority="2507" operator="greaterThan">
      <formula>1</formula>
    </cfRule>
    <cfRule type="cellIs" dxfId="9199" priority="2508" operator="lessThan">
      <formula>0.8</formula>
    </cfRule>
  </conditionalFormatting>
  <conditionalFormatting sqref="P31">
    <cfRule type="cellIs" dxfId="9198" priority="2506" operator="greaterThan">
      <formula>0</formula>
    </cfRule>
  </conditionalFormatting>
  <conditionalFormatting sqref="Q31">
    <cfRule type="cellIs" dxfId="9197" priority="2511" operator="lessThan">
      <formula>0</formula>
    </cfRule>
  </conditionalFormatting>
  <conditionalFormatting sqref="P31">
    <cfRule type="cellIs" dxfId="9196" priority="2500" operator="greaterThan">
      <formula>0</formula>
    </cfRule>
  </conditionalFormatting>
  <conditionalFormatting sqref="Q31">
    <cfRule type="cellIs" dxfId="9195" priority="2505" operator="lessThan">
      <formula>0</formula>
    </cfRule>
  </conditionalFormatting>
  <conditionalFormatting sqref="R31">
    <cfRule type="cellIs" dxfId="9194" priority="2503" operator="lessThan">
      <formula>0.8</formula>
    </cfRule>
    <cfRule type="cellIs" dxfId="9193" priority="2504" operator="greaterThan">
      <formula>1</formula>
    </cfRule>
  </conditionalFormatting>
  <conditionalFormatting sqref="R31">
    <cfRule type="cellIs" dxfId="9192" priority="2501" operator="greaterThan">
      <formula>1</formula>
    </cfRule>
    <cfRule type="cellIs" dxfId="9191" priority="2502" operator="lessThan">
      <formula>0.8</formula>
    </cfRule>
  </conditionalFormatting>
  <conditionalFormatting sqref="R31">
    <cfRule type="cellIs" dxfId="9190" priority="2497" operator="lessThan">
      <formula>0.8</formula>
    </cfRule>
    <cfRule type="cellIs" dxfId="9189" priority="2498" operator="greaterThan">
      <formula>1</formula>
    </cfRule>
  </conditionalFormatting>
  <conditionalFormatting sqref="R31">
    <cfRule type="cellIs" dxfId="9188" priority="2495" operator="greaterThan">
      <formula>1</formula>
    </cfRule>
    <cfRule type="cellIs" dxfId="9187" priority="2496" operator="lessThan">
      <formula>0.8</formula>
    </cfRule>
  </conditionalFormatting>
  <conditionalFormatting sqref="P31">
    <cfRule type="cellIs" dxfId="9186" priority="2494" operator="greaterThan">
      <formula>0</formula>
    </cfRule>
  </conditionalFormatting>
  <conditionalFormatting sqref="Q31">
    <cfRule type="cellIs" dxfId="9185" priority="2499" operator="lessThan">
      <formula>0</formula>
    </cfRule>
  </conditionalFormatting>
  <conditionalFormatting sqref="R31">
    <cfRule type="cellIs" dxfId="9184" priority="2491" operator="lessThan">
      <formula>0.8</formula>
    </cfRule>
    <cfRule type="cellIs" dxfId="9183" priority="2492" operator="greaterThan">
      <formula>1</formula>
    </cfRule>
  </conditionalFormatting>
  <conditionalFormatting sqref="R31">
    <cfRule type="cellIs" dxfId="9182" priority="2489" operator="greaterThan">
      <formula>1</formula>
    </cfRule>
    <cfRule type="cellIs" dxfId="9181" priority="2490" operator="lessThan">
      <formula>0.8</formula>
    </cfRule>
  </conditionalFormatting>
  <conditionalFormatting sqref="P31">
    <cfRule type="cellIs" dxfId="9180" priority="2488" operator="greaterThan">
      <formula>0</formula>
    </cfRule>
  </conditionalFormatting>
  <conditionalFormatting sqref="Q31">
    <cfRule type="cellIs" dxfId="9179" priority="2493" operator="lessThan">
      <formula>0</formula>
    </cfRule>
  </conditionalFormatting>
  <conditionalFormatting sqref="Q31">
    <cfRule type="cellIs" dxfId="9178" priority="2487" operator="lessThan">
      <formula>0</formula>
    </cfRule>
  </conditionalFormatting>
  <conditionalFormatting sqref="R31">
    <cfRule type="cellIs" dxfId="9177" priority="2485" operator="lessThan">
      <formula>0.8</formula>
    </cfRule>
    <cfRule type="cellIs" dxfId="9176" priority="2486" operator="greaterThan">
      <formula>1</formula>
    </cfRule>
  </conditionalFormatting>
  <conditionalFormatting sqref="R31">
    <cfRule type="cellIs" dxfId="9175" priority="2483" operator="greaterThan">
      <formula>1</formula>
    </cfRule>
    <cfRule type="cellIs" dxfId="9174" priority="2484" operator="lessThan">
      <formula>0.8</formula>
    </cfRule>
  </conditionalFormatting>
  <conditionalFormatting sqref="P31">
    <cfRule type="cellIs" dxfId="9173" priority="2482" operator="greaterThan">
      <formula>0</formula>
    </cfRule>
  </conditionalFormatting>
  <conditionalFormatting sqref="Q31">
    <cfRule type="cellIs" dxfId="9172" priority="2476" operator="lessThan">
      <formula>0</formula>
    </cfRule>
  </conditionalFormatting>
  <conditionalFormatting sqref="R31">
    <cfRule type="cellIs" dxfId="9171" priority="2480" operator="lessThan">
      <formula>0.8</formula>
    </cfRule>
    <cfRule type="cellIs" dxfId="9170" priority="2481" operator="greaterThan">
      <formula>1</formula>
    </cfRule>
  </conditionalFormatting>
  <conditionalFormatting sqref="R31">
    <cfRule type="cellIs" dxfId="9169" priority="2478" operator="greaterThan">
      <formula>1</formula>
    </cfRule>
    <cfRule type="cellIs" dxfId="9168" priority="2479" operator="lessThan">
      <formula>0.8</formula>
    </cfRule>
  </conditionalFormatting>
  <conditionalFormatting sqref="P31">
    <cfRule type="cellIs" dxfId="9167" priority="2477" operator="greaterThan">
      <formula>0</formula>
    </cfRule>
  </conditionalFormatting>
  <conditionalFormatting sqref="Q31">
    <cfRule type="cellIs" dxfId="9166" priority="2475" operator="lessThan">
      <formula>0</formula>
    </cfRule>
  </conditionalFormatting>
  <conditionalFormatting sqref="R31">
    <cfRule type="cellIs" dxfId="9165" priority="2473" operator="lessThan">
      <formula>0.8</formula>
    </cfRule>
    <cfRule type="cellIs" dxfId="9164" priority="2474" operator="greaterThan">
      <formula>1</formula>
    </cfRule>
  </conditionalFormatting>
  <conditionalFormatting sqref="R31">
    <cfRule type="cellIs" dxfId="9163" priority="2471" operator="greaterThan">
      <formula>1</formula>
    </cfRule>
    <cfRule type="cellIs" dxfId="9162" priority="2472" operator="lessThan">
      <formula>0.8</formula>
    </cfRule>
  </conditionalFormatting>
  <conditionalFormatting sqref="P31">
    <cfRule type="cellIs" dxfId="9161" priority="2470" operator="greaterThan">
      <formula>0</formula>
    </cfRule>
  </conditionalFormatting>
  <conditionalFormatting sqref="Q31">
    <cfRule type="cellIs" dxfId="9160" priority="2469" operator="lessThan">
      <formula>0</formula>
    </cfRule>
  </conditionalFormatting>
  <conditionalFormatting sqref="R31">
    <cfRule type="cellIs" dxfId="9159" priority="2467" operator="lessThan">
      <formula>0.8</formula>
    </cfRule>
    <cfRule type="cellIs" dxfId="9158" priority="2468" operator="greaterThan">
      <formula>1</formula>
    </cfRule>
  </conditionalFormatting>
  <conditionalFormatting sqref="R31">
    <cfRule type="cellIs" dxfId="9157" priority="2465" operator="greaterThan">
      <formula>1</formula>
    </cfRule>
    <cfRule type="cellIs" dxfId="9156" priority="2466" operator="lessThan">
      <formula>0.8</formula>
    </cfRule>
  </conditionalFormatting>
  <conditionalFormatting sqref="P31">
    <cfRule type="cellIs" dxfId="9155" priority="2464" operator="greaterThan">
      <formula>0</formula>
    </cfRule>
  </conditionalFormatting>
  <conditionalFormatting sqref="Q31">
    <cfRule type="cellIs" dxfId="9154" priority="2463" operator="lessThan">
      <formula>0</formula>
    </cfRule>
  </conditionalFormatting>
  <conditionalFormatting sqref="R31">
    <cfRule type="cellIs" dxfId="9153" priority="2461" operator="lessThan">
      <formula>0.8</formula>
    </cfRule>
    <cfRule type="cellIs" dxfId="9152" priority="2462" operator="greaterThan">
      <formula>1</formula>
    </cfRule>
  </conditionalFormatting>
  <conditionalFormatting sqref="R31">
    <cfRule type="cellIs" dxfId="9151" priority="2459" operator="greaterThan">
      <formula>1</formula>
    </cfRule>
    <cfRule type="cellIs" dxfId="9150" priority="2460" operator="lessThan">
      <formula>0.8</formula>
    </cfRule>
  </conditionalFormatting>
  <conditionalFormatting sqref="P31">
    <cfRule type="cellIs" dxfId="9149" priority="2458" operator="greaterThan">
      <formula>0</formula>
    </cfRule>
  </conditionalFormatting>
  <conditionalFormatting sqref="Q31">
    <cfRule type="cellIs" dxfId="9148" priority="2457" operator="lessThan">
      <formula>0</formula>
    </cfRule>
  </conditionalFormatting>
  <conditionalFormatting sqref="R31">
    <cfRule type="cellIs" dxfId="9147" priority="2455" operator="lessThan">
      <formula>0.8</formula>
    </cfRule>
    <cfRule type="cellIs" dxfId="9146" priority="2456" operator="greaterThan">
      <formula>1</formula>
    </cfRule>
  </conditionalFormatting>
  <conditionalFormatting sqref="R31">
    <cfRule type="cellIs" dxfId="9145" priority="2453" operator="greaterThan">
      <formula>1</formula>
    </cfRule>
    <cfRule type="cellIs" dxfId="9144" priority="2454" operator="lessThan">
      <formula>0.8</formula>
    </cfRule>
  </conditionalFormatting>
  <conditionalFormatting sqref="P31">
    <cfRule type="cellIs" dxfId="9143" priority="2452" operator="greaterThan">
      <formula>0</formula>
    </cfRule>
  </conditionalFormatting>
  <conditionalFormatting sqref="Q31">
    <cfRule type="cellIs" dxfId="9142" priority="2451" operator="lessThan">
      <formula>0</formula>
    </cfRule>
  </conditionalFormatting>
  <conditionalFormatting sqref="R31">
    <cfRule type="cellIs" dxfId="9141" priority="2449" operator="lessThan">
      <formula>0.8</formula>
    </cfRule>
    <cfRule type="cellIs" dxfId="9140" priority="2450" operator="greaterThan">
      <formula>1</formula>
    </cfRule>
  </conditionalFormatting>
  <conditionalFormatting sqref="R31">
    <cfRule type="cellIs" dxfId="9139" priority="2447" operator="greaterThan">
      <formula>1</formula>
    </cfRule>
    <cfRule type="cellIs" dxfId="9138" priority="2448" operator="lessThan">
      <formula>0.8</formula>
    </cfRule>
  </conditionalFormatting>
  <conditionalFormatting sqref="P31">
    <cfRule type="cellIs" dxfId="9137" priority="2446" operator="greaterThan">
      <formula>0</formula>
    </cfRule>
  </conditionalFormatting>
  <conditionalFormatting sqref="P31">
    <cfRule type="cellIs" dxfId="9136" priority="2440" operator="greaterThan">
      <formula>0</formula>
    </cfRule>
  </conditionalFormatting>
  <conditionalFormatting sqref="Q31">
    <cfRule type="cellIs" dxfId="9135" priority="2445" operator="lessThan">
      <formula>0</formula>
    </cfRule>
  </conditionalFormatting>
  <conditionalFormatting sqref="R31">
    <cfRule type="cellIs" dxfId="9134" priority="2443" operator="lessThan">
      <formula>0.8</formula>
    </cfRule>
    <cfRule type="cellIs" dxfId="9133" priority="2444" operator="greaterThan">
      <formula>1</formula>
    </cfRule>
  </conditionalFormatting>
  <conditionalFormatting sqref="R31">
    <cfRule type="cellIs" dxfId="9132" priority="2441" operator="greaterThan">
      <formula>1</formula>
    </cfRule>
    <cfRule type="cellIs" dxfId="9131" priority="2442" operator="lessThan">
      <formula>0.8</formula>
    </cfRule>
  </conditionalFormatting>
  <conditionalFormatting sqref="P31">
    <cfRule type="cellIs" dxfId="9130" priority="2434" operator="greaterThan">
      <formula>0</formula>
    </cfRule>
  </conditionalFormatting>
  <conditionalFormatting sqref="Q31">
    <cfRule type="cellIs" dxfId="9129" priority="2439" operator="lessThan">
      <formula>0</formula>
    </cfRule>
  </conditionalFormatting>
  <conditionalFormatting sqref="R31">
    <cfRule type="cellIs" dxfId="9128" priority="2437" operator="lessThan">
      <formula>0.8</formula>
    </cfRule>
    <cfRule type="cellIs" dxfId="9127" priority="2438" operator="greaterThan">
      <formula>1</formula>
    </cfRule>
  </conditionalFormatting>
  <conditionalFormatting sqref="R31">
    <cfRule type="cellIs" dxfId="9126" priority="2435" operator="greaterThan">
      <formula>1</formula>
    </cfRule>
    <cfRule type="cellIs" dxfId="9125" priority="2436" operator="lessThan">
      <formula>0.8</formula>
    </cfRule>
  </conditionalFormatting>
  <conditionalFormatting sqref="R31">
    <cfRule type="cellIs" dxfId="9124" priority="2431" operator="lessThan">
      <formula>0.8</formula>
    </cfRule>
    <cfRule type="cellIs" dxfId="9123" priority="2432" operator="greaterThan">
      <formula>1</formula>
    </cfRule>
  </conditionalFormatting>
  <conditionalFormatting sqref="R31">
    <cfRule type="cellIs" dxfId="9122" priority="2429" operator="greaterThan">
      <formula>1</formula>
    </cfRule>
    <cfRule type="cellIs" dxfId="9121" priority="2430" operator="lessThan">
      <formula>0.8</formula>
    </cfRule>
  </conditionalFormatting>
  <conditionalFormatting sqref="P31">
    <cfRule type="cellIs" dxfId="9120" priority="2428" operator="greaterThan">
      <formula>0</formula>
    </cfRule>
  </conditionalFormatting>
  <conditionalFormatting sqref="Q31">
    <cfRule type="cellIs" dxfId="9119" priority="2433" operator="lessThan">
      <formula>0</formula>
    </cfRule>
  </conditionalFormatting>
  <conditionalFormatting sqref="Q31">
    <cfRule type="cellIs" dxfId="9118" priority="2427" operator="lessThan">
      <formula>0</formula>
    </cfRule>
  </conditionalFormatting>
  <conditionalFormatting sqref="R31">
    <cfRule type="cellIs" dxfId="9117" priority="2425" operator="lessThan">
      <formula>0.8</formula>
    </cfRule>
    <cfRule type="cellIs" dxfId="9116" priority="2426" operator="greaterThan">
      <formula>1</formula>
    </cfRule>
  </conditionalFormatting>
  <conditionalFormatting sqref="R31">
    <cfRule type="cellIs" dxfId="9115" priority="2423" operator="greaterThan">
      <formula>1</formula>
    </cfRule>
    <cfRule type="cellIs" dxfId="9114" priority="2424" operator="lessThan">
      <formula>0.8</formula>
    </cfRule>
  </conditionalFormatting>
  <conditionalFormatting sqref="P31">
    <cfRule type="cellIs" dxfId="9113" priority="2422" operator="greaterThan">
      <formula>0</formula>
    </cfRule>
  </conditionalFormatting>
  <conditionalFormatting sqref="Q31">
    <cfRule type="cellIs" dxfId="9112" priority="2421" operator="lessThan">
      <formula>0</formula>
    </cfRule>
  </conditionalFormatting>
  <conditionalFormatting sqref="R31">
    <cfRule type="cellIs" dxfId="9111" priority="2419" operator="lessThan">
      <formula>0.8</formula>
    </cfRule>
    <cfRule type="cellIs" dxfId="9110" priority="2420" operator="greaterThan">
      <formula>1</formula>
    </cfRule>
  </conditionalFormatting>
  <conditionalFormatting sqref="R31">
    <cfRule type="cellIs" dxfId="9109" priority="2417" operator="greaterThan">
      <formula>1</formula>
    </cfRule>
    <cfRule type="cellIs" dxfId="9108" priority="2418" operator="lessThan">
      <formula>0.8</formula>
    </cfRule>
  </conditionalFormatting>
  <conditionalFormatting sqref="P31">
    <cfRule type="cellIs" dxfId="9107" priority="2416" operator="greaterThan">
      <formula>0</formula>
    </cfRule>
  </conditionalFormatting>
  <conditionalFormatting sqref="Q31">
    <cfRule type="cellIs" dxfId="9106" priority="2415" operator="lessThan">
      <formula>0</formula>
    </cfRule>
  </conditionalFormatting>
  <conditionalFormatting sqref="R31">
    <cfRule type="cellIs" dxfId="9105" priority="2413" operator="lessThan">
      <formula>0.8</formula>
    </cfRule>
    <cfRule type="cellIs" dxfId="9104" priority="2414" operator="greaterThan">
      <formula>1</formula>
    </cfRule>
  </conditionalFormatting>
  <conditionalFormatting sqref="R31">
    <cfRule type="cellIs" dxfId="9103" priority="2411" operator="greaterThan">
      <formula>1</formula>
    </cfRule>
    <cfRule type="cellIs" dxfId="9102" priority="2412" operator="lessThan">
      <formula>0.8</formula>
    </cfRule>
  </conditionalFormatting>
  <conditionalFormatting sqref="P31">
    <cfRule type="cellIs" dxfId="9101" priority="2410" operator="greaterThan">
      <formula>0</formula>
    </cfRule>
  </conditionalFormatting>
  <conditionalFormatting sqref="Q31">
    <cfRule type="cellIs" dxfId="9100" priority="2409" operator="lessThan">
      <formula>0</formula>
    </cfRule>
  </conditionalFormatting>
  <conditionalFormatting sqref="R31">
    <cfRule type="cellIs" dxfId="9099" priority="2407" operator="lessThan">
      <formula>0.8</formula>
    </cfRule>
    <cfRule type="cellIs" dxfId="9098" priority="2408" operator="greaterThan">
      <formula>1</formula>
    </cfRule>
  </conditionalFormatting>
  <conditionalFormatting sqref="R31">
    <cfRule type="cellIs" dxfId="9097" priority="2405" operator="greaterThan">
      <formula>1</formula>
    </cfRule>
    <cfRule type="cellIs" dxfId="9096" priority="2406" operator="lessThan">
      <formula>0.8</formula>
    </cfRule>
  </conditionalFormatting>
  <conditionalFormatting sqref="P31">
    <cfRule type="cellIs" dxfId="9095" priority="2404" operator="greaterThan">
      <formula>0</formula>
    </cfRule>
  </conditionalFormatting>
  <conditionalFormatting sqref="P31">
    <cfRule type="cellIs" dxfId="9094" priority="2398" operator="greaterThan">
      <formula>0</formula>
    </cfRule>
  </conditionalFormatting>
  <conditionalFormatting sqref="Q31">
    <cfRule type="cellIs" dxfId="9093" priority="2403" operator="lessThan">
      <formula>0</formula>
    </cfRule>
  </conditionalFormatting>
  <conditionalFormatting sqref="R31">
    <cfRule type="cellIs" dxfId="9092" priority="2401" operator="lessThan">
      <formula>0.8</formula>
    </cfRule>
    <cfRule type="cellIs" dxfId="9091" priority="2402" operator="greaterThan">
      <formula>1</formula>
    </cfRule>
  </conditionalFormatting>
  <conditionalFormatting sqref="R31">
    <cfRule type="cellIs" dxfId="9090" priority="2399" operator="greaterThan">
      <formula>1</formula>
    </cfRule>
    <cfRule type="cellIs" dxfId="9089" priority="2400" operator="lessThan">
      <formula>0.8</formula>
    </cfRule>
  </conditionalFormatting>
  <conditionalFormatting sqref="P31">
    <cfRule type="cellIs" dxfId="9088" priority="2392" operator="greaterThan">
      <formula>0</formula>
    </cfRule>
  </conditionalFormatting>
  <conditionalFormatting sqref="Q31">
    <cfRule type="cellIs" dxfId="9087" priority="2397" operator="lessThan">
      <formula>0</formula>
    </cfRule>
  </conditionalFormatting>
  <conditionalFormatting sqref="R31">
    <cfRule type="cellIs" dxfId="9086" priority="2395" operator="lessThan">
      <formula>0.8</formula>
    </cfRule>
    <cfRule type="cellIs" dxfId="9085" priority="2396" operator="greaterThan">
      <formula>1</formula>
    </cfRule>
  </conditionalFormatting>
  <conditionalFormatting sqref="R31">
    <cfRule type="cellIs" dxfId="9084" priority="2393" operator="greaterThan">
      <formula>1</formula>
    </cfRule>
    <cfRule type="cellIs" dxfId="9083" priority="2394" operator="lessThan">
      <formula>0.8</formula>
    </cfRule>
  </conditionalFormatting>
  <conditionalFormatting sqref="R31">
    <cfRule type="cellIs" dxfId="9082" priority="2389" operator="lessThan">
      <formula>0.8</formula>
    </cfRule>
    <cfRule type="cellIs" dxfId="9081" priority="2390" operator="greaterThan">
      <formula>1</formula>
    </cfRule>
  </conditionalFormatting>
  <conditionalFormatting sqref="R31">
    <cfRule type="cellIs" dxfId="9080" priority="2387" operator="greaterThan">
      <formula>1</formula>
    </cfRule>
    <cfRule type="cellIs" dxfId="9079" priority="2388" operator="lessThan">
      <formula>0.8</formula>
    </cfRule>
  </conditionalFormatting>
  <conditionalFormatting sqref="P31">
    <cfRule type="cellIs" dxfId="9078" priority="2386" operator="greaterThan">
      <formula>0</formula>
    </cfRule>
  </conditionalFormatting>
  <conditionalFormatting sqref="Q31">
    <cfRule type="cellIs" dxfId="9077" priority="2391" operator="lessThan">
      <formula>0</formula>
    </cfRule>
  </conditionalFormatting>
  <conditionalFormatting sqref="Q31">
    <cfRule type="cellIs" dxfId="9076" priority="2385" operator="lessThan">
      <formula>0</formula>
    </cfRule>
  </conditionalFormatting>
  <conditionalFormatting sqref="R31">
    <cfRule type="cellIs" dxfId="9075" priority="2383" operator="lessThan">
      <formula>0.8</formula>
    </cfRule>
    <cfRule type="cellIs" dxfId="9074" priority="2384" operator="greaterThan">
      <formula>1</formula>
    </cfRule>
  </conditionalFormatting>
  <conditionalFormatting sqref="R31">
    <cfRule type="cellIs" dxfId="9073" priority="2381" operator="greaterThan">
      <formula>1</formula>
    </cfRule>
    <cfRule type="cellIs" dxfId="9072" priority="2382" operator="lessThan">
      <formula>0.8</formula>
    </cfRule>
  </conditionalFormatting>
  <conditionalFormatting sqref="P31">
    <cfRule type="cellIs" dxfId="9071" priority="2380" operator="greaterThan">
      <formula>0</formula>
    </cfRule>
  </conditionalFormatting>
  <conditionalFormatting sqref="P31">
    <cfRule type="cellIs" dxfId="9070" priority="2374" operator="greaterThan">
      <formula>0</formula>
    </cfRule>
  </conditionalFormatting>
  <conditionalFormatting sqref="Q31">
    <cfRule type="cellIs" dxfId="9069" priority="2379" operator="lessThan">
      <formula>0</formula>
    </cfRule>
  </conditionalFormatting>
  <conditionalFormatting sqref="R31">
    <cfRule type="cellIs" dxfId="9068" priority="2377" operator="lessThan">
      <formula>0.8</formula>
    </cfRule>
    <cfRule type="cellIs" dxfId="9067" priority="2378" operator="greaterThan">
      <formula>1</formula>
    </cfRule>
  </conditionalFormatting>
  <conditionalFormatting sqref="R31">
    <cfRule type="cellIs" dxfId="9066" priority="2375" operator="greaterThan">
      <formula>1</formula>
    </cfRule>
    <cfRule type="cellIs" dxfId="9065" priority="2376" operator="lessThan">
      <formula>0.8</formula>
    </cfRule>
  </conditionalFormatting>
  <conditionalFormatting sqref="P31">
    <cfRule type="cellIs" dxfId="9064" priority="2368" operator="greaterThan">
      <formula>0</formula>
    </cfRule>
  </conditionalFormatting>
  <conditionalFormatting sqref="Q31">
    <cfRule type="cellIs" dxfId="9063" priority="2373" operator="lessThan">
      <formula>0</formula>
    </cfRule>
  </conditionalFormatting>
  <conditionalFormatting sqref="R31">
    <cfRule type="cellIs" dxfId="9062" priority="2371" operator="lessThan">
      <formula>0.8</formula>
    </cfRule>
    <cfRule type="cellIs" dxfId="9061" priority="2372" operator="greaterThan">
      <formula>1</formula>
    </cfRule>
  </conditionalFormatting>
  <conditionalFormatting sqref="R31">
    <cfRule type="cellIs" dxfId="9060" priority="2369" operator="greaterThan">
      <formula>1</formula>
    </cfRule>
    <cfRule type="cellIs" dxfId="9059" priority="2370" operator="lessThan">
      <formula>0.8</formula>
    </cfRule>
  </conditionalFormatting>
  <conditionalFormatting sqref="R31">
    <cfRule type="cellIs" dxfId="9058" priority="2365" operator="lessThan">
      <formula>0.8</formula>
    </cfRule>
    <cfRule type="cellIs" dxfId="9057" priority="2366" operator="greaterThan">
      <formula>1</formula>
    </cfRule>
  </conditionalFormatting>
  <conditionalFormatting sqref="R31">
    <cfRule type="cellIs" dxfId="9056" priority="2363" operator="greaterThan">
      <formula>1</formula>
    </cfRule>
    <cfRule type="cellIs" dxfId="9055" priority="2364" operator="lessThan">
      <formula>0.8</formula>
    </cfRule>
  </conditionalFormatting>
  <conditionalFormatting sqref="P31">
    <cfRule type="cellIs" dxfId="9054" priority="2362" operator="greaterThan">
      <formula>0</formula>
    </cfRule>
  </conditionalFormatting>
  <conditionalFormatting sqref="Q31">
    <cfRule type="cellIs" dxfId="9053" priority="2367" operator="lessThan">
      <formula>0</formula>
    </cfRule>
  </conditionalFormatting>
  <conditionalFormatting sqref="P31">
    <cfRule type="cellIs" dxfId="9052" priority="2356" operator="greaterThan">
      <formula>0</formula>
    </cfRule>
  </conditionalFormatting>
  <conditionalFormatting sqref="Q31">
    <cfRule type="cellIs" dxfId="9051" priority="2361" operator="lessThan">
      <formula>0</formula>
    </cfRule>
  </conditionalFormatting>
  <conditionalFormatting sqref="R31">
    <cfRule type="cellIs" dxfId="9050" priority="2359" operator="lessThan">
      <formula>0.8</formula>
    </cfRule>
    <cfRule type="cellIs" dxfId="9049" priority="2360" operator="greaterThan">
      <formula>1</formula>
    </cfRule>
  </conditionalFormatting>
  <conditionalFormatting sqref="R31">
    <cfRule type="cellIs" dxfId="9048" priority="2357" operator="greaterThan">
      <formula>1</formula>
    </cfRule>
    <cfRule type="cellIs" dxfId="9047" priority="2358" operator="lessThan">
      <formula>0.8</formula>
    </cfRule>
  </conditionalFormatting>
  <conditionalFormatting sqref="R31">
    <cfRule type="cellIs" dxfId="9046" priority="2353" operator="lessThan">
      <formula>0.8</formula>
    </cfRule>
    <cfRule type="cellIs" dxfId="9045" priority="2354" operator="greaterThan">
      <formula>1</formula>
    </cfRule>
  </conditionalFormatting>
  <conditionalFormatting sqref="R31">
    <cfRule type="cellIs" dxfId="9044" priority="2351" operator="greaterThan">
      <formula>1</formula>
    </cfRule>
    <cfRule type="cellIs" dxfId="9043" priority="2352" operator="lessThan">
      <formula>0.8</formula>
    </cfRule>
  </conditionalFormatting>
  <conditionalFormatting sqref="P31">
    <cfRule type="cellIs" dxfId="9042" priority="2350" operator="greaterThan">
      <formula>0</formula>
    </cfRule>
  </conditionalFormatting>
  <conditionalFormatting sqref="Q31">
    <cfRule type="cellIs" dxfId="9041" priority="2355" operator="lessThan">
      <formula>0</formula>
    </cfRule>
  </conditionalFormatting>
  <conditionalFormatting sqref="R31">
    <cfRule type="cellIs" dxfId="9040" priority="2347" operator="lessThan">
      <formula>0.8</formula>
    </cfRule>
    <cfRule type="cellIs" dxfId="9039" priority="2348" operator="greaterThan">
      <formula>1</formula>
    </cfRule>
  </conditionalFormatting>
  <conditionalFormatting sqref="R31">
    <cfRule type="cellIs" dxfId="9038" priority="2345" operator="greaterThan">
      <formula>1</formula>
    </cfRule>
    <cfRule type="cellIs" dxfId="9037" priority="2346" operator="lessThan">
      <formula>0.8</formula>
    </cfRule>
  </conditionalFormatting>
  <conditionalFormatting sqref="P31">
    <cfRule type="cellIs" dxfId="9036" priority="2344" operator="greaterThan">
      <formula>0</formula>
    </cfRule>
  </conditionalFormatting>
  <conditionalFormatting sqref="Q31">
    <cfRule type="cellIs" dxfId="9035" priority="2349" operator="lessThan">
      <formula>0</formula>
    </cfRule>
  </conditionalFormatting>
  <conditionalFormatting sqref="Q31">
    <cfRule type="cellIs" dxfId="9034" priority="2343" operator="lessThan">
      <formula>0</formula>
    </cfRule>
  </conditionalFormatting>
  <conditionalFormatting sqref="R31">
    <cfRule type="cellIs" dxfId="9033" priority="2341" operator="lessThan">
      <formula>0.8</formula>
    </cfRule>
    <cfRule type="cellIs" dxfId="9032" priority="2342" operator="greaterThan">
      <formula>1</formula>
    </cfRule>
  </conditionalFormatting>
  <conditionalFormatting sqref="R31">
    <cfRule type="cellIs" dxfId="9031" priority="2339" operator="greaterThan">
      <formula>1</formula>
    </cfRule>
    <cfRule type="cellIs" dxfId="9030" priority="2340" operator="lessThan">
      <formula>0.8</formula>
    </cfRule>
  </conditionalFormatting>
  <conditionalFormatting sqref="P31">
    <cfRule type="cellIs" dxfId="9029" priority="2338" operator="greaterThan">
      <formula>0</formula>
    </cfRule>
  </conditionalFormatting>
  <conditionalFormatting sqref="Q31">
    <cfRule type="cellIs" dxfId="9028" priority="2332" operator="lessThan">
      <formula>0</formula>
    </cfRule>
  </conditionalFormatting>
  <conditionalFormatting sqref="R31">
    <cfRule type="cellIs" dxfId="9027" priority="2336" operator="lessThan">
      <formula>0.8</formula>
    </cfRule>
    <cfRule type="cellIs" dxfId="9026" priority="2337" operator="greaterThan">
      <formula>1</formula>
    </cfRule>
  </conditionalFormatting>
  <conditionalFormatting sqref="R31">
    <cfRule type="cellIs" dxfId="9025" priority="2334" operator="greaterThan">
      <formula>1</formula>
    </cfRule>
    <cfRule type="cellIs" dxfId="9024" priority="2335" operator="lessThan">
      <formula>0.8</formula>
    </cfRule>
  </conditionalFormatting>
  <conditionalFormatting sqref="P31">
    <cfRule type="cellIs" dxfId="9023" priority="2333" operator="greaterThan">
      <formula>0</formula>
    </cfRule>
  </conditionalFormatting>
  <conditionalFormatting sqref="Q31">
    <cfRule type="cellIs" dxfId="9022" priority="2331" operator="lessThan">
      <formula>0</formula>
    </cfRule>
  </conditionalFormatting>
  <conditionalFormatting sqref="R31">
    <cfRule type="cellIs" dxfId="9021" priority="2329" operator="lessThan">
      <formula>0.8</formula>
    </cfRule>
    <cfRule type="cellIs" dxfId="9020" priority="2330" operator="greaterThan">
      <formula>1</formula>
    </cfRule>
  </conditionalFormatting>
  <conditionalFormatting sqref="R31">
    <cfRule type="cellIs" dxfId="9019" priority="2327" operator="greaterThan">
      <formula>1</formula>
    </cfRule>
    <cfRule type="cellIs" dxfId="9018" priority="2328" operator="lessThan">
      <formula>0.8</formula>
    </cfRule>
  </conditionalFormatting>
  <conditionalFormatting sqref="P31">
    <cfRule type="cellIs" dxfId="9017" priority="2326" operator="greaterThan">
      <formula>0</formula>
    </cfRule>
  </conditionalFormatting>
  <conditionalFormatting sqref="Q31">
    <cfRule type="cellIs" dxfId="9016" priority="2325" operator="lessThan">
      <formula>0</formula>
    </cfRule>
  </conditionalFormatting>
  <conditionalFormatting sqref="R31">
    <cfRule type="cellIs" dxfId="9015" priority="2323" operator="lessThan">
      <formula>0.8</formula>
    </cfRule>
    <cfRule type="cellIs" dxfId="9014" priority="2324" operator="greaterThan">
      <formula>1</formula>
    </cfRule>
  </conditionalFormatting>
  <conditionalFormatting sqref="R31">
    <cfRule type="cellIs" dxfId="9013" priority="2321" operator="greaterThan">
      <formula>1</formula>
    </cfRule>
    <cfRule type="cellIs" dxfId="9012" priority="2322" operator="lessThan">
      <formula>0.8</formula>
    </cfRule>
  </conditionalFormatting>
  <conditionalFormatting sqref="P31">
    <cfRule type="cellIs" dxfId="9011" priority="2320" operator="greaterThan">
      <formula>0</formula>
    </cfRule>
  </conditionalFormatting>
  <conditionalFormatting sqref="Q31">
    <cfRule type="cellIs" dxfId="9010" priority="2319" operator="lessThan">
      <formula>0</formula>
    </cfRule>
  </conditionalFormatting>
  <conditionalFormatting sqref="R31">
    <cfRule type="cellIs" dxfId="9009" priority="2317" operator="lessThan">
      <formula>0.8</formula>
    </cfRule>
    <cfRule type="cellIs" dxfId="9008" priority="2318" operator="greaterThan">
      <formula>1</formula>
    </cfRule>
  </conditionalFormatting>
  <conditionalFormatting sqref="R31">
    <cfRule type="cellIs" dxfId="9007" priority="2315" operator="greaterThan">
      <formula>1</formula>
    </cfRule>
    <cfRule type="cellIs" dxfId="9006" priority="2316" operator="lessThan">
      <formula>0.8</formula>
    </cfRule>
  </conditionalFormatting>
  <conditionalFormatting sqref="P31">
    <cfRule type="cellIs" dxfId="9005" priority="2314" operator="greaterThan">
      <formula>0</formula>
    </cfRule>
  </conditionalFormatting>
  <conditionalFormatting sqref="Q31">
    <cfRule type="cellIs" dxfId="9004" priority="2313" operator="lessThan">
      <formula>0</formula>
    </cfRule>
  </conditionalFormatting>
  <conditionalFormatting sqref="R31">
    <cfRule type="cellIs" dxfId="9003" priority="2311" operator="lessThan">
      <formula>0.8</formula>
    </cfRule>
    <cfRule type="cellIs" dxfId="9002" priority="2312" operator="greaterThan">
      <formula>1</formula>
    </cfRule>
  </conditionalFormatting>
  <conditionalFormatting sqref="R31">
    <cfRule type="cellIs" dxfId="9001" priority="2309" operator="greaterThan">
      <formula>1</formula>
    </cfRule>
    <cfRule type="cellIs" dxfId="9000" priority="2310" operator="lessThan">
      <formula>0.8</formula>
    </cfRule>
  </conditionalFormatting>
  <conditionalFormatting sqref="P31">
    <cfRule type="cellIs" dxfId="8999" priority="2308" operator="greaterThan">
      <formula>0</formula>
    </cfRule>
  </conditionalFormatting>
  <conditionalFormatting sqref="Q31">
    <cfRule type="cellIs" dxfId="8998" priority="2307" operator="lessThan">
      <formula>0</formula>
    </cfRule>
  </conditionalFormatting>
  <conditionalFormatting sqref="R31">
    <cfRule type="cellIs" dxfId="8997" priority="2305" operator="lessThan">
      <formula>0.8</formula>
    </cfRule>
    <cfRule type="cellIs" dxfId="8996" priority="2306" operator="greaterThan">
      <formula>1</formula>
    </cfRule>
  </conditionalFormatting>
  <conditionalFormatting sqref="R31">
    <cfRule type="cellIs" dxfId="8995" priority="2303" operator="greaterThan">
      <formula>1</formula>
    </cfRule>
    <cfRule type="cellIs" dxfId="8994" priority="2304" operator="lessThan">
      <formula>0.8</formula>
    </cfRule>
  </conditionalFormatting>
  <conditionalFormatting sqref="P31">
    <cfRule type="cellIs" dxfId="8993" priority="2302" operator="greaterThan">
      <formula>0</formula>
    </cfRule>
  </conditionalFormatting>
  <conditionalFormatting sqref="P31">
    <cfRule type="cellIs" dxfId="8992" priority="2296" operator="greaterThan">
      <formula>0</formula>
    </cfRule>
  </conditionalFormatting>
  <conditionalFormatting sqref="Q31">
    <cfRule type="cellIs" dxfId="8991" priority="2301" operator="lessThan">
      <formula>0</formula>
    </cfRule>
  </conditionalFormatting>
  <conditionalFormatting sqref="R31">
    <cfRule type="cellIs" dxfId="8990" priority="2299" operator="lessThan">
      <formula>0.8</formula>
    </cfRule>
    <cfRule type="cellIs" dxfId="8989" priority="2300" operator="greaterThan">
      <formula>1</formula>
    </cfRule>
  </conditionalFormatting>
  <conditionalFormatting sqref="R31">
    <cfRule type="cellIs" dxfId="8988" priority="2297" operator="greaterThan">
      <formula>1</formula>
    </cfRule>
    <cfRule type="cellIs" dxfId="8987" priority="2298" operator="lessThan">
      <formula>0.8</formula>
    </cfRule>
  </conditionalFormatting>
  <conditionalFormatting sqref="P31">
    <cfRule type="cellIs" dxfId="8986" priority="2290" operator="greaterThan">
      <formula>0</formula>
    </cfRule>
  </conditionalFormatting>
  <conditionalFormatting sqref="Q31">
    <cfRule type="cellIs" dxfId="8985" priority="2295" operator="lessThan">
      <formula>0</formula>
    </cfRule>
  </conditionalFormatting>
  <conditionalFormatting sqref="R31">
    <cfRule type="cellIs" dxfId="8984" priority="2293" operator="lessThan">
      <formula>0.8</formula>
    </cfRule>
    <cfRule type="cellIs" dxfId="8983" priority="2294" operator="greaterThan">
      <formula>1</formula>
    </cfRule>
  </conditionalFormatting>
  <conditionalFormatting sqref="R31">
    <cfRule type="cellIs" dxfId="8982" priority="2291" operator="greaterThan">
      <formula>1</formula>
    </cfRule>
    <cfRule type="cellIs" dxfId="8981" priority="2292" operator="lessThan">
      <formula>0.8</formula>
    </cfRule>
  </conditionalFormatting>
  <conditionalFormatting sqref="R31">
    <cfRule type="cellIs" dxfId="8980" priority="2287" operator="lessThan">
      <formula>0.8</formula>
    </cfRule>
    <cfRule type="cellIs" dxfId="8979" priority="2288" operator="greaterThan">
      <formula>1</formula>
    </cfRule>
  </conditionalFormatting>
  <conditionalFormatting sqref="R31">
    <cfRule type="cellIs" dxfId="8978" priority="2285" operator="greaterThan">
      <formula>1</formula>
    </cfRule>
    <cfRule type="cellIs" dxfId="8977" priority="2286" operator="lessThan">
      <formula>0.8</formula>
    </cfRule>
  </conditionalFormatting>
  <conditionalFormatting sqref="P31">
    <cfRule type="cellIs" dxfId="8976" priority="2284" operator="greaterThan">
      <formula>0</formula>
    </cfRule>
  </conditionalFormatting>
  <conditionalFormatting sqref="Q31">
    <cfRule type="cellIs" dxfId="8975" priority="2289" operator="lessThan">
      <formula>0</formula>
    </cfRule>
  </conditionalFormatting>
  <conditionalFormatting sqref="P79">
    <cfRule type="cellIs" dxfId="8974" priority="2278" operator="greaterThan">
      <formula>0</formula>
    </cfRule>
  </conditionalFormatting>
  <conditionalFormatting sqref="Q79">
    <cfRule type="cellIs" dxfId="8973" priority="2283" operator="lessThan">
      <formula>0</formula>
    </cfRule>
  </conditionalFormatting>
  <conditionalFormatting sqref="R79">
    <cfRule type="cellIs" dxfId="8972" priority="2281" operator="lessThan">
      <formula>0.8</formula>
    </cfRule>
    <cfRule type="cellIs" dxfId="8971" priority="2282" operator="greaterThan">
      <formula>1</formula>
    </cfRule>
  </conditionalFormatting>
  <conditionalFormatting sqref="R79">
    <cfRule type="cellIs" dxfId="8970" priority="2279" operator="greaterThan">
      <formula>1</formula>
    </cfRule>
    <cfRule type="cellIs" dxfId="8969" priority="2280" operator="lessThan">
      <formula>0.8</formula>
    </cfRule>
  </conditionalFormatting>
  <conditionalFormatting sqref="Q79">
    <cfRule type="cellIs" dxfId="8968" priority="2277" operator="lessThan">
      <formula>0</formula>
    </cfRule>
  </conditionalFormatting>
  <conditionalFormatting sqref="R79">
    <cfRule type="cellIs" dxfId="8967" priority="2275" operator="lessThan">
      <formula>0.8</formula>
    </cfRule>
    <cfRule type="cellIs" dxfId="8966" priority="2276" operator="greaterThan">
      <formula>1</formula>
    </cfRule>
  </conditionalFormatting>
  <conditionalFormatting sqref="R79">
    <cfRule type="cellIs" dxfId="8965" priority="2273" operator="greaterThan">
      <formula>1</formula>
    </cfRule>
    <cfRule type="cellIs" dxfId="8964" priority="2274" operator="lessThan">
      <formula>0.8</formula>
    </cfRule>
  </conditionalFormatting>
  <conditionalFormatting sqref="P79">
    <cfRule type="cellIs" dxfId="8963" priority="2272" operator="greaterThan">
      <formula>0</formula>
    </cfRule>
  </conditionalFormatting>
  <conditionalFormatting sqref="P79">
    <cfRule type="cellIs" dxfId="8962" priority="2266" operator="greaterThan">
      <formula>0</formula>
    </cfRule>
  </conditionalFormatting>
  <conditionalFormatting sqref="Q79">
    <cfRule type="cellIs" dxfId="8961" priority="2271" operator="lessThan">
      <formula>0</formula>
    </cfRule>
  </conditionalFormatting>
  <conditionalFormatting sqref="R79">
    <cfRule type="cellIs" dxfId="8960" priority="2269" operator="lessThan">
      <formula>0.8</formula>
    </cfRule>
    <cfRule type="cellIs" dxfId="8959" priority="2270" operator="greaterThan">
      <formula>1</formula>
    </cfRule>
  </conditionalFormatting>
  <conditionalFormatting sqref="R79">
    <cfRule type="cellIs" dxfId="8958" priority="2267" operator="greaterThan">
      <formula>1</formula>
    </cfRule>
    <cfRule type="cellIs" dxfId="8957" priority="2268" operator="lessThan">
      <formula>0.8</formula>
    </cfRule>
  </conditionalFormatting>
  <conditionalFormatting sqref="Q79">
    <cfRule type="cellIs" dxfId="8956" priority="2260" operator="lessThan">
      <formula>0</formula>
    </cfRule>
  </conditionalFormatting>
  <conditionalFormatting sqref="P79">
    <cfRule type="cellIs" dxfId="8955" priority="2261" operator="greaterThan">
      <formula>0</formula>
    </cfRule>
  </conditionalFormatting>
  <conditionalFormatting sqref="R79">
    <cfRule type="cellIs" dxfId="8954" priority="2264" operator="lessThan">
      <formula>0.8</formula>
    </cfRule>
    <cfRule type="cellIs" dxfId="8953" priority="2265" operator="greaterThan">
      <formula>1</formula>
    </cfRule>
  </conditionalFormatting>
  <conditionalFormatting sqref="R79">
    <cfRule type="cellIs" dxfId="8952" priority="2262" operator="greaterThan">
      <formula>1</formula>
    </cfRule>
    <cfRule type="cellIs" dxfId="8951" priority="2263" operator="lessThan">
      <formula>0.8</formula>
    </cfRule>
  </conditionalFormatting>
  <conditionalFormatting sqref="Q79">
    <cfRule type="cellIs" dxfId="8950" priority="2254" operator="lessThan">
      <formula>0</formula>
    </cfRule>
  </conditionalFormatting>
  <conditionalFormatting sqref="R79">
    <cfRule type="cellIs" dxfId="8949" priority="2258" operator="lessThan">
      <formula>0.8</formula>
    </cfRule>
    <cfRule type="cellIs" dxfId="8948" priority="2259" operator="greaterThan">
      <formula>1</formula>
    </cfRule>
  </conditionalFormatting>
  <conditionalFormatting sqref="R79">
    <cfRule type="cellIs" dxfId="8947" priority="2256" operator="greaterThan">
      <formula>1</formula>
    </cfRule>
    <cfRule type="cellIs" dxfId="8946" priority="2257" operator="lessThan">
      <formula>0.8</formula>
    </cfRule>
  </conditionalFormatting>
  <conditionalFormatting sqref="P79">
    <cfRule type="cellIs" dxfId="8945" priority="2255" operator="greaterThan">
      <formula>0</formula>
    </cfRule>
  </conditionalFormatting>
  <conditionalFormatting sqref="Q79">
    <cfRule type="cellIs" dxfId="8944" priority="2253" operator="lessThan">
      <formula>0</formula>
    </cfRule>
  </conditionalFormatting>
  <conditionalFormatting sqref="R79">
    <cfRule type="cellIs" dxfId="8943" priority="2251" operator="lessThan">
      <formula>0.8</formula>
    </cfRule>
    <cfRule type="cellIs" dxfId="8942" priority="2252" operator="greaterThan">
      <formula>1</formula>
    </cfRule>
  </conditionalFormatting>
  <conditionalFormatting sqref="R79">
    <cfRule type="cellIs" dxfId="8941" priority="2249" operator="greaterThan">
      <formula>1</formula>
    </cfRule>
    <cfRule type="cellIs" dxfId="8940" priority="2250" operator="lessThan">
      <formula>0.8</formula>
    </cfRule>
  </conditionalFormatting>
  <conditionalFormatting sqref="P79">
    <cfRule type="cellIs" dxfId="8939" priority="2248" operator="greaterThan">
      <formula>0</formula>
    </cfRule>
  </conditionalFormatting>
  <conditionalFormatting sqref="Q79">
    <cfRule type="cellIs" dxfId="8938" priority="2247" operator="lessThan">
      <formula>0</formula>
    </cfRule>
  </conditionalFormatting>
  <conditionalFormatting sqref="R79">
    <cfRule type="cellIs" dxfId="8937" priority="2245" operator="lessThan">
      <formula>0.8</formula>
    </cfRule>
    <cfRule type="cellIs" dxfId="8936" priority="2246" operator="greaterThan">
      <formula>1</formula>
    </cfRule>
  </conditionalFormatting>
  <conditionalFormatting sqref="R79">
    <cfRule type="cellIs" dxfId="8935" priority="2243" operator="greaterThan">
      <formula>1</formula>
    </cfRule>
    <cfRule type="cellIs" dxfId="8934" priority="2244" operator="lessThan">
      <formula>0.8</formula>
    </cfRule>
  </conditionalFormatting>
  <conditionalFormatting sqref="P79">
    <cfRule type="cellIs" dxfId="8933" priority="2242" operator="greaterThan">
      <formula>0</formula>
    </cfRule>
  </conditionalFormatting>
  <conditionalFormatting sqref="P79">
    <cfRule type="cellIs" dxfId="8932" priority="2236" operator="greaterThan">
      <formula>0</formula>
    </cfRule>
  </conditionalFormatting>
  <conditionalFormatting sqref="Q79">
    <cfRule type="cellIs" dxfId="8931" priority="2241" operator="lessThan">
      <formula>0</formula>
    </cfRule>
  </conditionalFormatting>
  <conditionalFormatting sqref="R79">
    <cfRule type="cellIs" dxfId="8930" priority="2239" operator="lessThan">
      <formula>0.8</formula>
    </cfRule>
    <cfRule type="cellIs" dxfId="8929" priority="2240" operator="greaterThan">
      <formula>1</formula>
    </cfRule>
  </conditionalFormatting>
  <conditionalFormatting sqref="R79">
    <cfRule type="cellIs" dxfId="8928" priority="2237" operator="greaterThan">
      <formula>1</formula>
    </cfRule>
    <cfRule type="cellIs" dxfId="8927" priority="2238" operator="lessThan">
      <formula>0.8</formula>
    </cfRule>
  </conditionalFormatting>
  <conditionalFormatting sqref="P71:P78">
    <cfRule type="cellIs" dxfId="8926" priority="2230" operator="greaterThan">
      <formula>0</formula>
    </cfRule>
  </conditionalFormatting>
  <conditionalFormatting sqref="Q71:Q78">
    <cfRule type="cellIs" dxfId="8925" priority="2235" operator="lessThan">
      <formula>0</formula>
    </cfRule>
  </conditionalFormatting>
  <conditionalFormatting sqref="R71:R78">
    <cfRule type="cellIs" dxfId="8924" priority="2233" operator="lessThan">
      <formula>0.8</formula>
    </cfRule>
    <cfRule type="cellIs" dxfId="8923" priority="2234" operator="greaterThan">
      <formula>1</formula>
    </cfRule>
  </conditionalFormatting>
  <conditionalFormatting sqref="R71:R78">
    <cfRule type="cellIs" dxfId="8922" priority="2231" operator="greaterThan">
      <formula>1</formula>
    </cfRule>
    <cfRule type="cellIs" dxfId="8921" priority="2232" operator="lessThan">
      <formula>0.8</formula>
    </cfRule>
  </conditionalFormatting>
  <conditionalFormatting sqref="Q148:Q153">
    <cfRule type="cellIs" dxfId="8920" priority="2229" operator="lessThan">
      <formula>0</formula>
    </cfRule>
  </conditionalFormatting>
  <conditionalFormatting sqref="R148:R153">
    <cfRule type="cellIs" dxfId="8919" priority="2227" operator="lessThan">
      <formula>0.8</formula>
    </cfRule>
    <cfRule type="cellIs" dxfId="8918" priority="2228" operator="greaterThan">
      <formula>1</formula>
    </cfRule>
  </conditionalFormatting>
  <conditionalFormatting sqref="R148:R153">
    <cfRule type="cellIs" dxfId="8917" priority="2225" operator="greaterThan">
      <formula>1</formula>
    </cfRule>
    <cfRule type="cellIs" dxfId="8916" priority="2226" operator="lessThan">
      <formula>0.8</formula>
    </cfRule>
  </conditionalFormatting>
  <conditionalFormatting sqref="P148:P153">
    <cfRule type="cellIs" dxfId="8915" priority="2224" operator="greaterThan">
      <formula>0</formula>
    </cfRule>
  </conditionalFormatting>
  <conditionalFormatting sqref="Q148:Q153">
    <cfRule type="cellIs" dxfId="8914" priority="2223" operator="lessThan">
      <formula>0</formula>
    </cfRule>
  </conditionalFormatting>
  <conditionalFormatting sqref="R148:R153">
    <cfRule type="cellIs" dxfId="8913" priority="2221" operator="lessThan">
      <formula>0.8</formula>
    </cfRule>
    <cfRule type="cellIs" dxfId="8912" priority="2222" operator="greaterThan">
      <formula>1</formula>
    </cfRule>
  </conditionalFormatting>
  <conditionalFormatting sqref="R148:R153">
    <cfRule type="cellIs" dxfId="8911" priority="2219" operator="greaterThan">
      <formula>1</formula>
    </cfRule>
    <cfRule type="cellIs" dxfId="8910" priority="2220" operator="lessThan">
      <formula>0.8</formula>
    </cfRule>
  </conditionalFormatting>
  <conditionalFormatting sqref="P148:P153">
    <cfRule type="cellIs" dxfId="8909" priority="2218" operator="greaterThan">
      <formula>0</formula>
    </cfRule>
  </conditionalFormatting>
  <conditionalFormatting sqref="Q148:Q153">
    <cfRule type="cellIs" dxfId="8908" priority="2217" operator="lessThan">
      <formula>0</formula>
    </cfRule>
  </conditionalFormatting>
  <conditionalFormatting sqref="R148:R153">
    <cfRule type="cellIs" dxfId="8907" priority="2215" operator="lessThan">
      <formula>0.8</formula>
    </cfRule>
    <cfRule type="cellIs" dxfId="8906" priority="2216" operator="greaterThan">
      <formula>1</formula>
    </cfRule>
  </conditionalFormatting>
  <conditionalFormatting sqref="R148:R153">
    <cfRule type="cellIs" dxfId="8905" priority="2213" operator="greaterThan">
      <formula>1</formula>
    </cfRule>
    <cfRule type="cellIs" dxfId="8904" priority="2214" operator="lessThan">
      <formula>0.8</formula>
    </cfRule>
  </conditionalFormatting>
  <conditionalFormatting sqref="P148:P153">
    <cfRule type="cellIs" dxfId="8903" priority="2212" operator="greaterThan">
      <formula>0</formula>
    </cfRule>
  </conditionalFormatting>
  <conditionalFormatting sqref="Q148:Q153">
    <cfRule type="cellIs" dxfId="8902" priority="2211" operator="lessThan">
      <formula>0</formula>
    </cfRule>
  </conditionalFormatting>
  <conditionalFormatting sqref="R148:R153">
    <cfRule type="cellIs" dxfId="8901" priority="2209" operator="lessThan">
      <formula>0.8</formula>
    </cfRule>
    <cfRule type="cellIs" dxfId="8900" priority="2210" operator="greaterThan">
      <formula>1</formula>
    </cfRule>
  </conditionalFormatting>
  <conditionalFormatting sqref="R148:R153">
    <cfRule type="cellIs" dxfId="8899" priority="2207" operator="greaterThan">
      <formula>1</formula>
    </cfRule>
    <cfRule type="cellIs" dxfId="8898" priority="2208" operator="lessThan">
      <formula>0.8</formula>
    </cfRule>
  </conditionalFormatting>
  <conditionalFormatting sqref="P148:P153">
    <cfRule type="cellIs" dxfId="8897" priority="2206" operator="greaterThan">
      <formula>0</formula>
    </cfRule>
  </conditionalFormatting>
  <conditionalFormatting sqref="P148:P153">
    <cfRule type="cellIs" dxfId="8896" priority="2200" operator="greaterThan">
      <formula>0</formula>
    </cfRule>
  </conditionalFormatting>
  <conditionalFormatting sqref="Q148:Q153">
    <cfRule type="cellIs" dxfId="8895" priority="2205" operator="lessThan">
      <formula>0</formula>
    </cfRule>
  </conditionalFormatting>
  <conditionalFormatting sqref="R148:R153">
    <cfRule type="cellIs" dxfId="8894" priority="2203" operator="lessThan">
      <formula>0.8</formula>
    </cfRule>
    <cfRule type="cellIs" dxfId="8893" priority="2204" operator="greaterThan">
      <formula>1</formula>
    </cfRule>
  </conditionalFormatting>
  <conditionalFormatting sqref="R148:R153">
    <cfRule type="cellIs" dxfId="8892" priority="2201" operator="greaterThan">
      <formula>1</formula>
    </cfRule>
    <cfRule type="cellIs" dxfId="8891" priority="2202" operator="lessThan">
      <formula>0.8</formula>
    </cfRule>
  </conditionalFormatting>
  <conditionalFormatting sqref="P148:P153">
    <cfRule type="cellIs" dxfId="8890" priority="2194" operator="greaterThan">
      <formula>0</formula>
    </cfRule>
  </conditionalFormatting>
  <conditionalFormatting sqref="Q148:Q153">
    <cfRule type="cellIs" dxfId="8889" priority="2199" operator="lessThan">
      <formula>0</formula>
    </cfRule>
  </conditionalFormatting>
  <conditionalFormatting sqref="R148:R153">
    <cfRule type="cellIs" dxfId="8888" priority="2197" operator="lessThan">
      <formula>0.8</formula>
    </cfRule>
    <cfRule type="cellIs" dxfId="8887" priority="2198" operator="greaterThan">
      <formula>1</formula>
    </cfRule>
  </conditionalFormatting>
  <conditionalFormatting sqref="R148:R153">
    <cfRule type="cellIs" dxfId="8886" priority="2195" operator="greaterThan">
      <formula>1</formula>
    </cfRule>
    <cfRule type="cellIs" dxfId="8885" priority="2196" operator="lessThan">
      <formula>0.8</formula>
    </cfRule>
  </conditionalFormatting>
  <conditionalFormatting sqref="R148:R153">
    <cfRule type="cellIs" dxfId="8884" priority="2191" operator="lessThan">
      <formula>0.8</formula>
    </cfRule>
    <cfRule type="cellIs" dxfId="8883" priority="2192" operator="greaterThan">
      <formula>1</formula>
    </cfRule>
  </conditionalFormatting>
  <conditionalFormatting sqref="R148:R153">
    <cfRule type="cellIs" dxfId="8882" priority="2189" operator="greaterThan">
      <formula>1</formula>
    </cfRule>
    <cfRule type="cellIs" dxfId="8881" priority="2190" operator="lessThan">
      <formula>0.8</formula>
    </cfRule>
  </conditionalFormatting>
  <conditionalFormatting sqref="P148:P153">
    <cfRule type="cellIs" dxfId="8880" priority="2188" operator="greaterThan">
      <formula>0</formula>
    </cfRule>
  </conditionalFormatting>
  <conditionalFormatting sqref="Q148:Q153">
    <cfRule type="cellIs" dxfId="8879" priority="2193" operator="lessThan">
      <formula>0</formula>
    </cfRule>
  </conditionalFormatting>
  <conditionalFormatting sqref="Q148:Q153">
    <cfRule type="cellIs" dxfId="8878" priority="2187" operator="lessThan">
      <formula>0</formula>
    </cfRule>
  </conditionalFormatting>
  <conditionalFormatting sqref="R148:R153">
    <cfRule type="cellIs" dxfId="8877" priority="2185" operator="lessThan">
      <formula>0.8</formula>
    </cfRule>
    <cfRule type="cellIs" dxfId="8876" priority="2186" operator="greaterThan">
      <formula>1</formula>
    </cfRule>
  </conditionalFormatting>
  <conditionalFormatting sqref="R148:R153">
    <cfRule type="cellIs" dxfId="8875" priority="2183" operator="greaterThan">
      <formula>1</formula>
    </cfRule>
    <cfRule type="cellIs" dxfId="8874" priority="2184" operator="lessThan">
      <formula>0.8</formula>
    </cfRule>
  </conditionalFormatting>
  <conditionalFormatting sqref="P148:P153">
    <cfRule type="cellIs" dxfId="8873" priority="2182" operator="greaterThan">
      <formula>0</formula>
    </cfRule>
  </conditionalFormatting>
  <conditionalFormatting sqref="P148:P153">
    <cfRule type="cellIs" dxfId="8872" priority="2176" operator="greaterThan">
      <formula>0</formula>
    </cfRule>
  </conditionalFormatting>
  <conditionalFormatting sqref="Q148:Q153">
    <cfRule type="cellIs" dxfId="8871" priority="2181" operator="lessThan">
      <formula>0</formula>
    </cfRule>
  </conditionalFormatting>
  <conditionalFormatting sqref="R148:R153">
    <cfRule type="cellIs" dxfId="8870" priority="2179" operator="lessThan">
      <formula>0.8</formula>
    </cfRule>
    <cfRule type="cellIs" dxfId="8869" priority="2180" operator="greaterThan">
      <formula>1</formula>
    </cfRule>
  </conditionalFormatting>
  <conditionalFormatting sqref="R148:R153">
    <cfRule type="cellIs" dxfId="8868" priority="2177" operator="greaterThan">
      <formula>1</formula>
    </cfRule>
    <cfRule type="cellIs" dxfId="8867" priority="2178" operator="lessThan">
      <formula>0.8</formula>
    </cfRule>
  </conditionalFormatting>
  <conditionalFormatting sqref="P148:P153">
    <cfRule type="cellIs" dxfId="8866" priority="2170" operator="greaterThan">
      <formula>0</formula>
    </cfRule>
  </conditionalFormatting>
  <conditionalFormatting sqref="Q148:Q153">
    <cfRule type="cellIs" dxfId="8865" priority="2175" operator="lessThan">
      <formula>0</formula>
    </cfRule>
  </conditionalFormatting>
  <conditionalFormatting sqref="R148:R153">
    <cfRule type="cellIs" dxfId="8864" priority="2173" operator="lessThan">
      <formula>0.8</formula>
    </cfRule>
    <cfRule type="cellIs" dxfId="8863" priority="2174" operator="greaterThan">
      <formula>1</formula>
    </cfRule>
  </conditionalFormatting>
  <conditionalFormatting sqref="R148:R153">
    <cfRule type="cellIs" dxfId="8862" priority="2171" operator="greaterThan">
      <formula>1</formula>
    </cfRule>
    <cfRule type="cellIs" dxfId="8861" priority="2172" operator="lessThan">
      <formula>0.8</formula>
    </cfRule>
  </conditionalFormatting>
  <conditionalFormatting sqref="R148:R153">
    <cfRule type="cellIs" dxfId="8860" priority="2167" operator="lessThan">
      <formula>0.8</formula>
    </cfRule>
    <cfRule type="cellIs" dxfId="8859" priority="2168" operator="greaterThan">
      <formula>1</formula>
    </cfRule>
  </conditionalFormatting>
  <conditionalFormatting sqref="R148:R153">
    <cfRule type="cellIs" dxfId="8858" priority="2165" operator="greaterThan">
      <formula>1</formula>
    </cfRule>
    <cfRule type="cellIs" dxfId="8857" priority="2166" operator="lessThan">
      <formula>0.8</formula>
    </cfRule>
  </conditionalFormatting>
  <conditionalFormatting sqref="P148:P153">
    <cfRule type="cellIs" dxfId="8856" priority="2164" operator="greaterThan">
      <formula>0</formula>
    </cfRule>
  </conditionalFormatting>
  <conditionalFormatting sqref="Q148:Q153">
    <cfRule type="cellIs" dxfId="8855" priority="2169" operator="lessThan">
      <formula>0</formula>
    </cfRule>
  </conditionalFormatting>
  <conditionalFormatting sqref="P148:P153">
    <cfRule type="cellIs" dxfId="8854" priority="2158" operator="greaterThan">
      <formula>0</formula>
    </cfRule>
  </conditionalFormatting>
  <conditionalFormatting sqref="Q148:Q153">
    <cfRule type="cellIs" dxfId="8853" priority="2163" operator="lessThan">
      <formula>0</formula>
    </cfRule>
  </conditionalFormatting>
  <conditionalFormatting sqref="R148:R153">
    <cfRule type="cellIs" dxfId="8852" priority="2161" operator="lessThan">
      <formula>0.8</formula>
    </cfRule>
    <cfRule type="cellIs" dxfId="8851" priority="2162" operator="greaterThan">
      <formula>1</formula>
    </cfRule>
  </conditionalFormatting>
  <conditionalFormatting sqref="R148:R153">
    <cfRule type="cellIs" dxfId="8850" priority="2159" operator="greaterThan">
      <formula>1</formula>
    </cfRule>
    <cfRule type="cellIs" dxfId="8849" priority="2160" operator="lessThan">
      <formula>0.8</formula>
    </cfRule>
  </conditionalFormatting>
  <conditionalFormatting sqref="R148:R153">
    <cfRule type="cellIs" dxfId="8848" priority="2155" operator="lessThan">
      <formula>0.8</formula>
    </cfRule>
    <cfRule type="cellIs" dxfId="8847" priority="2156" operator="greaterThan">
      <formula>1</formula>
    </cfRule>
  </conditionalFormatting>
  <conditionalFormatting sqref="R148:R153">
    <cfRule type="cellIs" dxfId="8846" priority="2153" operator="greaterThan">
      <formula>1</formula>
    </cfRule>
    <cfRule type="cellIs" dxfId="8845" priority="2154" operator="lessThan">
      <formula>0.8</formula>
    </cfRule>
  </conditionalFormatting>
  <conditionalFormatting sqref="P148:P153">
    <cfRule type="cellIs" dxfId="8844" priority="2152" operator="greaterThan">
      <formula>0</formula>
    </cfRule>
  </conditionalFormatting>
  <conditionalFormatting sqref="Q148:Q153">
    <cfRule type="cellIs" dxfId="8843" priority="2157" operator="lessThan">
      <formula>0</formula>
    </cfRule>
  </conditionalFormatting>
  <conditionalFormatting sqref="R148:R153">
    <cfRule type="cellIs" dxfId="8842" priority="2149" operator="lessThan">
      <formula>0.8</formula>
    </cfRule>
    <cfRule type="cellIs" dxfId="8841" priority="2150" operator="greaterThan">
      <formula>1</formula>
    </cfRule>
  </conditionalFormatting>
  <conditionalFormatting sqref="R148:R153">
    <cfRule type="cellIs" dxfId="8840" priority="2147" operator="greaterThan">
      <formula>1</formula>
    </cfRule>
    <cfRule type="cellIs" dxfId="8839" priority="2148" operator="lessThan">
      <formula>0.8</formula>
    </cfRule>
  </conditionalFormatting>
  <conditionalFormatting sqref="P148:P153">
    <cfRule type="cellIs" dxfId="8838" priority="2146" operator="greaterThan">
      <formula>0</formula>
    </cfRule>
  </conditionalFormatting>
  <conditionalFormatting sqref="Q148:Q153">
    <cfRule type="cellIs" dxfId="8837" priority="2151" operator="lessThan">
      <formula>0</formula>
    </cfRule>
  </conditionalFormatting>
  <conditionalFormatting sqref="Q148:Q153">
    <cfRule type="cellIs" dxfId="8836" priority="2145" operator="lessThan">
      <formula>0</formula>
    </cfRule>
  </conditionalFormatting>
  <conditionalFormatting sqref="R148:R153">
    <cfRule type="cellIs" dxfId="8835" priority="2143" operator="lessThan">
      <formula>0.8</formula>
    </cfRule>
    <cfRule type="cellIs" dxfId="8834" priority="2144" operator="greaterThan">
      <formula>1</formula>
    </cfRule>
  </conditionalFormatting>
  <conditionalFormatting sqref="R148:R153">
    <cfRule type="cellIs" dxfId="8833" priority="2141" operator="greaterThan">
      <formula>1</formula>
    </cfRule>
    <cfRule type="cellIs" dxfId="8832" priority="2142" operator="lessThan">
      <formula>0.8</formula>
    </cfRule>
  </conditionalFormatting>
  <conditionalFormatting sqref="P148:P153">
    <cfRule type="cellIs" dxfId="8831" priority="2140" operator="greaterThan">
      <formula>0</formula>
    </cfRule>
  </conditionalFormatting>
  <conditionalFormatting sqref="Q148:Q153">
    <cfRule type="cellIs" dxfId="8830" priority="2134" operator="lessThan">
      <formula>0</formula>
    </cfRule>
  </conditionalFormatting>
  <conditionalFormatting sqref="R148:R153">
    <cfRule type="cellIs" dxfId="8829" priority="2138" operator="lessThan">
      <formula>0.8</formula>
    </cfRule>
    <cfRule type="cellIs" dxfId="8828" priority="2139" operator="greaterThan">
      <formula>1</formula>
    </cfRule>
  </conditionalFormatting>
  <conditionalFormatting sqref="R148:R153">
    <cfRule type="cellIs" dxfId="8827" priority="2136" operator="greaterThan">
      <formula>1</formula>
    </cfRule>
    <cfRule type="cellIs" dxfId="8826" priority="2137" operator="lessThan">
      <formula>0.8</formula>
    </cfRule>
  </conditionalFormatting>
  <conditionalFormatting sqref="P148:P153">
    <cfRule type="cellIs" dxfId="8825" priority="2135" operator="greaterThan">
      <formula>0</formula>
    </cfRule>
  </conditionalFormatting>
  <conditionalFormatting sqref="Q148:Q153">
    <cfRule type="cellIs" dxfId="8824" priority="2133" operator="lessThan">
      <formula>0</formula>
    </cfRule>
  </conditionalFormatting>
  <conditionalFormatting sqref="R148:R153">
    <cfRule type="cellIs" dxfId="8823" priority="2131" operator="lessThan">
      <formula>0.8</formula>
    </cfRule>
    <cfRule type="cellIs" dxfId="8822" priority="2132" operator="greaterThan">
      <formula>1</formula>
    </cfRule>
  </conditionalFormatting>
  <conditionalFormatting sqref="R148:R153">
    <cfRule type="cellIs" dxfId="8821" priority="2129" operator="greaterThan">
      <formula>1</formula>
    </cfRule>
    <cfRule type="cellIs" dxfId="8820" priority="2130" operator="lessThan">
      <formula>0.8</formula>
    </cfRule>
  </conditionalFormatting>
  <conditionalFormatting sqref="P148:P153">
    <cfRule type="cellIs" dxfId="8819" priority="2128" operator="greaterThan">
      <formula>0</formula>
    </cfRule>
  </conditionalFormatting>
  <conditionalFormatting sqref="Q148:Q153">
    <cfRule type="cellIs" dxfId="8818" priority="2127" operator="lessThan">
      <formula>0</formula>
    </cfRule>
  </conditionalFormatting>
  <conditionalFormatting sqref="R148:R153">
    <cfRule type="cellIs" dxfId="8817" priority="2125" operator="lessThan">
      <formula>0.8</formula>
    </cfRule>
    <cfRule type="cellIs" dxfId="8816" priority="2126" operator="greaterThan">
      <formula>1</formula>
    </cfRule>
  </conditionalFormatting>
  <conditionalFormatting sqref="R148:R153">
    <cfRule type="cellIs" dxfId="8815" priority="2123" operator="greaterThan">
      <formula>1</formula>
    </cfRule>
    <cfRule type="cellIs" dxfId="8814" priority="2124" operator="lessThan">
      <formula>0.8</formula>
    </cfRule>
  </conditionalFormatting>
  <conditionalFormatting sqref="P148:P153">
    <cfRule type="cellIs" dxfId="8813" priority="2122" operator="greaterThan">
      <formula>0</formula>
    </cfRule>
  </conditionalFormatting>
  <conditionalFormatting sqref="Q148:Q153">
    <cfRule type="cellIs" dxfId="8812" priority="2121" operator="lessThan">
      <formula>0</formula>
    </cfRule>
  </conditionalFormatting>
  <conditionalFormatting sqref="R148:R153">
    <cfRule type="cellIs" dxfId="8811" priority="2119" operator="lessThan">
      <formula>0.8</formula>
    </cfRule>
    <cfRule type="cellIs" dxfId="8810" priority="2120" operator="greaterThan">
      <formula>1</formula>
    </cfRule>
  </conditionalFormatting>
  <conditionalFormatting sqref="R148:R153">
    <cfRule type="cellIs" dxfId="8809" priority="2117" operator="greaterThan">
      <formula>1</formula>
    </cfRule>
    <cfRule type="cellIs" dxfId="8808" priority="2118" operator="lessThan">
      <formula>0.8</formula>
    </cfRule>
  </conditionalFormatting>
  <conditionalFormatting sqref="P148:P153">
    <cfRule type="cellIs" dxfId="8807" priority="2116" operator="greaterThan">
      <formula>0</formula>
    </cfRule>
  </conditionalFormatting>
  <conditionalFormatting sqref="Q148:Q153">
    <cfRule type="cellIs" dxfId="8806" priority="2115" operator="lessThan">
      <formula>0</formula>
    </cfRule>
  </conditionalFormatting>
  <conditionalFormatting sqref="R148:R153">
    <cfRule type="cellIs" dxfId="8805" priority="2113" operator="lessThan">
      <formula>0.8</formula>
    </cfRule>
    <cfRule type="cellIs" dxfId="8804" priority="2114" operator="greaterThan">
      <formula>1</formula>
    </cfRule>
  </conditionalFormatting>
  <conditionalFormatting sqref="R148:R153">
    <cfRule type="cellIs" dxfId="8803" priority="2111" operator="greaterThan">
      <formula>1</formula>
    </cfRule>
    <cfRule type="cellIs" dxfId="8802" priority="2112" operator="lessThan">
      <formula>0.8</formula>
    </cfRule>
  </conditionalFormatting>
  <conditionalFormatting sqref="P148:P153">
    <cfRule type="cellIs" dxfId="8801" priority="2110" operator="greaterThan">
      <formula>0</formula>
    </cfRule>
  </conditionalFormatting>
  <conditionalFormatting sqref="Q148:Q153">
    <cfRule type="cellIs" dxfId="8800" priority="2109" operator="lessThan">
      <formula>0</formula>
    </cfRule>
  </conditionalFormatting>
  <conditionalFormatting sqref="R148:R153">
    <cfRule type="cellIs" dxfId="8799" priority="2107" operator="lessThan">
      <formula>0.8</formula>
    </cfRule>
    <cfRule type="cellIs" dxfId="8798" priority="2108" operator="greaterThan">
      <formula>1</formula>
    </cfRule>
  </conditionalFormatting>
  <conditionalFormatting sqref="R148:R153">
    <cfRule type="cellIs" dxfId="8797" priority="2105" operator="greaterThan">
      <formula>1</formula>
    </cfRule>
    <cfRule type="cellIs" dxfId="8796" priority="2106" operator="lessThan">
      <formula>0.8</formula>
    </cfRule>
  </conditionalFormatting>
  <conditionalFormatting sqref="P148:P153">
    <cfRule type="cellIs" dxfId="8795" priority="2104" operator="greaterThan">
      <formula>0</formula>
    </cfRule>
  </conditionalFormatting>
  <conditionalFormatting sqref="P148:P153">
    <cfRule type="cellIs" dxfId="8794" priority="2098" operator="greaterThan">
      <formula>0</formula>
    </cfRule>
  </conditionalFormatting>
  <conditionalFormatting sqref="Q148:Q153">
    <cfRule type="cellIs" dxfId="8793" priority="2103" operator="lessThan">
      <formula>0</formula>
    </cfRule>
  </conditionalFormatting>
  <conditionalFormatting sqref="R148:R153">
    <cfRule type="cellIs" dxfId="8792" priority="2101" operator="lessThan">
      <formula>0.8</formula>
    </cfRule>
    <cfRule type="cellIs" dxfId="8791" priority="2102" operator="greaterThan">
      <formula>1</formula>
    </cfRule>
  </conditionalFormatting>
  <conditionalFormatting sqref="R148:R153">
    <cfRule type="cellIs" dxfId="8790" priority="2099" operator="greaterThan">
      <formula>1</formula>
    </cfRule>
    <cfRule type="cellIs" dxfId="8789" priority="2100" operator="lessThan">
      <formula>0.8</formula>
    </cfRule>
  </conditionalFormatting>
  <conditionalFormatting sqref="P148:P153">
    <cfRule type="cellIs" dxfId="8788" priority="2092" operator="greaterThan">
      <formula>0</formula>
    </cfRule>
  </conditionalFormatting>
  <conditionalFormatting sqref="Q148:Q153">
    <cfRule type="cellIs" dxfId="8787" priority="2097" operator="lessThan">
      <formula>0</formula>
    </cfRule>
  </conditionalFormatting>
  <conditionalFormatting sqref="R148:R153">
    <cfRule type="cellIs" dxfId="8786" priority="2095" operator="lessThan">
      <formula>0.8</formula>
    </cfRule>
    <cfRule type="cellIs" dxfId="8785" priority="2096" operator="greaterThan">
      <formula>1</formula>
    </cfRule>
  </conditionalFormatting>
  <conditionalFormatting sqref="R148:R153">
    <cfRule type="cellIs" dxfId="8784" priority="2093" operator="greaterThan">
      <formula>1</formula>
    </cfRule>
    <cfRule type="cellIs" dxfId="8783" priority="2094" operator="lessThan">
      <formula>0.8</formula>
    </cfRule>
  </conditionalFormatting>
  <conditionalFormatting sqref="R148:R153">
    <cfRule type="cellIs" dxfId="8782" priority="2089" operator="lessThan">
      <formula>0.8</formula>
    </cfRule>
    <cfRule type="cellIs" dxfId="8781" priority="2090" operator="greaterThan">
      <formula>1</formula>
    </cfRule>
  </conditionalFormatting>
  <conditionalFormatting sqref="R148:R153">
    <cfRule type="cellIs" dxfId="8780" priority="2087" operator="greaterThan">
      <formula>1</formula>
    </cfRule>
    <cfRule type="cellIs" dxfId="8779" priority="2088" operator="lessThan">
      <formula>0.8</formula>
    </cfRule>
  </conditionalFormatting>
  <conditionalFormatting sqref="P148:P153">
    <cfRule type="cellIs" dxfId="8778" priority="2086" operator="greaterThan">
      <formula>0</formula>
    </cfRule>
  </conditionalFormatting>
  <conditionalFormatting sqref="Q148:Q153">
    <cfRule type="cellIs" dxfId="8777" priority="2091" operator="lessThan">
      <formula>0</formula>
    </cfRule>
  </conditionalFormatting>
  <conditionalFormatting sqref="Q148:Q153">
    <cfRule type="cellIs" dxfId="8776" priority="2080" operator="lessThan">
      <formula>0</formula>
    </cfRule>
  </conditionalFormatting>
  <conditionalFormatting sqref="P148:P153">
    <cfRule type="cellIs" dxfId="8775" priority="2081" operator="greaterThan">
      <formula>0</formula>
    </cfRule>
  </conditionalFormatting>
  <conditionalFormatting sqref="R148:R153">
    <cfRule type="cellIs" dxfId="8774" priority="2084" operator="lessThan">
      <formula>0.8</formula>
    </cfRule>
    <cfRule type="cellIs" dxfId="8773" priority="2085" operator="greaterThan">
      <formula>1</formula>
    </cfRule>
  </conditionalFormatting>
  <conditionalFormatting sqref="R148:R153">
    <cfRule type="cellIs" dxfId="8772" priority="2082" operator="greaterThan">
      <formula>1</formula>
    </cfRule>
    <cfRule type="cellIs" dxfId="8771" priority="2083" operator="lessThan">
      <formula>0.8</formula>
    </cfRule>
  </conditionalFormatting>
  <conditionalFormatting sqref="Q148:Q153">
    <cfRule type="cellIs" dxfId="8770" priority="2074" operator="lessThan">
      <formula>0</formula>
    </cfRule>
  </conditionalFormatting>
  <conditionalFormatting sqref="R148:R153">
    <cfRule type="cellIs" dxfId="8769" priority="2078" operator="lessThan">
      <formula>0.8</formula>
    </cfRule>
    <cfRule type="cellIs" dxfId="8768" priority="2079" operator="greaterThan">
      <formula>1</formula>
    </cfRule>
  </conditionalFormatting>
  <conditionalFormatting sqref="R148:R153">
    <cfRule type="cellIs" dxfId="8767" priority="2076" operator="greaterThan">
      <formula>1</formula>
    </cfRule>
    <cfRule type="cellIs" dxfId="8766" priority="2077" operator="lessThan">
      <formula>0.8</formula>
    </cfRule>
  </conditionalFormatting>
  <conditionalFormatting sqref="P148:P153">
    <cfRule type="cellIs" dxfId="8765" priority="2075" operator="greaterThan">
      <formula>0</formula>
    </cfRule>
  </conditionalFormatting>
  <conditionalFormatting sqref="Q148:Q153">
    <cfRule type="cellIs" dxfId="8764" priority="2073" operator="lessThan">
      <formula>0</formula>
    </cfRule>
  </conditionalFormatting>
  <conditionalFormatting sqref="R148:R153">
    <cfRule type="cellIs" dxfId="8763" priority="2071" operator="lessThan">
      <formula>0.8</formula>
    </cfRule>
    <cfRule type="cellIs" dxfId="8762" priority="2072" operator="greaterThan">
      <formula>1</formula>
    </cfRule>
  </conditionalFormatting>
  <conditionalFormatting sqref="R148:R153">
    <cfRule type="cellIs" dxfId="8761" priority="2069" operator="greaterThan">
      <formula>1</formula>
    </cfRule>
    <cfRule type="cellIs" dxfId="8760" priority="2070" operator="lessThan">
      <formula>0.8</formula>
    </cfRule>
  </conditionalFormatting>
  <conditionalFormatting sqref="P148:P153">
    <cfRule type="cellIs" dxfId="8759" priority="2068" operator="greaterThan">
      <formula>0</formula>
    </cfRule>
  </conditionalFormatting>
  <conditionalFormatting sqref="Q148:Q153">
    <cfRule type="cellIs" dxfId="8758" priority="2067" operator="lessThan">
      <formula>0</formula>
    </cfRule>
  </conditionalFormatting>
  <conditionalFormatting sqref="R148:R153">
    <cfRule type="cellIs" dxfId="8757" priority="2065" operator="lessThan">
      <formula>0.8</formula>
    </cfRule>
    <cfRule type="cellIs" dxfId="8756" priority="2066" operator="greaterThan">
      <formula>1</formula>
    </cfRule>
  </conditionalFormatting>
  <conditionalFormatting sqref="R148:R153">
    <cfRule type="cellIs" dxfId="8755" priority="2063" operator="greaterThan">
      <formula>1</formula>
    </cfRule>
    <cfRule type="cellIs" dxfId="8754" priority="2064" operator="lessThan">
      <formula>0.8</formula>
    </cfRule>
  </conditionalFormatting>
  <conditionalFormatting sqref="P148:P153">
    <cfRule type="cellIs" dxfId="8753" priority="2062" operator="greaterThan">
      <formula>0</formula>
    </cfRule>
  </conditionalFormatting>
  <conditionalFormatting sqref="Q148:Q153">
    <cfRule type="cellIs" dxfId="8752" priority="2061" operator="lessThan">
      <formula>0</formula>
    </cfRule>
  </conditionalFormatting>
  <conditionalFormatting sqref="R148:R153">
    <cfRule type="cellIs" dxfId="8751" priority="2059" operator="lessThan">
      <formula>0.8</formula>
    </cfRule>
    <cfRule type="cellIs" dxfId="8750" priority="2060" operator="greaterThan">
      <formula>1</formula>
    </cfRule>
  </conditionalFormatting>
  <conditionalFormatting sqref="R148:R153">
    <cfRule type="cellIs" dxfId="8749" priority="2057" operator="greaterThan">
      <formula>1</formula>
    </cfRule>
    <cfRule type="cellIs" dxfId="8748" priority="2058" operator="lessThan">
      <formula>0.8</formula>
    </cfRule>
  </conditionalFormatting>
  <conditionalFormatting sqref="P148:P153">
    <cfRule type="cellIs" dxfId="8747" priority="2056" operator="greaterThan">
      <formula>0</formula>
    </cfRule>
  </conditionalFormatting>
  <conditionalFormatting sqref="Q148:Q153">
    <cfRule type="cellIs" dxfId="8746" priority="2055" operator="lessThan">
      <formula>0</formula>
    </cfRule>
  </conditionalFormatting>
  <conditionalFormatting sqref="R148:R153">
    <cfRule type="cellIs" dxfId="8745" priority="2053" operator="lessThan">
      <formula>0.8</formula>
    </cfRule>
    <cfRule type="cellIs" dxfId="8744" priority="2054" operator="greaterThan">
      <formula>1</formula>
    </cfRule>
  </conditionalFormatting>
  <conditionalFormatting sqref="R148:R153">
    <cfRule type="cellIs" dxfId="8743" priority="2051" operator="greaterThan">
      <formula>1</formula>
    </cfRule>
    <cfRule type="cellIs" dxfId="8742" priority="2052" operator="lessThan">
      <formula>0.8</formula>
    </cfRule>
  </conditionalFormatting>
  <conditionalFormatting sqref="P148:P153">
    <cfRule type="cellIs" dxfId="8741" priority="2050" operator="greaterThan">
      <formula>0</formula>
    </cfRule>
  </conditionalFormatting>
  <conditionalFormatting sqref="Q124 Q131 Q127">
    <cfRule type="cellIs" dxfId="8740" priority="2044" operator="lessThan">
      <formula>0</formula>
    </cfRule>
  </conditionalFormatting>
  <conditionalFormatting sqref="P124 P131 P127">
    <cfRule type="cellIs" dxfId="8739" priority="2045" operator="greaterThan">
      <formula>0</formula>
    </cfRule>
  </conditionalFormatting>
  <conditionalFormatting sqref="R124 R131 R127">
    <cfRule type="cellIs" dxfId="8738" priority="2048" operator="lessThan">
      <formula>0.8</formula>
    </cfRule>
    <cfRule type="cellIs" dxfId="8737" priority="2049" operator="greaterThan">
      <formula>1</formula>
    </cfRule>
  </conditionalFormatting>
  <conditionalFormatting sqref="R124 R131 R127">
    <cfRule type="cellIs" dxfId="8736" priority="2046" operator="greaterThan">
      <formula>1</formula>
    </cfRule>
    <cfRule type="cellIs" dxfId="8735" priority="2047" operator="lessThan">
      <formula>0.8</formula>
    </cfRule>
  </conditionalFormatting>
  <conditionalFormatting sqref="Q124 Q131 Q127">
    <cfRule type="cellIs" dxfId="8734" priority="2038" operator="lessThan">
      <formula>0</formula>
    </cfRule>
  </conditionalFormatting>
  <conditionalFormatting sqref="R124 R131 R127">
    <cfRule type="cellIs" dxfId="8733" priority="2042" operator="lessThan">
      <formula>0.8</formula>
    </cfRule>
    <cfRule type="cellIs" dxfId="8732" priority="2043" operator="greaterThan">
      <formula>1</formula>
    </cfRule>
  </conditionalFormatting>
  <conditionalFormatting sqref="R124 R131 R127">
    <cfRule type="cellIs" dxfId="8731" priority="2040" operator="greaterThan">
      <formula>1</formula>
    </cfRule>
    <cfRule type="cellIs" dxfId="8730" priority="2041" operator="lessThan">
      <formula>0.8</formula>
    </cfRule>
  </conditionalFormatting>
  <conditionalFormatting sqref="P124 P131 P127">
    <cfRule type="cellIs" dxfId="8729" priority="2039" operator="greaterThan">
      <formula>0</formula>
    </cfRule>
  </conditionalFormatting>
  <conditionalFormatting sqref="Q124 Q131 Q127">
    <cfRule type="cellIs" dxfId="8728" priority="2037" operator="lessThan">
      <formula>0</formula>
    </cfRule>
  </conditionalFormatting>
  <conditionalFormatting sqref="R124 R131 R127">
    <cfRule type="cellIs" dxfId="8727" priority="2035" operator="lessThan">
      <formula>0.8</formula>
    </cfRule>
    <cfRule type="cellIs" dxfId="8726" priority="2036" operator="greaterThan">
      <formula>1</formula>
    </cfRule>
  </conditionalFormatting>
  <conditionalFormatting sqref="R124 R131 R127">
    <cfRule type="cellIs" dxfId="8725" priority="2033" operator="greaterThan">
      <formula>1</formula>
    </cfRule>
    <cfRule type="cellIs" dxfId="8724" priority="2034" operator="lessThan">
      <formula>0.8</formula>
    </cfRule>
  </conditionalFormatting>
  <conditionalFormatting sqref="P124 P131 P127">
    <cfRule type="cellIs" dxfId="8723" priority="2032" operator="greaterThan">
      <formula>0</formula>
    </cfRule>
  </conditionalFormatting>
  <conditionalFormatting sqref="Q124 Q131 Q127">
    <cfRule type="cellIs" dxfId="8722" priority="2031" operator="lessThan">
      <formula>0</formula>
    </cfRule>
  </conditionalFormatting>
  <conditionalFormatting sqref="R124 R131 R127">
    <cfRule type="cellIs" dxfId="8721" priority="2029" operator="lessThan">
      <formula>0.8</formula>
    </cfRule>
    <cfRule type="cellIs" dxfId="8720" priority="2030" operator="greaterThan">
      <formula>1</formula>
    </cfRule>
  </conditionalFormatting>
  <conditionalFormatting sqref="R124 R131 R127">
    <cfRule type="cellIs" dxfId="8719" priority="2027" operator="greaterThan">
      <formula>1</formula>
    </cfRule>
    <cfRule type="cellIs" dxfId="8718" priority="2028" operator="lessThan">
      <formula>0.8</formula>
    </cfRule>
  </conditionalFormatting>
  <conditionalFormatting sqref="P124 P131 P127">
    <cfRule type="cellIs" dxfId="8717" priority="2026" operator="greaterThan">
      <formula>0</formula>
    </cfRule>
  </conditionalFormatting>
  <conditionalFormatting sqref="Q124 Q131 Q127">
    <cfRule type="cellIs" dxfId="8716" priority="2025" operator="lessThan">
      <formula>0</formula>
    </cfRule>
  </conditionalFormatting>
  <conditionalFormatting sqref="R124 R131 R127">
    <cfRule type="cellIs" dxfId="8715" priority="2023" operator="lessThan">
      <formula>0.8</formula>
    </cfRule>
    <cfRule type="cellIs" dxfId="8714" priority="2024" operator="greaterThan">
      <formula>1</formula>
    </cfRule>
  </conditionalFormatting>
  <conditionalFormatting sqref="R124 R131 R127">
    <cfRule type="cellIs" dxfId="8713" priority="2021" operator="greaterThan">
      <formula>1</formula>
    </cfRule>
    <cfRule type="cellIs" dxfId="8712" priority="2022" operator="lessThan">
      <formula>0.8</formula>
    </cfRule>
  </conditionalFormatting>
  <conditionalFormatting sqref="P124 P131 P127">
    <cfRule type="cellIs" dxfId="8711" priority="2020" operator="greaterThan">
      <formula>0</formula>
    </cfRule>
  </conditionalFormatting>
  <conditionalFormatting sqref="Q124 Q131 Q127">
    <cfRule type="cellIs" dxfId="8710" priority="2019" operator="lessThan">
      <formula>0</formula>
    </cfRule>
  </conditionalFormatting>
  <conditionalFormatting sqref="R124 R131 R127">
    <cfRule type="cellIs" dxfId="8709" priority="2017" operator="lessThan">
      <formula>0.8</formula>
    </cfRule>
    <cfRule type="cellIs" dxfId="8708" priority="2018" operator="greaterThan">
      <formula>1</formula>
    </cfRule>
  </conditionalFormatting>
  <conditionalFormatting sqref="R124 R131 R127">
    <cfRule type="cellIs" dxfId="8707" priority="2015" operator="greaterThan">
      <formula>1</formula>
    </cfRule>
    <cfRule type="cellIs" dxfId="8706" priority="2016" operator="lessThan">
      <formula>0.8</formula>
    </cfRule>
  </conditionalFormatting>
  <conditionalFormatting sqref="P124 P131 P127">
    <cfRule type="cellIs" dxfId="8705" priority="2014" operator="greaterThan">
      <formula>0</formula>
    </cfRule>
  </conditionalFormatting>
  <conditionalFormatting sqref="Q124 Q131 Q127">
    <cfRule type="cellIs" dxfId="8704" priority="2013" operator="lessThan">
      <formula>0</formula>
    </cfRule>
  </conditionalFormatting>
  <conditionalFormatting sqref="R124 R131 R127">
    <cfRule type="cellIs" dxfId="8703" priority="2011" operator="lessThan">
      <formula>0.8</formula>
    </cfRule>
    <cfRule type="cellIs" dxfId="8702" priority="2012" operator="greaterThan">
      <formula>1</formula>
    </cfRule>
  </conditionalFormatting>
  <conditionalFormatting sqref="R124 R131 R127">
    <cfRule type="cellIs" dxfId="8701" priority="2009" operator="greaterThan">
      <formula>1</formula>
    </cfRule>
    <cfRule type="cellIs" dxfId="8700" priority="2010" operator="lessThan">
      <formula>0.8</formula>
    </cfRule>
  </conditionalFormatting>
  <conditionalFormatting sqref="P124 P131 P127">
    <cfRule type="cellIs" dxfId="8699" priority="2008" operator="greaterThan">
      <formula>0</formula>
    </cfRule>
  </conditionalFormatting>
  <conditionalFormatting sqref="Q124 Q131 Q127">
    <cfRule type="cellIs" dxfId="8698" priority="2007" operator="lessThan">
      <formula>0</formula>
    </cfRule>
  </conditionalFormatting>
  <conditionalFormatting sqref="R124 R131 R127">
    <cfRule type="cellIs" dxfId="8697" priority="2005" operator="lessThan">
      <formula>0.8</formula>
    </cfRule>
    <cfRule type="cellIs" dxfId="8696" priority="2006" operator="greaterThan">
      <formula>1</formula>
    </cfRule>
  </conditionalFormatting>
  <conditionalFormatting sqref="R124 R131 R127">
    <cfRule type="cellIs" dxfId="8695" priority="2003" operator="greaterThan">
      <formula>1</formula>
    </cfRule>
    <cfRule type="cellIs" dxfId="8694" priority="2004" operator="lessThan">
      <formula>0.8</formula>
    </cfRule>
  </conditionalFormatting>
  <conditionalFormatting sqref="P124 P131 P127">
    <cfRule type="cellIs" dxfId="8693" priority="2002" operator="greaterThan">
      <formula>0</formula>
    </cfRule>
  </conditionalFormatting>
  <conditionalFormatting sqref="Q124 Q131 Q127">
    <cfRule type="cellIs" dxfId="8692" priority="2001" operator="lessThan">
      <formula>0</formula>
    </cfRule>
  </conditionalFormatting>
  <conditionalFormatting sqref="R124 R131 R127">
    <cfRule type="cellIs" dxfId="8691" priority="1999" operator="lessThan">
      <formula>0.8</formula>
    </cfRule>
    <cfRule type="cellIs" dxfId="8690" priority="2000" operator="greaterThan">
      <formula>1</formula>
    </cfRule>
  </conditionalFormatting>
  <conditionalFormatting sqref="R124 R131 R127">
    <cfRule type="cellIs" dxfId="8689" priority="1997" operator="greaterThan">
      <formula>1</formula>
    </cfRule>
    <cfRule type="cellIs" dxfId="8688" priority="1998" operator="lessThan">
      <formula>0.8</formula>
    </cfRule>
  </conditionalFormatting>
  <conditionalFormatting sqref="P124 P131 P127">
    <cfRule type="cellIs" dxfId="8687" priority="1996" operator="greaterThan">
      <formula>0</formula>
    </cfRule>
  </conditionalFormatting>
  <conditionalFormatting sqref="P124 P131 P127">
    <cfRule type="cellIs" dxfId="8686" priority="1990" operator="greaterThan">
      <formula>0</formula>
    </cfRule>
  </conditionalFormatting>
  <conditionalFormatting sqref="Q124 Q131 Q127">
    <cfRule type="cellIs" dxfId="8685" priority="1995" operator="lessThan">
      <formula>0</formula>
    </cfRule>
  </conditionalFormatting>
  <conditionalFormatting sqref="R124 R131 R127">
    <cfRule type="cellIs" dxfId="8684" priority="1993" operator="lessThan">
      <formula>0.8</formula>
    </cfRule>
    <cfRule type="cellIs" dxfId="8683" priority="1994" operator="greaterThan">
      <formula>1</formula>
    </cfRule>
  </conditionalFormatting>
  <conditionalFormatting sqref="R124 R131 R127">
    <cfRule type="cellIs" dxfId="8682" priority="1991" operator="greaterThan">
      <formula>1</formula>
    </cfRule>
    <cfRule type="cellIs" dxfId="8681" priority="1992" operator="lessThan">
      <formula>0.8</formula>
    </cfRule>
  </conditionalFormatting>
  <conditionalFormatting sqref="P124 P131 P127">
    <cfRule type="cellIs" dxfId="8680" priority="1984" operator="greaterThan">
      <formula>0</formula>
    </cfRule>
  </conditionalFormatting>
  <conditionalFormatting sqref="Q124 Q131 Q127">
    <cfRule type="cellIs" dxfId="8679" priority="1989" operator="lessThan">
      <formula>0</formula>
    </cfRule>
  </conditionalFormatting>
  <conditionalFormatting sqref="R124 R131 R127">
    <cfRule type="cellIs" dxfId="8678" priority="1987" operator="lessThan">
      <formula>0.8</formula>
    </cfRule>
    <cfRule type="cellIs" dxfId="8677" priority="1988" operator="greaterThan">
      <formula>1</formula>
    </cfRule>
  </conditionalFormatting>
  <conditionalFormatting sqref="R124 R131 R127">
    <cfRule type="cellIs" dxfId="8676" priority="1985" operator="greaterThan">
      <formula>1</formula>
    </cfRule>
    <cfRule type="cellIs" dxfId="8675" priority="1986" operator="lessThan">
      <formula>0.8</formula>
    </cfRule>
  </conditionalFormatting>
  <conditionalFormatting sqref="R124 R131 R127">
    <cfRule type="cellIs" dxfId="8674" priority="1981" operator="lessThan">
      <formula>0.8</formula>
    </cfRule>
    <cfRule type="cellIs" dxfId="8673" priority="1982" operator="greaterThan">
      <formula>1</formula>
    </cfRule>
  </conditionalFormatting>
  <conditionalFormatting sqref="R124 R131 R127">
    <cfRule type="cellIs" dxfId="8672" priority="1979" operator="greaterThan">
      <formula>1</formula>
    </cfRule>
    <cfRule type="cellIs" dxfId="8671" priority="1980" operator="lessThan">
      <formula>0.8</formula>
    </cfRule>
  </conditionalFormatting>
  <conditionalFormatting sqref="P124 P131 P127">
    <cfRule type="cellIs" dxfId="8670" priority="1978" operator="greaterThan">
      <formula>0</formula>
    </cfRule>
  </conditionalFormatting>
  <conditionalFormatting sqref="Q124 Q131 Q127">
    <cfRule type="cellIs" dxfId="8669" priority="1983" operator="lessThan">
      <formula>0</formula>
    </cfRule>
  </conditionalFormatting>
  <conditionalFormatting sqref="Q124 Q131 Q127">
    <cfRule type="cellIs" dxfId="8668" priority="1977" operator="lessThan">
      <formula>0</formula>
    </cfRule>
  </conditionalFormatting>
  <conditionalFormatting sqref="R124 R131 R127">
    <cfRule type="cellIs" dxfId="8667" priority="1975" operator="lessThan">
      <formula>0.8</formula>
    </cfRule>
    <cfRule type="cellIs" dxfId="8666" priority="1976" operator="greaterThan">
      <formula>1</formula>
    </cfRule>
  </conditionalFormatting>
  <conditionalFormatting sqref="R124 R131 R127">
    <cfRule type="cellIs" dxfId="8665" priority="1973" operator="greaterThan">
      <formula>1</formula>
    </cfRule>
    <cfRule type="cellIs" dxfId="8664" priority="1974" operator="lessThan">
      <formula>0.8</formula>
    </cfRule>
  </conditionalFormatting>
  <conditionalFormatting sqref="P124 P131 P127">
    <cfRule type="cellIs" dxfId="8663" priority="1972" operator="greaterThan">
      <formula>0</formula>
    </cfRule>
  </conditionalFormatting>
  <conditionalFormatting sqref="P124 P131 P127">
    <cfRule type="cellIs" dxfId="8662" priority="1966" operator="greaterThan">
      <formula>0</formula>
    </cfRule>
  </conditionalFormatting>
  <conditionalFormatting sqref="Q124 Q131 Q127">
    <cfRule type="cellIs" dxfId="8661" priority="1971" operator="lessThan">
      <formula>0</formula>
    </cfRule>
  </conditionalFormatting>
  <conditionalFormatting sqref="R124 R131 R127">
    <cfRule type="cellIs" dxfId="8660" priority="1969" operator="lessThan">
      <formula>0.8</formula>
    </cfRule>
    <cfRule type="cellIs" dxfId="8659" priority="1970" operator="greaterThan">
      <formula>1</formula>
    </cfRule>
  </conditionalFormatting>
  <conditionalFormatting sqref="R124 R131 R127">
    <cfRule type="cellIs" dxfId="8658" priority="1967" operator="greaterThan">
      <formula>1</formula>
    </cfRule>
    <cfRule type="cellIs" dxfId="8657" priority="1968" operator="lessThan">
      <formula>0.8</formula>
    </cfRule>
  </conditionalFormatting>
  <conditionalFormatting sqref="P124 P131 P127">
    <cfRule type="cellIs" dxfId="8656" priority="1960" operator="greaterThan">
      <formula>0</formula>
    </cfRule>
  </conditionalFormatting>
  <conditionalFormatting sqref="Q124 Q131 Q127">
    <cfRule type="cellIs" dxfId="8655" priority="1965" operator="lessThan">
      <formula>0</formula>
    </cfRule>
  </conditionalFormatting>
  <conditionalFormatting sqref="R124 R131 R127">
    <cfRule type="cellIs" dxfId="8654" priority="1963" operator="lessThan">
      <formula>0.8</formula>
    </cfRule>
    <cfRule type="cellIs" dxfId="8653" priority="1964" operator="greaterThan">
      <formula>1</formula>
    </cfRule>
  </conditionalFormatting>
  <conditionalFormatting sqref="R124 R131 R127">
    <cfRule type="cellIs" dxfId="8652" priority="1961" operator="greaterThan">
      <formula>1</formula>
    </cfRule>
    <cfRule type="cellIs" dxfId="8651" priority="1962" operator="lessThan">
      <formula>0.8</formula>
    </cfRule>
  </conditionalFormatting>
  <conditionalFormatting sqref="R124 R131 R127">
    <cfRule type="cellIs" dxfId="8650" priority="1957" operator="lessThan">
      <formula>0.8</formula>
    </cfRule>
    <cfRule type="cellIs" dxfId="8649" priority="1958" operator="greaterThan">
      <formula>1</formula>
    </cfRule>
  </conditionalFormatting>
  <conditionalFormatting sqref="R124 R131 R127">
    <cfRule type="cellIs" dxfId="8648" priority="1955" operator="greaterThan">
      <formula>1</formula>
    </cfRule>
    <cfRule type="cellIs" dxfId="8647" priority="1956" operator="lessThan">
      <formula>0.8</formula>
    </cfRule>
  </conditionalFormatting>
  <conditionalFormatting sqref="P124 P131 P127">
    <cfRule type="cellIs" dxfId="8646" priority="1954" operator="greaterThan">
      <formula>0</formula>
    </cfRule>
  </conditionalFormatting>
  <conditionalFormatting sqref="Q124 Q131 Q127">
    <cfRule type="cellIs" dxfId="8645" priority="1959" operator="lessThan">
      <formula>0</formula>
    </cfRule>
  </conditionalFormatting>
  <conditionalFormatting sqref="P124 P131 P127">
    <cfRule type="cellIs" dxfId="8644" priority="1948" operator="greaterThan">
      <formula>0</formula>
    </cfRule>
  </conditionalFormatting>
  <conditionalFormatting sqref="Q124 Q131 Q127">
    <cfRule type="cellIs" dxfId="8643" priority="1953" operator="lessThan">
      <formula>0</formula>
    </cfRule>
  </conditionalFormatting>
  <conditionalFormatting sqref="R124 R131 R127">
    <cfRule type="cellIs" dxfId="8642" priority="1951" operator="lessThan">
      <formula>0.8</formula>
    </cfRule>
    <cfRule type="cellIs" dxfId="8641" priority="1952" operator="greaterThan">
      <formula>1</formula>
    </cfRule>
  </conditionalFormatting>
  <conditionalFormatting sqref="R124 R131 R127">
    <cfRule type="cellIs" dxfId="8640" priority="1949" operator="greaterThan">
      <formula>1</formula>
    </cfRule>
    <cfRule type="cellIs" dxfId="8639" priority="1950" operator="lessThan">
      <formula>0.8</formula>
    </cfRule>
  </conditionalFormatting>
  <conditionalFormatting sqref="R124 R131 R127">
    <cfRule type="cellIs" dxfId="8638" priority="1945" operator="lessThan">
      <formula>0.8</formula>
    </cfRule>
    <cfRule type="cellIs" dxfId="8637" priority="1946" operator="greaterThan">
      <formula>1</formula>
    </cfRule>
  </conditionalFormatting>
  <conditionalFormatting sqref="R124 R131 R127">
    <cfRule type="cellIs" dxfId="8636" priority="1943" operator="greaterThan">
      <formula>1</formula>
    </cfRule>
    <cfRule type="cellIs" dxfId="8635" priority="1944" operator="lessThan">
      <formula>0.8</formula>
    </cfRule>
  </conditionalFormatting>
  <conditionalFormatting sqref="P124 P131 P127">
    <cfRule type="cellIs" dxfId="8634" priority="1942" operator="greaterThan">
      <formula>0</formula>
    </cfRule>
  </conditionalFormatting>
  <conditionalFormatting sqref="Q124 Q131 Q127">
    <cfRule type="cellIs" dxfId="8633" priority="1947" operator="lessThan">
      <formula>0</formula>
    </cfRule>
  </conditionalFormatting>
  <conditionalFormatting sqref="R124 R131 R127">
    <cfRule type="cellIs" dxfId="8632" priority="1939" operator="lessThan">
      <formula>0.8</formula>
    </cfRule>
    <cfRule type="cellIs" dxfId="8631" priority="1940" operator="greaterThan">
      <formula>1</formula>
    </cfRule>
  </conditionalFormatting>
  <conditionalFormatting sqref="R124 R131 R127">
    <cfRule type="cellIs" dxfId="8630" priority="1937" operator="greaterThan">
      <formula>1</formula>
    </cfRule>
    <cfRule type="cellIs" dxfId="8629" priority="1938" operator="lessThan">
      <formula>0.8</formula>
    </cfRule>
  </conditionalFormatting>
  <conditionalFormatting sqref="P124 P131 P127">
    <cfRule type="cellIs" dxfId="8628" priority="1936" operator="greaterThan">
      <formula>0</formula>
    </cfRule>
  </conditionalFormatting>
  <conditionalFormatting sqref="Q124 Q131 Q127">
    <cfRule type="cellIs" dxfId="8627" priority="1941" operator="lessThan">
      <formula>0</formula>
    </cfRule>
  </conditionalFormatting>
  <conditionalFormatting sqref="Q124 Q131 Q127">
    <cfRule type="cellIs" dxfId="8626" priority="1935" operator="lessThan">
      <formula>0</formula>
    </cfRule>
  </conditionalFormatting>
  <conditionalFormatting sqref="R124 R131 R127">
    <cfRule type="cellIs" dxfId="8625" priority="1933" operator="lessThan">
      <formula>0.8</formula>
    </cfRule>
    <cfRule type="cellIs" dxfId="8624" priority="1934" operator="greaterThan">
      <formula>1</formula>
    </cfRule>
  </conditionalFormatting>
  <conditionalFormatting sqref="R124 R131 R127">
    <cfRule type="cellIs" dxfId="8623" priority="1931" operator="greaterThan">
      <formula>1</formula>
    </cfRule>
    <cfRule type="cellIs" dxfId="8622" priority="1932" operator="lessThan">
      <formula>0.8</formula>
    </cfRule>
  </conditionalFormatting>
  <conditionalFormatting sqref="P124 P131 P127">
    <cfRule type="cellIs" dxfId="8621" priority="1930" operator="greaterThan">
      <formula>0</formula>
    </cfRule>
  </conditionalFormatting>
  <conditionalFormatting sqref="Q124 Q131 Q127">
    <cfRule type="cellIs" dxfId="8620" priority="1924" operator="lessThan">
      <formula>0</formula>
    </cfRule>
  </conditionalFormatting>
  <conditionalFormatting sqref="R124 R131 R127">
    <cfRule type="cellIs" dxfId="8619" priority="1928" operator="lessThan">
      <formula>0.8</formula>
    </cfRule>
    <cfRule type="cellIs" dxfId="8618" priority="1929" operator="greaterThan">
      <formula>1</formula>
    </cfRule>
  </conditionalFormatting>
  <conditionalFormatting sqref="R124 R131 R127">
    <cfRule type="cellIs" dxfId="8617" priority="1926" operator="greaterThan">
      <formula>1</formula>
    </cfRule>
    <cfRule type="cellIs" dxfId="8616" priority="1927" operator="lessThan">
      <formula>0.8</formula>
    </cfRule>
  </conditionalFormatting>
  <conditionalFormatting sqref="P124 P131 P127">
    <cfRule type="cellIs" dxfId="8615" priority="1925" operator="greaterThan">
      <formula>0</formula>
    </cfRule>
  </conditionalFormatting>
  <conditionalFormatting sqref="Q124 Q131 Q127">
    <cfRule type="cellIs" dxfId="8614" priority="1923" operator="lessThan">
      <formula>0</formula>
    </cfRule>
  </conditionalFormatting>
  <conditionalFormatting sqref="R124 R131 R127">
    <cfRule type="cellIs" dxfId="8613" priority="1921" operator="lessThan">
      <formula>0.8</formula>
    </cfRule>
    <cfRule type="cellIs" dxfId="8612" priority="1922" operator="greaterThan">
      <formula>1</formula>
    </cfRule>
  </conditionalFormatting>
  <conditionalFormatting sqref="R124 R131 R127">
    <cfRule type="cellIs" dxfId="8611" priority="1919" operator="greaterThan">
      <formula>1</formula>
    </cfRule>
    <cfRule type="cellIs" dxfId="8610" priority="1920" operator="lessThan">
      <formula>0.8</formula>
    </cfRule>
  </conditionalFormatting>
  <conditionalFormatting sqref="P124 P131 P127">
    <cfRule type="cellIs" dxfId="8609" priority="1918" operator="greaterThan">
      <formula>0</formula>
    </cfRule>
  </conditionalFormatting>
  <conditionalFormatting sqref="Q124 Q131 Q127">
    <cfRule type="cellIs" dxfId="8608" priority="1917" operator="lessThan">
      <formula>0</formula>
    </cfRule>
  </conditionalFormatting>
  <conditionalFormatting sqref="R124 R131 R127">
    <cfRule type="cellIs" dxfId="8607" priority="1915" operator="lessThan">
      <formula>0.8</formula>
    </cfRule>
    <cfRule type="cellIs" dxfId="8606" priority="1916" operator="greaterThan">
      <formula>1</formula>
    </cfRule>
  </conditionalFormatting>
  <conditionalFormatting sqref="R124 R131 R127">
    <cfRule type="cellIs" dxfId="8605" priority="1913" operator="greaterThan">
      <formula>1</formula>
    </cfRule>
    <cfRule type="cellIs" dxfId="8604" priority="1914" operator="lessThan">
      <formula>0.8</formula>
    </cfRule>
  </conditionalFormatting>
  <conditionalFormatting sqref="P124 P131 P127">
    <cfRule type="cellIs" dxfId="8603" priority="1912" operator="greaterThan">
      <formula>0</formula>
    </cfRule>
  </conditionalFormatting>
  <conditionalFormatting sqref="Q124 Q131 Q127">
    <cfRule type="cellIs" dxfId="8602" priority="1911" operator="lessThan">
      <formula>0</formula>
    </cfRule>
  </conditionalFormatting>
  <conditionalFormatting sqref="R124 R131 R127">
    <cfRule type="cellIs" dxfId="8601" priority="1909" operator="lessThan">
      <formula>0.8</formula>
    </cfRule>
    <cfRule type="cellIs" dxfId="8600" priority="1910" operator="greaterThan">
      <formula>1</formula>
    </cfRule>
  </conditionalFormatting>
  <conditionalFormatting sqref="R124 R131 R127">
    <cfRule type="cellIs" dxfId="8599" priority="1907" operator="greaterThan">
      <formula>1</formula>
    </cfRule>
    <cfRule type="cellIs" dxfId="8598" priority="1908" operator="lessThan">
      <formula>0.8</formula>
    </cfRule>
  </conditionalFormatting>
  <conditionalFormatting sqref="P124 P131 P127">
    <cfRule type="cellIs" dxfId="8597" priority="1906" operator="greaterThan">
      <formula>0</formula>
    </cfRule>
  </conditionalFormatting>
  <conditionalFormatting sqref="Q124 Q131 Q127">
    <cfRule type="cellIs" dxfId="8596" priority="1905" operator="lessThan">
      <formula>0</formula>
    </cfRule>
  </conditionalFormatting>
  <conditionalFormatting sqref="R124 R131 R127">
    <cfRule type="cellIs" dxfId="8595" priority="1903" operator="lessThan">
      <formula>0.8</formula>
    </cfRule>
    <cfRule type="cellIs" dxfId="8594" priority="1904" operator="greaterThan">
      <formula>1</formula>
    </cfRule>
  </conditionalFormatting>
  <conditionalFormatting sqref="R124 R131 R127">
    <cfRule type="cellIs" dxfId="8593" priority="1901" operator="greaterThan">
      <formula>1</formula>
    </cfRule>
    <cfRule type="cellIs" dxfId="8592" priority="1902" operator="lessThan">
      <formula>0.8</formula>
    </cfRule>
  </conditionalFormatting>
  <conditionalFormatting sqref="P124 P131 P127">
    <cfRule type="cellIs" dxfId="8591" priority="1900" operator="greaterThan">
      <formula>0</formula>
    </cfRule>
  </conditionalFormatting>
  <conditionalFormatting sqref="Q124 Q131 Q127">
    <cfRule type="cellIs" dxfId="8590" priority="1899" operator="lessThan">
      <formula>0</formula>
    </cfRule>
  </conditionalFormatting>
  <conditionalFormatting sqref="R124 R131 R127">
    <cfRule type="cellIs" dxfId="8589" priority="1897" operator="lessThan">
      <formula>0.8</formula>
    </cfRule>
    <cfRule type="cellIs" dxfId="8588" priority="1898" operator="greaterThan">
      <formula>1</formula>
    </cfRule>
  </conditionalFormatting>
  <conditionalFormatting sqref="R124 R131 R127">
    <cfRule type="cellIs" dxfId="8587" priority="1895" operator="greaterThan">
      <formula>1</formula>
    </cfRule>
    <cfRule type="cellIs" dxfId="8586" priority="1896" operator="lessThan">
      <formula>0.8</formula>
    </cfRule>
  </conditionalFormatting>
  <conditionalFormatting sqref="P124 P131 P127">
    <cfRule type="cellIs" dxfId="8585" priority="1894" operator="greaterThan">
      <formula>0</formula>
    </cfRule>
  </conditionalFormatting>
  <conditionalFormatting sqref="P124 P131 P127">
    <cfRule type="cellIs" dxfId="8584" priority="1888" operator="greaterThan">
      <formula>0</formula>
    </cfRule>
  </conditionalFormatting>
  <conditionalFormatting sqref="Q124 Q131 Q127">
    <cfRule type="cellIs" dxfId="8583" priority="1893" operator="lessThan">
      <formula>0</formula>
    </cfRule>
  </conditionalFormatting>
  <conditionalFormatting sqref="R124 R131 R127">
    <cfRule type="cellIs" dxfId="8582" priority="1891" operator="lessThan">
      <formula>0.8</formula>
    </cfRule>
    <cfRule type="cellIs" dxfId="8581" priority="1892" operator="greaterThan">
      <formula>1</formula>
    </cfRule>
  </conditionalFormatting>
  <conditionalFormatting sqref="R124 R131 R127">
    <cfRule type="cellIs" dxfId="8580" priority="1889" operator="greaterThan">
      <formula>1</formula>
    </cfRule>
    <cfRule type="cellIs" dxfId="8579" priority="1890" operator="lessThan">
      <formula>0.8</formula>
    </cfRule>
  </conditionalFormatting>
  <conditionalFormatting sqref="P124 P131 P127">
    <cfRule type="cellIs" dxfId="8578" priority="1882" operator="greaterThan">
      <formula>0</formula>
    </cfRule>
  </conditionalFormatting>
  <conditionalFormatting sqref="Q124 Q131 Q127">
    <cfRule type="cellIs" dxfId="8577" priority="1887" operator="lessThan">
      <formula>0</formula>
    </cfRule>
  </conditionalFormatting>
  <conditionalFormatting sqref="R124 R131 R127">
    <cfRule type="cellIs" dxfId="8576" priority="1885" operator="lessThan">
      <formula>0.8</formula>
    </cfRule>
    <cfRule type="cellIs" dxfId="8575" priority="1886" operator="greaterThan">
      <formula>1</formula>
    </cfRule>
  </conditionalFormatting>
  <conditionalFormatting sqref="R124 R131 R127">
    <cfRule type="cellIs" dxfId="8574" priority="1883" operator="greaterThan">
      <formula>1</formula>
    </cfRule>
    <cfRule type="cellIs" dxfId="8573" priority="1884" operator="lessThan">
      <formula>0.8</formula>
    </cfRule>
  </conditionalFormatting>
  <conditionalFormatting sqref="R124 R131 R127">
    <cfRule type="cellIs" dxfId="8572" priority="1879" operator="lessThan">
      <formula>0.8</formula>
    </cfRule>
    <cfRule type="cellIs" dxfId="8571" priority="1880" operator="greaterThan">
      <formula>1</formula>
    </cfRule>
  </conditionalFormatting>
  <conditionalFormatting sqref="R124 R131 R127">
    <cfRule type="cellIs" dxfId="8570" priority="1877" operator="greaterThan">
      <formula>1</formula>
    </cfRule>
    <cfRule type="cellIs" dxfId="8569" priority="1878" operator="lessThan">
      <formula>0.8</formula>
    </cfRule>
  </conditionalFormatting>
  <conditionalFormatting sqref="P124 P131 P127">
    <cfRule type="cellIs" dxfId="8568" priority="1876" operator="greaterThan">
      <formula>0</formula>
    </cfRule>
  </conditionalFormatting>
  <conditionalFormatting sqref="Q124 Q131 Q127">
    <cfRule type="cellIs" dxfId="8567" priority="1881" operator="lessThan">
      <formula>0</formula>
    </cfRule>
  </conditionalFormatting>
  <conditionalFormatting sqref="Q5:Q14">
    <cfRule type="cellIs" dxfId="8566" priority="1875" operator="lessThan">
      <formula>0</formula>
    </cfRule>
  </conditionalFormatting>
  <conditionalFormatting sqref="R5:R14">
    <cfRule type="cellIs" dxfId="8565" priority="1873" operator="lessThan">
      <formula>0.8</formula>
    </cfRule>
    <cfRule type="cellIs" dxfId="8564" priority="1874" operator="greaterThan">
      <formula>1</formula>
    </cfRule>
  </conditionalFormatting>
  <conditionalFormatting sqref="R5:R14">
    <cfRule type="cellIs" dxfId="8563" priority="1871" operator="greaterThan">
      <formula>1</formula>
    </cfRule>
    <cfRule type="cellIs" dxfId="8562" priority="1872" operator="lessThan">
      <formula>0.8</formula>
    </cfRule>
  </conditionalFormatting>
  <conditionalFormatting sqref="P5:P14">
    <cfRule type="cellIs" dxfId="8561" priority="1870" operator="greaterThan">
      <formula>0</formula>
    </cfRule>
  </conditionalFormatting>
  <conditionalFormatting sqref="Q83">
    <cfRule type="cellIs" dxfId="8560" priority="1869" operator="lessThan">
      <formula>0</formula>
    </cfRule>
  </conditionalFormatting>
  <conditionalFormatting sqref="R83">
    <cfRule type="cellIs" dxfId="8559" priority="1867" operator="lessThan">
      <formula>0.8</formula>
    </cfRule>
    <cfRule type="cellIs" dxfId="8558" priority="1868" operator="greaterThan">
      <formula>1</formula>
    </cfRule>
  </conditionalFormatting>
  <conditionalFormatting sqref="R83">
    <cfRule type="cellIs" dxfId="8557" priority="1865" operator="greaterThan">
      <formula>1</formula>
    </cfRule>
    <cfRule type="cellIs" dxfId="8556" priority="1866" operator="lessThan">
      <formula>0.8</formula>
    </cfRule>
  </conditionalFormatting>
  <conditionalFormatting sqref="P83">
    <cfRule type="cellIs" dxfId="8555" priority="1864" operator="greaterThan">
      <formula>0</formula>
    </cfRule>
  </conditionalFormatting>
  <conditionalFormatting sqref="Q83">
    <cfRule type="cellIs" dxfId="8554" priority="1863" operator="lessThan">
      <formula>0</formula>
    </cfRule>
  </conditionalFormatting>
  <conditionalFormatting sqref="R83">
    <cfRule type="cellIs" dxfId="8553" priority="1861" operator="lessThan">
      <formula>0.8</formula>
    </cfRule>
    <cfRule type="cellIs" dxfId="8552" priority="1862" operator="greaterThan">
      <formula>1</formula>
    </cfRule>
  </conditionalFormatting>
  <conditionalFormatting sqref="R83">
    <cfRule type="cellIs" dxfId="8551" priority="1859" operator="greaterThan">
      <formula>1</formula>
    </cfRule>
    <cfRule type="cellIs" dxfId="8550" priority="1860" operator="lessThan">
      <formula>0.8</formula>
    </cfRule>
  </conditionalFormatting>
  <conditionalFormatting sqref="P83">
    <cfRule type="cellIs" dxfId="8549" priority="1858" operator="greaterThan">
      <formula>0</formula>
    </cfRule>
  </conditionalFormatting>
  <conditionalFormatting sqref="Q83">
    <cfRule type="cellIs" dxfId="8548" priority="1857" operator="lessThan">
      <formula>0</formula>
    </cfRule>
  </conditionalFormatting>
  <conditionalFormatting sqref="R83">
    <cfRule type="cellIs" dxfId="8547" priority="1855" operator="lessThan">
      <formula>0.8</formula>
    </cfRule>
    <cfRule type="cellIs" dxfId="8546" priority="1856" operator="greaterThan">
      <formula>1</formula>
    </cfRule>
  </conditionalFormatting>
  <conditionalFormatting sqref="R83">
    <cfRule type="cellIs" dxfId="8545" priority="1853" operator="greaterThan">
      <formula>1</formula>
    </cfRule>
    <cfRule type="cellIs" dxfId="8544" priority="1854" operator="lessThan">
      <formula>0.8</formula>
    </cfRule>
  </conditionalFormatting>
  <conditionalFormatting sqref="P83">
    <cfRule type="cellIs" dxfId="8543" priority="1852" operator="greaterThan">
      <formula>0</formula>
    </cfRule>
  </conditionalFormatting>
  <conditionalFormatting sqref="Q83">
    <cfRule type="cellIs" dxfId="8542" priority="1851" operator="lessThan">
      <formula>0</formula>
    </cfRule>
  </conditionalFormatting>
  <conditionalFormatting sqref="R83">
    <cfRule type="cellIs" dxfId="8541" priority="1849" operator="lessThan">
      <formula>0.8</formula>
    </cfRule>
    <cfRule type="cellIs" dxfId="8540" priority="1850" operator="greaterThan">
      <formula>1</formula>
    </cfRule>
  </conditionalFormatting>
  <conditionalFormatting sqref="R83">
    <cfRule type="cellIs" dxfId="8539" priority="1847" operator="greaterThan">
      <formula>1</formula>
    </cfRule>
    <cfRule type="cellIs" dxfId="8538" priority="1848" operator="lessThan">
      <formula>0.8</formula>
    </cfRule>
  </conditionalFormatting>
  <conditionalFormatting sqref="P83">
    <cfRule type="cellIs" dxfId="8537" priority="1846" operator="greaterThan">
      <formula>0</formula>
    </cfRule>
  </conditionalFormatting>
  <conditionalFormatting sqref="P83">
    <cfRule type="cellIs" dxfId="8536" priority="1840" operator="greaterThan">
      <formula>0</formula>
    </cfRule>
  </conditionalFormatting>
  <conditionalFormatting sqref="Q83">
    <cfRule type="cellIs" dxfId="8535" priority="1845" operator="lessThan">
      <formula>0</formula>
    </cfRule>
  </conditionalFormatting>
  <conditionalFormatting sqref="R83">
    <cfRule type="cellIs" dxfId="8534" priority="1843" operator="lessThan">
      <formula>0.8</formula>
    </cfRule>
    <cfRule type="cellIs" dxfId="8533" priority="1844" operator="greaterThan">
      <formula>1</formula>
    </cfRule>
  </conditionalFormatting>
  <conditionalFormatting sqref="R83">
    <cfRule type="cellIs" dxfId="8532" priority="1841" operator="greaterThan">
      <formula>1</formula>
    </cfRule>
    <cfRule type="cellIs" dxfId="8531" priority="1842" operator="lessThan">
      <formula>0.8</formula>
    </cfRule>
  </conditionalFormatting>
  <conditionalFormatting sqref="P83">
    <cfRule type="cellIs" dxfId="8530" priority="1834" operator="greaterThan">
      <formula>0</formula>
    </cfRule>
  </conditionalFormatting>
  <conditionalFormatting sqref="Q83">
    <cfRule type="cellIs" dxfId="8529" priority="1839" operator="lessThan">
      <formula>0</formula>
    </cfRule>
  </conditionalFormatting>
  <conditionalFormatting sqref="R83">
    <cfRule type="cellIs" dxfId="8528" priority="1837" operator="lessThan">
      <formula>0.8</formula>
    </cfRule>
    <cfRule type="cellIs" dxfId="8527" priority="1838" operator="greaterThan">
      <formula>1</formula>
    </cfRule>
  </conditionalFormatting>
  <conditionalFormatting sqref="R83">
    <cfRule type="cellIs" dxfId="8526" priority="1835" operator="greaterThan">
      <formula>1</formula>
    </cfRule>
    <cfRule type="cellIs" dxfId="8525" priority="1836" operator="lessThan">
      <formula>0.8</formula>
    </cfRule>
  </conditionalFormatting>
  <conditionalFormatting sqref="R83">
    <cfRule type="cellIs" dxfId="8524" priority="1831" operator="lessThan">
      <formula>0.8</formula>
    </cfRule>
    <cfRule type="cellIs" dxfId="8523" priority="1832" operator="greaterThan">
      <formula>1</formula>
    </cfRule>
  </conditionalFormatting>
  <conditionalFormatting sqref="R83">
    <cfRule type="cellIs" dxfId="8522" priority="1829" operator="greaterThan">
      <formula>1</formula>
    </cfRule>
    <cfRule type="cellIs" dxfId="8521" priority="1830" operator="lessThan">
      <formula>0.8</formula>
    </cfRule>
  </conditionalFormatting>
  <conditionalFormatting sqref="P83">
    <cfRule type="cellIs" dxfId="8520" priority="1828" operator="greaterThan">
      <formula>0</formula>
    </cfRule>
  </conditionalFormatting>
  <conditionalFormatting sqref="Q83">
    <cfRule type="cellIs" dxfId="8519" priority="1833" operator="lessThan">
      <formula>0</formula>
    </cfRule>
  </conditionalFormatting>
  <conditionalFormatting sqref="Q83">
    <cfRule type="cellIs" dxfId="8518" priority="1827" operator="lessThan">
      <formula>0</formula>
    </cfRule>
  </conditionalFormatting>
  <conditionalFormatting sqref="R83">
    <cfRule type="cellIs" dxfId="8517" priority="1825" operator="lessThan">
      <formula>0.8</formula>
    </cfRule>
    <cfRule type="cellIs" dxfId="8516" priority="1826" operator="greaterThan">
      <formula>1</formula>
    </cfRule>
  </conditionalFormatting>
  <conditionalFormatting sqref="R83">
    <cfRule type="cellIs" dxfId="8515" priority="1823" operator="greaterThan">
      <formula>1</formula>
    </cfRule>
    <cfRule type="cellIs" dxfId="8514" priority="1824" operator="lessThan">
      <formula>0.8</formula>
    </cfRule>
  </conditionalFormatting>
  <conditionalFormatting sqref="P83">
    <cfRule type="cellIs" dxfId="8513" priority="1822" operator="greaterThan">
      <formula>0</formula>
    </cfRule>
  </conditionalFormatting>
  <conditionalFormatting sqref="P83">
    <cfRule type="cellIs" dxfId="8512" priority="1816" operator="greaterThan">
      <formula>0</formula>
    </cfRule>
  </conditionalFormatting>
  <conditionalFormatting sqref="Q83">
    <cfRule type="cellIs" dxfId="8511" priority="1821" operator="lessThan">
      <formula>0</formula>
    </cfRule>
  </conditionalFormatting>
  <conditionalFormatting sqref="R83">
    <cfRule type="cellIs" dxfId="8510" priority="1819" operator="lessThan">
      <formula>0.8</formula>
    </cfRule>
    <cfRule type="cellIs" dxfId="8509" priority="1820" operator="greaterThan">
      <formula>1</formula>
    </cfRule>
  </conditionalFormatting>
  <conditionalFormatting sqref="R83">
    <cfRule type="cellIs" dxfId="8508" priority="1817" operator="greaterThan">
      <formula>1</formula>
    </cfRule>
    <cfRule type="cellIs" dxfId="8507" priority="1818" operator="lessThan">
      <formula>0.8</formula>
    </cfRule>
  </conditionalFormatting>
  <conditionalFormatting sqref="P83">
    <cfRule type="cellIs" dxfId="8506" priority="1810" operator="greaterThan">
      <formula>0</formula>
    </cfRule>
  </conditionalFormatting>
  <conditionalFormatting sqref="Q83">
    <cfRule type="cellIs" dxfId="8505" priority="1815" operator="lessThan">
      <formula>0</formula>
    </cfRule>
  </conditionalFormatting>
  <conditionalFormatting sqref="R83">
    <cfRule type="cellIs" dxfId="8504" priority="1813" operator="lessThan">
      <formula>0.8</formula>
    </cfRule>
    <cfRule type="cellIs" dxfId="8503" priority="1814" operator="greaterThan">
      <formula>1</formula>
    </cfRule>
  </conditionalFormatting>
  <conditionalFormatting sqref="R83">
    <cfRule type="cellIs" dxfId="8502" priority="1811" operator="greaterThan">
      <formula>1</formula>
    </cfRule>
    <cfRule type="cellIs" dxfId="8501" priority="1812" operator="lessThan">
      <formula>0.8</formula>
    </cfRule>
  </conditionalFormatting>
  <conditionalFormatting sqref="R83">
    <cfRule type="cellIs" dxfId="8500" priority="1807" operator="lessThan">
      <formula>0.8</formula>
    </cfRule>
    <cfRule type="cellIs" dxfId="8499" priority="1808" operator="greaterThan">
      <formula>1</formula>
    </cfRule>
  </conditionalFormatting>
  <conditionalFormatting sqref="R83">
    <cfRule type="cellIs" dxfId="8498" priority="1805" operator="greaterThan">
      <formula>1</formula>
    </cfRule>
    <cfRule type="cellIs" dxfId="8497" priority="1806" operator="lessThan">
      <formula>0.8</formula>
    </cfRule>
  </conditionalFormatting>
  <conditionalFormatting sqref="P83">
    <cfRule type="cellIs" dxfId="8496" priority="1804" operator="greaterThan">
      <formula>0</formula>
    </cfRule>
  </conditionalFormatting>
  <conditionalFormatting sqref="Q83">
    <cfRule type="cellIs" dxfId="8495" priority="1809" operator="lessThan">
      <formula>0</formula>
    </cfRule>
  </conditionalFormatting>
  <conditionalFormatting sqref="P83">
    <cfRule type="cellIs" dxfId="8494" priority="1798" operator="greaterThan">
      <formula>0</formula>
    </cfRule>
  </conditionalFormatting>
  <conditionalFormatting sqref="Q83">
    <cfRule type="cellIs" dxfId="8493" priority="1803" operator="lessThan">
      <formula>0</formula>
    </cfRule>
  </conditionalFormatting>
  <conditionalFormatting sqref="R83">
    <cfRule type="cellIs" dxfId="8492" priority="1801" operator="lessThan">
      <formula>0.8</formula>
    </cfRule>
    <cfRule type="cellIs" dxfId="8491" priority="1802" operator="greaterThan">
      <formula>1</formula>
    </cfRule>
  </conditionalFormatting>
  <conditionalFormatting sqref="R83">
    <cfRule type="cellIs" dxfId="8490" priority="1799" operator="greaterThan">
      <formula>1</formula>
    </cfRule>
    <cfRule type="cellIs" dxfId="8489" priority="1800" operator="lessThan">
      <formula>0.8</formula>
    </cfRule>
  </conditionalFormatting>
  <conditionalFormatting sqref="R83">
    <cfRule type="cellIs" dxfId="8488" priority="1795" operator="lessThan">
      <formula>0.8</formula>
    </cfRule>
    <cfRule type="cellIs" dxfId="8487" priority="1796" operator="greaterThan">
      <formula>1</formula>
    </cfRule>
  </conditionalFormatting>
  <conditionalFormatting sqref="R83">
    <cfRule type="cellIs" dxfId="8486" priority="1793" operator="greaterThan">
      <formula>1</formula>
    </cfRule>
    <cfRule type="cellIs" dxfId="8485" priority="1794" operator="lessThan">
      <formula>0.8</formula>
    </cfRule>
  </conditionalFormatting>
  <conditionalFormatting sqref="P83">
    <cfRule type="cellIs" dxfId="8484" priority="1792" operator="greaterThan">
      <formula>0</formula>
    </cfRule>
  </conditionalFormatting>
  <conditionalFormatting sqref="Q83">
    <cfRule type="cellIs" dxfId="8483" priority="1797" operator="lessThan">
      <formula>0</formula>
    </cfRule>
  </conditionalFormatting>
  <conditionalFormatting sqref="R83">
    <cfRule type="cellIs" dxfId="8482" priority="1789" operator="lessThan">
      <formula>0.8</formula>
    </cfRule>
    <cfRule type="cellIs" dxfId="8481" priority="1790" operator="greaterThan">
      <formula>1</formula>
    </cfRule>
  </conditionalFormatting>
  <conditionalFormatting sqref="R83">
    <cfRule type="cellIs" dxfId="8480" priority="1787" operator="greaterThan">
      <formula>1</formula>
    </cfRule>
    <cfRule type="cellIs" dxfId="8479" priority="1788" operator="lessThan">
      <formula>0.8</formula>
    </cfRule>
  </conditionalFormatting>
  <conditionalFormatting sqref="P83">
    <cfRule type="cellIs" dxfId="8478" priority="1786" operator="greaterThan">
      <formula>0</formula>
    </cfRule>
  </conditionalFormatting>
  <conditionalFormatting sqref="Q83">
    <cfRule type="cellIs" dxfId="8477" priority="1791" operator="lessThan">
      <formula>0</formula>
    </cfRule>
  </conditionalFormatting>
  <conditionalFormatting sqref="Q83">
    <cfRule type="cellIs" dxfId="8476" priority="1785" operator="lessThan">
      <formula>0</formula>
    </cfRule>
  </conditionalFormatting>
  <conditionalFormatting sqref="R83">
    <cfRule type="cellIs" dxfId="8475" priority="1783" operator="lessThan">
      <formula>0.8</formula>
    </cfRule>
    <cfRule type="cellIs" dxfId="8474" priority="1784" operator="greaterThan">
      <formula>1</formula>
    </cfRule>
  </conditionalFormatting>
  <conditionalFormatting sqref="R83">
    <cfRule type="cellIs" dxfId="8473" priority="1781" operator="greaterThan">
      <formula>1</formula>
    </cfRule>
    <cfRule type="cellIs" dxfId="8472" priority="1782" operator="lessThan">
      <formula>0.8</formula>
    </cfRule>
  </conditionalFormatting>
  <conditionalFormatting sqref="P83">
    <cfRule type="cellIs" dxfId="8471" priority="1780" operator="greaterThan">
      <formula>0</formula>
    </cfRule>
  </conditionalFormatting>
  <conditionalFormatting sqref="Q83">
    <cfRule type="cellIs" dxfId="8470" priority="1774" operator="lessThan">
      <formula>0</formula>
    </cfRule>
  </conditionalFormatting>
  <conditionalFormatting sqref="R83">
    <cfRule type="cellIs" dxfId="8469" priority="1778" operator="lessThan">
      <formula>0.8</formula>
    </cfRule>
    <cfRule type="cellIs" dxfId="8468" priority="1779" operator="greaterThan">
      <formula>1</formula>
    </cfRule>
  </conditionalFormatting>
  <conditionalFormatting sqref="R83">
    <cfRule type="cellIs" dxfId="8467" priority="1776" operator="greaterThan">
      <formula>1</formula>
    </cfRule>
    <cfRule type="cellIs" dxfId="8466" priority="1777" operator="lessThan">
      <formula>0.8</formula>
    </cfRule>
  </conditionalFormatting>
  <conditionalFormatting sqref="P83">
    <cfRule type="cellIs" dxfId="8465" priority="1775" operator="greaterThan">
      <formula>0</formula>
    </cfRule>
  </conditionalFormatting>
  <conditionalFormatting sqref="Q83">
    <cfRule type="cellIs" dxfId="8464" priority="1773" operator="lessThan">
      <formula>0</formula>
    </cfRule>
  </conditionalFormatting>
  <conditionalFormatting sqref="R83">
    <cfRule type="cellIs" dxfId="8463" priority="1771" operator="lessThan">
      <formula>0.8</formula>
    </cfRule>
    <cfRule type="cellIs" dxfId="8462" priority="1772" operator="greaterThan">
      <formula>1</formula>
    </cfRule>
  </conditionalFormatting>
  <conditionalFormatting sqref="R83">
    <cfRule type="cellIs" dxfId="8461" priority="1769" operator="greaterThan">
      <formula>1</formula>
    </cfRule>
    <cfRule type="cellIs" dxfId="8460" priority="1770" operator="lessThan">
      <formula>0.8</formula>
    </cfRule>
  </conditionalFormatting>
  <conditionalFormatting sqref="P83">
    <cfRule type="cellIs" dxfId="8459" priority="1768" operator="greaterThan">
      <formula>0</formula>
    </cfRule>
  </conditionalFormatting>
  <conditionalFormatting sqref="Q83">
    <cfRule type="cellIs" dxfId="8458" priority="1767" operator="lessThan">
      <formula>0</formula>
    </cfRule>
  </conditionalFormatting>
  <conditionalFormatting sqref="R83">
    <cfRule type="cellIs" dxfId="8457" priority="1765" operator="lessThan">
      <formula>0.8</formula>
    </cfRule>
    <cfRule type="cellIs" dxfId="8456" priority="1766" operator="greaterThan">
      <formula>1</formula>
    </cfRule>
  </conditionalFormatting>
  <conditionalFormatting sqref="R83">
    <cfRule type="cellIs" dxfId="8455" priority="1763" operator="greaterThan">
      <formula>1</formula>
    </cfRule>
    <cfRule type="cellIs" dxfId="8454" priority="1764" operator="lessThan">
      <formula>0.8</formula>
    </cfRule>
  </conditionalFormatting>
  <conditionalFormatting sqref="P83">
    <cfRule type="cellIs" dxfId="8453" priority="1762" operator="greaterThan">
      <formula>0</formula>
    </cfRule>
  </conditionalFormatting>
  <conditionalFormatting sqref="Q83">
    <cfRule type="cellIs" dxfId="8452" priority="1761" operator="lessThan">
      <formula>0</formula>
    </cfRule>
  </conditionalFormatting>
  <conditionalFormatting sqref="R83">
    <cfRule type="cellIs" dxfId="8451" priority="1759" operator="lessThan">
      <formula>0.8</formula>
    </cfRule>
    <cfRule type="cellIs" dxfId="8450" priority="1760" operator="greaterThan">
      <formula>1</formula>
    </cfRule>
  </conditionalFormatting>
  <conditionalFormatting sqref="R83">
    <cfRule type="cellIs" dxfId="8449" priority="1757" operator="greaterThan">
      <formula>1</formula>
    </cfRule>
    <cfRule type="cellIs" dxfId="8448" priority="1758" operator="lessThan">
      <formula>0.8</formula>
    </cfRule>
  </conditionalFormatting>
  <conditionalFormatting sqref="P83">
    <cfRule type="cellIs" dxfId="8447" priority="1756" operator="greaterThan">
      <formula>0</formula>
    </cfRule>
  </conditionalFormatting>
  <conditionalFormatting sqref="Q83">
    <cfRule type="cellIs" dxfId="8446" priority="1755" operator="lessThan">
      <formula>0</formula>
    </cfRule>
  </conditionalFormatting>
  <conditionalFormatting sqref="R83">
    <cfRule type="cellIs" dxfId="8445" priority="1753" operator="lessThan">
      <formula>0.8</formula>
    </cfRule>
    <cfRule type="cellIs" dxfId="8444" priority="1754" operator="greaterThan">
      <formula>1</formula>
    </cfRule>
  </conditionalFormatting>
  <conditionalFormatting sqref="R83">
    <cfRule type="cellIs" dxfId="8443" priority="1751" operator="greaterThan">
      <formula>1</formula>
    </cfRule>
    <cfRule type="cellIs" dxfId="8442" priority="1752" operator="lessThan">
      <formula>0.8</formula>
    </cfRule>
  </conditionalFormatting>
  <conditionalFormatting sqref="P83">
    <cfRule type="cellIs" dxfId="8441" priority="1750" operator="greaterThan">
      <formula>0</formula>
    </cfRule>
  </conditionalFormatting>
  <conditionalFormatting sqref="Q83">
    <cfRule type="cellIs" dxfId="8440" priority="1749" operator="lessThan">
      <formula>0</formula>
    </cfRule>
  </conditionalFormatting>
  <conditionalFormatting sqref="R83">
    <cfRule type="cellIs" dxfId="8439" priority="1747" operator="lessThan">
      <formula>0.8</formula>
    </cfRule>
    <cfRule type="cellIs" dxfId="8438" priority="1748" operator="greaterThan">
      <formula>1</formula>
    </cfRule>
  </conditionalFormatting>
  <conditionalFormatting sqref="R83">
    <cfRule type="cellIs" dxfId="8437" priority="1745" operator="greaterThan">
      <formula>1</formula>
    </cfRule>
    <cfRule type="cellIs" dxfId="8436" priority="1746" operator="lessThan">
      <formula>0.8</formula>
    </cfRule>
  </conditionalFormatting>
  <conditionalFormatting sqref="P83">
    <cfRule type="cellIs" dxfId="8435" priority="1744" operator="greaterThan">
      <formula>0</formula>
    </cfRule>
  </conditionalFormatting>
  <conditionalFormatting sqref="P83">
    <cfRule type="cellIs" dxfId="8434" priority="1738" operator="greaterThan">
      <formula>0</formula>
    </cfRule>
  </conditionalFormatting>
  <conditionalFormatting sqref="Q83">
    <cfRule type="cellIs" dxfId="8433" priority="1743" operator="lessThan">
      <formula>0</formula>
    </cfRule>
  </conditionalFormatting>
  <conditionalFormatting sqref="R83">
    <cfRule type="cellIs" dxfId="8432" priority="1741" operator="lessThan">
      <formula>0.8</formula>
    </cfRule>
    <cfRule type="cellIs" dxfId="8431" priority="1742" operator="greaterThan">
      <formula>1</formula>
    </cfRule>
  </conditionalFormatting>
  <conditionalFormatting sqref="R83">
    <cfRule type="cellIs" dxfId="8430" priority="1739" operator="greaterThan">
      <formula>1</formula>
    </cfRule>
    <cfRule type="cellIs" dxfId="8429" priority="1740" operator="lessThan">
      <formula>0.8</formula>
    </cfRule>
  </conditionalFormatting>
  <conditionalFormatting sqref="P83">
    <cfRule type="cellIs" dxfId="8428" priority="1732" operator="greaterThan">
      <formula>0</formula>
    </cfRule>
  </conditionalFormatting>
  <conditionalFormatting sqref="Q83">
    <cfRule type="cellIs" dxfId="8427" priority="1737" operator="lessThan">
      <formula>0</formula>
    </cfRule>
  </conditionalFormatting>
  <conditionalFormatting sqref="R83">
    <cfRule type="cellIs" dxfId="8426" priority="1735" operator="lessThan">
      <formula>0.8</formula>
    </cfRule>
    <cfRule type="cellIs" dxfId="8425" priority="1736" operator="greaterThan">
      <formula>1</formula>
    </cfRule>
  </conditionalFormatting>
  <conditionalFormatting sqref="R83">
    <cfRule type="cellIs" dxfId="8424" priority="1733" operator="greaterThan">
      <formula>1</formula>
    </cfRule>
    <cfRule type="cellIs" dxfId="8423" priority="1734" operator="lessThan">
      <formula>0.8</formula>
    </cfRule>
  </conditionalFormatting>
  <conditionalFormatting sqref="R83">
    <cfRule type="cellIs" dxfId="8422" priority="1729" operator="lessThan">
      <formula>0.8</formula>
    </cfRule>
    <cfRule type="cellIs" dxfId="8421" priority="1730" operator="greaterThan">
      <formula>1</formula>
    </cfRule>
  </conditionalFormatting>
  <conditionalFormatting sqref="R83">
    <cfRule type="cellIs" dxfId="8420" priority="1727" operator="greaterThan">
      <formula>1</formula>
    </cfRule>
    <cfRule type="cellIs" dxfId="8419" priority="1728" operator="lessThan">
      <formula>0.8</formula>
    </cfRule>
  </conditionalFormatting>
  <conditionalFormatting sqref="P83">
    <cfRule type="cellIs" dxfId="8418" priority="1726" operator="greaterThan">
      <formula>0</formula>
    </cfRule>
  </conditionalFormatting>
  <conditionalFormatting sqref="Q83">
    <cfRule type="cellIs" dxfId="8417" priority="1731" operator="lessThan">
      <formula>0</formula>
    </cfRule>
  </conditionalFormatting>
  <conditionalFormatting sqref="Q83">
    <cfRule type="cellIs" dxfId="8416" priority="1720" operator="lessThan">
      <formula>0</formula>
    </cfRule>
  </conditionalFormatting>
  <conditionalFormatting sqref="P83">
    <cfRule type="cellIs" dxfId="8415" priority="1721" operator="greaterThan">
      <formula>0</formula>
    </cfRule>
  </conditionalFormatting>
  <conditionalFormatting sqref="R83">
    <cfRule type="cellIs" dxfId="8414" priority="1724" operator="lessThan">
      <formula>0.8</formula>
    </cfRule>
    <cfRule type="cellIs" dxfId="8413" priority="1725" operator="greaterThan">
      <formula>1</formula>
    </cfRule>
  </conditionalFormatting>
  <conditionalFormatting sqref="R83">
    <cfRule type="cellIs" dxfId="8412" priority="1722" operator="greaterThan">
      <formula>1</formula>
    </cfRule>
    <cfRule type="cellIs" dxfId="8411" priority="1723" operator="lessThan">
      <formula>0.8</formula>
    </cfRule>
  </conditionalFormatting>
  <conditionalFormatting sqref="Q83">
    <cfRule type="cellIs" dxfId="8410" priority="1714" operator="lessThan">
      <formula>0</formula>
    </cfRule>
  </conditionalFormatting>
  <conditionalFormatting sqref="R83">
    <cfRule type="cellIs" dxfId="8409" priority="1718" operator="lessThan">
      <formula>0.8</formula>
    </cfRule>
    <cfRule type="cellIs" dxfId="8408" priority="1719" operator="greaterThan">
      <formula>1</formula>
    </cfRule>
  </conditionalFormatting>
  <conditionalFormatting sqref="R83">
    <cfRule type="cellIs" dxfId="8407" priority="1716" operator="greaterThan">
      <formula>1</formula>
    </cfRule>
    <cfRule type="cellIs" dxfId="8406" priority="1717" operator="lessThan">
      <formula>0.8</formula>
    </cfRule>
  </conditionalFormatting>
  <conditionalFormatting sqref="P83">
    <cfRule type="cellIs" dxfId="8405" priority="1715" operator="greaterThan">
      <formula>0</formula>
    </cfRule>
  </conditionalFormatting>
  <conditionalFormatting sqref="Q83">
    <cfRule type="cellIs" dxfId="8404" priority="1713" operator="lessThan">
      <formula>0</formula>
    </cfRule>
  </conditionalFormatting>
  <conditionalFormatting sqref="R83">
    <cfRule type="cellIs" dxfId="8403" priority="1711" operator="lessThan">
      <formula>0.8</formula>
    </cfRule>
    <cfRule type="cellIs" dxfId="8402" priority="1712" operator="greaterThan">
      <formula>1</formula>
    </cfRule>
  </conditionalFormatting>
  <conditionalFormatting sqref="R83">
    <cfRule type="cellIs" dxfId="8401" priority="1709" operator="greaterThan">
      <formula>1</formula>
    </cfRule>
    <cfRule type="cellIs" dxfId="8400" priority="1710" operator="lessThan">
      <formula>0.8</formula>
    </cfRule>
  </conditionalFormatting>
  <conditionalFormatting sqref="P83">
    <cfRule type="cellIs" dxfId="8399" priority="1708" operator="greaterThan">
      <formula>0</formula>
    </cfRule>
  </conditionalFormatting>
  <conditionalFormatting sqref="Q83">
    <cfRule type="cellIs" dxfId="8398" priority="1707" operator="lessThan">
      <formula>0</formula>
    </cfRule>
  </conditionalFormatting>
  <conditionalFormatting sqref="R83">
    <cfRule type="cellIs" dxfId="8397" priority="1705" operator="lessThan">
      <formula>0.8</formula>
    </cfRule>
    <cfRule type="cellIs" dxfId="8396" priority="1706" operator="greaterThan">
      <formula>1</formula>
    </cfRule>
  </conditionalFormatting>
  <conditionalFormatting sqref="R83">
    <cfRule type="cellIs" dxfId="8395" priority="1703" operator="greaterThan">
      <formula>1</formula>
    </cfRule>
    <cfRule type="cellIs" dxfId="8394" priority="1704" operator="lessThan">
      <formula>0.8</formula>
    </cfRule>
  </conditionalFormatting>
  <conditionalFormatting sqref="P83">
    <cfRule type="cellIs" dxfId="8393" priority="1702" operator="greaterThan">
      <formula>0</formula>
    </cfRule>
  </conditionalFormatting>
  <conditionalFormatting sqref="Q83">
    <cfRule type="cellIs" dxfId="8392" priority="1701" operator="lessThan">
      <formula>0</formula>
    </cfRule>
  </conditionalFormatting>
  <conditionalFormatting sqref="R83">
    <cfRule type="cellIs" dxfId="8391" priority="1699" operator="lessThan">
      <formula>0.8</formula>
    </cfRule>
    <cfRule type="cellIs" dxfId="8390" priority="1700" operator="greaterThan">
      <formula>1</formula>
    </cfRule>
  </conditionalFormatting>
  <conditionalFormatting sqref="R83">
    <cfRule type="cellIs" dxfId="8389" priority="1697" operator="greaterThan">
      <formula>1</formula>
    </cfRule>
    <cfRule type="cellIs" dxfId="8388" priority="1698" operator="lessThan">
      <formula>0.8</formula>
    </cfRule>
  </conditionalFormatting>
  <conditionalFormatting sqref="P83">
    <cfRule type="cellIs" dxfId="8387" priority="1696" operator="greaterThan">
      <formula>0</formula>
    </cfRule>
  </conditionalFormatting>
  <conditionalFormatting sqref="Q32:Q39">
    <cfRule type="cellIs" dxfId="8386" priority="1690" operator="lessThan">
      <formula>0</formula>
    </cfRule>
  </conditionalFormatting>
  <conditionalFormatting sqref="P32:P39">
    <cfRule type="cellIs" dxfId="8385" priority="1691" operator="greaterThan">
      <formula>0</formula>
    </cfRule>
  </conditionalFormatting>
  <conditionalFormatting sqref="R32:R39">
    <cfRule type="cellIs" dxfId="8384" priority="1694" operator="lessThan">
      <formula>0.8</formula>
    </cfRule>
    <cfRule type="cellIs" dxfId="8383" priority="1695" operator="greaterThan">
      <formula>1</formula>
    </cfRule>
  </conditionalFormatting>
  <conditionalFormatting sqref="R32:R39">
    <cfRule type="cellIs" dxfId="8382" priority="1692" operator="greaterThan">
      <formula>1</formula>
    </cfRule>
    <cfRule type="cellIs" dxfId="8381" priority="1693" operator="lessThan">
      <formula>0.8</formula>
    </cfRule>
  </conditionalFormatting>
  <conditionalFormatting sqref="Q32:Q39">
    <cfRule type="cellIs" dxfId="8380" priority="1684" operator="lessThan">
      <formula>0</formula>
    </cfRule>
  </conditionalFormatting>
  <conditionalFormatting sqref="R32:R39">
    <cfRule type="cellIs" dxfId="8379" priority="1688" operator="lessThan">
      <formula>0.8</formula>
    </cfRule>
    <cfRule type="cellIs" dxfId="8378" priority="1689" operator="greaterThan">
      <formula>1</formula>
    </cfRule>
  </conditionalFormatting>
  <conditionalFormatting sqref="R32:R39">
    <cfRule type="cellIs" dxfId="8377" priority="1686" operator="greaterThan">
      <formula>1</formula>
    </cfRule>
    <cfRule type="cellIs" dxfId="8376" priority="1687" operator="lessThan">
      <formula>0.8</formula>
    </cfRule>
  </conditionalFormatting>
  <conditionalFormatting sqref="P32:P39">
    <cfRule type="cellIs" dxfId="8375" priority="1685" operator="greaterThan">
      <formula>0</formula>
    </cfRule>
  </conditionalFormatting>
  <conditionalFormatting sqref="Q32:Q39">
    <cfRule type="cellIs" dxfId="8374" priority="1683" operator="lessThan">
      <formula>0</formula>
    </cfRule>
  </conditionalFormatting>
  <conditionalFormatting sqref="R32:R39">
    <cfRule type="cellIs" dxfId="8373" priority="1681" operator="lessThan">
      <formula>0.8</formula>
    </cfRule>
    <cfRule type="cellIs" dxfId="8372" priority="1682" operator="greaterThan">
      <formula>1</formula>
    </cfRule>
  </conditionalFormatting>
  <conditionalFormatting sqref="R32:R39">
    <cfRule type="cellIs" dxfId="8371" priority="1679" operator="greaterThan">
      <formula>1</formula>
    </cfRule>
    <cfRule type="cellIs" dxfId="8370" priority="1680" operator="lessThan">
      <formula>0.8</formula>
    </cfRule>
  </conditionalFormatting>
  <conditionalFormatting sqref="P32:P39">
    <cfRule type="cellIs" dxfId="8369" priority="1678" operator="greaterThan">
      <formula>0</formula>
    </cfRule>
  </conditionalFormatting>
  <conditionalFormatting sqref="Q32:Q39">
    <cfRule type="cellIs" dxfId="8368" priority="1677" operator="lessThan">
      <formula>0</formula>
    </cfRule>
  </conditionalFormatting>
  <conditionalFormatting sqref="R32:R39">
    <cfRule type="cellIs" dxfId="8367" priority="1675" operator="lessThan">
      <formula>0.8</formula>
    </cfRule>
    <cfRule type="cellIs" dxfId="8366" priority="1676" operator="greaterThan">
      <formula>1</formula>
    </cfRule>
  </conditionalFormatting>
  <conditionalFormatting sqref="R32:R39">
    <cfRule type="cellIs" dxfId="8365" priority="1673" operator="greaterThan">
      <formula>1</formula>
    </cfRule>
    <cfRule type="cellIs" dxfId="8364" priority="1674" operator="lessThan">
      <formula>0.8</formula>
    </cfRule>
  </conditionalFormatting>
  <conditionalFormatting sqref="P32:P39">
    <cfRule type="cellIs" dxfId="8363" priority="1672" operator="greaterThan">
      <formula>0</formula>
    </cfRule>
  </conditionalFormatting>
  <conditionalFormatting sqref="Q32:Q39">
    <cfRule type="cellIs" dxfId="8362" priority="1666" operator="lessThan">
      <formula>0</formula>
    </cfRule>
  </conditionalFormatting>
  <conditionalFormatting sqref="R32:R39">
    <cfRule type="cellIs" dxfId="8361" priority="1670" operator="lessThan">
      <formula>0.8</formula>
    </cfRule>
    <cfRule type="cellIs" dxfId="8360" priority="1671" operator="greaterThan">
      <formula>1</formula>
    </cfRule>
  </conditionalFormatting>
  <conditionalFormatting sqref="R32:R39">
    <cfRule type="cellIs" dxfId="8359" priority="1668" operator="greaterThan">
      <formula>1</formula>
    </cfRule>
    <cfRule type="cellIs" dxfId="8358" priority="1669" operator="lessThan">
      <formula>0.8</formula>
    </cfRule>
  </conditionalFormatting>
  <conditionalFormatting sqref="P32:P39">
    <cfRule type="cellIs" dxfId="8357" priority="1667" operator="greaterThan">
      <formula>0</formula>
    </cfRule>
  </conditionalFormatting>
  <conditionalFormatting sqref="Q32:Q39">
    <cfRule type="cellIs" dxfId="8356" priority="1665" operator="lessThan">
      <formula>0</formula>
    </cfRule>
  </conditionalFormatting>
  <conditionalFormatting sqref="R32:R39">
    <cfRule type="cellIs" dxfId="8355" priority="1663" operator="lessThan">
      <formula>0.8</formula>
    </cfRule>
    <cfRule type="cellIs" dxfId="8354" priority="1664" operator="greaterThan">
      <formula>1</formula>
    </cfRule>
  </conditionalFormatting>
  <conditionalFormatting sqref="R32:R39">
    <cfRule type="cellIs" dxfId="8353" priority="1661" operator="greaterThan">
      <formula>1</formula>
    </cfRule>
    <cfRule type="cellIs" dxfId="8352" priority="1662" operator="lessThan">
      <formula>0.8</formula>
    </cfRule>
  </conditionalFormatting>
  <conditionalFormatting sqref="P32:P39">
    <cfRule type="cellIs" dxfId="8351" priority="1660" operator="greaterThan">
      <formula>0</formula>
    </cfRule>
  </conditionalFormatting>
  <conditionalFormatting sqref="Q32:Q39">
    <cfRule type="cellIs" dxfId="8350" priority="1659" operator="lessThan">
      <formula>0</formula>
    </cfRule>
  </conditionalFormatting>
  <conditionalFormatting sqref="R32:R39">
    <cfRule type="cellIs" dxfId="8349" priority="1657" operator="lessThan">
      <formula>0.8</formula>
    </cfRule>
    <cfRule type="cellIs" dxfId="8348" priority="1658" operator="greaterThan">
      <formula>1</formula>
    </cfRule>
  </conditionalFormatting>
  <conditionalFormatting sqref="R32:R39">
    <cfRule type="cellIs" dxfId="8347" priority="1655" operator="greaterThan">
      <formula>1</formula>
    </cfRule>
    <cfRule type="cellIs" dxfId="8346" priority="1656" operator="lessThan">
      <formula>0.8</formula>
    </cfRule>
  </conditionalFormatting>
  <conditionalFormatting sqref="P32:P39">
    <cfRule type="cellIs" dxfId="8345" priority="1654" operator="greaterThan">
      <formula>0</formula>
    </cfRule>
  </conditionalFormatting>
  <conditionalFormatting sqref="Q32:Q39">
    <cfRule type="cellIs" dxfId="8344" priority="1653" operator="lessThan">
      <formula>0</formula>
    </cfRule>
  </conditionalFormatting>
  <conditionalFormatting sqref="R32:R39">
    <cfRule type="cellIs" dxfId="8343" priority="1651" operator="lessThan">
      <formula>0.8</formula>
    </cfRule>
    <cfRule type="cellIs" dxfId="8342" priority="1652" operator="greaterThan">
      <formula>1</formula>
    </cfRule>
  </conditionalFormatting>
  <conditionalFormatting sqref="R32:R39">
    <cfRule type="cellIs" dxfId="8341" priority="1649" operator="greaterThan">
      <formula>1</formula>
    </cfRule>
    <cfRule type="cellIs" dxfId="8340" priority="1650" operator="lessThan">
      <formula>0.8</formula>
    </cfRule>
  </conditionalFormatting>
  <conditionalFormatting sqref="P32:P39">
    <cfRule type="cellIs" dxfId="8339" priority="1648" operator="greaterThan">
      <formula>0</formula>
    </cfRule>
  </conditionalFormatting>
  <conditionalFormatting sqref="Q32:Q39">
    <cfRule type="cellIs" dxfId="8338" priority="1647" operator="lessThan">
      <formula>0</formula>
    </cfRule>
  </conditionalFormatting>
  <conditionalFormatting sqref="R32:R39">
    <cfRule type="cellIs" dxfId="8337" priority="1645" operator="lessThan">
      <formula>0.8</formula>
    </cfRule>
    <cfRule type="cellIs" dxfId="8336" priority="1646" operator="greaterThan">
      <formula>1</formula>
    </cfRule>
  </conditionalFormatting>
  <conditionalFormatting sqref="R32:R39">
    <cfRule type="cellIs" dxfId="8335" priority="1643" operator="greaterThan">
      <formula>1</formula>
    </cfRule>
    <cfRule type="cellIs" dxfId="8334" priority="1644" operator="lessThan">
      <formula>0.8</formula>
    </cfRule>
  </conditionalFormatting>
  <conditionalFormatting sqref="P32:P39">
    <cfRule type="cellIs" dxfId="8333" priority="1642" operator="greaterThan">
      <formula>0</formula>
    </cfRule>
  </conditionalFormatting>
  <conditionalFormatting sqref="Q32:Q39">
    <cfRule type="cellIs" dxfId="8332" priority="1641" operator="lessThan">
      <formula>0</formula>
    </cfRule>
  </conditionalFormatting>
  <conditionalFormatting sqref="R32:R39">
    <cfRule type="cellIs" dxfId="8331" priority="1639" operator="lessThan">
      <formula>0.8</formula>
    </cfRule>
    <cfRule type="cellIs" dxfId="8330" priority="1640" operator="greaterThan">
      <formula>1</formula>
    </cfRule>
  </conditionalFormatting>
  <conditionalFormatting sqref="R32:R39">
    <cfRule type="cellIs" dxfId="8329" priority="1637" operator="greaterThan">
      <formula>1</formula>
    </cfRule>
    <cfRule type="cellIs" dxfId="8328" priority="1638" operator="lessThan">
      <formula>0.8</formula>
    </cfRule>
  </conditionalFormatting>
  <conditionalFormatting sqref="P32:P39">
    <cfRule type="cellIs" dxfId="8327" priority="1636" operator="greaterThan">
      <formula>0</formula>
    </cfRule>
  </conditionalFormatting>
  <conditionalFormatting sqref="P32:P39">
    <cfRule type="cellIs" dxfId="8326" priority="1630" operator="greaterThan">
      <formula>0</formula>
    </cfRule>
  </conditionalFormatting>
  <conditionalFormatting sqref="Q32:Q39">
    <cfRule type="cellIs" dxfId="8325" priority="1635" operator="lessThan">
      <formula>0</formula>
    </cfRule>
  </conditionalFormatting>
  <conditionalFormatting sqref="R32:R39">
    <cfRule type="cellIs" dxfId="8324" priority="1633" operator="lessThan">
      <formula>0.8</formula>
    </cfRule>
    <cfRule type="cellIs" dxfId="8323" priority="1634" operator="greaterThan">
      <formula>1</formula>
    </cfRule>
  </conditionalFormatting>
  <conditionalFormatting sqref="R32:R39">
    <cfRule type="cellIs" dxfId="8322" priority="1631" operator="greaterThan">
      <formula>1</formula>
    </cfRule>
    <cfRule type="cellIs" dxfId="8321" priority="1632" operator="lessThan">
      <formula>0.8</formula>
    </cfRule>
  </conditionalFormatting>
  <conditionalFormatting sqref="P32:P39">
    <cfRule type="cellIs" dxfId="8320" priority="1624" operator="greaterThan">
      <formula>0</formula>
    </cfRule>
  </conditionalFormatting>
  <conditionalFormatting sqref="Q32:Q39">
    <cfRule type="cellIs" dxfId="8319" priority="1629" operator="lessThan">
      <formula>0</formula>
    </cfRule>
  </conditionalFormatting>
  <conditionalFormatting sqref="R32:R39">
    <cfRule type="cellIs" dxfId="8318" priority="1627" operator="lessThan">
      <formula>0.8</formula>
    </cfRule>
    <cfRule type="cellIs" dxfId="8317" priority="1628" operator="greaterThan">
      <formula>1</formula>
    </cfRule>
  </conditionalFormatting>
  <conditionalFormatting sqref="R32:R39">
    <cfRule type="cellIs" dxfId="8316" priority="1625" operator="greaterThan">
      <formula>1</formula>
    </cfRule>
    <cfRule type="cellIs" dxfId="8315" priority="1626" operator="lessThan">
      <formula>0.8</formula>
    </cfRule>
  </conditionalFormatting>
  <conditionalFormatting sqref="R32:R39">
    <cfRule type="cellIs" dxfId="8314" priority="1621" operator="lessThan">
      <formula>0.8</formula>
    </cfRule>
    <cfRule type="cellIs" dxfId="8313" priority="1622" operator="greaterThan">
      <formula>1</formula>
    </cfRule>
  </conditionalFormatting>
  <conditionalFormatting sqref="R32:R39">
    <cfRule type="cellIs" dxfId="8312" priority="1619" operator="greaterThan">
      <formula>1</formula>
    </cfRule>
    <cfRule type="cellIs" dxfId="8311" priority="1620" operator="lessThan">
      <formula>0.8</formula>
    </cfRule>
  </conditionalFormatting>
  <conditionalFormatting sqref="P32:P39">
    <cfRule type="cellIs" dxfId="8310" priority="1618" operator="greaterThan">
      <formula>0</formula>
    </cfRule>
  </conditionalFormatting>
  <conditionalFormatting sqref="Q32:Q39">
    <cfRule type="cellIs" dxfId="8309" priority="1623" operator="lessThan">
      <formula>0</formula>
    </cfRule>
  </conditionalFormatting>
  <conditionalFormatting sqref="Q32:Q39">
    <cfRule type="cellIs" dxfId="8308" priority="1612" operator="lessThan">
      <formula>0</formula>
    </cfRule>
  </conditionalFormatting>
  <conditionalFormatting sqref="P32:P39">
    <cfRule type="cellIs" dxfId="8307" priority="1613" operator="greaterThan">
      <formula>0</formula>
    </cfRule>
  </conditionalFormatting>
  <conditionalFormatting sqref="R32:R39">
    <cfRule type="cellIs" dxfId="8306" priority="1616" operator="lessThan">
      <formula>0.8</formula>
    </cfRule>
    <cfRule type="cellIs" dxfId="8305" priority="1617" operator="greaterThan">
      <formula>1</formula>
    </cfRule>
  </conditionalFormatting>
  <conditionalFormatting sqref="R32:R39">
    <cfRule type="cellIs" dxfId="8304" priority="1614" operator="greaterThan">
      <formula>1</formula>
    </cfRule>
    <cfRule type="cellIs" dxfId="8303" priority="1615" operator="lessThan">
      <formula>0.8</formula>
    </cfRule>
  </conditionalFormatting>
  <conditionalFormatting sqref="Q32:Q39">
    <cfRule type="cellIs" dxfId="8302" priority="1606" operator="lessThan">
      <formula>0</formula>
    </cfRule>
  </conditionalFormatting>
  <conditionalFormatting sqref="R32:R39">
    <cfRule type="cellIs" dxfId="8301" priority="1610" operator="lessThan">
      <formula>0.8</formula>
    </cfRule>
    <cfRule type="cellIs" dxfId="8300" priority="1611" operator="greaterThan">
      <formula>1</formula>
    </cfRule>
  </conditionalFormatting>
  <conditionalFormatting sqref="R32:R39">
    <cfRule type="cellIs" dxfId="8299" priority="1608" operator="greaterThan">
      <formula>1</formula>
    </cfRule>
    <cfRule type="cellIs" dxfId="8298" priority="1609" operator="lessThan">
      <formula>0.8</formula>
    </cfRule>
  </conditionalFormatting>
  <conditionalFormatting sqref="P32:P39">
    <cfRule type="cellIs" dxfId="8297" priority="1607" operator="greaterThan">
      <formula>0</formula>
    </cfRule>
  </conditionalFormatting>
  <conditionalFormatting sqref="Q32:Q39">
    <cfRule type="cellIs" dxfId="8296" priority="1605" operator="lessThan">
      <formula>0</formula>
    </cfRule>
  </conditionalFormatting>
  <conditionalFormatting sqref="R32:R39">
    <cfRule type="cellIs" dxfId="8295" priority="1603" operator="lessThan">
      <formula>0.8</formula>
    </cfRule>
    <cfRule type="cellIs" dxfId="8294" priority="1604" operator="greaterThan">
      <formula>1</formula>
    </cfRule>
  </conditionalFormatting>
  <conditionalFormatting sqref="R32:R39">
    <cfRule type="cellIs" dxfId="8293" priority="1601" operator="greaterThan">
      <formula>1</formula>
    </cfRule>
    <cfRule type="cellIs" dxfId="8292" priority="1602" operator="lessThan">
      <formula>0.8</formula>
    </cfRule>
  </conditionalFormatting>
  <conditionalFormatting sqref="P32:P39">
    <cfRule type="cellIs" dxfId="8291" priority="1600" operator="greaterThan">
      <formula>0</formula>
    </cfRule>
  </conditionalFormatting>
  <conditionalFormatting sqref="Q32:Q39">
    <cfRule type="cellIs" dxfId="8290" priority="1599" operator="lessThan">
      <formula>0</formula>
    </cfRule>
  </conditionalFormatting>
  <conditionalFormatting sqref="R32:R39">
    <cfRule type="cellIs" dxfId="8289" priority="1597" operator="lessThan">
      <formula>0.8</formula>
    </cfRule>
    <cfRule type="cellIs" dxfId="8288" priority="1598" operator="greaterThan">
      <formula>1</formula>
    </cfRule>
  </conditionalFormatting>
  <conditionalFormatting sqref="R32:R39">
    <cfRule type="cellIs" dxfId="8287" priority="1595" operator="greaterThan">
      <formula>1</formula>
    </cfRule>
    <cfRule type="cellIs" dxfId="8286" priority="1596" operator="lessThan">
      <formula>0.8</formula>
    </cfRule>
  </conditionalFormatting>
  <conditionalFormatting sqref="P32:P39">
    <cfRule type="cellIs" dxfId="8285" priority="1594" operator="greaterThan">
      <formula>0</formula>
    </cfRule>
  </conditionalFormatting>
  <conditionalFormatting sqref="Q32:Q39">
    <cfRule type="cellIs" dxfId="8284" priority="1588" operator="lessThan">
      <formula>0</formula>
    </cfRule>
  </conditionalFormatting>
  <conditionalFormatting sqref="P32:P39">
    <cfRule type="cellIs" dxfId="8283" priority="1589" operator="greaterThan">
      <formula>0</formula>
    </cfRule>
  </conditionalFormatting>
  <conditionalFormatting sqref="R32:R39">
    <cfRule type="cellIs" dxfId="8282" priority="1592" operator="lessThan">
      <formula>0.8</formula>
    </cfRule>
    <cfRule type="cellIs" dxfId="8281" priority="1593" operator="greaterThan">
      <formula>1</formula>
    </cfRule>
  </conditionalFormatting>
  <conditionalFormatting sqref="R32:R39">
    <cfRule type="cellIs" dxfId="8280" priority="1590" operator="greaterThan">
      <formula>1</formula>
    </cfRule>
    <cfRule type="cellIs" dxfId="8279" priority="1591" operator="lessThan">
      <formula>0.8</formula>
    </cfRule>
  </conditionalFormatting>
  <conditionalFormatting sqref="Q32:Q39">
    <cfRule type="cellIs" dxfId="8278" priority="1582" operator="lessThan">
      <formula>0</formula>
    </cfRule>
  </conditionalFormatting>
  <conditionalFormatting sqref="R32:R39">
    <cfRule type="cellIs" dxfId="8277" priority="1586" operator="lessThan">
      <formula>0.8</formula>
    </cfRule>
    <cfRule type="cellIs" dxfId="8276" priority="1587" operator="greaterThan">
      <formula>1</formula>
    </cfRule>
  </conditionalFormatting>
  <conditionalFormatting sqref="R32:R39">
    <cfRule type="cellIs" dxfId="8275" priority="1584" operator="greaterThan">
      <formula>1</formula>
    </cfRule>
    <cfRule type="cellIs" dxfId="8274" priority="1585" operator="lessThan">
      <formula>0.8</formula>
    </cfRule>
  </conditionalFormatting>
  <conditionalFormatting sqref="P32:P39">
    <cfRule type="cellIs" dxfId="8273" priority="1583" operator="greaterThan">
      <formula>0</formula>
    </cfRule>
  </conditionalFormatting>
  <conditionalFormatting sqref="Q32:Q39">
    <cfRule type="cellIs" dxfId="8272" priority="1581" operator="lessThan">
      <formula>0</formula>
    </cfRule>
  </conditionalFormatting>
  <conditionalFormatting sqref="R32:R39">
    <cfRule type="cellIs" dxfId="8271" priority="1579" operator="lessThan">
      <formula>0.8</formula>
    </cfRule>
    <cfRule type="cellIs" dxfId="8270" priority="1580" operator="greaterThan">
      <formula>1</formula>
    </cfRule>
  </conditionalFormatting>
  <conditionalFormatting sqref="R32:R39">
    <cfRule type="cellIs" dxfId="8269" priority="1577" operator="greaterThan">
      <formula>1</formula>
    </cfRule>
    <cfRule type="cellIs" dxfId="8268" priority="1578" operator="lessThan">
      <formula>0.8</formula>
    </cfRule>
  </conditionalFormatting>
  <conditionalFormatting sqref="P32:P39">
    <cfRule type="cellIs" dxfId="8267" priority="1576" operator="greaterThan">
      <formula>0</formula>
    </cfRule>
  </conditionalFormatting>
  <conditionalFormatting sqref="Q32:Q39">
    <cfRule type="cellIs" dxfId="8266" priority="1575" operator="lessThan">
      <formula>0</formula>
    </cfRule>
  </conditionalFormatting>
  <conditionalFormatting sqref="R32:R39">
    <cfRule type="cellIs" dxfId="8265" priority="1573" operator="lessThan">
      <formula>0.8</formula>
    </cfRule>
    <cfRule type="cellIs" dxfId="8264" priority="1574" operator="greaterThan">
      <formula>1</formula>
    </cfRule>
  </conditionalFormatting>
  <conditionalFormatting sqref="R32:R39">
    <cfRule type="cellIs" dxfId="8263" priority="1571" operator="greaterThan">
      <formula>1</formula>
    </cfRule>
    <cfRule type="cellIs" dxfId="8262" priority="1572" operator="lessThan">
      <formula>0.8</formula>
    </cfRule>
  </conditionalFormatting>
  <conditionalFormatting sqref="P32:P39">
    <cfRule type="cellIs" dxfId="8261" priority="1570" operator="greaterThan">
      <formula>0</formula>
    </cfRule>
  </conditionalFormatting>
  <conditionalFormatting sqref="Q19:Q25">
    <cfRule type="cellIs" dxfId="8260" priority="1569" operator="lessThan">
      <formula>0</formula>
    </cfRule>
  </conditionalFormatting>
  <conditionalFormatting sqref="R19:R25">
    <cfRule type="cellIs" dxfId="8259" priority="1567" operator="lessThan">
      <formula>0.8</formula>
    </cfRule>
    <cfRule type="cellIs" dxfId="8258" priority="1568" operator="greaterThan">
      <formula>1</formula>
    </cfRule>
  </conditionalFormatting>
  <conditionalFormatting sqref="R19:R25">
    <cfRule type="cellIs" dxfId="8257" priority="1565" operator="greaterThan">
      <formula>1</formula>
    </cfRule>
    <cfRule type="cellIs" dxfId="8256" priority="1566" operator="lessThan">
      <formula>0.8</formula>
    </cfRule>
  </conditionalFormatting>
  <conditionalFormatting sqref="P19:P25">
    <cfRule type="cellIs" dxfId="8255" priority="1564" operator="greaterThan">
      <formula>0</formula>
    </cfRule>
  </conditionalFormatting>
  <conditionalFormatting sqref="R19:R25">
    <cfRule type="cellIs" dxfId="8254" priority="1561" operator="lessThan">
      <formula>0.8</formula>
    </cfRule>
    <cfRule type="cellIs" dxfId="8253" priority="1562" operator="greaterThan">
      <formula>1</formula>
    </cfRule>
  </conditionalFormatting>
  <conditionalFormatting sqref="R19:R25">
    <cfRule type="cellIs" dxfId="8252" priority="1559" operator="greaterThan">
      <formula>1</formula>
    </cfRule>
    <cfRule type="cellIs" dxfId="8251" priority="1560" operator="lessThan">
      <formula>0.8</formula>
    </cfRule>
  </conditionalFormatting>
  <conditionalFormatting sqref="P19:P25">
    <cfRule type="cellIs" dxfId="8250" priority="1558" operator="greaterThan">
      <formula>0</formula>
    </cfRule>
  </conditionalFormatting>
  <conditionalFormatting sqref="Q19:Q25">
    <cfRule type="cellIs" dxfId="8249" priority="1563" operator="lessThan">
      <formula>0</formula>
    </cfRule>
  </conditionalFormatting>
  <conditionalFormatting sqref="R19:R25">
    <cfRule type="cellIs" dxfId="8248" priority="1555" operator="lessThan">
      <formula>0.8</formula>
    </cfRule>
    <cfRule type="cellIs" dxfId="8247" priority="1556" operator="greaterThan">
      <formula>1</formula>
    </cfRule>
  </conditionalFormatting>
  <conditionalFormatting sqref="R19:R25">
    <cfRule type="cellIs" dxfId="8246" priority="1553" operator="greaterThan">
      <formula>1</formula>
    </cfRule>
    <cfRule type="cellIs" dxfId="8245" priority="1554" operator="lessThan">
      <formula>0.8</formula>
    </cfRule>
  </conditionalFormatting>
  <conditionalFormatting sqref="P19:P25">
    <cfRule type="cellIs" dxfId="8244" priority="1552" operator="greaterThan">
      <formula>0</formula>
    </cfRule>
  </conditionalFormatting>
  <conditionalFormatting sqref="Q19:Q25">
    <cfRule type="cellIs" dxfId="8243" priority="1557" operator="lessThan">
      <formula>0</formula>
    </cfRule>
  </conditionalFormatting>
  <conditionalFormatting sqref="Q19:Q25">
    <cfRule type="cellIs" dxfId="8242" priority="1551" operator="lessThan">
      <formula>0</formula>
    </cfRule>
  </conditionalFormatting>
  <conditionalFormatting sqref="R19:R25">
    <cfRule type="cellIs" dxfId="8241" priority="1549" operator="lessThan">
      <formula>0.8</formula>
    </cfRule>
    <cfRule type="cellIs" dxfId="8240" priority="1550" operator="greaterThan">
      <formula>1</formula>
    </cfRule>
  </conditionalFormatting>
  <conditionalFormatting sqref="R19:R25">
    <cfRule type="cellIs" dxfId="8239" priority="1547" operator="greaterThan">
      <formula>1</formula>
    </cfRule>
    <cfRule type="cellIs" dxfId="8238" priority="1548" operator="lessThan">
      <formula>0.8</formula>
    </cfRule>
  </conditionalFormatting>
  <conditionalFormatting sqref="P19:P25">
    <cfRule type="cellIs" dxfId="8237" priority="1546" operator="greaterThan">
      <formula>0</formula>
    </cfRule>
  </conditionalFormatting>
  <conditionalFormatting sqref="Q135:Q136 Q139 Q142">
    <cfRule type="cellIs" dxfId="8236" priority="1545" operator="lessThan">
      <formula>0</formula>
    </cfRule>
  </conditionalFormatting>
  <conditionalFormatting sqref="R135:R136 R139 R142">
    <cfRule type="cellIs" dxfId="8235" priority="1543" operator="lessThan">
      <formula>0.8</formula>
    </cfRule>
    <cfRule type="cellIs" dxfId="8234" priority="1544" operator="greaterThan">
      <formula>1</formula>
    </cfRule>
  </conditionalFormatting>
  <conditionalFormatting sqref="R135:R136 R139 R142">
    <cfRule type="cellIs" dxfId="8233" priority="1541" operator="greaterThan">
      <formula>1</formula>
    </cfRule>
    <cfRule type="cellIs" dxfId="8232" priority="1542" operator="lessThan">
      <formula>0.8</formula>
    </cfRule>
  </conditionalFormatting>
  <conditionalFormatting sqref="P135:P136 P139 P142">
    <cfRule type="cellIs" dxfId="8231" priority="1540" operator="greaterThan">
      <formula>0</formula>
    </cfRule>
  </conditionalFormatting>
  <conditionalFormatting sqref="P135:P136 P139 P142">
    <cfRule type="cellIs" dxfId="8230" priority="1534" operator="greaterThan">
      <formula>0</formula>
    </cfRule>
  </conditionalFormatting>
  <conditionalFormatting sqref="Q135:Q136 Q139 Q142">
    <cfRule type="cellIs" dxfId="8229" priority="1539" operator="lessThan">
      <formula>0</formula>
    </cfRule>
  </conditionalFormatting>
  <conditionalFormatting sqref="R135:R136 R139 R142">
    <cfRule type="cellIs" dxfId="8228" priority="1537" operator="lessThan">
      <formula>0.8</formula>
    </cfRule>
    <cfRule type="cellIs" dxfId="8227" priority="1538" operator="greaterThan">
      <formula>1</formula>
    </cfRule>
  </conditionalFormatting>
  <conditionalFormatting sqref="R135:R136 R139 R142">
    <cfRule type="cellIs" dxfId="8226" priority="1535" operator="greaterThan">
      <formula>1</formula>
    </cfRule>
    <cfRule type="cellIs" dxfId="8225" priority="1536" operator="lessThan">
      <formula>0.8</formula>
    </cfRule>
  </conditionalFormatting>
  <conditionalFormatting sqref="P19:P25">
    <cfRule type="cellIs" dxfId="8224" priority="1528" operator="greaterThan">
      <formula>0</formula>
    </cfRule>
  </conditionalFormatting>
  <conditionalFormatting sqref="Q19:Q25">
    <cfRule type="cellIs" dxfId="8223" priority="1533" operator="lessThan">
      <formula>0</formula>
    </cfRule>
  </conditionalFormatting>
  <conditionalFormatting sqref="R19:R25">
    <cfRule type="cellIs" dxfId="8222" priority="1531" operator="lessThan">
      <formula>0.8</formula>
    </cfRule>
    <cfRule type="cellIs" dxfId="8221" priority="1532" operator="greaterThan">
      <formula>1</formula>
    </cfRule>
  </conditionalFormatting>
  <conditionalFormatting sqref="R19:R25">
    <cfRule type="cellIs" dxfId="8220" priority="1529" operator="greaterThan">
      <formula>1</formula>
    </cfRule>
    <cfRule type="cellIs" dxfId="8219" priority="1530" operator="lessThan">
      <formula>0.8</formula>
    </cfRule>
  </conditionalFormatting>
  <conditionalFormatting sqref="Q19:Q25">
    <cfRule type="cellIs" dxfId="8218" priority="1527" operator="lessThan">
      <formula>0</formula>
    </cfRule>
  </conditionalFormatting>
  <conditionalFormatting sqref="R19:R25">
    <cfRule type="cellIs" dxfId="8217" priority="1525" operator="lessThan">
      <formula>0.8</formula>
    </cfRule>
    <cfRule type="cellIs" dxfId="8216" priority="1526" operator="greaterThan">
      <formula>1</formula>
    </cfRule>
  </conditionalFormatting>
  <conditionalFormatting sqref="R19:R25">
    <cfRule type="cellIs" dxfId="8215" priority="1523" operator="greaterThan">
      <formula>1</formula>
    </cfRule>
    <cfRule type="cellIs" dxfId="8214" priority="1524" operator="lessThan">
      <formula>0.8</formula>
    </cfRule>
  </conditionalFormatting>
  <conditionalFormatting sqref="P19:P25">
    <cfRule type="cellIs" dxfId="8213" priority="1522" operator="greaterThan">
      <formula>0</formula>
    </cfRule>
  </conditionalFormatting>
  <conditionalFormatting sqref="Q19:Q25">
    <cfRule type="cellIs" dxfId="8212" priority="1521" operator="lessThan">
      <formula>0</formula>
    </cfRule>
  </conditionalFormatting>
  <conditionalFormatting sqref="R19:R25">
    <cfRule type="cellIs" dxfId="8211" priority="1519" operator="lessThan">
      <formula>0.8</formula>
    </cfRule>
    <cfRule type="cellIs" dxfId="8210" priority="1520" operator="greaterThan">
      <formula>1</formula>
    </cfRule>
  </conditionalFormatting>
  <conditionalFormatting sqref="R19:R25">
    <cfRule type="cellIs" dxfId="8209" priority="1517" operator="greaterThan">
      <formula>1</formula>
    </cfRule>
    <cfRule type="cellIs" dxfId="8208" priority="1518" operator="lessThan">
      <formula>0.8</formula>
    </cfRule>
  </conditionalFormatting>
  <conditionalFormatting sqref="P19:P25">
    <cfRule type="cellIs" dxfId="8207" priority="1516" operator="greaterThan">
      <formula>0</formula>
    </cfRule>
  </conditionalFormatting>
  <conditionalFormatting sqref="Q19:Q25">
    <cfRule type="cellIs" dxfId="8206" priority="1515" operator="lessThan">
      <formula>0</formula>
    </cfRule>
  </conditionalFormatting>
  <conditionalFormatting sqref="R19:R25">
    <cfRule type="cellIs" dxfId="8205" priority="1513" operator="lessThan">
      <formula>0.8</formula>
    </cfRule>
    <cfRule type="cellIs" dxfId="8204" priority="1514" operator="greaterThan">
      <formula>1</formula>
    </cfRule>
  </conditionalFormatting>
  <conditionalFormatting sqref="R19:R25">
    <cfRule type="cellIs" dxfId="8203" priority="1511" operator="greaterThan">
      <formula>1</formula>
    </cfRule>
    <cfRule type="cellIs" dxfId="8202" priority="1512" operator="lessThan">
      <formula>0.8</formula>
    </cfRule>
  </conditionalFormatting>
  <conditionalFormatting sqref="P19:P25">
    <cfRule type="cellIs" dxfId="8201" priority="1510" operator="greaterThan">
      <formula>0</formula>
    </cfRule>
  </conditionalFormatting>
  <conditionalFormatting sqref="R19:R25">
    <cfRule type="cellIs" dxfId="8200" priority="1507" operator="lessThan">
      <formula>0.8</formula>
    </cfRule>
    <cfRule type="cellIs" dxfId="8199" priority="1508" operator="greaterThan">
      <formula>1</formula>
    </cfRule>
  </conditionalFormatting>
  <conditionalFormatting sqref="R19:R25">
    <cfRule type="cellIs" dxfId="8198" priority="1505" operator="greaterThan">
      <formula>1</formula>
    </cfRule>
    <cfRule type="cellIs" dxfId="8197" priority="1506" operator="lessThan">
      <formula>0.8</formula>
    </cfRule>
  </conditionalFormatting>
  <conditionalFormatting sqref="P19:P25">
    <cfRule type="cellIs" dxfId="8196" priority="1504" operator="greaterThan">
      <formula>0</formula>
    </cfRule>
  </conditionalFormatting>
  <conditionalFormatting sqref="Q19:Q25">
    <cfRule type="cellIs" dxfId="8195" priority="1509" operator="lessThan">
      <formula>0</formula>
    </cfRule>
  </conditionalFormatting>
  <conditionalFormatting sqref="Q19:Q25">
    <cfRule type="cellIs" dxfId="8194" priority="1503" operator="lessThan">
      <formula>0</formula>
    </cfRule>
  </conditionalFormatting>
  <conditionalFormatting sqref="R19:R25">
    <cfRule type="cellIs" dxfId="8193" priority="1501" operator="lessThan">
      <formula>0.8</formula>
    </cfRule>
    <cfRule type="cellIs" dxfId="8192" priority="1502" operator="greaterThan">
      <formula>1</formula>
    </cfRule>
  </conditionalFormatting>
  <conditionalFormatting sqref="R19:R25">
    <cfRule type="cellIs" dxfId="8191" priority="1499" operator="greaterThan">
      <formula>1</formula>
    </cfRule>
    <cfRule type="cellIs" dxfId="8190" priority="1500" operator="lessThan">
      <formula>0.8</formula>
    </cfRule>
  </conditionalFormatting>
  <conditionalFormatting sqref="P19:P25">
    <cfRule type="cellIs" dxfId="8189" priority="1498" operator="greaterThan">
      <formula>0</formula>
    </cfRule>
  </conditionalFormatting>
  <conditionalFormatting sqref="P19:P25">
    <cfRule type="cellIs" dxfId="8188" priority="1492" operator="greaterThan">
      <formula>0</formula>
    </cfRule>
  </conditionalFormatting>
  <conditionalFormatting sqref="Q19:Q25">
    <cfRule type="cellIs" dxfId="8187" priority="1497" operator="lessThan">
      <formula>0</formula>
    </cfRule>
  </conditionalFormatting>
  <conditionalFormatting sqref="R19:R25">
    <cfRule type="cellIs" dxfId="8186" priority="1495" operator="lessThan">
      <formula>0.8</formula>
    </cfRule>
    <cfRule type="cellIs" dxfId="8185" priority="1496" operator="greaterThan">
      <formula>1</formula>
    </cfRule>
  </conditionalFormatting>
  <conditionalFormatting sqref="R19:R25">
    <cfRule type="cellIs" dxfId="8184" priority="1493" operator="greaterThan">
      <formula>1</formula>
    </cfRule>
    <cfRule type="cellIs" dxfId="8183" priority="1494" operator="lessThan">
      <formula>0.8</formula>
    </cfRule>
  </conditionalFormatting>
  <conditionalFormatting sqref="P19:P25">
    <cfRule type="cellIs" dxfId="8182" priority="1486" operator="greaterThan">
      <formula>0</formula>
    </cfRule>
  </conditionalFormatting>
  <conditionalFormatting sqref="Q19:Q25">
    <cfRule type="cellIs" dxfId="8181" priority="1491" operator="lessThan">
      <formula>0</formula>
    </cfRule>
  </conditionalFormatting>
  <conditionalFormatting sqref="R19:R25">
    <cfRule type="cellIs" dxfId="8180" priority="1489" operator="lessThan">
      <formula>0.8</formula>
    </cfRule>
    <cfRule type="cellIs" dxfId="8179" priority="1490" operator="greaterThan">
      <formula>1</formula>
    </cfRule>
  </conditionalFormatting>
  <conditionalFormatting sqref="R19:R25">
    <cfRule type="cellIs" dxfId="8178" priority="1487" operator="greaterThan">
      <formula>1</formula>
    </cfRule>
    <cfRule type="cellIs" dxfId="8177" priority="1488" operator="lessThan">
      <formula>0.8</formula>
    </cfRule>
  </conditionalFormatting>
  <conditionalFormatting sqref="Q19:Q25">
    <cfRule type="cellIs" dxfId="8176" priority="1485" operator="lessThan">
      <formula>0</formula>
    </cfRule>
  </conditionalFormatting>
  <conditionalFormatting sqref="R19:R25">
    <cfRule type="cellIs" dxfId="8175" priority="1483" operator="lessThan">
      <formula>0.8</formula>
    </cfRule>
    <cfRule type="cellIs" dxfId="8174" priority="1484" operator="greaterThan">
      <formula>1</formula>
    </cfRule>
  </conditionalFormatting>
  <conditionalFormatting sqref="R19:R25">
    <cfRule type="cellIs" dxfId="8173" priority="1481" operator="greaterThan">
      <formula>1</formula>
    </cfRule>
    <cfRule type="cellIs" dxfId="8172" priority="1482" operator="lessThan">
      <formula>0.8</formula>
    </cfRule>
  </conditionalFormatting>
  <conditionalFormatting sqref="P19:P25">
    <cfRule type="cellIs" dxfId="8171" priority="1480" operator="greaterThan">
      <formula>0</formula>
    </cfRule>
  </conditionalFormatting>
  <conditionalFormatting sqref="Q19:Q25">
    <cfRule type="cellIs" dxfId="8170" priority="1479" operator="lessThan">
      <formula>0</formula>
    </cfRule>
  </conditionalFormatting>
  <conditionalFormatting sqref="R19:R25">
    <cfRule type="cellIs" dxfId="8169" priority="1477" operator="lessThan">
      <formula>0.8</formula>
    </cfRule>
    <cfRule type="cellIs" dxfId="8168" priority="1478" operator="greaterThan">
      <formula>1</formula>
    </cfRule>
  </conditionalFormatting>
  <conditionalFormatting sqref="R19:R25">
    <cfRule type="cellIs" dxfId="8167" priority="1475" operator="greaterThan">
      <formula>1</formula>
    </cfRule>
    <cfRule type="cellIs" dxfId="8166" priority="1476" operator="lessThan">
      <formula>0.8</formula>
    </cfRule>
  </conditionalFormatting>
  <conditionalFormatting sqref="P19:P25">
    <cfRule type="cellIs" dxfId="8165" priority="1474" operator="greaterThan">
      <formula>0</formula>
    </cfRule>
  </conditionalFormatting>
  <conditionalFormatting sqref="P19:P25">
    <cfRule type="cellIs" dxfId="8164" priority="1468" operator="greaterThan">
      <formula>0</formula>
    </cfRule>
  </conditionalFormatting>
  <conditionalFormatting sqref="Q19:Q25">
    <cfRule type="cellIs" dxfId="8163" priority="1473" operator="lessThan">
      <formula>0</formula>
    </cfRule>
  </conditionalFormatting>
  <conditionalFormatting sqref="R19:R25">
    <cfRule type="cellIs" dxfId="8162" priority="1471" operator="lessThan">
      <formula>0.8</formula>
    </cfRule>
    <cfRule type="cellIs" dxfId="8161" priority="1472" operator="greaterThan">
      <formula>1</formula>
    </cfRule>
  </conditionalFormatting>
  <conditionalFormatting sqref="R19:R25">
    <cfRule type="cellIs" dxfId="8160" priority="1469" operator="greaterThan">
      <formula>1</formula>
    </cfRule>
    <cfRule type="cellIs" dxfId="8159" priority="1470" operator="lessThan">
      <formula>0.8</formula>
    </cfRule>
  </conditionalFormatting>
  <conditionalFormatting sqref="Q19:Q25">
    <cfRule type="cellIs" dxfId="8158" priority="1467" operator="lessThan">
      <formula>0</formula>
    </cfRule>
  </conditionalFormatting>
  <conditionalFormatting sqref="R19:R25">
    <cfRule type="cellIs" dxfId="8157" priority="1465" operator="lessThan">
      <formula>0.8</formula>
    </cfRule>
    <cfRule type="cellIs" dxfId="8156" priority="1466" operator="greaterThan">
      <formula>1</formula>
    </cfRule>
  </conditionalFormatting>
  <conditionalFormatting sqref="R19:R25">
    <cfRule type="cellIs" dxfId="8155" priority="1463" operator="greaterThan">
      <formula>1</formula>
    </cfRule>
    <cfRule type="cellIs" dxfId="8154" priority="1464" operator="lessThan">
      <formula>0.8</formula>
    </cfRule>
  </conditionalFormatting>
  <conditionalFormatting sqref="P19:P25">
    <cfRule type="cellIs" dxfId="8153" priority="1462" operator="greaterThan">
      <formula>0</formula>
    </cfRule>
  </conditionalFormatting>
  <conditionalFormatting sqref="Q19:Q25">
    <cfRule type="cellIs" dxfId="8152" priority="1461" operator="lessThan">
      <formula>0</formula>
    </cfRule>
  </conditionalFormatting>
  <conditionalFormatting sqref="R19:R25">
    <cfRule type="cellIs" dxfId="8151" priority="1459" operator="lessThan">
      <formula>0.8</formula>
    </cfRule>
    <cfRule type="cellIs" dxfId="8150" priority="1460" operator="greaterThan">
      <formula>1</formula>
    </cfRule>
  </conditionalFormatting>
  <conditionalFormatting sqref="R19:R25">
    <cfRule type="cellIs" dxfId="8149" priority="1457" operator="greaterThan">
      <formula>1</formula>
    </cfRule>
    <cfRule type="cellIs" dxfId="8148" priority="1458" operator="lessThan">
      <formula>0.8</formula>
    </cfRule>
  </conditionalFormatting>
  <conditionalFormatting sqref="P19:P25">
    <cfRule type="cellIs" dxfId="8147" priority="1456" operator="greaterThan">
      <formula>0</formula>
    </cfRule>
  </conditionalFormatting>
  <conditionalFormatting sqref="Q19:Q25">
    <cfRule type="cellIs" dxfId="8146" priority="1455" operator="lessThan">
      <formula>0</formula>
    </cfRule>
  </conditionalFormatting>
  <conditionalFormatting sqref="R19:R25">
    <cfRule type="cellIs" dxfId="8145" priority="1453" operator="lessThan">
      <formula>0.8</formula>
    </cfRule>
    <cfRule type="cellIs" dxfId="8144" priority="1454" operator="greaterThan">
      <formula>1</formula>
    </cfRule>
  </conditionalFormatting>
  <conditionalFormatting sqref="R19:R25">
    <cfRule type="cellIs" dxfId="8143" priority="1451" operator="greaterThan">
      <formula>1</formula>
    </cfRule>
    <cfRule type="cellIs" dxfId="8142" priority="1452" operator="lessThan">
      <formula>0.8</formula>
    </cfRule>
  </conditionalFormatting>
  <conditionalFormatting sqref="P19:P25">
    <cfRule type="cellIs" dxfId="8141" priority="1450" operator="greaterThan">
      <formula>0</formula>
    </cfRule>
  </conditionalFormatting>
  <conditionalFormatting sqref="R19:R25">
    <cfRule type="cellIs" dxfId="8140" priority="1447" operator="lessThan">
      <formula>0.8</formula>
    </cfRule>
    <cfRule type="cellIs" dxfId="8139" priority="1448" operator="greaterThan">
      <formula>1</formula>
    </cfRule>
  </conditionalFormatting>
  <conditionalFormatting sqref="R19:R25">
    <cfRule type="cellIs" dxfId="8138" priority="1445" operator="greaterThan">
      <formula>1</formula>
    </cfRule>
    <cfRule type="cellIs" dxfId="8137" priority="1446" operator="lessThan">
      <formula>0.8</formula>
    </cfRule>
  </conditionalFormatting>
  <conditionalFormatting sqref="P19:P25">
    <cfRule type="cellIs" dxfId="8136" priority="1444" operator="greaterThan">
      <formula>0</formula>
    </cfRule>
  </conditionalFormatting>
  <conditionalFormatting sqref="Q19:Q25">
    <cfRule type="cellIs" dxfId="8135" priority="1449" operator="lessThan">
      <formula>0</formula>
    </cfRule>
  </conditionalFormatting>
  <conditionalFormatting sqref="Q40">
    <cfRule type="cellIs" dxfId="8134" priority="1443" operator="lessThan">
      <formula>0</formula>
    </cfRule>
  </conditionalFormatting>
  <conditionalFormatting sqref="R40">
    <cfRule type="cellIs" dxfId="8133" priority="1441" operator="lessThan">
      <formula>0.8</formula>
    </cfRule>
    <cfRule type="cellIs" dxfId="8132" priority="1442" operator="greaterThan">
      <formula>1</formula>
    </cfRule>
  </conditionalFormatting>
  <conditionalFormatting sqref="R40">
    <cfRule type="cellIs" dxfId="8131" priority="1439" operator="greaterThan">
      <formula>1</formula>
    </cfRule>
    <cfRule type="cellIs" dxfId="8130" priority="1440" operator="lessThan">
      <formula>0.8</formula>
    </cfRule>
  </conditionalFormatting>
  <conditionalFormatting sqref="P40">
    <cfRule type="cellIs" dxfId="8129" priority="1438" operator="greaterThan">
      <formula>0</formula>
    </cfRule>
  </conditionalFormatting>
  <conditionalFormatting sqref="P40">
    <cfRule type="cellIs" dxfId="8128" priority="1432" operator="greaterThan">
      <formula>0</formula>
    </cfRule>
  </conditionalFormatting>
  <conditionalFormatting sqref="Q40">
    <cfRule type="cellIs" dxfId="8127" priority="1437" operator="lessThan">
      <formula>0</formula>
    </cfRule>
  </conditionalFormatting>
  <conditionalFormatting sqref="R40">
    <cfRule type="cellIs" dxfId="8126" priority="1435" operator="lessThan">
      <formula>0.8</formula>
    </cfRule>
    <cfRule type="cellIs" dxfId="8125" priority="1436" operator="greaterThan">
      <formula>1</formula>
    </cfRule>
  </conditionalFormatting>
  <conditionalFormatting sqref="R40">
    <cfRule type="cellIs" dxfId="8124" priority="1433" operator="greaterThan">
      <formula>1</formula>
    </cfRule>
    <cfRule type="cellIs" dxfId="8123" priority="1434" operator="lessThan">
      <formula>0.8</formula>
    </cfRule>
  </conditionalFormatting>
  <conditionalFormatting sqref="P40">
    <cfRule type="cellIs" dxfId="8122" priority="1426" operator="greaterThan">
      <formula>0</formula>
    </cfRule>
  </conditionalFormatting>
  <conditionalFormatting sqref="Q40">
    <cfRule type="cellIs" dxfId="8121" priority="1431" operator="lessThan">
      <formula>0</formula>
    </cfRule>
  </conditionalFormatting>
  <conditionalFormatting sqref="R40">
    <cfRule type="cellIs" dxfId="8120" priority="1429" operator="lessThan">
      <formula>0.8</formula>
    </cfRule>
    <cfRule type="cellIs" dxfId="8119" priority="1430" operator="greaterThan">
      <formula>1</formula>
    </cfRule>
  </conditionalFormatting>
  <conditionalFormatting sqref="R40">
    <cfRule type="cellIs" dxfId="8118" priority="1427" operator="greaterThan">
      <formula>1</formula>
    </cfRule>
    <cfRule type="cellIs" dxfId="8117" priority="1428" operator="lessThan">
      <formula>0.8</formula>
    </cfRule>
  </conditionalFormatting>
  <conditionalFormatting sqref="Q40">
    <cfRule type="cellIs" dxfId="8116" priority="1425" operator="lessThan">
      <formula>0</formula>
    </cfRule>
  </conditionalFormatting>
  <conditionalFormatting sqref="R40">
    <cfRule type="cellIs" dxfId="8115" priority="1423" operator="lessThan">
      <formula>0.8</formula>
    </cfRule>
    <cfRule type="cellIs" dxfId="8114" priority="1424" operator="greaterThan">
      <formula>1</formula>
    </cfRule>
  </conditionalFormatting>
  <conditionalFormatting sqref="R40">
    <cfRule type="cellIs" dxfId="8113" priority="1421" operator="greaterThan">
      <formula>1</formula>
    </cfRule>
    <cfRule type="cellIs" dxfId="8112" priority="1422" operator="lessThan">
      <formula>0.8</formula>
    </cfRule>
  </conditionalFormatting>
  <conditionalFormatting sqref="P40">
    <cfRule type="cellIs" dxfId="8111" priority="1420" operator="greaterThan">
      <formula>0</formula>
    </cfRule>
  </conditionalFormatting>
  <conditionalFormatting sqref="P40">
    <cfRule type="cellIs" dxfId="8110" priority="1414" operator="greaterThan">
      <formula>0</formula>
    </cfRule>
  </conditionalFormatting>
  <conditionalFormatting sqref="Q40">
    <cfRule type="cellIs" dxfId="8109" priority="1419" operator="lessThan">
      <formula>0</formula>
    </cfRule>
  </conditionalFormatting>
  <conditionalFormatting sqref="R40">
    <cfRule type="cellIs" dxfId="8108" priority="1417" operator="lessThan">
      <formula>0.8</formula>
    </cfRule>
    <cfRule type="cellIs" dxfId="8107" priority="1418" operator="greaterThan">
      <formula>1</formula>
    </cfRule>
  </conditionalFormatting>
  <conditionalFormatting sqref="R40">
    <cfRule type="cellIs" dxfId="8106" priority="1415" operator="greaterThan">
      <formula>1</formula>
    </cfRule>
    <cfRule type="cellIs" dxfId="8105" priority="1416" operator="lessThan">
      <formula>0.8</formula>
    </cfRule>
  </conditionalFormatting>
  <conditionalFormatting sqref="P40">
    <cfRule type="cellIs" dxfId="8104" priority="1408" operator="greaterThan">
      <formula>0</formula>
    </cfRule>
  </conditionalFormatting>
  <conditionalFormatting sqref="Q40">
    <cfRule type="cellIs" dxfId="8103" priority="1413" operator="lessThan">
      <formula>0</formula>
    </cfRule>
  </conditionalFormatting>
  <conditionalFormatting sqref="R40">
    <cfRule type="cellIs" dxfId="8102" priority="1411" operator="lessThan">
      <formula>0.8</formula>
    </cfRule>
    <cfRule type="cellIs" dxfId="8101" priority="1412" operator="greaterThan">
      <formula>1</formula>
    </cfRule>
  </conditionalFormatting>
  <conditionalFormatting sqref="R40">
    <cfRule type="cellIs" dxfId="8100" priority="1409" operator="greaterThan">
      <formula>1</formula>
    </cfRule>
    <cfRule type="cellIs" dxfId="8099" priority="1410" operator="lessThan">
      <formula>0.8</formula>
    </cfRule>
  </conditionalFormatting>
  <conditionalFormatting sqref="P40">
    <cfRule type="cellIs" dxfId="8098" priority="1402" operator="greaterThan">
      <formula>0</formula>
    </cfRule>
  </conditionalFormatting>
  <conditionalFormatting sqref="Q40">
    <cfRule type="cellIs" dxfId="8097" priority="1407" operator="lessThan">
      <formula>0</formula>
    </cfRule>
  </conditionalFormatting>
  <conditionalFormatting sqref="R40">
    <cfRule type="cellIs" dxfId="8096" priority="1405" operator="lessThan">
      <formula>0.8</formula>
    </cfRule>
    <cfRule type="cellIs" dxfId="8095" priority="1406" operator="greaterThan">
      <formula>1</formula>
    </cfRule>
  </conditionalFormatting>
  <conditionalFormatting sqref="R40">
    <cfRule type="cellIs" dxfId="8094" priority="1403" operator="greaterThan">
      <formula>1</formula>
    </cfRule>
    <cfRule type="cellIs" dxfId="8093" priority="1404" operator="lessThan">
      <formula>0.8</formula>
    </cfRule>
  </conditionalFormatting>
  <conditionalFormatting sqref="Q40">
    <cfRule type="cellIs" dxfId="8092" priority="1396" operator="lessThan">
      <formula>0</formula>
    </cfRule>
  </conditionalFormatting>
  <conditionalFormatting sqref="P40">
    <cfRule type="cellIs" dxfId="8091" priority="1397" operator="greaterThan">
      <formula>0</formula>
    </cfRule>
  </conditionalFormatting>
  <conditionalFormatting sqref="R40">
    <cfRule type="cellIs" dxfId="8090" priority="1400" operator="lessThan">
      <formula>0.8</formula>
    </cfRule>
    <cfRule type="cellIs" dxfId="8089" priority="1401" operator="greaterThan">
      <formula>1</formula>
    </cfRule>
  </conditionalFormatting>
  <conditionalFormatting sqref="R40">
    <cfRule type="cellIs" dxfId="8088" priority="1398" operator="greaterThan">
      <formula>1</formula>
    </cfRule>
    <cfRule type="cellIs" dxfId="8087" priority="1399" operator="lessThan">
      <formula>0.8</formula>
    </cfRule>
  </conditionalFormatting>
  <conditionalFormatting sqref="Q40">
    <cfRule type="cellIs" dxfId="8086" priority="1390" operator="lessThan">
      <formula>0</formula>
    </cfRule>
  </conditionalFormatting>
  <conditionalFormatting sqref="R40">
    <cfRule type="cellIs" dxfId="8085" priority="1394" operator="lessThan">
      <formula>0.8</formula>
    </cfRule>
    <cfRule type="cellIs" dxfId="8084" priority="1395" operator="greaterThan">
      <formula>1</formula>
    </cfRule>
  </conditionalFormatting>
  <conditionalFormatting sqref="R40">
    <cfRule type="cellIs" dxfId="8083" priority="1392" operator="greaterThan">
      <formula>1</formula>
    </cfRule>
    <cfRule type="cellIs" dxfId="8082" priority="1393" operator="lessThan">
      <formula>0.8</formula>
    </cfRule>
  </conditionalFormatting>
  <conditionalFormatting sqref="P40">
    <cfRule type="cellIs" dxfId="8081" priority="1391" operator="greaterThan">
      <formula>0</formula>
    </cfRule>
  </conditionalFormatting>
  <conditionalFormatting sqref="Q40">
    <cfRule type="cellIs" dxfId="8080" priority="1389" operator="lessThan">
      <formula>0</formula>
    </cfRule>
  </conditionalFormatting>
  <conditionalFormatting sqref="R40">
    <cfRule type="cellIs" dxfId="8079" priority="1387" operator="lessThan">
      <formula>0.8</formula>
    </cfRule>
    <cfRule type="cellIs" dxfId="8078" priority="1388" operator="greaterThan">
      <formula>1</formula>
    </cfRule>
  </conditionalFormatting>
  <conditionalFormatting sqref="R40">
    <cfRule type="cellIs" dxfId="8077" priority="1385" operator="greaterThan">
      <formula>1</formula>
    </cfRule>
    <cfRule type="cellIs" dxfId="8076" priority="1386" operator="lessThan">
      <formula>0.8</formula>
    </cfRule>
  </conditionalFormatting>
  <conditionalFormatting sqref="P40">
    <cfRule type="cellIs" dxfId="8075" priority="1384" operator="greaterThan">
      <formula>0</formula>
    </cfRule>
  </conditionalFormatting>
  <conditionalFormatting sqref="Q40">
    <cfRule type="cellIs" dxfId="8074" priority="1383" operator="lessThan">
      <formula>0</formula>
    </cfRule>
  </conditionalFormatting>
  <conditionalFormatting sqref="R40">
    <cfRule type="cellIs" dxfId="8073" priority="1381" operator="lessThan">
      <formula>0.8</formula>
    </cfRule>
    <cfRule type="cellIs" dxfId="8072" priority="1382" operator="greaterThan">
      <formula>1</formula>
    </cfRule>
  </conditionalFormatting>
  <conditionalFormatting sqref="R40">
    <cfRule type="cellIs" dxfId="8071" priority="1379" operator="greaterThan">
      <formula>1</formula>
    </cfRule>
    <cfRule type="cellIs" dxfId="8070" priority="1380" operator="lessThan">
      <formula>0.8</formula>
    </cfRule>
  </conditionalFormatting>
  <conditionalFormatting sqref="P40">
    <cfRule type="cellIs" dxfId="8069" priority="1378" operator="greaterThan">
      <formula>0</formula>
    </cfRule>
  </conditionalFormatting>
  <conditionalFormatting sqref="Q32:Q39">
    <cfRule type="cellIs" dxfId="8068" priority="1377" operator="lessThan">
      <formula>0</formula>
    </cfRule>
  </conditionalFormatting>
  <conditionalFormatting sqref="R32:R39">
    <cfRule type="cellIs" dxfId="8067" priority="1375" operator="lessThan">
      <formula>0.8</formula>
    </cfRule>
    <cfRule type="cellIs" dxfId="8066" priority="1376" operator="greaterThan">
      <formula>1</formula>
    </cfRule>
  </conditionalFormatting>
  <conditionalFormatting sqref="R32:R39">
    <cfRule type="cellIs" dxfId="8065" priority="1373" operator="greaterThan">
      <formula>1</formula>
    </cfRule>
    <cfRule type="cellIs" dxfId="8064" priority="1374" operator="lessThan">
      <formula>0.8</formula>
    </cfRule>
  </conditionalFormatting>
  <conditionalFormatting sqref="P32:P39">
    <cfRule type="cellIs" dxfId="8063" priority="1372" operator="greaterThan">
      <formula>0</formula>
    </cfRule>
  </conditionalFormatting>
  <conditionalFormatting sqref="Q32:Q39">
    <cfRule type="cellIs" dxfId="8062" priority="1371" operator="lessThan">
      <formula>0</formula>
    </cfRule>
  </conditionalFormatting>
  <conditionalFormatting sqref="R32:R39">
    <cfRule type="cellIs" dxfId="8061" priority="1369" operator="lessThan">
      <formula>0.8</formula>
    </cfRule>
    <cfRule type="cellIs" dxfId="8060" priority="1370" operator="greaterThan">
      <formula>1</formula>
    </cfRule>
  </conditionalFormatting>
  <conditionalFormatting sqref="R32:R39">
    <cfRule type="cellIs" dxfId="8059" priority="1367" operator="greaterThan">
      <formula>1</formula>
    </cfRule>
    <cfRule type="cellIs" dxfId="8058" priority="1368" operator="lessThan">
      <formula>0.8</formula>
    </cfRule>
  </conditionalFormatting>
  <conditionalFormatting sqref="P32:P39">
    <cfRule type="cellIs" dxfId="8057" priority="1366" operator="greaterThan">
      <formula>0</formula>
    </cfRule>
  </conditionalFormatting>
  <conditionalFormatting sqref="Q32:Q39">
    <cfRule type="cellIs" dxfId="8056" priority="1365" operator="lessThan">
      <formula>0</formula>
    </cfRule>
  </conditionalFormatting>
  <conditionalFormatting sqref="R32:R39">
    <cfRule type="cellIs" dxfId="8055" priority="1363" operator="lessThan">
      <formula>0.8</formula>
    </cfRule>
    <cfRule type="cellIs" dxfId="8054" priority="1364" operator="greaterThan">
      <formula>1</formula>
    </cfRule>
  </conditionalFormatting>
  <conditionalFormatting sqref="R32:R39">
    <cfRule type="cellIs" dxfId="8053" priority="1361" operator="greaterThan">
      <formula>1</formula>
    </cfRule>
    <cfRule type="cellIs" dxfId="8052" priority="1362" operator="lessThan">
      <formula>0.8</formula>
    </cfRule>
  </conditionalFormatting>
  <conditionalFormatting sqref="P32:P39">
    <cfRule type="cellIs" dxfId="8051" priority="1360" operator="greaterThan">
      <formula>0</formula>
    </cfRule>
  </conditionalFormatting>
  <conditionalFormatting sqref="Q32:Q39">
    <cfRule type="cellIs" dxfId="8050" priority="1359" operator="lessThan">
      <formula>0</formula>
    </cfRule>
  </conditionalFormatting>
  <conditionalFormatting sqref="R32:R39">
    <cfRule type="cellIs" dxfId="8049" priority="1357" operator="lessThan">
      <formula>0.8</formula>
    </cfRule>
    <cfRule type="cellIs" dxfId="8048" priority="1358" operator="greaterThan">
      <formula>1</formula>
    </cfRule>
  </conditionalFormatting>
  <conditionalFormatting sqref="R32:R39">
    <cfRule type="cellIs" dxfId="8047" priority="1355" operator="greaterThan">
      <formula>1</formula>
    </cfRule>
    <cfRule type="cellIs" dxfId="8046" priority="1356" operator="lessThan">
      <formula>0.8</formula>
    </cfRule>
  </conditionalFormatting>
  <conditionalFormatting sqref="P32:P39">
    <cfRule type="cellIs" dxfId="8045" priority="1354" operator="greaterThan">
      <formula>0</formula>
    </cfRule>
  </conditionalFormatting>
  <conditionalFormatting sqref="P32:P39">
    <cfRule type="cellIs" dxfId="8044" priority="1348" operator="greaterThan">
      <formula>0</formula>
    </cfRule>
  </conditionalFormatting>
  <conditionalFormatting sqref="Q32:Q39">
    <cfRule type="cellIs" dxfId="8043" priority="1353" operator="lessThan">
      <formula>0</formula>
    </cfRule>
  </conditionalFormatting>
  <conditionalFormatting sqref="R32:R39">
    <cfRule type="cellIs" dxfId="8042" priority="1351" operator="lessThan">
      <formula>0.8</formula>
    </cfRule>
    <cfRule type="cellIs" dxfId="8041" priority="1352" operator="greaterThan">
      <formula>1</formula>
    </cfRule>
  </conditionalFormatting>
  <conditionalFormatting sqref="R32:R39">
    <cfRule type="cellIs" dxfId="8040" priority="1349" operator="greaterThan">
      <formula>1</formula>
    </cfRule>
    <cfRule type="cellIs" dxfId="8039" priority="1350" operator="lessThan">
      <formula>0.8</formula>
    </cfRule>
  </conditionalFormatting>
  <conditionalFormatting sqref="P32:P39">
    <cfRule type="cellIs" dxfId="8038" priority="1342" operator="greaterThan">
      <formula>0</formula>
    </cfRule>
  </conditionalFormatting>
  <conditionalFormatting sqref="Q32:Q39">
    <cfRule type="cellIs" dxfId="8037" priority="1347" operator="lessThan">
      <formula>0</formula>
    </cfRule>
  </conditionalFormatting>
  <conditionalFormatting sqref="R32:R39">
    <cfRule type="cellIs" dxfId="8036" priority="1345" operator="lessThan">
      <formula>0.8</formula>
    </cfRule>
    <cfRule type="cellIs" dxfId="8035" priority="1346" operator="greaterThan">
      <formula>1</formula>
    </cfRule>
  </conditionalFormatting>
  <conditionalFormatting sqref="R32:R39">
    <cfRule type="cellIs" dxfId="8034" priority="1343" operator="greaterThan">
      <formula>1</formula>
    </cfRule>
    <cfRule type="cellIs" dxfId="8033" priority="1344" operator="lessThan">
      <formula>0.8</formula>
    </cfRule>
  </conditionalFormatting>
  <conditionalFormatting sqref="R32:R39">
    <cfRule type="cellIs" dxfId="8032" priority="1339" operator="lessThan">
      <formula>0.8</formula>
    </cfRule>
    <cfRule type="cellIs" dxfId="8031" priority="1340" operator="greaterThan">
      <formula>1</formula>
    </cfRule>
  </conditionalFormatting>
  <conditionalFormatting sqref="R32:R39">
    <cfRule type="cellIs" dxfId="8030" priority="1337" operator="greaterThan">
      <formula>1</formula>
    </cfRule>
    <cfRule type="cellIs" dxfId="8029" priority="1338" operator="lessThan">
      <formula>0.8</formula>
    </cfRule>
  </conditionalFormatting>
  <conditionalFormatting sqref="P32:P39">
    <cfRule type="cellIs" dxfId="8028" priority="1336" operator="greaterThan">
      <formula>0</formula>
    </cfRule>
  </conditionalFormatting>
  <conditionalFormatting sqref="Q32:Q39">
    <cfRule type="cellIs" dxfId="8027" priority="1341" operator="lessThan">
      <formula>0</formula>
    </cfRule>
  </conditionalFormatting>
  <conditionalFormatting sqref="Q32:Q39">
    <cfRule type="cellIs" dxfId="8026" priority="1335" operator="lessThan">
      <formula>0</formula>
    </cfRule>
  </conditionalFormatting>
  <conditionalFormatting sqref="R32:R39">
    <cfRule type="cellIs" dxfId="8025" priority="1333" operator="lessThan">
      <formula>0.8</formula>
    </cfRule>
    <cfRule type="cellIs" dxfId="8024" priority="1334" operator="greaterThan">
      <formula>1</formula>
    </cfRule>
  </conditionalFormatting>
  <conditionalFormatting sqref="R32:R39">
    <cfRule type="cellIs" dxfId="8023" priority="1331" operator="greaterThan">
      <formula>1</formula>
    </cfRule>
    <cfRule type="cellIs" dxfId="8022" priority="1332" operator="lessThan">
      <formula>0.8</formula>
    </cfRule>
  </conditionalFormatting>
  <conditionalFormatting sqref="P32:P39">
    <cfRule type="cellIs" dxfId="8021" priority="1330" operator="greaterThan">
      <formula>0</formula>
    </cfRule>
  </conditionalFormatting>
  <conditionalFormatting sqref="P32:P39">
    <cfRule type="cellIs" dxfId="8020" priority="1324" operator="greaterThan">
      <formula>0</formula>
    </cfRule>
  </conditionalFormatting>
  <conditionalFormatting sqref="Q32:Q39">
    <cfRule type="cellIs" dxfId="8019" priority="1329" operator="lessThan">
      <formula>0</formula>
    </cfRule>
  </conditionalFormatting>
  <conditionalFormatting sqref="R32:R39">
    <cfRule type="cellIs" dxfId="8018" priority="1327" operator="lessThan">
      <formula>0.8</formula>
    </cfRule>
    <cfRule type="cellIs" dxfId="8017" priority="1328" operator="greaterThan">
      <formula>1</formula>
    </cfRule>
  </conditionalFormatting>
  <conditionalFormatting sqref="R32:R39">
    <cfRule type="cellIs" dxfId="8016" priority="1325" operator="greaterThan">
      <formula>1</formula>
    </cfRule>
    <cfRule type="cellIs" dxfId="8015" priority="1326" operator="lessThan">
      <formula>0.8</formula>
    </cfRule>
  </conditionalFormatting>
  <conditionalFormatting sqref="P32:P39">
    <cfRule type="cellIs" dxfId="8014" priority="1318" operator="greaterThan">
      <formula>0</formula>
    </cfRule>
  </conditionalFormatting>
  <conditionalFormatting sqref="Q32:Q39">
    <cfRule type="cellIs" dxfId="8013" priority="1323" operator="lessThan">
      <formula>0</formula>
    </cfRule>
  </conditionalFormatting>
  <conditionalFormatting sqref="R32:R39">
    <cfRule type="cellIs" dxfId="8012" priority="1321" operator="lessThan">
      <formula>0.8</formula>
    </cfRule>
    <cfRule type="cellIs" dxfId="8011" priority="1322" operator="greaterThan">
      <formula>1</formula>
    </cfRule>
  </conditionalFormatting>
  <conditionalFormatting sqref="R32:R39">
    <cfRule type="cellIs" dxfId="8010" priority="1319" operator="greaterThan">
      <formula>1</formula>
    </cfRule>
    <cfRule type="cellIs" dxfId="8009" priority="1320" operator="lessThan">
      <formula>0.8</formula>
    </cfRule>
  </conditionalFormatting>
  <conditionalFormatting sqref="R32:R39">
    <cfRule type="cellIs" dxfId="8008" priority="1315" operator="lessThan">
      <formula>0.8</formula>
    </cfRule>
    <cfRule type="cellIs" dxfId="8007" priority="1316" operator="greaterThan">
      <formula>1</formula>
    </cfRule>
  </conditionalFormatting>
  <conditionalFormatting sqref="R32:R39">
    <cfRule type="cellIs" dxfId="8006" priority="1313" operator="greaterThan">
      <formula>1</formula>
    </cfRule>
    <cfRule type="cellIs" dxfId="8005" priority="1314" operator="lessThan">
      <formula>0.8</formula>
    </cfRule>
  </conditionalFormatting>
  <conditionalFormatting sqref="P32:P39">
    <cfRule type="cellIs" dxfId="8004" priority="1312" operator="greaterThan">
      <formula>0</formula>
    </cfRule>
  </conditionalFormatting>
  <conditionalFormatting sqref="Q32:Q39">
    <cfRule type="cellIs" dxfId="8003" priority="1317" operator="lessThan">
      <formula>0</formula>
    </cfRule>
  </conditionalFormatting>
  <conditionalFormatting sqref="P32:P39">
    <cfRule type="cellIs" dxfId="8002" priority="1306" operator="greaterThan">
      <formula>0</formula>
    </cfRule>
  </conditionalFormatting>
  <conditionalFormatting sqref="Q32:Q39">
    <cfRule type="cellIs" dxfId="8001" priority="1311" operator="lessThan">
      <formula>0</formula>
    </cfRule>
  </conditionalFormatting>
  <conditionalFormatting sqref="R32:R39">
    <cfRule type="cellIs" dxfId="8000" priority="1309" operator="lessThan">
      <formula>0.8</formula>
    </cfRule>
    <cfRule type="cellIs" dxfId="7999" priority="1310" operator="greaterThan">
      <formula>1</formula>
    </cfRule>
  </conditionalFormatting>
  <conditionalFormatting sqref="R32:R39">
    <cfRule type="cellIs" dxfId="7998" priority="1307" operator="greaterThan">
      <formula>1</formula>
    </cfRule>
    <cfRule type="cellIs" dxfId="7997" priority="1308" operator="lessThan">
      <formula>0.8</formula>
    </cfRule>
  </conditionalFormatting>
  <conditionalFormatting sqref="R32:R39">
    <cfRule type="cellIs" dxfId="7996" priority="1303" operator="lessThan">
      <formula>0.8</formula>
    </cfRule>
    <cfRule type="cellIs" dxfId="7995" priority="1304" operator="greaterThan">
      <formula>1</formula>
    </cfRule>
  </conditionalFormatting>
  <conditionalFormatting sqref="R32:R39">
    <cfRule type="cellIs" dxfId="7994" priority="1301" operator="greaterThan">
      <formula>1</formula>
    </cfRule>
    <cfRule type="cellIs" dxfId="7993" priority="1302" operator="lessThan">
      <formula>0.8</formula>
    </cfRule>
  </conditionalFormatting>
  <conditionalFormatting sqref="P32:P39">
    <cfRule type="cellIs" dxfId="7992" priority="1300" operator="greaterThan">
      <formula>0</formula>
    </cfRule>
  </conditionalFormatting>
  <conditionalFormatting sqref="Q32:Q39">
    <cfRule type="cellIs" dxfId="7991" priority="1305" operator="lessThan">
      <formula>0</formula>
    </cfRule>
  </conditionalFormatting>
  <conditionalFormatting sqref="R32:R39">
    <cfRule type="cellIs" dxfId="7990" priority="1297" operator="lessThan">
      <formula>0.8</formula>
    </cfRule>
    <cfRule type="cellIs" dxfId="7989" priority="1298" operator="greaterThan">
      <formula>1</formula>
    </cfRule>
  </conditionalFormatting>
  <conditionalFormatting sqref="R32:R39">
    <cfRule type="cellIs" dxfId="7988" priority="1295" operator="greaterThan">
      <formula>1</formula>
    </cfRule>
    <cfRule type="cellIs" dxfId="7987" priority="1296" operator="lessThan">
      <formula>0.8</formula>
    </cfRule>
  </conditionalFormatting>
  <conditionalFormatting sqref="P32:P39">
    <cfRule type="cellIs" dxfId="7986" priority="1294" operator="greaterThan">
      <formula>0</formula>
    </cfRule>
  </conditionalFormatting>
  <conditionalFormatting sqref="Q32:Q39">
    <cfRule type="cellIs" dxfId="7985" priority="1299" operator="lessThan">
      <formula>0</formula>
    </cfRule>
  </conditionalFormatting>
  <conditionalFormatting sqref="Q32:Q39">
    <cfRule type="cellIs" dxfId="7984" priority="1293" operator="lessThan">
      <formula>0</formula>
    </cfRule>
  </conditionalFormatting>
  <conditionalFormatting sqref="R32:R39">
    <cfRule type="cellIs" dxfId="7983" priority="1291" operator="lessThan">
      <formula>0.8</formula>
    </cfRule>
    <cfRule type="cellIs" dxfId="7982" priority="1292" operator="greaterThan">
      <formula>1</formula>
    </cfRule>
  </conditionalFormatting>
  <conditionalFormatting sqref="R32:R39">
    <cfRule type="cellIs" dxfId="7981" priority="1289" operator="greaterThan">
      <formula>1</formula>
    </cfRule>
    <cfRule type="cellIs" dxfId="7980" priority="1290" operator="lessThan">
      <formula>0.8</formula>
    </cfRule>
  </conditionalFormatting>
  <conditionalFormatting sqref="P32:P39">
    <cfRule type="cellIs" dxfId="7979" priority="1288" operator="greaterThan">
      <formula>0</formula>
    </cfRule>
  </conditionalFormatting>
  <conditionalFormatting sqref="Q32:Q39">
    <cfRule type="cellIs" dxfId="7978" priority="1282" operator="lessThan">
      <formula>0</formula>
    </cfRule>
  </conditionalFormatting>
  <conditionalFormatting sqref="R32:R39">
    <cfRule type="cellIs" dxfId="7977" priority="1286" operator="lessThan">
      <formula>0.8</formula>
    </cfRule>
    <cfRule type="cellIs" dxfId="7976" priority="1287" operator="greaterThan">
      <formula>1</formula>
    </cfRule>
  </conditionalFormatting>
  <conditionalFormatting sqref="R32:R39">
    <cfRule type="cellIs" dxfId="7975" priority="1284" operator="greaterThan">
      <formula>1</formula>
    </cfRule>
    <cfRule type="cellIs" dxfId="7974" priority="1285" operator="lessThan">
      <formula>0.8</formula>
    </cfRule>
  </conditionalFormatting>
  <conditionalFormatting sqref="P32:P39">
    <cfRule type="cellIs" dxfId="7973" priority="1283" operator="greaterThan">
      <formula>0</formula>
    </cfRule>
  </conditionalFormatting>
  <conditionalFormatting sqref="Q32:Q39">
    <cfRule type="cellIs" dxfId="7972" priority="1281" operator="lessThan">
      <formula>0</formula>
    </cfRule>
  </conditionalFormatting>
  <conditionalFormatting sqref="R32:R39">
    <cfRule type="cellIs" dxfId="7971" priority="1279" operator="lessThan">
      <formula>0.8</formula>
    </cfRule>
    <cfRule type="cellIs" dxfId="7970" priority="1280" operator="greaterThan">
      <formula>1</formula>
    </cfRule>
  </conditionalFormatting>
  <conditionalFormatting sqref="R32:R39">
    <cfRule type="cellIs" dxfId="7969" priority="1277" operator="greaterThan">
      <formula>1</formula>
    </cfRule>
    <cfRule type="cellIs" dxfId="7968" priority="1278" operator="lessThan">
      <formula>0.8</formula>
    </cfRule>
  </conditionalFormatting>
  <conditionalFormatting sqref="P32:P39">
    <cfRule type="cellIs" dxfId="7967" priority="1276" operator="greaterThan">
      <formula>0</formula>
    </cfRule>
  </conditionalFormatting>
  <conditionalFormatting sqref="Q32:Q39">
    <cfRule type="cellIs" dxfId="7966" priority="1275" operator="lessThan">
      <formula>0</formula>
    </cfRule>
  </conditionalFormatting>
  <conditionalFormatting sqref="R32:R39">
    <cfRule type="cellIs" dxfId="7965" priority="1273" operator="lessThan">
      <formula>0.8</formula>
    </cfRule>
    <cfRule type="cellIs" dxfId="7964" priority="1274" operator="greaterThan">
      <formula>1</formula>
    </cfRule>
  </conditionalFormatting>
  <conditionalFormatting sqref="R32:R39">
    <cfRule type="cellIs" dxfId="7963" priority="1271" operator="greaterThan">
      <formula>1</formula>
    </cfRule>
    <cfRule type="cellIs" dxfId="7962" priority="1272" operator="lessThan">
      <formula>0.8</formula>
    </cfRule>
  </conditionalFormatting>
  <conditionalFormatting sqref="P32:P39">
    <cfRule type="cellIs" dxfId="7961" priority="1270" operator="greaterThan">
      <formula>0</formula>
    </cfRule>
  </conditionalFormatting>
  <conditionalFormatting sqref="Q32:Q39">
    <cfRule type="cellIs" dxfId="7960" priority="1269" operator="lessThan">
      <formula>0</formula>
    </cfRule>
  </conditionalFormatting>
  <conditionalFormatting sqref="R32:R39">
    <cfRule type="cellIs" dxfId="7959" priority="1267" operator="lessThan">
      <formula>0.8</formula>
    </cfRule>
    <cfRule type="cellIs" dxfId="7958" priority="1268" operator="greaterThan">
      <formula>1</formula>
    </cfRule>
  </conditionalFormatting>
  <conditionalFormatting sqref="R32:R39">
    <cfRule type="cellIs" dxfId="7957" priority="1265" operator="greaterThan">
      <formula>1</formula>
    </cfRule>
    <cfRule type="cellIs" dxfId="7956" priority="1266" operator="lessThan">
      <formula>0.8</formula>
    </cfRule>
  </conditionalFormatting>
  <conditionalFormatting sqref="P32:P39">
    <cfRule type="cellIs" dxfId="7955" priority="1264" operator="greaterThan">
      <formula>0</formula>
    </cfRule>
  </conditionalFormatting>
  <conditionalFormatting sqref="Q32:Q39">
    <cfRule type="cellIs" dxfId="7954" priority="1263" operator="lessThan">
      <formula>0</formula>
    </cfRule>
  </conditionalFormatting>
  <conditionalFormatting sqref="R32:R39">
    <cfRule type="cellIs" dxfId="7953" priority="1261" operator="lessThan">
      <formula>0.8</formula>
    </cfRule>
    <cfRule type="cellIs" dxfId="7952" priority="1262" operator="greaterThan">
      <formula>1</formula>
    </cfRule>
  </conditionalFormatting>
  <conditionalFormatting sqref="R32:R39">
    <cfRule type="cellIs" dxfId="7951" priority="1259" operator="greaterThan">
      <formula>1</formula>
    </cfRule>
    <cfRule type="cellIs" dxfId="7950" priority="1260" operator="lessThan">
      <formula>0.8</formula>
    </cfRule>
  </conditionalFormatting>
  <conditionalFormatting sqref="P32:P39">
    <cfRule type="cellIs" dxfId="7949" priority="1258" operator="greaterThan">
      <formula>0</formula>
    </cfRule>
  </conditionalFormatting>
  <conditionalFormatting sqref="Q32:Q39">
    <cfRule type="cellIs" dxfId="7948" priority="1257" operator="lessThan">
      <formula>0</formula>
    </cfRule>
  </conditionalFormatting>
  <conditionalFormatting sqref="R32:R39">
    <cfRule type="cellIs" dxfId="7947" priority="1255" operator="lessThan">
      <formula>0.8</formula>
    </cfRule>
    <cfRule type="cellIs" dxfId="7946" priority="1256" operator="greaterThan">
      <formula>1</formula>
    </cfRule>
  </conditionalFormatting>
  <conditionalFormatting sqref="R32:R39">
    <cfRule type="cellIs" dxfId="7945" priority="1253" operator="greaterThan">
      <formula>1</formula>
    </cfRule>
    <cfRule type="cellIs" dxfId="7944" priority="1254" operator="lessThan">
      <formula>0.8</formula>
    </cfRule>
  </conditionalFormatting>
  <conditionalFormatting sqref="P32:P39">
    <cfRule type="cellIs" dxfId="7943" priority="1252" operator="greaterThan">
      <formula>0</formula>
    </cfRule>
  </conditionalFormatting>
  <conditionalFormatting sqref="P32:P39">
    <cfRule type="cellIs" dxfId="7942" priority="1246" operator="greaterThan">
      <formula>0</formula>
    </cfRule>
  </conditionalFormatting>
  <conditionalFormatting sqref="Q32:Q39">
    <cfRule type="cellIs" dxfId="7941" priority="1251" operator="lessThan">
      <formula>0</formula>
    </cfRule>
  </conditionalFormatting>
  <conditionalFormatting sqref="R32:R39">
    <cfRule type="cellIs" dxfId="7940" priority="1249" operator="lessThan">
      <formula>0.8</formula>
    </cfRule>
    <cfRule type="cellIs" dxfId="7939" priority="1250" operator="greaterThan">
      <formula>1</formula>
    </cfRule>
  </conditionalFormatting>
  <conditionalFormatting sqref="R32:R39">
    <cfRule type="cellIs" dxfId="7938" priority="1247" operator="greaterThan">
      <formula>1</formula>
    </cfRule>
    <cfRule type="cellIs" dxfId="7937" priority="1248" operator="lessThan">
      <formula>0.8</formula>
    </cfRule>
  </conditionalFormatting>
  <conditionalFormatting sqref="P32:P39">
    <cfRule type="cellIs" dxfId="7936" priority="1240" operator="greaterThan">
      <formula>0</formula>
    </cfRule>
  </conditionalFormatting>
  <conditionalFormatting sqref="Q32:Q39">
    <cfRule type="cellIs" dxfId="7935" priority="1245" operator="lessThan">
      <formula>0</formula>
    </cfRule>
  </conditionalFormatting>
  <conditionalFormatting sqref="R32:R39">
    <cfRule type="cellIs" dxfId="7934" priority="1243" operator="lessThan">
      <formula>0.8</formula>
    </cfRule>
    <cfRule type="cellIs" dxfId="7933" priority="1244" operator="greaterThan">
      <formula>1</formula>
    </cfRule>
  </conditionalFormatting>
  <conditionalFormatting sqref="R32:R39">
    <cfRule type="cellIs" dxfId="7932" priority="1241" operator="greaterThan">
      <formula>1</formula>
    </cfRule>
    <cfRule type="cellIs" dxfId="7931" priority="1242" operator="lessThan">
      <formula>0.8</formula>
    </cfRule>
  </conditionalFormatting>
  <conditionalFormatting sqref="R32:R39">
    <cfRule type="cellIs" dxfId="7930" priority="1237" operator="lessThan">
      <formula>0.8</formula>
    </cfRule>
    <cfRule type="cellIs" dxfId="7929" priority="1238" operator="greaterThan">
      <formula>1</formula>
    </cfRule>
  </conditionalFormatting>
  <conditionalFormatting sqref="R32:R39">
    <cfRule type="cellIs" dxfId="7928" priority="1235" operator="greaterThan">
      <formula>1</formula>
    </cfRule>
    <cfRule type="cellIs" dxfId="7927" priority="1236" operator="lessThan">
      <formula>0.8</formula>
    </cfRule>
  </conditionalFormatting>
  <conditionalFormatting sqref="P32:P39">
    <cfRule type="cellIs" dxfId="7926" priority="1234" operator="greaterThan">
      <formula>0</formula>
    </cfRule>
  </conditionalFormatting>
  <conditionalFormatting sqref="Q32:Q39">
    <cfRule type="cellIs" dxfId="7925" priority="1239" operator="lessThan">
      <formula>0</formula>
    </cfRule>
  </conditionalFormatting>
  <conditionalFormatting sqref="Q32:Q39">
    <cfRule type="cellIs" dxfId="7924" priority="1228" operator="lessThan">
      <formula>0</formula>
    </cfRule>
  </conditionalFormatting>
  <conditionalFormatting sqref="P32:P39">
    <cfRule type="cellIs" dxfId="7923" priority="1229" operator="greaterThan">
      <formula>0</formula>
    </cfRule>
  </conditionalFormatting>
  <conditionalFormatting sqref="R32:R39">
    <cfRule type="cellIs" dxfId="7922" priority="1232" operator="lessThan">
      <formula>0.8</formula>
    </cfRule>
    <cfRule type="cellIs" dxfId="7921" priority="1233" operator="greaterThan">
      <formula>1</formula>
    </cfRule>
  </conditionalFormatting>
  <conditionalFormatting sqref="R32:R39">
    <cfRule type="cellIs" dxfId="7920" priority="1230" operator="greaterThan">
      <formula>1</formula>
    </cfRule>
    <cfRule type="cellIs" dxfId="7919" priority="1231" operator="lessThan">
      <formula>0.8</formula>
    </cfRule>
  </conditionalFormatting>
  <conditionalFormatting sqref="Q32:Q39">
    <cfRule type="cellIs" dxfId="7918" priority="1222" operator="lessThan">
      <formula>0</formula>
    </cfRule>
  </conditionalFormatting>
  <conditionalFormatting sqref="R32:R39">
    <cfRule type="cellIs" dxfId="7917" priority="1226" operator="lessThan">
      <formula>0.8</formula>
    </cfRule>
    <cfRule type="cellIs" dxfId="7916" priority="1227" operator="greaterThan">
      <formula>1</formula>
    </cfRule>
  </conditionalFormatting>
  <conditionalFormatting sqref="R32:R39">
    <cfRule type="cellIs" dxfId="7915" priority="1224" operator="greaterThan">
      <formula>1</formula>
    </cfRule>
    <cfRule type="cellIs" dxfId="7914" priority="1225" operator="lessThan">
      <formula>0.8</formula>
    </cfRule>
  </conditionalFormatting>
  <conditionalFormatting sqref="P32:P39">
    <cfRule type="cellIs" dxfId="7913" priority="1223" operator="greaterThan">
      <formula>0</formula>
    </cfRule>
  </conditionalFormatting>
  <conditionalFormatting sqref="Q32:Q39">
    <cfRule type="cellIs" dxfId="7912" priority="1221" operator="lessThan">
      <formula>0</formula>
    </cfRule>
  </conditionalFormatting>
  <conditionalFormatting sqref="R32:R39">
    <cfRule type="cellIs" dxfId="7911" priority="1219" operator="lessThan">
      <formula>0.8</formula>
    </cfRule>
    <cfRule type="cellIs" dxfId="7910" priority="1220" operator="greaterThan">
      <formula>1</formula>
    </cfRule>
  </conditionalFormatting>
  <conditionalFormatting sqref="R32:R39">
    <cfRule type="cellIs" dxfId="7909" priority="1217" operator="greaterThan">
      <formula>1</formula>
    </cfRule>
    <cfRule type="cellIs" dxfId="7908" priority="1218" operator="lessThan">
      <formula>0.8</formula>
    </cfRule>
  </conditionalFormatting>
  <conditionalFormatting sqref="P32:P39">
    <cfRule type="cellIs" dxfId="7907" priority="1216" operator="greaterThan">
      <formula>0</formula>
    </cfRule>
  </conditionalFormatting>
  <conditionalFormatting sqref="Q32:Q39">
    <cfRule type="cellIs" dxfId="7906" priority="1215" operator="lessThan">
      <formula>0</formula>
    </cfRule>
  </conditionalFormatting>
  <conditionalFormatting sqref="R32:R39">
    <cfRule type="cellIs" dxfId="7905" priority="1213" operator="lessThan">
      <formula>0.8</formula>
    </cfRule>
    <cfRule type="cellIs" dxfId="7904" priority="1214" operator="greaterThan">
      <formula>1</formula>
    </cfRule>
  </conditionalFormatting>
  <conditionalFormatting sqref="R32:R39">
    <cfRule type="cellIs" dxfId="7903" priority="1211" operator="greaterThan">
      <formula>1</formula>
    </cfRule>
    <cfRule type="cellIs" dxfId="7902" priority="1212" operator="lessThan">
      <formula>0.8</formula>
    </cfRule>
  </conditionalFormatting>
  <conditionalFormatting sqref="P32:P39">
    <cfRule type="cellIs" dxfId="7901" priority="1210" operator="greaterThan">
      <formula>0</formula>
    </cfRule>
  </conditionalFormatting>
  <conditionalFormatting sqref="Q32:Q39">
    <cfRule type="cellIs" dxfId="7900" priority="1209" operator="lessThan">
      <formula>0</formula>
    </cfRule>
  </conditionalFormatting>
  <conditionalFormatting sqref="R32:R39">
    <cfRule type="cellIs" dxfId="7899" priority="1207" operator="lessThan">
      <formula>0.8</formula>
    </cfRule>
    <cfRule type="cellIs" dxfId="7898" priority="1208" operator="greaterThan">
      <formula>1</formula>
    </cfRule>
  </conditionalFormatting>
  <conditionalFormatting sqref="R32:R39">
    <cfRule type="cellIs" dxfId="7897" priority="1205" operator="greaterThan">
      <formula>1</formula>
    </cfRule>
    <cfRule type="cellIs" dxfId="7896" priority="1206" operator="lessThan">
      <formula>0.8</formula>
    </cfRule>
  </conditionalFormatting>
  <conditionalFormatting sqref="P32:P39">
    <cfRule type="cellIs" dxfId="7895" priority="1204" operator="greaterThan">
      <formula>0</formula>
    </cfRule>
  </conditionalFormatting>
  <conditionalFormatting sqref="Q32:Q39">
    <cfRule type="cellIs" dxfId="7894" priority="1203" operator="lessThan">
      <formula>0</formula>
    </cfRule>
  </conditionalFormatting>
  <conditionalFormatting sqref="R32:R39">
    <cfRule type="cellIs" dxfId="7893" priority="1201" operator="lessThan">
      <formula>0.8</formula>
    </cfRule>
    <cfRule type="cellIs" dxfId="7892" priority="1202" operator="greaterThan">
      <formula>1</formula>
    </cfRule>
  </conditionalFormatting>
  <conditionalFormatting sqref="R32:R39">
    <cfRule type="cellIs" dxfId="7891" priority="1199" operator="greaterThan">
      <formula>1</formula>
    </cfRule>
    <cfRule type="cellIs" dxfId="7890" priority="1200" operator="lessThan">
      <formula>0.8</formula>
    </cfRule>
  </conditionalFormatting>
  <conditionalFormatting sqref="P32:P39">
    <cfRule type="cellIs" dxfId="7889" priority="1198" operator="greaterThan">
      <formula>0</formula>
    </cfRule>
  </conditionalFormatting>
  <conditionalFormatting sqref="Q96:Q105">
    <cfRule type="cellIs" dxfId="7888" priority="1192" operator="lessThan">
      <formula>0</formula>
    </cfRule>
  </conditionalFormatting>
  <conditionalFormatting sqref="P96:P105">
    <cfRule type="cellIs" dxfId="7887" priority="1193" operator="greaterThan">
      <formula>0</formula>
    </cfRule>
  </conditionalFormatting>
  <conditionalFormatting sqref="R96:R105">
    <cfRule type="cellIs" dxfId="7886" priority="1196" operator="lessThan">
      <formula>0.8</formula>
    </cfRule>
    <cfRule type="cellIs" dxfId="7885" priority="1197" operator="greaterThan">
      <formula>1</formula>
    </cfRule>
  </conditionalFormatting>
  <conditionalFormatting sqref="R96:R105">
    <cfRule type="cellIs" dxfId="7884" priority="1194" operator="greaterThan">
      <formula>1</formula>
    </cfRule>
    <cfRule type="cellIs" dxfId="7883" priority="1195" operator="lessThan">
      <formula>0.8</formula>
    </cfRule>
  </conditionalFormatting>
  <conditionalFormatting sqref="Q96:Q105">
    <cfRule type="cellIs" dxfId="7882" priority="1186" operator="lessThan">
      <formula>0</formula>
    </cfRule>
  </conditionalFormatting>
  <conditionalFormatting sqref="R96:R105">
    <cfRule type="cellIs" dxfId="7881" priority="1190" operator="lessThan">
      <formula>0.8</formula>
    </cfRule>
    <cfRule type="cellIs" dxfId="7880" priority="1191" operator="greaterThan">
      <formula>1</formula>
    </cfRule>
  </conditionalFormatting>
  <conditionalFormatting sqref="R96:R105">
    <cfRule type="cellIs" dxfId="7879" priority="1188" operator="greaterThan">
      <formula>1</formula>
    </cfRule>
    <cfRule type="cellIs" dxfId="7878" priority="1189" operator="lessThan">
      <formula>0.8</formula>
    </cfRule>
  </conditionalFormatting>
  <conditionalFormatting sqref="P96:P105">
    <cfRule type="cellIs" dxfId="7877" priority="1187" operator="greaterThan">
      <formula>0</formula>
    </cfRule>
  </conditionalFormatting>
  <conditionalFormatting sqref="Q96:Q105">
    <cfRule type="cellIs" dxfId="7876" priority="1185" operator="lessThan">
      <formula>0</formula>
    </cfRule>
  </conditionalFormatting>
  <conditionalFormatting sqref="R96:R105">
    <cfRule type="cellIs" dxfId="7875" priority="1183" operator="lessThan">
      <formula>0.8</formula>
    </cfRule>
    <cfRule type="cellIs" dxfId="7874" priority="1184" operator="greaterThan">
      <formula>1</formula>
    </cfRule>
  </conditionalFormatting>
  <conditionalFormatting sqref="R96:R105">
    <cfRule type="cellIs" dxfId="7873" priority="1181" operator="greaterThan">
      <formula>1</formula>
    </cfRule>
    <cfRule type="cellIs" dxfId="7872" priority="1182" operator="lessThan">
      <formula>0.8</formula>
    </cfRule>
  </conditionalFormatting>
  <conditionalFormatting sqref="P96:P105">
    <cfRule type="cellIs" dxfId="7871" priority="1180" operator="greaterThan">
      <formula>0</formula>
    </cfRule>
  </conditionalFormatting>
  <conditionalFormatting sqref="Q96:Q105">
    <cfRule type="cellIs" dxfId="7870" priority="1179" operator="lessThan">
      <formula>0</formula>
    </cfRule>
  </conditionalFormatting>
  <conditionalFormatting sqref="R96:R105">
    <cfRule type="cellIs" dxfId="7869" priority="1177" operator="lessThan">
      <formula>0.8</formula>
    </cfRule>
    <cfRule type="cellIs" dxfId="7868" priority="1178" operator="greaterThan">
      <formula>1</formula>
    </cfRule>
  </conditionalFormatting>
  <conditionalFormatting sqref="R96:R105">
    <cfRule type="cellIs" dxfId="7867" priority="1175" operator="greaterThan">
      <formula>1</formula>
    </cfRule>
    <cfRule type="cellIs" dxfId="7866" priority="1176" operator="lessThan">
      <formula>0.8</formula>
    </cfRule>
  </conditionalFormatting>
  <conditionalFormatting sqref="P96:P105">
    <cfRule type="cellIs" dxfId="7865" priority="1174" operator="greaterThan">
      <formula>0</formula>
    </cfRule>
  </conditionalFormatting>
  <conditionalFormatting sqref="Q96:Q105">
    <cfRule type="cellIs" dxfId="7864" priority="1168" operator="lessThan">
      <formula>0</formula>
    </cfRule>
  </conditionalFormatting>
  <conditionalFormatting sqref="R96:R105">
    <cfRule type="cellIs" dxfId="7863" priority="1172" operator="lessThan">
      <formula>0.8</formula>
    </cfRule>
    <cfRule type="cellIs" dxfId="7862" priority="1173" operator="greaterThan">
      <formula>1</formula>
    </cfRule>
  </conditionalFormatting>
  <conditionalFormatting sqref="R96:R105">
    <cfRule type="cellIs" dxfId="7861" priority="1170" operator="greaterThan">
      <formula>1</formula>
    </cfRule>
    <cfRule type="cellIs" dxfId="7860" priority="1171" operator="lessThan">
      <formula>0.8</formula>
    </cfRule>
  </conditionalFormatting>
  <conditionalFormatting sqref="P96:P105">
    <cfRule type="cellIs" dxfId="7859" priority="1169" operator="greaterThan">
      <formula>0</formula>
    </cfRule>
  </conditionalFormatting>
  <conditionalFormatting sqref="Q96:Q105">
    <cfRule type="cellIs" dxfId="7858" priority="1167" operator="lessThan">
      <formula>0</formula>
    </cfRule>
  </conditionalFormatting>
  <conditionalFormatting sqref="R96:R105">
    <cfRule type="cellIs" dxfId="7857" priority="1165" operator="lessThan">
      <formula>0.8</formula>
    </cfRule>
    <cfRule type="cellIs" dxfId="7856" priority="1166" operator="greaterThan">
      <formula>1</formula>
    </cfRule>
  </conditionalFormatting>
  <conditionalFormatting sqref="R96:R105">
    <cfRule type="cellIs" dxfId="7855" priority="1163" operator="greaterThan">
      <formula>1</formula>
    </cfRule>
    <cfRule type="cellIs" dxfId="7854" priority="1164" operator="lessThan">
      <formula>0.8</formula>
    </cfRule>
  </conditionalFormatting>
  <conditionalFormatting sqref="P96:P105">
    <cfRule type="cellIs" dxfId="7853" priority="1162" operator="greaterThan">
      <formula>0</formula>
    </cfRule>
  </conditionalFormatting>
  <conditionalFormatting sqref="Q96:Q105">
    <cfRule type="cellIs" dxfId="7852" priority="1161" operator="lessThan">
      <formula>0</formula>
    </cfRule>
  </conditionalFormatting>
  <conditionalFormatting sqref="R96:R105">
    <cfRule type="cellIs" dxfId="7851" priority="1159" operator="lessThan">
      <formula>0.8</formula>
    </cfRule>
    <cfRule type="cellIs" dxfId="7850" priority="1160" operator="greaterThan">
      <formula>1</formula>
    </cfRule>
  </conditionalFormatting>
  <conditionalFormatting sqref="R96:R105">
    <cfRule type="cellIs" dxfId="7849" priority="1157" operator="greaterThan">
      <formula>1</formula>
    </cfRule>
    <cfRule type="cellIs" dxfId="7848" priority="1158" operator="lessThan">
      <formula>0.8</formula>
    </cfRule>
  </conditionalFormatting>
  <conditionalFormatting sqref="P96:P105">
    <cfRule type="cellIs" dxfId="7847" priority="1156" operator="greaterThan">
      <formula>0</formula>
    </cfRule>
  </conditionalFormatting>
  <conditionalFormatting sqref="Q96:Q105">
    <cfRule type="cellIs" dxfId="7846" priority="1155" operator="lessThan">
      <formula>0</formula>
    </cfRule>
  </conditionalFormatting>
  <conditionalFormatting sqref="R96:R105">
    <cfRule type="cellIs" dxfId="7845" priority="1153" operator="lessThan">
      <formula>0.8</formula>
    </cfRule>
    <cfRule type="cellIs" dxfId="7844" priority="1154" operator="greaterThan">
      <formula>1</formula>
    </cfRule>
  </conditionalFormatting>
  <conditionalFormatting sqref="R96:R105">
    <cfRule type="cellIs" dxfId="7843" priority="1151" operator="greaterThan">
      <formula>1</formula>
    </cfRule>
    <cfRule type="cellIs" dxfId="7842" priority="1152" operator="lessThan">
      <formula>0.8</formula>
    </cfRule>
  </conditionalFormatting>
  <conditionalFormatting sqref="P96:P105">
    <cfRule type="cellIs" dxfId="7841" priority="1150" operator="greaterThan">
      <formula>0</formula>
    </cfRule>
  </conditionalFormatting>
  <conditionalFormatting sqref="Q96:Q105">
    <cfRule type="cellIs" dxfId="7840" priority="1149" operator="lessThan">
      <formula>0</formula>
    </cfRule>
  </conditionalFormatting>
  <conditionalFormatting sqref="R96:R105">
    <cfRule type="cellIs" dxfId="7839" priority="1147" operator="lessThan">
      <formula>0.8</formula>
    </cfRule>
    <cfRule type="cellIs" dxfId="7838" priority="1148" operator="greaterThan">
      <formula>1</formula>
    </cfRule>
  </conditionalFormatting>
  <conditionalFormatting sqref="R96:R105">
    <cfRule type="cellIs" dxfId="7837" priority="1145" operator="greaterThan">
      <formula>1</formula>
    </cfRule>
    <cfRule type="cellIs" dxfId="7836" priority="1146" operator="lessThan">
      <formula>0.8</formula>
    </cfRule>
  </conditionalFormatting>
  <conditionalFormatting sqref="P96:P105">
    <cfRule type="cellIs" dxfId="7835" priority="1144" operator="greaterThan">
      <formula>0</formula>
    </cfRule>
  </conditionalFormatting>
  <conditionalFormatting sqref="Q96:Q105">
    <cfRule type="cellIs" dxfId="7834" priority="1143" operator="lessThan">
      <formula>0</formula>
    </cfRule>
  </conditionalFormatting>
  <conditionalFormatting sqref="R96:R105">
    <cfRule type="cellIs" dxfId="7833" priority="1141" operator="lessThan">
      <formula>0.8</formula>
    </cfRule>
    <cfRule type="cellIs" dxfId="7832" priority="1142" operator="greaterThan">
      <formula>1</formula>
    </cfRule>
  </conditionalFormatting>
  <conditionalFormatting sqref="R96:R105">
    <cfRule type="cellIs" dxfId="7831" priority="1139" operator="greaterThan">
      <formula>1</formula>
    </cfRule>
    <cfRule type="cellIs" dxfId="7830" priority="1140" operator="lessThan">
      <formula>0.8</formula>
    </cfRule>
  </conditionalFormatting>
  <conditionalFormatting sqref="P96:P105">
    <cfRule type="cellIs" dxfId="7829" priority="1138" operator="greaterThan">
      <formula>0</formula>
    </cfRule>
  </conditionalFormatting>
  <conditionalFormatting sqref="P96:P105">
    <cfRule type="cellIs" dxfId="7828" priority="1132" operator="greaterThan">
      <formula>0</formula>
    </cfRule>
  </conditionalFormatting>
  <conditionalFormatting sqref="Q96:Q105">
    <cfRule type="cellIs" dxfId="7827" priority="1137" operator="lessThan">
      <formula>0</formula>
    </cfRule>
  </conditionalFormatting>
  <conditionalFormatting sqref="R96:R105">
    <cfRule type="cellIs" dxfId="7826" priority="1135" operator="lessThan">
      <formula>0.8</formula>
    </cfRule>
    <cfRule type="cellIs" dxfId="7825" priority="1136" operator="greaterThan">
      <formula>1</formula>
    </cfRule>
  </conditionalFormatting>
  <conditionalFormatting sqref="R96:R105">
    <cfRule type="cellIs" dxfId="7824" priority="1133" operator="greaterThan">
      <formula>1</formula>
    </cfRule>
    <cfRule type="cellIs" dxfId="7823" priority="1134" operator="lessThan">
      <formula>0.8</formula>
    </cfRule>
  </conditionalFormatting>
  <conditionalFormatting sqref="P96:P105">
    <cfRule type="cellIs" dxfId="7822" priority="1126" operator="greaterThan">
      <formula>0</formula>
    </cfRule>
  </conditionalFormatting>
  <conditionalFormatting sqref="Q96:Q105">
    <cfRule type="cellIs" dxfId="7821" priority="1131" operator="lessThan">
      <formula>0</formula>
    </cfRule>
  </conditionalFormatting>
  <conditionalFormatting sqref="R96:R105">
    <cfRule type="cellIs" dxfId="7820" priority="1129" operator="lessThan">
      <formula>0.8</formula>
    </cfRule>
    <cfRule type="cellIs" dxfId="7819" priority="1130" operator="greaterThan">
      <formula>1</formula>
    </cfRule>
  </conditionalFormatting>
  <conditionalFormatting sqref="R96:R105">
    <cfRule type="cellIs" dxfId="7818" priority="1127" operator="greaterThan">
      <formula>1</formula>
    </cfRule>
    <cfRule type="cellIs" dxfId="7817" priority="1128" operator="lessThan">
      <formula>0.8</formula>
    </cfRule>
  </conditionalFormatting>
  <conditionalFormatting sqref="R96:R105">
    <cfRule type="cellIs" dxfId="7816" priority="1123" operator="lessThan">
      <formula>0.8</formula>
    </cfRule>
    <cfRule type="cellIs" dxfId="7815" priority="1124" operator="greaterThan">
      <formula>1</formula>
    </cfRule>
  </conditionalFormatting>
  <conditionalFormatting sqref="R96:R105">
    <cfRule type="cellIs" dxfId="7814" priority="1121" operator="greaterThan">
      <formula>1</formula>
    </cfRule>
    <cfRule type="cellIs" dxfId="7813" priority="1122" operator="lessThan">
      <formula>0.8</formula>
    </cfRule>
  </conditionalFormatting>
  <conditionalFormatting sqref="P96:P105">
    <cfRule type="cellIs" dxfId="7812" priority="1120" operator="greaterThan">
      <formula>0</formula>
    </cfRule>
  </conditionalFormatting>
  <conditionalFormatting sqref="Q96:Q105">
    <cfRule type="cellIs" dxfId="7811" priority="1125" operator="lessThan">
      <formula>0</formula>
    </cfRule>
  </conditionalFormatting>
  <conditionalFormatting sqref="Q96:Q105">
    <cfRule type="cellIs" dxfId="7810" priority="1114" operator="lessThan">
      <formula>0</formula>
    </cfRule>
  </conditionalFormatting>
  <conditionalFormatting sqref="P96:P105">
    <cfRule type="cellIs" dxfId="7809" priority="1115" operator="greaterThan">
      <formula>0</formula>
    </cfRule>
  </conditionalFormatting>
  <conditionalFormatting sqref="R96:R105">
    <cfRule type="cellIs" dxfId="7808" priority="1118" operator="lessThan">
      <formula>0.8</formula>
    </cfRule>
    <cfRule type="cellIs" dxfId="7807" priority="1119" operator="greaterThan">
      <formula>1</formula>
    </cfRule>
  </conditionalFormatting>
  <conditionalFormatting sqref="R96:R105">
    <cfRule type="cellIs" dxfId="7806" priority="1116" operator="greaterThan">
      <formula>1</formula>
    </cfRule>
    <cfRule type="cellIs" dxfId="7805" priority="1117" operator="lessThan">
      <formula>0.8</formula>
    </cfRule>
  </conditionalFormatting>
  <conditionalFormatting sqref="Q96:Q105">
    <cfRule type="cellIs" dxfId="7804" priority="1108" operator="lessThan">
      <formula>0</formula>
    </cfRule>
  </conditionalFormatting>
  <conditionalFormatting sqref="R96:R105">
    <cfRule type="cellIs" dxfId="7803" priority="1112" operator="lessThan">
      <formula>0.8</formula>
    </cfRule>
    <cfRule type="cellIs" dxfId="7802" priority="1113" operator="greaterThan">
      <formula>1</formula>
    </cfRule>
  </conditionalFormatting>
  <conditionalFormatting sqref="R96:R105">
    <cfRule type="cellIs" dxfId="7801" priority="1110" operator="greaterThan">
      <formula>1</formula>
    </cfRule>
    <cfRule type="cellIs" dxfId="7800" priority="1111" operator="lessThan">
      <formula>0.8</formula>
    </cfRule>
  </conditionalFormatting>
  <conditionalFormatting sqref="P96:P105">
    <cfRule type="cellIs" dxfId="7799" priority="1109" operator="greaterThan">
      <formula>0</formula>
    </cfRule>
  </conditionalFormatting>
  <conditionalFormatting sqref="Q96:Q105">
    <cfRule type="cellIs" dxfId="7798" priority="1107" operator="lessThan">
      <formula>0</formula>
    </cfRule>
  </conditionalFormatting>
  <conditionalFormatting sqref="R96:R105">
    <cfRule type="cellIs" dxfId="7797" priority="1105" operator="lessThan">
      <formula>0.8</formula>
    </cfRule>
    <cfRule type="cellIs" dxfId="7796" priority="1106" operator="greaterThan">
      <formula>1</formula>
    </cfRule>
  </conditionalFormatting>
  <conditionalFormatting sqref="R96:R105">
    <cfRule type="cellIs" dxfId="7795" priority="1103" operator="greaterThan">
      <formula>1</formula>
    </cfRule>
    <cfRule type="cellIs" dxfId="7794" priority="1104" operator="lessThan">
      <formula>0.8</formula>
    </cfRule>
  </conditionalFormatting>
  <conditionalFormatting sqref="P96:P105">
    <cfRule type="cellIs" dxfId="7793" priority="1102" operator="greaterThan">
      <formula>0</formula>
    </cfRule>
  </conditionalFormatting>
  <conditionalFormatting sqref="Q96:Q105">
    <cfRule type="cellIs" dxfId="7792" priority="1101" operator="lessThan">
      <formula>0</formula>
    </cfRule>
  </conditionalFormatting>
  <conditionalFormatting sqref="R96:R105">
    <cfRule type="cellIs" dxfId="7791" priority="1099" operator="lessThan">
      <formula>0.8</formula>
    </cfRule>
    <cfRule type="cellIs" dxfId="7790" priority="1100" operator="greaterThan">
      <formula>1</formula>
    </cfRule>
  </conditionalFormatting>
  <conditionalFormatting sqref="R96:R105">
    <cfRule type="cellIs" dxfId="7789" priority="1097" operator="greaterThan">
      <formula>1</formula>
    </cfRule>
    <cfRule type="cellIs" dxfId="7788" priority="1098" operator="lessThan">
      <formula>0.8</formula>
    </cfRule>
  </conditionalFormatting>
  <conditionalFormatting sqref="P96:P105">
    <cfRule type="cellIs" dxfId="7787" priority="1096" operator="greaterThan">
      <formula>0</formula>
    </cfRule>
  </conditionalFormatting>
  <conditionalFormatting sqref="Q96:Q105">
    <cfRule type="cellIs" dxfId="7786" priority="1090" operator="lessThan">
      <formula>0</formula>
    </cfRule>
  </conditionalFormatting>
  <conditionalFormatting sqref="P96:P105">
    <cfRule type="cellIs" dxfId="7785" priority="1091" operator="greaterThan">
      <formula>0</formula>
    </cfRule>
  </conditionalFormatting>
  <conditionalFormatting sqref="R96:R105">
    <cfRule type="cellIs" dxfId="7784" priority="1094" operator="lessThan">
      <formula>0.8</formula>
    </cfRule>
    <cfRule type="cellIs" dxfId="7783" priority="1095" operator="greaterThan">
      <formula>1</formula>
    </cfRule>
  </conditionalFormatting>
  <conditionalFormatting sqref="R96:R105">
    <cfRule type="cellIs" dxfId="7782" priority="1092" operator="greaterThan">
      <formula>1</formula>
    </cfRule>
    <cfRule type="cellIs" dxfId="7781" priority="1093" operator="lessThan">
      <formula>0.8</formula>
    </cfRule>
  </conditionalFormatting>
  <conditionalFormatting sqref="Q96:Q105">
    <cfRule type="cellIs" dxfId="7780" priority="1084" operator="lessThan">
      <formula>0</formula>
    </cfRule>
  </conditionalFormatting>
  <conditionalFormatting sqref="R96:R105">
    <cfRule type="cellIs" dxfId="7779" priority="1088" operator="lessThan">
      <formula>0.8</formula>
    </cfRule>
    <cfRule type="cellIs" dxfId="7778" priority="1089" operator="greaterThan">
      <formula>1</formula>
    </cfRule>
  </conditionalFormatting>
  <conditionalFormatting sqref="R96:R105">
    <cfRule type="cellIs" dxfId="7777" priority="1086" operator="greaterThan">
      <formula>1</formula>
    </cfRule>
    <cfRule type="cellIs" dxfId="7776" priority="1087" operator="lessThan">
      <formula>0.8</formula>
    </cfRule>
  </conditionalFormatting>
  <conditionalFormatting sqref="P96:P105">
    <cfRule type="cellIs" dxfId="7775" priority="1085" operator="greaterThan">
      <formula>0</formula>
    </cfRule>
  </conditionalFormatting>
  <conditionalFormatting sqref="Q96:Q105">
    <cfRule type="cellIs" dxfId="7774" priority="1083" operator="lessThan">
      <formula>0</formula>
    </cfRule>
  </conditionalFormatting>
  <conditionalFormatting sqref="R96:R105">
    <cfRule type="cellIs" dxfId="7773" priority="1081" operator="lessThan">
      <formula>0.8</formula>
    </cfRule>
    <cfRule type="cellIs" dxfId="7772" priority="1082" operator="greaterThan">
      <formula>1</formula>
    </cfRule>
  </conditionalFormatting>
  <conditionalFormatting sqref="R96:R105">
    <cfRule type="cellIs" dxfId="7771" priority="1079" operator="greaterThan">
      <formula>1</formula>
    </cfRule>
    <cfRule type="cellIs" dxfId="7770" priority="1080" operator="lessThan">
      <formula>0.8</formula>
    </cfRule>
  </conditionalFormatting>
  <conditionalFormatting sqref="P96:P105">
    <cfRule type="cellIs" dxfId="7769" priority="1078" operator="greaterThan">
      <formula>0</formula>
    </cfRule>
  </conditionalFormatting>
  <conditionalFormatting sqref="Q96:Q105">
    <cfRule type="cellIs" dxfId="7768" priority="1077" operator="lessThan">
      <formula>0</formula>
    </cfRule>
  </conditionalFormatting>
  <conditionalFormatting sqref="R96:R105">
    <cfRule type="cellIs" dxfId="7767" priority="1075" operator="lessThan">
      <formula>0.8</formula>
    </cfRule>
    <cfRule type="cellIs" dxfId="7766" priority="1076" operator="greaterThan">
      <formula>1</formula>
    </cfRule>
  </conditionalFormatting>
  <conditionalFormatting sqref="R96:R105">
    <cfRule type="cellIs" dxfId="7765" priority="1073" operator="greaterThan">
      <formula>1</formula>
    </cfRule>
    <cfRule type="cellIs" dxfId="7764" priority="1074" operator="lessThan">
      <formula>0.8</formula>
    </cfRule>
  </conditionalFormatting>
  <conditionalFormatting sqref="P96:P105">
    <cfRule type="cellIs" dxfId="7763" priority="1072" operator="greaterThan">
      <formula>0</formula>
    </cfRule>
  </conditionalFormatting>
  <conditionalFormatting sqref="P124 P131 P127">
    <cfRule type="cellIs" dxfId="7762" priority="1066" operator="greaterThan">
      <formula>0</formula>
    </cfRule>
  </conditionalFormatting>
  <conditionalFormatting sqref="Q124 Q131 Q127">
    <cfRule type="cellIs" dxfId="7761" priority="1071" operator="lessThan">
      <formula>0</formula>
    </cfRule>
  </conditionalFormatting>
  <conditionalFormatting sqref="R124 R131 R127">
    <cfRule type="cellIs" dxfId="7760" priority="1069" operator="lessThan">
      <formula>0.8</formula>
    </cfRule>
    <cfRule type="cellIs" dxfId="7759" priority="1070" operator="greaterThan">
      <formula>1</formula>
    </cfRule>
  </conditionalFormatting>
  <conditionalFormatting sqref="R124 R131 R127">
    <cfRule type="cellIs" dxfId="7758" priority="1067" operator="greaterThan">
      <formula>1</formula>
    </cfRule>
    <cfRule type="cellIs" dxfId="7757" priority="1068" operator="lessThan">
      <formula>0.8</formula>
    </cfRule>
  </conditionalFormatting>
  <conditionalFormatting sqref="Q124 Q131 Q127">
    <cfRule type="cellIs" dxfId="7756" priority="1065" operator="lessThan">
      <formula>0</formula>
    </cfRule>
  </conditionalFormatting>
  <conditionalFormatting sqref="R124 R131 R127">
    <cfRule type="cellIs" dxfId="7755" priority="1063" operator="lessThan">
      <formula>0.8</formula>
    </cfRule>
    <cfRule type="cellIs" dxfId="7754" priority="1064" operator="greaterThan">
      <formula>1</formula>
    </cfRule>
  </conditionalFormatting>
  <conditionalFormatting sqref="R124 R131 R127">
    <cfRule type="cellIs" dxfId="7753" priority="1061" operator="greaterThan">
      <formula>1</formula>
    </cfRule>
    <cfRule type="cellIs" dxfId="7752" priority="1062" operator="lessThan">
      <formula>0.8</formula>
    </cfRule>
  </conditionalFormatting>
  <conditionalFormatting sqref="P124 P131 P127">
    <cfRule type="cellIs" dxfId="7751" priority="1060" operator="greaterThan">
      <formula>0</formula>
    </cfRule>
  </conditionalFormatting>
  <conditionalFormatting sqref="Q123 Q125:Q126 Q128:Q130">
    <cfRule type="cellIs" dxfId="7750" priority="1059" operator="lessThan">
      <formula>0</formula>
    </cfRule>
  </conditionalFormatting>
  <conditionalFormatting sqref="R123 R125:R126 R128:R130">
    <cfRule type="cellIs" dxfId="7749" priority="1057" operator="lessThan">
      <formula>0.8</formula>
    </cfRule>
    <cfRule type="cellIs" dxfId="7748" priority="1058" operator="greaterThan">
      <formula>1</formula>
    </cfRule>
  </conditionalFormatting>
  <conditionalFormatting sqref="R123 R125:R126 R128:R130">
    <cfRule type="cellIs" dxfId="7747" priority="1055" operator="greaterThan">
      <formula>1</formula>
    </cfRule>
    <cfRule type="cellIs" dxfId="7746" priority="1056" operator="lessThan">
      <formula>0.8</formula>
    </cfRule>
  </conditionalFormatting>
  <conditionalFormatting sqref="P123 P125:P126 P128:P130">
    <cfRule type="cellIs" dxfId="7745" priority="1054" operator="greaterThan">
      <formula>0</formula>
    </cfRule>
  </conditionalFormatting>
  <conditionalFormatting sqref="P123 P125:P126 P128:P130">
    <cfRule type="cellIs" dxfId="7744" priority="1048" operator="greaterThan">
      <formula>0</formula>
    </cfRule>
  </conditionalFormatting>
  <conditionalFormatting sqref="Q123 Q125:Q126 Q128:Q130">
    <cfRule type="cellIs" dxfId="7743" priority="1053" operator="lessThan">
      <formula>0</formula>
    </cfRule>
  </conditionalFormatting>
  <conditionalFormatting sqref="R123 R125:R126 R128:R130">
    <cfRule type="cellIs" dxfId="7742" priority="1051" operator="lessThan">
      <formula>0.8</formula>
    </cfRule>
    <cfRule type="cellIs" dxfId="7741" priority="1052" operator="greaterThan">
      <formula>1</formula>
    </cfRule>
  </conditionalFormatting>
  <conditionalFormatting sqref="R123 R125:R126 R128:R130">
    <cfRule type="cellIs" dxfId="7740" priority="1049" operator="greaterThan">
      <formula>1</formula>
    </cfRule>
    <cfRule type="cellIs" dxfId="7739" priority="1050" operator="lessThan">
      <formula>0.8</formula>
    </cfRule>
  </conditionalFormatting>
  <conditionalFormatting sqref="P122">
    <cfRule type="cellIs" dxfId="7738" priority="1042" operator="greaterThan">
      <formula>0</formula>
    </cfRule>
  </conditionalFormatting>
  <conditionalFormatting sqref="Q122">
    <cfRule type="cellIs" dxfId="7737" priority="1047" operator="lessThan">
      <formula>0</formula>
    </cfRule>
  </conditionalFormatting>
  <conditionalFormatting sqref="R122">
    <cfRule type="cellIs" dxfId="7736" priority="1045" operator="lessThan">
      <formula>0.8</formula>
    </cfRule>
    <cfRule type="cellIs" dxfId="7735" priority="1046" operator="greaterThan">
      <formula>1</formula>
    </cfRule>
  </conditionalFormatting>
  <conditionalFormatting sqref="R122">
    <cfRule type="cellIs" dxfId="7734" priority="1043" operator="greaterThan">
      <formula>1</formula>
    </cfRule>
    <cfRule type="cellIs" dxfId="7733" priority="1044" operator="lessThan">
      <formula>0.8</formula>
    </cfRule>
  </conditionalFormatting>
  <conditionalFormatting sqref="Q109:Q116">
    <cfRule type="cellIs" dxfId="7732" priority="1041" operator="lessThan">
      <formula>0</formula>
    </cfRule>
  </conditionalFormatting>
  <conditionalFormatting sqref="R109:R116">
    <cfRule type="cellIs" dxfId="7731" priority="1039" operator="lessThan">
      <formula>0.8</formula>
    </cfRule>
    <cfRule type="cellIs" dxfId="7730" priority="1040" operator="greaterThan">
      <formula>1</formula>
    </cfRule>
  </conditionalFormatting>
  <conditionalFormatting sqref="R109:R116">
    <cfRule type="cellIs" dxfId="7729" priority="1037" operator="greaterThan">
      <formula>1</formula>
    </cfRule>
    <cfRule type="cellIs" dxfId="7728" priority="1038" operator="lessThan">
      <formula>0.8</formula>
    </cfRule>
  </conditionalFormatting>
  <conditionalFormatting sqref="P109:P116">
    <cfRule type="cellIs" dxfId="7727" priority="1036" operator="greaterThan">
      <formula>0</formula>
    </cfRule>
  </conditionalFormatting>
  <conditionalFormatting sqref="P137 P140 P143">
    <cfRule type="cellIs" dxfId="7726" priority="1035" operator="greaterThan">
      <formula>0</formula>
    </cfRule>
  </conditionalFormatting>
  <conditionalFormatting sqref="Q137 Q140 Q143">
    <cfRule type="cellIs" dxfId="7725" priority="1034" operator="lessThan">
      <formula>0</formula>
    </cfRule>
  </conditionalFormatting>
  <conditionalFormatting sqref="R137 R140 R143">
    <cfRule type="cellIs" dxfId="7724" priority="1032" operator="lessThan">
      <formula>0.8</formula>
    </cfRule>
    <cfRule type="cellIs" dxfId="7723" priority="1033" operator="greaterThan">
      <formula>1</formula>
    </cfRule>
  </conditionalFormatting>
  <conditionalFormatting sqref="R137 R140 R143">
    <cfRule type="cellIs" dxfId="7722" priority="1030" operator="greaterThan">
      <formula>1</formula>
    </cfRule>
    <cfRule type="cellIs" dxfId="7721" priority="1031" operator="lessThan">
      <formula>0.8</formula>
    </cfRule>
  </conditionalFormatting>
  <conditionalFormatting sqref="P137 P140 P143">
    <cfRule type="cellIs" dxfId="7720" priority="1029" operator="greaterThan">
      <formula>0</formula>
    </cfRule>
  </conditionalFormatting>
  <conditionalFormatting sqref="Q137 Q140 Q143">
    <cfRule type="cellIs" dxfId="7719" priority="1028" operator="lessThan">
      <formula>0</formula>
    </cfRule>
  </conditionalFormatting>
  <conditionalFormatting sqref="R137 R140 R143">
    <cfRule type="cellIs" dxfId="7718" priority="1026" operator="lessThan">
      <formula>0.8</formula>
    </cfRule>
    <cfRule type="cellIs" dxfId="7717" priority="1027" operator="greaterThan">
      <formula>1</formula>
    </cfRule>
  </conditionalFormatting>
  <conditionalFormatting sqref="R137 R140 R143">
    <cfRule type="cellIs" dxfId="7716" priority="1024" operator="greaterThan">
      <formula>1</formula>
    </cfRule>
    <cfRule type="cellIs" dxfId="7715" priority="1025" operator="lessThan">
      <formula>0.8</formula>
    </cfRule>
  </conditionalFormatting>
  <conditionalFormatting sqref="P137 P140 P143">
    <cfRule type="cellIs" dxfId="7714" priority="1023" operator="greaterThan">
      <formula>0</formula>
    </cfRule>
  </conditionalFormatting>
  <conditionalFormatting sqref="P137 P140 P143">
    <cfRule type="cellIs" dxfId="7713" priority="1017" operator="greaterThan">
      <formula>0</formula>
    </cfRule>
  </conditionalFormatting>
  <conditionalFormatting sqref="Q137 Q140 Q143">
    <cfRule type="cellIs" dxfId="7712" priority="1022" operator="lessThan">
      <formula>0</formula>
    </cfRule>
  </conditionalFormatting>
  <conditionalFormatting sqref="R137 R140 R143">
    <cfRule type="cellIs" dxfId="7711" priority="1020" operator="lessThan">
      <formula>0.8</formula>
    </cfRule>
    <cfRule type="cellIs" dxfId="7710" priority="1021" operator="greaterThan">
      <formula>1</formula>
    </cfRule>
  </conditionalFormatting>
  <conditionalFormatting sqref="R137 R140 R143">
    <cfRule type="cellIs" dxfId="7709" priority="1018" operator="greaterThan">
      <formula>1</formula>
    </cfRule>
    <cfRule type="cellIs" dxfId="7708" priority="1019" operator="lessThan">
      <formula>0.8</formula>
    </cfRule>
  </conditionalFormatting>
  <conditionalFormatting sqref="Q137 Q140 Q143">
    <cfRule type="cellIs" dxfId="7707" priority="1016" operator="lessThan">
      <formula>0</formula>
    </cfRule>
  </conditionalFormatting>
  <conditionalFormatting sqref="R137 R140 R143">
    <cfRule type="cellIs" dxfId="7706" priority="1014" operator="lessThan">
      <formula>0.8</formula>
    </cfRule>
    <cfRule type="cellIs" dxfId="7705" priority="1015" operator="greaterThan">
      <formula>1</formula>
    </cfRule>
  </conditionalFormatting>
  <conditionalFormatting sqref="R137 R140 R143">
    <cfRule type="cellIs" dxfId="7704" priority="1012" operator="greaterThan">
      <formula>1</formula>
    </cfRule>
    <cfRule type="cellIs" dxfId="7703" priority="1013" operator="lessThan">
      <formula>0.8</formula>
    </cfRule>
  </conditionalFormatting>
  <conditionalFormatting sqref="P137 P140 P143">
    <cfRule type="cellIs" dxfId="7702" priority="1011" operator="greaterThan">
      <formula>0</formula>
    </cfRule>
  </conditionalFormatting>
  <conditionalFormatting sqref="Q137 Q140 Q143">
    <cfRule type="cellIs" dxfId="7701" priority="1010" operator="lessThan">
      <formula>0</formula>
    </cfRule>
  </conditionalFormatting>
  <conditionalFormatting sqref="R137 R140 R143">
    <cfRule type="cellIs" dxfId="7700" priority="1008" operator="lessThan">
      <formula>0.8</formula>
    </cfRule>
    <cfRule type="cellIs" dxfId="7699" priority="1009" operator="greaterThan">
      <formula>1</formula>
    </cfRule>
  </conditionalFormatting>
  <conditionalFormatting sqref="R137 R140 R143">
    <cfRule type="cellIs" dxfId="7698" priority="1006" operator="greaterThan">
      <formula>1</formula>
    </cfRule>
    <cfRule type="cellIs" dxfId="7697" priority="1007" operator="lessThan">
      <formula>0.8</formula>
    </cfRule>
  </conditionalFormatting>
  <conditionalFormatting sqref="P137 P140 P143">
    <cfRule type="cellIs" dxfId="7696" priority="1005" operator="greaterThan">
      <formula>0</formula>
    </cfRule>
  </conditionalFormatting>
  <conditionalFormatting sqref="P137 P140 P143">
    <cfRule type="cellIs" dxfId="7695" priority="999" operator="greaterThan">
      <formula>0</formula>
    </cfRule>
  </conditionalFormatting>
  <conditionalFormatting sqref="Q137 Q140 Q143">
    <cfRule type="cellIs" dxfId="7694" priority="1004" operator="lessThan">
      <formula>0</formula>
    </cfRule>
  </conditionalFormatting>
  <conditionalFormatting sqref="R137 R140 R143">
    <cfRule type="cellIs" dxfId="7693" priority="1002" operator="lessThan">
      <formula>0.8</formula>
    </cfRule>
    <cfRule type="cellIs" dxfId="7692" priority="1003" operator="greaterThan">
      <formula>1</formula>
    </cfRule>
  </conditionalFormatting>
  <conditionalFormatting sqref="R137 R140 R143">
    <cfRule type="cellIs" dxfId="7691" priority="1000" operator="greaterThan">
      <formula>1</formula>
    </cfRule>
    <cfRule type="cellIs" dxfId="7690" priority="1001" operator="lessThan">
      <formula>0.8</formula>
    </cfRule>
  </conditionalFormatting>
  <conditionalFormatting sqref="Q137 Q140 Q143">
    <cfRule type="cellIs" dxfId="7689" priority="998" operator="lessThan">
      <formula>0</formula>
    </cfRule>
  </conditionalFormatting>
  <conditionalFormatting sqref="R137 R140 R143">
    <cfRule type="cellIs" dxfId="7688" priority="996" operator="lessThan">
      <formula>0.8</formula>
    </cfRule>
    <cfRule type="cellIs" dxfId="7687" priority="997" operator="greaterThan">
      <formula>1</formula>
    </cfRule>
  </conditionalFormatting>
  <conditionalFormatting sqref="R137 R140 R143">
    <cfRule type="cellIs" dxfId="7686" priority="994" operator="greaterThan">
      <formula>1</formula>
    </cfRule>
    <cfRule type="cellIs" dxfId="7685" priority="995" operator="lessThan">
      <formula>0.8</formula>
    </cfRule>
  </conditionalFormatting>
  <conditionalFormatting sqref="P137 P140 P143">
    <cfRule type="cellIs" dxfId="7684" priority="993" operator="greaterThan">
      <formula>0</formula>
    </cfRule>
  </conditionalFormatting>
  <conditionalFormatting sqref="Q137 Q140 Q143">
    <cfRule type="cellIs" dxfId="7683" priority="992" operator="lessThan">
      <formula>0</formula>
    </cfRule>
  </conditionalFormatting>
  <conditionalFormatting sqref="R137 R140 R143">
    <cfRule type="cellIs" dxfId="7682" priority="990" operator="lessThan">
      <formula>0.8</formula>
    </cfRule>
    <cfRule type="cellIs" dxfId="7681" priority="991" operator="greaterThan">
      <formula>1</formula>
    </cfRule>
  </conditionalFormatting>
  <conditionalFormatting sqref="R137 R140 R143">
    <cfRule type="cellIs" dxfId="7680" priority="988" operator="greaterThan">
      <formula>1</formula>
    </cfRule>
    <cfRule type="cellIs" dxfId="7679" priority="989" operator="lessThan">
      <formula>0.8</formula>
    </cfRule>
  </conditionalFormatting>
  <conditionalFormatting sqref="P137 P140 P143">
    <cfRule type="cellIs" dxfId="7678" priority="987" operator="greaterThan">
      <formula>0</formula>
    </cfRule>
  </conditionalFormatting>
  <conditionalFormatting sqref="P137 P140 P143">
    <cfRule type="cellIs" dxfId="7677" priority="981" operator="greaterThan">
      <formula>0</formula>
    </cfRule>
  </conditionalFormatting>
  <conditionalFormatting sqref="Q137 Q140 Q143">
    <cfRule type="cellIs" dxfId="7676" priority="986" operator="lessThan">
      <formula>0</formula>
    </cfRule>
  </conditionalFormatting>
  <conditionalFormatting sqref="R137 R140 R143">
    <cfRule type="cellIs" dxfId="7675" priority="984" operator="lessThan">
      <formula>0.8</formula>
    </cfRule>
    <cfRule type="cellIs" dxfId="7674" priority="985" operator="greaterThan">
      <formula>1</formula>
    </cfRule>
  </conditionalFormatting>
  <conditionalFormatting sqref="R137 R140 R143">
    <cfRule type="cellIs" dxfId="7673" priority="982" operator="greaterThan">
      <formula>1</formula>
    </cfRule>
    <cfRule type="cellIs" dxfId="7672" priority="983" operator="lessThan">
      <formula>0.8</formula>
    </cfRule>
  </conditionalFormatting>
  <conditionalFormatting sqref="Q137 Q140 Q143">
    <cfRule type="cellIs" dxfId="7671" priority="980" operator="lessThan">
      <formula>0</formula>
    </cfRule>
  </conditionalFormatting>
  <conditionalFormatting sqref="R137 R140 R143">
    <cfRule type="cellIs" dxfId="7670" priority="978" operator="lessThan">
      <formula>0.8</formula>
    </cfRule>
    <cfRule type="cellIs" dxfId="7669" priority="979" operator="greaterThan">
      <formula>1</formula>
    </cfRule>
  </conditionalFormatting>
  <conditionalFormatting sqref="R137 R140 R143">
    <cfRule type="cellIs" dxfId="7668" priority="976" operator="greaterThan">
      <formula>1</formula>
    </cfRule>
    <cfRule type="cellIs" dxfId="7667" priority="977" operator="lessThan">
      <formula>0.8</formula>
    </cfRule>
  </conditionalFormatting>
  <conditionalFormatting sqref="P137 P140 P143">
    <cfRule type="cellIs" dxfId="7666" priority="975" operator="greaterThan">
      <formula>0</formula>
    </cfRule>
  </conditionalFormatting>
  <conditionalFormatting sqref="P138 P144 P141">
    <cfRule type="cellIs" dxfId="7665" priority="969" operator="greaterThan">
      <formula>0</formula>
    </cfRule>
  </conditionalFormatting>
  <conditionalFormatting sqref="Q138 Q144 Q141">
    <cfRule type="cellIs" dxfId="7664" priority="974" operator="lessThan">
      <formula>0</formula>
    </cfRule>
  </conditionalFormatting>
  <conditionalFormatting sqref="R138 R144 R141">
    <cfRule type="cellIs" dxfId="7663" priority="972" operator="lessThan">
      <formula>0.8</formula>
    </cfRule>
    <cfRule type="cellIs" dxfId="7662" priority="973" operator="greaterThan">
      <formula>1</formula>
    </cfRule>
  </conditionalFormatting>
  <conditionalFormatting sqref="R138 R144 R141">
    <cfRule type="cellIs" dxfId="7661" priority="970" operator="greaterThan">
      <formula>1</formula>
    </cfRule>
    <cfRule type="cellIs" dxfId="7660" priority="971" operator="lessThan">
      <formula>0.8</formula>
    </cfRule>
  </conditionalFormatting>
  <conditionalFormatting sqref="Q138 Q144 Q141">
    <cfRule type="cellIs" dxfId="7659" priority="968" operator="lessThan">
      <formula>0</formula>
    </cfRule>
  </conditionalFormatting>
  <conditionalFormatting sqref="R138 R144 R141">
    <cfRule type="cellIs" dxfId="7658" priority="966" operator="lessThan">
      <formula>0.8</formula>
    </cfRule>
    <cfRule type="cellIs" dxfId="7657" priority="967" operator="greaterThan">
      <formula>1</formula>
    </cfRule>
  </conditionalFormatting>
  <conditionalFormatting sqref="R138 R144 R141">
    <cfRule type="cellIs" dxfId="7656" priority="964" operator="greaterThan">
      <formula>1</formula>
    </cfRule>
    <cfRule type="cellIs" dxfId="7655" priority="965" operator="lessThan">
      <formula>0.8</formula>
    </cfRule>
  </conditionalFormatting>
  <conditionalFormatting sqref="P138 P144 P141">
    <cfRule type="cellIs" dxfId="7654" priority="963" operator="greaterThan">
      <formula>0</formula>
    </cfRule>
  </conditionalFormatting>
  <conditionalFormatting sqref="Q138 Q144 Q141">
    <cfRule type="cellIs" dxfId="7653" priority="962" operator="lessThan">
      <formula>0</formula>
    </cfRule>
  </conditionalFormatting>
  <conditionalFormatting sqref="R138 R144 R141">
    <cfRule type="cellIs" dxfId="7652" priority="960" operator="lessThan">
      <formula>0.8</formula>
    </cfRule>
    <cfRule type="cellIs" dxfId="7651" priority="961" operator="greaterThan">
      <formula>1</formula>
    </cfRule>
  </conditionalFormatting>
  <conditionalFormatting sqref="R138 R144 R141">
    <cfRule type="cellIs" dxfId="7650" priority="958" operator="greaterThan">
      <formula>1</formula>
    </cfRule>
    <cfRule type="cellIs" dxfId="7649" priority="959" operator="lessThan">
      <formula>0.8</formula>
    </cfRule>
  </conditionalFormatting>
  <conditionalFormatting sqref="P138 P144 P141">
    <cfRule type="cellIs" dxfId="7648" priority="957" operator="greaterThan">
      <formula>0</formula>
    </cfRule>
  </conditionalFormatting>
  <conditionalFormatting sqref="Q138 Q144 Q141">
    <cfRule type="cellIs" dxfId="7647" priority="956" operator="lessThan">
      <formula>0</formula>
    </cfRule>
  </conditionalFormatting>
  <conditionalFormatting sqref="R138 R144 R141">
    <cfRule type="cellIs" dxfId="7646" priority="954" operator="lessThan">
      <formula>0.8</formula>
    </cfRule>
    <cfRule type="cellIs" dxfId="7645" priority="955" operator="greaterThan">
      <formula>1</formula>
    </cfRule>
  </conditionalFormatting>
  <conditionalFormatting sqref="R138 R144 R141">
    <cfRule type="cellIs" dxfId="7644" priority="952" operator="greaterThan">
      <formula>1</formula>
    </cfRule>
    <cfRule type="cellIs" dxfId="7643" priority="953" operator="lessThan">
      <formula>0.8</formula>
    </cfRule>
  </conditionalFormatting>
  <conditionalFormatting sqref="P138 P144 P141">
    <cfRule type="cellIs" dxfId="7642" priority="951" operator="greaterThan">
      <formula>0</formula>
    </cfRule>
  </conditionalFormatting>
  <conditionalFormatting sqref="Q138 Q144 Q141">
    <cfRule type="cellIs" dxfId="7641" priority="950" operator="lessThan">
      <formula>0</formula>
    </cfRule>
  </conditionalFormatting>
  <conditionalFormatting sqref="R138 R144 R141">
    <cfRule type="cellIs" dxfId="7640" priority="948" operator="lessThan">
      <formula>0.8</formula>
    </cfRule>
    <cfRule type="cellIs" dxfId="7639" priority="949" operator="greaterThan">
      <formula>1</formula>
    </cfRule>
  </conditionalFormatting>
  <conditionalFormatting sqref="R138 R144 R141">
    <cfRule type="cellIs" dxfId="7638" priority="946" operator="greaterThan">
      <formula>1</formula>
    </cfRule>
    <cfRule type="cellIs" dxfId="7637" priority="947" operator="lessThan">
      <formula>0.8</formula>
    </cfRule>
  </conditionalFormatting>
  <conditionalFormatting sqref="Q138 Q144 Q141">
    <cfRule type="cellIs" dxfId="7636" priority="945" operator="lessThan">
      <formula>0</formula>
    </cfRule>
  </conditionalFormatting>
  <conditionalFormatting sqref="R138 R144 R141">
    <cfRule type="cellIs" dxfId="7635" priority="943" operator="lessThan">
      <formula>0.8</formula>
    </cfRule>
    <cfRule type="cellIs" dxfId="7634" priority="944" operator="greaterThan">
      <formula>1</formula>
    </cfRule>
  </conditionalFormatting>
  <conditionalFormatting sqref="R138 R144 R141">
    <cfRule type="cellIs" dxfId="7633" priority="941" operator="greaterThan">
      <formula>1</formula>
    </cfRule>
    <cfRule type="cellIs" dxfId="7632" priority="942" operator="lessThan">
      <formula>0.8</formula>
    </cfRule>
  </conditionalFormatting>
  <conditionalFormatting sqref="P138 P144 P141">
    <cfRule type="cellIs" dxfId="7631" priority="940" operator="greaterThan">
      <formula>0</formula>
    </cfRule>
  </conditionalFormatting>
  <conditionalFormatting sqref="P138 P144 P141">
    <cfRule type="cellIs" dxfId="7630" priority="934" operator="greaterThan">
      <formula>0</formula>
    </cfRule>
  </conditionalFormatting>
  <conditionalFormatting sqref="Q138 Q144 Q141">
    <cfRule type="cellIs" dxfId="7629" priority="939" operator="lessThan">
      <formula>0</formula>
    </cfRule>
  </conditionalFormatting>
  <conditionalFormatting sqref="R138 R144 R141">
    <cfRule type="cellIs" dxfId="7628" priority="937" operator="lessThan">
      <formula>0.8</formula>
    </cfRule>
    <cfRule type="cellIs" dxfId="7627" priority="938" operator="greaterThan">
      <formula>1</formula>
    </cfRule>
  </conditionalFormatting>
  <conditionalFormatting sqref="R138 R144 R141">
    <cfRule type="cellIs" dxfId="7626" priority="935" operator="greaterThan">
      <formula>1</formula>
    </cfRule>
    <cfRule type="cellIs" dxfId="7625" priority="936" operator="lessThan">
      <formula>0.8</formula>
    </cfRule>
  </conditionalFormatting>
  <conditionalFormatting sqref="Q138 Q144 Q141">
    <cfRule type="cellIs" dxfId="7624" priority="933" operator="lessThan">
      <formula>0</formula>
    </cfRule>
  </conditionalFormatting>
  <conditionalFormatting sqref="R138 R144 R141">
    <cfRule type="cellIs" dxfId="7623" priority="931" operator="lessThan">
      <formula>0.8</formula>
    </cfRule>
    <cfRule type="cellIs" dxfId="7622" priority="932" operator="greaterThan">
      <formula>1</formula>
    </cfRule>
  </conditionalFormatting>
  <conditionalFormatting sqref="R138 R144 R141">
    <cfRule type="cellIs" dxfId="7621" priority="929" operator="greaterThan">
      <formula>1</formula>
    </cfRule>
    <cfRule type="cellIs" dxfId="7620" priority="930" operator="lessThan">
      <formula>0.8</formula>
    </cfRule>
  </conditionalFormatting>
  <conditionalFormatting sqref="P138 P144 P141">
    <cfRule type="cellIs" dxfId="7619" priority="928" operator="greaterThan">
      <formula>0</formula>
    </cfRule>
  </conditionalFormatting>
  <conditionalFormatting sqref="Q148:Q153">
    <cfRule type="cellIs" dxfId="7618" priority="927" operator="lessThan">
      <formula>0</formula>
    </cfRule>
  </conditionalFormatting>
  <conditionalFormatting sqref="R148:R153">
    <cfRule type="cellIs" dxfId="7617" priority="925" operator="lessThan">
      <formula>0.8</formula>
    </cfRule>
    <cfRule type="cellIs" dxfId="7616" priority="926" operator="greaterThan">
      <formula>1</formula>
    </cfRule>
  </conditionalFormatting>
  <conditionalFormatting sqref="R148:R153">
    <cfRule type="cellIs" dxfId="7615" priority="923" operator="greaterThan">
      <formula>1</formula>
    </cfRule>
    <cfRule type="cellIs" dxfId="7614" priority="924" operator="lessThan">
      <formula>0.8</formula>
    </cfRule>
  </conditionalFormatting>
  <conditionalFormatting sqref="P148:P153">
    <cfRule type="cellIs" dxfId="7613" priority="922" operator="greaterThan">
      <formula>0</formula>
    </cfRule>
  </conditionalFormatting>
  <conditionalFormatting sqref="P148:P153">
    <cfRule type="cellIs" dxfId="7612" priority="916" operator="greaterThan">
      <formula>0</formula>
    </cfRule>
  </conditionalFormatting>
  <conditionalFormatting sqref="Q148:Q153">
    <cfRule type="cellIs" dxfId="7611" priority="921" operator="lessThan">
      <formula>0</formula>
    </cfRule>
  </conditionalFormatting>
  <conditionalFormatting sqref="R148:R153">
    <cfRule type="cellIs" dxfId="7610" priority="919" operator="lessThan">
      <formula>0.8</formula>
    </cfRule>
    <cfRule type="cellIs" dxfId="7609" priority="920" operator="greaterThan">
      <formula>1</formula>
    </cfRule>
  </conditionalFormatting>
  <conditionalFormatting sqref="R148:R153">
    <cfRule type="cellIs" dxfId="7608" priority="917" operator="greaterThan">
      <formula>1</formula>
    </cfRule>
    <cfRule type="cellIs" dxfId="7607" priority="918" operator="lessThan">
      <formula>0.8</formula>
    </cfRule>
  </conditionalFormatting>
  <conditionalFormatting sqref="Q148:Q153">
    <cfRule type="cellIs" dxfId="7606" priority="915" operator="lessThan">
      <formula>0</formula>
    </cfRule>
  </conditionalFormatting>
  <conditionalFormatting sqref="R148:R153">
    <cfRule type="cellIs" dxfId="7605" priority="913" operator="lessThan">
      <formula>0.8</formula>
    </cfRule>
    <cfRule type="cellIs" dxfId="7604" priority="914" operator="greaterThan">
      <formula>1</formula>
    </cfRule>
  </conditionalFormatting>
  <conditionalFormatting sqref="R148:R153">
    <cfRule type="cellIs" dxfId="7603" priority="911" operator="greaterThan">
      <formula>1</formula>
    </cfRule>
    <cfRule type="cellIs" dxfId="7602" priority="912" operator="lessThan">
      <formula>0.8</formula>
    </cfRule>
  </conditionalFormatting>
  <conditionalFormatting sqref="P148:P153">
    <cfRule type="cellIs" dxfId="7601" priority="910" operator="greaterThan">
      <formula>0</formula>
    </cfRule>
  </conditionalFormatting>
  <conditionalFormatting sqref="Q148:Q153">
    <cfRule type="cellIs" dxfId="7600" priority="909" operator="lessThan">
      <formula>0</formula>
    </cfRule>
  </conditionalFormatting>
  <conditionalFormatting sqref="R148:R153">
    <cfRule type="cellIs" dxfId="7599" priority="907" operator="lessThan">
      <formula>0.8</formula>
    </cfRule>
    <cfRule type="cellIs" dxfId="7598" priority="908" operator="greaterThan">
      <formula>1</formula>
    </cfRule>
  </conditionalFormatting>
  <conditionalFormatting sqref="R148:R153">
    <cfRule type="cellIs" dxfId="7597" priority="905" operator="greaterThan">
      <formula>1</formula>
    </cfRule>
    <cfRule type="cellIs" dxfId="7596" priority="906" operator="lessThan">
      <formula>0.8</formula>
    </cfRule>
  </conditionalFormatting>
  <conditionalFormatting sqref="P148:P153">
    <cfRule type="cellIs" dxfId="7595" priority="904" operator="greaterThan">
      <formula>0</formula>
    </cfRule>
  </conditionalFormatting>
  <conditionalFormatting sqref="P148:P153">
    <cfRule type="cellIs" dxfId="7594" priority="898" operator="greaterThan">
      <formula>0</formula>
    </cfRule>
  </conditionalFormatting>
  <conditionalFormatting sqref="Q148:Q153">
    <cfRule type="cellIs" dxfId="7593" priority="903" operator="lessThan">
      <formula>0</formula>
    </cfRule>
  </conditionalFormatting>
  <conditionalFormatting sqref="R148:R153">
    <cfRule type="cellIs" dxfId="7592" priority="901" operator="lessThan">
      <formula>0.8</formula>
    </cfRule>
    <cfRule type="cellIs" dxfId="7591" priority="902" operator="greaterThan">
      <formula>1</formula>
    </cfRule>
  </conditionalFormatting>
  <conditionalFormatting sqref="R148:R153">
    <cfRule type="cellIs" dxfId="7590" priority="899" operator="greaterThan">
      <formula>1</formula>
    </cfRule>
    <cfRule type="cellIs" dxfId="7589" priority="900" operator="lessThan">
      <formula>0.8</formula>
    </cfRule>
  </conditionalFormatting>
  <conditionalFormatting sqref="Q148:Q153">
    <cfRule type="cellIs" dxfId="7588" priority="897" operator="lessThan">
      <formula>0</formula>
    </cfRule>
  </conditionalFormatting>
  <conditionalFormatting sqref="R148:R153">
    <cfRule type="cellIs" dxfId="7587" priority="895" operator="lessThan">
      <formula>0.8</formula>
    </cfRule>
    <cfRule type="cellIs" dxfId="7586" priority="896" operator="greaterThan">
      <formula>1</formula>
    </cfRule>
  </conditionalFormatting>
  <conditionalFormatting sqref="R148:R153">
    <cfRule type="cellIs" dxfId="7585" priority="893" operator="greaterThan">
      <formula>1</formula>
    </cfRule>
    <cfRule type="cellIs" dxfId="7584" priority="894" operator="lessThan">
      <formula>0.8</formula>
    </cfRule>
  </conditionalFormatting>
  <conditionalFormatting sqref="P148:P153">
    <cfRule type="cellIs" dxfId="7583" priority="892" operator="greaterThan">
      <formula>0</formula>
    </cfRule>
  </conditionalFormatting>
  <conditionalFormatting sqref="Q148:Q153">
    <cfRule type="cellIs" dxfId="7582" priority="886" operator="lessThan">
      <formula>0</formula>
    </cfRule>
  </conditionalFormatting>
  <conditionalFormatting sqref="P148:P153">
    <cfRule type="cellIs" dxfId="7581" priority="887" operator="greaterThan">
      <formula>0</formula>
    </cfRule>
  </conditionalFormatting>
  <conditionalFormatting sqref="R148:R153">
    <cfRule type="cellIs" dxfId="7580" priority="890" operator="lessThan">
      <formula>0.8</formula>
    </cfRule>
    <cfRule type="cellIs" dxfId="7579" priority="891" operator="greaterThan">
      <formula>1</formula>
    </cfRule>
  </conditionalFormatting>
  <conditionalFormatting sqref="R148:R153">
    <cfRule type="cellIs" dxfId="7578" priority="888" operator="greaterThan">
      <formula>1</formula>
    </cfRule>
    <cfRule type="cellIs" dxfId="7577" priority="889" operator="lessThan">
      <formula>0.8</formula>
    </cfRule>
  </conditionalFormatting>
  <conditionalFormatting sqref="Q148:Q153">
    <cfRule type="cellIs" dxfId="7576" priority="880" operator="lessThan">
      <formula>0</formula>
    </cfRule>
  </conditionalFormatting>
  <conditionalFormatting sqref="R148:R153">
    <cfRule type="cellIs" dxfId="7575" priority="884" operator="lessThan">
      <formula>0.8</formula>
    </cfRule>
    <cfRule type="cellIs" dxfId="7574" priority="885" operator="greaterThan">
      <formula>1</formula>
    </cfRule>
  </conditionalFormatting>
  <conditionalFormatting sqref="R148:R153">
    <cfRule type="cellIs" dxfId="7573" priority="882" operator="greaterThan">
      <formula>1</formula>
    </cfRule>
    <cfRule type="cellIs" dxfId="7572" priority="883" operator="lessThan">
      <formula>0.8</formula>
    </cfRule>
  </conditionalFormatting>
  <conditionalFormatting sqref="P148:P153">
    <cfRule type="cellIs" dxfId="7571" priority="881" operator="greaterThan">
      <formula>0</formula>
    </cfRule>
  </conditionalFormatting>
  <conditionalFormatting sqref="Q148:Q153">
    <cfRule type="cellIs" dxfId="7570" priority="879" operator="lessThan">
      <formula>0</formula>
    </cfRule>
  </conditionalFormatting>
  <conditionalFormatting sqref="R148:R153">
    <cfRule type="cellIs" dxfId="7569" priority="877" operator="lessThan">
      <formula>0.8</formula>
    </cfRule>
    <cfRule type="cellIs" dxfId="7568" priority="878" operator="greaterThan">
      <formula>1</formula>
    </cfRule>
  </conditionalFormatting>
  <conditionalFormatting sqref="R148:R153">
    <cfRule type="cellIs" dxfId="7567" priority="875" operator="greaterThan">
      <formula>1</formula>
    </cfRule>
    <cfRule type="cellIs" dxfId="7566" priority="876" operator="lessThan">
      <formula>0.8</formula>
    </cfRule>
  </conditionalFormatting>
  <conditionalFormatting sqref="P148:P153">
    <cfRule type="cellIs" dxfId="7565" priority="874" operator="greaterThan">
      <formula>0</formula>
    </cfRule>
  </conditionalFormatting>
  <conditionalFormatting sqref="Q148:Q153">
    <cfRule type="cellIs" dxfId="7564" priority="873" operator="lessThan">
      <formula>0</formula>
    </cfRule>
  </conditionalFormatting>
  <conditionalFormatting sqref="R148:R153">
    <cfRule type="cellIs" dxfId="7563" priority="871" operator="lessThan">
      <formula>0.8</formula>
    </cfRule>
    <cfRule type="cellIs" dxfId="7562" priority="872" operator="greaterThan">
      <formula>1</formula>
    </cfRule>
  </conditionalFormatting>
  <conditionalFormatting sqref="R148:R153">
    <cfRule type="cellIs" dxfId="7561" priority="869" operator="greaterThan">
      <formula>1</formula>
    </cfRule>
    <cfRule type="cellIs" dxfId="7560" priority="870" operator="lessThan">
      <formula>0.8</formula>
    </cfRule>
  </conditionalFormatting>
  <conditionalFormatting sqref="P148:P153">
    <cfRule type="cellIs" dxfId="7559" priority="868" operator="greaterThan">
      <formula>0</formula>
    </cfRule>
  </conditionalFormatting>
  <conditionalFormatting sqref="Q148:Q153">
    <cfRule type="cellIs" dxfId="7558" priority="867" operator="lessThan">
      <formula>0</formula>
    </cfRule>
  </conditionalFormatting>
  <conditionalFormatting sqref="R148:R153">
    <cfRule type="cellIs" dxfId="7557" priority="865" operator="lessThan">
      <formula>0.8</formula>
    </cfRule>
    <cfRule type="cellIs" dxfId="7556" priority="866" operator="greaterThan">
      <formula>1</formula>
    </cfRule>
  </conditionalFormatting>
  <conditionalFormatting sqref="R148:R153">
    <cfRule type="cellIs" dxfId="7555" priority="863" operator="greaterThan">
      <formula>1</formula>
    </cfRule>
    <cfRule type="cellIs" dxfId="7554" priority="864" operator="lessThan">
      <formula>0.8</formula>
    </cfRule>
  </conditionalFormatting>
  <conditionalFormatting sqref="P148:P153">
    <cfRule type="cellIs" dxfId="7553" priority="862" operator="greaterThan">
      <formula>0</formula>
    </cfRule>
  </conditionalFormatting>
  <conditionalFormatting sqref="Q148:Q153">
    <cfRule type="cellIs" dxfId="7552" priority="861" operator="lessThan">
      <formula>0</formula>
    </cfRule>
  </conditionalFormatting>
  <conditionalFormatting sqref="R148:R153">
    <cfRule type="cellIs" dxfId="7551" priority="859" operator="lessThan">
      <formula>0.8</formula>
    </cfRule>
    <cfRule type="cellIs" dxfId="7550" priority="860" operator="greaterThan">
      <formula>1</formula>
    </cfRule>
  </conditionalFormatting>
  <conditionalFormatting sqref="R148:R153">
    <cfRule type="cellIs" dxfId="7549" priority="857" operator="greaterThan">
      <formula>1</formula>
    </cfRule>
    <cfRule type="cellIs" dxfId="7548" priority="858" operator="lessThan">
      <formula>0.8</formula>
    </cfRule>
  </conditionalFormatting>
  <conditionalFormatting sqref="P148:P153">
    <cfRule type="cellIs" dxfId="7547" priority="856" operator="greaterThan">
      <formula>0</formula>
    </cfRule>
  </conditionalFormatting>
  <conditionalFormatting sqref="Q148:Q153">
    <cfRule type="cellIs" dxfId="7546" priority="855" operator="lessThan">
      <formula>0</formula>
    </cfRule>
  </conditionalFormatting>
  <conditionalFormatting sqref="R148:R153">
    <cfRule type="cellIs" dxfId="7545" priority="853" operator="lessThan">
      <formula>0.8</formula>
    </cfRule>
    <cfRule type="cellIs" dxfId="7544" priority="854" operator="greaterThan">
      <formula>1</formula>
    </cfRule>
  </conditionalFormatting>
  <conditionalFormatting sqref="R148:R153">
    <cfRule type="cellIs" dxfId="7543" priority="851" operator="greaterThan">
      <formula>1</formula>
    </cfRule>
    <cfRule type="cellIs" dxfId="7542" priority="852" operator="lessThan">
      <formula>0.8</formula>
    </cfRule>
  </conditionalFormatting>
  <conditionalFormatting sqref="P148:P153">
    <cfRule type="cellIs" dxfId="7541" priority="850" operator="greaterThan">
      <formula>0</formula>
    </cfRule>
  </conditionalFormatting>
  <conditionalFormatting sqref="Q148:Q153">
    <cfRule type="cellIs" dxfId="7540" priority="849" operator="lessThan">
      <formula>0</formula>
    </cfRule>
  </conditionalFormatting>
  <conditionalFormatting sqref="R148:R153">
    <cfRule type="cellIs" dxfId="7539" priority="847" operator="lessThan">
      <formula>0.8</formula>
    </cfRule>
    <cfRule type="cellIs" dxfId="7538" priority="848" operator="greaterThan">
      <formula>1</formula>
    </cfRule>
  </conditionalFormatting>
  <conditionalFormatting sqref="R148:R153">
    <cfRule type="cellIs" dxfId="7537" priority="845" operator="greaterThan">
      <formula>1</formula>
    </cfRule>
    <cfRule type="cellIs" dxfId="7536" priority="846" operator="lessThan">
      <formula>0.8</formula>
    </cfRule>
  </conditionalFormatting>
  <conditionalFormatting sqref="P148:P153">
    <cfRule type="cellIs" dxfId="7535" priority="844" operator="greaterThan">
      <formula>0</formula>
    </cfRule>
  </conditionalFormatting>
  <conditionalFormatting sqref="Q148:Q153">
    <cfRule type="cellIs" dxfId="7534" priority="843" operator="lessThan">
      <formula>0</formula>
    </cfRule>
  </conditionalFormatting>
  <conditionalFormatting sqref="R148:R153">
    <cfRule type="cellIs" dxfId="7533" priority="841" operator="lessThan">
      <formula>0.8</formula>
    </cfRule>
    <cfRule type="cellIs" dxfId="7532" priority="842" operator="greaterThan">
      <formula>1</formula>
    </cfRule>
  </conditionalFormatting>
  <conditionalFormatting sqref="R148:R153">
    <cfRule type="cellIs" dxfId="7531" priority="839" operator="greaterThan">
      <formula>1</formula>
    </cfRule>
    <cfRule type="cellIs" dxfId="7530" priority="840" operator="lessThan">
      <formula>0.8</formula>
    </cfRule>
  </conditionalFormatting>
  <conditionalFormatting sqref="P148:P153">
    <cfRule type="cellIs" dxfId="7529" priority="838" operator="greaterThan">
      <formula>0</formula>
    </cfRule>
  </conditionalFormatting>
  <conditionalFormatting sqref="P148:P153">
    <cfRule type="cellIs" dxfId="7528" priority="832" operator="greaterThan">
      <formula>0</formula>
    </cfRule>
  </conditionalFormatting>
  <conditionalFormatting sqref="Q148:Q153">
    <cfRule type="cellIs" dxfId="7527" priority="837" operator="lessThan">
      <formula>0</formula>
    </cfRule>
  </conditionalFormatting>
  <conditionalFormatting sqref="R148:R153">
    <cfRule type="cellIs" dxfId="7526" priority="835" operator="lessThan">
      <formula>0.8</formula>
    </cfRule>
    <cfRule type="cellIs" dxfId="7525" priority="836" operator="greaterThan">
      <formula>1</formula>
    </cfRule>
  </conditionalFormatting>
  <conditionalFormatting sqref="R148:R153">
    <cfRule type="cellIs" dxfId="7524" priority="833" operator="greaterThan">
      <formula>1</formula>
    </cfRule>
    <cfRule type="cellIs" dxfId="7523" priority="834" operator="lessThan">
      <formula>0.8</formula>
    </cfRule>
  </conditionalFormatting>
  <conditionalFormatting sqref="P148:P153">
    <cfRule type="cellIs" dxfId="7522" priority="826" operator="greaterThan">
      <formula>0</formula>
    </cfRule>
  </conditionalFormatting>
  <conditionalFormatting sqref="Q148:Q153">
    <cfRule type="cellIs" dxfId="7521" priority="831" operator="lessThan">
      <formula>0</formula>
    </cfRule>
  </conditionalFormatting>
  <conditionalFormatting sqref="R148:R153">
    <cfRule type="cellIs" dxfId="7520" priority="829" operator="lessThan">
      <formula>0.8</formula>
    </cfRule>
    <cfRule type="cellIs" dxfId="7519" priority="830" operator="greaterThan">
      <formula>1</formula>
    </cfRule>
  </conditionalFormatting>
  <conditionalFormatting sqref="R148:R153">
    <cfRule type="cellIs" dxfId="7518" priority="827" operator="greaterThan">
      <formula>1</formula>
    </cfRule>
    <cfRule type="cellIs" dxfId="7517" priority="828" operator="lessThan">
      <formula>0.8</formula>
    </cfRule>
  </conditionalFormatting>
  <conditionalFormatting sqref="R148:R153">
    <cfRule type="cellIs" dxfId="7516" priority="823" operator="lessThan">
      <formula>0.8</formula>
    </cfRule>
    <cfRule type="cellIs" dxfId="7515" priority="824" operator="greaterThan">
      <formula>1</formula>
    </cfRule>
  </conditionalFormatting>
  <conditionalFormatting sqref="R148:R153">
    <cfRule type="cellIs" dxfId="7514" priority="821" operator="greaterThan">
      <formula>1</formula>
    </cfRule>
    <cfRule type="cellIs" dxfId="7513" priority="822" operator="lessThan">
      <formula>0.8</formula>
    </cfRule>
  </conditionalFormatting>
  <conditionalFormatting sqref="P148:P153">
    <cfRule type="cellIs" dxfId="7512" priority="820" operator="greaterThan">
      <formula>0</formula>
    </cfRule>
  </conditionalFormatting>
  <conditionalFormatting sqref="Q148:Q153">
    <cfRule type="cellIs" dxfId="7511" priority="825" operator="lessThan">
      <formula>0</formula>
    </cfRule>
  </conditionalFormatting>
  <conditionalFormatting sqref="Q148:Q153">
    <cfRule type="cellIs" dxfId="7510" priority="819" operator="lessThan">
      <formula>0</formula>
    </cfRule>
  </conditionalFormatting>
  <conditionalFormatting sqref="R148:R153">
    <cfRule type="cellIs" dxfId="7509" priority="817" operator="lessThan">
      <formula>0.8</formula>
    </cfRule>
    <cfRule type="cellIs" dxfId="7508" priority="818" operator="greaterThan">
      <formula>1</formula>
    </cfRule>
  </conditionalFormatting>
  <conditionalFormatting sqref="R148:R153">
    <cfRule type="cellIs" dxfId="7507" priority="815" operator="greaterThan">
      <formula>1</formula>
    </cfRule>
    <cfRule type="cellIs" dxfId="7506" priority="816" operator="lessThan">
      <formula>0.8</formula>
    </cfRule>
  </conditionalFormatting>
  <conditionalFormatting sqref="P148:P153">
    <cfRule type="cellIs" dxfId="7505" priority="814" operator="greaterThan">
      <formula>0</formula>
    </cfRule>
  </conditionalFormatting>
  <conditionalFormatting sqref="P148:P153">
    <cfRule type="cellIs" dxfId="7504" priority="808" operator="greaterThan">
      <formula>0</formula>
    </cfRule>
  </conditionalFormatting>
  <conditionalFormatting sqref="Q148:Q153">
    <cfRule type="cellIs" dxfId="7503" priority="813" operator="lessThan">
      <formula>0</formula>
    </cfRule>
  </conditionalFormatting>
  <conditionalFormatting sqref="R148:R153">
    <cfRule type="cellIs" dxfId="7502" priority="811" operator="lessThan">
      <formula>0.8</formula>
    </cfRule>
    <cfRule type="cellIs" dxfId="7501" priority="812" operator="greaterThan">
      <formula>1</formula>
    </cfRule>
  </conditionalFormatting>
  <conditionalFormatting sqref="R148:R153">
    <cfRule type="cellIs" dxfId="7500" priority="809" operator="greaterThan">
      <formula>1</formula>
    </cfRule>
    <cfRule type="cellIs" dxfId="7499" priority="810" operator="lessThan">
      <formula>0.8</formula>
    </cfRule>
  </conditionalFormatting>
  <conditionalFormatting sqref="P148:P153">
    <cfRule type="cellIs" dxfId="7498" priority="802" operator="greaterThan">
      <formula>0</formula>
    </cfRule>
  </conditionalFormatting>
  <conditionalFormatting sqref="Q148:Q153">
    <cfRule type="cellIs" dxfId="7497" priority="807" operator="lessThan">
      <formula>0</formula>
    </cfRule>
  </conditionalFormatting>
  <conditionalFormatting sqref="R148:R153">
    <cfRule type="cellIs" dxfId="7496" priority="805" operator="lessThan">
      <formula>0.8</formula>
    </cfRule>
    <cfRule type="cellIs" dxfId="7495" priority="806" operator="greaterThan">
      <formula>1</formula>
    </cfRule>
  </conditionalFormatting>
  <conditionalFormatting sqref="R148:R153">
    <cfRule type="cellIs" dxfId="7494" priority="803" operator="greaterThan">
      <formula>1</formula>
    </cfRule>
    <cfRule type="cellIs" dxfId="7493" priority="804" operator="lessThan">
      <formula>0.8</formula>
    </cfRule>
  </conditionalFormatting>
  <conditionalFormatting sqref="R148:R153">
    <cfRule type="cellIs" dxfId="7492" priority="799" operator="lessThan">
      <formula>0.8</formula>
    </cfRule>
    <cfRule type="cellIs" dxfId="7491" priority="800" operator="greaterThan">
      <formula>1</formula>
    </cfRule>
  </conditionalFormatting>
  <conditionalFormatting sqref="R148:R153">
    <cfRule type="cellIs" dxfId="7490" priority="797" operator="greaterThan">
      <formula>1</formula>
    </cfRule>
    <cfRule type="cellIs" dxfId="7489" priority="798" operator="lessThan">
      <formula>0.8</formula>
    </cfRule>
  </conditionalFormatting>
  <conditionalFormatting sqref="P148:P153">
    <cfRule type="cellIs" dxfId="7488" priority="796" operator="greaterThan">
      <formula>0</formula>
    </cfRule>
  </conditionalFormatting>
  <conditionalFormatting sqref="Q148:Q153">
    <cfRule type="cellIs" dxfId="7487" priority="801" operator="lessThan">
      <formula>0</formula>
    </cfRule>
  </conditionalFormatting>
  <conditionalFormatting sqref="P148:P153">
    <cfRule type="cellIs" dxfId="7486" priority="790" operator="greaterThan">
      <formula>0</formula>
    </cfRule>
  </conditionalFormatting>
  <conditionalFormatting sqref="Q148:Q153">
    <cfRule type="cellIs" dxfId="7485" priority="795" operator="lessThan">
      <formula>0</formula>
    </cfRule>
  </conditionalFormatting>
  <conditionalFormatting sqref="R148:R153">
    <cfRule type="cellIs" dxfId="7484" priority="793" operator="lessThan">
      <formula>0.8</formula>
    </cfRule>
    <cfRule type="cellIs" dxfId="7483" priority="794" operator="greaterThan">
      <formula>1</formula>
    </cfRule>
  </conditionalFormatting>
  <conditionalFormatting sqref="R148:R153">
    <cfRule type="cellIs" dxfId="7482" priority="791" operator="greaterThan">
      <formula>1</formula>
    </cfRule>
    <cfRule type="cellIs" dxfId="7481" priority="792" operator="lessThan">
      <formula>0.8</formula>
    </cfRule>
  </conditionalFormatting>
  <conditionalFormatting sqref="R148:R153">
    <cfRule type="cellIs" dxfId="7480" priority="787" operator="lessThan">
      <formula>0.8</formula>
    </cfRule>
    <cfRule type="cellIs" dxfId="7479" priority="788" operator="greaterThan">
      <formula>1</formula>
    </cfRule>
  </conditionalFormatting>
  <conditionalFormatting sqref="R148:R153">
    <cfRule type="cellIs" dxfId="7478" priority="785" operator="greaterThan">
      <formula>1</formula>
    </cfRule>
    <cfRule type="cellIs" dxfId="7477" priority="786" operator="lessThan">
      <formula>0.8</formula>
    </cfRule>
  </conditionalFormatting>
  <conditionalFormatting sqref="P148:P153">
    <cfRule type="cellIs" dxfId="7476" priority="784" operator="greaterThan">
      <formula>0</formula>
    </cfRule>
  </conditionalFormatting>
  <conditionalFormatting sqref="Q148:Q153">
    <cfRule type="cellIs" dxfId="7475" priority="789" operator="lessThan">
      <formula>0</formula>
    </cfRule>
  </conditionalFormatting>
  <conditionalFormatting sqref="R148:R153">
    <cfRule type="cellIs" dxfId="7474" priority="781" operator="lessThan">
      <formula>0.8</formula>
    </cfRule>
    <cfRule type="cellIs" dxfId="7473" priority="782" operator="greaterThan">
      <formula>1</formula>
    </cfRule>
  </conditionalFormatting>
  <conditionalFormatting sqref="R148:R153">
    <cfRule type="cellIs" dxfId="7472" priority="779" operator="greaterThan">
      <formula>1</formula>
    </cfRule>
    <cfRule type="cellIs" dxfId="7471" priority="780" operator="lessThan">
      <formula>0.8</formula>
    </cfRule>
  </conditionalFormatting>
  <conditionalFormatting sqref="P148:P153">
    <cfRule type="cellIs" dxfId="7470" priority="778" operator="greaterThan">
      <formula>0</formula>
    </cfRule>
  </conditionalFormatting>
  <conditionalFormatting sqref="Q148:Q153">
    <cfRule type="cellIs" dxfId="7469" priority="783" operator="lessThan">
      <formula>0</formula>
    </cfRule>
  </conditionalFormatting>
  <conditionalFormatting sqref="Q148:Q153">
    <cfRule type="cellIs" dxfId="7468" priority="777" operator="lessThan">
      <formula>0</formula>
    </cfRule>
  </conditionalFormatting>
  <conditionalFormatting sqref="R148:R153">
    <cfRule type="cellIs" dxfId="7467" priority="775" operator="lessThan">
      <formula>0.8</formula>
    </cfRule>
    <cfRule type="cellIs" dxfId="7466" priority="776" operator="greaterThan">
      <formula>1</formula>
    </cfRule>
  </conditionalFormatting>
  <conditionalFormatting sqref="R148:R153">
    <cfRule type="cellIs" dxfId="7465" priority="773" operator="greaterThan">
      <formula>1</formula>
    </cfRule>
    <cfRule type="cellIs" dxfId="7464" priority="774" operator="lessThan">
      <formula>0.8</formula>
    </cfRule>
  </conditionalFormatting>
  <conditionalFormatting sqref="P148:P153">
    <cfRule type="cellIs" dxfId="7463" priority="772" operator="greaterThan">
      <formula>0</formula>
    </cfRule>
  </conditionalFormatting>
  <conditionalFormatting sqref="Q148:Q153">
    <cfRule type="cellIs" dxfId="7462" priority="766" operator="lessThan">
      <formula>0</formula>
    </cfRule>
  </conditionalFormatting>
  <conditionalFormatting sqref="R148:R153">
    <cfRule type="cellIs" dxfId="7461" priority="770" operator="lessThan">
      <formula>0.8</formula>
    </cfRule>
    <cfRule type="cellIs" dxfId="7460" priority="771" operator="greaterThan">
      <formula>1</formula>
    </cfRule>
  </conditionalFormatting>
  <conditionalFormatting sqref="R148:R153">
    <cfRule type="cellIs" dxfId="7459" priority="768" operator="greaterThan">
      <formula>1</formula>
    </cfRule>
    <cfRule type="cellIs" dxfId="7458" priority="769" operator="lessThan">
      <formula>0.8</formula>
    </cfRule>
  </conditionalFormatting>
  <conditionalFormatting sqref="P148:P153">
    <cfRule type="cellIs" dxfId="7457" priority="767" operator="greaterThan">
      <formula>0</formula>
    </cfRule>
  </conditionalFormatting>
  <conditionalFormatting sqref="Q148:Q153">
    <cfRule type="cellIs" dxfId="7456" priority="765" operator="lessThan">
      <formula>0</formula>
    </cfRule>
  </conditionalFormatting>
  <conditionalFormatting sqref="R148:R153">
    <cfRule type="cellIs" dxfId="7455" priority="763" operator="lessThan">
      <formula>0.8</formula>
    </cfRule>
    <cfRule type="cellIs" dxfId="7454" priority="764" operator="greaterThan">
      <formula>1</formula>
    </cfRule>
  </conditionalFormatting>
  <conditionalFormatting sqref="R148:R153">
    <cfRule type="cellIs" dxfId="7453" priority="761" operator="greaterThan">
      <formula>1</formula>
    </cfRule>
    <cfRule type="cellIs" dxfId="7452" priority="762" operator="lessThan">
      <formula>0.8</formula>
    </cfRule>
  </conditionalFormatting>
  <conditionalFormatting sqref="P148:P153">
    <cfRule type="cellIs" dxfId="7451" priority="760" operator="greaterThan">
      <formula>0</formula>
    </cfRule>
  </conditionalFormatting>
  <conditionalFormatting sqref="Q148:Q153">
    <cfRule type="cellIs" dxfId="7450" priority="759" operator="lessThan">
      <formula>0</formula>
    </cfRule>
  </conditionalFormatting>
  <conditionalFormatting sqref="R148:R153">
    <cfRule type="cellIs" dxfId="7449" priority="757" operator="lessThan">
      <formula>0.8</formula>
    </cfRule>
    <cfRule type="cellIs" dxfId="7448" priority="758" operator="greaterThan">
      <formula>1</formula>
    </cfRule>
  </conditionalFormatting>
  <conditionalFormatting sqref="R148:R153">
    <cfRule type="cellIs" dxfId="7447" priority="755" operator="greaterThan">
      <formula>1</formula>
    </cfRule>
    <cfRule type="cellIs" dxfId="7446" priority="756" operator="lessThan">
      <formula>0.8</formula>
    </cfRule>
  </conditionalFormatting>
  <conditionalFormatting sqref="P148:P153">
    <cfRule type="cellIs" dxfId="7445" priority="754" operator="greaterThan">
      <formula>0</formula>
    </cfRule>
  </conditionalFormatting>
  <conditionalFormatting sqref="Q148:Q153">
    <cfRule type="cellIs" dxfId="7444" priority="753" operator="lessThan">
      <formula>0</formula>
    </cfRule>
  </conditionalFormatting>
  <conditionalFormatting sqref="R148:R153">
    <cfRule type="cellIs" dxfId="7443" priority="751" operator="lessThan">
      <formula>0.8</formula>
    </cfRule>
    <cfRule type="cellIs" dxfId="7442" priority="752" operator="greaterThan">
      <formula>1</formula>
    </cfRule>
  </conditionalFormatting>
  <conditionalFormatting sqref="R148:R153">
    <cfRule type="cellIs" dxfId="7441" priority="749" operator="greaterThan">
      <formula>1</formula>
    </cfRule>
    <cfRule type="cellIs" dxfId="7440" priority="750" operator="lessThan">
      <formula>0.8</formula>
    </cfRule>
  </conditionalFormatting>
  <conditionalFormatting sqref="P148:P153">
    <cfRule type="cellIs" dxfId="7439" priority="748" operator="greaterThan">
      <formula>0</formula>
    </cfRule>
  </conditionalFormatting>
  <conditionalFormatting sqref="Q148:Q153">
    <cfRule type="cellIs" dxfId="7438" priority="747" operator="lessThan">
      <formula>0</formula>
    </cfRule>
  </conditionalFormatting>
  <conditionalFormatting sqref="R148:R153">
    <cfRule type="cellIs" dxfId="7437" priority="745" operator="lessThan">
      <formula>0.8</formula>
    </cfRule>
    <cfRule type="cellIs" dxfId="7436" priority="746" operator="greaterThan">
      <formula>1</formula>
    </cfRule>
  </conditionalFormatting>
  <conditionalFormatting sqref="R148:R153">
    <cfRule type="cellIs" dxfId="7435" priority="743" operator="greaterThan">
      <formula>1</formula>
    </cfRule>
    <cfRule type="cellIs" dxfId="7434" priority="744" operator="lessThan">
      <formula>0.8</formula>
    </cfRule>
  </conditionalFormatting>
  <conditionalFormatting sqref="P148:P153">
    <cfRule type="cellIs" dxfId="7433" priority="742" operator="greaterThan">
      <formula>0</formula>
    </cfRule>
  </conditionalFormatting>
  <conditionalFormatting sqref="Q148:Q153">
    <cfRule type="cellIs" dxfId="7432" priority="741" operator="lessThan">
      <formula>0</formula>
    </cfRule>
  </conditionalFormatting>
  <conditionalFormatting sqref="R148:R153">
    <cfRule type="cellIs" dxfId="7431" priority="739" operator="lessThan">
      <formula>0.8</formula>
    </cfRule>
    <cfRule type="cellIs" dxfId="7430" priority="740" operator="greaterThan">
      <formula>1</formula>
    </cfRule>
  </conditionalFormatting>
  <conditionalFormatting sqref="R148:R153">
    <cfRule type="cellIs" dxfId="7429" priority="737" operator="greaterThan">
      <formula>1</formula>
    </cfRule>
    <cfRule type="cellIs" dxfId="7428" priority="738" operator="lessThan">
      <formula>0.8</formula>
    </cfRule>
  </conditionalFormatting>
  <conditionalFormatting sqref="P148:P153">
    <cfRule type="cellIs" dxfId="7427" priority="736" operator="greaterThan">
      <formula>0</formula>
    </cfRule>
  </conditionalFormatting>
  <conditionalFormatting sqref="P148:P153">
    <cfRule type="cellIs" dxfId="7426" priority="730" operator="greaterThan">
      <formula>0</formula>
    </cfRule>
  </conditionalFormatting>
  <conditionalFormatting sqref="Q148:Q153">
    <cfRule type="cellIs" dxfId="7425" priority="735" operator="lessThan">
      <formula>0</formula>
    </cfRule>
  </conditionalFormatting>
  <conditionalFormatting sqref="R148:R153">
    <cfRule type="cellIs" dxfId="7424" priority="733" operator="lessThan">
      <formula>0.8</formula>
    </cfRule>
    <cfRule type="cellIs" dxfId="7423" priority="734" operator="greaterThan">
      <formula>1</formula>
    </cfRule>
  </conditionalFormatting>
  <conditionalFormatting sqref="R148:R153">
    <cfRule type="cellIs" dxfId="7422" priority="731" operator="greaterThan">
      <formula>1</formula>
    </cfRule>
    <cfRule type="cellIs" dxfId="7421" priority="732" operator="lessThan">
      <formula>0.8</formula>
    </cfRule>
  </conditionalFormatting>
  <conditionalFormatting sqref="P148:P153">
    <cfRule type="cellIs" dxfId="7420" priority="724" operator="greaterThan">
      <formula>0</formula>
    </cfRule>
  </conditionalFormatting>
  <conditionalFormatting sqref="Q148:Q153">
    <cfRule type="cellIs" dxfId="7419" priority="729" operator="lessThan">
      <formula>0</formula>
    </cfRule>
  </conditionalFormatting>
  <conditionalFormatting sqref="R148:R153">
    <cfRule type="cellIs" dxfId="7418" priority="727" operator="lessThan">
      <formula>0.8</formula>
    </cfRule>
    <cfRule type="cellIs" dxfId="7417" priority="728" operator="greaterThan">
      <formula>1</formula>
    </cfRule>
  </conditionalFormatting>
  <conditionalFormatting sqref="R148:R153">
    <cfRule type="cellIs" dxfId="7416" priority="725" operator="greaterThan">
      <formula>1</formula>
    </cfRule>
    <cfRule type="cellIs" dxfId="7415" priority="726" operator="lessThan">
      <formula>0.8</formula>
    </cfRule>
  </conditionalFormatting>
  <conditionalFormatting sqref="R148:R153">
    <cfRule type="cellIs" dxfId="7414" priority="721" operator="lessThan">
      <formula>0.8</formula>
    </cfRule>
    <cfRule type="cellIs" dxfId="7413" priority="722" operator="greaterThan">
      <formula>1</formula>
    </cfRule>
  </conditionalFormatting>
  <conditionalFormatting sqref="R148:R153">
    <cfRule type="cellIs" dxfId="7412" priority="719" operator="greaterThan">
      <formula>1</formula>
    </cfRule>
    <cfRule type="cellIs" dxfId="7411" priority="720" operator="lessThan">
      <formula>0.8</formula>
    </cfRule>
  </conditionalFormatting>
  <conditionalFormatting sqref="P148:P153">
    <cfRule type="cellIs" dxfId="7410" priority="718" operator="greaterThan">
      <formula>0</formula>
    </cfRule>
  </conditionalFormatting>
  <conditionalFormatting sqref="Q148:Q153">
    <cfRule type="cellIs" dxfId="7409" priority="723" operator="lessThan">
      <formula>0</formula>
    </cfRule>
  </conditionalFormatting>
  <conditionalFormatting sqref="P44:P51">
    <cfRule type="cellIs" dxfId="7408" priority="712" operator="greaterThan">
      <formula>0</formula>
    </cfRule>
  </conditionalFormatting>
  <conditionalFormatting sqref="Q44:Q51">
    <cfRule type="cellIs" dxfId="7407" priority="717" operator="lessThan">
      <formula>0</formula>
    </cfRule>
  </conditionalFormatting>
  <conditionalFormatting sqref="R44:R51">
    <cfRule type="cellIs" dxfId="7406" priority="715" operator="lessThan">
      <formula>0.8</formula>
    </cfRule>
    <cfRule type="cellIs" dxfId="7405" priority="716" operator="greaterThan">
      <formula>1</formula>
    </cfRule>
  </conditionalFormatting>
  <conditionalFormatting sqref="R44:R51">
    <cfRule type="cellIs" dxfId="7404" priority="713" operator="greaterThan">
      <formula>1</formula>
    </cfRule>
    <cfRule type="cellIs" dxfId="7403" priority="714" operator="lessThan">
      <formula>0.8</formula>
    </cfRule>
  </conditionalFormatting>
  <conditionalFormatting sqref="Q84:Q91">
    <cfRule type="cellIs" dxfId="7402" priority="711" operator="lessThan">
      <formula>0</formula>
    </cfRule>
  </conditionalFormatting>
  <conditionalFormatting sqref="R84:R91">
    <cfRule type="cellIs" dxfId="7401" priority="709" operator="lessThan">
      <formula>0.8</formula>
    </cfRule>
    <cfRule type="cellIs" dxfId="7400" priority="710" operator="greaterThan">
      <formula>1</formula>
    </cfRule>
  </conditionalFormatting>
  <conditionalFormatting sqref="R84:R91">
    <cfRule type="cellIs" dxfId="7399" priority="707" operator="greaterThan">
      <formula>1</formula>
    </cfRule>
    <cfRule type="cellIs" dxfId="7398" priority="708" operator="lessThan">
      <formula>0.8</formula>
    </cfRule>
  </conditionalFormatting>
  <conditionalFormatting sqref="P84:P91">
    <cfRule type="cellIs" dxfId="7397" priority="706" operator="greaterThan">
      <formula>0</formula>
    </cfRule>
  </conditionalFormatting>
  <conditionalFormatting sqref="Q84:Q91">
    <cfRule type="cellIs" dxfId="7396" priority="705" operator="lessThan">
      <formula>0</formula>
    </cfRule>
  </conditionalFormatting>
  <conditionalFormatting sqref="R84:R91">
    <cfRule type="cellIs" dxfId="7395" priority="703" operator="lessThan">
      <formula>0.8</formula>
    </cfRule>
    <cfRule type="cellIs" dxfId="7394" priority="704" operator="greaterThan">
      <formula>1</formula>
    </cfRule>
  </conditionalFormatting>
  <conditionalFormatting sqref="R84:R91">
    <cfRule type="cellIs" dxfId="7393" priority="701" operator="greaterThan">
      <formula>1</formula>
    </cfRule>
    <cfRule type="cellIs" dxfId="7392" priority="702" operator="lessThan">
      <formula>0.8</formula>
    </cfRule>
  </conditionalFormatting>
  <conditionalFormatting sqref="P84:P91">
    <cfRule type="cellIs" dxfId="7391" priority="700" operator="greaterThan">
      <formula>0</formula>
    </cfRule>
  </conditionalFormatting>
  <conditionalFormatting sqref="Q84:Q91">
    <cfRule type="cellIs" dxfId="7390" priority="699" operator="lessThan">
      <formula>0</formula>
    </cfRule>
  </conditionalFormatting>
  <conditionalFormatting sqref="R84:R91">
    <cfRule type="cellIs" dxfId="7389" priority="697" operator="lessThan">
      <formula>0.8</formula>
    </cfRule>
    <cfRule type="cellIs" dxfId="7388" priority="698" operator="greaterThan">
      <formula>1</formula>
    </cfRule>
  </conditionalFormatting>
  <conditionalFormatting sqref="R84:R91">
    <cfRule type="cellIs" dxfId="7387" priority="695" operator="greaterThan">
      <formula>1</formula>
    </cfRule>
    <cfRule type="cellIs" dxfId="7386" priority="696" operator="lessThan">
      <formula>0.8</formula>
    </cfRule>
  </conditionalFormatting>
  <conditionalFormatting sqref="P84:P91">
    <cfRule type="cellIs" dxfId="7385" priority="694" operator="greaterThan">
      <formula>0</formula>
    </cfRule>
  </conditionalFormatting>
  <conditionalFormatting sqref="Q84:Q91">
    <cfRule type="cellIs" dxfId="7384" priority="693" operator="lessThan">
      <formula>0</formula>
    </cfRule>
  </conditionalFormatting>
  <conditionalFormatting sqref="R84:R91">
    <cfRule type="cellIs" dxfId="7383" priority="691" operator="lessThan">
      <formula>0.8</formula>
    </cfRule>
    <cfRule type="cellIs" dxfId="7382" priority="692" operator="greaterThan">
      <formula>1</formula>
    </cfRule>
  </conditionalFormatting>
  <conditionalFormatting sqref="R84:R91">
    <cfRule type="cellIs" dxfId="7381" priority="689" operator="greaterThan">
      <formula>1</formula>
    </cfRule>
    <cfRule type="cellIs" dxfId="7380" priority="690" operator="lessThan">
      <formula>0.8</formula>
    </cfRule>
  </conditionalFormatting>
  <conditionalFormatting sqref="P84:P91">
    <cfRule type="cellIs" dxfId="7379" priority="688" operator="greaterThan">
      <formula>0</formula>
    </cfRule>
  </conditionalFormatting>
  <conditionalFormatting sqref="P84:P91">
    <cfRule type="cellIs" dxfId="7378" priority="682" operator="greaterThan">
      <formula>0</formula>
    </cfRule>
  </conditionalFormatting>
  <conditionalFormatting sqref="Q84:Q91">
    <cfRule type="cellIs" dxfId="7377" priority="687" operator="lessThan">
      <formula>0</formula>
    </cfRule>
  </conditionalFormatting>
  <conditionalFormatting sqref="R84:R91">
    <cfRule type="cellIs" dxfId="7376" priority="685" operator="lessThan">
      <formula>0.8</formula>
    </cfRule>
    <cfRule type="cellIs" dxfId="7375" priority="686" operator="greaterThan">
      <formula>1</formula>
    </cfRule>
  </conditionalFormatting>
  <conditionalFormatting sqref="R84:R91">
    <cfRule type="cellIs" dxfId="7374" priority="683" operator="greaterThan">
      <formula>1</formula>
    </cfRule>
    <cfRule type="cellIs" dxfId="7373" priority="684" operator="lessThan">
      <formula>0.8</formula>
    </cfRule>
  </conditionalFormatting>
  <conditionalFormatting sqref="P84:P91">
    <cfRule type="cellIs" dxfId="7372" priority="676" operator="greaterThan">
      <formula>0</formula>
    </cfRule>
  </conditionalFormatting>
  <conditionalFormatting sqref="Q84:Q91">
    <cfRule type="cellIs" dxfId="7371" priority="681" operator="lessThan">
      <formula>0</formula>
    </cfRule>
  </conditionalFormatting>
  <conditionalFormatting sqref="R84:R91">
    <cfRule type="cellIs" dxfId="7370" priority="679" operator="lessThan">
      <formula>0.8</formula>
    </cfRule>
    <cfRule type="cellIs" dxfId="7369" priority="680" operator="greaterThan">
      <formula>1</formula>
    </cfRule>
  </conditionalFormatting>
  <conditionalFormatting sqref="R84:R91">
    <cfRule type="cellIs" dxfId="7368" priority="677" operator="greaterThan">
      <formula>1</formula>
    </cfRule>
    <cfRule type="cellIs" dxfId="7367" priority="678" operator="lessThan">
      <formula>0.8</formula>
    </cfRule>
  </conditionalFormatting>
  <conditionalFormatting sqref="R84:R91">
    <cfRule type="cellIs" dxfId="7366" priority="673" operator="lessThan">
      <formula>0.8</formula>
    </cfRule>
    <cfRule type="cellIs" dxfId="7365" priority="674" operator="greaterThan">
      <formula>1</formula>
    </cfRule>
  </conditionalFormatting>
  <conditionalFormatting sqref="R84:R91">
    <cfRule type="cellIs" dxfId="7364" priority="671" operator="greaterThan">
      <formula>1</formula>
    </cfRule>
    <cfRule type="cellIs" dxfId="7363" priority="672" operator="lessThan">
      <formula>0.8</formula>
    </cfRule>
  </conditionalFormatting>
  <conditionalFormatting sqref="P84:P91">
    <cfRule type="cellIs" dxfId="7362" priority="670" operator="greaterThan">
      <formula>0</formula>
    </cfRule>
  </conditionalFormatting>
  <conditionalFormatting sqref="Q84:Q91">
    <cfRule type="cellIs" dxfId="7361" priority="675" operator="lessThan">
      <formula>0</formula>
    </cfRule>
  </conditionalFormatting>
  <conditionalFormatting sqref="Q84:Q91">
    <cfRule type="cellIs" dxfId="7360" priority="669" operator="lessThan">
      <formula>0</formula>
    </cfRule>
  </conditionalFormatting>
  <conditionalFormatting sqref="R84:R91">
    <cfRule type="cellIs" dxfId="7359" priority="667" operator="lessThan">
      <formula>0.8</formula>
    </cfRule>
    <cfRule type="cellIs" dxfId="7358" priority="668" operator="greaterThan">
      <formula>1</formula>
    </cfRule>
  </conditionalFormatting>
  <conditionalFormatting sqref="R84:R91">
    <cfRule type="cellIs" dxfId="7357" priority="665" operator="greaterThan">
      <formula>1</formula>
    </cfRule>
    <cfRule type="cellIs" dxfId="7356" priority="666" operator="lessThan">
      <formula>0.8</formula>
    </cfRule>
  </conditionalFormatting>
  <conditionalFormatting sqref="P84:P91">
    <cfRule type="cellIs" dxfId="7355" priority="664" operator="greaterThan">
      <formula>0</formula>
    </cfRule>
  </conditionalFormatting>
  <conditionalFormatting sqref="P84:P91">
    <cfRule type="cellIs" dxfId="7354" priority="658" operator="greaterThan">
      <formula>0</formula>
    </cfRule>
  </conditionalFormatting>
  <conditionalFormatting sqref="Q84:Q91">
    <cfRule type="cellIs" dxfId="7353" priority="663" operator="lessThan">
      <formula>0</formula>
    </cfRule>
  </conditionalFormatting>
  <conditionalFormatting sqref="R84:R91">
    <cfRule type="cellIs" dxfId="7352" priority="661" operator="lessThan">
      <formula>0.8</formula>
    </cfRule>
    <cfRule type="cellIs" dxfId="7351" priority="662" operator="greaterThan">
      <formula>1</formula>
    </cfRule>
  </conditionalFormatting>
  <conditionalFormatting sqref="R84:R91">
    <cfRule type="cellIs" dxfId="7350" priority="659" operator="greaterThan">
      <formula>1</formula>
    </cfRule>
    <cfRule type="cellIs" dxfId="7349" priority="660" operator="lessThan">
      <formula>0.8</formula>
    </cfRule>
  </conditionalFormatting>
  <conditionalFormatting sqref="P84:P91">
    <cfRule type="cellIs" dxfId="7348" priority="652" operator="greaterThan">
      <formula>0</formula>
    </cfRule>
  </conditionalFormatting>
  <conditionalFormatting sqref="Q84:Q91">
    <cfRule type="cellIs" dxfId="7347" priority="657" operator="lessThan">
      <formula>0</formula>
    </cfRule>
  </conditionalFormatting>
  <conditionalFormatting sqref="R84:R91">
    <cfRule type="cellIs" dxfId="7346" priority="655" operator="lessThan">
      <formula>0.8</formula>
    </cfRule>
    <cfRule type="cellIs" dxfId="7345" priority="656" operator="greaterThan">
      <formula>1</formula>
    </cfRule>
  </conditionalFormatting>
  <conditionalFormatting sqref="R84:R91">
    <cfRule type="cellIs" dxfId="7344" priority="653" operator="greaterThan">
      <formula>1</formula>
    </cfRule>
    <cfRule type="cellIs" dxfId="7343" priority="654" operator="lessThan">
      <formula>0.8</formula>
    </cfRule>
  </conditionalFormatting>
  <conditionalFormatting sqref="R84:R91">
    <cfRule type="cellIs" dxfId="7342" priority="649" operator="lessThan">
      <formula>0.8</formula>
    </cfRule>
    <cfRule type="cellIs" dxfId="7341" priority="650" operator="greaterThan">
      <formula>1</formula>
    </cfRule>
  </conditionalFormatting>
  <conditionalFormatting sqref="R84:R91">
    <cfRule type="cellIs" dxfId="7340" priority="647" operator="greaterThan">
      <formula>1</formula>
    </cfRule>
    <cfRule type="cellIs" dxfId="7339" priority="648" operator="lessThan">
      <formula>0.8</formula>
    </cfRule>
  </conditionalFormatting>
  <conditionalFormatting sqref="P84:P91">
    <cfRule type="cellIs" dxfId="7338" priority="646" operator="greaterThan">
      <formula>0</formula>
    </cfRule>
  </conditionalFormatting>
  <conditionalFormatting sqref="Q84:Q91">
    <cfRule type="cellIs" dxfId="7337" priority="651" operator="lessThan">
      <formula>0</formula>
    </cfRule>
  </conditionalFormatting>
  <conditionalFormatting sqref="P84:P91">
    <cfRule type="cellIs" dxfId="7336" priority="640" operator="greaterThan">
      <formula>0</formula>
    </cfRule>
  </conditionalFormatting>
  <conditionalFormatting sqref="Q84:Q91">
    <cfRule type="cellIs" dxfId="7335" priority="645" operator="lessThan">
      <formula>0</formula>
    </cfRule>
  </conditionalFormatting>
  <conditionalFormatting sqref="R84:R91">
    <cfRule type="cellIs" dxfId="7334" priority="643" operator="lessThan">
      <formula>0.8</formula>
    </cfRule>
    <cfRule type="cellIs" dxfId="7333" priority="644" operator="greaterThan">
      <formula>1</formula>
    </cfRule>
  </conditionalFormatting>
  <conditionalFormatting sqref="R84:R91">
    <cfRule type="cellIs" dxfId="7332" priority="641" operator="greaterThan">
      <formula>1</formula>
    </cfRule>
    <cfRule type="cellIs" dxfId="7331" priority="642" operator="lessThan">
      <formula>0.8</formula>
    </cfRule>
  </conditionalFormatting>
  <conditionalFormatting sqref="R84:R91">
    <cfRule type="cellIs" dxfId="7330" priority="637" operator="lessThan">
      <formula>0.8</formula>
    </cfRule>
    <cfRule type="cellIs" dxfId="7329" priority="638" operator="greaterThan">
      <formula>1</formula>
    </cfRule>
  </conditionalFormatting>
  <conditionalFormatting sqref="R84:R91">
    <cfRule type="cellIs" dxfId="7328" priority="635" operator="greaterThan">
      <formula>1</formula>
    </cfRule>
    <cfRule type="cellIs" dxfId="7327" priority="636" operator="lessThan">
      <formula>0.8</formula>
    </cfRule>
  </conditionalFormatting>
  <conditionalFormatting sqref="P84:P91">
    <cfRule type="cellIs" dxfId="7326" priority="634" operator="greaterThan">
      <formula>0</formula>
    </cfRule>
  </conditionalFormatting>
  <conditionalFormatting sqref="Q84:Q91">
    <cfRule type="cellIs" dxfId="7325" priority="639" operator="lessThan">
      <formula>0</formula>
    </cfRule>
  </conditionalFormatting>
  <conditionalFormatting sqref="R84:R91">
    <cfRule type="cellIs" dxfId="7324" priority="631" operator="lessThan">
      <formula>0.8</formula>
    </cfRule>
    <cfRule type="cellIs" dxfId="7323" priority="632" operator="greaterThan">
      <formula>1</formula>
    </cfRule>
  </conditionalFormatting>
  <conditionalFormatting sqref="R84:R91">
    <cfRule type="cellIs" dxfId="7322" priority="629" operator="greaterThan">
      <formula>1</formula>
    </cfRule>
    <cfRule type="cellIs" dxfId="7321" priority="630" operator="lessThan">
      <formula>0.8</formula>
    </cfRule>
  </conditionalFormatting>
  <conditionalFormatting sqref="P84:P91">
    <cfRule type="cellIs" dxfId="7320" priority="628" operator="greaterThan">
      <formula>0</formula>
    </cfRule>
  </conditionalFormatting>
  <conditionalFormatting sqref="Q84:Q91">
    <cfRule type="cellIs" dxfId="7319" priority="633" operator="lessThan">
      <formula>0</formula>
    </cfRule>
  </conditionalFormatting>
  <conditionalFormatting sqref="Q84:Q91">
    <cfRule type="cellIs" dxfId="7318" priority="627" operator="lessThan">
      <formula>0</formula>
    </cfRule>
  </conditionalFormatting>
  <conditionalFormatting sqref="R84:R91">
    <cfRule type="cellIs" dxfId="7317" priority="625" operator="lessThan">
      <formula>0.8</formula>
    </cfRule>
    <cfRule type="cellIs" dxfId="7316" priority="626" operator="greaterThan">
      <formula>1</formula>
    </cfRule>
  </conditionalFormatting>
  <conditionalFormatting sqref="R84:R91">
    <cfRule type="cellIs" dxfId="7315" priority="623" operator="greaterThan">
      <formula>1</formula>
    </cfRule>
    <cfRule type="cellIs" dxfId="7314" priority="624" operator="lessThan">
      <formula>0.8</formula>
    </cfRule>
  </conditionalFormatting>
  <conditionalFormatting sqref="P84:P91">
    <cfRule type="cellIs" dxfId="7313" priority="622" operator="greaterThan">
      <formula>0</formula>
    </cfRule>
  </conditionalFormatting>
  <conditionalFormatting sqref="Q84:Q91">
    <cfRule type="cellIs" dxfId="7312" priority="616" operator="lessThan">
      <formula>0</formula>
    </cfRule>
  </conditionalFormatting>
  <conditionalFormatting sqref="R84:R91">
    <cfRule type="cellIs" dxfId="7311" priority="620" operator="lessThan">
      <formula>0.8</formula>
    </cfRule>
    <cfRule type="cellIs" dxfId="7310" priority="621" operator="greaterThan">
      <formula>1</formula>
    </cfRule>
  </conditionalFormatting>
  <conditionalFormatting sqref="R84:R91">
    <cfRule type="cellIs" dxfId="7309" priority="618" operator="greaterThan">
      <formula>1</formula>
    </cfRule>
    <cfRule type="cellIs" dxfId="7308" priority="619" operator="lessThan">
      <formula>0.8</formula>
    </cfRule>
  </conditionalFormatting>
  <conditionalFormatting sqref="P84:P91">
    <cfRule type="cellIs" dxfId="7307" priority="617" operator="greaterThan">
      <formula>0</formula>
    </cfRule>
  </conditionalFormatting>
  <conditionalFormatting sqref="Q84:Q91">
    <cfRule type="cellIs" dxfId="7306" priority="615" operator="lessThan">
      <formula>0</formula>
    </cfRule>
  </conditionalFormatting>
  <conditionalFormatting sqref="R84:R91">
    <cfRule type="cellIs" dxfId="7305" priority="613" operator="lessThan">
      <formula>0.8</formula>
    </cfRule>
    <cfRule type="cellIs" dxfId="7304" priority="614" operator="greaterThan">
      <formula>1</formula>
    </cfRule>
  </conditionalFormatting>
  <conditionalFormatting sqref="R84:R91">
    <cfRule type="cellIs" dxfId="7303" priority="611" operator="greaterThan">
      <formula>1</formula>
    </cfRule>
    <cfRule type="cellIs" dxfId="7302" priority="612" operator="lessThan">
      <formula>0.8</formula>
    </cfRule>
  </conditionalFormatting>
  <conditionalFormatting sqref="P84:P91">
    <cfRule type="cellIs" dxfId="7301" priority="610" operator="greaterThan">
      <formula>0</formula>
    </cfRule>
  </conditionalFormatting>
  <conditionalFormatting sqref="Q84:Q91">
    <cfRule type="cellIs" dxfId="7300" priority="609" operator="lessThan">
      <formula>0</formula>
    </cfRule>
  </conditionalFormatting>
  <conditionalFormatting sqref="R84:R91">
    <cfRule type="cellIs" dxfId="7299" priority="607" operator="lessThan">
      <formula>0.8</formula>
    </cfRule>
    <cfRule type="cellIs" dxfId="7298" priority="608" operator="greaterThan">
      <formula>1</formula>
    </cfRule>
  </conditionalFormatting>
  <conditionalFormatting sqref="R84:R91">
    <cfRule type="cellIs" dxfId="7297" priority="605" operator="greaterThan">
      <formula>1</formula>
    </cfRule>
    <cfRule type="cellIs" dxfId="7296" priority="606" operator="lessThan">
      <formula>0.8</formula>
    </cfRule>
  </conditionalFormatting>
  <conditionalFormatting sqref="P84:P91">
    <cfRule type="cellIs" dxfId="7295" priority="604" operator="greaterThan">
      <formula>0</formula>
    </cfRule>
  </conditionalFormatting>
  <conditionalFormatting sqref="Q84:Q91">
    <cfRule type="cellIs" dxfId="7294" priority="603" operator="lessThan">
      <formula>0</formula>
    </cfRule>
  </conditionalFormatting>
  <conditionalFormatting sqref="R84:R91">
    <cfRule type="cellIs" dxfId="7293" priority="601" operator="lessThan">
      <formula>0.8</formula>
    </cfRule>
    <cfRule type="cellIs" dxfId="7292" priority="602" operator="greaterThan">
      <formula>1</formula>
    </cfRule>
  </conditionalFormatting>
  <conditionalFormatting sqref="R84:R91">
    <cfRule type="cellIs" dxfId="7291" priority="599" operator="greaterThan">
      <formula>1</formula>
    </cfRule>
    <cfRule type="cellIs" dxfId="7290" priority="600" operator="lessThan">
      <formula>0.8</formula>
    </cfRule>
  </conditionalFormatting>
  <conditionalFormatting sqref="P84:P91">
    <cfRule type="cellIs" dxfId="7289" priority="598" operator="greaterThan">
      <formula>0</formula>
    </cfRule>
  </conditionalFormatting>
  <conditionalFormatting sqref="Q84:Q91">
    <cfRule type="cellIs" dxfId="7288" priority="597" operator="lessThan">
      <formula>0</formula>
    </cfRule>
  </conditionalFormatting>
  <conditionalFormatting sqref="R84:R91">
    <cfRule type="cellIs" dxfId="7287" priority="595" operator="lessThan">
      <formula>0.8</formula>
    </cfRule>
    <cfRule type="cellIs" dxfId="7286" priority="596" operator="greaterThan">
      <formula>1</formula>
    </cfRule>
  </conditionalFormatting>
  <conditionalFormatting sqref="R84:R91">
    <cfRule type="cellIs" dxfId="7285" priority="593" operator="greaterThan">
      <formula>1</formula>
    </cfRule>
    <cfRule type="cellIs" dxfId="7284" priority="594" operator="lessThan">
      <formula>0.8</formula>
    </cfRule>
  </conditionalFormatting>
  <conditionalFormatting sqref="P84:P91">
    <cfRule type="cellIs" dxfId="7283" priority="592" operator="greaterThan">
      <formula>0</formula>
    </cfRule>
  </conditionalFormatting>
  <conditionalFormatting sqref="Q84:Q91">
    <cfRule type="cellIs" dxfId="7282" priority="591" operator="lessThan">
      <formula>0</formula>
    </cfRule>
  </conditionalFormatting>
  <conditionalFormatting sqref="R84:R91">
    <cfRule type="cellIs" dxfId="7281" priority="589" operator="lessThan">
      <formula>0.8</formula>
    </cfRule>
    <cfRule type="cellIs" dxfId="7280" priority="590" operator="greaterThan">
      <formula>1</formula>
    </cfRule>
  </conditionalFormatting>
  <conditionalFormatting sqref="R84:R91">
    <cfRule type="cellIs" dxfId="7279" priority="587" operator="greaterThan">
      <formula>1</formula>
    </cfRule>
    <cfRule type="cellIs" dxfId="7278" priority="588" operator="lessThan">
      <formula>0.8</formula>
    </cfRule>
  </conditionalFormatting>
  <conditionalFormatting sqref="P84:P91">
    <cfRule type="cellIs" dxfId="7277" priority="586" operator="greaterThan">
      <formula>0</formula>
    </cfRule>
  </conditionalFormatting>
  <conditionalFormatting sqref="P84:P91">
    <cfRule type="cellIs" dxfId="7276" priority="580" operator="greaterThan">
      <formula>0</formula>
    </cfRule>
  </conditionalFormatting>
  <conditionalFormatting sqref="Q84:Q91">
    <cfRule type="cellIs" dxfId="7275" priority="585" operator="lessThan">
      <formula>0</formula>
    </cfRule>
  </conditionalFormatting>
  <conditionalFormatting sqref="R84:R91">
    <cfRule type="cellIs" dxfId="7274" priority="583" operator="lessThan">
      <formula>0.8</formula>
    </cfRule>
    <cfRule type="cellIs" dxfId="7273" priority="584" operator="greaterThan">
      <formula>1</formula>
    </cfRule>
  </conditionalFormatting>
  <conditionalFormatting sqref="R84:R91">
    <cfRule type="cellIs" dxfId="7272" priority="581" operator="greaterThan">
      <formula>1</formula>
    </cfRule>
    <cfRule type="cellIs" dxfId="7271" priority="582" operator="lessThan">
      <formula>0.8</formula>
    </cfRule>
  </conditionalFormatting>
  <conditionalFormatting sqref="P84:P91">
    <cfRule type="cellIs" dxfId="7270" priority="574" operator="greaterThan">
      <formula>0</formula>
    </cfRule>
  </conditionalFormatting>
  <conditionalFormatting sqref="Q84:Q91">
    <cfRule type="cellIs" dxfId="7269" priority="579" operator="lessThan">
      <formula>0</formula>
    </cfRule>
  </conditionalFormatting>
  <conditionalFormatting sqref="R84:R91">
    <cfRule type="cellIs" dxfId="7268" priority="577" operator="lessThan">
      <formula>0.8</formula>
    </cfRule>
    <cfRule type="cellIs" dxfId="7267" priority="578" operator="greaterThan">
      <formula>1</formula>
    </cfRule>
  </conditionalFormatting>
  <conditionalFormatting sqref="R84:R91">
    <cfRule type="cellIs" dxfId="7266" priority="575" operator="greaterThan">
      <formula>1</formula>
    </cfRule>
    <cfRule type="cellIs" dxfId="7265" priority="576" operator="lessThan">
      <formula>0.8</formula>
    </cfRule>
  </conditionalFormatting>
  <conditionalFormatting sqref="R84:R91">
    <cfRule type="cellIs" dxfId="7264" priority="571" operator="lessThan">
      <formula>0.8</formula>
    </cfRule>
    <cfRule type="cellIs" dxfId="7263" priority="572" operator="greaterThan">
      <formula>1</formula>
    </cfRule>
  </conditionalFormatting>
  <conditionalFormatting sqref="R84:R91">
    <cfRule type="cellIs" dxfId="7262" priority="569" operator="greaterThan">
      <formula>1</formula>
    </cfRule>
    <cfRule type="cellIs" dxfId="7261" priority="570" operator="lessThan">
      <formula>0.8</formula>
    </cfRule>
  </conditionalFormatting>
  <conditionalFormatting sqref="P84:P91">
    <cfRule type="cellIs" dxfId="7260" priority="568" operator="greaterThan">
      <formula>0</formula>
    </cfRule>
  </conditionalFormatting>
  <conditionalFormatting sqref="Q84:Q91">
    <cfRule type="cellIs" dxfId="7259" priority="573" operator="lessThan">
      <formula>0</formula>
    </cfRule>
  </conditionalFormatting>
  <conditionalFormatting sqref="Q84:Q91">
    <cfRule type="cellIs" dxfId="7258" priority="567" operator="lessThan">
      <formula>0</formula>
    </cfRule>
  </conditionalFormatting>
  <conditionalFormatting sqref="R84:R91">
    <cfRule type="cellIs" dxfId="7257" priority="565" operator="lessThan">
      <formula>0.8</formula>
    </cfRule>
    <cfRule type="cellIs" dxfId="7256" priority="566" operator="greaterThan">
      <formula>1</formula>
    </cfRule>
  </conditionalFormatting>
  <conditionalFormatting sqref="R84:R91">
    <cfRule type="cellIs" dxfId="7255" priority="563" operator="greaterThan">
      <formula>1</formula>
    </cfRule>
    <cfRule type="cellIs" dxfId="7254" priority="564" operator="lessThan">
      <formula>0.8</formula>
    </cfRule>
  </conditionalFormatting>
  <conditionalFormatting sqref="P84:P91">
    <cfRule type="cellIs" dxfId="7253" priority="562" operator="greaterThan">
      <formula>0</formula>
    </cfRule>
  </conditionalFormatting>
  <conditionalFormatting sqref="Q84:Q91">
    <cfRule type="cellIs" dxfId="7252" priority="561" operator="lessThan">
      <formula>0</formula>
    </cfRule>
  </conditionalFormatting>
  <conditionalFormatting sqref="R84:R91">
    <cfRule type="cellIs" dxfId="7251" priority="559" operator="lessThan">
      <formula>0.8</formula>
    </cfRule>
    <cfRule type="cellIs" dxfId="7250" priority="560" operator="greaterThan">
      <formula>1</formula>
    </cfRule>
  </conditionalFormatting>
  <conditionalFormatting sqref="R84:R91">
    <cfRule type="cellIs" dxfId="7249" priority="557" operator="greaterThan">
      <formula>1</formula>
    </cfRule>
    <cfRule type="cellIs" dxfId="7248" priority="558" operator="lessThan">
      <formula>0.8</formula>
    </cfRule>
  </conditionalFormatting>
  <conditionalFormatting sqref="P84:P91">
    <cfRule type="cellIs" dxfId="7247" priority="556" operator="greaterThan">
      <formula>0</formula>
    </cfRule>
  </conditionalFormatting>
  <conditionalFormatting sqref="Q84:Q91">
    <cfRule type="cellIs" dxfId="7246" priority="555" operator="lessThan">
      <formula>0</formula>
    </cfRule>
  </conditionalFormatting>
  <conditionalFormatting sqref="R84:R91">
    <cfRule type="cellIs" dxfId="7245" priority="553" operator="lessThan">
      <formula>0.8</formula>
    </cfRule>
    <cfRule type="cellIs" dxfId="7244" priority="554" operator="greaterThan">
      <formula>1</formula>
    </cfRule>
  </conditionalFormatting>
  <conditionalFormatting sqref="R84:R91">
    <cfRule type="cellIs" dxfId="7243" priority="551" operator="greaterThan">
      <formula>1</formula>
    </cfRule>
    <cfRule type="cellIs" dxfId="7242" priority="552" operator="lessThan">
      <formula>0.8</formula>
    </cfRule>
  </conditionalFormatting>
  <conditionalFormatting sqref="P84:P91">
    <cfRule type="cellIs" dxfId="7241" priority="550" operator="greaterThan">
      <formula>0</formula>
    </cfRule>
  </conditionalFormatting>
  <conditionalFormatting sqref="Q84:Q91">
    <cfRule type="cellIs" dxfId="7240" priority="549" operator="lessThan">
      <formula>0</formula>
    </cfRule>
  </conditionalFormatting>
  <conditionalFormatting sqref="R84:R91">
    <cfRule type="cellIs" dxfId="7239" priority="547" operator="lessThan">
      <formula>0.8</formula>
    </cfRule>
    <cfRule type="cellIs" dxfId="7238" priority="548" operator="greaterThan">
      <formula>1</formula>
    </cfRule>
  </conditionalFormatting>
  <conditionalFormatting sqref="R84:R91">
    <cfRule type="cellIs" dxfId="7237" priority="545" operator="greaterThan">
      <formula>1</formula>
    </cfRule>
    <cfRule type="cellIs" dxfId="7236" priority="546" operator="lessThan">
      <formula>0.8</formula>
    </cfRule>
  </conditionalFormatting>
  <conditionalFormatting sqref="P84:P91">
    <cfRule type="cellIs" dxfId="7235" priority="544" operator="greaterThan">
      <formula>0</formula>
    </cfRule>
  </conditionalFormatting>
  <conditionalFormatting sqref="P84:P91">
    <cfRule type="cellIs" dxfId="7234" priority="538" operator="greaterThan">
      <formula>0</formula>
    </cfRule>
  </conditionalFormatting>
  <conditionalFormatting sqref="Q84:Q91">
    <cfRule type="cellIs" dxfId="7233" priority="543" operator="lessThan">
      <formula>0</formula>
    </cfRule>
  </conditionalFormatting>
  <conditionalFormatting sqref="R84:R91">
    <cfRule type="cellIs" dxfId="7232" priority="541" operator="lessThan">
      <formula>0.8</formula>
    </cfRule>
    <cfRule type="cellIs" dxfId="7231" priority="542" operator="greaterThan">
      <formula>1</formula>
    </cfRule>
  </conditionalFormatting>
  <conditionalFormatting sqref="R84:R91">
    <cfRule type="cellIs" dxfId="7230" priority="539" operator="greaterThan">
      <formula>1</formula>
    </cfRule>
    <cfRule type="cellIs" dxfId="7229" priority="540" operator="lessThan">
      <formula>0.8</formula>
    </cfRule>
  </conditionalFormatting>
  <conditionalFormatting sqref="P84:P91">
    <cfRule type="cellIs" dxfId="7228" priority="532" operator="greaterThan">
      <formula>0</formula>
    </cfRule>
  </conditionalFormatting>
  <conditionalFormatting sqref="Q84:Q91">
    <cfRule type="cellIs" dxfId="7227" priority="537" operator="lessThan">
      <formula>0</formula>
    </cfRule>
  </conditionalFormatting>
  <conditionalFormatting sqref="R84:R91">
    <cfRule type="cellIs" dxfId="7226" priority="535" operator="lessThan">
      <formula>0.8</formula>
    </cfRule>
    <cfRule type="cellIs" dxfId="7225" priority="536" operator="greaterThan">
      <formula>1</formula>
    </cfRule>
  </conditionalFormatting>
  <conditionalFormatting sqref="R84:R91">
    <cfRule type="cellIs" dxfId="7224" priority="533" operator="greaterThan">
      <formula>1</formula>
    </cfRule>
    <cfRule type="cellIs" dxfId="7223" priority="534" operator="lessThan">
      <formula>0.8</formula>
    </cfRule>
  </conditionalFormatting>
  <conditionalFormatting sqref="R84:R91">
    <cfRule type="cellIs" dxfId="7222" priority="529" operator="lessThan">
      <formula>0.8</formula>
    </cfRule>
    <cfRule type="cellIs" dxfId="7221" priority="530" operator="greaterThan">
      <formula>1</formula>
    </cfRule>
  </conditionalFormatting>
  <conditionalFormatting sqref="R84:R91">
    <cfRule type="cellIs" dxfId="7220" priority="527" operator="greaterThan">
      <formula>1</formula>
    </cfRule>
    <cfRule type="cellIs" dxfId="7219" priority="528" operator="lessThan">
      <formula>0.8</formula>
    </cfRule>
  </conditionalFormatting>
  <conditionalFormatting sqref="P84:P91">
    <cfRule type="cellIs" dxfId="7218" priority="526" operator="greaterThan">
      <formula>0</formula>
    </cfRule>
  </conditionalFormatting>
  <conditionalFormatting sqref="Q84:Q91">
    <cfRule type="cellIs" dxfId="7217" priority="531" operator="lessThan">
      <formula>0</formula>
    </cfRule>
  </conditionalFormatting>
  <conditionalFormatting sqref="Q84:Q91">
    <cfRule type="cellIs" dxfId="7216" priority="525" operator="lessThan">
      <formula>0</formula>
    </cfRule>
  </conditionalFormatting>
  <conditionalFormatting sqref="R84:R91">
    <cfRule type="cellIs" dxfId="7215" priority="523" operator="lessThan">
      <formula>0.8</formula>
    </cfRule>
    <cfRule type="cellIs" dxfId="7214" priority="524" operator="greaterThan">
      <formula>1</formula>
    </cfRule>
  </conditionalFormatting>
  <conditionalFormatting sqref="R84:R91">
    <cfRule type="cellIs" dxfId="7213" priority="521" operator="greaterThan">
      <formula>1</formula>
    </cfRule>
    <cfRule type="cellIs" dxfId="7212" priority="522" operator="lessThan">
      <formula>0.8</formula>
    </cfRule>
  </conditionalFormatting>
  <conditionalFormatting sqref="P84:P91">
    <cfRule type="cellIs" dxfId="7211" priority="520" operator="greaterThan">
      <formula>0</formula>
    </cfRule>
  </conditionalFormatting>
  <conditionalFormatting sqref="P84:P91">
    <cfRule type="cellIs" dxfId="7210" priority="514" operator="greaterThan">
      <formula>0</formula>
    </cfRule>
  </conditionalFormatting>
  <conditionalFormatting sqref="Q84:Q91">
    <cfRule type="cellIs" dxfId="7209" priority="519" operator="lessThan">
      <formula>0</formula>
    </cfRule>
  </conditionalFormatting>
  <conditionalFormatting sqref="R84:R91">
    <cfRule type="cellIs" dxfId="7208" priority="517" operator="lessThan">
      <formula>0.8</formula>
    </cfRule>
    <cfRule type="cellIs" dxfId="7207" priority="518" operator="greaterThan">
      <formula>1</formula>
    </cfRule>
  </conditionalFormatting>
  <conditionalFormatting sqref="R84:R91">
    <cfRule type="cellIs" dxfId="7206" priority="515" operator="greaterThan">
      <formula>1</formula>
    </cfRule>
    <cfRule type="cellIs" dxfId="7205" priority="516" operator="lessThan">
      <formula>0.8</formula>
    </cfRule>
  </conditionalFormatting>
  <conditionalFormatting sqref="P84:P91">
    <cfRule type="cellIs" dxfId="7204" priority="508" operator="greaterThan">
      <formula>0</formula>
    </cfRule>
  </conditionalFormatting>
  <conditionalFormatting sqref="Q84:Q91">
    <cfRule type="cellIs" dxfId="7203" priority="513" operator="lessThan">
      <formula>0</formula>
    </cfRule>
  </conditionalFormatting>
  <conditionalFormatting sqref="R84:R91">
    <cfRule type="cellIs" dxfId="7202" priority="511" operator="lessThan">
      <formula>0.8</formula>
    </cfRule>
    <cfRule type="cellIs" dxfId="7201" priority="512" operator="greaterThan">
      <formula>1</formula>
    </cfRule>
  </conditionalFormatting>
  <conditionalFormatting sqref="R84:R91">
    <cfRule type="cellIs" dxfId="7200" priority="509" operator="greaterThan">
      <formula>1</formula>
    </cfRule>
    <cfRule type="cellIs" dxfId="7199" priority="510" operator="lessThan">
      <formula>0.8</formula>
    </cfRule>
  </conditionalFormatting>
  <conditionalFormatting sqref="R84:R91">
    <cfRule type="cellIs" dxfId="7198" priority="505" operator="lessThan">
      <formula>0.8</formula>
    </cfRule>
    <cfRule type="cellIs" dxfId="7197" priority="506" operator="greaterThan">
      <formula>1</formula>
    </cfRule>
  </conditionalFormatting>
  <conditionalFormatting sqref="R84:R91">
    <cfRule type="cellIs" dxfId="7196" priority="503" operator="greaterThan">
      <formula>1</formula>
    </cfRule>
    <cfRule type="cellIs" dxfId="7195" priority="504" operator="lessThan">
      <formula>0.8</formula>
    </cfRule>
  </conditionalFormatting>
  <conditionalFormatting sqref="P84:P91">
    <cfRule type="cellIs" dxfId="7194" priority="502" operator="greaterThan">
      <formula>0</formula>
    </cfRule>
  </conditionalFormatting>
  <conditionalFormatting sqref="Q84:Q91">
    <cfRule type="cellIs" dxfId="7193" priority="507" operator="lessThan">
      <formula>0</formula>
    </cfRule>
  </conditionalFormatting>
  <conditionalFormatting sqref="P84:P91">
    <cfRule type="cellIs" dxfId="7192" priority="496" operator="greaterThan">
      <formula>0</formula>
    </cfRule>
  </conditionalFormatting>
  <conditionalFormatting sqref="Q84:Q91">
    <cfRule type="cellIs" dxfId="7191" priority="501" operator="lessThan">
      <formula>0</formula>
    </cfRule>
  </conditionalFormatting>
  <conditionalFormatting sqref="R84:R91">
    <cfRule type="cellIs" dxfId="7190" priority="499" operator="lessThan">
      <formula>0.8</formula>
    </cfRule>
    <cfRule type="cellIs" dxfId="7189" priority="500" operator="greaterThan">
      <formula>1</formula>
    </cfRule>
  </conditionalFormatting>
  <conditionalFormatting sqref="R84:R91">
    <cfRule type="cellIs" dxfId="7188" priority="497" operator="greaterThan">
      <formula>1</formula>
    </cfRule>
    <cfRule type="cellIs" dxfId="7187" priority="498" operator="lessThan">
      <formula>0.8</formula>
    </cfRule>
  </conditionalFormatting>
  <conditionalFormatting sqref="R84:R91">
    <cfRule type="cellIs" dxfId="7186" priority="493" operator="lessThan">
      <formula>0.8</formula>
    </cfRule>
    <cfRule type="cellIs" dxfId="7185" priority="494" operator="greaterThan">
      <formula>1</formula>
    </cfRule>
  </conditionalFormatting>
  <conditionalFormatting sqref="R84:R91">
    <cfRule type="cellIs" dxfId="7184" priority="491" operator="greaterThan">
      <formula>1</formula>
    </cfRule>
    <cfRule type="cellIs" dxfId="7183" priority="492" operator="lessThan">
      <formula>0.8</formula>
    </cfRule>
  </conditionalFormatting>
  <conditionalFormatting sqref="P84:P91">
    <cfRule type="cellIs" dxfId="7182" priority="490" operator="greaterThan">
      <formula>0</formula>
    </cfRule>
  </conditionalFormatting>
  <conditionalFormatting sqref="Q84:Q91">
    <cfRule type="cellIs" dxfId="7181" priority="495" operator="lessThan">
      <formula>0</formula>
    </cfRule>
  </conditionalFormatting>
  <conditionalFormatting sqref="R84:R91">
    <cfRule type="cellIs" dxfId="7180" priority="487" operator="lessThan">
      <formula>0.8</formula>
    </cfRule>
    <cfRule type="cellIs" dxfId="7179" priority="488" operator="greaterThan">
      <formula>1</formula>
    </cfRule>
  </conditionalFormatting>
  <conditionalFormatting sqref="R84:R91">
    <cfRule type="cellIs" dxfId="7178" priority="485" operator="greaterThan">
      <formula>1</formula>
    </cfRule>
    <cfRule type="cellIs" dxfId="7177" priority="486" operator="lessThan">
      <formula>0.8</formula>
    </cfRule>
  </conditionalFormatting>
  <conditionalFormatting sqref="P84:P91">
    <cfRule type="cellIs" dxfId="7176" priority="484" operator="greaterThan">
      <formula>0</formula>
    </cfRule>
  </conditionalFormatting>
  <conditionalFormatting sqref="Q84:Q91">
    <cfRule type="cellIs" dxfId="7175" priority="489" operator="lessThan">
      <formula>0</formula>
    </cfRule>
  </conditionalFormatting>
  <conditionalFormatting sqref="Q84:Q91">
    <cfRule type="cellIs" dxfId="7174" priority="483" operator="lessThan">
      <formula>0</formula>
    </cfRule>
  </conditionalFormatting>
  <conditionalFormatting sqref="R84:R91">
    <cfRule type="cellIs" dxfId="7173" priority="481" operator="lessThan">
      <formula>0.8</formula>
    </cfRule>
    <cfRule type="cellIs" dxfId="7172" priority="482" operator="greaterThan">
      <formula>1</formula>
    </cfRule>
  </conditionalFormatting>
  <conditionalFormatting sqref="R84:R91">
    <cfRule type="cellIs" dxfId="7171" priority="479" operator="greaterThan">
      <formula>1</formula>
    </cfRule>
    <cfRule type="cellIs" dxfId="7170" priority="480" operator="lessThan">
      <formula>0.8</formula>
    </cfRule>
  </conditionalFormatting>
  <conditionalFormatting sqref="P84:P91">
    <cfRule type="cellIs" dxfId="7169" priority="478" operator="greaterThan">
      <formula>0</formula>
    </cfRule>
  </conditionalFormatting>
  <conditionalFormatting sqref="Q84:Q91">
    <cfRule type="cellIs" dxfId="7168" priority="472" operator="lessThan">
      <formula>0</formula>
    </cfRule>
  </conditionalFormatting>
  <conditionalFormatting sqref="R84:R91">
    <cfRule type="cellIs" dxfId="7167" priority="476" operator="lessThan">
      <formula>0.8</formula>
    </cfRule>
    <cfRule type="cellIs" dxfId="7166" priority="477" operator="greaterThan">
      <formula>1</formula>
    </cfRule>
  </conditionalFormatting>
  <conditionalFormatting sqref="R84:R91">
    <cfRule type="cellIs" dxfId="7165" priority="474" operator="greaterThan">
      <formula>1</formula>
    </cfRule>
    <cfRule type="cellIs" dxfId="7164" priority="475" operator="lessThan">
      <formula>0.8</formula>
    </cfRule>
  </conditionalFormatting>
  <conditionalFormatting sqref="P84:P91">
    <cfRule type="cellIs" dxfId="7163" priority="473" operator="greaterThan">
      <formula>0</formula>
    </cfRule>
  </conditionalFormatting>
  <conditionalFormatting sqref="Q84:Q91">
    <cfRule type="cellIs" dxfId="7162" priority="471" operator="lessThan">
      <formula>0</formula>
    </cfRule>
  </conditionalFormatting>
  <conditionalFormatting sqref="R84:R91">
    <cfRule type="cellIs" dxfId="7161" priority="469" operator="lessThan">
      <formula>0.8</formula>
    </cfRule>
    <cfRule type="cellIs" dxfId="7160" priority="470" operator="greaterThan">
      <formula>1</formula>
    </cfRule>
  </conditionalFormatting>
  <conditionalFormatting sqref="R84:R91">
    <cfRule type="cellIs" dxfId="7159" priority="467" operator="greaterThan">
      <formula>1</formula>
    </cfRule>
    <cfRule type="cellIs" dxfId="7158" priority="468" operator="lessThan">
      <formula>0.8</formula>
    </cfRule>
  </conditionalFormatting>
  <conditionalFormatting sqref="P84:P91">
    <cfRule type="cellIs" dxfId="7157" priority="466" operator="greaterThan">
      <formula>0</formula>
    </cfRule>
  </conditionalFormatting>
  <conditionalFormatting sqref="Q84:Q91">
    <cfRule type="cellIs" dxfId="7156" priority="465" operator="lessThan">
      <formula>0</formula>
    </cfRule>
  </conditionalFormatting>
  <conditionalFormatting sqref="R84:R91">
    <cfRule type="cellIs" dxfId="7155" priority="463" operator="lessThan">
      <formula>0.8</formula>
    </cfRule>
    <cfRule type="cellIs" dxfId="7154" priority="464" operator="greaterThan">
      <formula>1</formula>
    </cfRule>
  </conditionalFormatting>
  <conditionalFormatting sqref="R84:R91">
    <cfRule type="cellIs" dxfId="7153" priority="461" operator="greaterThan">
      <formula>1</formula>
    </cfRule>
    <cfRule type="cellIs" dxfId="7152" priority="462" operator="lessThan">
      <formula>0.8</formula>
    </cfRule>
  </conditionalFormatting>
  <conditionalFormatting sqref="P84:P91">
    <cfRule type="cellIs" dxfId="7151" priority="460" operator="greaterThan">
      <formula>0</formula>
    </cfRule>
  </conditionalFormatting>
  <conditionalFormatting sqref="Q84:Q91">
    <cfRule type="cellIs" dxfId="7150" priority="459" operator="lessThan">
      <formula>0</formula>
    </cfRule>
  </conditionalFormatting>
  <conditionalFormatting sqref="R84:R91">
    <cfRule type="cellIs" dxfId="7149" priority="457" operator="lessThan">
      <formula>0.8</formula>
    </cfRule>
    <cfRule type="cellIs" dxfId="7148" priority="458" operator="greaterThan">
      <formula>1</formula>
    </cfRule>
  </conditionalFormatting>
  <conditionalFormatting sqref="R84:R91">
    <cfRule type="cellIs" dxfId="7147" priority="455" operator="greaterThan">
      <formula>1</formula>
    </cfRule>
    <cfRule type="cellIs" dxfId="7146" priority="456" operator="lessThan">
      <formula>0.8</formula>
    </cfRule>
  </conditionalFormatting>
  <conditionalFormatting sqref="P84:P91">
    <cfRule type="cellIs" dxfId="7145" priority="454" operator="greaterThan">
      <formula>0</formula>
    </cfRule>
  </conditionalFormatting>
  <conditionalFormatting sqref="Q84:Q91">
    <cfRule type="cellIs" dxfId="7144" priority="453" operator="lessThan">
      <formula>0</formula>
    </cfRule>
  </conditionalFormatting>
  <conditionalFormatting sqref="R84:R91">
    <cfRule type="cellIs" dxfId="7143" priority="451" operator="lessThan">
      <formula>0.8</formula>
    </cfRule>
    <cfRule type="cellIs" dxfId="7142" priority="452" operator="greaterThan">
      <formula>1</formula>
    </cfRule>
  </conditionalFormatting>
  <conditionalFormatting sqref="R84:R91">
    <cfRule type="cellIs" dxfId="7141" priority="449" operator="greaterThan">
      <formula>1</formula>
    </cfRule>
    <cfRule type="cellIs" dxfId="7140" priority="450" operator="lessThan">
      <formula>0.8</formula>
    </cfRule>
  </conditionalFormatting>
  <conditionalFormatting sqref="P84:P91">
    <cfRule type="cellIs" dxfId="7139" priority="448" operator="greaterThan">
      <formula>0</formula>
    </cfRule>
  </conditionalFormatting>
  <conditionalFormatting sqref="Q84:Q91">
    <cfRule type="cellIs" dxfId="7138" priority="447" operator="lessThan">
      <formula>0</formula>
    </cfRule>
  </conditionalFormatting>
  <conditionalFormatting sqref="R84:R91">
    <cfRule type="cellIs" dxfId="7137" priority="445" operator="lessThan">
      <formula>0.8</formula>
    </cfRule>
    <cfRule type="cellIs" dxfId="7136" priority="446" operator="greaterThan">
      <formula>1</formula>
    </cfRule>
  </conditionalFormatting>
  <conditionalFormatting sqref="R84:R91">
    <cfRule type="cellIs" dxfId="7135" priority="443" operator="greaterThan">
      <formula>1</formula>
    </cfRule>
    <cfRule type="cellIs" dxfId="7134" priority="444" operator="lessThan">
      <formula>0.8</formula>
    </cfRule>
  </conditionalFormatting>
  <conditionalFormatting sqref="P84:P91">
    <cfRule type="cellIs" dxfId="7133" priority="442" operator="greaterThan">
      <formula>0</formula>
    </cfRule>
  </conditionalFormatting>
  <conditionalFormatting sqref="P84:P91">
    <cfRule type="cellIs" dxfId="7132" priority="436" operator="greaterThan">
      <formula>0</formula>
    </cfRule>
  </conditionalFormatting>
  <conditionalFormatting sqref="Q84:Q91">
    <cfRule type="cellIs" dxfId="7131" priority="441" operator="lessThan">
      <formula>0</formula>
    </cfRule>
  </conditionalFormatting>
  <conditionalFormatting sqref="R84:R91">
    <cfRule type="cellIs" dxfId="7130" priority="439" operator="lessThan">
      <formula>0.8</formula>
    </cfRule>
    <cfRule type="cellIs" dxfId="7129" priority="440" operator="greaterThan">
      <formula>1</formula>
    </cfRule>
  </conditionalFormatting>
  <conditionalFormatting sqref="R84:R91">
    <cfRule type="cellIs" dxfId="7128" priority="437" operator="greaterThan">
      <formula>1</formula>
    </cfRule>
    <cfRule type="cellIs" dxfId="7127" priority="438" operator="lessThan">
      <formula>0.8</formula>
    </cfRule>
  </conditionalFormatting>
  <conditionalFormatting sqref="P84:P91">
    <cfRule type="cellIs" dxfId="7126" priority="430" operator="greaterThan">
      <formula>0</formula>
    </cfRule>
  </conditionalFormatting>
  <conditionalFormatting sqref="Q84:Q91">
    <cfRule type="cellIs" dxfId="7125" priority="435" operator="lessThan">
      <formula>0</formula>
    </cfRule>
  </conditionalFormatting>
  <conditionalFormatting sqref="R84:R91">
    <cfRule type="cellIs" dxfId="7124" priority="433" operator="lessThan">
      <formula>0.8</formula>
    </cfRule>
    <cfRule type="cellIs" dxfId="7123" priority="434" operator="greaterThan">
      <formula>1</formula>
    </cfRule>
  </conditionalFormatting>
  <conditionalFormatting sqref="R84:R91">
    <cfRule type="cellIs" dxfId="7122" priority="431" operator="greaterThan">
      <formula>1</formula>
    </cfRule>
    <cfRule type="cellIs" dxfId="7121" priority="432" operator="lessThan">
      <formula>0.8</formula>
    </cfRule>
  </conditionalFormatting>
  <conditionalFormatting sqref="R84:R91">
    <cfRule type="cellIs" dxfId="7120" priority="427" operator="lessThan">
      <formula>0.8</formula>
    </cfRule>
    <cfRule type="cellIs" dxfId="7119" priority="428" operator="greaterThan">
      <formula>1</formula>
    </cfRule>
  </conditionalFormatting>
  <conditionalFormatting sqref="R84:R91">
    <cfRule type="cellIs" dxfId="7118" priority="425" operator="greaterThan">
      <formula>1</formula>
    </cfRule>
    <cfRule type="cellIs" dxfId="7117" priority="426" operator="lessThan">
      <formula>0.8</formula>
    </cfRule>
  </conditionalFormatting>
  <conditionalFormatting sqref="P84:P91">
    <cfRule type="cellIs" dxfId="7116" priority="424" operator="greaterThan">
      <formula>0</formula>
    </cfRule>
  </conditionalFormatting>
  <conditionalFormatting sqref="Q84:Q91">
    <cfRule type="cellIs" dxfId="7115" priority="429" operator="lessThan">
      <formula>0</formula>
    </cfRule>
  </conditionalFormatting>
  <conditionalFormatting sqref="Q84:Q91">
    <cfRule type="cellIs" dxfId="7114" priority="418" operator="lessThan">
      <formula>0</formula>
    </cfRule>
  </conditionalFormatting>
  <conditionalFormatting sqref="P84:P91">
    <cfRule type="cellIs" dxfId="7113" priority="419" operator="greaterThan">
      <formula>0</formula>
    </cfRule>
  </conditionalFormatting>
  <conditionalFormatting sqref="R84:R91">
    <cfRule type="cellIs" dxfId="7112" priority="422" operator="lessThan">
      <formula>0.8</formula>
    </cfRule>
    <cfRule type="cellIs" dxfId="7111" priority="423" operator="greaterThan">
      <formula>1</formula>
    </cfRule>
  </conditionalFormatting>
  <conditionalFormatting sqref="R84:R91">
    <cfRule type="cellIs" dxfId="7110" priority="420" operator="greaterThan">
      <formula>1</formula>
    </cfRule>
    <cfRule type="cellIs" dxfId="7109" priority="421" operator="lessThan">
      <formula>0.8</formula>
    </cfRule>
  </conditionalFormatting>
  <conditionalFormatting sqref="Q84:Q91">
    <cfRule type="cellIs" dxfId="7108" priority="412" operator="lessThan">
      <formula>0</formula>
    </cfRule>
  </conditionalFormatting>
  <conditionalFormatting sqref="R84:R91">
    <cfRule type="cellIs" dxfId="7107" priority="416" operator="lessThan">
      <formula>0.8</formula>
    </cfRule>
    <cfRule type="cellIs" dxfId="7106" priority="417" operator="greaterThan">
      <formula>1</formula>
    </cfRule>
  </conditionalFormatting>
  <conditionalFormatting sqref="R84:R91">
    <cfRule type="cellIs" dxfId="7105" priority="414" operator="greaterThan">
      <formula>1</formula>
    </cfRule>
    <cfRule type="cellIs" dxfId="7104" priority="415" operator="lessThan">
      <formula>0.8</formula>
    </cfRule>
  </conditionalFormatting>
  <conditionalFormatting sqref="P84:P91">
    <cfRule type="cellIs" dxfId="7103" priority="413" operator="greaterThan">
      <formula>0</formula>
    </cfRule>
  </conditionalFormatting>
  <conditionalFormatting sqref="Q84:Q91">
    <cfRule type="cellIs" dxfId="7102" priority="411" operator="lessThan">
      <formula>0</formula>
    </cfRule>
  </conditionalFormatting>
  <conditionalFormatting sqref="R84:R91">
    <cfRule type="cellIs" dxfId="7101" priority="409" operator="lessThan">
      <formula>0.8</formula>
    </cfRule>
    <cfRule type="cellIs" dxfId="7100" priority="410" operator="greaterThan">
      <formula>1</formula>
    </cfRule>
  </conditionalFormatting>
  <conditionalFormatting sqref="R84:R91">
    <cfRule type="cellIs" dxfId="7099" priority="407" operator="greaterThan">
      <formula>1</formula>
    </cfRule>
    <cfRule type="cellIs" dxfId="7098" priority="408" operator="lessThan">
      <formula>0.8</formula>
    </cfRule>
  </conditionalFormatting>
  <conditionalFormatting sqref="P84:P91">
    <cfRule type="cellIs" dxfId="7097" priority="406" operator="greaterThan">
      <formula>0</formula>
    </cfRule>
  </conditionalFormatting>
  <conditionalFormatting sqref="Q84:Q91">
    <cfRule type="cellIs" dxfId="7096" priority="405" operator="lessThan">
      <formula>0</formula>
    </cfRule>
  </conditionalFormatting>
  <conditionalFormatting sqref="R84:R91">
    <cfRule type="cellIs" dxfId="7095" priority="403" operator="lessThan">
      <formula>0.8</formula>
    </cfRule>
    <cfRule type="cellIs" dxfId="7094" priority="404" operator="greaterThan">
      <formula>1</formula>
    </cfRule>
  </conditionalFormatting>
  <conditionalFormatting sqref="R84:R91">
    <cfRule type="cellIs" dxfId="7093" priority="401" operator="greaterThan">
      <formula>1</formula>
    </cfRule>
    <cfRule type="cellIs" dxfId="7092" priority="402" operator="lessThan">
      <formula>0.8</formula>
    </cfRule>
  </conditionalFormatting>
  <conditionalFormatting sqref="P84:P91">
    <cfRule type="cellIs" dxfId="7091" priority="400" operator="greaterThan">
      <formula>0</formula>
    </cfRule>
  </conditionalFormatting>
  <conditionalFormatting sqref="Q84:Q91">
    <cfRule type="cellIs" dxfId="7090" priority="399" operator="lessThan">
      <formula>0</formula>
    </cfRule>
  </conditionalFormatting>
  <conditionalFormatting sqref="R84:R91">
    <cfRule type="cellIs" dxfId="7089" priority="397" operator="lessThan">
      <formula>0.8</formula>
    </cfRule>
    <cfRule type="cellIs" dxfId="7088" priority="398" operator="greaterThan">
      <formula>1</formula>
    </cfRule>
  </conditionalFormatting>
  <conditionalFormatting sqref="R84:R91">
    <cfRule type="cellIs" dxfId="7087" priority="395" operator="greaterThan">
      <formula>1</formula>
    </cfRule>
    <cfRule type="cellIs" dxfId="7086" priority="396" operator="lessThan">
      <formula>0.8</formula>
    </cfRule>
  </conditionalFormatting>
  <conditionalFormatting sqref="P84:P91">
    <cfRule type="cellIs" dxfId="7085" priority="394" operator="greaterThan">
      <formula>0</formula>
    </cfRule>
  </conditionalFormatting>
  <conditionalFormatting sqref="Q84:Q91">
    <cfRule type="cellIs" dxfId="7084" priority="393" operator="lessThan">
      <formula>0</formula>
    </cfRule>
  </conditionalFormatting>
  <conditionalFormatting sqref="R84:R91">
    <cfRule type="cellIs" dxfId="7083" priority="391" operator="lessThan">
      <formula>0.8</formula>
    </cfRule>
    <cfRule type="cellIs" dxfId="7082" priority="392" operator="greaterThan">
      <formula>1</formula>
    </cfRule>
  </conditionalFormatting>
  <conditionalFormatting sqref="R84:R91">
    <cfRule type="cellIs" dxfId="7081" priority="389" operator="greaterThan">
      <formula>1</formula>
    </cfRule>
    <cfRule type="cellIs" dxfId="7080" priority="390" operator="lessThan">
      <formula>0.8</formula>
    </cfRule>
  </conditionalFormatting>
  <conditionalFormatting sqref="P84:P91">
    <cfRule type="cellIs" dxfId="7079" priority="388" operator="greaterThan">
      <formula>0</formula>
    </cfRule>
  </conditionalFormatting>
  <conditionalFormatting sqref="Q84:Q91">
    <cfRule type="cellIs" dxfId="7078" priority="387" operator="lessThan">
      <formula>0</formula>
    </cfRule>
  </conditionalFormatting>
  <conditionalFormatting sqref="R84:R91">
    <cfRule type="cellIs" dxfId="7077" priority="385" operator="lessThan">
      <formula>0.8</formula>
    </cfRule>
    <cfRule type="cellIs" dxfId="7076" priority="386" operator="greaterThan">
      <formula>1</formula>
    </cfRule>
  </conditionalFormatting>
  <conditionalFormatting sqref="R84:R91">
    <cfRule type="cellIs" dxfId="7075" priority="383" operator="greaterThan">
      <formula>1</formula>
    </cfRule>
    <cfRule type="cellIs" dxfId="7074" priority="384" operator="lessThan">
      <formula>0.8</formula>
    </cfRule>
  </conditionalFormatting>
  <conditionalFormatting sqref="P84:P91">
    <cfRule type="cellIs" dxfId="7073" priority="382" operator="greaterThan">
      <formula>0</formula>
    </cfRule>
  </conditionalFormatting>
  <conditionalFormatting sqref="Q84:Q91">
    <cfRule type="cellIs" dxfId="7072" priority="381" operator="lessThan">
      <formula>0</formula>
    </cfRule>
  </conditionalFormatting>
  <conditionalFormatting sqref="R84:R91">
    <cfRule type="cellIs" dxfId="7071" priority="379" operator="lessThan">
      <formula>0.8</formula>
    </cfRule>
    <cfRule type="cellIs" dxfId="7070" priority="380" operator="greaterThan">
      <formula>1</formula>
    </cfRule>
  </conditionalFormatting>
  <conditionalFormatting sqref="R84:R91">
    <cfRule type="cellIs" dxfId="7069" priority="377" operator="greaterThan">
      <formula>1</formula>
    </cfRule>
    <cfRule type="cellIs" dxfId="7068" priority="378" operator="lessThan">
      <formula>0.8</formula>
    </cfRule>
  </conditionalFormatting>
  <conditionalFormatting sqref="P84:P91">
    <cfRule type="cellIs" dxfId="7067" priority="376" operator="greaterThan">
      <formula>0</formula>
    </cfRule>
  </conditionalFormatting>
  <conditionalFormatting sqref="Q84:Q91">
    <cfRule type="cellIs" dxfId="7066" priority="375" operator="lessThan">
      <formula>0</formula>
    </cfRule>
  </conditionalFormatting>
  <conditionalFormatting sqref="R84:R91">
    <cfRule type="cellIs" dxfId="7065" priority="373" operator="lessThan">
      <formula>0.8</formula>
    </cfRule>
    <cfRule type="cellIs" dxfId="7064" priority="374" operator="greaterThan">
      <formula>1</formula>
    </cfRule>
  </conditionalFormatting>
  <conditionalFormatting sqref="R84:R91">
    <cfRule type="cellIs" dxfId="7063" priority="371" operator="greaterThan">
      <formula>1</formula>
    </cfRule>
    <cfRule type="cellIs" dxfId="7062" priority="372" operator="lessThan">
      <formula>0.8</formula>
    </cfRule>
  </conditionalFormatting>
  <conditionalFormatting sqref="P84:P91">
    <cfRule type="cellIs" dxfId="7061" priority="370" operator="greaterThan">
      <formula>0</formula>
    </cfRule>
  </conditionalFormatting>
  <conditionalFormatting sqref="P84:P91">
    <cfRule type="cellIs" dxfId="7060" priority="364" operator="greaterThan">
      <formula>0</formula>
    </cfRule>
  </conditionalFormatting>
  <conditionalFormatting sqref="Q84:Q91">
    <cfRule type="cellIs" dxfId="7059" priority="369" operator="lessThan">
      <formula>0</formula>
    </cfRule>
  </conditionalFormatting>
  <conditionalFormatting sqref="R84:R91">
    <cfRule type="cellIs" dxfId="7058" priority="367" operator="lessThan">
      <formula>0.8</formula>
    </cfRule>
    <cfRule type="cellIs" dxfId="7057" priority="368" operator="greaterThan">
      <formula>1</formula>
    </cfRule>
  </conditionalFormatting>
  <conditionalFormatting sqref="R84:R91">
    <cfRule type="cellIs" dxfId="7056" priority="365" operator="greaterThan">
      <formula>1</formula>
    </cfRule>
    <cfRule type="cellIs" dxfId="7055" priority="366" operator="lessThan">
      <formula>0.8</formula>
    </cfRule>
  </conditionalFormatting>
  <conditionalFormatting sqref="P84:P91">
    <cfRule type="cellIs" dxfId="7054" priority="358" operator="greaterThan">
      <formula>0</formula>
    </cfRule>
  </conditionalFormatting>
  <conditionalFormatting sqref="Q84:Q91">
    <cfRule type="cellIs" dxfId="7053" priority="363" operator="lessThan">
      <formula>0</formula>
    </cfRule>
  </conditionalFormatting>
  <conditionalFormatting sqref="R84:R91">
    <cfRule type="cellIs" dxfId="7052" priority="361" operator="lessThan">
      <formula>0.8</formula>
    </cfRule>
    <cfRule type="cellIs" dxfId="7051" priority="362" operator="greaterThan">
      <formula>1</formula>
    </cfRule>
  </conditionalFormatting>
  <conditionalFormatting sqref="R84:R91">
    <cfRule type="cellIs" dxfId="7050" priority="359" operator="greaterThan">
      <formula>1</formula>
    </cfRule>
    <cfRule type="cellIs" dxfId="7049" priority="360" operator="lessThan">
      <formula>0.8</formula>
    </cfRule>
  </conditionalFormatting>
  <conditionalFormatting sqref="R84:R91">
    <cfRule type="cellIs" dxfId="7048" priority="355" operator="lessThan">
      <formula>0.8</formula>
    </cfRule>
    <cfRule type="cellIs" dxfId="7047" priority="356" operator="greaterThan">
      <formula>1</formula>
    </cfRule>
  </conditionalFormatting>
  <conditionalFormatting sqref="R84:R91">
    <cfRule type="cellIs" dxfId="7046" priority="353" operator="greaterThan">
      <formula>1</formula>
    </cfRule>
    <cfRule type="cellIs" dxfId="7045" priority="354" operator="lessThan">
      <formula>0.8</formula>
    </cfRule>
  </conditionalFormatting>
  <conditionalFormatting sqref="P84:P91">
    <cfRule type="cellIs" dxfId="7044" priority="352" operator="greaterThan">
      <formula>0</formula>
    </cfRule>
  </conditionalFormatting>
  <conditionalFormatting sqref="Q84:Q91">
    <cfRule type="cellIs" dxfId="7043" priority="357" operator="lessThan">
      <formula>0</formula>
    </cfRule>
  </conditionalFormatting>
  <conditionalFormatting sqref="Q84:Q91">
    <cfRule type="cellIs" dxfId="7042" priority="351" operator="lessThan">
      <formula>0</formula>
    </cfRule>
  </conditionalFormatting>
  <conditionalFormatting sqref="R84:R91">
    <cfRule type="cellIs" dxfId="7041" priority="349" operator="lessThan">
      <formula>0.8</formula>
    </cfRule>
    <cfRule type="cellIs" dxfId="7040" priority="350" operator="greaterThan">
      <formula>1</formula>
    </cfRule>
  </conditionalFormatting>
  <conditionalFormatting sqref="R84:R91">
    <cfRule type="cellIs" dxfId="7039" priority="347" operator="greaterThan">
      <formula>1</formula>
    </cfRule>
    <cfRule type="cellIs" dxfId="7038" priority="348" operator="lessThan">
      <formula>0.8</formula>
    </cfRule>
  </conditionalFormatting>
  <conditionalFormatting sqref="P84:P91">
    <cfRule type="cellIs" dxfId="7037" priority="346" operator="greaterThan">
      <formula>0</formula>
    </cfRule>
  </conditionalFormatting>
  <conditionalFormatting sqref="P84:P91">
    <cfRule type="cellIs" dxfId="7036" priority="340" operator="greaterThan">
      <formula>0</formula>
    </cfRule>
  </conditionalFormatting>
  <conditionalFormatting sqref="Q84:Q91">
    <cfRule type="cellIs" dxfId="7035" priority="345" operator="lessThan">
      <formula>0</formula>
    </cfRule>
  </conditionalFormatting>
  <conditionalFormatting sqref="R84:R91">
    <cfRule type="cellIs" dxfId="7034" priority="343" operator="lessThan">
      <formula>0.8</formula>
    </cfRule>
    <cfRule type="cellIs" dxfId="7033" priority="344" operator="greaterThan">
      <formula>1</formula>
    </cfRule>
  </conditionalFormatting>
  <conditionalFormatting sqref="R84:R91">
    <cfRule type="cellIs" dxfId="7032" priority="341" operator="greaterThan">
      <formula>1</formula>
    </cfRule>
    <cfRule type="cellIs" dxfId="7031" priority="342" operator="lessThan">
      <formula>0.8</formula>
    </cfRule>
  </conditionalFormatting>
  <conditionalFormatting sqref="P84:P91">
    <cfRule type="cellIs" dxfId="7030" priority="334" operator="greaterThan">
      <formula>0</formula>
    </cfRule>
  </conditionalFormatting>
  <conditionalFormatting sqref="Q84:Q91">
    <cfRule type="cellIs" dxfId="7029" priority="339" operator="lessThan">
      <formula>0</formula>
    </cfRule>
  </conditionalFormatting>
  <conditionalFormatting sqref="R84:R91">
    <cfRule type="cellIs" dxfId="7028" priority="337" operator="lessThan">
      <formula>0.8</formula>
    </cfRule>
    <cfRule type="cellIs" dxfId="7027" priority="338" operator="greaterThan">
      <formula>1</formula>
    </cfRule>
  </conditionalFormatting>
  <conditionalFormatting sqref="R84:R91">
    <cfRule type="cellIs" dxfId="7026" priority="335" operator="greaterThan">
      <formula>1</formula>
    </cfRule>
    <cfRule type="cellIs" dxfId="7025" priority="336" operator="lessThan">
      <formula>0.8</formula>
    </cfRule>
  </conditionalFormatting>
  <conditionalFormatting sqref="R84:R91">
    <cfRule type="cellIs" dxfId="7024" priority="331" operator="lessThan">
      <formula>0.8</formula>
    </cfRule>
    <cfRule type="cellIs" dxfId="7023" priority="332" operator="greaterThan">
      <formula>1</formula>
    </cfRule>
  </conditionalFormatting>
  <conditionalFormatting sqref="R84:R91">
    <cfRule type="cellIs" dxfId="7022" priority="329" operator="greaterThan">
      <formula>1</formula>
    </cfRule>
    <cfRule type="cellIs" dxfId="7021" priority="330" operator="lessThan">
      <formula>0.8</formula>
    </cfRule>
  </conditionalFormatting>
  <conditionalFormatting sqref="P84:P91">
    <cfRule type="cellIs" dxfId="7020" priority="328" operator="greaterThan">
      <formula>0</formula>
    </cfRule>
  </conditionalFormatting>
  <conditionalFormatting sqref="Q84:Q91">
    <cfRule type="cellIs" dxfId="7019" priority="333" operator="lessThan">
      <formula>0</formula>
    </cfRule>
  </conditionalFormatting>
  <conditionalFormatting sqref="P84:P91">
    <cfRule type="cellIs" dxfId="7018" priority="322" operator="greaterThan">
      <formula>0</formula>
    </cfRule>
  </conditionalFormatting>
  <conditionalFormatting sqref="Q84:Q91">
    <cfRule type="cellIs" dxfId="7017" priority="327" operator="lessThan">
      <formula>0</formula>
    </cfRule>
  </conditionalFormatting>
  <conditionalFormatting sqref="R84:R91">
    <cfRule type="cellIs" dxfId="7016" priority="325" operator="lessThan">
      <formula>0.8</formula>
    </cfRule>
    <cfRule type="cellIs" dxfId="7015" priority="326" operator="greaterThan">
      <formula>1</formula>
    </cfRule>
  </conditionalFormatting>
  <conditionalFormatting sqref="R84:R91">
    <cfRule type="cellIs" dxfId="7014" priority="323" operator="greaterThan">
      <formula>1</formula>
    </cfRule>
    <cfRule type="cellIs" dxfId="7013" priority="324" operator="lessThan">
      <formula>0.8</formula>
    </cfRule>
  </conditionalFormatting>
  <conditionalFormatting sqref="R84:R91">
    <cfRule type="cellIs" dxfId="7012" priority="319" operator="lessThan">
      <formula>0.8</formula>
    </cfRule>
    <cfRule type="cellIs" dxfId="7011" priority="320" operator="greaterThan">
      <formula>1</formula>
    </cfRule>
  </conditionalFormatting>
  <conditionalFormatting sqref="R84:R91">
    <cfRule type="cellIs" dxfId="7010" priority="317" operator="greaterThan">
      <formula>1</formula>
    </cfRule>
    <cfRule type="cellIs" dxfId="7009" priority="318" operator="lessThan">
      <formula>0.8</formula>
    </cfRule>
  </conditionalFormatting>
  <conditionalFormatting sqref="P84:P91">
    <cfRule type="cellIs" dxfId="7008" priority="316" operator="greaterThan">
      <formula>0</formula>
    </cfRule>
  </conditionalFormatting>
  <conditionalFormatting sqref="Q84:Q91">
    <cfRule type="cellIs" dxfId="7007" priority="321" operator="lessThan">
      <formula>0</formula>
    </cfRule>
  </conditionalFormatting>
  <conditionalFormatting sqref="R84:R91">
    <cfRule type="cellIs" dxfId="7006" priority="313" operator="lessThan">
      <formula>0.8</formula>
    </cfRule>
    <cfRule type="cellIs" dxfId="7005" priority="314" operator="greaterThan">
      <formula>1</formula>
    </cfRule>
  </conditionalFormatting>
  <conditionalFormatting sqref="R84:R91">
    <cfRule type="cellIs" dxfId="7004" priority="311" operator="greaterThan">
      <formula>1</formula>
    </cfRule>
    <cfRule type="cellIs" dxfId="7003" priority="312" operator="lessThan">
      <formula>0.8</formula>
    </cfRule>
  </conditionalFormatting>
  <conditionalFormatting sqref="P84:P91">
    <cfRule type="cellIs" dxfId="7002" priority="310" operator="greaterThan">
      <formula>0</formula>
    </cfRule>
  </conditionalFormatting>
  <conditionalFormatting sqref="Q84:Q91">
    <cfRule type="cellIs" dxfId="7001" priority="315" operator="lessThan">
      <formula>0</formula>
    </cfRule>
  </conditionalFormatting>
  <conditionalFormatting sqref="Q84:Q91">
    <cfRule type="cellIs" dxfId="7000" priority="309" operator="lessThan">
      <formula>0</formula>
    </cfRule>
  </conditionalFormatting>
  <conditionalFormatting sqref="R84:R91">
    <cfRule type="cellIs" dxfId="6999" priority="307" operator="lessThan">
      <formula>0.8</formula>
    </cfRule>
    <cfRule type="cellIs" dxfId="6998" priority="308" operator="greaterThan">
      <formula>1</formula>
    </cfRule>
  </conditionalFormatting>
  <conditionalFormatting sqref="R84:R91">
    <cfRule type="cellIs" dxfId="6997" priority="305" operator="greaterThan">
      <formula>1</formula>
    </cfRule>
    <cfRule type="cellIs" dxfId="6996" priority="306" operator="lessThan">
      <formula>0.8</formula>
    </cfRule>
  </conditionalFormatting>
  <conditionalFormatting sqref="P84:P91">
    <cfRule type="cellIs" dxfId="6995" priority="304" operator="greaterThan">
      <formula>0</formula>
    </cfRule>
  </conditionalFormatting>
  <conditionalFormatting sqref="Q84:Q91">
    <cfRule type="cellIs" dxfId="6994" priority="298" operator="lessThan">
      <formula>0</formula>
    </cfRule>
  </conditionalFormatting>
  <conditionalFormatting sqref="R84:R91">
    <cfRule type="cellIs" dxfId="6993" priority="302" operator="lessThan">
      <formula>0.8</formula>
    </cfRule>
    <cfRule type="cellIs" dxfId="6992" priority="303" operator="greaterThan">
      <formula>1</formula>
    </cfRule>
  </conditionalFormatting>
  <conditionalFormatting sqref="R84:R91">
    <cfRule type="cellIs" dxfId="6991" priority="300" operator="greaterThan">
      <formula>1</formula>
    </cfRule>
    <cfRule type="cellIs" dxfId="6990" priority="301" operator="lessThan">
      <formula>0.8</formula>
    </cfRule>
  </conditionalFormatting>
  <conditionalFormatting sqref="P84:P91">
    <cfRule type="cellIs" dxfId="6989" priority="299" operator="greaterThan">
      <formula>0</formula>
    </cfRule>
  </conditionalFormatting>
  <conditionalFormatting sqref="Q84:Q91">
    <cfRule type="cellIs" dxfId="6988" priority="297" operator="lessThan">
      <formula>0</formula>
    </cfRule>
  </conditionalFormatting>
  <conditionalFormatting sqref="R84:R91">
    <cfRule type="cellIs" dxfId="6987" priority="295" operator="lessThan">
      <formula>0.8</formula>
    </cfRule>
    <cfRule type="cellIs" dxfId="6986" priority="296" operator="greaterThan">
      <formula>1</formula>
    </cfRule>
  </conditionalFormatting>
  <conditionalFormatting sqref="R84:R91">
    <cfRule type="cellIs" dxfId="6985" priority="293" operator="greaterThan">
      <formula>1</formula>
    </cfRule>
    <cfRule type="cellIs" dxfId="6984" priority="294" operator="lessThan">
      <formula>0.8</formula>
    </cfRule>
  </conditionalFormatting>
  <conditionalFormatting sqref="P84:P91">
    <cfRule type="cellIs" dxfId="6983" priority="292" operator="greaterThan">
      <formula>0</formula>
    </cfRule>
  </conditionalFormatting>
  <conditionalFormatting sqref="Q84:Q91">
    <cfRule type="cellIs" dxfId="6982" priority="291" operator="lessThan">
      <formula>0</formula>
    </cfRule>
  </conditionalFormatting>
  <conditionalFormatting sqref="R84:R91">
    <cfRule type="cellIs" dxfId="6981" priority="289" operator="lessThan">
      <formula>0.8</formula>
    </cfRule>
    <cfRule type="cellIs" dxfId="6980" priority="290" operator="greaterThan">
      <formula>1</formula>
    </cfRule>
  </conditionalFormatting>
  <conditionalFormatting sqref="R84:R91">
    <cfRule type="cellIs" dxfId="6979" priority="287" operator="greaterThan">
      <formula>1</formula>
    </cfRule>
    <cfRule type="cellIs" dxfId="6978" priority="288" operator="lessThan">
      <formula>0.8</formula>
    </cfRule>
  </conditionalFormatting>
  <conditionalFormatting sqref="P84:P91">
    <cfRule type="cellIs" dxfId="6977" priority="286" operator="greaterThan">
      <formula>0</formula>
    </cfRule>
  </conditionalFormatting>
  <conditionalFormatting sqref="Q84:Q91">
    <cfRule type="cellIs" dxfId="6976" priority="285" operator="lessThan">
      <formula>0</formula>
    </cfRule>
  </conditionalFormatting>
  <conditionalFormatting sqref="R84:R91">
    <cfRule type="cellIs" dxfId="6975" priority="283" operator="lessThan">
      <formula>0.8</formula>
    </cfRule>
    <cfRule type="cellIs" dxfId="6974" priority="284" operator="greaterThan">
      <formula>1</formula>
    </cfRule>
  </conditionalFormatting>
  <conditionalFormatting sqref="R84:R91">
    <cfRule type="cellIs" dxfId="6973" priority="281" operator="greaterThan">
      <formula>1</formula>
    </cfRule>
    <cfRule type="cellIs" dxfId="6972" priority="282" operator="lessThan">
      <formula>0.8</formula>
    </cfRule>
  </conditionalFormatting>
  <conditionalFormatting sqref="P84:P91">
    <cfRule type="cellIs" dxfId="6971" priority="280" operator="greaterThan">
      <formula>0</formula>
    </cfRule>
  </conditionalFormatting>
  <conditionalFormatting sqref="Q84:Q91">
    <cfRule type="cellIs" dxfId="6970" priority="279" operator="lessThan">
      <formula>0</formula>
    </cfRule>
  </conditionalFormatting>
  <conditionalFormatting sqref="R84:R91">
    <cfRule type="cellIs" dxfId="6969" priority="277" operator="lessThan">
      <formula>0.8</formula>
    </cfRule>
    <cfRule type="cellIs" dxfId="6968" priority="278" operator="greaterThan">
      <formula>1</formula>
    </cfRule>
  </conditionalFormatting>
  <conditionalFormatting sqref="R84:R91">
    <cfRule type="cellIs" dxfId="6967" priority="275" operator="greaterThan">
      <formula>1</formula>
    </cfRule>
    <cfRule type="cellIs" dxfId="6966" priority="276" operator="lessThan">
      <formula>0.8</formula>
    </cfRule>
  </conditionalFormatting>
  <conditionalFormatting sqref="P84:P91">
    <cfRule type="cellIs" dxfId="6965" priority="274" operator="greaterThan">
      <formula>0</formula>
    </cfRule>
  </conditionalFormatting>
  <conditionalFormatting sqref="Q84:Q91">
    <cfRule type="cellIs" dxfId="6964" priority="273" operator="lessThan">
      <formula>0</formula>
    </cfRule>
  </conditionalFormatting>
  <conditionalFormatting sqref="R84:R91">
    <cfRule type="cellIs" dxfId="6963" priority="271" operator="lessThan">
      <formula>0.8</formula>
    </cfRule>
    <cfRule type="cellIs" dxfId="6962" priority="272" operator="greaterThan">
      <formula>1</formula>
    </cfRule>
  </conditionalFormatting>
  <conditionalFormatting sqref="R84:R91">
    <cfRule type="cellIs" dxfId="6961" priority="269" operator="greaterThan">
      <formula>1</formula>
    </cfRule>
    <cfRule type="cellIs" dxfId="6960" priority="270" operator="lessThan">
      <formula>0.8</formula>
    </cfRule>
  </conditionalFormatting>
  <conditionalFormatting sqref="P84:P91">
    <cfRule type="cellIs" dxfId="6959" priority="268" operator="greaterThan">
      <formula>0</formula>
    </cfRule>
  </conditionalFormatting>
  <conditionalFormatting sqref="P84:P91">
    <cfRule type="cellIs" dxfId="6958" priority="262" operator="greaterThan">
      <formula>0</formula>
    </cfRule>
  </conditionalFormatting>
  <conditionalFormatting sqref="Q84:Q91">
    <cfRule type="cellIs" dxfId="6957" priority="267" operator="lessThan">
      <formula>0</formula>
    </cfRule>
  </conditionalFormatting>
  <conditionalFormatting sqref="R84:R91">
    <cfRule type="cellIs" dxfId="6956" priority="265" operator="lessThan">
      <formula>0.8</formula>
    </cfRule>
    <cfRule type="cellIs" dxfId="6955" priority="266" operator="greaterThan">
      <formula>1</formula>
    </cfRule>
  </conditionalFormatting>
  <conditionalFormatting sqref="R84:R91">
    <cfRule type="cellIs" dxfId="6954" priority="263" operator="greaterThan">
      <formula>1</formula>
    </cfRule>
    <cfRule type="cellIs" dxfId="6953" priority="264" operator="lessThan">
      <formula>0.8</formula>
    </cfRule>
  </conditionalFormatting>
  <conditionalFormatting sqref="P84:P91">
    <cfRule type="cellIs" dxfId="6952" priority="256" operator="greaterThan">
      <formula>0</formula>
    </cfRule>
  </conditionalFormatting>
  <conditionalFormatting sqref="Q84:Q91">
    <cfRule type="cellIs" dxfId="6951" priority="261" operator="lessThan">
      <formula>0</formula>
    </cfRule>
  </conditionalFormatting>
  <conditionalFormatting sqref="R84:R91">
    <cfRule type="cellIs" dxfId="6950" priority="259" operator="lessThan">
      <formula>0.8</formula>
    </cfRule>
    <cfRule type="cellIs" dxfId="6949" priority="260" operator="greaterThan">
      <formula>1</formula>
    </cfRule>
  </conditionalFormatting>
  <conditionalFormatting sqref="R84:R91">
    <cfRule type="cellIs" dxfId="6948" priority="257" operator="greaterThan">
      <formula>1</formula>
    </cfRule>
    <cfRule type="cellIs" dxfId="6947" priority="258" operator="lessThan">
      <formula>0.8</formula>
    </cfRule>
  </conditionalFormatting>
  <conditionalFormatting sqref="R84:R91">
    <cfRule type="cellIs" dxfId="6946" priority="253" operator="lessThan">
      <formula>0.8</formula>
    </cfRule>
    <cfRule type="cellIs" dxfId="6945" priority="254" operator="greaterThan">
      <formula>1</formula>
    </cfRule>
  </conditionalFormatting>
  <conditionalFormatting sqref="R84:R91">
    <cfRule type="cellIs" dxfId="6944" priority="251" operator="greaterThan">
      <formula>1</formula>
    </cfRule>
    <cfRule type="cellIs" dxfId="6943" priority="252" operator="lessThan">
      <formula>0.8</formula>
    </cfRule>
  </conditionalFormatting>
  <conditionalFormatting sqref="P84:P91">
    <cfRule type="cellIs" dxfId="6942" priority="250" operator="greaterThan">
      <formula>0</formula>
    </cfRule>
  </conditionalFormatting>
  <conditionalFormatting sqref="Q84:Q91">
    <cfRule type="cellIs" dxfId="6941" priority="255" operator="lessThan">
      <formula>0</formula>
    </cfRule>
  </conditionalFormatting>
  <conditionalFormatting sqref="Q84:Q91">
    <cfRule type="cellIs" dxfId="6940" priority="249" operator="lessThan">
      <formula>0</formula>
    </cfRule>
  </conditionalFormatting>
  <conditionalFormatting sqref="R84:R91">
    <cfRule type="cellIs" dxfId="6939" priority="247" operator="lessThan">
      <formula>0.8</formula>
    </cfRule>
    <cfRule type="cellIs" dxfId="6938" priority="248" operator="greaterThan">
      <formula>1</formula>
    </cfRule>
  </conditionalFormatting>
  <conditionalFormatting sqref="R84:R91">
    <cfRule type="cellIs" dxfId="6937" priority="245" operator="greaterThan">
      <formula>1</formula>
    </cfRule>
    <cfRule type="cellIs" dxfId="6936" priority="246" operator="lessThan">
      <formula>0.8</formula>
    </cfRule>
  </conditionalFormatting>
  <conditionalFormatting sqref="P84:P91">
    <cfRule type="cellIs" dxfId="6935" priority="244" operator="greaterThan">
      <formula>0</formula>
    </cfRule>
  </conditionalFormatting>
  <conditionalFormatting sqref="Q84:Q91">
    <cfRule type="cellIs" dxfId="6934" priority="243" operator="lessThan">
      <formula>0</formula>
    </cfRule>
  </conditionalFormatting>
  <conditionalFormatting sqref="R84:R91">
    <cfRule type="cellIs" dxfId="6933" priority="241" operator="lessThan">
      <formula>0.8</formula>
    </cfRule>
    <cfRule type="cellIs" dxfId="6932" priority="242" operator="greaterThan">
      <formula>1</formula>
    </cfRule>
  </conditionalFormatting>
  <conditionalFormatting sqref="R84:R91">
    <cfRule type="cellIs" dxfId="6931" priority="239" operator="greaterThan">
      <formula>1</formula>
    </cfRule>
    <cfRule type="cellIs" dxfId="6930" priority="240" operator="lessThan">
      <formula>0.8</formula>
    </cfRule>
  </conditionalFormatting>
  <conditionalFormatting sqref="P84:P91">
    <cfRule type="cellIs" dxfId="6929" priority="238" operator="greaterThan">
      <formula>0</formula>
    </cfRule>
  </conditionalFormatting>
  <conditionalFormatting sqref="Q84:Q91">
    <cfRule type="cellIs" dxfId="6928" priority="237" operator="lessThan">
      <formula>0</formula>
    </cfRule>
  </conditionalFormatting>
  <conditionalFormatting sqref="R84:R91">
    <cfRule type="cellIs" dxfId="6927" priority="235" operator="lessThan">
      <formula>0.8</formula>
    </cfRule>
    <cfRule type="cellIs" dxfId="6926" priority="236" operator="greaterThan">
      <formula>1</formula>
    </cfRule>
  </conditionalFormatting>
  <conditionalFormatting sqref="R84:R91">
    <cfRule type="cellIs" dxfId="6925" priority="233" operator="greaterThan">
      <formula>1</formula>
    </cfRule>
    <cfRule type="cellIs" dxfId="6924" priority="234" operator="lessThan">
      <formula>0.8</formula>
    </cfRule>
  </conditionalFormatting>
  <conditionalFormatting sqref="P84:P91">
    <cfRule type="cellIs" dxfId="6923" priority="232" operator="greaterThan">
      <formula>0</formula>
    </cfRule>
  </conditionalFormatting>
  <conditionalFormatting sqref="Q84:Q91">
    <cfRule type="cellIs" dxfId="6922" priority="231" operator="lessThan">
      <formula>0</formula>
    </cfRule>
  </conditionalFormatting>
  <conditionalFormatting sqref="R84:R91">
    <cfRule type="cellIs" dxfId="6921" priority="229" operator="lessThan">
      <formula>0.8</formula>
    </cfRule>
    <cfRule type="cellIs" dxfId="6920" priority="230" operator="greaterThan">
      <formula>1</formula>
    </cfRule>
  </conditionalFormatting>
  <conditionalFormatting sqref="R84:R91">
    <cfRule type="cellIs" dxfId="6919" priority="227" operator="greaterThan">
      <formula>1</formula>
    </cfRule>
    <cfRule type="cellIs" dxfId="6918" priority="228" operator="lessThan">
      <formula>0.8</formula>
    </cfRule>
  </conditionalFormatting>
  <conditionalFormatting sqref="P84:P91">
    <cfRule type="cellIs" dxfId="6917" priority="226" operator="greaterThan">
      <formula>0</formula>
    </cfRule>
  </conditionalFormatting>
  <conditionalFormatting sqref="P84:P91">
    <cfRule type="cellIs" dxfId="6916" priority="220" operator="greaterThan">
      <formula>0</formula>
    </cfRule>
  </conditionalFormatting>
  <conditionalFormatting sqref="Q84:Q91">
    <cfRule type="cellIs" dxfId="6915" priority="225" operator="lessThan">
      <formula>0</formula>
    </cfRule>
  </conditionalFormatting>
  <conditionalFormatting sqref="R84:R91">
    <cfRule type="cellIs" dxfId="6914" priority="223" operator="lessThan">
      <formula>0.8</formula>
    </cfRule>
    <cfRule type="cellIs" dxfId="6913" priority="224" operator="greaterThan">
      <formula>1</formula>
    </cfRule>
  </conditionalFormatting>
  <conditionalFormatting sqref="R84:R91">
    <cfRule type="cellIs" dxfId="6912" priority="221" operator="greaterThan">
      <formula>1</formula>
    </cfRule>
    <cfRule type="cellIs" dxfId="6911" priority="222" operator="lessThan">
      <formula>0.8</formula>
    </cfRule>
  </conditionalFormatting>
  <conditionalFormatting sqref="P84:P91">
    <cfRule type="cellIs" dxfId="6910" priority="214" operator="greaterThan">
      <formula>0</formula>
    </cfRule>
  </conditionalFormatting>
  <conditionalFormatting sqref="Q84:Q91">
    <cfRule type="cellIs" dxfId="6909" priority="219" operator="lessThan">
      <formula>0</formula>
    </cfRule>
  </conditionalFormatting>
  <conditionalFormatting sqref="R84:R91">
    <cfRule type="cellIs" dxfId="6908" priority="217" operator="lessThan">
      <formula>0.8</formula>
    </cfRule>
    <cfRule type="cellIs" dxfId="6907" priority="218" operator="greaterThan">
      <formula>1</formula>
    </cfRule>
  </conditionalFormatting>
  <conditionalFormatting sqref="R84:R91">
    <cfRule type="cellIs" dxfId="6906" priority="215" operator="greaterThan">
      <formula>1</formula>
    </cfRule>
    <cfRule type="cellIs" dxfId="6905" priority="216" operator="lessThan">
      <formula>0.8</formula>
    </cfRule>
  </conditionalFormatting>
  <conditionalFormatting sqref="R84:R91">
    <cfRule type="cellIs" dxfId="6904" priority="211" operator="lessThan">
      <formula>0.8</formula>
    </cfRule>
    <cfRule type="cellIs" dxfId="6903" priority="212" operator="greaterThan">
      <formula>1</formula>
    </cfRule>
  </conditionalFormatting>
  <conditionalFormatting sqref="R84:R91">
    <cfRule type="cellIs" dxfId="6902" priority="209" operator="greaterThan">
      <formula>1</formula>
    </cfRule>
    <cfRule type="cellIs" dxfId="6901" priority="210" operator="lessThan">
      <formula>0.8</formula>
    </cfRule>
  </conditionalFormatting>
  <conditionalFormatting sqref="P84:P91">
    <cfRule type="cellIs" dxfId="6900" priority="208" operator="greaterThan">
      <formula>0</formula>
    </cfRule>
  </conditionalFormatting>
  <conditionalFormatting sqref="Q84:Q91">
    <cfRule type="cellIs" dxfId="6899" priority="213" operator="lessThan">
      <formula>0</formula>
    </cfRule>
  </conditionalFormatting>
  <conditionalFormatting sqref="Q84:Q91">
    <cfRule type="cellIs" dxfId="6898" priority="207" operator="lessThan">
      <formula>0</formula>
    </cfRule>
  </conditionalFormatting>
  <conditionalFormatting sqref="R84:R91">
    <cfRule type="cellIs" dxfId="6897" priority="205" operator="lessThan">
      <formula>0.8</formula>
    </cfRule>
    <cfRule type="cellIs" dxfId="6896" priority="206" operator="greaterThan">
      <formula>1</formula>
    </cfRule>
  </conditionalFormatting>
  <conditionalFormatting sqref="R84:R91">
    <cfRule type="cellIs" dxfId="6895" priority="203" operator="greaterThan">
      <formula>1</formula>
    </cfRule>
    <cfRule type="cellIs" dxfId="6894" priority="204" operator="lessThan">
      <formula>0.8</formula>
    </cfRule>
  </conditionalFormatting>
  <conditionalFormatting sqref="P84:P91">
    <cfRule type="cellIs" dxfId="6893" priority="202" operator="greaterThan">
      <formula>0</formula>
    </cfRule>
  </conditionalFormatting>
  <conditionalFormatting sqref="P84:P91">
    <cfRule type="cellIs" dxfId="6892" priority="196" operator="greaterThan">
      <formula>0</formula>
    </cfRule>
  </conditionalFormatting>
  <conditionalFormatting sqref="Q84:Q91">
    <cfRule type="cellIs" dxfId="6891" priority="201" operator="lessThan">
      <formula>0</formula>
    </cfRule>
  </conditionalFormatting>
  <conditionalFormatting sqref="R84:R91">
    <cfRule type="cellIs" dxfId="6890" priority="199" operator="lessThan">
      <formula>0.8</formula>
    </cfRule>
    <cfRule type="cellIs" dxfId="6889" priority="200" operator="greaterThan">
      <formula>1</formula>
    </cfRule>
  </conditionalFormatting>
  <conditionalFormatting sqref="R84:R91">
    <cfRule type="cellIs" dxfId="6888" priority="197" operator="greaterThan">
      <formula>1</formula>
    </cfRule>
    <cfRule type="cellIs" dxfId="6887" priority="198" operator="lessThan">
      <formula>0.8</formula>
    </cfRule>
  </conditionalFormatting>
  <conditionalFormatting sqref="P84:P91">
    <cfRule type="cellIs" dxfId="6886" priority="190" operator="greaterThan">
      <formula>0</formula>
    </cfRule>
  </conditionalFormatting>
  <conditionalFormatting sqref="Q84:Q91">
    <cfRule type="cellIs" dxfId="6885" priority="195" operator="lessThan">
      <formula>0</formula>
    </cfRule>
  </conditionalFormatting>
  <conditionalFormatting sqref="R84:R91">
    <cfRule type="cellIs" dxfId="6884" priority="193" operator="lessThan">
      <formula>0.8</formula>
    </cfRule>
    <cfRule type="cellIs" dxfId="6883" priority="194" operator="greaterThan">
      <formula>1</formula>
    </cfRule>
  </conditionalFormatting>
  <conditionalFormatting sqref="R84:R91">
    <cfRule type="cellIs" dxfId="6882" priority="191" operator="greaterThan">
      <formula>1</formula>
    </cfRule>
    <cfRule type="cellIs" dxfId="6881" priority="192" operator="lessThan">
      <formula>0.8</formula>
    </cfRule>
  </conditionalFormatting>
  <conditionalFormatting sqref="R84:R91">
    <cfRule type="cellIs" dxfId="6880" priority="187" operator="lessThan">
      <formula>0.8</formula>
    </cfRule>
    <cfRule type="cellIs" dxfId="6879" priority="188" operator="greaterThan">
      <formula>1</formula>
    </cfRule>
  </conditionalFormatting>
  <conditionalFormatting sqref="R84:R91">
    <cfRule type="cellIs" dxfId="6878" priority="185" operator="greaterThan">
      <formula>1</formula>
    </cfRule>
    <cfRule type="cellIs" dxfId="6877" priority="186" operator="lessThan">
      <formula>0.8</formula>
    </cfRule>
  </conditionalFormatting>
  <conditionalFormatting sqref="P84:P91">
    <cfRule type="cellIs" dxfId="6876" priority="184" operator="greaterThan">
      <formula>0</formula>
    </cfRule>
  </conditionalFormatting>
  <conditionalFormatting sqref="Q84:Q91">
    <cfRule type="cellIs" dxfId="6875" priority="189" operator="lessThan">
      <formula>0</formula>
    </cfRule>
  </conditionalFormatting>
  <conditionalFormatting sqref="P84:P91">
    <cfRule type="cellIs" dxfId="6874" priority="178" operator="greaterThan">
      <formula>0</formula>
    </cfRule>
  </conditionalFormatting>
  <conditionalFormatting sqref="Q84:Q91">
    <cfRule type="cellIs" dxfId="6873" priority="183" operator="lessThan">
      <formula>0</formula>
    </cfRule>
  </conditionalFormatting>
  <conditionalFormatting sqref="R84:R91">
    <cfRule type="cellIs" dxfId="6872" priority="181" operator="lessThan">
      <formula>0.8</formula>
    </cfRule>
    <cfRule type="cellIs" dxfId="6871" priority="182" operator="greaterThan">
      <formula>1</formula>
    </cfRule>
  </conditionalFormatting>
  <conditionalFormatting sqref="R84:R91">
    <cfRule type="cellIs" dxfId="6870" priority="179" operator="greaterThan">
      <formula>1</formula>
    </cfRule>
    <cfRule type="cellIs" dxfId="6869" priority="180" operator="lessThan">
      <formula>0.8</formula>
    </cfRule>
  </conditionalFormatting>
  <conditionalFormatting sqref="R84:R91">
    <cfRule type="cellIs" dxfId="6868" priority="175" operator="lessThan">
      <formula>0.8</formula>
    </cfRule>
    <cfRule type="cellIs" dxfId="6867" priority="176" operator="greaterThan">
      <formula>1</formula>
    </cfRule>
  </conditionalFormatting>
  <conditionalFormatting sqref="R84:R91">
    <cfRule type="cellIs" dxfId="6866" priority="173" operator="greaterThan">
      <formula>1</formula>
    </cfRule>
    <cfRule type="cellIs" dxfId="6865" priority="174" operator="lessThan">
      <formula>0.8</formula>
    </cfRule>
  </conditionalFormatting>
  <conditionalFormatting sqref="P84:P91">
    <cfRule type="cellIs" dxfId="6864" priority="172" operator="greaterThan">
      <formula>0</formula>
    </cfRule>
  </conditionalFormatting>
  <conditionalFormatting sqref="Q84:Q91">
    <cfRule type="cellIs" dxfId="6863" priority="177" operator="lessThan">
      <formula>0</formula>
    </cfRule>
  </conditionalFormatting>
  <conditionalFormatting sqref="R84:R91">
    <cfRule type="cellIs" dxfId="6862" priority="169" operator="lessThan">
      <formula>0.8</formula>
    </cfRule>
    <cfRule type="cellIs" dxfId="6861" priority="170" operator="greaterThan">
      <formula>1</formula>
    </cfRule>
  </conditionalFormatting>
  <conditionalFormatting sqref="R84:R91">
    <cfRule type="cellIs" dxfId="6860" priority="167" operator="greaterThan">
      <formula>1</formula>
    </cfRule>
    <cfRule type="cellIs" dxfId="6859" priority="168" operator="lessThan">
      <formula>0.8</formula>
    </cfRule>
  </conditionalFormatting>
  <conditionalFormatting sqref="P84:P91">
    <cfRule type="cellIs" dxfId="6858" priority="166" operator="greaterThan">
      <formula>0</formula>
    </cfRule>
  </conditionalFormatting>
  <conditionalFormatting sqref="Q84:Q91">
    <cfRule type="cellIs" dxfId="6857" priority="171" operator="lessThan">
      <formula>0</formula>
    </cfRule>
  </conditionalFormatting>
  <conditionalFormatting sqref="Q84:Q91">
    <cfRule type="cellIs" dxfId="6856" priority="165" operator="lessThan">
      <formula>0</formula>
    </cfRule>
  </conditionalFormatting>
  <conditionalFormatting sqref="R84:R91">
    <cfRule type="cellIs" dxfId="6855" priority="163" operator="lessThan">
      <formula>0.8</formula>
    </cfRule>
    <cfRule type="cellIs" dxfId="6854" priority="164" operator="greaterThan">
      <formula>1</formula>
    </cfRule>
  </conditionalFormatting>
  <conditionalFormatting sqref="R84:R91">
    <cfRule type="cellIs" dxfId="6853" priority="161" operator="greaterThan">
      <formula>1</formula>
    </cfRule>
    <cfRule type="cellIs" dxfId="6852" priority="162" operator="lessThan">
      <formula>0.8</formula>
    </cfRule>
  </conditionalFormatting>
  <conditionalFormatting sqref="P84:P91">
    <cfRule type="cellIs" dxfId="6851" priority="160" operator="greaterThan">
      <formula>0</formula>
    </cfRule>
  </conditionalFormatting>
  <conditionalFormatting sqref="Q84:Q91">
    <cfRule type="cellIs" dxfId="6850" priority="154" operator="lessThan">
      <formula>0</formula>
    </cfRule>
  </conditionalFormatting>
  <conditionalFormatting sqref="R84:R91">
    <cfRule type="cellIs" dxfId="6849" priority="158" operator="lessThan">
      <formula>0.8</formula>
    </cfRule>
    <cfRule type="cellIs" dxfId="6848" priority="159" operator="greaterThan">
      <formula>1</formula>
    </cfRule>
  </conditionalFormatting>
  <conditionalFormatting sqref="R84:R91">
    <cfRule type="cellIs" dxfId="6847" priority="156" operator="greaterThan">
      <formula>1</formula>
    </cfRule>
    <cfRule type="cellIs" dxfId="6846" priority="157" operator="lessThan">
      <formula>0.8</formula>
    </cfRule>
  </conditionalFormatting>
  <conditionalFormatting sqref="P84:P91">
    <cfRule type="cellIs" dxfId="6845" priority="155" operator="greaterThan">
      <formula>0</formula>
    </cfRule>
  </conditionalFormatting>
  <conditionalFormatting sqref="Q84:Q91">
    <cfRule type="cellIs" dxfId="6844" priority="153" operator="lessThan">
      <formula>0</formula>
    </cfRule>
  </conditionalFormatting>
  <conditionalFormatting sqref="R84:R91">
    <cfRule type="cellIs" dxfId="6843" priority="151" operator="lessThan">
      <formula>0.8</formula>
    </cfRule>
    <cfRule type="cellIs" dxfId="6842" priority="152" operator="greaterThan">
      <formula>1</formula>
    </cfRule>
  </conditionalFormatting>
  <conditionalFormatting sqref="R84:R91">
    <cfRule type="cellIs" dxfId="6841" priority="149" operator="greaterThan">
      <formula>1</formula>
    </cfRule>
    <cfRule type="cellIs" dxfId="6840" priority="150" operator="lessThan">
      <formula>0.8</formula>
    </cfRule>
  </conditionalFormatting>
  <conditionalFormatting sqref="P84:P91">
    <cfRule type="cellIs" dxfId="6839" priority="148" operator="greaterThan">
      <formula>0</formula>
    </cfRule>
  </conditionalFormatting>
  <conditionalFormatting sqref="Q84:Q91">
    <cfRule type="cellIs" dxfId="6838" priority="147" operator="lessThan">
      <formula>0</formula>
    </cfRule>
  </conditionalFormatting>
  <conditionalFormatting sqref="R84:R91">
    <cfRule type="cellIs" dxfId="6837" priority="145" operator="lessThan">
      <formula>0.8</formula>
    </cfRule>
    <cfRule type="cellIs" dxfId="6836" priority="146" operator="greaterThan">
      <formula>1</formula>
    </cfRule>
  </conditionalFormatting>
  <conditionalFormatting sqref="R84:R91">
    <cfRule type="cellIs" dxfId="6835" priority="143" operator="greaterThan">
      <formula>1</formula>
    </cfRule>
    <cfRule type="cellIs" dxfId="6834" priority="144" operator="lessThan">
      <formula>0.8</formula>
    </cfRule>
  </conditionalFormatting>
  <conditionalFormatting sqref="P84:P91">
    <cfRule type="cellIs" dxfId="6833" priority="142" operator="greaterThan">
      <formula>0</formula>
    </cfRule>
  </conditionalFormatting>
  <conditionalFormatting sqref="Q84:Q91">
    <cfRule type="cellIs" dxfId="6832" priority="141" operator="lessThan">
      <formula>0</formula>
    </cfRule>
  </conditionalFormatting>
  <conditionalFormatting sqref="R84:R91">
    <cfRule type="cellIs" dxfId="6831" priority="139" operator="lessThan">
      <formula>0.8</formula>
    </cfRule>
    <cfRule type="cellIs" dxfId="6830" priority="140" operator="greaterThan">
      <formula>1</formula>
    </cfRule>
  </conditionalFormatting>
  <conditionalFormatting sqref="R84:R91">
    <cfRule type="cellIs" dxfId="6829" priority="137" operator="greaterThan">
      <formula>1</formula>
    </cfRule>
    <cfRule type="cellIs" dxfId="6828" priority="138" operator="lessThan">
      <formula>0.8</formula>
    </cfRule>
  </conditionalFormatting>
  <conditionalFormatting sqref="P84:P91">
    <cfRule type="cellIs" dxfId="6827" priority="136" operator="greaterThan">
      <formula>0</formula>
    </cfRule>
  </conditionalFormatting>
  <conditionalFormatting sqref="Q84:Q91">
    <cfRule type="cellIs" dxfId="6826" priority="135" operator="lessThan">
      <formula>0</formula>
    </cfRule>
  </conditionalFormatting>
  <conditionalFormatting sqref="R84:R91">
    <cfRule type="cellIs" dxfId="6825" priority="133" operator="lessThan">
      <formula>0.8</formula>
    </cfRule>
    <cfRule type="cellIs" dxfId="6824" priority="134" operator="greaterThan">
      <formula>1</formula>
    </cfRule>
  </conditionalFormatting>
  <conditionalFormatting sqref="R84:R91">
    <cfRule type="cellIs" dxfId="6823" priority="131" operator="greaterThan">
      <formula>1</formula>
    </cfRule>
    <cfRule type="cellIs" dxfId="6822" priority="132" operator="lessThan">
      <formula>0.8</formula>
    </cfRule>
  </conditionalFormatting>
  <conditionalFormatting sqref="P84:P91">
    <cfRule type="cellIs" dxfId="6821" priority="130" operator="greaterThan">
      <formula>0</formula>
    </cfRule>
  </conditionalFormatting>
  <conditionalFormatting sqref="Q84:Q91">
    <cfRule type="cellIs" dxfId="6820" priority="129" operator="lessThan">
      <formula>0</formula>
    </cfRule>
  </conditionalFormatting>
  <conditionalFormatting sqref="R84:R91">
    <cfRule type="cellIs" dxfId="6819" priority="127" operator="lessThan">
      <formula>0.8</formula>
    </cfRule>
    <cfRule type="cellIs" dxfId="6818" priority="128" operator="greaterThan">
      <formula>1</formula>
    </cfRule>
  </conditionalFormatting>
  <conditionalFormatting sqref="R84:R91">
    <cfRule type="cellIs" dxfId="6817" priority="125" operator="greaterThan">
      <formula>1</formula>
    </cfRule>
    <cfRule type="cellIs" dxfId="6816" priority="126" operator="lessThan">
      <formula>0.8</formula>
    </cfRule>
  </conditionalFormatting>
  <conditionalFormatting sqref="P84:P91">
    <cfRule type="cellIs" dxfId="6815" priority="124" operator="greaterThan">
      <formula>0</formula>
    </cfRule>
  </conditionalFormatting>
  <conditionalFormatting sqref="P84:P91">
    <cfRule type="cellIs" dxfId="6814" priority="118" operator="greaterThan">
      <formula>0</formula>
    </cfRule>
  </conditionalFormatting>
  <conditionalFormatting sqref="Q84:Q91">
    <cfRule type="cellIs" dxfId="6813" priority="123" operator="lessThan">
      <formula>0</formula>
    </cfRule>
  </conditionalFormatting>
  <conditionalFormatting sqref="R84:R91">
    <cfRule type="cellIs" dxfId="6812" priority="121" operator="lessThan">
      <formula>0.8</formula>
    </cfRule>
    <cfRule type="cellIs" dxfId="6811" priority="122" operator="greaterThan">
      <formula>1</formula>
    </cfRule>
  </conditionalFormatting>
  <conditionalFormatting sqref="R84:R91">
    <cfRule type="cellIs" dxfId="6810" priority="119" operator="greaterThan">
      <formula>1</formula>
    </cfRule>
    <cfRule type="cellIs" dxfId="6809" priority="120" operator="lessThan">
      <formula>0.8</formula>
    </cfRule>
  </conditionalFormatting>
  <conditionalFormatting sqref="P84:P91">
    <cfRule type="cellIs" dxfId="6808" priority="112" operator="greaterThan">
      <formula>0</formula>
    </cfRule>
  </conditionalFormatting>
  <conditionalFormatting sqref="Q84:Q91">
    <cfRule type="cellIs" dxfId="6807" priority="117" operator="lessThan">
      <formula>0</formula>
    </cfRule>
  </conditionalFormatting>
  <conditionalFormatting sqref="R84:R91">
    <cfRule type="cellIs" dxfId="6806" priority="115" operator="lessThan">
      <formula>0.8</formula>
    </cfRule>
    <cfRule type="cellIs" dxfId="6805" priority="116" operator="greaterThan">
      <formula>1</formula>
    </cfRule>
  </conditionalFormatting>
  <conditionalFormatting sqref="R84:R91">
    <cfRule type="cellIs" dxfId="6804" priority="113" operator="greaterThan">
      <formula>1</formula>
    </cfRule>
    <cfRule type="cellIs" dxfId="6803" priority="114" operator="lessThan">
      <formula>0.8</formula>
    </cfRule>
  </conditionalFormatting>
  <conditionalFormatting sqref="R84:R91">
    <cfRule type="cellIs" dxfId="6802" priority="109" operator="lessThan">
      <formula>0.8</formula>
    </cfRule>
    <cfRule type="cellIs" dxfId="6801" priority="110" operator="greaterThan">
      <formula>1</formula>
    </cfRule>
  </conditionalFormatting>
  <conditionalFormatting sqref="R84:R91">
    <cfRule type="cellIs" dxfId="6800" priority="107" operator="greaterThan">
      <formula>1</formula>
    </cfRule>
    <cfRule type="cellIs" dxfId="6799" priority="108" operator="lessThan">
      <formula>0.8</formula>
    </cfRule>
  </conditionalFormatting>
  <conditionalFormatting sqref="P84:P91">
    <cfRule type="cellIs" dxfId="6798" priority="106" operator="greaterThan">
      <formula>0</formula>
    </cfRule>
  </conditionalFormatting>
  <conditionalFormatting sqref="Q84:Q91">
    <cfRule type="cellIs" dxfId="6797" priority="111" operator="lessThan">
      <formula>0</formula>
    </cfRule>
  </conditionalFormatting>
  <conditionalFormatting sqref="Q84:Q91">
    <cfRule type="cellIs" dxfId="6796" priority="100" operator="lessThan">
      <formula>0</formula>
    </cfRule>
  </conditionalFormatting>
  <conditionalFormatting sqref="P84:P91">
    <cfRule type="cellIs" dxfId="6795" priority="101" operator="greaterThan">
      <formula>0</formula>
    </cfRule>
  </conditionalFormatting>
  <conditionalFormatting sqref="R84:R91">
    <cfRule type="cellIs" dxfId="6794" priority="104" operator="lessThan">
      <formula>0.8</formula>
    </cfRule>
    <cfRule type="cellIs" dxfId="6793" priority="105" operator="greaterThan">
      <formula>1</formula>
    </cfRule>
  </conditionalFormatting>
  <conditionalFormatting sqref="R84:R91">
    <cfRule type="cellIs" dxfId="6792" priority="102" operator="greaterThan">
      <formula>1</formula>
    </cfRule>
    <cfRule type="cellIs" dxfId="6791" priority="103" operator="lessThan">
      <formula>0.8</formula>
    </cfRule>
  </conditionalFormatting>
  <conditionalFormatting sqref="Q84:Q91">
    <cfRule type="cellIs" dxfId="6790" priority="94" operator="lessThan">
      <formula>0</formula>
    </cfRule>
  </conditionalFormatting>
  <conditionalFormatting sqref="R84:R91">
    <cfRule type="cellIs" dxfId="6789" priority="98" operator="lessThan">
      <formula>0.8</formula>
    </cfRule>
    <cfRule type="cellIs" dxfId="6788" priority="99" operator="greaterThan">
      <formula>1</formula>
    </cfRule>
  </conditionalFormatting>
  <conditionalFormatting sqref="R84:R91">
    <cfRule type="cellIs" dxfId="6787" priority="96" operator="greaterThan">
      <formula>1</formula>
    </cfRule>
    <cfRule type="cellIs" dxfId="6786" priority="97" operator="lessThan">
      <formula>0.8</formula>
    </cfRule>
  </conditionalFormatting>
  <conditionalFormatting sqref="P84:P91">
    <cfRule type="cellIs" dxfId="6785" priority="95" operator="greaterThan">
      <formula>0</formula>
    </cfRule>
  </conditionalFormatting>
  <conditionalFormatting sqref="Q84:Q91">
    <cfRule type="cellIs" dxfId="6784" priority="93" operator="lessThan">
      <formula>0</formula>
    </cfRule>
  </conditionalFormatting>
  <conditionalFormatting sqref="R84:R91">
    <cfRule type="cellIs" dxfId="6783" priority="91" operator="lessThan">
      <formula>0.8</formula>
    </cfRule>
    <cfRule type="cellIs" dxfId="6782" priority="92" operator="greaterThan">
      <formula>1</formula>
    </cfRule>
  </conditionalFormatting>
  <conditionalFormatting sqref="R84:R91">
    <cfRule type="cellIs" dxfId="6781" priority="89" operator="greaterThan">
      <formula>1</formula>
    </cfRule>
    <cfRule type="cellIs" dxfId="6780" priority="90" operator="lessThan">
      <formula>0.8</formula>
    </cfRule>
  </conditionalFormatting>
  <conditionalFormatting sqref="P84:P91">
    <cfRule type="cellIs" dxfId="6779" priority="88" operator="greaterThan">
      <formula>0</formula>
    </cfRule>
  </conditionalFormatting>
  <conditionalFormatting sqref="Q84:Q91">
    <cfRule type="cellIs" dxfId="6778" priority="87" operator="lessThan">
      <formula>0</formula>
    </cfRule>
  </conditionalFormatting>
  <conditionalFormatting sqref="R84:R91">
    <cfRule type="cellIs" dxfId="6777" priority="85" operator="lessThan">
      <formula>0.8</formula>
    </cfRule>
    <cfRule type="cellIs" dxfId="6776" priority="86" operator="greaterThan">
      <formula>1</formula>
    </cfRule>
  </conditionalFormatting>
  <conditionalFormatting sqref="R84:R91">
    <cfRule type="cellIs" dxfId="6775" priority="83" operator="greaterThan">
      <formula>1</formula>
    </cfRule>
    <cfRule type="cellIs" dxfId="6774" priority="84" operator="lessThan">
      <formula>0.8</formula>
    </cfRule>
  </conditionalFormatting>
  <conditionalFormatting sqref="P84:P91">
    <cfRule type="cellIs" dxfId="6773" priority="82" operator="greaterThan">
      <formula>0</formula>
    </cfRule>
  </conditionalFormatting>
  <conditionalFormatting sqref="Q84:Q91">
    <cfRule type="cellIs" dxfId="6772" priority="81" operator="lessThan">
      <formula>0</formula>
    </cfRule>
  </conditionalFormatting>
  <conditionalFormatting sqref="R84:R91">
    <cfRule type="cellIs" dxfId="6771" priority="79" operator="lessThan">
      <formula>0.8</formula>
    </cfRule>
    <cfRule type="cellIs" dxfId="6770" priority="80" operator="greaterThan">
      <formula>1</formula>
    </cfRule>
  </conditionalFormatting>
  <conditionalFormatting sqref="R84:R91">
    <cfRule type="cellIs" dxfId="6769" priority="77" operator="greaterThan">
      <formula>1</formula>
    </cfRule>
    <cfRule type="cellIs" dxfId="6768" priority="78" operator="lessThan">
      <formula>0.8</formula>
    </cfRule>
  </conditionalFormatting>
  <conditionalFormatting sqref="P84:P91">
    <cfRule type="cellIs" dxfId="6767" priority="76" operator="greaterThan">
      <formula>0</formula>
    </cfRule>
  </conditionalFormatting>
  <conditionalFormatting sqref="Q162:Q166">
    <cfRule type="cellIs" dxfId="6766" priority="75" operator="lessThan">
      <formula>0</formula>
    </cfRule>
  </conditionalFormatting>
  <conditionalFormatting sqref="R162:R166">
    <cfRule type="cellIs" dxfId="6765" priority="73" operator="lessThan">
      <formula>0.8</formula>
    </cfRule>
    <cfRule type="cellIs" dxfId="6764" priority="74" operator="greaterThan">
      <formula>1</formula>
    </cfRule>
  </conditionalFormatting>
  <conditionalFormatting sqref="R162:R166">
    <cfRule type="cellIs" dxfId="6763" priority="71" operator="greaterThan">
      <formula>1</formula>
    </cfRule>
    <cfRule type="cellIs" dxfId="6762" priority="72" operator="lessThan">
      <formula>0.8</formula>
    </cfRule>
  </conditionalFormatting>
  <conditionalFormatting sqref="P162:P166">
    <cfRule type="cellIs" dxfId="6761" priority="70" operator="greaterThan">
      <formula>0</formula>
    </cfRule>
  </conditionalFormatting>
  <conditionalFormatting sqref="P167:P168">
    <cfRule type="cellIs" dxfId="6760" priority="64" operator="greaterThan">
      <formula>0</formula>
    </cfRule>
  </conditionalFormatting>
  <conditionalFormatting sqref="R167:R168">
    <cfRule type="cellIs" dxfId="6759" priority="67" operator="lessThan">
      <formula>0.8</formula>
    </cfRule>
    <cfRule type="cellIs" dxfId="6758" priority="68" operator="greaterThan">
      <formula>1</formula>
    </cfRule>
  </conditionalFormatting>
  <conditionalFormatting sqref="R167:R168">
    <cfRule type="cellIs" dxfId="6757" priority="65" operator="greaterThan">
      <formula>1</formula>
    </cfRule>
    <cfRule type="cellIs" dxfId="6756" priority="66" operator="lessThan">
      <formula>0.8</formula>
    </cfRule>
  </conditionalFormatting>
  <conditionalFormatting sqref="Q167:Q168">
    <cfRule type="cellIs" dxfId="6755" priority="69" operator="lessThan">
      <formula>0</formula>
    </cfRule>
  </conditionalFormatting>
  <conditionalFormatting sqref="Q161">
    <cfRule type="cellIs" dxfId="6754" priority="63" operator="lessThan">
      <formula>0</formula>
    </cfRule>
  </conditionalFormatting>
  <conditionalFormatting sqref="R161">
    <cfRule type="cellIs" dxfId="6753" priority="61" operator="lessThan">
      <formula>0.8</formula>
    </cfRule>
    <cfRule type="cellIs" dxfId="6752" priority="62" operator="greaterThan">
      <formula>1</formula>
    </cfRule>
  </conditionalFormatting>
  <conditionalFormatting sqref="R161">
    <cfRule type="cellIs" dxfId="6751" priority="59" operator="greaterThan">
      <formula>1</formula>
    </cfRule>
    <cfRule type="cellIs" dxfId="6750" priority="60" operator="lessThan">
      <formula>0.8</formula>
    </cfRule>
  </conditionalFormatting>
  <conditionalFormatting sqref="P161">
    <cfRule type="cellIs" dxfId="6749" priority="58" operator="greaterThan">
      <formula>0</formula>
    </cfRule>
  </conditionalFormatting>
  <conditionalFormatting sqref="Q162:Q166">
    <cfRule type="cellIs" dxfId="6748" priority="57" operator="lessThan">
      <formula>0</formula>
    </cfRule>
  </conditionalFormatting>
  <conditionalFormatting sqref="R162:R166">
    <cfRule type="cellIs" dxfId="6747" priority="55" operator="lessThan">
      <formula>0.8</formula>
    </cfRule>
    <cfRule type="cellIs" dxfId="6746" priority="56" operator="greaterThan">
      <formula>1</formula>
    </cfRule>
  </conditionalFormatting>
  <conditionalFormatting sqref="R162:R166">
    <cfRule type="cellIs" dxfId="6745" priority="53" operator="greaterThan">
      <formula>1</formula>
    </cfRule>
    <cfRule type="cellIs" dxfId="6744" priority="54" operator="lessThan">
      <formula>0.8</formula>
    </cfRule>
  </conditionalFormatting>
  <conditionalFormatting sqref="P162:P166">
    <cfRule type="cellIs" dxfId="6743" priority="52" operator="greaterThan">
      <formula>0</formula>
    </cfRule>
  </conditionalFormatting>
  <conditionalFormatting sqref="Q162:Q166">
    <cfRule type="cellIs" dxfId="6742" priority="51" operator="lessThan">
      <formula>0</formula>
    </cfRule>
  </conditionalFormatting>
  <conditionalFormatting sqref="R162:R166">
    <cfRule type="cellIs" dxfId="6741" priority="49" operator="lessThan">
      <formula>0.8</formula>
    </cfRule>
    <cfRule type="cellIs" dxfId="6740" priority="50" operator="greaterThan">
      <formula>1</formula>
    </cfRule>
  </conditionalFormatting>
  <conditionalFormatting sqref="R162:R166">
    <cfRule type="cellIs" dxfId="6739" priority="47" operator="greaterThan">
      <formula>1</formula>
    </cfRule>
    <cfRule type="cellIs" dxfId="6738" priority="48" operator="lessThan">
      <formula>0.8</formula>
    </cfRule>
  </conditionalFormatting>
  <conditionalFormatting sqref="P162:P166">
    <cfRule type="cellIs" dxfId="6737" priority="46" operator="greaterThan">
      <formula>0</formula>
    </cfRule>
  </conditionalFormatting>
  <conditionalFormatting sqref="Q167:Q168">
    <cfRule type="cellIs" dxfId="6736" priority="45" operator="lessThan">
      <formula>0</formula>
    </cfRule>
  </conditionalFormatting>
  <conditionalFormatting sqref="R167:R168">
    <cfRule type="cellIs" dxfId="6735" priority="43" operator="lessThan">
      <formula>0.8</formula>
    </cfRule>
    <cfRule type="cellIs" dxfId="6734" priority="44" operator="greaterThan">
      <formula>1</formula>
    </cfRule>
  </conditionalFormatting>
  <conditionalFormatting sqref="R167:R168">
    <cfRule type="cellIs" dxfId="6733" priority="41" operator="greaterThan">
      <formula>1</formula>
    </cfRule>
    <cfRule type="cellIs" dxfId="6732" priority="42" operator="lessThan">
      <formula>0.8</formula>
    </cfRule>
  </conditionalFormatting>
  <conditionalFormatting sqref="P167:P168">
    <cfRule type="cellIs" dxfId="6731" priority="40" operator="greaterThan">
      <formula>0</formula>
    </cfRule>
  </conditionalFormatting>
  <conditionalFormatting sqref="Q161">
    <cfRule type="cellIs" dxfId="6730" priority="39" operator="lessThan">
      <formula>0</formula>
    </cfRule>
  </conditionalFormatting>
  <conditionalFormatting sqref="R161">
    <cfRule type="cellIs" dxfId="6729" priority="37" operator="lessThan">
      <formula>0.8</formula>
    </cfRule>
    <cfRule type="cellIs" dxfId="6728" priority="38" operator="greaterThan">
      <formula>1</formula>
    </cfRule>
  </conditionalFormatting>
  <conditionalFormatting sqref="R161">
    <cfRule type="cellIs" dxfId="6727" priority="35" operator="greaterThan">
      <formula>1</formula>
    </cfRule>
    <cfRule type="cellIs" dxfId="6726" priority="36" operator="lessThan">
      <formula>0.8</formula>
    </cfRule>
  </conditionalFormatting>
  <conditionalFormatting sqref="P161">
    <cfRule type="cellIs" dxfId="6725" priority="34" operator="greaterThan">
      <formula>0</formula>
    </cfRule>
  </conditionalFormatting>
  <conditionalFormatting sqref="Q162:Q166">
    <cfRule type="cellIs" dxfId="6724" priority="33" operator="lessThan">
      <formula>0</formula>
    </cfRule>
  </conditionalFormatting>
  <conditionalFormatting sqref="R162:R166">
    <cfRule type="cellIs" dxfId="6723" priority="31" operator="lessThan">
      <formula>0.8</formula>
    </cfRule>
    <cfRule type="cellIs" dxfId="6722" priority="32" operator="greaterThan">
      <formula>1</formula>
    </cfRule>
  </conditionalFormatting>
  <conditionalFormatting sqref="R162:R166">
    <cfRule type="cellIs" dxfId="6721" priority="29" operator="greaterThan">
      <formula>1</formula>
    </cfRule>
    <cfRule type="cellIs" dxfId="6720" priority="30" operator="lessThan">
      <formula>0.8</formula>
    </cfRule>
  </conditionalFormatting>
  <conditionalFormatting sqref="P162:P166">
    <cfRule type="cellIs" dxfId="6719" priority="28" operator="greaterThan">
      <formula>0</formula>
    </cfRule>
  </conditionalFormatting>
  <conditionalFormatting sqref="Q161">
    <cfRule type="cellIs" dxfId="6718" priority="27" operator="lessThan">
      <formula>0</formula>
    </cfRule>
  </conditionalFormatting>
  <conditionalFormatting sqref="R161">
    <cfRule type="cellIs" dxfId="6717" priority="25" operator="lessThan">
      <formula>0.8</formula>
    </cfRule>
    <cfRule type="cellIs" dxfId="6716" priority="26" operator="greaterThan">
      <formula>1</formula>
    </cfRule>
  </conditionalFormatting>
  <conditionalFormatting sqref="R161">
    <cfRule type="cellIs" dxfId="6715" priority="23" operator="greaterThan">
      <formula>1</formula>
    </cfRule>
    <cfRule type="cellIs" dxfId="6714" priority="24" operator="lessThan">
      <formula>0.8</formula>
    </cfRule>
  </conditionalFormatting>
  <conditionalFormatting sqref="P161">
    <cfRule type="cellIs" dxfId="6713" priority="22" operator="greaterThan">
      <formula>0</formula>
    </cfRule>
  </conditionalFormatting>
  <conditionalFormatting sqref="Q162:Q166">
    <cfRule type="cellIs" dxfId="6712" priority="21" operator="lessThan">
      <formula>0</formula>
    </cfRule>
  </conditionalFormatting>
  <conditionalFormatting sqref="R162:R166">
    <cfRule type="cellIs" dxfId="6711" priority="19" operator="lessThan">
      <formula>0.8</formula>
    </cfRule>
    <cfRule type="cellIs" dxfId="6710" priority="20" operator="greaterThan">
      <formula>1</formula>
    </cfRule>
  </conditionalFormatting>
  <conditionalFormatting sqref="R162:R166">
    <cfRule type="cellIs" dxfId="6709" priority="17" operator="greaterThan">
      <formula>1</formula>
    </cfRule>
    <cfRule type="cellIs" dxfId="6708" priority="18" operator="lessThan">
      <formula>0.8</formula>
    </cfRule>
  </conditionalFormatting>
  <conditionalFormatting sqref="P162:P166">
    <cfRule type="cellIs" dxfId="6707" priority="16" operator="greaterThan">
      <formula>0</formula>
    </cfRule>
  </conditionalFormatting>
  <conditionalFormatting sqref="Q161">
    <cfRule type="cellIs" dxfId="6706" priority="15" operator="lessThan">
      <formula>0</formula>
    </cfRule>
  </conditionalFormatting>
  <conditionalFormatting sqref="R161">
    <cfRule type="cellIs" dxfId="6705" priority="13" operator="lessThan">
      <formula>0.8</formula>
    </cfRule>
    <cfRule type="cellIs" dxfId="6704" priority="14" operator="greaterThan">
      <formula>1</formula>
    </cfRule>
  </conditionalFormatting>
  <conditionalFormatting sqref="R161">
    <cfRule type="cellIs" dxfId="6703" priority="11" operator="greaterThan">
      <formula>1</formula>
    </cfRule>
    <cfRule type="cellIs" dxfId="6702" priority="12" operator="lessThan">
      <formula>0.8</formula>
    </cfRule>
  </conditionalFormatting>
  <conditionalFormatting sqref="P161">
    <cfRule type="cellIs" dxfId="6701" priority="10" operator="greaterThan">
      <formula>0</formula>
    </cfRule>
  </conditionalFormatting>
  <conditionalFormatting sqref="P167:P168">
    <cfRule type="cellIs" dxfId="6700" priority="4" operator="greaterThan">
      <formula>0</formula>
    </cfRule>
  </conditionalFormatting>
  <conditionalFormatting sqref="R167:R168">
    <cfRule type="cellIs" dxfId="6699" priority="7" operator="lessThan">
      <formula>0.8</formula>
    </cfRule>
    <cfRule type="cellIs" dxfId="6698" priority="8" operator="greaterThan">
      <formula>1</formula>
    </cfRule>
  </conditionalFormatting>
  <conditionalFormatting sqref="R167:R168">
    <cfRule type="cellIs" dxfId="6697" priority="5" operator="greaterThan">
      <formula>1</formula>
    </cfRule>
    <cfRule type="cellIs" dxfId="6696" priority="6" operator="lessThan">
      <formula>0.8</formula>
    </cfRule>
  </conditionalFormatting>
  <conditionalFormatting sqref="Q167:Q168">
    <cfRule type="cellIs" dxfId="6695" priority="9" operator="lessThan">
      <formula>0</formula>
    </cfRule>
  </conditionalFormatting>
  <conditionalFormatting sqref="AF30">
    <cfRule type="cellIs" dxfId="6694" priority="3" operator="lessThan">
      <formula>0</formula>
    </cfRule>
  </conditionalFormatting>
  <conditionalFormatting sqref="AG30">
    <cfRule type="cellIs" dxfId="6693" priority="1" operator="greaterThan">
      <formula>1</formula>
    </cfRule>
    <cfRule type="cellIs" dxfId="669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31" sqref="P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266</v>
      </c>
      <c r="E3" s="501"/>
      <c r="F3" s="491" t="s">
        <v>2</v>
      </c>
      <c r="G3" s="492"/>
      <c r="H3" s="502">
        <v>251477.62000000002</v>
      </c>
      <c r="I3" s="503"/>
      <c r="J3" s="491" t="s">
        <v>3</v>
      </c>
      <c r="K3" s="492"/>
      <c r="L3" s="504">
        <v>8216832.2259474546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261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378.6654206855203</v>
      </c>
      <c r="G6" s="494"/>
      <c r="H6" s="469">
        <f>AVERAGE(D13:P13,Q13)</f>
        <v>138.25994679153195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f>[1]晉欣4度C0308!$Z$2</f>
        <v>0</v>
      </c>
      <c r="O6" s="458">
        <f>[1]晉欣4度C0308!$AA$2</f>
        <v>0</v>
      </c>
      <c r="P6" s="474">
        <f>[1]晉欣4度C0308!$AD$2</f>
        <v>2</v>
      </c>
      <c r="Q6" s="458">
        <f>[1]晉欣4度C0308!$AE$2</f>
        <v>6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350.0942764294648</v>
      </c>
      <c r="G7" s="462"/>
      <c r="H7" s="463">
        <f>AVERAGE(D14:P14,Q14)</f>
        <v>122.24632016911198</v>
      </c>
      <c r="I7" s="464"/>
      <c r="J7" s="463">
        <f>AVERAGE(D31:H31)</f>
        <v>768.15080101318404</v>
      </c>
      <c r="K7" s="464"/>
      <c r="L7" s="465">
        <f>AVERAGE(J31:M31)</f>
        <v>760.35045726495719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0.8979713661593739</v>
      </c>
      <c r="G8" s="468"/>
      <c r="H8" s="467">
        <f>AVERAGE(D15:O15,P15:Q15)</f>
        <v>0.8788449397547593</v>
      </c>
      <c r="I8" s="468"/>
      <c r="J8" s="467">
        <f>AVERAGE(D32:H32)</f>
        <v>1.0004878439648381</v>
      </c>
      <c r="K8" s="468"/>
      <c r="L8" s="467">
        <f>AVERAGE(J32:M32)</f>
        <v>0.86323114780281451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92.599128540305003</v>
      </c>
      <c r="J13" s="15">
        <v>76.991638760767472</v>
      </c>
      <c r="K13" s="15">
        <v>111.31913116123643</v>
      </c>
      <c r="L13" s="15">
        <v>87.535958462332303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117.52426369703709</v>
      </c>
      <c r="E14" s="15">
        <v>88.152426995927712</v>
      </c>
      <c r="F14" s="15">
        <v>118.46727560399442</v>
      </c>
      <c r="G14" s="15">
        <v>319.05109177668817</v>
      </c>
      <c r="H14" s="15">
        <v>209.70140203653665</v>
      </c>
      <c r="I14" s="15">
        <v>78.534369659481854</v>
      </c>
      <c r="J14" s="15">
        <v>63.60826490460267</v>
      </c>
      <c r="K14" s="15">
        <v>97.11801885381918</v>
      </c>
      <c r="L14" s="15">
        <v>76.035529522414905</v>
      </c>
      <c r="M14" s="15">
        <v>71.421728901230509</v>
      </c>
      <c r="N14" s="15">
        <v>76.227454358668652</v>
      </c>
      <c r="O14" s="15">
        <v>71.541470162862396</v>
      </c>
      <c r="P14" s="15">
        <v>187.89168162079898</v>
      </c>
      <c r="Q14" s="16">
        <v>136.17350427350431</v>
      </c>
    </row>
    <row r="15" spans="2:17" ht="39.9" customHeight="1">
      <c r="B15" s="446"/>
      <c r="C15" s="10" t="s">
        <v>44</v>
      </c>
      <c r="D15" s="17">
        <f t="shared" ref="D15:P15" si="0">D14/D13</f>
        <v>0.90034268420399266</v>
      </c>
      <c r="E15" s="17">
        <f t="shared" si="0"/>
        <v>0.87963564049585952</v>
      </c>
      <c r="F15" s="17">
        <f t="shared" si="0"/>
        <v>0.86197400183874817</v>
      </c>
      <c r="G15" s="17">
        <f t="shared" si="0"/>
        <v>0.8658102897603478</v>
      </c>
      <c r="H15" s="17">
        <f t="shared" si="0"/>
        <v>0.91744363390984784</v>
      </c>
      <c r="I15" s="17">
        <f t="shared" si="0"/>
        <v>0.84811132564059422</v>
      </c>
      <c r="J15" s="17">
        <f t="shared" si="0"/>
        <v>0.82617107426755343</v>
      </c>
      <c r="K15" s="17">
        <f t="shared" si="0"/>
        <v>0.87242882549228551</v>
      </c>
      <c r="L15" s="17">
        <f t="shared" si="0"/>
        <v>0.86862051730585477</v>
      </c>
      <c r="M15" s="17">
        <f t="shared" si="0"/>
        <v>0.87803262665041404</v>
      </c>
      <c r="N15" s="17">
        <f t="shared" si="0"/>
        <v>0.91011487603737529</v>
      </c>
      <c r="O15" s="17">
        <f t="shared" si="0"/>
        <v>0.83169729108759205</v>
      </c>
      <c r="P15" s="17">
        <f t="shared" si="0"/>
        <v>0.93562300805280219</v>
      </c>
      <c r="Q15" s="18">
        <f>Q14/Q13</f>
        <v>0.9078233618233621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0.78194444444444444</v>
      </c>
      <c r="E17" s="19">
        <v>0.60486111111111107</v>
      </c>
      <c r="F17" s="19">
        <v>0.56111111111111101</v>
      </c>
      <c r="G17" s="19">
        <v>0.68402777777777779</v>
      </c>
      <c r="H17" s="19">
        <v>0.67361111111111116</v>
      </c>
      <c r="I17" s="19">
        <v>0.76319444444444462</v>
      </c>
      <c r="J17" s="19">
        <v>0.79722222222222217</v>
      </c>
      <c r="K17" s="19">
        <v>0.7944444444444444</v>
      </c>
      <c r="L17" s="19">
        <v>0.85138888888888886</v>
      </c>
      <c r="M17" s="19">
        <v>0.94583333333333319</v>
      </c>
      <c r="N17" s="19">
        <v>0.99166666666666659</v>
      </c>
      <c r="O17" s="19">
        <v>0.84652777777777766</v>
      </c>
      <c r="P17" s="19">
        <v>0.65624999999999989</v>
      </c>
      <c r="Q17" s="20">
        <v>0.65972222222222221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>
        <v>1</v>
      </c>
      <c r="P20" s="21" t="s">
        <v>49</v>
      </c>
      <c r="Q20" s="22"/>
    </row>
    <row r="21" spans="2:17" ht="22.8" customHeight="1">
      <c r="B21" s="451"/>
      <c r="C21" s="452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>
        <v>1</v>
      </c>
      <c r="M21" s="21" t="s">
        <v>49</v>
      </c>
      <c r="N21" s="21" t="s">
        <v>49</v>
      </c>
      <c r="O21" s="21">
        <v>4</v>
      </c>
      <c r="P21" s="21" t="s">
        <v>49</v>
      </c>
      <c r="Q21" s="22"/>
    </row>
    <row r="22" spans="2:17" ht="22.8" customHeight="1">
      <c r="B22" s="428" t="s">
        <v>51</v>
      </c>
      <c r="C22" s="429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17</v>
      </c>
      <c r="J22" s="23">
        <v>19</v>
      </c>
      <c r="K22" s="23">
        <v>15.714285714285714</v>
      </c>
      <c r="L22" s="23">
        <v>17.166666666666668</v>
      </c>
      <c r="M22" s="23">
        <v>19.125</v>
      </c>
      <c r="N22" s="23">
        <v>17.833333333333332</v>
      </c>
      <c r="O22" s="23">
        <v>17.600000000000001</v>
      </c>
      <c r="P22" s="23">
        <v>11.8</v>
      </c>
      <c r="Q22" s="24">
        <v>11.2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281.44817927170891</v>
      </c>
      <c r="E31" s="15">
        <v>710.01960784313735</v>
      </c>
      <c r="F31" s="15">
        <v>954.46153846153868</v>
      </c>
      <c r="G31" s="15">
        <v>891.53023504509088</v>
      </c>
      <c r="H31" s="41">
        <v>1003.2944444444441</v>
      </c>
      <c r="I31" s="42">
        <v>0</v>
      </c>
      <c r="J31" s="15">
        <v>728.53333333333592</v>
      </c>
      <c r="K31" s="15">
        <v>615.11666666666633</v>
      </c>
      <c r="L31" s="15">
        <v>877.66721367521279</v>
      </c>
      <c r="M31" s="16">
        <v>820.08461538461393</v>
      </c>
    </row>
    <row r="32" spans="2:17" ht="39.9" customHeight="1">
      <c r="B32" s="446"/>
      <c r="C32" s="43" t="s">
        <v>44</v>
      </c>
      <c r="D32" s="17">
        <f t="shared" ref="D32:M32" si="1">D31/D30</f>
        <v>0.87952556022409034</v>
      </c>
      <c r="E32" s="17">
        <f t="shared" si="1"/>
        <v>0.86062982768865137</v>
      </c>
      <c r="F32" s="17">
        <f t="shared" si="1"/>
        <v>1.1569230769230772</v>
      </c>
      <c r="G32" s="17">
        <f t="shared" si="1"/>
        <v>0.99058915005010095</v>
      </c>
      <c r="H32" s="44">
        <f t="shared" si="1"/>
        <v>1.1147716049382712</v>
      </c>
      <c r="I32" s="45">
        <f t="shared" si="1"/>
        <v>0</v>
      </c>
      <c r="J32" s="17">
        <f t="shared" si="1"/>
        <v>0.88307070707071023</v>
      </c>
      <c r="K32" s="17">
        <f t="shared" si="1"/>
        <v>0.68346296296296261</v>
      </c>
      <c r="L32" s="17">
        <f t="shared" si="1"/>
        <v>0.97518579297245866</v>
      </c>
      <c r="M32" s="18">
        <f t="shared" si="1"/>
        <v>0.91120512820512656</v>
      </c>
    </row>
    <row r="33" spans="2:13" ht="25.8" customHeight="1">
      <c r="B33" s="447" t="s">
        <v>45</v>
      </c>
      <c r="C33" s="43" t="s">
        <v>46</v>
      </c>
      <c r="D33" s="19">
        <v>0.1875</v>
      </c>
      <c r="E33" s="19">
        <v>0.18055555555555555</v>
      </c>
      <c r="F33" s="19">
        <v>0.17361111111111113</v>
      </c>
      <c r="G33" s="19">
        <v>3217.8947368421032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0.23958333333333334</v>
      </c>
      <c r="E34" s="19">
        <v>0.35625000000000001</v>
      </c>
      <c r="F34" s="19">
        <v>0.23750000000000002</v>
      </c>
      <c r="G34" s="19">
        <v>1074.1818181818189</v>
      </c>
      <c r="H34" s="46">
        <v>0.43888888888888888</v>
      </c>
      <c r="I34" s="47">
        <v>0</v>
      </c>
      <c r="J34" s="19">
        <v>0.83680555555555547</v>
      </c>
      <c r="K34" s="19">
        <v>0.84722222222222221</v>
      </c>
      <c r="L34" s="19">
        <v>46090.121527777781</v>
      </c>
      <c r="M34" s="20">
        <v>0.94791666666666663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33" priority="6" operator="lessThan">
      <formula>0.8</formula>
    </cfRule>
  </conditionalFormatting>
  <conditionalFormatting sqref="M32">
    <cfRule type="cellIs" dxfId="23432" priority="5" operator="lessThan">
      <formula>0.8</formula>
    </cfRule>
  </conditionalFormatting>
  <conditionalFormatting sqref="K32">
    <cfRule type="cellIs" dxfId="23431" priority="4" operator="lessThan">
      <formula>0.8</formula>
    </cfRule>
  </conditionalFormatting>
  <conditionalFormatting sqref="E32">
    <cfRule type="cellIs" dxfId="23430" priority="3" operator="lessThan">
      <formula>0.8</formula>
    </cfRule>
  </conditionalFormatting>
  <conditionalFormatting sqref="D15:P15">
    <cfRule type="cellIs" dxfId="23429" priority="2" operator="lessThan">
      <formula>0.8</formula>
    </cfRule>
  </conditionalFormatting>
  <conditionalFormatting sqref="Q15">
    <cfRule type="cellIs" dxfId="2342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88315</v>
      </c>
      <c r="F1" s="340" t="s">
        <v>3</v>
      </c>
      <c r="G1" s="341">
        <f>SUM(H5:H124)</f>
        <v>1666987.2970138029</v>
      </c>
      <c r="H1" s="342" t="s">
        <v>390</v>
      </c>
      <c r="I1" s="343">
        <f>+J16+J64+J24+J38+J51+J81+J100+J91+J57+J124+J111</f>
        <v>41.68333333333333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406</v>
      </c>
      <c r="B2" s="561"/>
      <c r="C2" s="345"/>
      <c r="D2" s="346" t="s">
        <v>278</v>
      </c>
      <c r="E2" s="347">
        <f>AVERAGE(L16,L24,L38,L51,L100,L111,L91)</f>
        <v>614.77429193215778</v>
      </c>
      <c r="F2" s="348" t="s">
        <v>80</v>
      </c>
      <c r="G2" s="349">
        <f>G1/E1</f>
        <v>18.875471856579324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1850</v>
      </c>
      <c r="H5" s="358">
        <f>F5*G5</f>
        <v>55436.162870945467</v>
      </c>
      <c r="I5" s="359"/>
      <c r="J5" s="360">
        <v>13</v>
      </c>
      <c r="K5" s="361">
        <f t="shared" ref="K5:K12" si="0">G5/P5*60</f>
        <v>1233.3333333333335</v>
      </c>
      <c r="L5" s="362">
        <f t="shared" ref="L5:L12" si="1">K5/J5</f>
        <v>94.87179487179489</v>
      </c>
      <c r="M5" s="363">
        <v>0.17361111111111113</v>
      </c>
      <c r="N5" s="363">
        <v>0.23611111111111113</v>
      </c>
      <c r="O5" s="354">
        <v>10</v>
      </c>
      <c r="P5" s="364">
        <f t="shared" ref="P5:P14" si="2">(N5-M5)*24*60</f>
        <v>90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1364</v>
      </c>
      <c r="H6" s="358">
        <f t="shared" ref="H6:H113" si="3">F6*G6</f>
        <v>0</v>
      </c>
      <c r="I6" s="359"/>
      <c r="J6" s="360">
        <v>9</v>
      </c>
      <c r="K6" s="361">
        <f t="shared" si="0"/>
        <v>1636.8000000000018</v>
      </c>
      <c r="L6" s="362">
        <f t="shared" si="1"/>
        <v>181.86666666666687</v>
      </c>
      <c r="M6" s="363">
        <v>0.23958333333333334</v>
      </c>
      <c r="N6" s="363">
        <v>0.27430555555555552</v>
      </c>
      <c r="O6" s="354">
        <v>5</v>
      </c>
      <c r="P6" s="364">
        <f t="shared" si="2"/>
        <v>49.999999999999943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1441</v>
      </c>
      <c r="H7" s="358">
        <f t="shared" si="3"/>
        <v>0</v>
      </c>
      <c r="I7" s="359"/>
      <c r="J7" s="360">
        <v>9</v>
      </c>
      <c r="K7" s="361">
        <f t="shared" si="0"/>
        <v>1572.0000000000009</v>
      </c>
      <c r="L7" s="362">
        <f t="shared" si="1"/>
        <v>174.66666666666677</v>
      </c>
      <c r="M7" s="363">
        <v>0.27777777777777779</v>
      </c>
      <c r="N7" s="363">
        <v>0.31597222222222221</v>
      </c>
      <c r="O7" s="354">
        <v>5</v>
      </c>
      <c r="P7" s="364">
        <f t="shared" si="2"/>
        <v>54.999999999999964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1470</v>
      </c>
      <c r="H8" s="358">
        <f t="shared" si="3"/>
        <v>53581.500000000007</v>
      </c>
      <c r="I8" s="359"/>
      <c r="J8" s="360">
        <v>10</v>
      </c>
      <c r="K8" s="361">
        <f t="shared" si="0"/>
        <v>1470.0000000000016</v>
      </c>
      <c r="L8" s="362">
        <f t="shared" si="1"/>
        <v>147.00000000000017</v>
      </c>
      <c r="M8" s="363">
        <v>0.31944444444444448</v>
      </c>
      <c r="N8" s="363">
        <v>0.3611111111111111</v>
      </c>
      <c r="O8" s="354">
        <v>5</v>
      </c>
      <c r="P8" s="364">
        <f t="shared" si="2"/>
        <v>59.999999999999943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412</v>
      </c>
      <c r="H9" s="358">
        <f t="shared" si="3"/>
        <v>11144.6</v>
      </c>
      <c r="I9" s="359"/>
      <c r="J9" s="360">
        <v>13</v>
      </c>
      <c r="K9" s="361">
        <f t="shared" si="0"/>
        <v>1235.9999999999945</v>
      </c>
      <c r="L9" s="362">
        <f t="shared" si="1"/>
        <v>95.076923076922654</v>
      </c>
      <c r="M9" s="363">
        <v>0.36458333333333331</v>
      </c>
      <c r="N9" s="363">
        <v>0.37847222222222227</v>
      </c>
      <c r="O9" s="354">
        <v>5</v>
      </c>
      <c r="P9" s="364">
        <f t="shared" si="2"/>
        <v>20.000000000000089</v>
      </c>
      <c r="Q9" s="365">
        <v>0.37847222222222227</v>
      </c>
      <c r="R9" s="365">
        <v>0.4201388888888889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2631</v>
      </c>
      <c r="H10" s="358">
        <f t="shared" si="3"/>
        <v>47015.97</v>
      </c>
      <c r="I10" s="359"/>
      <c r="J10" s="360">
        <v>12</v>
      </c>
      <c r="K10" s="361">
        <f t="shared" si="0"/>
        <v>1214.3076923076915</v>
      </c>
      <c r="L10" s="362">
        <f t="shared" si="1"/>
        <v>101.19230769230762</v>
      </c>
      <c r="M10" s="363">
        <v>0.4236111111111111</v>
      </c>
      <c r="N10" s="363">
        <v>0.51388888888888895</v>
      </c>
      <c r="O10" s="354">
        <v>5</v>
      </c>
      <c r="P10" s="364">
        <f t="shared" si="2"/>
        <v>130.00000000000009</v>
      </c>
      <c r="Q10" s="365"/>
      <c r="R10" s="365"/>
    </row>
    <row r="11" spans="1:18">
      <c r="A11" s="538"/>
      <c r="B11" s="355" t="s">
        <v>249</v>
      </c>
      <c r="C11" s="355"/>
      <c r="D11" s="356" t="s">
        <v>362</v>
      </c>
      <c r="E11" s="356"/>
      <c r="F11" s="357">
        <v>25.64</v>
      </c>
      <c r="G11" s="366">
        <v>724</v>
      </c>
      <c r="H11" s="358">
        <f t="shared" si="3"/>
        <v>18563.36</v>
      </c>
      <c r="I11" s="359"/>
      <c r="J11" s="360">
        <v>12</v>
      </c>
      <c r="K11" s="361">
        <f t="shared" si="0"/>
        <v>1447.9999999999975</v>
      </c>
      <c r="L11" s="362">
        <f t="shared" si="1"/>
        <v>120.66666666666646</v>
      </c>
      <c r="M11" s="363">
        <v>0.51736111111111105</v>
      </c>
      <c r="N11" s="363">
        <v>0.53819444444444442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39"/>
      <c r="B12" s="355" t="s">
        <v>249</v>
      </c>
      <c r="C12" s="355"/>
      <c r="D12" s="356" t="s">
        <v>363</v>
      </c>
      <c r="E12" s="356"/>
      <c r="F12" s="357">
        <v>29.52</v>
      </c>
      <c r="G12" s="366">
        <v>1364</v>
      </c>
      <c r="H12" s="358">
        <f t="shared" si="3"/>
        <v>40265.279999999999</v>
      </c>
      <c r="I12" s="359"/>
      <c r="J12" s="360">
        <v>12</v>
      </c>
      <c r="K12" s="361">
        <f t="shared" si="0"/>
        <v>1818.6666666666665</v>
      </c>
      <c r="L12" s="362">
        <f t="shared" si="1"/>
        <v>151.55555555555554</v>
      </c>
      <c r="M12" s="363">
        <v>0.54166666666666663</v>
      </c>
      <c r="N12" s="363">
        <v>0.57291666666666663</v>
      </c>
      <c r="O12" s="354">
        <v>5</v>
      </c>
      <c r="P12" s="364">
        <f t="shared" si="2"/>
        <v>45</v>
      </c>
      <c r="Q12" s="365"/>
      <c r="R12" s="365"/>
    </row>
    <row r="13" spans="1:18">
      <c r="A13" s="539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1441</v>
      </c>
      <c r="H13" s="358">
        <f t="shared" si="3"/>
        <v>43023.936999999998</v>
      </c>
      <c r="I13" s="359"/>
      <c r="J13" s="360">
        <v>12</v>
      </c>
      <c r="K13" s="361">
        <f>G13/P13*60</f>
        <v>1729.2000000000062</v>
      </c>
      <c r="L13" s="362">
        <f>K13/J13</f>
        <v>144.10000000000051</v>
      </c>
      <c r="M13" s="363">
        <v>0.57638888888888895</v>
      </c>
      <c r="N13" s="363">
        <v>0.61111111111111105</v>
      </c>
      <c r="O13" s="354">
        <v>5</v>
      </c>
      <c r="P13" s="364">
        <f t="shared" si="2"/>
        <v>49.999999999999822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1633</v>
      </c>
      <c r="H14" s="358">
        <f t="shared" si="3"/>
        <v>46654.81</v>
      </c>
      <c r="I14" s="359"/>
      <c r="J14" s="360">
        <v>10</v>
      </c>
      <c r="K14" s="361">
        <f>G14/P14*60</f>
        <v>1507.3846153846171</v>
      </c>
      <c r="L14" s="362">
        <f>K14/J14</f>
        <v>150.73846153846171</v>
      </c>
      <c r="M14" s="363">
        <v>0.61458333333333337</v>
      </c>
      <c r="N14" s="363">
        <v>0.65972222222222221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365</v>
      </c>
      <c r="D16" s="522" t="s">
        <v>300</v>
      </c>
      <c r="E16" s="522"/>
      <c r="F16" s="371"/>
      <c r="G16" s="372"/>
      <c r="H16" s="373"/>
      <c r="I16" s="374"/>
      <c r="J16" s="375">
        <f>AVERAGE(J5:J15)</f>
        <v>11.2</v>
      </c>
      <c r="K16" s="375">
        <f>AVERAGE(K5:K15)</f>
        <v>1486.5692307692311</v>
      </c>
      <c r="L16" s="376">
        <f>AVERAGE(L5:L15)</f>
        <v>136.17350427350431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366</v>
      </c>
      <c r="B17" s="355" t="s">
        <v>249</v>
      </c>
      <c r="C17" s="367"/>
      <c r="D17" s="544" t="s">
        <v>367</v>
      </c>
      <c r="E17" s="545"/>
      <c r="F17" s="357">
        <v>14.03</v>
      </c>
      <c r="G17" s="352">
        <v>538</v>
      </c>
      <c r="H17" s="377">
        <f t="shared" ref="H17:H23" si="4">F17*G17</f>
        <v>7548.1399999999994</v>
      </c>
      <c r="I17" s="378"/>
      <c r="J17" s="360">
        <v>6</v>
      </c>
      <c r="K17" s="361">
        <f>G17/P17*60</f>
        <v>1537.1428571428598</v>
      </c>
      <c r="L17" s="362">
        <f>K17/J17</f>
        <v>256.19047619047666</v>
      </c>
      <c r="M17" s="363">
        <v>0.1875</v>
      </c>
      <c r="N17" s="363">
        <v>0.20208333333333331</v>
      </c>
      <c r="O17" s="354">
        <v>30</v>
      </c>
      <c r="P17" s="364">
        <f>(N17-M17)*24*60</f>
        <v>20.999999999999964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368</v>
      </c>
      <c r="E18" s="533"/>
      <c r="F18" s="357">
        <v>14.49</v>
      </c>
      <c r="G18" s="368">
        <v>869</v>
      </c>
      <c r="H18" s="358">
        <f t="shared" si="4"/>
        <v>12591.81</v>
      </c>
      <c r="I18" s="359"/>
      <c r="J18" s="360">
        <v>5</v>
      </c>
      <c r="K18" s="361">
        <f>G18/P18*60</f>
        <v>1533.5294117647059</v>
      </c>
      <c r="L18" s="362">
        <f>K18/J18</f>
        <v>306.70588235294116</v>
      </c>
      <c r="M18" s="363">
        <v>0.21597222222222223</v>
      </c>
      <c r="N18" s="363">
        <v>0.23958333333333334</v>
      </c>
      <c r="O18" s="354">
        <v>20</v>
      </c>
      <c r="P18" s="364">
        <f t="shared" ref="P18" si="5">(N18-M18)*24*60</f>
        <v>34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369</v>
      </c>
      <c r="D24" s="522" t="s">
        <v>300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1535.336134453783</v>
      </c>
      <c r="L24" s="376">
        <f>AVERAGE(L17:L23)</f>
        <v>281.44817927170891</v>
      </c>
      <c r="M24" s="363"/>
      <c r="N24" s="363"/>
      <c r="O24" s="354"/>
      <c r="P24" s="354"/>
      <c r="Q24" s="354"/>
      <c r="R24" s="354"/>
    </row>
    <row r="25" spans="1:18">
      <c r="A25" s="526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655</v>
      </c>
      <c r="H25" s="358">
        <f t="shared" ref="H25:H37" si="6">F25*G25</f>
        <v>14594.590909090908</v>
      </c>
      <c r="I25" s="359"/>
      <c r="J25" s="360">
        <v>4</v>
      </c>
      <c r="K25" s="361">
        <f t="shared" ref="K25:K28" si="7">G25/P25*60</f>
        <v>2807.1428571428592</v>
      </c>
      <c r="L25" s="362">
        <f t="shared" ref="L25:L28" si="8">K25/J25</f>
        <v>701.78571428571479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3182</v>
      </c>
      <c r="H26" s="358">
        <f t="shared" si="6"/>
        <v>57848.76</v>
      </c>
      <c r="I26" s="359"/>
      <c r="J26" s="360">
        <v>4</v>
      </c>
      <c r="K26" s="361">
        <f t="shared" si="7"/>
        <v>2807.6470588235311</v>
      </c>
      <c r="L26" s="362">
        <f t="shared" si="8"/>
        <v>701.91176470588277</v>
      </c>
      <c r="M26" s="363">
        <v>0.20416666666666669</v>
      </c>
      <c r="N26" s="363">
        <v>0.25138888888888888</v>
      </c>
      <c r="O26" s="354">
        <v>20</v>
      </c>
      <c r="P26" s="364">
        <f t="shared" si="9"/>
        <v>67.999999999999957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1023</v>
      </c>
      <c r="H27" s="358">
        <f t="shared" si="6"/>
        <v>27897.21</v>
      </c>
      <c r="I27" s="359"/>
      <c r="J27" s="360">
        <v>4</v>
      </c>
      <c r="K27" s="361">
        <f t="shared" si="7"/>
        <v>2922.8571428571422</v>
      </c>
      <c r="L27" s="362">
        <f t="shared" si="8"/>
        <v>730.71428571428555</v>
      </c>
      <c r="M27" s="363">
        <v>0.26527777777777778</v>
      </c>
      <c r="N27" s="363">
        <v>0.27986111111111112</v>
      </c>
      <c r="O27" s="354">
        <v>20</v>
      </c>
      <c r="P27" s="364">
        <f t="shared" si="9"/>
        <v>21.000000000000007</v>
      </c>
      <c r="Q27" s="365"/>
      <c r="R27" s="365"/>
    </row>
    <row r="28" spans="1:18">
      <c r="A28" s="526"/>
      <c r="B28" s="355" t="s">
        <v>246</v>
      </c>
      <c r="C28" s="367"/>
      <c r="D28" s="386" t="s">
        <v>372</v>
      </c>
      <c r="E28" s="387"/>
      <c r="F28" s="357">
        <v>15.03</v>
      </c>
      <c r="G28" s="352">
        <v>4234</v>
      </c>
      <c r="H28" s="358">
        <f t="shared" si="6"/>
        <v>63637.02</v>
      </c>
      <c r="I28" s="359"/>
      <c r="J28" s="360">
        <v>4</v>
      </c>
      <c r="K28" s="361">
        <f t="shared" si="7"/>
        <v>2822.6666666666665</v>
      </c>
      <c r="L28" s="362">
        <f t="shared" si="8"/>
        <v>705.66666666666663</v>
      </c>
      <c r="M28" s="363">
        <v>0.29375000000000001</v>
      </c>
      <c r="N28" s="363">
        <v>0.35625000000000001</v>
      </c>
      <c r="O28" s="354">
        <v>20</v>
      </c>
      <c r="P28" s="364">
        <f t="shared" si="9"/>
        <v>90</v>
      </c>
      <c r="Q28" s="365"/>
      <c r="R28" s="365"/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2840.0784313725494</v>
      </c>
      <c r="L38" s="376">
        <f>AVERAGE(L25:L37)</f>
        <v>710.01960784313735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962</v>
      </c>
      <c r="H39" s="358">
        <f t="shared" ref="H39:H47" si="10">F39*G39</f>
        <v>20634.899999999998</v>
      </c>
      <c r="I39" s="359"/>
      <c r="J39" s="360">
        <v>3</v>
      </c>
      <c r="K39" s="361">
        <f>G39/P39*60</f>
        <v>2886.0000000000045</v>
      </c>
      <c r="L39" s="362">
        <f>K39/J39</f>
        <v>962.00000000000148</v>
      </c>
      <c r="M39" s="363">
        <v>0.17361111111111113</v>
      </c>
      <c r="N39" s="363">
        <v>0.1875</v>
      </c>
      <c r="O39" s="354">
        <v>10</v>
      </c>
      <c r="P39" s="391">
        <f t="shared" ref="P39:P40" si="11">(N39-M39)*24*60</f>
        <v>19.999999999999968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2462</v>
      </c>
      <c r="H40" s="358">
        <f t="shared" si="10"/>
        <v>45620.86</v>
      </c>
      <c r="I40" s="359"/>
      <c r="J40" s="360">
        <v>3</v>
      </c>
      <c r="K40" s="361">
        <f>G40/P40*60</f>
        <v>2840.7692307692278</v>
      </c>
      <c r="L40" s="362">
        <f>K40/J40</f>
        <v>946.92307692307588</v>
      </c>
      <c r="M40" s="363">
        <v>0.20138888888888887</v>
      </c>
      <c r="N40" s="363">
        <v>0.23750000000000002</v>
      </c>
      <c r="O40" s="354">
        <v>20</v>
      </c>
      <c r="P40" s="391">
        <f t="shared" si="11"/>
        <v>52.000000000000057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300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2863.3846153846162</v>
      </c>
      <c r="L51" s="376">
        <f>AVERAGE(L39:L50)</f>
        <v>954.46153846153868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786</v>
      </c>
      <c r="H52" s="358">
        <f>F52*G52</f>
        <v>19673.580000000002</v>
      </c>
      <c r="I52" s="359"/>
      <c r="J52" s="360">
        <v>4</v>
      </c>
      <c r="K52" s="361">
        <f>G52/P52*60</f>
        <v>3368.5714285714312</v>
      </c>
      <c r="L52" s="362">
        <f>K52/J52</f>
        <v>842.14285714285779</v>
      </c>
      <c r="M52" s="363">
        <v>0.17361111111111113</v>
      </c>
      <c r="N52" s="363">
        <v>0.18333333333333335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1019</v>
      </c>
      <c r="H53" s="358">
        <f t="shared" ref="H53:H62" si="12">F53*G53</f>
        <v>25291.58</v>
      </c>
      <c r="I53" s="359"/>
      <c r="J53" s="360">
        <v>4</v>
      </c>
      <c r="K53" s="361">
        <f t="shared" ref="K53:K55" si="13">G53/P53*60</f>
        <v>3217.8947368421032</v>
      </c>
      <c r="L53" s="362">
        <f t="shared" ref="L53:L55" si="14">K53/J53</f>
        <v>804.47368421052579</v>
      </c>
      <c r="M53" s="363">
        <v>0.19722222222222222</v>
      </c>
      <c r="N53" s="363">
        <v>0.21041666666666667</v>
      </c>
      <c r="O53" s="361">
        <v>20</v>
      </c>
      <c r="P53" s="364">
        <f t="shared" ref="P53:P55" si="15">(N53-M53)*24*60</f>
        <v>19.000000000000014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1747</v>
      </c>
      <c r="H54" s="358">
        <f t="shared" si="12"/>
        <v>52410</v>
      </c>
      <c r="I54" s="359"/>
      <c r="J54" s="360">
        <v>4</v>
      </c>
      <c r="K54" s="361">
        <f t="shared" si="13"/>
        <v>3381.290322580644</v>
      </c>
      <c r="L54" s="362">
        <f t="shared" si="14"/>
        <v>845.322580645161</v>
      </c>
      <c r="M54" s="363">
        <v>0.22430555555555556</v>
      </c>
      <c r="N54" s="363">
        <v>0.24583333333333335</v>
      </c>
      <c r="O54" s="361">
        <v>20</v>
      </c>
      <c r="P54" s="364">
        <f t="shared" si="15"/>
        <v>31.000000000000011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2954</v>
      </c>
      <c r="H55" s="358">
        <f t="shared" si="12"/>
        <v>41444.619999999995</v>
      </c>
      <c r="I55" s="359"/>
      <c r="J55" s="360">
        <v>3</v>
      </c>
      <c r="K55" s="361">
        <f t="shared" si="13"/>
        <v>3222.5454545454568</v>
      </c>
      <c r="L55" s="362">
        <f t="shared" si="14"/>
        <v>1074.1818181818189</v>
      </c>
      <c r="M55" s="363">
        <v>0.25972222222222224</v>
      </c>
      <c r="N55" s="363">
        <v>0.29791666666666666</v>
      </c>
      <c r="O55" s="361">
        <v>20</v>
      </c>
      <c r="P55" s="364">
        <f t="shared" si="15"/>
        <v>54.999999999999964</v>
      </c>
      <c r="Q55" s="365"/>
      <c r="R55" s="365"/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36"/>
      <c r="B64" s="355">
        <v>0</v>
      </c>
      <c r="C64" s="12" t="s">
        <v>375</v>
      </c>
      <c r="D64" s="522" t="s">
        <v>300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3297.5754856349085</v>
      </c>
      <c r="L64" s="376">
        <f>AVERAGE(L52:L63)</f>
        <v>891.53023504509088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869</v>
      </c>
      <c r="H65" s="358">
        <f>F65*G65</f>
        <v>15798.42</v>
      </c>
      <c r="I65" s="359"/>
      <c r="J65" s="360">
        <v>3</v>
      </c>
      <c r="K65" s="361">
        <f t="shared" ref="K65:K69" si="16">G65/P65*60</f>
        <v>3258.7500000000036</v>
      </c>
      <c r="L65" s="362">
        <f t="shared" ref="L65:L69" si="17">K65/J65</f>
        <v>1086.2500000000011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377</v>
      </c>
      <c r="E66" s="402"/>
      <c r="F66" s="357">
        <v>16.66</v>
      </c>
      <c r="G66" s="366">
        <v>3036</v>
      </c>
      <c r="H66" s="358">
        <f t="shared" ref="H66:H74" si="18">F66*G66</f>
        <v>50579.76</v>
      </c>
      <c r="I66" s="359"/>
      <c r="J66" s="360">
        <v>4</v>
      </c>
      <c r="K66" s="361">
        <f t="shared" si="16"/>
        <v>3036.0000000000005</v>
      </c>
      <c r="L66" s="362">
        <f t="shared" si="17"/>
        <v>759.00000000000011</v>
      </c>
      <c r="M66" s="363">
        <v>0.20555555555555557</v>
      </c>
      <c r="N66" s="363">
        <v>0.24722222222222223</v>
      </c>
      <c r="O66" s="361">
        <v>20</v>
      </c>
      <c r="P66" s="364">
        <f t="shared" ref="P66:P69" si="19">(N66-M66)*24*60</f>
        <v>59.999999999999986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1875</v>
      </c>
      <c r="H67" s="358">
        <f t="shared" si="18"/>
        <v>33545.454545454544</v>
      </c>
      <c r="I67" s="359"/>
      <c r="J67" s="360">
        <v>3</v>
      </c>
      <c r="K67" s="361">
        <f t="shared" si="16"/>
        <v>3124.9999999999977</v>
      </c>
      <c r="L67" s="362">
        <f t="shared" si="17"/>
        <v>1041.6666666666658</v>
      </c>
      <c r="M67" s="363">
        <v>0.26111111111111113</v>
      </c>
      <c r="N67" s="363">
        <v>0.28611111111111115</v>
      </c>
      <c r="O67" s="361">
        <v>20</v>
      </c>
      <c r="P67" s="364">
        <f t="shared" si="19"/>
        <v>36.000000000000028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1630</v>
      </c>
      <c r="H68" s="358">
        <f t="shared" si="18"/>
        <v>29633.399999999998</v>
      </c>
      <c r="I68" s="359"/>
      <c r="J68" s="360">
        <v>3</v>
      </c>
      <c r="K68" s="361">
        <f t="shared" si="16"/>
        <v>3259.9999999999941</v>
      </c>
      <c r="L68" s="362">
        <f t="shared" si="17"/>
        <v>1086.6666666666647</v>
      </c>
      <c r="M68" s="363">
        <v>0.3</v>
      </c>
      <c r="N68" s="363">
        <v>0.32083333333333336</v>
      </c>
      <c r="O68" s="361">
        <v>20</v>
      </c>
      <c r="P68" s="364">
        <f t="shared" si="19"/>
        <v>30.000000000000053</v>
      </c>
      <c r="Q68" s="365">
        <v>0.32083333333333336</v>
      </c>
      <c r="R68" s="365">
        <v>0.36249999999999999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4693</v>
      </c>
      <c r="H69" s="358">
        <f t="shared" si="18"/>
        <v>67042.85714285713</v>
      </c>
      <c r="I69" s="359"/>
      <c r="J69" s="360">
        <v>3</v>
      </c>
      <c r="K69" s="361">
        <f t="shared" si="16"/>
        <v>3128.666666666667</v>
      </c>
      <c r="L69" s="362">
        <f t="shared" si="17"/>
        <v>1042.8888888888889</v>
      </c>
      <c r="M69" s="363">
        <v>0.37638888888888888</v>
      </c>
      <c r="N69" s="363">
        <v>0.43888888888888888</v>
      </c>
      <c r="O69" s="361">
        <v>20</v>
      </c>
      <c r="P69" s="364">
        <f t="shared" si="19"/>
        <v>90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379</v>
      </c>
      <c r="D75" s="522" t="s">
        <v>300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3161.6833333333329</v>
      </c>
      <c r="L75" s="376">
        <f>AVERAGE(L65:L74)</f>
        <v>1003.2944444444441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300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462</v>
      </c>
      <c r="H82" s="414">
        <f t="shared" ref="H82:H90" si="20">F82*G82</f>
        <v>8399.16</v>
      </c>
      <c r="I82" s="359"/>
      <c r="J82" s="360">
        <v>4</v>
      </c>
      <c r="K82" s="361">
        <f t="shared" ref="K82:K84" si="21">G82/P82*60</f>
        <v>2772.00000000001</v>
      </c>
      <c r="L82" s="362">
        <f t="shared" ref="L82:L84" si="22">K82/J82</f>
        <v>693.0000000000025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1230</v>
      </c>
      <c r="H83" s="414">
        <f t="shared" si="20"/>
        <v>20541</v>
      </c>
      <c r="I83" s="359"/>
      <c r="J83" s="360">
        <v>3</v>
      </c>
      <c r="K83" s="361">
        <f t="shared" si="21"/>
        <v>2459.9999999999959</v>
      </c>
      <c r="L83" s="362">
        <f t="shared" si="22"/>
        <v>819.99999999999864</v>
      </c>
      <c r="M83" s="363">
        <v>0.74305555555555547</v>
      </c>
      <c r="N83" s="363">
        <v>0.76388888888888884</v>
      </c>
      <c r="O83" s="361">
        <v>20</v>
      </c>
      <c r="P83" s="364">
        <f>(N83-M83)*24*60</f>
        <v>30.000000000000053</v>
      </c>
      <c r="Q83" s="365">
        <v>0.76388888888888884</v>
      </c>
      <c r="R83" s="365">
        <v>0.80555555555555547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1121</v>
      </c>
      <c r="H84" s="414">
        <f t="shared" si="20"/>
        <v>24977.918181818182</v>
      </c>
      <c r="I84" s="359"/>
      <c r="J84" s="360">
        <v>4</v>
      </c>
      <c r="K84" s="361">
        <f t="shared" si="21"/>
        <v>2690.4000000000265</v>
      </c>
      <c r="L84" s="362">
        <f t="shared" si="22"/>
        <v>672.60000000000662</v>
      </c>
      <c r="M84" s="363">
        <v>0.81944444444444453</v>
      </c>
      <c r="N84" s="363">
        <v>0.83680555555555547</v>
      </c>
      <c r="O84" s="361">
        <v>20</v>
      </c>
      <c r="P84" s="391">
        <f t="shared" ref="P84" si="23">(N84-M84)*24*60</f>
        <v>24.999999999999751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370</v>
      </c>
      <c r="D91" s="510" t="s">
        <v>300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2640.8000000000106</v>
      </c>
      <c r="L91" s="376">
        <f>AVERAGE(L82:L90)</f>
        <v>728.53333333333592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1869</v>
      </c>
      <c r="H92" s="358">
        <f t="shared" ref="H92:H97" si="24">F92*G92</f>
        <v>45865.26</v>
      </c>
      <c r="I92" s="359"/>
      <c r="J92" s="360">
        <v>3</v>
      </c>
      <c r="K92" s="361">
        <f>G92/P92*60</f>
        <v>2242.7999999999938</v>
      </c>
      <c r="L92" s="362">
        <f t="shared" ref="L92:L94" si="25">K92/J92</f>
        <v>747.59999999999798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1094</v>
      </c>
      <c r="H93" s="358">
        <f t="shared" si="24"/>
        <v>24593.119999999999</v>
      </c>
      <c r="I93" s="359"/>
      <c r="J93" s="360">
        <v>4</v>
      </c>
      <c r="K93" s="361">
        <f t="shared" ref="K93:K94" si="26">G93/P93*60</f>
        <v>2188.0000000000077</v>
      </c>
      <c r="L93" s="362">
        <f t="shared" si="25"/>
        <v>547.00000000000193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12"/>
      <c r="B94" s="355" t="s">
        <v>246</v>
      </c>
      <c r="C94" s="370"/>
      <c r="D94" s="419" t="s">
        <v>383</v>
      </c>
      <c r="E94" s="407"/>
      <c r="F94" s="357">
        <v>22.21</v>
      </c>
      <c r="G94" s="366">
        <v>2203</v>
      </c>
      <c r="H94" s="358">
        <f t="shared" si="24"/>
        <v>48928.630000000005</v>
      </c>
      <c r="I94" s="359"/>
      <c r="J94" s="360">
        <v>4</v>
      </c>
      <c r="K94" s="361">
        <f t="shared" si="26"/>
        <v>2202.9999999999964</v>
      </c>
      <c r="L94" s="362">
        <f t="shared" si="25"/>
        <v>550.74999999999909</v>
      </c>
      <c r="M94" s="363">
        <v>0.80555555555555547</v>
      </c>
      <c r="N94" s="363">
        <v>0.84722222222222221</v>
      </c>
      <c r="O94" s="354">
        <v>20</v>
      </c>
      <c r="P94" s="364">
        <f>(N94-M94)*24*60</f>
        <v>60.000000000000107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384</v>
      </c>
      <c r="D100" s="514" t="s">
        <v>300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2211.266666666666</v>
      </c>
      <c r="L100" s="376">
        <f>AVERAGE(L92:L99)</f>
        <v>615.11666666666633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1207</v>
      </c>
      <c r="H101" s="358">
        <f t="shared" ref="H101:H110" si="27">F101*G101</f>
        <v>30211.210000000003</v>
      </c>
      <c r="I101" s="359"/>
      <c r="J101" s="360">
        <v>4</v>
      </c>
      <c r="K101" s="361">
        <f>G101/P101*60</f>
        <v>2896.799999999992</v>
      </c>
      <c r="L101" s="362">
        <f t="shared" ref="L101:L105" si="28">K101/J101</f>
        <v>724.199999999998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1904</v>
      </c>
      <c r="H102" s="358">
        <f t="shared" si="27"/>
        <v>47257.279999999999</v>
      </c>
      <c r="I102" s="359"/>
      <c r="J102" s="360">
        <v>4</v>
      </c>
      <c r="K102" s="361">
        <f t="shared" ref="K102:K105" si="30">G102/P102*60</f>
        <v>2855.9999999999986</v>
      </c>
      <c r="L102" s="362">
        <f t="shared" si="28"/>
        <v>713.99999999999966</v>
      </c>
      <c r="M102" s="363">
        <v>0.75347222222222221</v>
      </c>
      <c r="N102" s="363">
        <v>0.78125</v>
      </c>
      <c r="O102" s="354">
        <v>20</v>
      </c>
      <c r="P102" s="361">
        <f t="shared" si="29"/>
        <v>40.000000000000014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3179</v>
      </c>
      <c r="H103" s="358">
        <f t="shared" si="27"/>
        <v>90824.03</v>
      </c>
      <c r="I103" s="359"/>
      <c r="J103" s="360">
        <v>3</v>
      </c>
      <c r="K103" s="361">
        <f t="shared" si="30"/>
        <v>2934.4615384615345</v>
      </c>
      <c r="L103" s="362">
        <f t="shared" si="28"/>
        <v>978.15384615384482</v>
      </c>
      <c r="M103" s="363">
        <v>0.79513888888888884</v>
      </c>
      <c r="N103" s="363">
        <v>0.84027777777777779</v>
      </c>
      <c r="O103" s="354">
        <v>20</v>
      </c>
      <c r="P103" s="361">
        <f t="shared" si="29"/>
        <v>65.000000000000085</v>
      </c>
      <c r="Q103" s="365"/>
      <c r="R103" s="365"/>
    </row>
    <row r="104" spans="1:18">
      <c r="A104" s="516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6161</v>
      </c>
      <c r="H104" s="358">
        <f t="shared" si="27"/>
        <v>86438.83</v>
      </c>
      <c r="I104" s="359"/>
      <c r="J104" s="360">
        <v>3</v>
      </c>
      <c r="K104" s="361">
        <f t="shared" si="30"/>
        <v>2957.2799999999993</v>
      </c>
      <c r="L104" s="362">
        <f t="shared" si="28"/>
        <v>985.75999999999976</v>
      </c>
      <c r="M104" s="363">
        <v>0.85416666666666663</v>
      </c>
      <c r="N104" s="363">
        <v>0.94097222222222221</v>
      </c>
      <c r="O104" s="354">
        <v>20</v>
      </c>
      <c r="P104" s="361">
        <f>(N104-M104)*24*60</f>
        <v>125.00000000000003</v>
      </c>
      <c r="Q104" s="365">
        <v>0.94097222222222221</v>
      </c>
      <c r="R104" s="365">
        <v>0.98263888888888884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8876</v>
      </c>
      <c r="H105" s="358">
        <f t="shared" si="27"/>
        <v>126799.99999999997</v>
      </c>
      <c r="I105" s="359"/>
      <c r="J105" s="360">
        <v>3</v>
      </c>
      <c r="K105" s="361">
        <f t="shared" si="30"/>
        <v>2958.6666666666665</v>
      </c>
      <c r="L105" s="362">
        <f t="shared" si="28"/>
        <v>986.22222222222217</v>
      </c>
      <c r="M105" s="363">
        <v>46089.996527777781</v>
      </c>
      <c r="N105" s="363">
        <v>46090.121527777781</v>
      </c>
      <c r="O105" s="354">
        <v>20</v>
      </c>
      <c r="P105" s="361">
        <f>(N105-M105)*24*60</f>
        <v>180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375</v>
      </c>
      <c r="D111" s="517" t="s">
        <v>300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2920.6416410256379</v>
      </c>
      <c r="L111" s="376">
        <f>AVERAGE(L101:L110)</f>
        <v>877.66721367521279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1022</v>
      </c>
      <c r="H112" s="414">
        <f t="shared" si="3"/>
        <v>18579.96</v>
      </c>
      <c r="I112" s="359"/>
      <c r="J112" s="360">
        <v>4</v>
      </c>
      <c r="K112" s="361">
        <f t="shared" ref="K112:K115" si="31">G112/P112*60</f>
        <v>3065.9999999999864</v>
      </c>
      <c r="L112" s="362">
        <f t="shared" ref="L112:L115" si="32">K112/J112</f>
        <v>766.49999999999659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1161</v>
      </c>
      <c r="H113" s="414">
        <f t="shared" si="3"/>
        <v>21106.98</v>
      </c>
      <c r="I113" s="359"/>
      <c r="J113" s="360">
        <v>3</v>
      </c>
      <c r="K113" s="361">
        <f t="shared" si="31"/>
        <v>2786.3999999999924</v>
      </c>
      <c r="L113" s="362">
        <f t="shared" si="32"/>
        <v>928.79999999999745</v>
      </c>
      <c r="M113" s="363">
        <v>0.75</v>
      </c>
      <c r="N113" s="363">
        <v>0.76736111111111116</v>
      </c>
      <c r="O113" s="354">
        <v>20</v>
      </c>
      <c r="P113" s="364">
        <f t="shared" si="33"/>
        <v>25.000000000000071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5885</v>
      </c>
      <c r="H114" s="414">
        <f>F114*G114</f>
        <v>98044.1</v>
      </c>
      <c r="I114" s="359"/>
      <c r="J114" s="360">
        <v>4</v>
      </c>
      <c r="K114" s="361">
        <f t="shared" si="31"/>
        <v>2716.1538461538457</v>
      </c>
      <c r="L114" s="362">
        <f t="shared" si="32"/>
        <v>679.03846153846143</v>
      </c>
      <c r="M114" s="363">
        <v>0.78125</v>
      </c>
      <c r="N114" s="363">
        <v>0.87152777777777779</v>
      </c>
      <c r="O114" s="354">
        <v>20</v>
      </c>
      <c r="P114" s="364">
        <f t="shared" si="33"/>
        <v>130.00000000000003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4077</v>
      </c>
      <c r="H115" s="414">
        <f t="shared" ref="H115:H123" si="34">F115*G115</f>
        <v>72941.236363636359</v>
      </c>
      <c r="I115" s="359"/>
      <c r="J115" s="360">
        <v>3</v>
      </c>
      <c r="K115" s="361">
        <f t="shared" si="31"/>
        <v>2718</v>
      </c>
      <c r="L115" s="362">
        <f t="shared" si="32"/>
        <v>906</v>
      </c>
      <c r="M115" s="363">
        <v>0.88541666666666663</v>
      </c>
      <c r="N115" s="363">
        <v>0.94791666666666663</v>
      </c>
      <c r="O115" s="354">
        <v>20</v>
      </c>
      <c r="P115" s="364">
        <f t="shared" si="33"/>
        <v>90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379</v>
      </c>
      <c r="D124" s="507" t="s">
        <v>300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2821.6384615384559</v>
      </c>
      <c r="L124" s="376">
        <f>AVERAGE(L112:L123)</f>
        <v>820.08461538461393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AB103" sqref="AB103:AC103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163162.62000000002</v>
      </c>
      <c r="F1" s="75" t="s">
        <v>3</v>
      </c>
      <c r="G1" s="64">
        <f>SUM(H5:H173)</f>
        <v>6549844.9289336512</v>
      </c>
      <c r="H1" s="67" t="s">
        <v>77</v>
      </c>
      <c r="I1" s="65">
        <f>M17+M30+M43+M56+M69+M82+M95+M108+M121+M134+M147+M160+M173</f>
        <v>200.03690476190476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353</v>
      </c>
      <c r="B2" s="637"/>
      <c r="C2" s="69"/>
      <c r="D2" s="69" t="s">
        <v>181</v>
      </c>
      <c r="E2" s="70">
        <f>AVERAGE(O17,O30,O43,O56,O69,O82,O95,O108,O121,O134,O147,O160,O173)</f>
        <v>121.17499831492796</v>
      </c>
      <c r="F2" s="71" t="s">
        <v>80</v>
      </c>
      <c r="G2" s="72">
        <f>G1/E1</f>
        <v>40.143048260279528</v>
      </c>
      <c r="H2" s="67" t="s">
        <v>81</v>
      </c>
      <c r="I2" s="67">
        <f>COUNT(I5:I173)</f>
        <v>4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2</v>
      </c>
      <c r="AE2" s="74">
        <f>AE17+AE30+AE43+AE56+AE69+AE82+AE95+AE108+AE121+AE134+AE147+AE160+AE173</f>
        <v>6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2823.6</v>
      </c>
      <c r="H5" s="83">
        <f t="shared" ref="H5:H16" si="0">F5*G5</f>
        <v>107127.38399999999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2200.2077922077929</v>
      </c>
      <c r="O5" s="86">
        <f t="shared" ref="O5:O13" si="2">N5/M5</f>
        <v>110.01038961038964</v>
      </c>
      <c r="P5" s="88">
        <f t="shared" ref="P5:P13" si="3">M5-J5</f>
        <v>0</v>
      </c>
      <c r="Q5" s="89">
        <f t="shared" ref="Q5:Q13" si="4">O5-L5</f>
        <v>-9.9896103896103625</v>
      </c>
      <c r="R5" s="90">
        <f t="shared" ref="R5:R13" si="5">O5/L5</f>
        <v>0.91675324675324699</v>
      </c>
      <c r="S5" s="590">
        <f>R17</f>
        <v>0.90034268420399266</v>
      </c>
      <c r="T5" s="91">
        <v>0.29166666666666669</v>
      </c>
      <c r="U5" s="91">
        <v>0.34513888888888888</v>
      </c>
      <c r="V5" s="75">
        <v>5</v>
      </c>
      <c r="W5" s="84">
        <f>(U5-T5)*24*60</f>
        <v>76.999999999999972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-199.79220779220714</v>
      </c>
      <c r="AG5" s="90">
        <f t="shared" ref="AG5:AG70" si="7">N5/K5</f>
        <v>0.91675324675324699</v>
      </c>
      <c r="AH5" s="590">
        <f>AG17</f>
        <v>0.93567831583330374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1560</v>
      </c>
      <c r="H6" s="83">
        <f t="shared" si="0"/>
        <v>48775.165631469987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2463.1578947368403</v>
      </c>
      <c r="O6" s="86">
        <f t="shared" si="2"/>
        <v>129.6398891966758</v>
      </c>
      <c r="P6" s="88">
        <f t="shared" si="3"/>
        <v>1</v>
      </c>
      <c r="Q6" s="89">
        <f t="shared" si="4"/>
        <v>-14.804555247768661</v>
      </c>
      <c r="R6" s="90">
        <f t="shared" si="5"/>
        <v>0.89750692520775543</v>
      </c>
      <c r="S6" s="590"/>
      <c r="T6" s="91">
        <v>0.35069444444444442</v>
      </c>
      <c r="U6" s="91">
        <v>0.37708333333333333</v>
      </c>
      <c r="V6" s="75">
        <v>8</v>
      </c>
      <c r="W6" s="84">
        <f t="shared" ref="W6:W17" si="8">(U6-T6)*24*60</f>
        <v>38.000000000000028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-136.84210526315974</v>
      </c>
      <c r="AG6" s="90">
        <f t="shared" si="7"/>
        <v>0.94736842105263086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2440.1</v>
      </c>
      <c r="H7" s="83">
        <f t="shared" si="0"/>
        <v>94263.386904761879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2481.4576271186429</v>
      </c>
      <c r="O7" s="86">
        <f t="shared" si="2"/>
        <v>130.60303300624437</v>
      </c>
      <c r="P7" s="88">
        <f t="shared" si="3"/>
        <v>1</v>
      </c>
      <c r="Q7" s="89">
        <f t="shared" si="4"/>
        <v>-13.841411438200083</v>
      </c>
      <c r="R7" s="90">
        <f t="shared" si="5"/>
        <v>0.90417484388938407</v>
      </c>
      <c r="S7" s="590"/>
      <c r="T7" s="91">
        <v>0.3923611111111111</v>
      </c>
      <c r="U7" s="91">
        <v>0.43333333333333335</v>
      </c>
      <c r="V7" s="75">
        <v>22</v>
      </c>
      <c r="W7" s="84">
        <f t="shared" si="8"/>
        <v>59.000000000000028</v>
      </c>
      <c r="X7" s="94">
        <v>0.38055555555555554</v>
      </c>
      <c r="Y7" s="94">
        <v>0.38958333333333334</v>
      </c>
      <c r="Z7" s="95"/>
      <c r="AA7" s="95"/>
      <c r="AB7" s="571"/>
      <c r="AC7" s="571"/>
      <c r="AD7" s="332"/>
      <c r="AE7" s="332"/>
      <c r="AF7" s="88">
        <f t="shared" si="6"/>
        <v>-118.5423728813571</v>
      </c>
      <c r="AG7" s="90">
        <f t="shared" si="7"/>
        <v>0.9544067796610165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3964.1</v>
      </c>
      <c r="H8" s="83">
        <f t="shared" si="0"/>
        <v>150635.79999999999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2503.6421052631581</v>
      </c>
      <c r="O8" s="86">
        <f t="shared" si="2"/>
        <v>125.18210526315791</v>
      </c>
      <c r="P8" s="88">
        <f t="shared" si="3"/>
        <v>1</v>
      </c>
      <c r="Q8" s="89">
        <f t="shared" si="4"/>
        <v>-11.659999999999982</v>
      </c>
      <c r="R8" s="90">
        <f t="shared" si="5"/>
        <v>0.91479230769230779</v>
      </c>
      <c r="S8" s="590"/>
      <c r="T8" s="91">
        <v>0.43819444444444444</v>
      </c>
      <c r="U8" s="91">
        <v>0.50416666666666665</v>
      </c>
      <c r="V8" s="75">
        <v>7</v>
      </c>
      <c r="W8" s="84">
        <f t="shared" si="8"/>
        <v>94.999999999999986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-96.357894736841899</v>
      </c>
      <c r="AG8" s="90">
        <f t="shared" si="7"/>
        <v>0.96293927125506085</v>
      </c>
      <c r="AH8" s="590"/>
    </row>
    <row r="9" spans="1:34" ht="19.2" customHeight="1">
      <c r="A9" s="627"/>
      <c r="B9" s="78" t="s">
        <v>242</v>
      </c>
      <c r="C9" s="96"/>
      <c r="D9" s="80" t="s">
        <v>98</v>
      </c>
      <c r="E9" s="97"/>
      <c r="F9" s="650">
        <v>38</v>
      </c>
      <c r="G9" s="98">
        <v>1698.8999999999999</v>
      </c>
      <c r="H9" s="83">
        <f t="shared" si="0"/>
        <v>64558.2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2486.1951219512184</v>
      </c>
      <c r="O9" s="86">
        <f t="shared" si="2"/>
        <v>124.30975609756092</v>
      </c>
      <c r="P9" s="88">
        <f t="shared" si="3"/>
        <v>1</v>
      </c>
      <c r="Q9" s="89">
        <f t="shared" si="4"/>
        <v>-12.532349165596969</v>
      </c>
      <c r="R9" s="90">
        <f t="shared" si="5"/>
        <v>0.90841744840525296</v>
      </c>
      <c r="S9" s="590"/>
      <c r="T9" s="91">
        <v>0.5444444444444444</v>
      </c>
      <c r="U9" s="91">
        <v>0.57291666666666663</v>
      </c>
      <c r="V9" s="75">
        <v>5</v>
      </c>
      <c r="W9" s="84">
        <f t="shared" si="8"/>
        <v>41.000000000000014</v>
      </c>
      <c r="X9" s="94"/>
      <c r="Y9" s="94"/>
      <c r="Z9" s="95"/>
      <c r="AA9" s="95"/>
      <c r="AB9" s="571"/>
      <c r="AC9" s="571"/>
      <c r="AD9" s="332">
        <v>1</v>
      </c>
      <c r="AE9" s="332"/>
      <c r="AF9" s="88">
        <f t="shared" si="6"/>
        <v>-113.80487804878157</v>
      </c>
      <c r="AG9" s="90">
        <f t="shared" si="7"/>
        <v>0.95622889305816094</v>
      </c>
      <c r="AH9" s="590"/>
    </row>
    <row r="10" spans="1:34" ht="19.2" customHeight="1">
      <c r="A10" s="628"/>
      <c r="B10" s="78" t="s">
        <v>242</v>
      </c>
      <c r="C10" s="79"/>
      <c r="D10" s="80" t="s">
        <v>97</v>
      </c>
      <c r="E10" s="81"/>
      <c r="F10" s="650">
        <v>38.630952380952372</v>
      </c>
      <c r="G10" s="82">
        <v>1313.8999999999999</v>
      </c>
      <c r="H10" s="83">
        <f t="shared" si="0"/>
        <v>50757.208333333314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2463.5624999999964</v>
      </c>
      <c r="O10" s="86">
        <f t="shared" si="2"/>
        <v>129.66118421052613</v>
      </c>
      <c r="P10" s="88">
        <f t="shared" si="3"/>
        <v>1</v>
      </c>
      <c r="Q10" s="89">
        <f t="shared" si="4"/>
        <v>-14.783260233918327</v>
      </c>
      <c r="R10" s="90">
        <f t="shared" si="5"/>
        <v>0.8976543522267193</v>
      </c>
      <c r="S10" s="593"/>
      <c r="T10" s="91">
        <v>0.57777777777777772</v>
      </c>
      <c r="U10" s="91">
        <v>0.6</v>
      </c>
      <c r="V10" s="75">
        <v>7</v>
      </c>
      <c r="W10" s="84">
        <f t="shared" si="8"/>
        <v>32.000000000000043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-136.43750000000364</v>
      </c>
      <c r="AG10" s="90">
        <f t="shared" si="7"/>
        <v>0.9475240384615371</v>
      </c>
      <c r="AH10" s="593"/>
    </row>
    <row r="11" spans="1:34" ht="19.2" customHeight="1">
      <c r="A11" s="628"/>
      <c r="B11" s="78" t="s">
        <v>242</v>
      </c>
      <c r="C11" s="79"/>
      <c r="D11" s="80" t="s">
        <v>96</v>
      </c>
      <c r="E11" s="81"/>
      <c r="F11" s="650">
        <v>31.266131815044861</v>
      </c>
      <c r="G11" s="82">
        <v>840</v>
      </c>
      <c r="H11" s="83">
        <f t="shared" si="0"/>
        <v>26263.550724637684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2400.0000000000086</v>
      </c>
      <c r="O11" s="86">
        <f t="shared" si="2"/>
        <v>126.31578947368466</v>
      </c>
      <c r="P11" s="88">
        <f t="shared" si="3"/>
        <v>1</v>
      </c>
      <c r="Q11" s="89">
        <f t="shared" si="4"/>
        <v>-18.128654970759797</v>
      </c>
      <c r="R11" s="90">
        <f t="shared" si="5"/>
        <v>0.87449392712550911</v>
      </c>
      <c r="S11" s="593"/>
      <c r="T11" s="91">
        <v>0.61597222222222214</v>
      </c>
      <c r="U11" s="91">
        <v>0.63055555555555542</v>
      </c>
      <c r="V11" s="75">
        <v>23</v>
      </c>
      <c r="W11" s="84">
        <f t="shared" si="8"/>
        <v>20.999999999999925</v>
      </c>
      <c r="X11" s="94">
        <v>0.60347222222222219</v>
      </c>
      <c r="Y11" s="94">
        <v>0.61319444444444449</v>
      </c>
      <c r="Z11" s="95"/>
      <c r="AA11" s="95"/>
      <c r="AB11" s="571"/>
      <c r="AC11" s="571"/>
      <c r="AD11" s="332"/>
      <c r="AE11" s="332"/>
      <c r="AF11" s="88">
        <f t="shared" si="6"/>
        <v>-199.99999999999136</v>
      </c>
      <c r="AG11" s="90">
        <f t="shared" si="7"/>
        <v>0.92307692307692635</v>
      </c>
      <c r="AH11" s="593"/>
    </row>
    <row r="12" spans="1:34" ht="19.2" customHeight="1">
      <c r="A12" s="628"/>
      <c r="B12" s="78" t="s">
        <v>242</v>
      </c>
      <c r="C12" s="79"/>
      <c r="D12" s="80" t="s">
        <v>95</v>
      </c>
      <c r="E12" s="81"/>
      <c r="F12" s="650">
        <v>37.94</v>
      </c>
      <c r="G12" s="82">
        <v>1520.3999999999999</v>
      </c>
      <c r="H12" s="83">
        <f t="shared" si="0"/>
        <v>57683.975999999988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2171.9999999999991</v>
      </c>
      <c r="O12" s="86">
        <f t="shared" si="2"/>
        <v>108.59999999999995</v>
      </c>
      <c r="P12" s="88">
        <f t="shared" si="3"/>
        <v>0</v>
      </c>
      <c r="Q12" s="89">
        <f t="shared" si="4"/>
        <v>-11.400000000000048</v>
      </c>
      <c r="R12" s="90">
        <f t="shared" si="5"/>
        <v>0.90499999999999958</v>
      </c>
      <c r="S12" s="593"/>
      <c r="T12" s="91">
        <v>0.63541666666666652</v>
      </c>
      <c r="U12" s="91">
        <v>0.66458333333333319</v>
      </c>
      <c r="V12" s="75">
        <v>7</v>
      </c>
      <c r="W12" s="84">
        <f t="shared" si="8"/>
        <v>42.000000000000014</v>
      </c>
      <c r="X12" s="94"/>
      <c r="Y12" s="94"/>
      <c r="Z12" s="95"/>
      <c r="AA12" s="95"/>
      <c r="AB12" s="571"/>
      <c r="AC12" s="571"/>
      <c r="AD12" s="332"/>
      <c r="AE12" s="332"/>
      <c r="AF12" s="88">
        <f t="shared" si="6"/>
        <v>-228.00000000000091</v>
      </c>
      <c r="AG12" s="90">
        <f t="shared" si="7"/>
        <v>0.90499999999999958</v>
      </c>
      <c r="AH12" s="593"/>
    </row>
    <row r="13" spans="1:34" ht="19.2" customHeight="1">
      <c r="A13" s="628"/>
      <c r="B13" s="78" t="s">
        <v>247</v>
      </c>
      <c r="C13" s="99"/>
      <c r="D13" s="100" t="s">
        <v>298</v>
      </c>
      <c r="E13" s="101"/>
      <c r="F13" s="650">
        <v>50.67</v>
      </c>
      <c r="G13" s="102">
        <v>2334</v>
      </c>
      <c r="H13" s="83">
        <f t="shared" si="0"/>
        <v>118263.78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1321.132075471699</v>
      </c>
      <c r="O13" s="86">
        <f t="shared" si="2"/>
        <v>73.396226415094389</v>
      </c>
      <c r="P13" s="88">
        <f t="shared" si="3"/>
        <v>0</v>
      </c>
      <c r="Q13" s="89">
        <f t="shared" si="4"/>
        <v>-9.9371069182389391</v>
      </c>
      <c r="R13" s="90">
        <f t="shared" si="5"/>
        <v>0.88075471698113272</v>
      </c>
      <c r="S13" s="593"/>
      <c r="T13" s="105">
        <v>0.70833333333333337</v>
      </c>
      <c r="U13" s="105">
        <v>0.78194444444444444</v>
      </c>
      <c r="V13" s="103">
        <v>5</v>
      </c>
      <c r="W13" s="84">
        <f t="shared" si="8"/>
        <v>105.99999999999994</v>
      </c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-178.86792452830105</v>
      </c>
      <c r="AG13" s="90">
        <f t="shared" si="7"/>
        <v>0.88075471698113261</v>
      </c>
      <c r="AH13" s="593"/>
    </row>
    <row r="14" spans="1:34" ht="19.2" customHeight="1">
      <c r="A14" s="628"/>
      <c r="B14" s="78">
        <v>0</v>
      </c>
      <c r="C14" s="109"/>
      <c r="D14" s="80"/>
      <c r="E14" s="81"/>
      <c r="F14" s="650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593"/>
      <c r="T14" s="105"/>
      <c r="U14" s="105"/>
      <c r="V14" s="103"/>
      <c r="W14" s="84"/>
      <c r="X14" s="106"/>
      <c r="Y14" s="106"/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J17:O17" si="9">AVERAGE(M5:M16)</f>
        <v>19.333333333333332</v>
      </c>
      <c r="N17" s="113">
        <f t="shared" si="9"/>
        <v>2276.8172351943726</v>
      </c>
      <c r="O17" s="116">
        <f t="shared" si="9"/>
        <v>117.52426369703709</v>
      </c>
      <c r="P17" s="107">
        <f t="shared" ref="P17:P22" si="10">M17-J17</f>
        <v>0.6666666666666643</v>
      </c>
      <c r="Q17" s="117">
        <f t="shared" ref="Q17:Q22" si="11">O17-L17</f>
        <v>-13.008549818232567</v>
      </c>
      <c r="R17" s="118">
        <f>O17/L17</f>
        <v>0.90034268420399266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1</v>
      </c>
      <c r="AE17" s="122">
        <f>SUM(AE5:AE16)</f>
        <v>0</v>
      </c>
      <c r="AF17" s="107">
        <f t="shared" si="6"/>
        <v>-156.51609813896084</v>
      </c>
      <c r="AG17" s="108">
        <f t="shared" si="7"/>
        <v>0.93567831583330374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2362</v>
      </c>
      <c r="H18" s="127">
        <f t="shared" ref="H18:H29" si="12">F18*G18</f>
        <v>87063.319999999992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2147.2727272727275</v>
      </c>
      <c r="O18" s="129">
        <f t="shared" ref="O18:O22" si="14">N18/M18</f>
        <v>119.2929292929293</v>
      </c>
      <c r="P18" s="95">
        <f t="shared" si="10"/>
        <v>1</v>
      </c>
      <c r="Q18" s="131">
        <f t="shared" si="11"/>
        <v>-13.060011883541279</v>
      </c>
      <c r="R18" s="132">
        <f t="shared" ref="R18:R22" si="15">O18/L18</f>
        <v>0.90132435465768812</v>
      </c>
      <c r="S18" s="575">
        <f>R30</f>
        <v>0.87963564049585952</v>
      </c>
      <c r="T18" s="133">
        <v>0.16666666666666666</v>
      </c>
      <c r="U18" s="133">
        <v>0.21249999999999999</v>
      </c>
      <c r="V18" s="332">
        <v>5</v>
      </c>
      <c r="W18" s="134">
        <f>(U18-T18)*24*60</f>
        <v>66</v>
      </c>
      <c r="X18" s="129"/>
      <c r="Y18" s="129"/>
      <c r="Z18" s="95"/>
      <c r="AA18" s="95"/>
      <c r="AB18" s="571"/>
      <c r="AC18" s="571"/>
      <c r="AD18" s="332"/>
      <c r="AE18" s="332">
        <v>1</v>
      </c>
      <c r="AF18" s="135">
        <f t="shared" si="6"/>
        <v>-102.72727272727252</v>
      </c>
      <c r="AG18" s="136">
        <f t="shared" si="7"/>
        <v>0.95434343434343438</v>
      </c>
      <c r="AH18" s="616">
        <f>AG30</f>
        <v>0.90393124872543384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2876.4</v>
      </c>
      <c r="H19" s="127">
        <f t="shared" si="12"/>
        <v>110424.996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1403.1219512195125</v>
      </c>
      <c r="O19" s="139">
        <f t="shared" si="14"/>
        <v>82.536585365853682</v>
      </c>
      <c r="P19" s="95">
        <f t="shared" si="10"/>
        <v>1</v>
      </c>
      <c r="Q19" s="131">
        <f t="shared" si="11"/>
        <v>-19.713414634146318</v>
      </c>
      <c r="R19" s="132">
        <f t="shared" si="15"/>
        <v>0.80720376885920475</v>
      </c>
      <c r="S19" s="575"/>
      <c r="T19" s="133">
        <v>0.22777777777777777</v>
      </c>
      <c r="U19" s="133">
        <v>0.31319444444444444</v>
      </c>
      <c r="V19" s="332">
        <v>22</v>
      </c>
      <c r="W19" s="134">
        <f>(U19-T19)*24*60</f>
        <v>122.99999999999999</v>
      </c>
      <c r="X19" s="140">
        <v>0.21597222222222223</v>
      </c>
      <c r="Y19" s="140">
        <v>0.22500000000000001</v>
      </c>
      <c r="Z19" s="95"/>
      <c r="AA19" s="95"/>
      <c r="AB19" s="571"/>
      <c r="AC19" s="571"/>
      <c r="AD19" s="332"/>
      <c r="AE19" s="332"/>
      <c r="AF19" s="88">
        <f t="shared" si="6"/>
        <v>-232.87804878048746</v>
      </c>
      <c r="AG19" s="90">
        <f t="shared" si="7"/>
        <v>0.85765400441290496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1952</v>
      </c>
      <c r="H20" s="127">
        <f t="shared" si="12"/>
        <v>84209.279999999999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1377.8823529411764</v>
      </c>
      <c r="O20" s="139">
        <f t="shared" si="14"/>
        <v>86.117647058823522</v>
      </c>
      <c r="P20" s="95">
        <f t="shared" si="10"/>
        <v>0</v>
      </c>
      <c r="Q20" s="131">
        <f t="shared" si="11"/>
        <v>-3.8823529411764781</v>
      </c>
      <c r="R20" s="132">
        <f t="shared" si="15"/>
        <v>0.95686274509803915</v>
      </c>
      <c r="S20" s="575"/>
      <c r="T20" s="133">
        <v>0.31805555555555554</v>
      </c>
      <c r="U20" s="133">
        <v>0.37708333333333333</v>
      </c>
      <c r="V20" s="332">
        <v>7</v>
      </c>
      <c r="W20" s="134">
        <f t="shared" ref="W20:W29" si="16">(U20-T20)*24*60</f>
        <v>85.000000000000014</v>
      </c>
      <c r="X20" s="140"/>
      <c r="Y20" s="140"/>
      <c r="Z20" s="95"/>
      <c r="AA20" s="95"/>
      <c r="AB20" s="571"/>
      <c r="AC20" s="571"/>
      <c r="AD20" s="332"/>
      <c r="AE20" s="332"/>
      <c r="AF20" s="135">
        <f t="shared" si="6"/>
        <v>-62.11764705882365</v>
      </c>
      <c r="AG20" s="136">
        <f t="shared" si="7"/>
        <v>0.95686274509803915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3231</v>
      </c>
      <c r="H21" s="127">
        <f t="shared" si="12"/>
        <v>123101.1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1292.3999999999996</v>
      </c>
      <c r="O21" s="139">
        <f t="shared" si="14"/>
        <v>76.023529411764684</v>
      </c>
      <c r="P21" s="95">
        <f t="shared" si="10"/>
        <v>0</v>
      </c>
      <c r="Q21" s="131">
        <f t="shared" si="11"/>
        <v>-12.211764705882374</v>
      </c>
      <c r="R21" s="132">
        <f t="shared" si="15"/>
        <v>0.86159999999999981</v>
      </c>
      <c r="S21" s="575"/>
      <c r="T21" s="133">
        <v>0.39166666666666666</v>
      </c>
      <c r="U21" s="133">
        <v>0.49583333333333335</v>
      </c>
      <c r="V21" s="332">
        <v>21</v>
      </c>
      <c r="W21" s="134">
        <f t="shared" si="16"/>
        <v>150.00000000000003</v>
      </c>
      <c r="X21" s="140">
        <v>0.38055555555555554</v>
      </c>
      <c r="Y21" s="140">
        <v>0.3888888888888889</v>
      </c>
      <c r="Z21" s="95"/>
      <c r="AA21" s="95"/>
      <c r="AB21" s="571"/>
      <c r="AC21" s="571"/>
      <c r="AD21" s="332"/>
      <c r="AE21" s="332"/>
      <c r="AF21" s="88">
        <f t="shared" si="6"/>
        <v>-207.60000000000036</v>
      </c>
      <c r="AG21" s="90">
        <f t="shared" si="7"/>
        <v>0.86159999999999981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2154</v>
      </c>
      <c r="H22" s="127">
        <f t="shared" si="12"/>
        <v>82067.400000000009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1305.454545454546</v>
      </c>
      <c r="O22" s="139">
        <f t="shared" si="14"/>
        <v>76.791443850267413</v>
      </c>
      <c r="P22" s="95">
        <f t="shared" si="10"/>
        <v>0</v>
      </c>
      <c r="Q22" s="131">
        <f t="shared" si="11"/>
        <v>-11.443850267379645</v>
      </c>
      <c r="R22" s="132">
        <f t="shared" si="15"/>
        <v>0.87030303030303069</v>
      </c>
      <c r="S22" s="575"/>
      <c r="T22" s="133">
        <v>0.53611111111111109</v>
      </c>
      <c r="U22" s="133">
        <v>0.60486111111111107</v>
      </c>
      <c r="V22" s="332">
        <v>5</v>
      </c>
      <c r="W22" s="134">
        <f t="shared" si="16"/>
        <v>98.999999999999972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-194.54545454545405</v>
      </c>
      <c r="AG22" s="136">
        <f t="shared" si="7"/>
        <v>0.87030303030303069</v>
      </c>
      <c r="AH22" s="618"/>
    </row>
    <row r="23" spans="1:34" ht="19.2" customHeight="1">
      <c r="A23" s="574"/>
      <c r="B23" s="219">
        <v>0</v>
      </c>
      <c r="C23" s="141"/>
      <c r="D23" s="80"/>
      <c r="E23" s="81"/>
      <c r="F23" s="650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575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0</v>
      </c>
      <c r="AG23" s="90" t="e">
        <f t="shared" si="7"/>
        <v>#DIV/0!</v>
      </c>
      <c r="AH23" s="618"/>
    </row>
    <row r="24" spans="1:34" ht="19.2" customHeight="1">
      <c r="A24" s="574"/>
      <c r="B24" s="219">
        <v>0</v>
      </c>
      <c r="C24" s="124"/>
      <c r="D24" s="125"/>
      <c r="E24" s="126"/>
      <c r="F24" s="650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575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0</v>
      </c>
      <c r="AG24" s="136" t="e">
        <f t="shared" si="7"/>
        <v>#DIV/0!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J30:O30" si="17">AVERAGE(M18:M29)</f>
        <v>17</v>
      </c>
      <c r="N30" s="145">
        <f t="shared" si="17"/>
        <v>1505.2263153775925</v>
      </c>
      <c r="O30" s="148">
        <f t="shared" si="17"/>
        <v>88.152426995927712</v>
      </c>
      <c r="P30" s="95">
        <f t="shared" ref="P30:P37" si="18">M30-J30</f>
        <v>0.39999999999999858</v>
      </c>
      <c r="Q30" s="131">
        <f t="shared" ref="Q30:Q37" si="19">O30-L30</f>
        <v>-12.062278886425233</v>
      </c>
      <c r="R30" s="149">
        <f t="shared" ref="R30:R37" si="20">O30/L30</f>
        <v>0.87963564049585952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1</v>
      </c>
      <c r="AF30" s="152">
        <f t="shared" si="6"/>
        <v>-159.97368462240752</v>
      </c>
      <c r="AG30" s="153">
        <f t="shared" ref="AG30" si="21">N30/K30</f>
        <v>0.90393124872543384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2277</v>
      </c>
      <c r="H31" s="157">
        <f t="shared" ref="H31:H40" si="22">F31*G31</f>
        <v>77941.709999999992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2070</v>
      </c>
      <c r="O31" s="160">
        <f t="shared" ref="O31:O37" si="24">N31/M31</f>
        <v>159.23076923076923</v>
      </c>
      <c r="P31" s="161">
        <f t="shared" si="18"/>
        <v>0</v>
      </c>
      <c r="Q31" s="162">
        <f t="shared" si="19"/>
        <v>-13.84615384615384</v>
      </c>
      <c r="R31" s="166">
        <f t="shared" si="20"/>
        <v>0.92</v>
      </c>
      <c r="S31" s="614">
        <f>R43</f>
        <v>0.86197400183874817</v>
      </c>
      <c r="T31" s="163">
        <v>0.16666666666666666</v>
      </c>
      <c r="U31" s="163">
        <v>0.21249999999999999</v>
      </c>
      <c r="V31" s="93">
        <v>5</v>
      </c>
      <c r="W31" s="164">
        <f t="shared" ref="W31:W42" si="25">(U31-T31)*24*60</f>
        <v>66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-180</v>
      </c>
      <c r="AG31" s="165">
        <f t="shared" si="7"/>
        <v>0.92</v>
      </c>
      <c r="AH31" s="592">
        <f>AG43</f>
        <v>0.87021049099079506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2323</v>
      </c>
      <c r="H32" s="127">
        <f t="shared" si="22"/>
        <v>82071.59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1963.0985915492961</v>
      </c>
      <c r="O32" s="86">
        <f t="shared" si="24"/>
        <v>163.59154929577468</v>
      </c>
      <c r="P32" s="88">
        <f t="shared" si="18"/>
        <v>0</v>
      </c>
      <c r="Q32" s="89">
        <f t="shared" si="19"/>
        <v>-12.908450704225316</v>
      </c>
      <c r="R32" s="90">
        <f t="shared" si="20"/>
        <v>0.92686430195906333</v>
      </c>
      <c r="S32" s="575"/>
      <c r="T32" s="133">
        <v>0.21736111111111112</v>
      </c>
      <c r="U32" s="133">
        <v>0.26666666666666666</v>
      </c>
      <c r="V32" s="332">
        <v>7</v>
      </c>
      <c r="W32" s="134">
        <f t="shared" si="25"/>
        <v>70.999999999999986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-154.90140845070391</v>
      </c>
      <c r="AG32" s="90">
        <f t="shared" si="7"/>
        <v>0.92686430195906333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3086.6499999999996</v>
      </c>
      <c r="H33" s="127">
        <f t="shared" si="22"/>
        <v>112384.92649999997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2231.313253012047</v>
      </c>
      <c r="O33" s="86">
        <f t="shared" si="24"/>
        <v>223.1313253012047</v>
      </c>
      <c r="P33" s="88">
        <f t="shared" si="18"/>
        <v>0</v>
      </c>
      <c r="Q33" s="89">
        <f t="shared" si="19"/>
        <v>-53.76867469879528</v>
      </c>
      <c r="R33" s="90">
        <f t="shared" si="20"/>
        <v>0.80581915962876383</v>
      </c>
      <c r="S33" s="575"/>
      <c r="T33" s="133">
        <v>0.28263888888888888</v>
      </c>
      <c r="U33" s="133">
        <v>0.34027777777777779</v>
      </c>
      <c r="V33" s="332">
        <v>23</v>
      </c>
      <c r="W33" s="134">
        <f t="shared" si="25"/>
        <v>83.000000000000028</v>
      </c>
      <c r="X33" s="169">
        <v>0.27013888888888887</v>
      </c>
      <c r="Y33" s="169">
        <v>0.27986111111111112</v>
      </c>
      <c r="Z33" s="170"/>
      <c r="AA33" s="170"/>
      <c r="AB33" s="571"/>
      <c r="AC33" s="571"/>
      <c r="AD33" s="332"/>
      <c r="AE33" s="332"/>
      <c r="AF33" s="88">
        <f t="shared" si="6"/>
        <v>-537.68674698795303</v>
      </c>
      <c r="AG33" s="171">
        <f t="shared" si="7"/>
        <v>0.80581915962876383</v>
      </c>
      <c r="AH33" s="590"/>
    </row>
    <row r="34" spans="1:34" ht="19.2" customHeight="1">
      <c r="A34" s="613"/>
      <c r="B34" s="167" t="s">
        <v>247</v>
      </c>
      <c r="C34" s="172"/>
      <c r="D34" s="125" t="s">
        <v>110</v>
      </c>
      <c r="E34" s="126"/>
      <c r="F34" s="650">
        <v>53.27</v>
      </c>
      <c r="G34" s="98">
        <v>1343</v>
      </c>
      <c r="H34" s="127">
        <f t="shared" si="22"/>
        <v>71541.61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1320.9836065573766</v>
      </c>
      <c r="O34" s="86">
        <f t="shared" si="24"/>
        <v>73.387978142076477</v>
      </c>
      <c r="P34" s="88">
        <f t="shared" si="18"/>
        <v>0</v>
      </c>
      <c r="Q34" s="89">
        <f t="shared" si="19"/>
        <v>-9.9453551912568514</v>
      </c>
      <c r="R34" s="90">
        <f t="shared" si="20"/>
        <v>0.88065573770491778</v>
      </c>
      <c r="S34" s="575"/>
      <c r="T34" s="133">
        <v>0.34583333333333333</v>
      </c>
      <c r="U34" s="133">
        <v>0.38819444444444445</v>
      </c>
      <c r="V34" s="332">
        <v>8</v>
      </c>
      <c r="W34" s="134">
        <f t="shared" si="25"/>
        <v>61.000000000000021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-179.01639344262344</v>
      </c>
      <c r="AG34" s="171">
        <f t="shared" si="7"/>
        <v>0.88065573770491767</v>
      </c>
      <c r="AH34" s="590"/>
    </row>
    <row r="35" spans="1:34" ht="19.2" customHeight="1">
      <c r="A35" s="613"/>
      <c r="B35" s="167" t="s">
        <v>245</v>
      </c>
      <c r="C35" s="79"/>
      <c r="D35" s="80" t="s">
        <v>111</v>
      </c>
      <c r="E35" s="81"/>
      <c r="F35" s="650">
        <v>29.113149847094796</v>
      </c>
      <c r="G35" s="173">
        <v>2572.56</v>
      </c>
      <c r="H35" s="127">
        <f t="shared" si="22"/>
        <v>74895.324770642183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1330.6344827586208</v>
      </c>
      <c r="O35" s="86">
        <f t="shared" si="24"/>
        <v>66.531724137931036</v>
      </c>
      <c r="P35" s="88">
        <f t="shared" si="18"/>
        <v>0</v>
      </c>
      <c r="Q35" s="89">
        <f t="shared" si="19"/>
        <v>-8.468275862068964</v>
      </c>
      <c r="R35" s="90">
        <f t="shared" si="20"/>
        <v>0.88708965517241378</v>
      </c>
      <c r="S35" s="575"/>
      <c r="T35" s="133">
        <v>0.39374999999999999</v>
      </c>
      <c r="U35" s="133">
        <v>0.47430555555555554</v>
      </c>
      <c r="V35" s="332">
        <v>8</v>
      </c>
      <c r="W35" s="134">
        <f t="shared" si="25"/>
        <v>115.99999999999999</v>
      </c>
      <c r="X35" s="169"/>
      <c r="Y35" s="169"/>
      <c r="Z35" s="170"/>
      <c r="AA35" s="170"/>
      <c r="AB35" s="571"/>
      <c r="AC35" s="571"/>
      <c r="AD35" s="332"/>
      <c r="AE35" s="332"/>
      <c r="AF35" s="161">
        <f t="shared" si="6"/>
        <v>-169.36551724137917</v>
      </c>
      <c r="AG35" s="165">
        <f t="shared" si="7"/>
        <v>0.88708965517241389</v>
      </c>
      <c r="AH35" s="593"/>
    </row>
    <row r="36" spans="1:34" ht="19.2" customHeight="1">
      <c r="A36" s="613"/>
      <c r="B36" s="167" t="s">
        <v>244</v>
      </c>
      <c r="C36" s="175"/>
      <c r="D36" s="80" t="s">
        <v>105</v>
      </c>
      <c r="E36" s="126"/>
      <c r="F36" s="650">
        <v>38.39</v>
      </c>
      <c r="G36" s="98">
        <v>507.59999999999997</v>
      </c>
      <c r="H36" s="127">
        <f t="shared" si="22"/>
        <v>19486.763999999999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1324.173913043483</v>
      </c>
      <c r="O36" s="86">
        <f t="shared" si="24"/>
        <v>77.89258312020489</v>
      </c>
      <c r="P36" s="88">
        <f t="shared" si="18"/>
        <v>1</v>
      </c>
      <c r="Q36" s="89">
        <f t="shared" si="19"/>
        <v>-24.35741687979511</v>
      </c>
      <c r="R36" s="90">
        <f t="shared" si="20"/>
        <v>0.76178565398733389</v>
      </c>
      <c r="S36" s="575"/>
      <c r="T36" s="133">
        <v>0.51458333333333328</v>
      </c>
      <c r="U36" s="133">
        <v>0.53055555555555545</v>
      </c>
      <c r="V36" s="332">
        <v>5</v>
      </c>
      <c r="W36" s="134">
        <f t="shared" si="25"/>
        <v>22.999999999999918</v>
      </c>
      <c r="X36" s="169"/>
      <c r="Y36" s="169"/>
      <c r="Z36" s="170"/>
      <c r="AA36" s="170"/>
      <c r="AB36" s="571"/>
      <c r="AC36" s="571"/>
      <c r="AD36" s="332"/>
      <c r="AE36" s="332"/>
      <c r="AF36" s="88">
        <f t="shared" si="6"/>
        <v>-311.82608695651697</v>
      </c>
      <c r="AG36" s="90">
        <f t="shared" si="7"/>
        <v>0.80939725736154222</v>
      </c>
      <c r="AH36" s="593"/>
    </row>
    <row r="37" spans="1:34" ht="19.2" customHeight="1">
      <c r="A37" s="613"/>
      <c r="B37" s="167" t="s">
        <v>245</v>
      </c>
      <c r="C37" s="175"/>
      <c r="D37" s="125" t="s">
        <v>111</v>
      </c>
      <c r="E37" s="126"/>
      <c r="F37" s="650">
        <v>29.113149847094796</v>
      </c>
      <c r="G37" s="98">
        <v>786.06000000000006</v>
      </c>
      <c r="H37" s="127">
        <f t="shared" si="22"/>
        <v>22884.682568807337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1310.099999999999</v>
      </c>
      <c r="O37" s="86">
        <f t="shared" si="24"/>
        <v>65.504999999999953</v>
      </c>
      <c r="P37" s="88">
        <f t="shared" si="18"/>
        <v>0</v>
      </c>
      <c r="Q37" s="89">
        <f t="shared" si="19"/>
        <v>-9.4950000000000472</v>
      </c>
      <c r="R37" s="90">
        <f t="shared" si="20"/>
        <v>0.8733999999999994</v>
      </c>
      <c r="S37" s="575"/>
      <c r="T37" s="133">
        <v>0.53611111111111098</v>
      </c>
      <c r="U37" s="133">
        <v>0.56111111111111101</v>
      </c>
      <c r="V37" s="332">
        <v>8</v>
      </c>
      <c r="W37" s="134">
        <f t="shared" si="25"/>
        <v>36.000000000000028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-189.900000000001</v>
      </c>
      <c r="AG37" s="171">
        <f t="shared" si="7"/>
        <v>0.87339999999999929</v>
      </c>
      <c r="AH37" s="593"/>
    </row>
    <row r="38" spans="1:34" ht="19.2" customHeight="1">
      <c r="A38" s="613"/>
      <c r="B38" s="167">
        <v>0</v>
      </c>
      <c r="C38" s="175"/>
      <c r="D38" s="125"/>
      <c r="E38" s="126"/>
      <c r="F38" s="650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575"/>
      <c r="T38" s="133"/>
      <c r="U38" s="133"/>
      <c r="V38" s="332"/>
      <c r="W38" s="134"/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0</v>
      </c>
      <c r="AG38" s="171" t="e">
        <f t="shared" si="7"/>
        <v>#DIV/0!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J43:O43" si="26">AVERAGE(M31:M42)</f>
        <v>15.714285714285714</v>
      </c>
      <c r="N43" s="145">
        <f t="shared" si="26"/>
        <v>1650.0434067029746</v>
      </c>
      <c r="O43" s="148">
        <f t="shared" si="26"/>
        <v>118.46727560399442</v>
      </c>
      <c r="P43" s="95">
        <f>M43-J43</f>
        <v>0.14285714285714235</v>
      </c>
      <c r="Q43" s="131">
        <f>N43-K43</f>
        <v>-246.0994504398825</v>
      </c>
      <c r="R43" s="149">
        <f t="shared" ref="R43:R51" si="27">O43/L43</f>
        <v>0.86197400183874817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0</v>
      </c>
      <c r="AE43" s="151">
        <f>SUM(AE31:AE42)</f>
        <v>0</v>
      </c>
      <c r="AF43" s="88">
        <f t="shared" ref="AF43:AF54" si="28">N43-K43</f>
        <v>-246.0994504398825</v>
      </c>
      <c r="AG43" s="108">
        <f t="shared" si="7"/>
        <v>0.87021049099079506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548</v>
      </c>
      <c r="H44" s="83">
        <f>F44*G44</f>
        <v>12203.96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1826.6666666666654</v>
      </c>
      <c r="O44" s="187">
        <f>N44/M44</f>
        <v>365.33333333333309</v>
      </c>
      <c r="P44" s="92">
        <f t="shared" ref="P44:P51" si="29">M44-J44</f>
        <v>1</v>
      </c>
      <c r="Q44" s="188">
        <f t="shared" ref="Q44:Q51" si="30">O44-L44</f>
        <v>-134.66666666666691</v>
      </c>
      <c r="R44" s="189">
        <f t="shared" si="27"/>
        <v>0.73066666666666613</v>
      </c>
      <c r="S44" s="590">
        <f>R56</f>
        <v>0.8658102897603478</v>
      </c>
      <c r="T44" s="190">
        <v>0.16666666666666666</v>
      </c>
      <c r="U44" s="190">
        <v>0.17916666666666667</v>
      </c>
      <c r="V44" s="191">
        <v>5</v>
      </c>
      <c r="W44" s="192">
        <f t="shared" ref="W44:W56" si="31">(U44-T44)*24*60</f>
        <v>18.000000000000014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-173.33333333333462</v>
      </c>
      <c r="AG44" s="194">
        <f t="shared" si="7"/>
        <v>0.91333333333333266</v>
      </c>
      <c r="AH44" s="611">
        <f>AG56</f>
        <v>0.99594533105011962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2724</v>
      </c>
      <c r="H45" s="83">
        <f>F45*G45</f>
        <v>67364.52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2122.5974025974028</v>
      </c>
      <c r="O45" s="187">
        <f>N45/M45</f>
        <v>424.51948051948057</v>
      </c>
      <c r="P45" s="92">
        <f t="shared" si="29"/>
        <v>1</v>
      </c>
      <c r="Q45" s="188">
        <f t="shared" si="30"/>
        <v>-75.480519480519433</v>
      </c>
      <c r="R45" s="189">
        <f t="shared" si="27"/>
        <v>0.84903896103896115</v>
      </c>
      <c r="S45" s="590"/>
      <c r="T45" s="190">
        <v>0.18263888888888888</v>
      </c>
      <c r="U45" s="190">
        <v>0.2361111111111111</v>
      </c>
      <c r="V45" s="191">
        <v>5</v>
      </c>
      <c r="W45" s="192">
        <f t="shared" si="31"/>
        <v>77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122.59740259740283</v>
      </c>
      <c r="AG45" s="194">
        <f t="shared" si="7"/>
        <v>1.0612987012987014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2412</v>
      </c>
      <c r="H46" s="83">
        <f t="shared" ref="H46:H51" si="32">F46*G46</f>
        <v>59648.76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2128.2352941176468</v>
      </c>
      <c r="O46" s="187">
        <f>N46/M46</f>
        <v>425.64705882352939</v>
      </c>
      <c r="P46" s="92">
        <f t="shared" si="29"/>
        <v>1</v>
      </c>
      <c r="Q46" s="188">
        <f t="shared" si="30"/>
        <v>-74.352941176470608</v>
      </c>
      <c r="R46" s="189">
        <f t="shared" si="27"/>
        <v>0.85129411764705876</v>
      </c>
      <c r="S46" s="590"/>
      <c r="T46" s="190">
        <v>0.23958333333333331</v>
      </c>
      <c r="U46" s="190">
        <v>0.28680555555555554</v>
      </c>
      <c r="V46" s="191">
        <v>5</v>
      </c>
      <c r="W46" s="192">
        <f t="shared" si="31"/>
        <v>68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128.23529411764684</v>
      </c>
      <c r="AG46" s="194">
        <f t="shared" si="7"/>
        <v>1.0641176470588234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2565</v>
      </c>
      <c r="H47" s="83">
        <f t="shared" si="32"/>
        <v>80617.95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1451.8867924528297</v>
      </c>
      <c r="O47" s="187">
        <f>N47/M47</f>
        <v>207.41239892183282</v>
      </c>
      <c r="P47" s="92">
        <f t="shared" si="29"/>
        <v>0</v>
      </c>
      <c r="Q47" s="188">
        <f t="shared" si="30"/>
        <v>-6.8733153638814599</v>
      </c>
      <c r="R47" s="189">
        <f t="shared" si="27"/>
        <v>0.96792452830188647</v>
      </c>
      <c r="S47" s="590"/>
      <c r="T47" s="190">
        <v>0.30416666666666664</v>
      </c>
      <c r="U47" s="190">
        <v>0.37777777777777777</v>
      </c>
      <c r="V47" s="186">
        <v>25</v>
      </c>
      <c r="W47" s="192">
        <f t="shared" si="31"/>
        <v>106.00000000000003</v>
      </c>
      <c r="X47" s="169">
        <v>0.25555555555555559</v>
      </c>
      <c r="Y47" s="169">
        <v>0.30138888888888887</v>
      </c>
      <c r="Z47" s="170"/>
      <c r="AA47" s="170"/>
      <c r="AB47" s="571"/>
      <c r="AC47" s="571"/>
      <c r="AD47" s="332"/>
      <c r="AE47" s="332"/>
      <c r="AF47" s="193">
        <f t="shared" si="28"/>
        <v>-48.113207547170305</v>
      </c>
      <c r="AG47" s="194">
        <f t="shared" si="7"/>
        <v>0.96792452830188647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2196</v>
      </c>
      <c r="H48" s="83">
        <f t="shared" si="32"/>
        <v>25473.599999999999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1447.9120879120878</v>
      </c>
      <c r="O48" s="187">
        <f t="shared" ref="O48:O51" si="34">N48/M48</f>
        <v>206.84458398744113</v>
      </c>
      <c r="P48" s="92">
        <f t="shared" si="29"/>
        <v>0</v>
      </c>
      <c r="Q48" s="188">
        <f t="shared" si="30"/>
        <v>-26.869701726844596</v>
      </c>
      <c r="R48" s="189">
        <f t="shared" si="27"/>
        <v>0.8850318385770708</v>
      </c>
      <c r="S48" s="590"/>
      <c r="T48" s="201">
        <v>0.39513888888888887</v>
      </c>
      <c r="U48" s="201">
        <v>0.45833333333333331</v>
      </c>
      <c r="V48" s="183">
        <v>25</v>
      </c>
      <c r="W48" s="192">
        <f t="shared" si="31"/>
        <v>91</v>
      </c>
      <c r="X48" s="169">
        <v>0.38125000000000003</v>
      </c>
      <c r="Y48" s="169">
        <v>0.3923611111111111</v>
      </c>
      <c r="Z48" s="170"/>
      <c r="AA48" s="170"/>
      <c r="AB48" s="571"/>
      <c r="AC48" s="571"/>
      <c r="AD48" s="332"/>
      <c r="AE48" s="332"/>
      <c r="AF48" s="193">
        <f t="shared" si="28"/>
        <v>-188.08791208791217</v>
      </c>
      <c r="AG48" s="194">
        <f t="shared" si="7"/>
        <v>0.8850318385770708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2821.8</v>
      </c>
      <c r="H49" s="83">
        <f t="shared" si="32"/>
        <v>28471.962000000003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1459.5517241379312</v>
      </c>
      <c r="O49" s="187">
        <f t="shared" si="34"/>
        <v>243.2586206896552</v>
      </c>
      <c r="P49" s="92">
        <f t="shared" si="29"/>
        <v>0</v>
      </c>
      <c r="Q49" s="188">
        <f t="shared" si="30"/>
        <v>-6.7413793103447972</v>
      </c>
      <c r="R49" s="189">
        <f t="shared" si="27"/>
        <v>0.97303448275862081</v>
      </c>
      <c r="S49" s="590"/>
      <c r="T49" s="201">
        <v>0.46527777777777773</v>
      </c>
      <c r="U49" s="201">
        <v>0.54583333333333328</v>
      </c>
      <c r="V49" s="183">
        <v>10</v>
      </c>
      <c r="W49" s="192">
        <f t="shared" si="31"/>
        <v>115.99999999999999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-40.44827586206884</v>
      </c>
      <c r="AG49" s="194">
        <f t="shared" si="7"/>
        <v>0.97303448275862081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2962.89</v>
      </c>
      <c r="H50" s="83">
        <f t="shared" si="32"/>
        <v>29895.560099999999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1469.2016528925612</v>
      </c>
      <c r="O50" s="187">
        <f t="shared" si="34"/>
        <v>244.86694214876022</v>
      </c>
      <c r="P50" s="92">
        <f t="shared" si="29"/>
        <v>0</v>
      </c>
      <c r="Q50" s="188">
        <f t="shared" si="30"/>
        <v>-5.1330578512397835</v>
      </c>
      <c r="R50" s="189">
        <f t="shared" si="27"/>
        <v>0.97946776859504081</v>
      </c>
      <c r="S50" s="590"/>
      <c r="T50" s="201">
        <v>0.56666666666666665</v>
      </c>
      <c r="U50" s="201">
        <v>0.65069444444444446</v>
      </c>
      <c r="V50" s="183">
        <v>30</v>
      </c>
      <c r="W50" s="192">
        <f t="shared" si="31"/>
        <v>121.00000000000006</v>
      </c>
      <c r="X50" s="202">
        <v>0.5493055555555556</v>
      </c>
      <c r="Y50" s="202">
        <v>0.56388888888888888</v>
      </c>
      <c r="Z50" s="203"/>
      <c r="AA50" s="203"/>
      <c r="AB50" s="571"/>
      <c r="AC50" s="571"/>
      <c r="AD50" s="332"/>
      <c r="AE50" s="332"/>
      <c r="AF50" s="193">
        <f t="shared" si="28"/>
        <v>-30.798347107438758</v>
      </c>
      <c r="AG50" s="194">
        <f t="shared" si="7"/>
        <v>0.97946776859504081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1376</v>
      </c>
      <c r="H51" s="83">
        <f t="shared" si="32"/>
        <v>30161.920000000002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2172.6315789473665</v>
      </c>
      <c r="O51" s="187">
        <f t="shared" si="34"/>
        <v>434.5263157894733</v>
      </c>
      <c r="P51" s="92">
        <f t="shared" si="29"/>
        <v>1</v>
      </c>
      <c r="Q51" s="188">
        <f t="shared" si="30"/>
        <v>-65.473684210526699</v>
      </c>
      <c r="R51" s="189">
        <f t="shared" si="27"/>
        <v>0.86905263157894663</v>
      </c>
      <c r="S51" s="590"/>
      <c r="T51" s="201">
        <v>0.65763888888888888</v>
      </c>
      <c r="U51" s="201">
        <v>0.68402777777777779</v>
      </c>
      <c r="V51" s="183">
        <v>10</v>
      </c>
      <c r="W51" s="192">
        <f t="shared" si="31"/>
        <v>38.000000000000028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172.63157894736651</v>
      </c>
      <c r="AG51" s="194">
        <f t="shared" si="7"/>
        <v>1.0863157894736832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1759.8353999655615</v>
      </c>
      <c r="O56" s="148">
        <f t="shared" si="35"/>
        <v>319.05109177668817</v>
      </c>
      <c r="P56" s="208">
        <f>M56-J56</f>
        <v>0.5</v>
      </c>
      <c r="Q56" s="162">
        <f>N56-K56</f>
        <v>-7.1646000344385357</v>
      </c>
      <c r="R56" s="209">
        <f t="shared" ref="R56:R61" si="36">O56/L56</f>
        <v>0.8658102897603478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-7.1646000344385357</v>
      </c>
      <c r="AG56" s="132">
        <f>N56/K56</f>
        <v>0.99594533105011962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1700</v>
      </c>
      <c r="H57" s="127">
        <f t="shared" ref="H57:H66" si="37">F57*G57</f>
        <v>48042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1457.1428571428576</v>
      </c>
      <c r="O57" s="129">
        <f t="shared" ref="O57:O61" si="39">N57/M57</f>
        <v>208.1632653061225</v>
      </c>
      <c r="P57" s="216">
        <f t="shared" ref="P57:P61" si="40">M57-J57</f>
        <v>0</v>
      </c>
      <c r="Q57" s="89">
        <f t="shared" ref="Q57:Q61" si="41">O57-L57</f>
        <v>-6.1224489795917805</v>
      </c>
      <c r="R57" s="90">
        <f t="shared" si="36"/>
        <v>0.97142857142857164</v>
      </c>
      <c r="S57" s="590">
        <f>R69</f>
        <v>0.91744363390984784</v>
      </c>
      <c r="T57" s="190">
        <v>0.16666666666666666</v>
      </c>
      <c r="U57" s="190">
        <v>0.21527777777777776</v>
      </c>
      <c r="V57" s="75">
        <v>5</v>
      </c>
      <c r="W57" s="84">
        <f>(U57-T57)*24*60</f>
        <v>69.999999999999986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-42.857142857142435</v>
      </c>
      <c r="AG57" s="166">
        <f t="shared" si="7"/>
        <v>0.97142857142857175</v>
      </c>
      <c r="AH57" s="592">
        <f>AG69</f>
        <v>0.97860654283717097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2743</v>
      </c>
      <c r="H58" s="83">
        <f t="shared" si="37"/>
        <v>76474.84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1456.4601769911503</v>
      </c>
      <c r="O58" s="86">
        <f t="shared" si="39"/>
        <v>208.06573957016434</v>
      </c>
      <c r="P58" s="216">
        <f t="shared" si="40"/>
        <v>0</v>
      </c>
      <c r="Q58" s="89">
        <f t="shared" si="41"/>
        <v>-6.2199747155499381</v>
      </c>
      <c r="R58" s="90">
        <f t="shared" si="36"/>
        <v>0.97097345132743362</v>
      </c>
      <c r="S58" s="590"/>
      <c r="T58" s="217">
        <v>0.22222222222222221</v>
      </c>
      <c r="U58" s="217">
        <v>0.30069444444444443</v>
      </c>
      <c r="V58" s="75">
        <v>10</v>
      </c>
      <c r="W58" s="84">
        <f>(U58-T58)*24*60</f>
        <v>113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-43.53982300884968</v>
      </c>
      <c r="AG58" s="90">
        <f t="shared" si="7"/>
        <v>0.97097345132743351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2963</v>
      </c>
      <c r="H59" s="83">
        <f t="shared" si="37"/>
        <v>82964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1445.3658536585363</v>
      </c>
      <c r="O59" s="86">
        <f t="shared" si="39"/>
        <v>206.48083623693375</v>
      </c>
      <c r="P59" s="216">
        <f t="shared" si="40"/>
        <v>0</v>
      </c>
      <c r="Q59" s="89">
        <f t="shared" si="41"/>
        <v>-7.8048780487805232</v>
      </c>
      <c r="R59" s="90">
        <f t="shared" si="36"/>
        <v>0.96357723577235754</v>
      </c>
      <c r="S59" s="590"/>
      <c r="T59" s="217">
        <v>0.31805555555555554</v>
      </c>
      <c r="U59" s="217">
        <v>0.40347222222222223</v>
      </c>
      <c r="V59" s="191">
        <v>25</v>
      </c>
      <c r="W59" s="84">
        <f>(U59-T59)*24*60</f>
        <v>123.00000000000004</v>
      </c>
      <c r="X59" s="94">
        <v>0.30416666666666664</v>
      </c>
      <c r="Y59" s="94">
        <v>0.31527777777777777</v>
      </c>
      <c r="Z59" s="95"/>
      <c r="AA59" s="95"/>
      <c r="AB59" s="571"/>
      <c r="AC59" s="571"/>
      <c r="AD59" s="332"/>
      <c r="AE59" s="332"/>
      <c r="AF59" s="88">
        <f t="shared" si="6"/>
        <v>-54.634146341463747</v>
      </c>
      <c r="AG59" s="90">
        <f t="shared" si="7"/>
        <v>0.96357723577235754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2680.71</v>
      </c>
      <c r="H60" s="83">
        <f t="shared" si="37"/>
        <v>27048.3639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1475.6201834862384</v>
      </c>
      <c r="O60" s="86">
        <f t="shared" si="39"/>
        <v>210.8028833551769</v>
      </c>
      <c r="P60" s="216">
        <f t="shared" si="40"/>
        <v>1</v>
      </c>
      <c r="Q60" s="89">
        <f t="shared" si="41"/>
        <v>-39.197116644823097</v>
      </c>
      <c r="R60" s="90">
        <f t="shared" si="36"/>
        <v>0.84321153342070765</v>
      </c>
      <c r="S60" s="590"/>
      <c r="T60" s="217">
        <v>0.42083333333333334</v>
      </c>
      <c r="U60" s="217">
        <v>0.49652777777777779</v>
      </c>
      <c r="V60" s="191">
        <v>25</v>
      </c>
      <c r="W60" s="84">
        <f>(U60-T60)*24*60</f>
        <v>109.00000000000001</v>
      </c>
      <c r="X60" s="94">
        <v>0.4069444444444445</v>
      </c>
      <c r="Y60" s="94">
        <v>0.41805555555555557</v>
      </c>
      <c r="Z60" s="95"/>
      <c r="AA60" s="95"/>
      <c r="AB60" s="571"/>
      <c r="AC60" s="571"/>
      <c r="AD60" s="332"/>
      <c r="AE60" s="332"/>
      <c r="AF60" s="88">
        <f t="shared" si="6"/>
        <v>-24.379816513761625</v>
      </c>
      <c r="AG60" s="166">
        <f t="shared" si="7"/>
        <v>0.98374678899082557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5643.6</v>
      </c>
      <c r="H61" s="83">
        <f t="shared" si="37"/>
        <v>56943.924000000006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1504.96</v>
      </c>
      <c r="O61" s="86">
        <f t="shared" si="39"/>
        <v>214.99428571428572</v>
      </c>
      <c r="P61" s="216">
        <f t="shared" si="40"/>
        <v>1</v>
      </c>
      <c r="Q61" s="89">
        <f t="shared" si="41"/>
        <v>-35.005714285714276</v>
      </c>
      <c r="R61" s="90">
        <f t="shared" si="36"/>
        <v>0.85997714285714288</v>
      </c>
      <c r="S61" s="590"/>
      <c r="T61" s="217">
        <v>0.51736111111111116</v>
      </c>
      <c r="U61" s="217">
        <v>0.67361111111111116</v>
      </c>
      <c r="V61" s="191">
        <v>30</v>
      </c>
      <c r="W61" s="84">
        <f>(U61-T61)*24*60</f>
        <v>225</v>
      </c>
      <c r="X61" s="94">
        <v>0.5</v>
      </c>
      <c r="Y61" s="94">
        <v>0.51458333333333328</v>
      </c>
      <c r="Z61" s="95"/>
      <c r="AA61" s="95"/>
      <c r="AB61" s="571"/>
      <c r="AC61" s="571"/>
      <c r="AD61" s="332"/>
      <c r="AE61" s="332"/>
      <c r="AF61" s="88">
        <f t="shared" si="6"/>
        <v>4.9600000000000364</v>
      </c>
      <c r="AG61" s="90">
        <f t="shared" si="7"/>
        <v>1.0033066666666668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1467.9098142557564</v>
      </c>
      <c r="O69" s="116">
        <f t="shared" si="43"/>
        <v>209.70140203653665</v>
      </c>
      <c r="P69" s="88">
        <f>M69-J69</f>
        <v>0.40000000000000036</v>
      </c>
      <c r="Q69" s="89">
        <f>N69-K69</f>
        <v>-32.090185744243627</v>
      </c>
      <c r="R69" s="225">
        <f t="shared" ref="R69:R70" si="44">O69/L69</f>
        <v>0.91744363390984784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-32.090185744243627</v>
      </c>
      <c r="AG69" s="90">
        <f t="shared" si="7"/>
        <v>0.97860654283717097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472</v>
      </c>
      <c r="H70" s="83">
        <f>F70*G70</f>
        <v>29325.360000000001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1231.304347826087</v>
      </c>
      <c r="O70" s="86">
        <f t="shared" ref="O70:O75" si="46">N70/M70</f>
        <v>87.950310559006212</v>
      </c>
      <c r="P70" s="88">
        <f t="shared" ref="P70:P75" si="47">M70-J70</f>
        <v>0</v>
      </c>
      <c r="Q70" s="89">
        <f t="shared" ref="Q70" si="48">O70-L70</f>
        <v>-19.192546583850927</v>
      </c>
      <c r="R70" s="90">
        <f t="shared" si="44"/>
        <v>0.82086956521739129</v>
      </c>
      <c r="S70" s="590">
        <f>R82</f>
        <v>0.84811132564059422</v>
      </c>
      <c r="T70" s="91">
        <v>0.29166666666666669</v>
      </c>
      <c r="U70" s="91">
        <v>0.30763888888888891</v>
      </c>
      <c r="V70" s="75">
        <v>5</v>
      </c>
      <c r="W70" s="84">
        <f>(U70-T70)*24*60</f>
        <v>23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-268.695652173913</v>
      </c>
      <c r="AG70" s="90">
        <f t="shared" si="7"/>
        <v>0.82086956521739129</v>
      </c>
      <c r="AH70" s="590">
        <f>AG82</f>
        <v>0.8945354843990706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2885</v>
      </c>
      <c r="H71" s="83">
        <f>F71*G71</f>
        <v>137470.25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1321.3740458015266</v>
      </c>
      <c r="O71" s="86">
        <f t="shared" si="46"/>
        <v>73.409669211195919</v>
      </c>
      <c r="P71" s="88">
        <f t="shared" si="47"/>
        <v>0</v>
      </c>
      <c r="Q71" s="89">
        <f>O71-L71</f>
        <v>-6.5903307888040814</v>
      </c>
      <c r="R71" s="90">
        <f>O71/L71</f>
        <v>0.917620865139949</v>
      </c>
      <c r="S71" s="590"/>
      <c r="T71" s="91">
        <v>0.31319444444444444</v>
      </c>
      <c r="U71" s="91">
        <v>0.40416666666666667</v>
      </c>
      <c r="V71" s="75">
        <v>8</v>
      </c>
      <c r="W71" s="84">
        <f t="shared" ref="W71:W81" si="49">(U71-T71)*24*60</f>
        <v>131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-118.62595419847344</v>
      </c>
      <c r="AG71" s="90">
        <f>N71/K71</f>
        <v>0.917620865139949</v>
      </c>
      <c r="AH71" s="590"/>
    </row>
    <row r="72" spans="1:34" ht="19.2" customHeight="1">
      <c r="A72" s="602"/>
      <c r="B72" s="75" t="s">
        <v>247</v>
      </c>
      <c r="C72" s="109"/>
      <c r="D72" s="226" t="s">
        <v>314</v>
      </c>
      <c r="E72" s="81"/>
      <c r="F72" s="650">
        <v>56.85</v>
      </c>
      <c r="G72" s="98">
        <v>3049.44</v>
      </c>
      <c r="H72" s="83">
        <f t="shared" ref="H72:H80" si="50">F72*G72</f>
        <v>173360.66400000002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1375.6872180451119</v>
      </c>
      <c r="O72" s="86">
        <f t="shared" si="46"/>
        <v>76.427067669172885</v>
      </c>
      <c r="P72" s="88">
        <f t="shared" si="47"/>
        <v>0</v>
      </c>
      <c r="Q72" s="89">
        <f>O72-L72</f>
        <v>-14.461821219716001</v>
      </c>
      <c r="R72" s="90">
        <f>O72/L72</f>
        <v>0.84088460760703665</v>
      </c>
      <c r="S72" s="590"/>
      <c r="T72" s="91">
        <v>0.41944444444444445</v>
      </c>
      <c r="U72" s="91">
        <v>0.51180555555555562</v>
      </c>
      <c r="V72" s="75">
        <v>22</v>
      </c>
      <c r="W72" s="84">
        <f t="shared" si="49"/>
        <v>133.00000000000009</v>
      </c>
      <c r="X72" s="94">
        <v>0.40763888888888888</v>
      </c>
      <c r="Y72" s="94">
        <v>0.41666666666666669</v>
      </c>
      <c r="Z72" s="95"/>
      <c r="AA72" s="95"/>
      <c r="AB72" s="571"/>
      <c r="AC72" s="571"/>
      <c r="AD72" s="332"/>
      <c r="AE72" s="332"/>
      <c r="AF72" s="88">
        <f>N72-K72</f>
        <v>-260.31278195488812</v>
      </c>
      <c r="AG72" s="90">
        <f>N72/K72</f>
        <v>0.84088460760703665</v>
      </c>
      <c r="AH72" s="590"/>
    </row>
    <row r="73" spans="1:34" ht="19.2" customHeight="1">
      <c r="A73" s="602"/>
      <c r="B73" s="75" t="s">
        <v>243</v>
      </c>
      <c r="C73" s="228"/>
      <c r="D73" s="229" t="s">
        <v>123</v>
      </c>
      <c r="E73" s="230"/>
      <c r="F73" s="650">
        <v>53.76</v>
      </c>
      <c r="G73" s="98">
        <v>2733</v>
      </c>
      <c r="H73" s="83">
        <f t="shared" si="50"/>
        <v>146926.07999999999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1322.4193548387093</v>
      </c>
      <c r="O73" s="86">
        <f t="shared" si="46"/>
        <v>82.651209677419331</v>
      </c>
      <c r="P73" s="88">
        <f t="shared" si="47"/>
        <v>0</v>
      </c>
      <c r="Q73" s="89">
        <f>O73-L73</f>
        <v>-7.348790322580669</v>
      </c>
      <c r="R73" s="90">
        <f>O73/L73</f>
        <v>0.91834677419354815</v>
      </c>
      <c r="S73" s="590"/>
      <c r="T73" s="91">
        <v>0.55208333333333337</v>
      </c>
      <c r="U73" s="91">
        <v>0.63819444444444451</v>
      </c>
      <c r="V73" s="75">
        <v>5</v>
      </c>
      <c r="W73" s="84">
        <f t="shared" si="49"/>
        <v>124.00000000000004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-117.5806451612907</v>
      </c>
      <c r="AG73" s="90">
        <f>N73/K73</f>
        <v>0.91834677419354815</v>
      </c>
      <c r="AH73" s="590"/>
    </row>
    <row r="74" spans="1:34" ht="19.2" customHeight="1">
      <c r="A74" s="602"/>
      <c r="B74" s="75" t="s">
        <v>243</v>
      </c>
      <c r="C74" s="228"/>
      <c r="D74" s="229" t="s">
        <v>124</v>
      </c>
      <c r="E74" s="230"/>
      <c r="F74" s="650">
        <v>47.51</v>
      </c>
      <c r="G74" s="227">
        <v>2478.08</v>
      </c>
      <c r="H74" s="83">
        <f t="shared" si="50"/>
        <v>117733.5808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1339.5027027027015</v>
      </c>
      <c r="O74" s="86">
        <f t="shared" si="46"/>
        <v>78.794276629570675</v>
      </c>
      <c r="P74" s="88">
        <f t="shared" si="47"/>
        <v>0</v>
      </c>
      <c r="Q74" s="89">
        <f>O74-L74</f>
        <v>-5.9116057233704993</v>
      </c>
      <c r="R74" s="90">
        <f>O74/L74</f>
        <v>0.93021021021020933</v>
      </c>
      <c r="S74" s="590"/>
      <c r="T74" s="91">
        <v>0.65416666666666679</v>
      </c>
      <c r="U74" s="91">
        <v>0.73125000000000018</v>
      </c>
      <c r="V74" s="75">
        <v>23</v>
      </c>
      <c r="W74" s="84">
        <f t="shared" si="49"/>
        <v>111.00000000000009</v>
      </c>
      <c r="X74" s="233">
        <v>0.64166666666666672</v>
      </c>
      <c r="Y74" s="233">
        <v>0.65138888888888891</v>
      </c>
      <c r="Z74" s="170"/>
      <c r="AA74" s="170"/>
      <c r="AB74" s="571"/>
      <c r="AC74" s="571"/>
      <c r="AD74" s="332"/>
      <c r="AE74" s="332"/>
      <c r="AF74" s="88">
        <f t="shared" ref="AF74:AF80" si="51">N74-K74</f>
        <v>-100.49729729729847</v>
      </c>
      <c r="AG74" s="90">
        <f t="shared" ref="AG74:AG80" si="52">N74/K74</f>
        <v>0.93021021021020944</v>
      </c>
      <c r="AH74" s="590"/>
    </row>
    <row r="75" spans="1:34" ht="19.2" customHeight="1">
      <c r="A75" s="602"/>
      <c r="B75" s="75" t="s">
        <v>247</v>
      </c>
      <c r="C75" s="109"/>
      <c r="D75" s="226" t="s">
        <v>136</v>
      </c>
      <c r="E75" s="81"/>
      <c r="F75" s="650">
        <v>55.32</v>
      </c>
      <c r="G75" s="98">
        <v>547</v>
      </c>
      <c r="H75" s="83">
        <f t="shared" si="50"/>
        <v>30260.04</v>
      </c>
      <c r="I75" s="75"/>
      <c r="J75" s="231">
        <v>14</v>
      </c>
      <c r="K75" s="232">
        <v>1440</v>
      </c>
      <c r="L75" s="129">
        <v>102.85714285714286</v>
      </c>
      <c r="M75" s="87">
        <v>19</v>
      </c>
      <c r="N75" s="82">
        <f t="shared" si="45"/>
        <v>1367.4999999999959</v>
      </c>
      <c r="O75" s="86">
        <f t="shared" si="46"/>
        <v>71.973684210526102</v>
      </c>
      <c r="P75" s="88">
        <f t="shared" si="47"/>
        <v>5</v>
      </c>
      <c r="Q75" s="89">
        <f t="shared" ref="Q75" si="53">O75-L75</f>
        <v>-30.883458646616759</v>
      </c>
      <c r="R75" s="90">
        <f t="shared" ref="R75" si="54">O75/L75</f>
        <v>0.69974415204678153</v>
      </c>
      <c r="S75" s="590"/>
      <c r="T75" s="91">
        <v>0.7465277777777779</v>
      </c>
      <c r="U75" s="91">
        <v>0.76319444444444462</v>
      </c>
      <c r="V75" s="75">
        <v>22</v>
      </c>
      <c r="W75" s="84">
        <f t="shared" si="49"/>
        <v>24.000000000000075</v>
      </c>
      <c r="X75" s="233">
        <v>0.73472222222222217</v>
      </c>
      <c r="Y75" s="233">
        <v>0.74375000000000002</v>
      </c>
      <c r="Z75" s="170"/>
      <c r="AA75" s="170"/>
      <c r="AB75" s="571"/>
      <c r="AC75" s="571"/>
      <c r="AD75" s="332"/>
      <c r="AE75" s="332"/>
      <c r="AF75" s="88">
        <f t="shared" si="51"/>
        <v>-72.500000000004093</v>
      </c>
      <c r="AG75" s="90">
        <f t="shared" si="52"/>
        <v>0.9496527777777749</v>
      </c>
      <c r="AH75" s="590"/>
    </row>
    <row r="76" spans="1:34" ht="19.2" customHeight="1">
      <c r="A76" s="602"/>
      <c r="B76" s="75">
        <v>0</v>
      </c>
      <c r="C76" s="228"/>
      <c r="D76" s="229"/>
      <c r="E76" s="230"/>
      <c r="F76" s="650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590"/>
      <c r="T76" s="91"/>
      <c r="U76" s="91"/>
      <c r="V76" s="75"/>
      <c r="W76" s="84"/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0</v>
      </c>
      <c r="AG76" s="90" t="e">
        <f t="shared" si="52"/>
        <v>#DIV/0!</v>
      </c>
      <c r="AH76" s="590"/>
    </row>
    <row r="77" spans="1:34" ht="19.2" customHeight="1">
      <c r="A77" s="602"/>
      <c r="B77" s="75">
        <v>0</v>
      </c>
      <c r="C77" s="218"/>
      <c r="D77" s="229"/>
      <c r="E77" s="81"/>
      <c r="F77" s="650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590"/>
      <c r="T77" s="91"/>
      <c r="U77" s="91"/>
      <c r="V77" s="75"/>
      <c r="W77" s="84"/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0</v>
      </c>
      <c r="AG77" s="90" t="e">
        <f t="shared" si="52"/>
        <v>#DIV/0!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J82:O82" si="55">AVERAGE(M70:M81)</f>
        <v>17</v>
      </c>
      <c r="N82" s="145">
        <f t="shared" si="55"/>
        <v>1326.2979448690221</v>
      </c>
      <c r="O82" s="237">
        <f t="shared" si="55"/>
        <v>78.534369659481854</v>
      </c>
      <c r="P82" s="161">
        <f>M82-J82</f>
        <v>0.83333333333333215</v>
      </c>
      <c r="Q82" s="162">
        <f>N82-K82</f>
        <v>-156.36872179764464</v>
      </c>
      <c r="R82" s="225">
        <f>O82/L82</f>
        <v>0.84811132564059422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-156.36872179764464</v>
      </c>
      <c r="AG82" s="90">
        <f>N82/K82</f>
        <v>0.8945354843990706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2825.68</v>
      </c>
      <c r="H83" s="127">
        <f t="shared" ref="H83:H94" si="56">F83*G83</f>
        <v>150778.28479999999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1219.7179856115108</v>
      </c>
      <c r="O83" s="236">
        <f t="shared" ref="O83:O89" si="58">N83/M83</f>
        <v>64.195683453237407</v>
      </c>
      <c r="P83" s="95">
        <f t="shared" ref="P83:P89" si="59">M83-J83</f>
        <v>0</v>
      </c>
      <c r="Q83" s="131">
        <f t="shared" ref="Q83:Q89" si="60">O83-L83</f>
        <v>-11.593790230973113</v>
      </c>
      <c r="R83" s="239">
        <f t="shared" ref="R83:R89" si="61">O83/L83</f>
        <v>0.84702637889688248</v>
      </c>
      <c r="S83" s="590">
        <f>R95</f>
        <v>0.82617107426755343</v>
      </c>
      <c r="T83" s="91">
        <v>0.33333333333333331</v>
      </c>
      <c r="U83" s="91">
        <v>0.42986111111111108</v>
      </c>
      <c r="V83" s="75">
        <v>5</v>
      </c>
      <c r="W83" s="84">
        <f t="shared" ref="W83:W93" si="62">(U83-T83)*24*60</f>
        <v>139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-220.28201438848919</v>
      </c>
      <c r="AG83" s="90">
        <f t="shared" ref="AG83:AG173" si="64">N83/K83</f>
        <v>0.84702637889688248</v>
      </c>
      <c r="AH83" s="590">
        <f>AG95</f>
        <v>0.82566348673387324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2156.44</v>
      </c>
      <c r="H84" s="127">
        <f t="shared" si="56"/>
        <v>115067.6384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1220.6264150943405</v>
      </c>
      <c r="O84" s="236">
        <f t="shared" si="58"/>
        <v>64.243495531281084</v>
      </c>
      <c r="P84" s="95">
        <f t="shared" si="59"/>
        <v>0</v>
      </c>
      <c r="Q84" s="131">
        <f t="shared" si="60"/>
        <v>-11.545978152929436</v>
      </c>
      <c r="R84" s="239">
        <f t="shared" si="61"/>
        <v>0.8476572327044033</v>
      </c>
      <c r="S84" s="590"/>
      <c r="T84" s="91">
        <v>0.44513888888888886</v>
      </c>
      <c r="U84" s="91">
        <v>0.51874999999999993</v>
      </c>
      <c r="V84" s="75">
        <v>22</v>
      </c>
      <c r="W84" s="84">
        <f t="shared" si="62"/>
        <v>105.99999999999994</v>
      </c>
      <c r="X84" s="94">
        <v>0.43333333333333335</v>
      </c>
      <c r="Y84" s="94">
        <v>0.44236111111111115</v>
      </c>
      <c r="Z84" s="95"/>
      <c r="AA84" s="95"/>
      <c r="AB84" s="571"/>
      <c r="AC84" s="571"/>
      <c r="AD84" s="332"/>
      <c r="AE84" s="332"/>
      <c r="AF84" s="88">
        <f t="shared" si="63"/>
        <v>-219.37358490565953</v>
      </c>
      <c r="AG84" s="90">
        <f t="shared" si="64"/>
        <v>0.84765723270440307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1206</v>
      </c>
      <c r="H85" s="127">
        <f t="shared" si="56"/>
        <v>62410.5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1269.4736842105272</v>
      </c>
      <c r="O85" s="236">
        <f t="shared" si="58"/>
        <v>60.451127819548915</v>
      </c>
      <c r="P85" s="95">
        <f t="shared" si="59"/>
        <v>0</v>
      </c>
      <c r="Q85" s="131">
        <f t="shared" si="60"/>
        <v>-10.977443609022515</v>
      </c>
      <c r="R85" s="239">
        <f t="shared" si="61"/>
        <v>0.8463157894736848</v>
      </c>
      <c r="S85" s="590"/>
      <c r="T85" s="91">
        <v>0.56041666666666656</v>
      </c>
      <c r="U85" s="91">
        <v>0.59999999999999987</v>
      </c>
      <c r="V85" s="75">
        <v>7</v>
      </c>
      <c r="W85" s="84">
        <f t="shared" si="62"/>
        <v>56.999999999999957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-230.52631578947285</v>
      </c>
      <c r="AG85" s="90">
        <f t="shared" si="64"/>
        <v>0.8463157894736848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641</v>
      </c>
      <c r="H86" s="127">
        <f t="shared" si="56"/>
        <v>38036.94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1201.8749999999982</v>
      </c>
      <c r="O86" s="236">
        <f t="shared" si="58"/>
        <v>70.698529411764596</v>
      </c>
      <c r="P86" s="95">
        <f t="shared" si="59"/>
        <v>0</v>
      </c>
      <c r="Q86" s="131">
        <f t="shared" si="60"/>
        <v>-14.007352941176578</v>
      </c>
      <c r="R86" s="239">
        <f t="shared" si="61"/>
        <v>0.83463541666666541</v>
      </c>
      <c r="S86" s="590"/>
      <c r="T86" s="91">
        <v>0.6055555555555554</v>
      </c>
      <c r="U86" s="91">
        <v>0.62777777777777766</v>
      </c>
      <c r="V86" s="75">
        <v>8</v>
      </c>
      <c r="W86" s="84">
        <f t="shared" si="62"/>
        <v>32.000000000000043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-238.12500000000182</v>
      </c>
      <c r="AG86" s="90">
        <f t="shared" si="64"/>
        <v>0.83463541666666541</v>
      </c>
      <c r="AH86" s="590"/>
    </row>
    <row r="87" spans="1:34" ht="19.2" customHeight="1">
      <c r="A87" s="601"/>
      <c r="B87" s="154" t="s">
        <v>247</v>
      </c>
      <c r="C87" s="141"/>
      <c r="D87" s="240" t="s">
        <v>133</v>
      </c>
      <c r="E87" s="81"/>
      <c r="F87" s="657">
        <v>56.43</v>
      </c>
      <c r="G87" s="82">
        <v>1012</v>
      </c>
      <c r="H87" s="127">
        <f t="shared" si="56"/>
        <v>57107.159999999996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1265.0000000000005</v>
      </c>
      <c r="O87" s="236">
        <f t="shared" si="58"/>
        <v>70.2777777777778</v>
      </c>
      <c r="P87" s="95">
        <f t="shared" si="59"/>
        <v>0</v>
      </c>
      <c r="Q87" s="131">
        <f t="shared" si="60"/>
        <v>-13.055555555555529</v>
      </c>
      <c r="R87" s="239">
        <f t="shared" si="61"/>
        <v>0.8433333333333336</v>
      </c>
      <c r="S87" s="590"/>
      <c r="T87" s="91">
        <v>0.64374999999999982</v>
      </c>
      <c r="U87" s="91">
        <v>0.67708333333333315</v>
      </c>
      <c r="V87" s="75">
        <v>23</v>
      </c>
      <c r="W87" s="84">
        <f t="shared" si="62"/>
        <v>47.999999999999986</v>
      </c>
      <c r="X87" s="94">
        <v>0.63124999999999998</v>
      </c>
      <c r="Y87" s="94">
        <v>0.64097222222222217</v>
      </c>
      <c r="Z87" s="95"/>
      <c r="AA87" s="95"/>
      <c r="AB87" s="571"/>
      <c r="AC87" s="571"/>
      <c r="AD87" s="332"/>
      <c r="AE87" s="332"/>
      <c r="AF87" s="88">
        <f t="shared" si="63"/>
        <v>-234.99999999999955</v>
      </c>
      <c r="AG87" s="90">
        <f t="shared" si="64"/>
        <v>0.8433333333333336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1021</v>
      </c>
      <c r="H88" s="127">
        <f t="shared" si="56"/>
        <v>59391.57</v>
      </c>
      <c r="I88" s="75"/>
      <c r="J88" s="130">
        <v>19</v>
      </c>
      <c r="K88" s="98">
        <v>1385</v>
      </c>
      <c r="L88" s="129">
        <v>72.89473684210526</v>
      </c>
      <c r="M88" s="174">
        <v>19</v>
      </c>
      <c r="N88" s="98">
        <f t="shared" si="57"/>
        <v>1113.8181818181827</v>
      </c>
      <c r="O88" s="236">
        <f t="shared" si="58"/>
        <v>58.622009569378037</v>
      </c>
      <c r="P88" s="95">
        <f t="shared" si="59"/>
        <v>0</v>
      </c>
      <c r="Q88" s="131">
        <f t="shared" si="60"/>
        <v>-14.272727272727224</v>
      </c>
      <c r="R88" s="239">
        <f t="shared" si="61"/>
        <v>0.80420085329832691</v>
      </c>
      <c r="S88" s="590"/>
      <c r="T88" s="91">
        <v>0.70833333333333337</v>
      </c>
      <c r="U88" s="91">
        <v>0.74652777777777779</v>
      </c>
      <c r="V88" s="75">
        <v>5</v>
      </c>
      <c r="W88" s="84">
        <f t="shared" si="62"/>
        <v>54.999999999999964</v>
      </c>
      <c r="X88" s="94"/>
      <c r="Y88" s="94"/>
      <c r="Z88" s="95"/>
      <c r="AA88" s="95"/>
      <c r="AB88" s="571"/>
      <c r="AC88" s="571"/>
      <c r="AD88" s="332"/>
      <c r="AE88" s="332"/>
      <c r="AF88" s="88">
        <f t="shared" si="63"/>
        <v>-271.18181818181733</v>
      </c>
      <c r="AG88" s="90">
        <f t="shared" si="64"/>
        <v>0.8042008532983268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1230</v>
      </c>
      <c r="H89" s="127">
        <f t="shared" si="56"/>
        <v>66026.399999999994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1135.3846153846166</v>
      </c>
      <c r="O89" s="236">
        <f t="shared" si="58"/>
        <v>56.76923076923083</v>
      </c>
      <c r="P89" s="95">
        <f t="shared" si="59"/>
        <v>0</v>
      </c>
      <c r="Q89" s="131">
        <f t="shared" si="60"/>
        <v>-18.23076923076917</v>
      </c>
      <c r="R89" s="239">
        <f t="shared" si="61"/>
        <v>0.7569230769230777</v>
      </c>
      <c r="S89" s="590"/>
      <c r="T89" s="91">
        <v>0.75208333333333333</v>
      </c>
      <c r="U89" s="91">
        <v>0.79722222222222217</v>
      </c>
      <c r="V89" s="75">
        <v>8</v>
      </c>
      <c r="W89" s="84">
        <f t="shared" si="62"/>
        <v>64.999999999999929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-364.61538461538339</v>
      </c>
      <c r="AG89" s="90">
        <f t="shared" si="64"/>
        <v>0.7569230769230777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J95:O95" si="65">AVERAGE(M83:M94)</f>
        <v>19</v>
      </c>
      <c r="N95" s="257">
        <f t="shared" si="65"/>
        <v>1203.6994117313109</v>
      </c>
      <c r="O95" s="258">
        <f t="shared" si="65"/>
        <v>63.60826490460267</v>
      </c>
      <c r="P95" s="259">
        <f>M95-J95</f>
        <v>0</v>
      </c>
      <c r="Q95" s="260">
        <f t="shared" ref="Q95:Q102" si="66">O95-L95</f>
        <v>-13.383373856164802</v>
      </c>
      <c r="R95" s="261">
        <f>O95/L95</f>
        <v>0.82617107426755343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-254.15773112583202</v>
      </c>
      <c r="AG95" s="108">
        <f t="shared" si="64"/>
        <v>0.82566348673387324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1376.4705882352923</v>
      </c>
      <c r="O96" s="86">
        <f t="shared" ref="O96:O102" si="69">N96/M96</f>
        <v>229.41176470588206</v>
      </c>
      <c r="P96" s="88">
        <f t="shared" ref="P96:P102" si="70">M96-J96</f>
        <v>0</v>
      </c>
      <c r="Q96" s="89">
        <f t="shared" si="66"/>
        <v>-43.254901960784622</v>
      </c>
      <c r="R96" s="90">
        <f t="shared" ref="R96:R102" si="71">O96/L96</f>
        <v>0.84136344024162124</v>
      </c>
      <c r="S96" s="590">
        <f>R108</f>
        <v>0.87242882549228551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575">
        <f>AG108</f>
        <v>0.87957415949984807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3303.56</v>
      </c>
      <c r="H97" s="265">
        <f t="shared" si="67"/>
        <v>187807.386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1295.5137254901958</v>
      </c>
      <c r="O97" s="86">
        <f t="shared" si="69"/>
        <v>71.972984749455321</v>
      </c>
      <c r="P97" s="88">
        <f t="shared" si="70"/>
        <v>0</v>
      </c>
      <c r="Q97" s="89">
        <f t="shared" si="66"/>
        <v>-18.915904139433565</v>
      </c>
      <c r="R97" s="90">
        <f t="shared" si="71"/>
        <v>0.79187880531185562</v>
      </c>
      <c r="S97" s="590"/>
      <c r="T97" s="266">
        <v>0.34930555555555554</v>
      </c>
      <c r="U97" s="266">
        <v>0.45555555555555555</v>
      </c>
      <c r="V97" s="267">
        <v>6</v>
      </c>
      <c r="W97" s="134">
        <f t="shared" si="72"/>
        <v>153.00000000000003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-340.48627450980416</v>
      </c>
      <c r="AG97" s="269">
        <f t="shared" si="64"/>
        <v>0.79187880531185562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1478</v>
      </c>
      <c r="H98" s="265">
        <f t="shared" si="67"/>
        <v>105750.9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1285.217391304348</v>
      </c>
      <c r="O98" s="86">
        <f t="shared" si="69"/>
        <v>71.400966183574894</v>
      </c>
      <c r="P98" s="88">
        <f t="shared" si="70"/>
        <v>0</v>
      </c>
      <c r="Q98" s="89">
        <f t="shared" si="66"/>
        <v>-5.5434782608695485</v>
      </c>
      <c r="R98" s="90">
        <f t="shared" si="71"/>
        <v>0.92795479516559431</v>
      </c>
      <c r="S98" s="590"/>
      <c r="T98" s="133">
        <v>0.49583333333333329</v>
      </c>
      <c r="U98" s="133">
        <v>0.54374999999999996</v>
      </c>
      <c r="V98" s="332">
        <v>5</v>
      </c>
      <c r="W98" s="134">
        <f t="shared" si="72"/>
        <v>69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-99.782608695652016</v>
      </c>
      <c r="AG98" s="132">
        <f t="shared" si="64"/>
        <v>0.9279547951655942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2062</v>
      </c>
      <c r="H99" s="265">
        <f t="shared" si="67"/>
        <v>122771.48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1275.4639175257735</v>
      </c>
      <c r="O99" s="86">
        <f t="shared" si="69"/>
        <v>70.85910652920964</v>
      </c>
      <c r="P99" s="88">
        <f t="shared" si="70"/>
        <v>0</v>
      </c>
      <c r="Q99" s="89">
        <f t="shared" si="66"/>
        <v>-6.0853379152348026</v>
      </c>
      <c r="R99" s="90">
        <f t="shared" si="71"/>
        <v>0.92091257583088348</v>
      </c>
      <c r="S99" s="590"/>
      <c r="T99" s="133">
        <v>0.54861111111111105</v>
      </c>
      <c r="U99" s="133">
        <v>0.61597222222222214</v>
      </c>
      <c r="V99" s="332">
        <v>7</v>
      </c>
      <c r="W99" s="134">
        <f t="shared" si="72"/>
        <v>96.999999999999972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-109.53608247422653</v>
      </c>
      <c r="AG99" s="269">
        <f t="shared" si="64"/>
        <v>0.92091257583088337</v>
      </c>
      <c r="AH99" s="575"/>
    </row>
    <row r="100" spans="1:34" s="274" customFormat="1" ht="19.2" customHeight="1">
      <c r="A100" s="598"/>
      <c r="B100" s="75" t="s">
        <v>243</v>
      </c>
      <c r="C100" s="96"/>
      <c r="D100" s="80" t="s">
        <v>122</v>
      </c>
      <c r="E100" s="126"/>
      <c r="F100" s="661">
        <v>53.36</v>
      </c>
      <c r="G100" s="98">
        <v>2453.88</v>
      </c>
      <c r="H100" s="265">
        <f t="shared" si="67"/>
        <v>130939.0368</v>
      </c>
      <c r="I100" s="332"/>
      <c r="J100" s="85">
        <v>19</v>
      </c>
      <c r="K100" s="82">
        <v>1440</v>
      </c>
      <c r="L100" s="86">
        <v>75.78947368421052</v>
      </c>
      <c r="M100" s="130">
        <v>19</v>
      </c>
      <c r="N100" s="82">
        <f t="shared" si="68"/>
        <v>1216.7999999999995</v>
      </c>
      <c r="O100" s="86">
        <f t="shared" si="69"/>
        <v>64.042105263157865</v>
      </c>
      <c r="P100" s="88">
        <f t="shared" si="70"/>
        <v>0</v>
      </c>
      <c r="Q100" s="89">
        <f t="shared" si="66"/>
        <v>-11.747368421052656</v>
      </c>
      <c r="R100" s="90">
        <f t="shared" si="71"/>
        <v>0.84499999999999964</v>
      </c>
      <c r="S100" s="590"/>
      <c r="T100" s="266">
        <v>0.63194444444444442</v>
      </c>
      <c r="U100" s="266">
        <v>0.71597222222222223</v>
      </c>
      <c r="V100" s="267">
        <v>23</v>
      </c>
      <c r="W100" s="134">
        <f t="shared" si="72"/>
        <v>121.00000000000006</v>
      </c>
      <c r="X100" s="275">
        <v>0.61944444444444446</v>
      </c>
      <c r="Y100" s="275">
        <v>0.62916666666666665</v>
      </c>
      <c r="Z100" s="272"/>
      <c r="AA100" s="272"/>
      <c r="AB100" s="571"/>
      <c r="AC100" s="571"/>
      <c r="AD100" s="332"/>
      <c r="AE100" s="332"/>
      <c r="AF100" s="95">
        <f t="shared" si="63"/>
        <v>-223.2000000000005</v>
      </c>
      <c r="AG100" s="132">
        <f t="shared" si="64"/>
        <v>0.84499999999999964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985</v>
      </c>
      <c r="H101" s="265">
        <f t="shared" si="67"/>
        <v>53475.65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1343.1818181818182</v>
      </c>
      <c r="O101" s="86">
        <f t="shared" si="69"/>
        <v>89.545454545454547</v>
      </c>
      <c r="P101" s="88">
        <f t="shared" si="70"/>
        <v>0</v>
      </c>
      <c r="Q101" s="89">
        <f t="shared" si="66"/>
        <v>-6.4545454545454533</v>
      </c>
      <c r="R101" s="90">
        <f t="shared" si="71"/>
        <v>0.93276515151515149</v>
      </c>
      <c r="S101" s="590"/>
      <c r="T101" s="266">
        <v>0.73124999999999996</v>
      </c>
      <c r="U101" s="133">
        <v>0.76180555555555551</v>
      </c>
      <c r="V101" s="267">
        <v>22</v>
      </c>
      <c r="W101" s="134">
        <f t="shared" si="72"/>
        <v>44</v>
      </c>
      <c r="X101" s="276">
        <v>0.71944444444444444</v>
      </c>
      <c r="Y101" s="276">
        <v>0.7284722222222223</v>
      </c>
      <c r="Z101" s="272"/>
      <c r="AA101" s="272"/>
      <c r="AB101" s="571"/>
      <c r="AC101" s="571"/>
      <c r="AD101" s="332"/>
      <c r="AE101" s="332"/>
      <c r="AF101" s="268">
        <f t="shared" si="63"/>
        <v>-96.818181818181756</v>
      </c>
      <c r="AG101" s="269">
        <f t="shared" si="64"/>
        <v>0.9327651515151516</v>
      </c>
      <c r="AH101" s="575"/>
    </row>
    <row r="102" spans="1:34" s="274" customFormat="1" ht="19.2" customHeight="1">
      <c r="A102" s="598"/>
      <c r="B102" s="75" t="s">
        <v>247</v>
      </c>
      <c r="C102" s="228"/>
      <c r="D102" s="229" t="s">
        <v>137</v>
      </c>
      <c r="E102" s="230"/>
      <c r="F102" s="661">
        <v>55.56</v>
      </c>
      <c r="G102" s="98">
        <v>881</v>
      </c>
      <c r="H102" s="265">
        <f t="shared" si="67"/>
        <v>48948.36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1321.4999999999995</v>
      </c>
      <c r="O102" s="86">
        <f t="shared" si="69"/>
        <v>82.593749999999972</v>
      </c>
      <c r="P102" s="88">
        <f t="shared" si="70"/>
        <v>0</v>
      </c>
      <c r="Q102" s="89">
        <f t="shared" si="66"/>
        <v>-7.4062500000000284</v>
      </c>
      <c r="R102" s="90">
        <f t="shared" si="71"/>
        <v>0.91770833333333302</v>
      </c>
      <c r="S102" s="590"/>
      <c r="T102" s="266">
        <v>0.76666666666666661</v>
      </c>
      <c r="U102" s="266">
        <v>0.7944444444444444</v>
      </c>
      <c r="V102" s="267">
        <v>7</v>
      </c>
      <c r="W102" s="134">
        <f t="shared" si="72"/>
        <v>40.000000000000014</v>
      </c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-118.50000000000045</v>
      </c>
      <c r="AG102" s="132">
        <f t="shared" si="64"/>
        <v>0.91770833333333302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15.714285714285714</v>
      </c>
      <c r="K108" s="145">
        <v>1480.2857142857142</v>
      </c>
      <c r="L108" s="148">
        <v>111.31913116123643</v>
      </c>
      <c r="M108" s="145">
        <f t="shared" ref="J108:O108" si="73">AVERAGE(M96:M107)</f>
        <v>15.714285714285714</v>
      </c>
      <c r="N108" s="145">
        <f t="shared" si="73"/>
        <v>1302.0210629624894</v>
      </c>
      <c r="O108" s="148">
        <f t="shared" si="73"/>
        <v>97.11801885381918</v>
      </c>
      <c r="P108" s="95">
        <f t="shared" ref="P108:P114" si="74">M108-J108</f>
        <v>0</v>
      </c>
      <c r="Q108" s="131">
        <f t="shared" ref="Q108:Q114" si="75">O108-L108</f>
        <v>-14.201112307417247</v>
      </c>
      <c r="R108" s="149">
        <f t="shared" ref="R108:R114" si="76">O108/L108</f>
        <v>0.87242882549228551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-178.26465132322483</v>
      </c>
      <c r="AG108" s="132">
        <f t="shared" si="64"/>
        <v>0.87957415949984807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1058</v>
      </c>
      <c r="H109" s="83">
        <f t="shared" ref="H109:H118" si="77">F109*G109</f>
        <v>81825.72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1322.5000000000005</v>
      </c>
      <c r="O109" s="86">
        <f t="shared" ref="O109:O114" si="79">N109/M109</f>
        <v>73.472222222222243</v>
      </c>
      <c r="P109" s="88">
        <f t="shared" si="74"/>
        <v>0</v>
      </c>
      <c r="Q109" s="89">
        <f t="shared" si="75"/>
        <v>-6.5277777777777573</v>
      </c>
      <c r="R109" s="90">
        <f t="shared" si="76"/>
        <v>0.91840277777777801</v>
      </c>
      <c r="S109" s="597">
        <f>R121</f>
        <v>0.86862051730585477</v>
      </c>
      <c r="T109" s="283">
        <v>0.5</v>
      </c>
      <c r="U109" s="283">
        <v>0.53333333333333333</v>
      </c>
      <c r="V109" s="284">
        <v>5</v>
      </c>
      <c r="W109" s="84">
        <f t="shared" si="72"/>
        <v>47.999999999999986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-117.49999999999955</v>
      </c>
      <c r="AG109" s="171">
        <f t="shared" si="64"/>
        <v>0.91840277777777812</v>
      </c>
      <c r="AH109" s="575">
        <f>AG121</f>
        <v>0.87651625976367753</v>
      </c>
    </row>
    <row r="110" spans="1:34" ht="19.2" customHeight="1">
      <c r="A110" s="595"/>
      <c r="B110" s="75" t="s">
        <v>247</v>
      </c>
      <c r="C110" s="228"/>
      <c r="D110" s="80" t="s">
        <v>131</v>
      </c>
      <c r="E110" s="230"/>
      <c r="F110" s="650">
        <v>53.68</v>
      </c>
      <c r="G110" s="227">
        <v>1016</v>
      </c>
      <c r="H110" s="83">
        <f t="shared" si="77"/>
        <v>54538.879999999997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1385.4545454545455</v>
      </c>
      <c r="O110" s="86">
        <f t="shared" si="79"/>
        <v>86.590909090909093</v>
      </c>
      <c r="P110" s="88">
        <f t="shared" si="74"/>
        <v>0</v>
      </c>
      <c r="Q110" s="89">
        <f t="shared" si="75"/>
        <v>-7.1590909090909065</v>
      </c>
      <c r="R110" s="90">
        <f t="shared" si="76"/>
        <v>0.9236363636363637</v>
      </c>
      <c r="S110" s="586"/>
      <c r="T110" s="283">
        <v>0.53819444444444442</v>
      </c>
      <c r="U110" s="283">
        <v>0.56874999999999998</v>
      </c>
      <c r="V110" s="284">
        <v>7</v>
      </c>
      <c r="W110" s="84">
        <f t="shared" si="72"/>
        <v>44</v>
      </c>
      <c r="X110" s="242"/>
      <c r="Y110" s="242"/>
      <c r="Z110" s="95"/>
      <c r="AA110" s="95"/>
      <c r="AB110" s="571"/>
      <c r="AC110" s="571"/>
      <c r="AD110" s="332"/>
      <c r="AE110" s="332">
        <v>1</v>
      </c>
      <c r="AF110" s="152">
        <f t="shared" si="63"/>
        <v>-114.5454545454545</v>
      </c>
      <c r="AG110" s="171">
        <f t="shared" si="64"/>
        <v>0.9236363636363637</v>
      </c>
      <c r="AH110" s="575"/>
    </row>
    <row r="111" spans="1:34" ht="19.2" customHeight="1">
      <c r="A111" s="595"/>
      <c r="B111" s="75" t="s">
        <v>247</v>
      </c>
      <c r="C111" s="228"/>
      <c r="D111" s="80" t="s">
        <v>132</v>
      </c>
      <c r="E111" s="230"/>
      <c r="F111" s="650">
        <v>57.734999999999999</v>
      </c>
      <c r="G111" s="98">
        <v>1644.8000000000002</v>
      </c>
      <c r="H111" s="83">
        <f t="shared" si="77"/>
        <v>94962.528000000006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1370.6666666666656</v>
      </c>
      <c r="O111" s="86">
        <f t="shared" si="79"/>
        <v>85.6666666666666</v>
      </c>
      <c r="P111" s="88">
        <f t="shared" si="74"/>
        <v>0</v>
      </c>
      <c r="Q111" s="89">
        <f t="shared" si="75"/>
        <v>-12.1458333333334</v>
      </c>
      <c r="R111" s="90">
        <f t="shared" si="76"/>
        <v>0.87582534611288532</v>
      </c>
      <c r="S111" s="586"/>
      <c r="T111" s="283">
        <v>0.58472222222222214</v>
      </c>
      <c r="U111" s="283">
        <v>0.63472222222222219</v>
      </c>
      <c r="V111" s="284">
        <v>23</v>
      </c>
      <c r="W111" s="84">
        <f t="shared" si="72"/>
        <v>72.000000000000057</v>
      </c>
      <c r="X111" s="94">
        <v>0.57222222222222219</v>
      </c>
      <c r="Y111" s="94">
        <v>0.58194444444444449</v>
      </c>
      <c r="Z111" s="95"/>
      <c r="AA111" s="95"/>
      <c r="AB111" s="571"/>
      <c r="AC111" s="571"/>
      <c r="AD111" s="332"/>
      <c r="AE111" s="332"/>
      <c r="AF111" s="88">
        <f t="shared" si="63"/>
        <v>-194.33333333333439</v>
      </c>
      <c r="AG111" s="171">
        <f t="shared" si="64"/>
        <v>0.87582534611288532</v>
      </c>
      <c r="AH111" s="575"/>
    </row>
    <row r="112" spans="1:34" ht="19.2" customHeight="1">
      <c r="A112" s="595"/>
      <c r="B112" s="75" t="s">
        <v>247</v>
      </c>
      <c r="C112" s="228"/>
      <c r="D112" s="229" t="s">
        <v>322</v>
      </c>
      <c r="E112" s="230"/>
      <c r="F112" s="650">
        <v>44.98</v>
      </c>
      <c r="G112" s="98">
        <v>2364.6999999999998</v>
      </c>
      <c r="H112" s="83">
        <f t="shared" si="77"/>
        <v>106364.20599999999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1244.5789473684201</v>
      </c>
      <c r="O112" s="86">
        <f t="shared" si="79"/>
        <v>65.504155124653693</v>
      </c>
      <c r="P112" s="88">
        <f t="shared" si="74"/>
        <v>0</v>
      </c>
      <c r="Q112" s="89">
        <f t="shared" si="75"/>
        <v>-13.443213296398937</v>
      </c>
      <c r="R112" s="90">
        <f t="shared" si="76"/>
        <v>0.82971929824561341</v>
      </c>
      <c r="S112" s="586"/>
      <c r="T112" s="283">
        <v>0.70833333333333337</v>
      </c>
      <c r="U112" s="283">
        <v>0.78750000000000009</v>
      </c>
      <c r="V112" s="284">
        <v>5</v>
      </c>
      <c r="W112" s="84">
        <f t="shared" si="72"/>
        <v>114.00000000000007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-255.42105263157987</v>
      </c>
      <c r="AG112" s="171">
        <f t="shared" si="64"/>
        <v>0.82971929824561341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138</v>
      </c>
      <c r="E113" s="230"/>
      <c r="F113" s="650">
        <v>57.73</v>
      </c>
      <c r="G113" s="98">
        <v>938</v>
      </c>
      <c r="H113" s="83">
        <f t="shared" si="77"/>
        <v>54150.74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1197.4468085106384</v>
      </c>
      <c r="O113" s="86">
        <f t="shared" si="79"/>
        <v>70.438047559449316</v>
      </c>
      <c r="P113" s="88">
        <f t="shared" si="74"/>
        <v>1</v>
      </c>
      <c r="Q113" s="89">
        <f t="shared" si="75"/>
        <v>-19.561952440550684</v>
      </c>
      <c r="R113" s="90">
        <f t="shared" si="76"/>
        <v>0.78264497288277013</v>
      </c>
      <c r="S113" s="586"/>
      <c r="T113" s="283">
        <v>0.80208333333333337</v>
      </c>
      <c r="U113" s="283">
        <v>0.83472222222222225</v>
      </c>
      <c r="V113" s="284">
        <v>21</v>
      </c>
      <c r="W113" s="84">
        <f t="shared" si="72"/>
        <v>46.999999999999993</v>
      </c>
      <c r="X113" s="271">
        <v>0.7909722222222223</v>
      </c>
      <c r="Y113" s="271">
        <v>0.7993055555555556</v>
      </c>
      <c r="Z113" s="272"/>
      <c r="AA113" s="272"/>
      <c r="AB113" s="571"/>
      <c r="AC113" s="571"/>
      <c r="AD113" s="277"/>
      <c r="AE113" s="277"/>
      <c r="AF113" s="152">
        <f t="shared" si="63"/>
        <v>-242.55319148936155</v>
      </c>
      <c r="AG113" s="171">
        <f t="shared" si="64"/>
        <v>0.83156028368794332</v>
      </c>
      <c r="AH113" s="575"/>
    </row>
    <row r="114" spans="1:34" s="274" customFormat="1" ht="19.2" customHeight="1">
      <c r="A114" s="595"/>
      <c r="B114" s="75" t="s">
        <v>243</v>
      </c>
      <c r="C114" s="228"/>
      <c r="D114" s="229" t="s">
        <v>124</v>
      </c>
      <c r="E114" s="230"/>
      <c r="F114" s="650">
        <v>47.51</v>
      </c>
      <c r="G114" s="98">
        <v>337.91999999999996</v>
      </c>
      <c r="H114" s="83">
        <f t="shared" si="77"/>
        <v>16054.579199999996</v>
      </c>
      <c r="I114" s="332">
        <v>2</v>
      </c>
      <c r="J114" s="85">
        <v>17</v>
      </c>
      <c r="K114" s="82">
        <v>1440</v>
      </c>
      <c r="L114" s="86">
        <v>84.705882352941174</v>
      </c>
      <c r="M114" s="285">
        <v>17</v>
      </c>
      <c r="N114" s="82">
        <f t="shared" si="78"/>
        <v>1267.2000000000044</v>
      </c>
      <c r="O114" s="86">
        <f t="shared" si="79"/>
        <v>74.541176470588496</v>
      </c>
      <c r="P114" s="88">
        <f t="shared" si="74"/>
        <v>0</v>
      </c>
      <c r="Q114" s="89">
        <f t="shared" si="75"/>
        <v>-10.164705882352678</v>
      </c>
      <c r="R114" s="90">
        <f t="shared" si="76"/>
        <v>0.88000000000000311</v>
      </c>
      <c r="S114" s="586"/>
      <c r="T114" s="283">
        <v>0.84027777777777779</v>
      </c>
      <c r="U114" s="283">
        <v>0.85138888888888886</v>
      </c>
      <c r="V114" s="284">
        <v>8</v>
      </c>
      <c r="W114" s="84">
        <f t="shared" si="72"/>
        <v>15.999999999999943</v>
      </c>
      <c r="X114" s="271"/>
      <c r="Y114" s="271"/>
      <c r="Z114" s="272"/>
      <c r="AA114" s="272"/>
      <c r="AB114" s="571"/>
      <c r="AC114" s="571"/>
      <c r="AD114" s="277"/>
      <c r="AE114" s="277"/>
      <c r="AF114" s="88">
        <f t="shared" si="63"/>
        <v>-172.79999999999563</v>
      </c>
      <c r="AG114" s="171">
        <f t="shared" si="64"/>
        <v>0.880000000000003</v>
      </c>
      <c r="AH114" s="575"/>
    </row>
    <row r="115" spans="1:34" s="274" customFormat="1" ht="19.2" customHeight="1">
      <c r="A115" s="595"/>
      <c r="B115" s="75">
        <v>0</v>
      </c>
      <c r="C115" s="228"/>
      <c r="D115" s="229"/>
      <c r="E115" s="230"/>
      <c r="F115" s="650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586"/>
      <c r="T115" s="283"/>
      <c r="U115" s="283"/>
      <c r="V115" s="284"/>
      <c r="W115" s="84"/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0</v>
      </c>
      <c r="AG115" s="171" t="e">
        <f t="shared" si="64"/>
        <v>#DIV/0!</v>
      </c>
      <c r="AH115" s="575"/>
    </row>
    <row r="116" spans="1:34" s="274" customFormat="1" ht="19.2" customHeight="1">
      <c r="A116" s="595"/>
      <c r="B116" s="75">
        <v>0</v>
      </c>
      <c r="C116" s="96"/>
      <c r="D116" s="125"/>
      <c r="E116" s="126"/>
      <c r="F116" s="650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586"/>
      <c r="T116" s="283"/>
      <c r="U116" s="283"/>
      <c r="V116" s="284"/>
      <c r="W116" s="84"/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0</v>
      </c>
      <c r="AG116" s="171" t="e">
        <f t="shared" si="64"/>
        <v>#DIV/0!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</v>
      </c>
      <c r="K121" s="257">
        <v>1480.8333333333333</v>
      </c>
      <c r="L121" s="258">
        <v>87.535958462332303</v>
      </c>
      <c r="M121" s="257">
        <f t="shared" ref="J121:O121" si="80">AVERAGE(M109:M120)</f>
        <v>17.166666666666668</v>
      </c>
      <c r="N121" s="257">
        <f t="shared" si="80"/>
        <v>1297.9744946667124</v>
      </c>
      <c r="O121" s="258">
        <f t="shared" si="80"/>
        <v>76.035529522414905</v>
      </c>
      <c r="P121" s="88">
        <f t="shared" ref="P121:P129" si="81">M121-J121</f>
        <v>0.16666666666666785</v>
      </c>
      <c r="Q121" s="89">
        <f t="shared" ref="Q121:Q129" si="82">O121-L121</f>
        <v>-11.500428939917398</v>
      </c>
      <c r="R121" s="225">
        <f t="shared" ref="R121:R129" si="83">O121/L121</f>
        <v>0.86862051730585477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0</v>
      </c>
      <c r="AE121" s="151">
        <f>SUM(AE109:AE120)</f>
        <v>1</v>
      </c>
      <c r="AF121" s="88">
        <f>N121-K121</f>
        <v>-182.85883866662084</v>
      </c>
      <c r="AG121" s="171">
        <f>N121/K121</f>
        <v>0.87651625976367753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2170</v>
      </c>
      <c r="H122" s="83">
        <f t="shared" ref="H122:H132" si="84">F122*G122</f>
        <v>127313.90000000001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1342.2680412371137</v>
      </c>
      <c r="O122" s="294">
        <f t="shared" ref="O122:O129" si="86">N122/M122</f>
        <v>70.645686380900727</v>
      </c>
      <c r="P122" s="152">
        <f t="shared" si="81"/>
        <v>0</v>
      </c>
      <c r="Q122" s="235">
        <f t="shared" si="82"/>
        <v>-5.1437873033097929</v>
      </c>
      <c r="R122" s="153">
        <f t="shared" si="83"/>
        <v>0.93213058419244021</v>
      </c>
      <c r="S122" s="590">
        <f>R134</f>
        <v>0.87803262665041404</v>
      </c>
      <c r="T122" s="91">
        <v>0.5</v>
      </c>
      <c r="U122" s="91">
        <v>0.56736111111111109</v>
      </c>
      <c r="V122" s="284">
        <v>5</v>
      </c>
      <c r="W122" s="84">
        <f t="shared" si="72"/>
        <v>96.999999999999972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-97.731958762886279</v>
      </c>
      <c r="AG122" s="90">
        <f t="shared" si="64"/>
        <v>0.9321305841924401</v>
      </c>
      <c r="AH122" s="592">
        <f>AG134</f>
        <v>0.89498413198823823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2631</v>
      </c>
      <c r="H123" s="83">
        <f t="shared" si="84"/>
        <v>156597.12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1283.4146341463411</v>
      </c>
      <c r="O123" s="129">
        <f t="shared" si="86"/>
        <v>61.114982578397196</v>
      </c>
      <c r="P123" s="95">
        <f t="shared" si="81"/>
        <v>0</v>
      </c>
      <c r="Q123" s="131">
        <f t="shared" si="82"/>
        <v>-4.8373983739837527</v>
      </c>
      <c r="R123" s="132">
        <f t="shared" si="83"/>
        <v>0.92665316544862175</v>
      </c>
      <c r="S123" s="590"/>
      <c r="T123" s="91">
        <v>0.58263888888888882</v>
      </c>
      <c r="U123" s="91">
        <v>0.66805555555555551</v>
      </c>
      <c r="V123" s="284">
        <v>22</v>
      </c>
      <c r="W123" s="84">
        <f>(U123-T123)*24*60</f>
        <v>123.00000000000004</v>
      </c>
      <c r="X123" s="94">
        <v>0.5708333333333333</v>
      </c>
      <c r="Y123" s="94">
        <v>0.57986111111111105</v>
      </c>
      <c r="Z123" s="95"/>
      <c r="AA123" s="95"/>
      <c r="AB123" s="571"/>
      <c r="AC123" s="571"/>
      <c r="AD123" s="332"/>
      <c r="AE123" s="332"/>
      <c r="AF123" s="88">
        <f t="shared" si="63"/>
        <v>-101.58536585365891</v>
      </c>
      <c r="AG123" s="90">
        <f t="shared" si="64"/>
        <v>0.92665316544862175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1404</v>
      </c>
      <c r="H124" s="83">
        <f t="shared" si="84"/>
        <v>79733.16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1504.2857142857154</v>
      </c>
      <c r="O124" s="294">
        <f t="shared" si="86"/>
        <v>83.571428571428626</v>
      </c>
      <c r="P124" s="152">
        <f t="shared" si="81"/>
        <v>0</v>
      </c>
      <c r="Q124" s="235">
        <f t="shared" si="82"/>
        <v>-7.3174603174602595</v>
      </c>
      <c r="R124" s="153">
        <f t="shared" si="83"/>
        <v>0.91949004540691648</v>
      </c>
      <c r="S124" s="591"/>
      <c r="T124" s="91">
        <v>0.70833333333333337</v>
      </c>
      <c r="U124" s="91">
        <v>0.74722222222222223</v>
      </c>
      <c r="V124" s="284">
        <v>5</v>
      </c>
      <c r="W124" s="297">
        <f>(U124-T124)*24*60</f>
        <v>55.999999999999957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-131.71428571428464</v>
      </c>
      <c r="AG124" s="153">
        <f t="shared" si="64"/>
        <v>0.91949004540691648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1056</v>
      </c>
      <c r="H125" s="83">
        <f t="shared" si="84"/>
        <v>60054.719999999994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1508.5714285714282</v>
      </c>
      <c r="O125" s="129">
        <f t="shared" si="86"/>
        <v>83.809523809523796</v>
      </c>
      <c r="P125" s="95">
        <f t="shared" si="81"/>
        <v>0</v>
      </c>
      <c r="Q125" s="131">
        <f t="shared" si="82"/>
        <v>-7.0793650793650897</v>
      </c>
      <c r="R125" s="132">
        <f t="shared" si="83"/>
        <v>0.9221096751659098</v>
      </c>
      <c r="S125" s="591"/>
      <c r="T125" s="91">
        <v>0.75277777777777777</v>
      </c>
      <c r="U125" s="91">
        <v>0.78194444444444444</v>
      </c>
      <c r="V125" s="284">
        <v>8</v>
      </c>
      <c r="W125" s="297">
        <f t="shared" ref="W125:W133" si="87">(U125-T125)*24*60</f>
        <v>42.000000000000014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-127.42857142857179</v>
      </c>
      <c r="AG125" s="90">
        <f t="shared" si="64"/>
        <v>0.92210967516590969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1287</v>
      </c>
      <c r="H126" s="83">
        <f t="shared" si="84"/>
        <v>69613.83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1378.9285714285725</v>
      </c>
      <c r="O126" s="129">
        <f t="shared" si="86"/>
        <v>68.946428571428626</v>
      </c>
      <c r="P126" s="95">
        <f t="shared" si="81"/>
        <v>3</v>
      </c>
      <c r="Q126" s="131">
        <f t="shared" si="82"/>
        <v>-23.112394957983142</v>
      </c>
      <c r="R126" s="132">
        <f t="shared" si="83"/>
        <v>0.74893884071200423</v>
      </c>
      <c r="S126" s="591"/>
      <c r="T126" s="91">
        <v>0.78680555555555554</v>
      </c>
      <c r="U126" s="91">
        <v>0.8256944444444444</v>
      </c>
      <c r="V126" s="284">
        <v>7</v>
      </c>
      <c r="W126" s="297">
        <f t="shared" si="87"/>
        <v>55.999999999999957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-186.07142857142753</v>
      </c>
      <c r="AG126" s="153">
        <f t="shared" si="64"/>
        <v>0.88110451848471083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1451</v>
      </c>
      <c r="H127" s="83">
        <f t="shared" si="84"/>
        <v>69067.600000000006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1319.0909090909106</v>
      </c>
      <c r="O127" s="294">
        <f t="shared" si="86"/>
        <v>69.425837320574246</v>
      </c>
      <c r="P127" s="152">
        <f t="shared" si="81"/>
        <v>0</v>
      </c>
      <c r="Q127" s="235">
        <f t="shared" si="82"/>
        <v>-6.3636363636362745</v>
      </c>
      <c r="R127" s="153">
        <f t="shared" si="83"/>
        <v>0.9160353535353547</v>
      </c>
      <c r="S127" s="591"/>
      <c r="T127" s="91">
        <v>0.84097222222222212</v>
      </c>
      <c r="U127" s="91">
        <v>0.8868055555555554</v>
      </c>
      <c r="V127" s="75">
        <v>22</v>
      </c>
      <c r="W127" s="297">
        <f t="shared" si="87"/>
        <v>65.999999999999929</v>
      </c>
      <c r="X127" s="106">
        <v>0.82916666666666661</v>
      </c>
      <c r="Y127" s="106">
        <v>0.83819444444444446</v>
      </c>
      <c r="Z127" s="95"/>
      <c r="AA127" s="95"/>
      <c r="AB127" s="571"/>
      <c r="AC127" s="571"/>
      <c r="AD127" s="332"/>
      <c r="AE127" s="332"/>
      <c r="AF127" s="152">
        <f t="shared" si="63"/>
        <v>-120.9090909090894</v>
      </c>
      <c r="AG127" s="153">
        <f t="shared" si="64"/>
        <v>0.91603535353535459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949</v>
      </c>
      <c r="H128" s="83">
        <f t="shared" si="84"/>
        <v>54377.7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1265.3333333333333</v>
      </c>
      <c r="O128" s="129">
        <f t="shared" si="86"/>
        <v>74.431372549019599</v>
      </c>
      <c r="P128" s="95">
        <f t="shared" si="81"/>
        <v>0</v>
      </c>
      <c r="Q128" s="131">
        <f t="shared" si="82"/>
        <v>-7.0392156862745168</v>
      </c>
      <c r="R128" s="132">
        <f t="shared" si="83"/>
        <v>0.91359807460890485</v>
      </c>
      <c r="S128" s="591"/>
      <c r="T128" s="91">
        <v>0.89236111111111094</v>
      </c>
      <c r="U128" s="91">
        <v>0.92361111111111094</v>
      </c>
      <c r="V128" s="75">
        <v>8</v>
      </c>
      <c r="W128" s="297">
        <f t="shared" si="87"/>
        <v>45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-119.66666666666674</v>
      </c>
      <c r="AG128" s="153">
        <f t="shared" si="64"/>
        <v>0.91359807460890485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520</v>
      </c>
      <c r="H129" s="83">
        <f t="shared" si="84"/>
        <v>26348.400000000001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1247.9999999999964</v>
      </c>
      <c r="O129" s="129">
        <f t="shared" si="86"/>
        <v>59.428571428571253</v>
      </c>
      <c r="P129" s="95">
        <f t="shared" si="81"/>
        <v>0</v>
      </c>
      <c r="Q129" s="131">
        <f t="shared" si="82"/>
        <v>-18.476190476190645</v>
      </c>
      <c r="R129" s="132">
        <f t="shared" si="83"/>
        <v>0.76283618581906876</v>
      </c>
      <c r="S129" s="591"/>
      <c r="T129" s="91">
        <v>0.92847222222222203</v>
      </c>
      <c r="U129" s="91">
        <v>0.94583333333333319</v>
      </c>
      <c r="V129" s="75">
        <v>7</v>
      </c>
      <c r="W129" s="297">
        <f t="shared" si="87"/>
        <v>25.000000000000071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1356.2365790116764</v>
      </c>
      <c r="O134" s="301">
        <f t="shared" si="88"/>
        <v>71.421728901230509</v>
      </c>
      <c r="P134" s="92">
        <f t="shared" ref="P134:P140" si="89">M134-J134</f>
        <v>0.375</v>
      </c>
      <c r="Q134" s="188">
        <f t="shared" ref="Q134:Q140" si="90">O134-L134</f>
        <v>-9.921181069775443</v>
      </c>
      <c r="R134" s="302">
        <f t="shared" ref="R134:R140" si="91">O134/L134</f>
        <v>0.87803262665041404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-159.13842098832356</v>
      </c>
      <c r="AG134" s="90">
        <f t="shared" si="64"/>
        <v>0.89498413198823823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892</v>
      </c>
      <c r="H135" s="303">
        <f t="shared" ref="H135:H146" si="92">F135*G135</f>
        <v>45197.64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1372.3076923076915</v>
      </c>
      <c r="O135" s="160">
        <f t="shared" ref="O135:O140" si="94">N135/M135</f>
        <v>80.723981900452443</v>
      </c>
      <c r="P135" s="95">
        <f t="shared" si="89"/>
        <v>0</v>
      </c>
      <c r="Q135" s="131">
        <f t="shared" si="90"/>
        <v>-7.5113122171946145</v>
      </c>
      <c r="R135" s="132">
        <f t="shared" si="91"/>
        <v>0.91487179487179437</v>
      </c>
      <c r="S135" s="586">
        <f>R147</f>
        <v>0.91011487603737529</v>
      </c>
      <c r="T135" s="304">
        <v>0.70833333333333337</v>
      </c>
      <c r="U135" s="91">
        <v>0.73541666666666672</v>
      </c>
      <c r="V135" s="191">
        <v>5</v>
      </c>
      <c r="W135" s="305">
        <f t="shared" ref="W135:W147" si="95">(U135-T135)*24*60</f>
        <v>39.000000000000021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-127.69230769230853</v>
      </c>
      <c r="AG135" s="165">
        <f t="shared" si="64"/>
        <v>0.91487179487179426</v>
      </c>
      <c r="AH135" s="575">
        <f>AG147</f>
        <v>0.92304110336734391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1767</v>
      </c>
      <c r="H136" s="127">
        <f t="shared" si="92"/>
        <v>90081.659999999989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1325.2499999999995</v>
      </c>
      <c r="O136" s="129">
        <f t="shared" si="94"/>
        <v>66.262499999999974</v>
      </c>
      <c r="P136" s="95">
        <f t="shared" si="89"/>
        <v>0</v>
      </c>
      <c r="Q136" s="131">
        <f t="shared" si="90"/>
        <v>-5.7375000000000256</v>
      </c>
      <c r="R136" s="132">
        <f t="shared" si="91"/>
        <v>0.92031249999999964</v>
      </c>
      <c r="S136" s="586"/>
      <c r="T136" s="304">
        <v>0.74097222222222225</v>
      </c>
      <c r="U136" s="91">
        <v>0.79652777777777783</v>
      </c>
      <c r="V136" s="191">
        <v>8</v>
      </c>
      <c r="W136" s="84">
        <f t="shared" si="95"/>
        <v>80.000000000000028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-114.75000000000045</v>
      </c>
      <c r="AG136" s="171">
        <f t="shared" si="64"/>
        <v>0.92031249999999964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982</v>
      </c>
      <c r="H137" s="127">
        <f t="shared" si="92"/>
        <v>53116.380000000005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1402.8571428571424</v>
      </c>
      <c r="O137" s="129">
        <f t="shared" si="94"/>
        <v>73.834586466165391</v>
      </c>
      <c r="P137" s="95">
        <f t="shared" si="89"/>
        <v>0</v>
      </c>
      <c r="Q137" s="131">
        <f t="shared" si="90"/>
        <v>-5.1127819548872395</v>
      </c>
      <c r="R137" s="132">
        <f t="shared" si="91"/>
        <v>0.93523809523809498</v>
      </c>
      <c r="S137" s="586"/>
      <c r="T137" s="91">
        <v>0.80138888888888893</v>
      </c>
      <c r="U137" s="91">
        <v>0.8305555555555556</v>
      </c>
      <c r="V137" s="307">
        <v>7</v>
      </c>
      <c r="W137" s="84">
        <f t="shared" si="95"/>
        <v>42.000000000000014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-97.142857142857565</v>
      </c>
      <c r="AG137" s="171">
        <f t="shared" si="64"/>
        <v>0.93523809523809498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1851</v>
      </c>
      <c r="H138" s="127">
        <f t="shared" si="92"/>
        <v>94252.92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1338.0722891566261</v>
      </c>
      <c r="O138" s="129">
        <f t="shared" si="94"/>
        <v>70.424857324032956</v>
      </c>
      <c r="P138" s="95">
        <f t="shared" si="89"/>
        <v>0</v>
      </c>
      <c r="Q138" s="131">
        <f t="shared" si="90"/>
        <v>-5.364616360177564</v>
      </c>
      <c r="R138" s="296">
        <f t="shared" si="91"/>
        <v>0.9292168674698793</v>
      </c>
      <c r="S138" s="586"/>
      <c r="T138" s="91">
        <v>0.84652777777777777</v>
      </c>
      <c r="U138" s="91">
        <v>0.90416666666666667</v>
      </c>
      <c r="V138" s="307">
        <v>23</v>
      </c>
      <c r="W138" s="84">
        <f t="shared" si="95"/>
        <v>83.000000000000028</v>
      </c>
      <c r="X138" s="94">
        <v>0.8340277777777777</v>
      </c>
      <c r="Y138" s="94">
        <v>0.84375</v>
      </c>
      <c r="Z138" s="95"/>
      <c r="AA138" s="95"/>
      <c r="AB138" s="571"/>
      <c r="AC138" s="571"/>
      <c r="AD138" s="332"/>
      <c r="AE138" s="332"/>
      <c r="AF138" s="88">
        <f t="shared" si="63"/>
        <v>-101.92771084337392</v>
      </c>
      <c r="AG138" s="171">
        <f t="shared" si="64"/>
        <v>0.92921686746987919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1124</v>
      </c>
      <c r="H139" s="127">
        <f t="shared" si="92"/>
        <v>56953.08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1322.3529411764712</v>
      </c>
      <c r="O139" s="129">
        <f t="shared" si="94"/>
        <v>77.785467128027719</v>
      </c>
      <c r="P139" s="95">
        <f t="shared" si="89"/>
        <v>0</v>
      </c>
      <c r="Q139" s="131">
        <f t="shared" si="90"/>
        <v>-6.9204152249134552</v>
      </c>
      <c r="R139" s="132">
        <f t="shared" si="91"/>
        <v>0.91830065359477175</v>
      </c>
      <c r="S139" s="586"/>
      <c r="T139" s="91">
        <v>0.90972222222222221</v>
      </c>
      <c r="U139" s="91">
        <v>0.94513888888888886</v>
      </c>
      <c r="V139" s="308">
        <v>8</v>
      </c>
      <c r="W139" s="84">
        <f t="shared" si="95"/>
        <v>50.999999999999979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-117.64705882352882</v>
      </c>
      <c r="AG139" s="171">
        <f t="shared" si="64"/>
        <v>0.91830065359477164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1325</v>
      </c>
      <c r="H140" s="127">
        <f t="shared" si="92"/>
        <v>66899.25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1325.0000000000011</v>
      </c>
      <c r="O140" s="129">
        <f t="shared" si="94"/>
        <v>88.333333333333414</v>
      </c>
      <c r="P140" s="95">
        <f t="shared" si="89"/>
        <v>1</v>
      </c>
      <c r="Q140" s="131">
        <f t="shared" si="90"/>
        <v>-14.523809523809447</v>
      </c>
      <c r="R140" s="132">
        <f t="shared" si="91"/>
        <v>0.85879629629629706</v>
      </c>
      <c r="S140" s="587"/>
      <c r="T140" s="105">
        <v>0.95</v>
      </c>
      <c r="U140" s="310">
        <v>0.99166666666666659</v>
      </c>
      <c r="V140" s="311">
        <v>7</v>
      </c>
      <c r="W140" s="84">
        <f t="shared" si="95"/>
        <v>59.999999999999943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-114.99999999999886</v>
      </c>
      <c r="AG140" s="171">
        <f t="shared" si="64"/>
        <v>0.92013888888888973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1347.6400109163221</v>
      </c>
      <c r="O147" s="301">
        <f t="shared" si="96"/>
        <v>76.227454358668652</v>
      </c>
      <c r="P147" s="92">
        <f t="shared" ref="P147:P152" si="97">M147-J147</f>
        <v>0.1666666666666643</v>
      </c>
      <c r="Q147" s="188">
        <f t="shared" ref="Q147:Q152" si="98">O147-L147</f>
        <v>-7.5284058801637173</v>
      </c>
      <c r="R147" s="316">
        <f t="shared" ref="R147:R152" si="99">O147/L147</f>
        <v>0.91011487603737529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-112.35998908367787</v>
      </c>
      <c r="AG147" s="317">
        <f t="shared" si="64"/>
        <v>0.92304110336734391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612</v>
      </c>
      <c r="H148" s="127">
        <f t="shared" ref="H148:H172" si="100">F148*G148</f>
        <v>31010.04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1311.4285714285686</v>
      </c>
      <c r="O148" s="86">
        <f>N148/M148</f>
        <v>77.142857142856982</v>
      </c>
      <c r="P148" s="88">
        <f t="shared" si="97"/>
        <v>1</v>
      </c>
      <c r="Q148" s="89">
        <f t="shared" si="98"/>
        <v>-12.857142857143018</v>
      </c>
      <c r="R148" s="90">
        <f t="shared" si="99"/>
        <v>0.85714285714285532</v>
      </c>
      <c r="S148" s="579">
        <f>R160</f>
        <v>0.83169729108759205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-128.5714285714314</v>
      </c>
      <c r="AG148" s="171">
        <f t="shared" si="64"/>
        <v>0.9107142857142837</v>
      </c>
      <c r="AH148" s="575">
        <f>AG160</f>
        <v>0.84110484187244106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1412</v>
      </c>
      <c r="H149" s="127">
        <f t="shared" si="100"/>
        <v>80907.599999999991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1366.451612903227</v>
      </c>
      <c r="O149" s="86">
        <f>N149/M149</f>
        <v>75.91397849462372</v>
      </c>
      <c r="P149" s="88">
        <f t="shared" si="97"/>
        <v>0</v>
      </c>
      <c r="Q149" s="89">
        <f t="shared" si="98"/>
        <v>-7.4193548387096087</v>
      </c>
      <c r="R149" s="90">
        <f t="shared" si="99"/>
        <v>0.91096774193548469</v>
      </c>
      <c r="S149" s="580"/>
      <c r="T149" s="304">
        <v>0.73263888888888895</v>
      </c>
      <c r="U149" s="91">
        <v>0.77569444444444446</v>
      </c>
      <c r="V149" s="75">
        <v>7</v>
      </c>
      <c r="W149" s="84">
        <f t="shared" ref="W149:W159" si="101">(U149-T149)*24*60</f>
        <v>61.999999999999943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-133.54838709677301</v>
      </c>
      <c r="AG149" s="171">
        <f t="shared" si="64"/>
        <v>0.91096774193548469</v>
      </c>
      <c r="AH149" s="581"/>
    </row>
    <row r="150" spans="1:34" ht="19.2" customHeight="1">
      <c r="A150" s="578"/>
      <c r="B150" s="332" t="s">
        <v>247</v>
      </c>
      <c r="C150" s="277"/>
      <c r="D150" s="229" t="s">
        <v>132</v>
      </c>
      <c r="E150" s="101"/>
      <c r="F150" s="657">
        <v>57.734999999999999</v>
      </c>
      <c r="G150" s="98">
        <v>411.20000000000005</v>
      </c>
      <c r="H150" s="127">
        <f t="shared" si="100"/>
        <v>23740.632000000001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1298.5263157894783</v>
      </c>
      <c r="O150" s="86">
        <f>N150/M150</f>
        <v>81.157894736842394</v>
      </c>
      <c r="P150" s="88">
        <f t="shared" si="97"/>
        <v>0</v>
      </c>
      <c r="Q150" s="89">
        <f t="shared" si="98"/>
        <v>-16.654605263157606</v>
      </c>
      <c r="R150" s="90">
        <f t="shared" si="99"/>
        <v>0.82972927526484241</v>
      </c>
      <c r="S150" s="580"/>
      <c r="T150" s="304">
        <v>0.79097222222222219</v>
      </c>
      <c r="U150" s="91">
        <v>0.80416666666666659</v>
      </c>
      <c r="V150" s="75">
        <v>22</v>
      </c>
      <c r="W150" s="84">
        <f t="shared" si="101"/>
        <v>18.999999999999932</v>
      </c>
      <c r="X150" s="271">
        <v>0.77916666666666667</v>
      </c>
      <c r="Y150" s="271">
        <v>0.78819444444444453</v>
      </c>
      <c r="Z150" s="272"/>
      <c r="AA150" s="272"/>
      <c r="AB150" s="571"/>
      <c r="AC150" s="571"/>
      <c r="AD150" s="332"/>
      <c r="AE150" s="332"/>
      <c r="AF150" s="88">
        <f t="shared" si="63"/>
        <v>-266.4736842105217</v>
      </c>
      <c r="AG150" s="171">
        <f t="shared" si="64"/>
        <v>0.82972927526484241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151</v>
      </c>
      <c r="E151" s="101"/>
      <c r="F151" s="657">
        <v>50.29</v>
      </c>
      <c r="G151" s="98">
        <v>492</v>
      </c>
      <c r="H151" s="127">
        <f t="shared" si="100"/>
        <v>24742.68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1093.3333333333308</v>
      </c>
      <c r="O151" s="86">
        <f>N151/M151</f>
        <v>60.740740740740598</v>
      </c>
      <c r="P151" s="88">
        <f t="shared" si="97"/>
        <v>0</v>
      </c>
      <c r="Q151" s="89">
        <f t="shared" si="98"/>
        <v>-19.259259259259402</v>
      </c>
      <c r="R151" s="90">
        <f t="shared" si="99"/>
        <v>0.75925925925925752</v>
      </c>
      <c r="S151" s="580"/>
      <c r="T151" s="304">
        <v>0.80902777777777768</v>
      </c>
      <c r="U151" s="91">
        <v>0.82777777777777772</v>
      </c>
      <c r="V151" s="75">
        <v>7</v>
      </c>
      <c r="W151" s="84">
        <f t="shared" si="101"/>
        <v>27.000000000000064</v>
      </c>
      <c r="X151" s="271"/>
      <c r="Y151" s="271"/>
      <c r="Z151" s="272"/>
      <c r="AA151" s="272"/>
      <c r="AB151" s="571"/>
      <c r="AC151" s="571"/>
      <c r="AD151" s="277"/>
      <c r="AE151" s="277"/>
      <c r="AF151" s="88">
        <f t="shared" si="63"/>
        <v>-346.66666666666924</v>
      </c>
      <c r="AG151" s="171">
        <f t="shared" si="64"/>
        <v>0.75925925925925752</v>
      </c>
      <c r="AH151" s="581"/>
    </row>
    <row r="152" spans="1:34" s="274" customFormat="1" ht="19.2" customHeight="1">
      <c r="A152" s="578"/>
      <c r="B152" s="332" t="s">
        <v>247</v>
      </c>
      <c r="C152" s="277"/>
      <c r="D152" s="309" t="s">
        <v>322</v>
      </c>
      <c r="E152" s="101"/>
      <c r="F152" s="657">
        <v>44.98</v>
      </c>
      <c r="G152" s="98">
        <v>417.3</v>
      </c>
      <c r="H152" s="127">
        <f t="shared" si="100"/>
        <v>18770.153999999999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1192.2857142857185</v>
      </c>
      <c r="O152" s="86">
        <f>N152/M152</f>
        <v>62.751879699248342</v>
      </c>
      <c r="P152" s="88">
        <f t="shared" si="97"/>
        <v>0</v>
      </c>
      <c r="Q152" s="89">
        <f t="shared" si="98"/>
        <v>-16.195488721804288</v>
      </c>
      <c r="R152" s="90">
        <f t="shared" si="99"/>
        <v>0.7948571428571457</v>
      </c>
      <c r="S152" s="580"/>
      <c r="T152" s="319">
        <v>0.83194444444444438</v>
      </c>
      <c r="U152" s="105">
        <v>0.84652777777777766</v>
      </c>
      <c r="V152" s="103">
        <v>6</v>
      </c>
      <c r="W152" s="84">
        <f t="shared" si="101"/>
        <v>20.999999999999925</v>
      </c>
      <c r="X152" s="275"/>
      <c r="Y152" s="275"/>
      <c r="Z152" s="272"/>
      <c r="AA152" s="272"/>
      <c r="AB152" s="571"/>
      <c r="AC152" s="571"/>
      <c r="AD152" s="277">
        <v>1</v>
      </c>
      <c r="AE152" s="277">
        <v>4</v>
      </c>
      <c r="AF152" s="88">
        <f t="shared" si="63"/>
        <v>-307.71428571428146</v>
      </c>
      <c r="AG152" s="171">
        <f t="shared" si="64"/>
        <v>0.7948571428571457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J160:O160" si="102">AVERAGE(M148:M159)</f>
        <v>17.600000000000001</v>
      </c>
      <c r="N160" s="327">
        <f t="shared" si="102"/>
        <v>1252.4051095480647</v>
      </c>
      <c r="O160" s="328">
        <f t="shared" si="102"/>
        <v>71.541470162862396</v>
      </c>
      <c r="P160" s="107">
        <f t="shared" ref="P160:P165" si="103">M160-J160</f>
        <v>0.20000000000000284</v>
      </c>
      <c r="Q160" s="117">
        <f t="shared" ref="Q160:Q165" si="104">O160-L160</f>
        <v>-14.477170188014796</v>
      </c>
      <c r="R160" s="329">
        <f>O160/L160</f>
        <v>0.83169729108759205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1</v>
      </c>
      <c r="AE160" s="122">
        <f>SUM(AE148:AE159)</f>
        <v>4</v>
      </c>
      <c r="AF160" s="107">
        <f t="shared" si="63"/>
        <v>-236.59489045193527</v>
      </c>
      <c r="AG160" s="176">
        <f t="shared" si="64"/>
        <v>0.84110484187244106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3243</v>
      </c>
      <c r="H161" s="127">
        <f t="shared" ref="H161:H170" si="105">F161*G161</f>
        <v>111007.88999999998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2162</v>
      </c>
      <c r="O161" s="129">
        <f t="shared" ref="O161:O165" si="107">N161/M161</f>
        <v>166.30769230769232</v>
      </c>
      <c r="P161" s="95">
        <f t="shared" si="103"/>
        <v>0</v>
      </c>
      <c r="Q161" s="131">
        <f t="shared" si="104"/>
        <v>-6.7692307692307452</v>
      </c>
      <c r="R161" s="132">
        <f t="shared" ref="R161:R165" si="108">O161/L161</f>
        <v>0.96088888888888901</v>
      </c>
      <c r="S161" s="575">
        <f>R173</f>
        <v>0.93562300805280219</v>
      </c>
      <c r="T161" s="133">
        <v>0.16666666666666666</v>
      </c>
      <c r="U161" s="133">
        <v>0.22916666666666666</v>
      </c>
      <c r="V161" s="332">
        <v>5</v>
      </c>
      <c r="W161" s="134">
        <f t="shared" ref="W161:W165" si="109">(U161-T161)*24*60</f>
        <v>90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-88</v>
      </c>
      <c r="AG161" s="132">
        <f t="shared" si="64"/>
        <v>0.9608888888888889</v>
      </c>
      <c r="AH161" s="575">
        <f>AG173</f>
        <v>0.93937466985578977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4148</v>
      </c>
      <c r="H162" s="127">
        <f t="shared" si="105"/>
        <v>141986.03999999998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2164.1739130434785</v>
      </c>
      <c r="O162" s="129">
        <f t="shared" si="107"/>
        <v>166.47491638795989</v>
      </c>
      <c r="P162" s="95">
        <f t="shared" si="103"/>
        <v>0</v>
      </c>
      <c r="Q162" s="131">
        <f t="shared" si="104"/>
        <v>-6.6020066889631721</v>
      </c>
      <c r="R162" s="132">
        <f t="shared" si="108"/>
        <v>0.96185507246376833</v>
      </c>
      <c r="S162" s="575"/>
      <c r="T162" s="133">
        <v>0.23402777777777778</v>
      </c>
      <c r="U162" s="133">
        <v>0.31388888888888888</v>
      </c>
      <c r="V162" s="332">
        <v>7</v>
      </c>
      <c r="W162" s="134">
        <f t="shared" si="109"/>
        <v>114.99999999999999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-85.826086956521522</v>
      </c>
      <c r="AG162" s="132">
        <f t="shared" si="64"/>
        <v>0.96185507246376822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2527</v>
      </c>
      <c r="H163" s="127">
        <f t="shared" si="105"/>
        <v>86499.209999999992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2048.9189189189196</v>
      </c>
      <c r="O163" s="129">
        <f t="shared" si="107"/>
        <v>170.74324324324331</v>
      </c>
      <c r="P163" s="95">
        <f t="shared" si="103"/>
        <v>0</v>
      </c>
      <c r="Q163" s="131">
        <f t="shared" si="104"/>
        <v>-5.7567567567566869</v>
      </c>
      <c r="R163" s="132">
        <f t="shared" si="108"/>
        <v>0.96738381440931054</v>
      </c>
      <c r="S163" s="575"/>
      <c r="T163" s="133">
        <v>0.35416666666666663</v>
      </c>
      <c r="U163" s="133">
        <v>0.4055555555555555</v>
      </c>
      <c r="V163" s="332">
        <v>5</v>
      </c>
      <c r="W163" s="134">
        <f t="shared" si="109"/>
        <v>73.999999999999972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-69.081081081080356</v>
      </c>
      <c r="AG163" s="132">
        <f t="shared" si="64"/>
        <v>0.96738381440931054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6287</v>
      </c>
      <c r="H164" s="127">
        <f t="shared" si="105"/>
        <v>225263.21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2167.9310344827586</v>
      </c>
      <c r="O164" s="129">
        <f t="shared" si="107"/>
        <v>197.08463949843261</v>
      </c>
      <c r="P164" s="95">
        <f t="shared" si="103"/>
        <v>0</v>
      </c>
      <c r="Q164" s="131">
        <f t="shared" si="104"/>
        <v>-7.4608150470219243</v>
      </c>
      <c r="R164" s="132">
        <f t="shared" si="108"/>
        <v>0.9635249042145595</v>
      </c>
      <c r="S164" s="575"/>
      <c r="T164" s="133">
        <v>0.42013888888888884</v>
      </c>
      <c r="U164" s="133">
        <v>0.54097222222222219</v>
      </c>
      <c r="V164" s="332">
        <v>21</v>
      </c>
      <c r="W164" s="134">
        <f t="shared" si="109"/>
        <v>174.00000000000003</v>
      </c>
      <c r="X164" s="140">
        <v>0.40902777777777777</v>
      </c>
      <c r="Y164" s="140">
        <v>0.41736111111111113</v>
      </c>
      <c r="Z164" s="95"/>
      <c r="AA164" s="95"/>
      <c r="AB164" s="571"/>
      <c r="AC164" s="571"/>
      <c r="AD164" s="332"/>
      <c r="AE164" s="332"/>
      <c r="AF164" s="95">
        <f t="shared" si="63"/>
        <v>-82.068965517241395</v>
      </c>
      <c r="AG164" s="132">
        <f t="shared" si="64"/>
        <v>0.96352490421455939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5732.35</v>
      </c>
      <c r="H165" s="127">
        <f t="shared" si="105"/>
        <v>208714.86350000001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2388.479166666667</v>
      </c>
      <c r="O165" s="129">
        <f t="shared" si="107"/>
        <v>238.84791666666669</v>
      </c>
      <c r="P165" s="95">
        <f t="shared" si="103"/>
        <v>0</v>
      </c>
      <c r="Q165" s="131">
        <f t="shared" si="104"/>
        <v>-38.052083333333286</v>
      </c>
      <c r="R165" s="132">
        <f t="shared" si="108"/>
        <v>0.86257824726134602</v>
      </c>
      <c r="S165" s="575"/>
      <c r="T165" s="133">
        <v>0.55624999999999991</v>
      </c>
      <c r="U165" s="133">
        <v>0.65624999999999989</v>
      </c>
      <c r="V165" s="332">
        <v>22</v>
      </c>
      <c r="W165" s="134">
        <f t="shared" si="109"/>
        <v>143.99999999999997</v>
      </c>
      <c r="X165" s="140">
        <v>0.5444444444444444</v>
      </c>
      <c r="Y165" s="140">
        <v>0.55347222222222225</v>
      </c>
      <c r="Z165" s="95"/>
      <c r="AA165" s="95"/>
      <c r="AB165" s="571"/>
      <c r="AC165" s="571"/>
      <c r="AD165" s="332"/>
      <c r="AE165" s="332"/>
      <c r="AF165" s="95">
        <f t="shared" si="63"/>
        <v>-380.52083333333303</v>
      </c>
      <c r="AG165" s="132">
        <f t="shared" si="64"/>
        <v>0.86257824726134591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2186.3006066223652</v>
      </c>
      <c r="O173" s="148">
        <f t="shared" si="110"/>
        <v>187.89168162079898</v>
      </c>
      <c r="P173" s="95">
        <f>M173-J173</f>
        <v>0</v>
      </c>
      <c r="Q173" s="131">
        <f>O173-L173</f>
        <v>-12.928178519061163</v>
      </c>
      <c r="R173" s="149">
        <f>O173/L173</f>
        <v>0.93562300805280219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0</v>
      </c>
      <c r="AF173" s="95">
        <f t="shared" si="63"/>
        <v>-141.0993933776349</v>
      </c>
      <c r="AG173" s="132">
        <f t="shared" si="64"/>
        <v>0.93937466985578977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6691" priority="3346" operator="lessThan">
      <formula>0</formula>
    </cfRule>
  </conditionalFormatting>
  <conditionalFormatting sqref="AH57 AH70 S43 S123 S95 AH95 S5:S9 AH5:AH9 S134 AH17:AH18 S17:S18 S32 S82 AH82 S57:S70">
    <cfRule type="cellIs" dxfId="6690" priority="3345" operator="lessThan">
      <formula>0.8</formula>
    </cfRule>
  </conditionalFormatting>
  <conditionalFormatting sqref="R147 R173 R30 R121 R95 R43 R134 R82 R154:R159 R17:R18 R57:R70">
    <cfRule type="cellIs" dxfId="6689" priority="3343" operator="lessThan">
      <formula>0.8</formula>
    </cfRule>
    <cfRule type="cellIs" dxfId="668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6687" priority="3341" operator="greaterThan">
      <formula>1</formula>
    </cfRule>
    <cfRule type="cellIs" dxfId="6686" priority="3342" operator="lessThan">
      <formula>0.8</formula>
    </cfRule>
  </conditionalFormatting>
  <conditionalFormatting sqref="P147 P30 P121 P95 P43 P134 P82 P154:P159 P17:P18 P57:P70">
    <cfRule type="cellIs" dxfId="6685" priority="3340" operator="greaterThan">
      <formula>0</formula>
    </cfRule>
  </conditionalFormatting>
  <conditionalFormatting sqref="S161">
    <cfRule type="cellIs" dxfId="6684" priority="3339" operator="lessThan">
      <formula>0.8</formula>
    </cfRule>
  </conditionalFormatting>
  <conditionalFormatting sqref="Q161:Q166">
    <cfRule type="cellIs" dxfId="6683" priority="3338" operator="lessThan">
      <formula>0</formula>
    </cfRule>
  </conditionalFormatting>
  <conditionalFormatting sqref="R161:R166">
    <cfRule type="cellIs" dxfId="6682" priority="3336" operator="lessThan">
      <formula>0.8</formula>
    </cfRule>
    <cfRule type="cellIs" dxfId="6681" priority="3337" operator="greaterThan">
      <formula>1</formula>
    </cfRule>
  </conditionalFormatting>
  <conditionalFormatting sqref="R161:R166">
    <cfRule type="cellIs" dxfId="6680" priority="3334" operator="greaterThan">
      <formula>1</formula>
    </cfRule>
    <cfRule type="cellIs" dxfId="6679" priority="3335" operator="lessThan">
      <formula>0.8</formula>
    </cfRule>
  </conditionalFormatting>
  <conditionalFormatting sqref="P161:P166">
    <cfRule type="cellIs" dxfId="6678" priority="3333" operator="greaterThan">
      <formula>0</formula>
    </cfRule>
  </conditionalFormatting>
  <conditionalFormatting sqref="Q169:Q172 AF161:AF172">
    <cfRule type="cellIs" dxfId="6677" priority="3332" operator="lessThan">
      <formula>0</formula>
    </cfRule>
  </conditionalFormatting>
  <conditionalFormatting sqref="R169:R172">
    <cfRule type="cellIs" dxfId="6676" priority="3330" operator="lessThan">
      <formula>0.8</formula>
    </cfRule>
    <cfRule type="cellIs" dxfId="6675" priority="3331" operator="greaterThan">
      <formula>1</formula>
    </cfRule>
  </conditionalFormatting>
  <conditionalFormatting sqref="R169:R172 AG161:AG172">
    <cfRule type="cellIs" dxfId="6674" priority="3328" operator="greaterThan">
      <formula>1</formula>
    </cfRule>
    <cfRule type="cellIs" dxfId="6673" priority="3329" operator="lessThan">
      <formula>0.8</formula>
    </cfRule>
  </conditionalFormatting>
  <conditionalFormatting sqref="P169:P172">
    <cfRule type="cellIs" dxfId="6672" priority="3327" operator="greaterThan">
      <formula>0</formula>
    </cfRule>
  </conditionalFormatting>
  <conditionalFormatting sqref="AF145">
    <cfRule type="cellIs" dxfId="6671" priority="3326" operator="lessThan">
      <formula>0</formula>
    </cfRule>
  </conditionalFormatting>
  <conditionalFormatting sqref="AG145">
    <cfRule type="cellIs" dxfId="6670" priority="3324" operator="greaterThan">
      <formula>1</formula>
    </cfRule>
    <cfRule type="cellIs" dxfId="6669" priority="3325" operator="lessThan">
      <formula>0.8</formula>
    </cfRule>
  </conditionalFormatting>
  <conditionalFormatting sqref="AF44:AF54">
    <cfRule type="cellIs" dxfId="6668" priority="3323" operator="lessThan">
      <formula>0</formula>
    </cfRule>
  </conditionalFormatting>
  <conditionalFormatting sqref="AG44:AG54">
    <cfRule type="cellIs" dxfId="6667" priority="3321" operator="greaterThan">
      <formula>1</formula>
    </cfRule>
    <cfRule type="cellIs" dxfId="6666" priority="3322" operator="lessThan">
      <formula>0.8</formula>
    </cfRule>
  </conditionalFormatting>
  <conditionalFormatting sqref="AF83:AF94">
    <cfRule type="cellIs" dxfId="6665" priority="3320" operator="lessThan">
      <formula>0</formula>
    </cfRule>
  </conditionalFormatting>
  <conditionalFormatting sqref="AH83">
    <cfRule type="cellIs" dxfId="6664" priority="3319" operator="lessThan">
      <formula>0.8</formula>
    </cfRule>
  </conditionalFormatting>
  <conditionalFormatting sqref="AG83:AG94">
    <cfRule type="cellIs" dxfId="6663" priority="3317" operator="greaterThan">
      <formula>1</formula>
    </cfRule>
    <cfRule type="cellIs" dxfId="6662" priority="3318" operator="lessThan">
      <formula>0.8</formula>
    </cfRule>
  </conditionalFormatting>
  <conditionalFormatting sqref="S83">
    <cfRule type="cellIs" dxfId="6661" priority="3316" operator="lessThan">
      <formula>0.8</formula>
    </cfRule>
  </conditionalFormatting>
  <conditionalFormatting sqref="AH84">
    <cfRule type="cellIs" dxfId="6660" priority="3315" operator="lessThan">
      <formula>0.8</formula>
    </cfRule>
  </conditionalFormatting>
  <conditionalFormatting sqref="S84">
    <cfRule type="cellIs" dxfId="6659" priority="3314" operator="lessThan">
      <formula>0.8</formula>
    </cfRule>
  </conditionalFormatting>
  <conditionalFormatting sqref="S90">
    <cfRule type="cellIs" dxfId="6658" priority="3313" operator="lessThan">
      <formula>0.8</formula>
    </cfRule>
  </conditionalFormatting>
  <conditionalFormatting sqref="AH90">
    <cfRule type="cellIs" dxfId="6657" priority="3312" operator="lessThan">
      <formula>0.8</formula>
    </cfRule>
  </conditionalFormatting>
  <conditionalFormatting sqref="AF122">
    <cfRule type="cellIs" dxfId="6656" priority="3311" operator="lessThan">
      <formula>0</formula>
    </cfRule>
  </conditionalFormatting>
  <conditionalFormatting sqref="S122">
    <cfRule type="cellIs" dxfId="6655" priority="3310" operator="lessThan">
      <formula>0.8</formula>
    </cfRule>
  </conditionalFormatting>
  <conditionalFormatting sqref="AG122">
    <cfRule type="cellIs" dxfId="6654" priority="3308" operator="greaterThan">
      <formula>1</formula>
    </cfRule>
    <cfRule type="cellIs" dxfId="6653" priority="3309" operator="lessThan">
      <formula>0.8</formula>
    </cfRule>
  </conditionalFormatting>
  <conditionalFormatting sqref="P162:P168">
    <cfRule type="cellIs" dxfId="6652" priority="3302" operator="greaterThan">
      <formula>0</formula>
    </cfRule>
  </conditionalFormatting>
  <conditionalFormatting sqref="R162:R168">
    <cfRule type="cellIs" dxfId="6651" priority="3305" operator="lessThan">
      <formula>0.8</formula>
    </cfRule>
    <cfRule type="cellIs" dxfId="6650" priority="3306" operator="greaterThan">
      <formula>1</formula>
    </cfRule>
  </conditionalFormatting>
  <conditionalFormatting sqref="R162:R168">
    <cfRule type="cellIs" dxfId="6649" priority="3303" operator="greaterThan">
      <formula>1</formula>
    </cfRule>
    <cfRule type="cellIs" dxfId="6648" priority="3304" operator="lessThan">
      <formula>0.8</formula>
    </cfRule>
  </conditionalFormatting>
  <conditionalFormatting sqref="Q162:Q168">
    <cfRule type="cellIs" dxfId="6647" priority="3307" operator="lessThan">
      <formula>0</formula>
    </cfRule>
  </conditionalFormatting>
  <conditionalFormatting sqref="P132:P133">
    <cfRule type="cellIs" dxfId="6646" priority="3295" operator="greaterThan">
      <formula>0</formula>
    </cfRule>
  </conditionalFormatting>
  <conditionalFormatting sqref="AF124 Q132:Q133 AF126:AF133">
    <cfRule type="cellIs" dxfId="6645" priority="3301" operator="lessThan">
      <formula>0</formula>
    </cfRule>
  </conditionalFormatting>
  <conditionalFormatting sqref="S124:S133">
    <cfRule type="cellIs" dxfId="6644" priority="3300" operator="lessThan">
      <formula>0.8</formula>
    </cfRule>
  </conditionalFormatting>
  <conditionalFormatting sqref="R132:R133">
    <cfRule type="cellIs" dxfId="6643" priority="3298" operator="lessThan">
      <formula>0.8</formula>
    </cfRule>
    <cfRule type="cellIs" dxfId="6642" priority="3299" operator="greaterThan">
      <formula>1</formula>
    </cfRule>
  </conditionalFormatting>
  <conditionalFormatting sqref="AG124 R132:R133 AG126:AG133">
    <cfRule type="cellIs" dxfId="6641" priority="3296" operator="greaterThan">
      <formula>1</formula>
    </cfRule>
    <cfRule type="cellIs" dxfId="6640" priority="3297" operator="lessThan">
      <formula>0.8</formula>
    </cfRule>
  </conditionalFormatting>
  <conditionalFormatting sqref="AF112 AF115">
    <cfRule type="cellIs" dxfId="6639" priority="3294" operator="lessThan">
      <formula>0</formula>
    </cfRule>
  </conditionalFormatting>
  <conditionalFormatting sqref="AG112 AG115">
    <cfRule type="cellIs" dxfId="6638" priority="3292" operator="greaterThan">
      <formula>1</formula>
    </cfRule>
    <cfRule type="cellIs" dxfId="6637" priority="3293" operator="lessThan">
      <formula>0.8</formula>
    </cfRule>
  </conditionalFormatting>
  <conditionalFormatting sqref="AF111 AF114 AF117">
    <cfRule type="cellIs" dxfId="6636" priority="3291" operator="lessThan">
      <formula>0</formula>
    </cfRule>
  </conditionalFormatting>
  <conditionalFormatting sqref="AH109">
    <cfRule type="cellIs" dxfId="6635" priority="3290" operator="lessThan">
      <formula>0.8</formula>
    </cfRule>
  </conditionalFormatting>
  <conditionalFormatting sqref="AG111 AG114 AG117">
    <cfRule type="cellIs" dxfId="6634" priority="3288" operator="greaterThan">
      <formula>1</formula>
    </cfRule>
    <cfRule type="cellIs" dxfId="6633" priority="3289" operator="lessThan">
      <formula>0.8</formula>
    </cfRule>
  </conditionalFormatting>
  <conditionalFormatting sqref="R160 AG160">
    <cfRule type="cellIs" dxfId="6632" priority="3283" operator="greaterThan">
      <formula>1</formula>
    </cfRule>
    <cfRule type="cellIs" dxfId="6631" priority="3284" operator="lessThan">
      <formula>0.8</formula>
    </cfRule>
  </conditionalFormatting>
  <conditionalFormatting sqref="R160">
    <cfRule type="cellIs" dxfId="6630" priority="3285" operator="lessThan">
      <formula>0.8</formula>
    </cfRule>
    <cfRule type="cellIs" dxfId="6629" priority="3286" operator="greaterThan">
      <formula>1</formula>
    </cfRule>
  </conditionalFormatting>
  <conditionalFormatting sqref="P160">
    <cfRule type="cellIs" dxfId="6628" priority="3282" operator="greaterThan">
      <formula>0</formula>
    </cfRule>
  </conditionalFormatting>
  <conditionalFormatting sqref="AH148">
    <cfRule type="cellIs" dxfId="6627" priority="3281" operator="lessThan">
      <formula>0.8</formula>
    </cfRule>
  </conditionalFormatting>
  <conditionalFormatting sqref="Q160 AF160">
    <cfRule type="cellIs" dxfId="6626" priority="3287" operator="lessThan">
      <formula>0</formula>
    </cfRule>
  </conditionalFormatting>
  <conditionalFormatting sqref="AF148:AF154">
    <cfRule type="cellIs" dxfId="6625" priority="3280" operator="lessThan">
      <formula>0</formula>
    </cfRule>
  </conditionalFormatting>
  <conditionalFormatting sqref="S148">
    <cfRule type="cellIs" dxfId="6624" priority="3279" operator="lessThan">
      <formula>0.8</formula>
    </cfRule>
  </conditionalFormatting>
  <conditionalFormatting sqref="AG148:AG154">
    <cfRule type="cellIs" dxfId="6623" priority="3277" operator="greaterThan">
      <formula>1</formula>
    </cfRule>
    <cfRule type="cellIs" dxfId="6622" priority="3278" operator="lessThan">
      <formula>0.8</formula>
    </cfRule>
  </conditionalFormatting>
  <conditionalFormatting sqref="S86">
    <cfRule type="cellIs" dxfId="6621" priority="3276" operator="lessThan">
      <formula>0.8</formula>
    </cfRule>
  </conditionalFormatting>
  <conditionalFormatting sqref="S88 AH88">
    <cfRule type="cellIs" dxfId="6620" priority="3271" operator="lessThan">
      <formula>0.8</formula>
    </cfRule>
  </conditionalFormatting>
  <conditionalFormatting sqref="AH86">
    <cfRule type="cellIs" dxfId="6619" priority="3275" operator="lessThan">
      <formula>0.8</formula>
    </cfRule>
  </conditionalFormatting>
  <conditionalFormatting sqref="S87">
    <cfRule type="cellIs" dxfId="6618" priority="3274" operator="lessThan">
      <formula>0.8</formula>
    </cfRule>
  </conditionalFormatting>
  <conditionalFormatting sqref="AH87">
    <cfRule type="cellIs" dxfId="6617" priority="3273" operator="lessThan">
      <formula>0.8</formula>
    </cfRule>
  </conditionalFormatting>
  <conditionalFormatting sqref="S89 AH89">
    <cfRule type="cellIs" dxfId="6616" priority="3272" operator="lessThan">
      <formula>0.8</formula>
    </cfRule>
  </conditionalFormatting>
  <conditionalFormatting sqref="AF31 AF35 AF39">
    <cfRule type="cellIs" dxfId="6615" priority="3270" operator="lessThan">
      <formula>0</formula>
    </cfRule>
  </conditionalFormatting>
  <conditionalFormatting sqref="AH31 S31">
    <cfRule type="cellIs" dxfId="6614" priority="3269" operator="lessThan">
      <formula>0.8</formula>
    </cfRule>
  </conditionalFormatting>
  <conditionalFormatting sqref="AG31 AG35 AG39">
    <cfRule type="cellIs" dxfId="6613" priority="3267" operator="greaterThan">
      <formula>1</formula>
    </cfRule>
    <cfRule type="cellIs" dxfId="6612" priority="3268" operator="lessThan">
      <formula>0.8</formula>
    </cfRule>
  </conditionalFormatting>
  <conditionalFormatting sqref="AF135">
    <cfRule type="cellIs" dxfId="6611" priority="3266" operator="lessThan">
      <formula>0</formula>
    </cfRule>
  </conditionalFormatting>
  <conditionalFormatting sqref="AH135 S135">
    <cfRule type="cellIs" dxfId="6610" priority="3265" operator="lessThan">
      <formula>0.8</formula>
    </cfRule>
  </conditionalFormatting>
  <conditionalFormatting sqref="AG135">
    <cfRule type="cellIs" dxfId="6609" priority="3263" operator="greaterThan">
      <formula>1</formula>
    </cfRule>
    <cfRule type="cellIs" dxfId="6608" priority="3264" operator="lessThan">
      <formula>0.8</formula>
    </cfRule>
  </conditionalFormatting>
  <conditionalFormatting sqref="AF110 AF113 AF116">
    <cfRule type="cellIs" dxfId="6607" priority="3262" operator="lessThan">
      <formula>0</formula>
    </cfRule>
  </conditionalFormatting>
  <conditionalFormatting sqref="AG110 AG113 AG116">
    <cfRule type="cellIs" dxfId="6606" priority="3260" operator="greaterThan">
      <formula>1</formula>
    </cfRule>
    <cfRule type="cellIs" dxfId="6605" priority="3261" operator="lessThan">
      <formula>0.8</formula>
    </cfRule>
  </conditionalFormatting>
  <conditionalFormatting sqref="AF108 Q108">
    <cfRule type="cellIs" dxfId="6604" priority="3259" operator="lessThan">
      <formula>0</formula>
    </cfRule>
  </conditionalFormatting>
  <conditionalFormatting sqref="R108">
    <cfRule type="cellIs" dxfId="6603" priority="3257" operator="lessThan">
      <formula>0.8</formula>
    </cfRule>
    <cfRule type="cellIs" dxfId="6602" priority="3258" operator="greaterThan">
      <formula>1</formula>
    </cfRule>
  </conditionalFormatting>
  <conditionalFormatting sqref="AG108 R108">
    <cfRule type="cellIs" dxfId="6601" priority="3255" operator="greaterThan">
      <formula>1</formula>
    </cfRule>
    <cfRule type="cellIs" dxfId="6600" priority="3256" operator="lessThan">
      <formula>0.8</formula>
    </cfRule>
  </conditionalFormatting>
  <conditionalFormatting sqref="P108">
    <cfRule type="cellIs" dxfId="6599" priority="3254" operator="greaterThan">
      <formula>0</formula>
    </cfRule>
  </conditionalFormatting>
  <conditionalFormatting sqref="AH97">
    <cfRule type="cellIs" dxfId="6598" priority="3249" operator="lessThan">
      <formula>0.8</formula>
    </cfRule>
  </conditionalFormatting>
  <conditionalFormatting sqref="AG96 AG98 AG100 AG102 AG104">
    <cfRule type="cellIs" dxfId="6597" priority="3251" operator="greaterThan">
      <formula>1</formula>
    </cfRule>
    <cfRule type="cellIs" dxfId="6596" priority="3252" operator="lessThan">
      <formula>0.8</formula>
    </cfRule>
  </conditionalFormatting>
  <conditionalFormatting sqref="AF96 AF98 AF100 AF102 AF104">
    <cfRule type="cellIs" dxfId="6595" priority="3253" operator="lessThan">
      <formula>0</formula>
    </cfRule>
  </conditionalFormatting>
  <conditionalFormatting sqref="AG97 AG99 AG101 AG103 AG105">
    <cfRule type="cellIs" dxfId="6594" priority="3247" operator="greaterThan">
      <formula>1</formula>
    </cfRule>
    <cfRule type="cellIs" dxfId="6593" priority="3248" operator="lessThan">
      <formula>0.8</formula>
    </cfRule>
  </conditionalFormatting>
  <conditionalFormatting sqref="AF97 AF99 AF101 AF103 AF105">
    <cfRule type="cellIs" dxfId="6592" priority="3250" operator="lessThan">
      <formula>0</formula>
    </cfRule>
  </conditionalFormatting>
  <conditionalFormatting sqref="AF71 AF73 AF75 AF79 AF77">
    <cfRule type="cellIs" dxfId="6591" priority="3244" operator="lessThan">
      <formula>0</formula>
    </cfRule>
  </conditionalFormatting>
  <conditionalFormatting sqref="S71 AH71">
    <cfRule type="cellIs" dxfId="6590" priority="3243" operator="lessThan">
      <formula>0.8</formula>
    </cfRule>
  </conditionalFormatting>
  <conditionalFormatting sqref="AG71 AG73 AG75 AG79 AG77">
    <cfRule type="cellIs" dxfId="6589" priority="3241" operator="greaterThan">
      <formula>1</formula>
    </cfRule>
    <cfRule type="cellIs" dxfId="6588" priority="3242" operator="lessThan">
      <formula>0.8</formula>
    </cfRule>
  </conditionalFormatting>
  <conditionalFormatting sqref="AF72 AF76 AF80">
    <cfRule type="cellIs" dxfId="6587" priority="3240" operator="lessThan">
      <formula>0</formula>
    </cfRule>
  </conditionalFormatting>
  <conditionalFormatting sqref="S72 AH72">
    <cfRule type="cellIs" dxfId="6586" priority="3239" operator="lessThan">
      <formula>0.8</formula>
    </cfRule>
  </conditionalFormatting>
  <conditionalFormatting sqref="S11">
    <cfRule type="cellIs" dxfId="6585" priority="3246" operator="lessThan">
      <formula>0.8</formula>
    </cfRule>
  </conditionalFormatting>
  <conditionalFormatting sqref="S10">
    <cfRule type="cellIs" dxfId="6584" priority="3245" operator="lessThan">
      <formula>0.8</formula>
    </cfRule>
  </conditionalFormatting>
  <conditionalFormatting sqref="AG72 AG76 AG80">
    <cfRule type="cellIs" dxfId="6583" priority="3237" operator="greaterThan">
      <formula>1</formula>
    </cfRule>
    <cfRule type="cellIs" dxfId="6582" priority="3238" operator="lessThan">
      <formula>0.8</formula>
    </cfRule>
  </conditionalFormatting>
  <conditionalFormatting sqref="AF14:AF16 Q15:Q16">
    <cfRule type="cellIs" dxfId="6581" priority="3236" operator="lessThan">
      <formula>0</formula>
    </cfRule>
  </conditionalFormatting>
  <conditionalFormatting sqref="R15:R16">
    <cfRule type="cellIs" dxfId="6580" priority="3234" operator="lessThan">
      <formula>0.8</formula>
    </cfRule>
    <cfRule type="cellIs" dxfId="6579" priority="3235" operator="greaterThan">
      <formula>1</formula>
    </cfRule>
  </conditionalFormatting>
  <conditionalFormatting sqref="AG14:AG16 R15:R16">
    <cfRule type="cellIs" dxfId="6578" priority="3232" operator="greaterThan">
      <formula>1</formula>
    </cfRule>
    <cfRule type="cellIs" dxfId="6577" priority="3233" operator="lessThan">
      <formula>0.8</formula>
    </cfRule>
  </conditionalFormatting>
  <conditionalFormatting sqref="P15:P16">
    <cfRule type="cellIs" dxfId="6576" priority="3231" operator="greaterThan">
      <formula>0</formula>
    </cfRule>
  </conditionalFormatting>
  <conditionalFormatting sqref="AH98">
    <cfRule type="cellIs" dxfId="6575" priority="3230" operator="lessThan">
      <formula>0.8</formula>
    </cfRule>
  </conditionalFormatting>
  <conditionalFormatting sqref="AF33 AF37">
    <cfRule type="cellIs" dxfId="6574" priority="3229" operator="lessThan">
      <formula>0</formula>
    </cfRule>
  </conditionalFormatting>
  <conditionalFormatting sqref="AG33 AG37">
    <cfRule type="cellIs" dxfId="6573" priority="3227" operator="greaterThan">
      <formula>1</formula>
    </cfRule>
    <cfRule type="cellIs" dxfId="6572" priority="3228" operator="lessThan">
      <formula>0.8</formula>
    </cfRule>
  </conditionalFormatting>
  <conditionalFormatting sqref="P41:P42">
    <cfRule type="cellIs" dxfId="6571" priority="3221" operator="greaterThan">
      <formula>0</formula>
    </cfRule>
  </conditionalFormatting>
  <conditionalFormatting sqref="Q41:Q42 AF34 AF41:AF42 AF38">
    <cfRule type="cellIs" dxfId="6570" priority="3226" operator="lessThan">
      <formula>0</formula>
    </cfRule>
  </conditionalFormatting>
  <conditionalFormatting sqref="R41:R42">
    <cfRule type="cellIs" dxfId="6569" priority="3224" operator="lessThan">
      <formula>0.8</formula>
    </cfRule>
    <cfRule type="cellIs" dxfId="6568" priority="3225" operator="greaterThan">
      <formula>1</formula>
    </cfRule>
  </conditionalFormatting>
  <conditionalFormatting sqref="R41:R42 AG34 AG41:AG42 AG38">
    <cfRule type="cellIs" dxfId="6567" priority="3222" operator="greaterThan">
      <formula>1</formula>
    </cfRule>
    <cfRule type="cellIs" dxfId="6566" priority="3223" operator="lessThan">
      <formula>0.8</formula>
    </cfRule>
  </conditionalFormatting>
  <conditionalFormatting sqref="AF137:AF144">
    <cfRule type="cellIs" dxfId="6565" priority="3220" operator="lessThan">
      <formula>0</formula>
    </cfRule>
  </conditionalFormatting>
  <conditionalFormatting sqref="AH137 S137">
    <cfRule type="cellIs" dxfId="6564" priority="3219" operator="lessThan">
      <formula>0.8</formula>
    </cfRule>
  </conditionalFormatting>
  <conditionalFormatting sqref="AG137:AG144">
    <cfRule type="cellIs" dxfId="6563" priority="3217" operator="greaterThan">
      <formula>1</formula>
    </cfRule>
    <cfRule type="cellIs" dxfId="6562" priority="3218" operator="lessThan">
      <formula>0.8</formula>
    </cfRule>
  </conditionalFormatting>
  <conditionalFormatting sqref="AF55">
    <cfRule type="cellIs" dxfId="6561" priority="3216" operator="lessThan">
      <formula>0</formula>
    </cfRule>
  </conditionalFormatting>
  <conditionalFormatting sqref="AG55">
    <cfRule type="cellIs" dxfId="6560" priority="3214" operator="greaterThan">
      <formula>1</formula>
    </cfRule>
    <cfRule type="cellIs" dxfId="6559" priority="3215" operator="lessThan">
      <formula>0.8</formula>
    </cfRule>
  </conditionalFormatting>
  <conditionalFormatting sqref="AF56 Q56">
    <cfRule type="cellIs" dxfId="6558" priority="3213" operator="lessThan">
      <formula>0</formula>
    </cfRule>
  </conditionalFormatting>
  <conditionalFormatting sqref="R56">
    <cfRule type="cellIs" dxfId="6557" priority="3211" operator="lessThan">
      <formula>0.8</formula>
    </cfRule>
    <cfRule type="cellIs" dxfId="6556" priority="3212" operator="greaterThan">
      <formula>1</formula>
    </cfRule>
  </conditionalFormatting>
  <conditionalFormatting sqref="AG56 R56">
    <cfRule type="cellIs" dxfId="6555" priority="3209" operator="greaterThan">
      <formula>1</formula>
    </cfRule>
    <cfRule type="cellIs" dxfId="6554" priority="3210" operator="lessThan">
      <formula>0.8</formula>
    </cfRule>
  </conditionalFormatting>
  <conditionalFormatting sqref="P56">
    <cfRule type="cellIs" dxfId="6553" priority="3208" operator="greaterThan">
      <formula>0</formula>
    </cfRule>
  </conditionalFormatting>
  <conditionalFormatting sqref="P52:P55">
    <cfRule type="cellIs" dxfId="6552" priority="3202" operator="greaterThan">
      <formula>0</formula>
    </cfRule>
  </conditionalFormatting>
  <conditionalFormatting sqref="Q52:Q55">
    <cfRule type="cellIs" dxfId="6551" priority="3207" operator="lessThan">
      <formula>0</formula>
    </cfRule>
  </conditionalFormatting>
  <conditionalFormatting sqref="R52:R55">
    <cfRule type="cellIs" dxfId="6550" priority="3205" operator="lessThan">
      <formula>0.8</formula>
    </cfRule>
    <cfRule type="cellIs" dxfId="6549" priority="3206" operator="greaterThan">
      <formula>1</formula>
    </cfRule>
  </conditionalFormatting>
  <conditionalFormatting sqref="R52:R55">
    <cfRule type="cellIs" dxfId="6548" priority="3203" operator="greaterThan">
      <formula>1</formula>
    </cfRule>
    <cfRule type="cellIs" dxfId="6547" priority="3204" operator="lessThan">
      <formula>0.8</formula>
    </cfRule>
  </conditionalFormatting>
  <conditionalFormatting sqref="P80:P81">
    <cfRule type="cellIs" dxfId="6546" priority="3196" operator="greaterThan">
      <formula>0</formula>
    </cfRule>
  </conditionalFormatting>
  <conditionalFormatting sqref="AF81 Q80:Q81">
    <cfRule type="cellIs" dxfId="6545" priority="3201" operator="lessThan">
      <formula>0</formula>
    </cfRule>
  </conditionalFormatting>
  <conditionalFormatting sqref="R80:R81">
    <cfRule type="cellIs" dxfId="6544" priority="3199" operator="lessThan">
      <formula>0.8</formula>
    </cfRule>
    <cfRule type="cellIs" dxfId="6543" priority="3200" operator="greaterThan">
      <formula>1</formula>
    </cfRule>
  </conditionalFormatting>
  <conditionalFormatting sqref="AG81 R80:R81">
    <cfRule type="cellIs" dxfId="6542" priority="3197" operator="greaterThan">
      <formula>1</formula>
    </cfRule>
    <cfRule type="cellIs" dxfId="6541" priority="3198" operator="lessThan">
      <formula>0.8</formula>
    </cfRule>
  </conditionalFormatting>
  <conditionalFormatting sqref="AH85">
    <cfRule type="cellIs" dxfId="6540" priority="3195" operator="lessThan">
      <formula>0.8</formula>
    </cfRule>
  </conditionalFormatting>
  <conditionalFormatting sqref="S85">
    <cfRule type="cellIs" dxfId="6539" priority="3194" operator="lessThan">
      <formula>0.8</formula>
    </cfRule>
  </conditionalFormatting>
  <conditionalFormatting sqref="AF106:AF107">
    <cfRule type="cellIs" dxfId="6538" priority="3193" operator="lessThan">
      <formula>0</formula>
    </cfRule>
  </conditionalFormatting>
  <conditionalFormatting sqref="AH100:AH107">
    <cfRule type="cellIs" dxfId="6537" priority="3192" operator="lessThan">
      <formula>0.8</formula>
    </cfRule>
  </conditionalFormatting>
  <conditionalFormatting sqref="AG106:AG107">
    <cfRule type="cellIs" dxfId="6536" priority="3190" operator="greaterThan">
      <formula>1</formula>
    </cfRule>
    <cfRule type="cellIs" dxfId="6535" priority="3191" operator="lessThan">
      <formula>0.8</formula>
    </cfRule>
  </conditionalFormatting>
  <conditionalFormatting sqref="P106:P107">
    <cfRule type="cellIs" dxfId="6534" priority="3184" operator="greaterThan">
      <formula>0</formula>
    </cfRule>
  </conditionalFormatting>
  <conditionalFormatting sqref="Q106:Q107">
    <cfRule type="cellIs" dxfId="6533" priority="3189" operator="lessThan">
      <formula>0</formula>
    </cfRule>
  </conditionalFormatting>
  <conditionalFormatting sqref="R106:R107">
    <cfRule type="cellIs" dxfId="6532" priority="3187" operator="lessThan">
      <formula>0.8</formula>
    </cfRule>
    <cfRule type="cellIs" dxfId="6531" priority="3188" operator="greaterThan">
      <formula>1</formula>
    </cfRule>
  </conditionalFormatting>
  <conditionalFormatting sqref="R106:R107">
    <cfRule type="cellIs" dxfId="6530" priority="3185" operator="greaterThan">
      <formula>1</formula>
    </cfRule>
    <cfRule type="cellIs" dxfId="6529" priority="3186" operator="lessThan">
      <formula>0.8</formula>
    </cfRule>
  </conditionalFormatting>
  <conditionalFormatting sqref="AF109">
    <cfRule type="cellIs" dxfId="6528" priority="3183" operator="lessThan">
      <formula>0</formula>
    </cfRule>
  </conditionalFormatting>
  <conditionalFormatting sqref="S109">
    <cfRule type="cellIs" dxfId="6527" priority="3182" operator="lessThan">
      <formula>0.8</formula>
    </cfRule>
  </conditionalFormatting>
  <conditionalFormatting sqref="AG109">
    <cfRule type="cellIs" dxfId="6526" priority="3180" operator="greaterThan">
      <formula>1</formula>
    </cfRule>
    <cfRule type="cellIs" dxfId="6525" priority="3181" operator="lessThan">
      <formula>0.8</formula>
    </cfRule>
  </conditionalFormatting>
  <conditionalFormatting sqref="S150">
    <cfRule type="cellIs" dxfId="6524" priority="3179" operator="lessThan">
      <formula>0.8</formula>
    </cfRule>
  </conditionalFormatting>
  <conditionalFormatting sqref="AH150">
    <cfRule type="cellIs" dxfId="6523" priority="3178" operator="lessThan">
      <formula>0.8</formula>
    </cfRule>
  </conditionalFormatting>
  <conditionalFormatting sqref="S149">
    <cfRule type="cellIs" dxfId="6522" priority="3177" operator="lessThan">
      <formula>0.8</formula>
    </cfRule>
  </conditionalFormatting>
  <conditionalFormatting sqref="Q26:Q29">
    <cfRule type="cellIs" dxfId="6521" priority="3176" operator="lessThan">
      <formula>0</formula>
    </cfRule>
  </conditionalFormatting>
  <conditionalFormatting sqref="S21:S29 AH21:AH29">
    <cfRule type="cellIs" dxfId="6520" priority="3175" operator="lessThan">
      <formula>0.8</formula>
    </cfRule>
  </conditionalFormatting>
  <conditionalFormatting sqref="R26:R29">
    <cfRule type="cellIs" dxfId="6519" priority="3173" operator="lessThan">
      <formula>0.8</formula>
    </cfRule>
    <cfRule type="cellIs" dxfId="6518" priority="3174" operator="greaterThan">
      <formula>1</formula>
    </cfRule>
  </conditionalFormatting>
  <conditionalFormatting sqref="R26:R29">
    <cfRule type="cellIs" dxfId="6517" priority="3171" operator="greaterThan">
      <formula>1</formula>
    </cfRule>
    <cfRule type="cellIs" dxfId="6516" priority="3172" operator="lessThan">
      <formula>0.8</formula>
    </cfRule>
  </conditionalFormatting>
  <conditionalFormatting sqref="P26:P29">
    <cfRule type="cellIs" dxfId="6515" priority="3170" operator="greaterThan">
      <formula>0</formula>
    </cfRule>
  </conditionalFormatting>
  <conditionalFormatting sqref="AH91 S91">
    <cfRule type="cellIs" dxfId="6514" priority="3169" operator="lessThan">
      <formula>0.8</formula>
    </cfRule>
  </conditionalFormatting>
  <conditionalFormatting sqref="P92:P94">
    <cfRule type="cellIs" dxfId="6513" priority="3163" operator="greaterThan">
      <formula>0</formula>
    </cfRule>
  </conditionalFormatting>
  <conditionalFormatting sqref="Q92:Q94">
    <cfRule type="cellIs" dxfId="6512" priority="3168" operator="lessThan">
      <formula>0</formula>
    </cfRule>
  </conditionalFormatting>
  <conditionalFormatting sqref="R92:R94">
    <cfRule type="cellIs" dxfId="6511" priority="3166" operator="lessThan">
      <formula>0.8</formula>
    </cfRule>
    <cfRule type="cellIs" dxfId="6510" priority="3167" operator="greaterThan">
      <formula>1</formula>
    </cfRule>
  </conditionalFormatting>
  <conditionalFormatting sqref="R92:R94">
    <cfRule type="cellIs" dxfId="6509" priority="3164" operator="greaterThan">
      <formula>1</formula>
    </cfRule>
    <cfRule type="cellIs" dxfId="6508" priority="3165" operator="lessThan">
      <formula>0.8</formula>
    </cfRule>
  </conditionalFormatting>
  <conditionalFormatting sqref="AF146 Q145:Q146">
    <cfRule type="cellIs" dxfId="6507" priority="3162" operator="lessThan">
      <formula>0</formula>
    </cfRule>
  </conditionalFormatting>
  <conditionalFormatting sqref="AH139:AH146 S139:S146">
    <cfRule type="cellIs" dxfId="6506" priority="3161" operator="lessThan">
      <formula>0.8</formula>
    </cfRule>
  </conditionalFormatting>
  <conditionalFormatting sqref="R145:R146">
    <cfRule type="cellIs" dxfId="6505" priority="3159" operator="lessThan">
      <formula>0.8</formula>
    </cfRule>
    <cfRule type="cellIs" dxfId="6504" priority="3160" operator="greaterThan">
      <formula>1</formula>
    </cfRule>
  </conditionalFormatting>
  <conditionalFormatting sqref="AG146 R145:R146">
    <cfRule type="cellIs" dxfId="6503" priority="3157" operator="greaterThan">
      <formula>1</formula>
    </cfRule>
    <cfRule type="cellIs" dxfId="6502" priority="3158" operator="lessThan">
      <formula>0.8</formula>
    </cfRule>
  </conditionalFormatting>
  <conditionalFormatting sqref="P145:P146">
    <cfRule type="cellIs" dxfId="6501" priority="3156" operator="greaterThan">
      <formula>0</formula>
    </cfRule>
  </conditionalFormatting>
  <conditionalFormatting sqref="Q119:Q120">
    <cfRule type="cellIs" dxfId="6500" priority="3155" operator="lessThan">
      <formula>0</formula>
    </cfRule>
  </conditionalFormatting>
  <conditionalFormatting sqref="R119:R120">
    <cfRule type="cellIs" dxfId="6499" priority="3153" operator="lessThan">
      <formula>0.8</formula>
    </cfRule>
    <cfRule type="cellIs" dxfId="6498" priority="3154" operator="greaterThan">
      <formula>1</formula>
    </cfRule>
  </conditionalFormatting>
  <conditionalFormatting sqref="R119:R120">
    <cfRule type="cellIs" dxfId="6497" priority="3151" operator="greaterThan">
      <formula>1</formula>
    </cfRule>
    <cfRule type="cellIs" dxfId="6496" priority="3152" operator="lessThan">
      <formula>0.8</formula>
    </cfRule>
  </conditionalFormatting>
  <conditionalFormatting sqref="P119:P120">
    <cfRule type="cellIs" dxfId="6495" priority="3150" operator="greaterThan">
      <formula>0</formula>
    </cfRule>
  </conditionalFormatting>
  <conditionalFormatting sqref="AF118:AF120">
    <cfRule type="cellIs" dxfId="6494" priority="3149" operator="lessThan">
      <formula>0</formula>
    </cfRule>
  </conditionalFormatting>
  <conditionalFormatting sqref="AG118:AG120">
    <cfRule type="cellIs" dxfId="6493" priority="3147" operator="greaterThan">
      <formula>1</formula>
    </cfRule>
    <cfRule type="cellIs" dxfId="6492" priority="3148" operator="lessThan">
      <formula>0.8</formula>
    </cfRule>
  </conditionalFormatting>
  <conditionalFormatting sqref="S44:S56">
    <cfRule type="cellIs" dxfId="6491" priority="3146" operator="lessThan">
      <formula>0.8</formula>
    </cfRule>
  </conditionalFormatting>
  <conditionalFormatting sqref="S108">
    <cfRule type="cellIs" dxfId="6490" priority="3145" operator="lessThan">
      <formula>0.8</formula>
    </cfRule>
  </conditionalFormatting>
  <conditionalFormatting sqref="S96">
    <cfRule type="cellIs" dxfId="6489" priority="3144" operator="lessThan">
      <formula>0.8</formula>
    </cfRule>
  </conditionalFormatting>
  <conditionalFormatting sqref="S97">
    <cfRule type="cellIs" dxfId="6488" priority="3143" operator="lessThan">
      <formula>0.8</formula>
    </cfRule>
  </conditionalFormatting>
  <conditionalFormatting sqref="S103">
    <cfRule type="cellIs" dxfId="6487" priority="3142" operator="lessThan">
      <formula>0.8</formula>
    </cfRule>
  </conditionalFormatting>
  <conditionalFormatting sqref="S99">
    <cfRule type="cellIs" dxfId="6486" priority="3141" operator="lessThan">
      <formula>0.8</formula>
    </cfRule>
  </conditionalFormatting>
  <conditionalFormatting sqref="S101">
    <cfRule type="cellIs" dxfId="6485" priority="3138" operator="lessThan">
      <formula>0.8</formula>
    </cfRule>
  </conditionalFormatting>
  <conditionalFormatting sqref="S100">
    <cfRule type="cellIs" dxfId="6484" priority="3140" operator="lessThan">
      <formula>0.8</formula>
    </cfRule>
  </conditionalFormatting>
  <conditionalFormatting sqref="S102">
    <cfRule type="cellIs" dxfId="6483" priority="3139" operator="lessThan">
      <formula>0.8</formula>
    </cfRule>
  </conditionalFormatting>
  <conditionalFormatting sqref="S98">
    <cfRule type="cellIs" dxfId="6482" priority="3137" operator="lessThan">
      <formula>0.8</formula>
    </cfRule>
  </conditionalFormatting>
  <conditionalFormatting sqref="S104">
    <cfRule type="cellIs" dxfId="6481" priority="3136" operator="lessThan">
      <formula>0.8</formula>
    </cfRule>
  </conditionalFormatting>
  <conditionalFormatting sqref="P118">
    <cfRule type="cellIs" dxfId="6480" priority="3130" operator="greaterThan">
      <formula>0</formula>
    </cfRule>
  </conditionalFormatting>
  <conditionalFormatting sqref="Q118">
    <cfRule type="cellIs" dxfId="6479" priority="3135" operator="lessThan">
      <formula>0</formula>
    </cfRule>
  </conditionalFormatting>
  <conditionalFormatting sqref="R118">
    <cfRule type="cellIs" dxfId="6478" priority="3133" operator="lessThan">
      <formula>0.8</formula>
    </cfRule>
    <cfRule type="cellIs" dxfId="6477" priority="3134" operator="greaterThan">
      <formula>1</formula>
    </cfRule>
  </conditionalFormatting>
  <conditionalFormatting sqref="R118">
    <cfRule type="cellIs" dxfId="6476" priority="3131" operator="greaterThan">
      <formula>1</formula>
    </cfRule>
    <cfRule type="cellIs" dxfId="6475" priority="3132" operator="lessThan">
      <formula>0.8</formula>
    </cfRule>
  </conditionalFormatting>
  <conditionalFormatting sqref="Q162:Q166">
    <cfRule type="cellIs" dxfId="6474" priority="3129" operator="lessThan">
      <formula>0</formula>
    </cfRule>
  </conditionalFormatting>
  <conditionalFormatting sqref="R162:R166">
    <cfRule type="cellIs" dxfId="6473" priority="3127" operator="lessThan">
      <formula>0.8</formula>
    </cfRule>
    <cfRule type="cellIs" dxfId="6472" priority="3128" operator="greaterThan">
      <formula>1</formula>
    </cfRule>
  </conditionalFormatting>
  <conditionalFormatting sqref="R162:R166">
    <cfRule type="cellIs" dxfId="6471" priority="3125" operator="greaterThan">
      <formula>1</formula>
    </cfRule>
    <cfRule type="cellIs" dxfId="6470" priority="3126" operator="lessThan">
      <formula>0.8</formula>
    </cfRule>
  </conditionalFormatting>
  <conditionalFormatting sqref="P162:P166">
    <cfRule type="cellIs" dxfId="6469" priority="3124" operator="greaterThan">
      <formula>0</formula>
    </cfRule>
  </conditionalFormatting>
  <conditionalFormatting sqref="P167:P168">
    <cfRule type="cellIs" dxfId="6468" priority="3118" operator="greaterThan">
      <formula>0</formula>
    </cfRule>
  </conditionalFormatting>
  <conditionalFormatting sqref="R167:R168">
    <cfRule type="cellIs" dxfId="6467" priority="3121" operator="lessThan">
      <formula>0.8</formula>
    </cfRule>
    <cfRule type="cellIs" dxfId="6466" priority="3122" operator="greaterThan">
      <formula>1</formula>
    </cfRule>
  </conditionalFormatting>
  <conditionalFormatting sqref="R167:R168">
    <cfRule type="cellIs" dxfId="6465" priority="3119" operator="greaterThan">
      <formula>1</formula>
    </cfRule>
    <cfRule type="cellIs" dxfId="6464" priority="3120" operator="lessThan">
      <formula>0.8</formula>
    </cfRule>
  </conditionalFormatting>
  <conditionalFormatting sqref="Q167:Q168">
    <cfRule type="cellIs" dxfId="6463" priority="3123" operator="lessThan">
      <formula>0</formula>
    </cfRule>
  </conditionalFormatting>
  <conditionalFormatting sqref="Q117">
    <cfRule type="cellIs" dxfId="6462" priority="3117" operator="lessThan">
      <formula>0</formula>
    </cfRule>
  </conditionalFormatting>
  <conditionalFormatting sqref="R117">
    <cfRule type="cellIs" dxfId="6461" priority="3115" operator="lessThan">
      <formula>0.8</formula>
    </cfRule>
    <cfRule type="cellIs" dxfId="6460" priority="3116" operator="greaterThan">
      <formula>1</formula>
    </cfRule>
  </conditionalFormatting>
  <conditionalFormatting sqref="R117">
    <cfRule type="cellIs" dxfId="6459" priority="3113" operator="greaterThan">
      <formula>1</formula>
    </cfRule>
    <cfRule type="cellIs" dxfId="6458" priority="3114" operator="lessThan">
      <formula>0.8</formula>
    </cfRule>
  </conditionalFormatting>
  <conditionalFormatting sqref="P117">
    <cfRule type="cellIs" dxfId="6457" priority="3112" operator="greaterThan">
      <formula>0</formula>
    </cfRule>
  </conditionalFormatting>
  <conditionalFormatting sqref="Q117">
    <cfRule type="cellIs" dxfId="6456" priority="3111" operator="lessThan">
      <formula>0</formula>
    </cfRule>
  </conditionalFormatting>
  <conditionalFormatting sqref="R117">
    <cfRule type="cellIs" dxfId="6455" priority="3109" operator="lessThan">
      <formula>0.8</formula>
    </cfRule>
    <cfRule type="cellIs" dxfId="6454" priority="3110" operator="greaterThan">
      <formula>1</formula>
    </cfRule>
  </conditionalFormatting>
  <conditionalFormatting sqref="R117">
    <cfRule type="cellIs" dxfId="6453" priority="3107" operator="greaterThan">
      <formula>1</formula>
    </cfRule>
    <cfRule type="cellIs" dxfId="6452" priority="3108" operator="lessThan">
      <formula>0.8</formula>
    </cfRule>
  </conditionalFormatting>
  <conditionalFormatting sqref="P117">
    <cfRule type="cellIs" dxfId="6451" priority="3106" operator="greaterThan">
      <formula>0</formula>
    </cfRule>
  </conditionalFormatting>
  <conditionalFormatting sqref="P117">
    <cfRule type="cellIs" dxfId="6450" priority="3100" operator="greaterThan">
      <formula>0</formula>
    </cfRule>
  </conditionalFormatting>
  <conditionalFormatting sqref="Q117">
    <cfRule type="cellIs" dxfId="6449" priority="3105" operator="lessThan">
      <formula>0</formula>
    </cfRule>
  </conditionalFormatting>
  <conditionalFormatting sqref="R117">
    <cfRule type="cellIs" dxfId="6448" priority="3103" operator="lessThan">
      <formula>0.8</formula>
    </cfRule>
    <cfRule type="cellIs" dxfId="6447" priority="3104" operator="greaterThan">
      <formula>1</formula>
    </cfRule>
  </conditionalFormatting>
  <conditionalFormatting sqref="R117">
    <cfRule type="cellIs" dxfId="6446" priority="3101" operator="greaterThan">
      <formula>1</formula>
    </cfRule>
    <cfRule type="cellIs" dxfId="6445" priority="3102" operator="lessThan">
      <formula>0.8</formula>
    </cfRule>
  </conditionalFormatting>
  <conditionalFormatting sqref="P117">
    <cfRule type="cellIs" dxfId="6444" priority="3094" operator="greaterThan">
      <formula>0</formula>
    </cfRule>
  </conditionalFormatting>
  <conditionalFormatting sqref="Q117">
    <cfRule type="cellIs" dxfId="6443" priority="3099" operator="lessThan">
      <formula>0</formula>
    </cfRule>
  </conditionalFormatting>
  <conditionalFormatting sqref="R117">
    <cfRule type="cellIs" dxfId="6442" priority="3097" operator="lessThan">
      <formula>0.8</formula>
    </cfRule>
    <cfRule type="cellIs" dxfId="6441" priority="3098" operator="greaterThan">
      <formula>1</formula>
    </cfRule>
  </conditionalFormatting>
  <conditionalFormatting sqref="R117">
    <cfRule type="cellIs" dxfId="6440" priority="3095" operator="greaterThan">
      <formula>1</formula>
    </cfRule>
    <cfRule type="cellIs" dxfId="6439" priority="3096" operator="lessThan">
      <formula>0.8</formula>
    </cfRule>
  </conditionalFormatting>
  <conditionalFormatting sqref="P117">
    <cfRule type="cellIs" dxfId="6438" priority="3088" operator="greaterThan">
      <formula>0</formula>
    </cfRule>
  </conditionalFormatting>
  <conditionalFormatting sqref="Q117">
    <cfRule type="cellIs" dxfId="6437" priority="3093" operator="lessThan">
      <formula>0</formula>
    </cfRule>
  </conditionalFormatting>
  <conditionalFormatting sqref="R117">
    <cfRule type="cellIs" dxfId="6436" priority="3091" operator="lessThan">
      <formula>0.8</formula>
    </cfRule>
    <cfRule type="cellIs" dxfId="6435" priority="3092" operator="greaterThan">
      <formula>1</formula>
    </cfRule>
  </conditionalFormatting>
  <conditionalFormatting sqref="R117">
    <cfRule type="cellIs" dxfId="6434" priority="3089" operator="greaterThan">
      <formula>1</formula>
    </cfRule>
    <cfRule type="cellIs" dxfId="6433" priority="3090" operator="lessThan">
      <formula>0.8</formula>
    </cfRule>
  </conditionalFormatting>
  <conditionalFormatting sqref="Q117">
    <cfRule type="cellIs" dxfId="6432" priority="3087" operator="lessThan">
      <formula>0</formula>
    </cfRule>
  </conditionalFormatting>
  <conditionalFormatting sqref="R117">
    <cfRule type="cellIs" dxfId="6431" priority="3085" operator="lessThan">
      <formula>0.8</formula>
    </cfRule>
    <cfRule type="cellIs" dxfId="6430" priority="3086" operator="greaterThan">
      <formula>1</formula>
    </cfRule>
  </conditionalFormatting>
  <conditionalFormatting sqref="R117">
    <cfRule type="cellIs" dxfId="6429" priority="3083" operator="greaterThan">
      <formula>1</formula>
    </cfRule>
    <cfRule type="cellIs" dxfId="6428" priority="3084" operator="lessThan">
      <formula>0.8</formula>
    </cfRule>
  </conditionalFormatting>
  <conditionalFormatting sqref="P117">
    <cfRule type="cellIs" dxfId="6427" priority="3082" operator="greaterThan">
      <formula>0</formula>
    </cfRule>
  </conditionalFormatting>
  <conditionalFormatting sqref="P117">
    <cfRule type="cellIs" dxfId="6426" priority="3076" operator="greaterThan">
      <formula>0</formula>
    </cfRule>
  </conditionalFormatting>
  <conditionalFormatting sqref="Q117">
    <cfRule type="cellIs" dxfId="6425" priority="3081" operator="lessThan">
      <formula>0</formula>
    </cfRule>
  </conditionalFormatting>
  <conditionalFormatting sqref="R117">
    <cfRule type="cellIs" dxfId="6424" priority="3079" operator="lessThan">
      <formula>0.8</formula>
    </cfRule>
    <cfRule type="cellIs" dxfId="6423" priority="3080" operator="greaterThan">
      <formula>1</formula>
    </cfRule>
  </conditionalFormatting>
  <conditionalFormatting sqref="R117">
    <cfRule type="cellIs" dxfId="6422" priority="3077" operator="greaterThan">
      <formula>1</formula>
    </cfRule>
    <cfRule type="cellIs" dxfId="6421" priority="3078" operator="lessThan">
      <formula>0.8</formula>
    </cfRule>
  </conditionalFormatting>
  <conditionalFormatting sqref="P117">
    <cfRule type="cellIs" dxfId="6420" priority="3070" operator="greaterThan">
      <formula>0</formula>
    </cfRule>
  </conditionalFormatting>
  <conditionalFormatting sqref="Q117">
    <cfRule type="cellIs" dxfId="6419" priority="3075" operator="lessThan">
      <formula>0</formula>
    </cfRule>
  </conditionalFormatting>
  <conditionalFormatting sqref="R117">
    <cfRule type="cellIs" dxfId="6418" priority="3073" operator="lessThan">
      <formula>0.8</formula>
    </cfRule>
    <cfRule type="cellIs" dxfId="6417" priority="3074" operator="greaterThan">
      <formula>1</formula>
    </cfRule>
  </conditionalFormatting>
  <conditionalFormatting sqref="R117">
    <cfRule type="cellIs" dxfId="6416" priority="3071" operator="greaterThan">
      <formula>1</formula>
    </cfRule>
    <cfRule type="cellIs" dxfId="6415" priority="3072" operator="lessThan">
      <formula>0.8</formula>
    </cfRule>
  </conditionalFormatting>
  <conditionalFormatting sqref="Q117">
    <cfRule type="cellIs" dxfId="6414" priority="3069" operator="lessThan">
      <formula>0</formula>
    </cfRule>
  </conditionalFormatting>
  <conditionalFormatting sqref="R117">
    <cfRule type="cellIs" dxfId="6413" priority="3067" operator="lessThan">
      <formula>0.8</formula>
    </cfRule>
    <cfRule type="cellIs" dxfId="6412" priority="3068" operator="greaterThan">
      <formula>1</formula>
    </cfRule>
  </conditionalFormatting>
  <conditionalFormatting sqref="R117">
    <cfRule type="cellIs" dxfId="6411" priority="3065" operator="greaterThan">
      <formula>1</formula>
    </cfRule>
    <cfRule type="cellIs" dxfId="6410" priority="3066" operator="lessThan">
      <formula>0.8</formula>
    </cfRule>
  </conditionalFormatting>
  <conditionalFormatting sqref="P117">
    <cfRule type="cellIs" dxfId="6409" priority="3064" operator="greaterThan">
      <formula>0</formula>
    </cfRule>
  </conditionalFormatting>
  <conditionalFormatting sqref="P117">
    <cfRule type="cellIs" dxfId="6408" priority="3058" operator="greaterThan">
      <formula>0</formula>
    </cfRule>
  </conditionalFormatting>
  <conditionalFormatting sqref="Q117">
    <cfRule type="cellIs" dxfId="6407" priority="3063" operator="lessThan">
      <formula>0</formula>
    </cfRule>
  </conditionalFormatting>
  <conditionalFormatting sqref="R117">
    <cfRule type="cellIs" dxfId="6406" priority="3061" operator="lessThan">
      <formula>0.8</formula>
    </cfRule>
    <cfRule type="cellIs" dxfId="6405" priority="3062" operator="greaterThan">
      <formula>1</formula>
    </cfRule>
  </conditionalFormatting>
  <conditionalFormatting sqref="R117">
    <cfRule type="cellIs" dxfId="6404" priority="3059" operator="greaterThan">
      <formula>1</formula>
    </cfRule>
    <cfRule type="cellIs" dxfId="6403" priority="3060" operator="lessThan">
      <formula>0.8</formula>
    </cfRule>
  </conditionalFormatting>
  <conditionalFormatting sqref="Q117">
    <cfRule type="cellIs" dxfId="6402" priority="3057" operator="lessThan">
      <formula>0</formula>
    </cfRule>
  </conditionalFormatting>
  <conditionalFormatting sqref="R117">
    <cfRule type="cellIs" dxfId="6401" priority="3055" operator="lessThan">
      <formula>0.8</formula>
    </cfRule>
    <cfRule type="cellIs" dxfId="6400" priority="3056" operator="greaterThan">
      <formula>1</formula>
    </cfRule>
  </conditionalFormatting>
  <conditionalFormatting sqref="R117">
    <cfRule type="cellIs" dxfId="6399" priority="3053" operator="greaterThan">
      <formula>1</formula>
    </cfRule>
    <cfRule type="cellIs" dxfId="6398" priority="3054" operator="lessThan">
      <formula>0.8</formula>
    </cfRule>
  </conditionalFormatting>
  <conditionalFormatting sqref="P117">
    <cfRule type="cellIs" dxfId="6397" priority="3052" operator="greaterThan">
      <formula>0</formula>
    </cfRule>
  </conditionalFormatting>
  <conditionalFormatting sqref="Q117">
    <cfRule type="cellIs" dxfId="6396" priority="3051" operator="lessThan">
      <formula>0</formula>
    </cfRule>
  </conditionalFormatting>
  <conditionalFormatting sqref="R117">
    <cfRule type="cellIs" dxfId="6395" priority="3049" operator="lessThan">
      <formula>0.8</formula>
    </cfRule>
    <cfRule type="cellIs" dxfId="6394" priority="3050" operator="greaterThan">
      <formula>1</formula>
    </cfRule>
  </conditionalFormatting>
  <conditionalFormatting sqref="R117">
    <cfRule type="cellIs" dxfId="6393" priority="3047" operator="greaterThan">
      <formula>1</formula>
    </cfRule>
    <cfRule type="cellIs" dxfId="6392" priority="3048" operator="lessThan">
      <formula>0.8</formula>
    </cfRule>
  </conditionalFormatting>
  <conditionalFormatting sqref="P117">
    <cfRule type="cellIs" dxfId="6391" priority="3046" operator="greaterThan">
      <formula>0</formula>
    </cfRule>
  </conditionalFormatting>
  <conditionalFormatting sqref="Q83">
    <cfRule type="cellIs" dxfId="6390" priority="3045" operator="lessThan">
      <formula>0</formula>
    </cfRule>
  </conditionalFormatting>
  <conditionalFormatting sqref="R83">
    <cfRule type="cellIs" dxfId="6389" priority="3043" operator="lessThan">
      <formula>0.8</formula>
    </cfRule>
    <cfRule type="cellIs" dxfId="6388" priority="3044" operator="greaterThan">
      <formula>1</formula>
    </cfRule>
  </conditionalFormatting>
  <conditionalFormatting sqref="R83">
    <cfRule type="cellIs" dxfId="6387" priority="3041" operator="greaterThan">
      <formula>1</formula>
    </cfRule>
    <cfRule type="cellIs" dxfId="6386" priority="3042" operator="lessThan">
      <formula>0.8</formula>
    </cfRule>
  </conditionalFormatting>
  <conditionalFormatting sqref="P83">
    <cfRule type="cellIs" dxfId="6385" priority="3040" operator="greaterThan">
      <formula>0</formula>
    </cfRule>
  </conditionalFormatting>
  <conditionalFormatting sqref="Q83">
    <cfRule type="cellIs" dxfId="6384" priority="3039" operator="lessThan">
      <formula>0</formula>
    </cfRule>
  </conditionalFormatting>
  <conditionalFormatting sqref="R83">
    <cfRule type="cellIs" dxfId="6383" priority="3037" operator="lessThan">
      <formula>0.8</formula>
    </cfRule>
    <cfRule type="cellIs" dxfId="6382" priority="3038" operator="greaterThan">
      <formula>1</formula>
    </cfRule>
  </conditionalFormatting>
  <conditionalFormatting sqref="R83">
    <cfRule type="cellIs" dxfId="6381" priority="3035" operator="greaterThan">
      <formula>1</formula>
    </cfRule>
    <cfRule type="cellIs" dxfId="6380" priority="3036" operator="lessThan">
      <formula>0.8</formula>
    </cfRule>
  </conditionalFormatting>
  <conditionalFormatting sqref="P83">
    <cfRule type="cellIs" dxfId="6379" priority="3034" operator="greaterThan">
      <formula>0</formula>
    </cfRule>
  </conditionalFormatting>
  <conditionalFormatting sqref="Q83">
    <cfRule type="cellIs" dxfId="6378" priority="3033" operator="lessThan">
      <formula>0</formula>
    </cfRule>
  </conditionalFormatting>
  <conditionalFormatting sqref="R83">
    <cfRule type="cellIs" dxfId="6377" priority="3031" operator="lessThan">
      <formula>0.8</formula>
    </cfRule>
    <cfRule type="cellIs" dxfId="6376" priority="3032" operator="greaterThan">
      <formula>1</formula>
    </cfRule>
  </conditionalFormatting>
  <conditionalFormatting sqref="R83">
    <cfRule type="cellIs" dxfId="6375" priority="3029" operator="greaterThan">
      <formula>1</formula>
    </cfRule>
    <cfRule type="cellIs" dxfId="6374" priority="3030" operator="lessThan">
      <formula>0.8</formula>
    </cfRule>
  </conditionalFormatting>
  <conditionalFormatting sqref="P83">
    <cfRule type="cellIs" dxfId="6373" priority="3028" operator="greaterThan">
      <formula>0</formula>
    </cfRule>
  </conditionalFormatting>
  <conditionalFormatting sqref="Q83">
    <cfRule type="cellIs" dxfId="6372" priority="3027" operator="lessThan">
      <formula>0</formula>
    </cfRule>
  </conditionalFormatting>
  <conditionalFormatting sqref="R83">
    <cfRule type="cellIs" dxfId="6371" priority="3025" operator="lessThan">
      <formula>0.8</formula>
    </cfRule>
    <cfRule type="cellIs" dxfId="6370" priority="3026" operator="greaterThan">
      <formula>1</formula>
    </cfRule>
  </conditionalFormatting>
  <conditionalFormatting sqref="R83">
    <cfRule type="cellIs" dxfId="6369" priority="3023" operator="greaterThan">
      <formula>1</formula>
    </cfRule>
    <cfRule type="cellIs" dxfId="6368" priority="3024" operator="lessThan">
      <formula>0.8</formula>
    </cfRule>
  </conditionalFormatting>
  <conditionalFormatting sqref="P83">
    <cfRule type="cellIs" dxfId="6367" priority="3022" operator="greaterThan">
      <formula>0</formula>
    </cfRule>
  </conditionalFormatting>
  <conditionalFormatting sqref="P83">
    <cfRule type="cellIs" dxfId="6366" priority="3016" operator="greaterThan">
      <formula>0</formula>
    </cfRule>
  </conditionalFormatting>
  <conditionalFormatting sqref="Q83">
    <cfRule type="cellIs" dxfId="6365" priority="3021" operator="lessThan">
      <formula>0</formula>
    </cfRule>
  </conditionalFormatting>
  <conditionalFormatting sqref="R83">
    <cfRule type="cellIs" dxfId="6364" priority="3019" operator="lessThan">
      <formula>0.8</formula>
    </cfRule>
    <cfRule type="cellIs" dxfId="6363" priority="3020" operator="greaterThan">
      <formula>1</formula>
    </cfRule>
  </conditionalFormatting>
  <conditionalFormatting sqref="R83">
    <cfRule type="cellIs" dxfId="6362" priority="3017" operator="greaterThan">
      <formula>1</formula>
    </cfRule>
    <cfRule type="cellIs" dxfId="6361" priority="3018" operator="lessThan">
      <formula>0.8</formula>
    </cfRule>
  </conditionalFormatting>
  <conditionalFormatting sqref="P83">
    <cfRule type="cellIs" dxfId="6360" priority="3010" operator="greaterThan">
      <formula>0</formula>
    </cfRule>
  </conditionalFormatting>
  <conditionalFormatting sqref="Q83">
    <cfRule type="cellIs" dxfId="6359" priority="3015" operator="lessThan">
      <formula>0</formula>
    </cfRule>
  </conditionalFormatting>
  <conditionalFormatting sqref="R83">
    <cfRule type="cellIs" dxfId="6358" priority="3013" operator="lessThan">
      <formula>0.8</formula>
    </cfRule>
    <cfRule type="cellIs" dxfId="6357" priority="3014" operator="greaterThan">
      <formula>1</formula>
    </cfRule>
  </conditionalFormatting>
  <conditionalFormatting sqref="R83">
    <cfRule type="cellIs" dxfId="6356" priority="3011" operator="greaterThan">
      <formula>1</formula>
    </cfRule>
    <cfRule type="cellIs" dxfId="6355" priority="3012" operator="lessThan">
      <formula>0.8</formula>
    </cfRule>
  </conditionalFormatting>
  <conditionalFormatting sqref="R83">
    <cfRule type="cellIs" dxfId="6354" priority="3007" operator="lessThan">
      <formula>0.8</formula>
    </cfRule>
    <cfRule type="cellIs" dxfId="6353" priority="3008" operator="greaterThan">
      <formula>1</formula>
    </cfRule>
  </conditionalFormatting>
  <conditionalFormatting sqref="R83">
    <cfRule type="cellIs" dxfId="6352" priority="3005" operator="greaterThan">
      <formula>1</formula>
    </cfRule>
    <cfRule type="cellIs" dxfId="6351" priority="3006" operator="lessThan">
      <formula>0.8</formula>
    </cfRule>
  </conditionalFormatting>
  <conditionalFormatting sqref="P83">
    <cfRule type="cellIs" dxfId="6350" priority="3004" operator="greaterThan">
      <formula>0</formula>
    </cfRule>
  </conditionalFormatting>
  <conditionalFormatting sqref="Q83">
    <cfRule type="cellIs" dxfId="6349" priority="3009" operator="lessThan">
      <formula>0</formula>
    </cfRule>
  </conditionalFormatting>
  <conditionalFormatting sqref="Q83">
    <cfRule type="cellIs" dxfId="6348" priority="3003" operator="lessThan">
      <formula>0</formula>
    </cfRule>
  </conditionalFormatting>
  <conditionalFormatting sqref="R83">
    <cfRule type="cellIs" dxfId="6347" priority="3001" operator="lessThan">
      <formula>0.8</formula>
    </cfRule>
    <cfRule type="cellIs" dxfId="6346" priority="3002" operator="greaterThan">
      <formula>1</formula>
    </cfRule>
  </conditionalFormatting>
  <conditionalFormatting sqref="R83">
    <cfRule type="cellIs" dxfId="6345" priority="2999" operator="greaterThan">
      <formula>1</formula>
    </cfRule>
    <cfRule type="cellIs" dxfId="6344" priority="3000" operator="lessThan">
      <formula>0.8</formula>
    </cfRule>
  </conditionalFormatting>
  <conditionalFormatting sqref="P83">
    <cfRule type="cellIs" dxfId="6343" priority="2998" operator="greaterThan">
      <formula>0</formula>
    </cfRule>
  </conditionalFormatting>
  <conditionalFormatting sqref="P83">
    <cfRule type="cellIs" dxfId="6342" priority="2992" operator="greaterThan">
      <formula>0</formula>
    </cfRule>
  </conditionalFormatting>
  <conditionalFormatting sqref="Q83">
    <cfRule type="cellIs" dxfId="6341" priority="2997" operator="lessThan">
      <formula>0</formula>
    </cfRule>
  </conditionalFormatting>
  <conditionalFormatting sqref="R83">
    <cfRule type="cellIs" dxfId="6340" priority="2995" operator="lessThan">
      <formula>0.8</formula>
    </cfRule>
    <cfRule type="cellIs" dxfId="6339" priority="2996" operator="greaterThan">
      <formula>1</formula>
    </cfRule>
  </conditionalFormatting>
  <conditionalFormatting sqref="R83">
    <cfRule type="cellIs" dxfId="6338" priority="2993" operator="greaterThan">
      <formula>1</formula>
    </cfRule>
    <cfRule type="cellIs" dxfId="6337" priority="2994" operator="lessThan">
      <formula>0.8</formula>
    </cfRule>
  </conditionalFormatting>
  <conditionalFormatting sqref="P83">
    <cfRule type="cellIs" dxfId="6336" priority="2986" operator="greaterThan">
      <formula>0</formula>
    </cfRule>
  </conditionalFormatting>
  <conditionalFormatting sqref="Q83">
    <cfRule type="cellIs" dxfId="6335" priority="2991" operator="lessThan">
      <formula>0</formula>
    </cfRule>
  </conditionalFormatting>
  <conditionalFormatting sqref="R83">
    <cfRule type="cellIs" dxfId="6334" priority="2989" operator="lessThan">
      <formula>0.8</formula>
    </cfRule>
    <cfRule type="cellIs" dxfId="6333" priority="2990" operator="greaterThan">
      <formula>1</formula>
    </cfRule>
  </conditionalFormatting>
  <conditionalFormatting sqref="R83">
    <cfRule type="cellIs" dxfId="6332" priority="2987" operator="greaterThan">
      <formula>1</formula>
    </cfRule>
    <cfRule type="cellIs" dxfId="6331" priority="2988" operator="lessThan">
      <formula>0.8</formula>
    </cfRule>
  </conditionalFormatting>
  <conditionalFormatting sqref="R83">
    <cfRule type="cellIs" dxfId="6330" priority="2983" operator="lessThan">
      <formula>0.8</formula>
    </cfRule>
    <cfRule type="cellIs" dxfId="6329" priority="2984" operator="greaterThan">
      <formula>1</formula>
    </cfRule>
  </conditionalFormatting>
  <conditionalFormatting sqref="R83">
    <cfRule type="cellIs" dxfId="6328" priority="2981" operator="greaterThan">
      <formula>1</formula>
    </cfRule>
    <cfRule type="cellIs" dxfId="6327" priority="2982" operator="lessThan">
      <formula>0.8</formula>
    </cfRule>
  </conditionalFormatting>
  <conditionalFormatting sqref="P83">
    <cfRule type="cellIs" dxfId="6326" priority="2980" operator="greaterThan">
      <formula>0</formula>
    </cfRule>
  </conditionalFormatting>
  <conditionalFormatting sqref="Q83">
    <cfRule type="cellIs" dxfId="6325" priority="2985" operator="lessThan">
      <formula>0</formula>
    </cfRule>
  </conditionalFormatting>
  <conditionalFormatting sqref="P83">
    <cfRule type="cellIs" dxfId="6324" priority="2974" operator="greaterThan">
      <formula>0</formula>
    </cfRule>
  </conditionalFormatting>
  <conditionalFormatting sqref="Q83">
    <cfRule type="cellIs" dxfId="6323" priority="2979" operator="lessThan">
      <formula>0</formula>
    </cfRule>
  </conditionalFormatting>
  <conditionalFormatting sqref="R83">
    <cfRule type="cellIs" dxfId="6322" priority="2977" operator="lessThan">
      <formula>0.8</formula>
    </cfRule>
    <cfRule type="cellIs" dxfId="6321" priority="2978" operator="greaterThan">
      <formula>1</formula>
    </cfRule>
  </conditionalFormatting>
  <conditionalFormatting sqref="R83">
    <cfRule type="cellIs" dxfId="6320" priority="2975" operator="greaterThan">
      <formula>1</formula>
    </cfRule>
    <cfRule type="cellIs" dxfId="6319" priority="2976" operator="lessThan">
      <formula>0.8</formula>
    </cfRule>
  </conditionalFormatting>
  <conditionalFormatting sqref="R83">
    <cfRule type="cellIs" dxfId="6318" priority="2971" operator="lessThan">
      <formula>0.8</formula>
    </cfRule>
    <cfRule type="cellIs" dxfId="6317" priority="2972" operator="greaterThan">
      <formula>1</formula>
    </cfRule>
  </conditionalFormatting>
  <conditionalFormatting sqref="R83">
    <cfRule type="cellIs" dxfId="6316" priority="2969" operator="greaterThan">
      <formula>1</formula>
    </cfRule>
    <cfRule type="cellIs" dxfId="6315" priority="2970" operator="lessThan">
      <formula>0.8</formula>
    </cfRule>
  </conditionalFormatting>
  <conditionalFormatting sqref="P83">
    <cfRule type="cellIs" dxfId="6314" priority="2968" operator="greaterThan">
      <formula>0</formula>
    </cfRule>
  </conditionalFormatting>
  <conditionalFormatting sqref="Q83">
    <cfRule type="cellIs" dxfId="6313" priority="2973" operator="lessThan">
      <formula>0</formula>
    </cfRule>
  </conditionalFormatting>
  <conditionalFormatting sqref="R83">
    <cfRule type="cellIs" dxfId="6312" priority="2965" operator="lessThan">
      <formula>0.8</formula>
    </cfRule>
    <cfRule type="cellIs" dxfId="6311" priority="2966" operator="greaterThan">
      <formula>1</formula>
    </cfRule>
  </conditionalFormatting>
  <conditionalFormatting sqref="R83">
    <cfRule type="cellIs" dxfId="6310" priority="2963" operator="greaterThan">
      <formula>1</formula>
    </cfRule>
    <cfRule type="cellIs" dxfId="6309" priority="2964" operator="lessThan">
      <formula>0.8</formula>
    </cfRule>
  </conditionalFormatting>
  <conditionalFormatting sqref="P83">
    <cfRule type="cellIs" dxfId="6308" priority="2962" operator="greaterThan">
      <formula>0</formula>
    </cfRule>
  </conditionalFormatting>
  <conditionalFormatting sqref="Q83">
    <cfRule type="cellIs" dxfId="6307" priority="2967" operator="lessThan">
      <formula>0</formula>
    </cfRule>
  </conditionalFormatting>
  <conditionalFormatting sqref="Q83">
    <cfRule type="cellIs" dxfId="6306" priority="2961" operator="lessThan">
      <formula>0</formula>
    </cfRule>
  </conditionalFormatting>
  <conditionalFormatting sqref="R83">
    <cfRule type="cellIs" dxfId="6305" priority="2959" operator="lessThan">
      <formula>0.8</formula>
    </cfRule>
    <cfRule type="cellIs" dxfId="6304" priority="2960" operator="greaterThan">
      <formula>1</formula>
    </cfRule>
  </conditionalFormatting>
  <conditionalFormatting sqref="R83">
    <cfRule type="cellIs" dxfId="6303" priority="2957" operator="greaterThan">
      <formula>1</formula>
    </cfRule>
    <cfRule type="cellIs" dxfId="6302" priority="2958" operator="lessThan">
      <formula>0.8</formula>
    </cfRule>
  </conditionalFormatting>
  <conditionalFormatting sqref="P83">
    <cfRule type="cellIs" dxfId="6301" priority="2956" operator="greaterThan">
      <formula>0</formula>
    </cfRule>
  </conditionalFormatting>
  <conditionalFormatting sqref="Q83">
    <cfRule type="cellIs" dxfId="6300" priority="2950" operator="lessThan">
      <formula>0</formula>
    </cfRule>
  </conditionalFormatting>
  <conditionalFormatting sqref="R83">
    <cfRule type="cellIs" dxfId="6299" priority="2954" operator="lessThan">
      <formula>0.8</formula>
    </cfRule>
    <cfRule type="cellIs" dxfId="6298" priority="2955" operator="greaterThan">
      <formula>1</formula>
    </cfRule>
  </conditionalFormatting>
  <conditionalFormatting sqref="R83">
    <cfRule type="cellIs" dxfId="6297" priority="2952" operator="greaterThan">
      <formula>1</formula>
    </cfRule>
    <cfRule type="cellIs" dxfId="6296" priority="2953" operator="lessThan">
      <formula>0.8</formula>
    </cfRule>
  </conditionalFormatting>
  <conditionalFormatting sqref="P83">
    <cfRule type="cellIs" dxfId="6295" priority="2951" operator="greaterThan">
      <formula>0</formula>
    </cfRule>
  </conditionalFormatting>
  <conditionalFormatting sqref="Q83">
    <cfRule type="cellIs" dxfId="6294" priority="2949" operator="lessThan">
      <formula>0</formula>
    </cfRule>
  </conditionalFormatting>
  <conditionalFormatting sqref="R83">
    <cfRule type="cellIs" dxfId="6293" priority="2947" operator="lessThan">
      <formula>0.8</formula>
    </cfRule>
    <cfRule type="cellIs" dxfId="6292" priority="2948" operator="greaterThan">
      <formula>1</formula>
    </cfRule>
  </conditionalFormatting>
  <conditionalFormatting sqref="R83">
    <cfRule type="cellIs" dxfId="6291" priority="2945" operator="greaterThan">
      <formula>1</formula>
    </cfRule>
    <cfRule type="cellIs" dxfId="6290" priority="2946" operator="lessThan">
      <formula>0.8</formula>
    </cfRule>
  </conditionalFormatting>
  <conditionalFormatting sqref="P83">
    <cfRule type="cellIs" dxfId="6289" priority="2944" operator="greaterThan">
      <formula>0</formula>
    </cfRule>
  </conditionalFormatting>
  <conditionalFormatting sqref="Q83">
    <cfRule type="cellIs" dxfId="6288" priority="2943" operator="lessThan">
      <formula>0</formula>
    </cfRule>
  </conditionalFormatting>
  <conditionalFormatting sqref="R83">
    <cfRule type="cellIs" dxfId="6287" priority="2941" operator="lessThan">
      <formula>0.8</formula>
    </cfRule>
    <cfRule type="cellIs" dxfId="6286" priority="2942" operator="greaterThan">
      <formula>1</formula>
    </cfRule>
  </conditionalFormatting>
  <conditionalFormatting sqref="R83">
    <cfRule type="cellIs" dxfId="6285" priority="2939" operator="greaterThan">
      <formula>1</formula>
    </cfRule>
    <cfRule type="cellIs" dxfId="6284" priority="2940" operator="lessThan">
      <formula>0.8</formula>
    </cfRule>
  </conditionalFormatting>
  <conditionalFormatting sqref="P83">
    <cfRule type="cellIs" dxfId="6283" priority="2938" operator="greaterThan">
      <formula>0</formula>
    </cfRule>
  </conditionalFormatting>
  <conditionalFormatting sqref="Q83">
    <cfRule type="cellIs" dxfId="6282" priority="2937" operator="lessThan">
      <formula>0</formula>
    </cfRule>
  </conditionalFormatting>
  <conditionalFormatting sqref="R83">
    <cfRule type="cellIs" dxfId="6281" priority="2935" operator="lessThan">
      <formula>0.8</formula>
    </cfRule>
    <cfRule type="cellIs" dxfId="6280" priority="2936" operator="greaterThan">
      <formula>1</formula>
    </cfRule>
  </conditionalFormatting>
  <conditionalFormatting sqref="R83">
    <cfRule type="cellIs" dxfId="6279" priority="2933" operator="greaterThan">
      <formula>1</formula>
    </cfRule>
    <cfRule type="cellIs" dxfId="6278" priority="2934" operator="lessThan">
      <formula>0.8</formula>
    </cfRule>
  </conditionalFormatting>
  <conditionalFormatting sqref="P83">
    <cfRule type="cellIs" dxfId="6277" priority="2932" operator="greaterThan">
      <formula>0</formula>
    </cfRule>
  </conditionalFormatting>
  <conditionalFormatting sqref="Q83">
    <cfRule type="cellIs" dxfId="6276" priority="2931" operator="lessThan">
      <formula>0</formula>
    </cfRule>
  </conditionalFormatting>
  <conditionalFormatting sqref="R83">
    <cfRule type="cellIs" dxfId="6275" priority="2929" operator="lessThan">
      <formula>0.8</formula>
    </cfRule>
    <cfRule type="cellIs" dxfId="6274" priority="2930" operator="greaterThan">
      <formula>1</formula>
    </cfRule>
  </conditionalFormatting>
  <conditionalFormatting sqref="R83">
    <cfRule type="cellIs" dxfId="6273" priority="2927" operator="greaterThan">
      <formula>1</formula>
    </cfRule>
    <cfRule type="cellIs" dxfId="6272" priority="2928" operator="lessThan">
      <formula>0.8</formula>
    </cfRule>
  </conditionalFormatting>
  <conditionalFormatting sqref="P83">
    <cfRule type="cellIs" dxfId="6271" priority="2926" operator="greaterThan">
      <formula>0</formula>
    </cfRule>
  </conditionalFormatting>
  <conditionalFormatting sqref="Q83">
    <cfRule type="cellIs" dxfId="6270" priority="2925" operator="lessThan">
      <formula>0</formula>
    </cfRule>
  </conditionalFormatting>
  <conditionalFormatting sqref="R83">
    <cfRule type="cellIs" dxfId="6269" priority="2923" operator="lessThan">
      <formula>0.8</formula>
    </cfRule>
    <cfRule type="cellIs" dxfId="6268" priority="2924" operator="greaterThan">
      <formula>1</formula>
    </cfRule>
  </conditionalFormatting>
  <conditionalFormatting sqref="R83">
    <cfRule type="cellIs" dxfId="6267" priority="2921" operator="greaterThan">
      <formula>1</formula>
    </cfRule>
    <cfRule type="cellIs" dxfId="6266" priority="2922" operator="lessThan">
      <formula>0.8</formula>
    </cfRule>
  </conditionalFormatting>
  <conditionalFormatting sqref="P83">
    <cfRule type="cellIs" dxfId="6265" priority="2920" operator="greaterThan">
      <formula>0</formula>
    </cfRule>
  </conditionalFormatting>
  <conditionalFormatting sqref="P83">
    <cfRule type="cellIs" dxfId="6264" priority="2914" operator="greaterThan">
      <formula>0</formula>
    </cfRule>
  </conditionalFormatting>
  <conditionalFormatting sqref="Q83">
    <cfRule type="cellIs" dxfId="6263" priority="2919" operator="lessThan">
      <formula>0</formula>
    </cfRule>
  </conditionalFormatting>
  <conditionalFormatting sqref="R83">
    <cfRule type="cellIs" dxfId="6262" priority="2917" operator="lessThan">
      <formula>0.8</formula>
    </cfRule>
    <cfRule type="cellIs" dxfId="6261" priority="2918" operator="greaterThan">
      <formula>1</formula>
    </cfRule>
  </conditionalFormatting>
  <conditionalFormatting sqref="R83">
    <cfRule type="cellIs" dxfId="6260" priority="2915" operator="greaterThan">
      <formula>1</formula>
    </cfRule>
    <cfRule type="cellIs" dxfId="6259" priority="2916" operator="lessThan">
      <formula>0.8</formula>
    </cfRule>
  </conditionalFormatting>
  <conditionalFormatting sqref="P83">
    <cfRule type="cellIs" dxfId="6258" priority="2908" operator="greaterThan">
      <formula>0</formula>
    </cfRule>
  </conditionalFormatting>
  <conditionalFormatting sqref="Q83">
    <cfRule type="cellIs" dxfId="6257" priority="2913" operator="lessThan">
      <formula>0</formula>
    </cfRule>
  </conditionalFormatting>
  <conditionalFormatting sqref="R83">
    <cfRule type="cellIs" dxfId="6256" priority="2911" operator="lessThan">
      <formula>0.8</formula>
    </cfRule>
    <cfRule type="cellIs" dxfId="6255" priority="2912" operator="greaterThan">
      <formula>1</formula>
    </cfRule>
  </conditionalFormatting>
  <conditionalFormatting sqref="R83">
    <cfRule type="cellIs" dxfId="6254" priority="2909" operator="greaterThan">
      <formula>1</formula>
    </cfRule>
    <cfRule type="cellIs" dxfId="6253" priority="2910" operator="lessThan">
      <formula>0.8</formula>
    </cfRule>
  </conditionalFormatting>
  <conditionalFormatting sqref="R83">
    <cfRule type="cellIs" dxfId="6252" priority="2905" operator="lessThan">
      <formula>0.8</formula>
    </cfRule>
    <cfRule type="cellIs" dxfId="6251" priority="2906" operator="greaterThan">
      <formula>1</formula>
    </cfRule>
  </conditionalFormatting>
  <conditionalFormatting sqref="R83">
    <cfRule type="cellIs" dxfId="6250" priority="2903" operator="greaterThan">
      <formula>1</formula>
    </cfRule>
    <cfRule type="cellIs" dxfId="6249" priority="2904" operator="lessThan">
      <formula>0.8</formula>
    </cfRule>
  </conditionalFormatting>
  <conditionalFormatting sqref="P83">
    <cfRule type="cellIs" dxfId="6248" priority="2902" operator="greaterThan">
      <formula>0</formula>
    </cfRule>
  </conditionalFormatting>
  <conditionalFormatting sqref="Q83">
    <cfRule type="cellIs" dxfId="6247" priority="2907" operator="lessThan">
      <formula>0</formula>
    </cfRule>
  </conditionalFormatting>
  <conditionalFormatting sqref="Q83">
    <cfRule type="cellIs" dxfId="6246" priority="2901" operator="lessThan">
      <formula>0</formula>
    </cfRule>
  </conditionalFormatting>
  <conditionalFormatting sqref="R83">
    <cfRule type="cellIs" dxfId="6245" priority="2899" operator="lessThan">
      <formula>0.8</formula>
    </cfRule>
    <cfRule type="cellIs" dxfId="6244" priority="2900" operator="greaterThan">
      <formula>1</formula>
    </cfRule>
  </conditionalFormatting>
  <conditionalFormatting sqref="R83">
    <cfRule type="cellIs" dxfId="6243" priority="2897" operator="greaterThan">
      <formula>1</formula>
    </cfRule>
    <cfRule type="cellIs" dxfId="6242" priority="2898" operator="lessThan">
      <formula>0.8</formula>
    </cfRule>
  </conditionalFormatting>
  <conditionalFormatting sqref="P83">
    <cfRule type="cellIs" dxfId="6241" priority="2896" operator="greaterThan">
      <formula>0</formula>
    </cfRule>
  </conditionalFormatting>
  <conditionalFormatting sqref="Q83">
    <cfRule type="cellIs" dxfId="6240" priority="2895" operator="lessThan">
      <formula>0</formula>
    </cfRule>
  </conditionalFormatting>
  <conditionalFormatting sqref="R83">
    <cfRule type="cellIs" dxfId="6239" priority="2893" operator="lessThan">
      <formula>0.8</formula>
    </cfRule>
    <cfRule type="cellIs" dxfId="6238" priority="2894" operator="greaterThan">
      <formula>1</formula>
    </cfRule>
  </conditionalFormatting>
  <conditionalFormatting sqref="R83">
    <cfRule type="cellIs" dxfId="6237" priority="2891" operator="greaterThan">
      <formula>1</formula>
    </cfRule>
    <cfRule type="cellIs" dxfId="6236" priority="2892" operator="lessThan">
      <formula>0.8</formula>
    </cfRule>
  </conditionalFormatting>
  <conditionalFormatting sqref="P83">
    <cfRule type="cellIs" dxfId="6235" priority="2890" operator="greaterThan">
      <formula>0</formula>
    </cfRule>
  </conditionalFormatting>
  <conditionalFormatting sqref="Q83">
    <cfRule type="cellIs" dxfId="6234" priority="2889" operator="lessThan">
      <formula>0</formula>
    </cfRule>
  </conditionalFormatting>
  <conditionalFormatting sqref="R83">
    <cfRule type="cellIs" dxfId="6233" priority="2887" operator="lessThan">
      <formula>0.8</formula>
    </cfRule>
    <cfRule type="cellIs" dxfId="6232" priority="2888" operator="greaterThan">
      <formula>1</formula>
    </cfRule>
  </conditionalFormatting>
  <conditionalFormatting sqref="R83">
    <cfRule type="cellIs" dxfId="6231" priority="2885" operator="greaterThan">
      <formula>1</formula>
    </cfRule>
    <cfRule type="cellIs" dxfId="6230" priority="2886" operator="lessThan">
      <formula>0.8</formula>
    </cfRule>
  </conditionalFormatting>
  <conditionalFormatting sqref="P83">
    <cfRule type="cellIs" dxfId="6229" priority="2884" operator="greaterThan">
      <formula>0</formula>
    </cfRule>
  </conditionalFormatting>
  <conditionalFormatting sqref="Q83">
    <cfRule type="cellIs" dxfId="6228" priority="2883" operator="lessThan">
      <formula>0</formula>
    </cfRule>
  </conditionalFormatting>
  <conditionalFormatting sqref="R83">
    <cfRule type="cellIs" dxfId="6227" priority="2881" operator="lessThan">
      <formula>0.8</formula>
    </cfRule>
    <cfRule type="cellIs" dxfId="6226" priority="2882" operator="greaterThan">
      <formula>1</formula>
    </cfRule>
  </conditionalFormatting>
  <conditionalFormatting sqref="R83">
    <cfRule type="cellIs" dxfId="6225" priority="2879" operator="greaterThan">
      <formula>1</formula>
    </cfRule>
    <cfRule type="cellIs" dxfId="6224" priority="2880" operator="lessThan">
      <formula>0.8</formula>
    </cfRule>
  </conditionalFormatting>
  <conditionalFormatting sqref="P83">
    <cfRule type="cellIs" dxfId="6223" priority="2878" operator="greaterThan">
      <formula>0</formula>
    </cfRule>
  </conditionalFormatting>
  <conditionalFormatting sqref="P83">
    <cfRule type="cellIs" dxfId="6222" priority="2872" operator="greaterThan">
      <formula>0</formula>
    </cfRule>
  </conditionalFormatting>
  <conditionalFormatting sqref="Q83">
    <cfRule type="cellIs" dxfId="6221" priority="2877" operator="lessThan">
      <formula>0</formula>
    </cfRule>
  </conditionalFormatting>
  <conditionalFormatting sqref="R83">
    <cfRule type="cellIs" dxfId="6220" priority="2875" operator="lessThan">
      <formula>0.8</formula>
    </cfRule>
    <cfRule type="cellIs" dxfId="6219" priority="2876" operator="greaterThan">
      <formula>1</formula>
    </cfRule>
  </conditionalFormatting>
  <conditionalFormatting sqref="R83">
    <cfRule type="cellIs" dxfId="6218" priority="2873" operator="greaterThan">
      <formula>1</formula>
    </cfRule>
    <cfRule type="cellIs" dxfId="6217" priority="2874" operator="lessThan">
      <formula>0.8</formula>
    </cfRule>
  </conditionalFormatting>
  <conditionalFormatting sqref="P83">
    <cfRule type="cellIs" dxfId="6216" priority="2866" operator="greaterThan">
      <formula>0</formula>
    </cfRule>
  </conditionalFormatting>
  <conditionalFormatting sqref="Q83">
    <cfRule type="cellIs" dxfId="6215" priority="2871" operator="lessThan">
      <formula>0</formula>
    </cfRule>
  </conditionalFormatting>
  <conditionalFormatting sqref="R83">
    <cfRule type="cellIs" dxfId="6214" priority="2869" operator="lessThan">
      <formula>0.8</formula>
    </cfRule>
    <cfRule type="cellIs" dxfId="6213" priority="2870" operator="greaterThan">
      <formula>1</formula>
    </cfRule>
  </conditionalFormatting>
  <conditionalFormatting sqref="R83">
    <cfRule type="cellIs" dxfId="6212" priority="2867" operator="greaterThan">
      <formula>1</formula>
    </cfRule>
    <cfRule type="cellIs" dxfId="6211" priority="2868" operator="lessThan">
      <formula>0.8</formula>
    </cfRule>
  </conditionalFormatting>
  <conditionalFormatting sqref="R83">
    <cfRule type="cellIs" dxfId="6210" priority="2863" operator="lessThan">
      <formula>0.8</formula>
    </cfRule>
    <cfRule type="cellIs" dxfId="6209" priority="2864" operator="greaterThan">
      <formula>1</formula>
    </cfRule>
  </conditionalFormatting>
  <conditionalFormatting sqref="R83">
    <cfRule type="cellIs" dxfId="6208" priority="2861" operator="greaterThan">
      <formula>1</formula>
    </cfRule>
    <cfRule type="cellIs" dxfId="6207" priority="2862" operator="lessThan">
      <formula>0.8</formula>
    </cfRule>
  </conditionalFormatting>
  <conditionalFormatting sqref="P83">
    <cfRule type="cellIs" dxfId="6206" priority="2860" operator="greaterThan">
      <formula>0</formula>
    </cfRule>
  </conditionalFormatting>
  <conditionalFormatting sqref="Q83">
    <cfRule type="cellIs" dxfId="6205" priority="2865" operator="lessThan">
      <formula>0</formula>
    </cfRule>
  </conditionalFormatting>
  <conditionalFormatting sqref="Q83">
    <cfRule type="cellIs" dxfId="6204" priority="2859" operator="lessThan">
      <formula>0</formula>
    </cfRule>
  </conditionalFormatting>
  <conditionalFormatting sqref="R83">
    <cfRule type="cellIs" dxfId="6203" priority="2857" operator="lessThan">
      <formula>0.8</formula>
    </cfRule>
    <cfRule type="cellIs" dxfId="6202" priority="2858" operator="greaterThan">
      <formula>1</formula>
    </cfRule>
  </conditionalFormatting>
  <conditionalFormatting sqref="R83">
    <cfRule type="cellIs" dxfId="6201" priority="2855" operator="greaterThan">
      <formula>1</formula>
    </cfRule>
    <cfRule type="cellIs" dxfId="6200" priority="2856" operator="lessThan">
      <formula>0.8</formula>
    </cfRule>
  </conditionalFormatting>
  <conditionalFormatting sqref="P83">
    <cfRule type="cellIs" dxfId="6199" priority="2854" operator="greaterThan">
      <formula>0</formula>
    </cfRule>
  </conditionalFormatting>
  <conditionalFormatting sqref="P83">
    <cfRule type="cellIs" dxfId="6198" priority="2848" operator="greaterThan">
      <formula>0</formula>
    </cfRule>
  </conditionalFormatting>
  <conditionalFormatting sqref="Q83">
    <cfRule type="cellIs" dxfId="6197" priority="2853" operator="lessThan">
      <formula>0</formula>
    </cfRule>
  </conditionalFormatting>
  <conditionalFormatting sqref="R83">
    <cfRule type="cellIs" dxfId="6196" priority="2851" operator="lessThan">
      <formula>0.8</formula>
    </cfRule>
    <cfRule type="cellIs" dxfId="6195" priority="2852" operator="greaterThan">
      <formula>1</formula>
    </cfRule>
  </conditionalFormatting>
  <conditionalFormatting sqref="R83">
    <cfRule type="cellIs" dxfId="6194" priority="2849" operator="greaterThan">
      <formula>1</formula>
    </cfRule>
    <cfRule type="cellIs" dxfId="6193" priority="2850" operator="lessThan">
      <formula>0.8</formula>
    </cfRule>
  </conditionalFormatting>
  <conditionalFormatting sqref="P83">
    <cfRule type="cellIs" dxfId="6192" priority="2842" operator="greaterThan">
      <formula>0</formula>
    </cfRule>
  </conditionalFormatting>
  <conditionalFormatting sqref="Q83">
    <cfRule type="cellIs" dxfId="6191" priority="2847" operator="lessThan">
      <formula>0</formula>
    </cfRule>
  </conditionalFormatting>
  <conditionalFormatting sqref="R83">
    <cfRule type="cellIs" dxfId="6190" priority="2845" operator="lessThan">
      <formula>0.8</formula>
    </cfRule>
    <cfRule type="cellIs" dxfId="6189" priority="2846" operator="greaterThan">
      <formula>1</formula>
    </cfRule>
  </conditionalFormatting>
  <conditionalFormatting sqref="R83">
    <cfRule type="cellIs" dxfId="6188" priority="2843" operator="greaterThan">
      <formula>1</formula>
    </cfRule>
    <cfRule type="cellIs" dxfId="6187" priority="2844" operator="lessThan">
      <formula>0.8</formula>
    </cfRule>
  </conditionalFormatting>
  <conditionalFormatting sqref="R83">
    <cfRule type="cellIs" dxfId="6186" priority="2839" operator="lessThan">
      <formula>0.8</formula>
    </cfRule>
    <cfRule type="cellIs" dxfId="6185" priority="2840" operator="greaterThan">
      <formula>1</formula>
    </cfRule>
  </conditionalFormatting>
  <conditionalFormatting sqref="R83">
    <cfRule type="cellIs" dxfId="6184" priority="2837" operator="greaterThan">
      <formula>1</formula>
    </cfRule>
    <cfRule type="cellIs" dxfId="6183" priority="2838" operator="lessThan">
      <formula>0.8</formula>
    </cfRule>
  </conditionalFormatting>
  <conditionalFormatting sqref="P83">
    <cfRule type="cellIs" dxfId="6182" priority="2836" operator="greaterThan">
      <formula>0</formula>
    </cfRule>
  </conditionalFormatting>
  <conditionalFormatting sqref="Q83">
    <cfRule type="cellIs" dxfId="6181" priority="2841" operator="lessThan">
      <formula>0</formula>
    </cfRule>
  </conditionalFormatting>
  <conditionalFormatting sqref="P83">
    <cfRule type="cellIs" dxfId="6180" priority="2830" operator="greaterThan">
      <formula>0</formula>
    </cfRule>
  </conditionalFormatting>
  <conditionalFormatting sqref="Q83">
    <cfRule type="cellIs" dxfId="6179" priority="2835" operator="lessThan">
      <formula>0</formula>
    </cfRule>
  </conditionalFormatting>
  <conditionalFormatting sqref="R83">
    <cfRule type="cellIs" dxfId="6178" priority="2833" operator="lessThan">
      <formula>0.8</formula>
    </cfRule>
    <cfRule type="cellIs" dxfId="6177" priority="2834" operator="greaterThan">
      <formula>1</formula>
    </cfRule>
  </conditionalFormatting>
  <conditionalFormatting sqref="R83">
    <cfRule type="cellIs" dxfId="6176" priority="2831" operator="greaterThan">
      <formula>1</formula>
    </cfRule>
    <cfRule type="cellIs" dxfId="6175" priority="2832" operator="lessThan">
      <formula>0.8</formula>
    </cfRule>
  </conditionalFormatting>
  <conditionalFormatting sqref="R83">
    <cfRule type="cellIs" dxfId="6174" priority="2827" operator="lessThan">
      <formula>0.8</formula>
    </cfRule>
    <cfRule type="cellIs" dxfId="6173" priority="2828" operator="greaterThan">
      <formula>1</formula>
    </cfRule>
  </conditionalFormatting>
  <conditionalFormatting sqref="R83">
    <cfRule type="cellIs" dxfId="6172" priority="2825" operator="greaterThan">
      <formula>1</formula>
    </cfRule>
    <cfRule type="cellIs" dxfId="6171" priority="2826" operator="lessThan">
      <formula>0.8</formula>
    </cfRule>
  </conditionalFormatting>
  <conditionalFormatting sqref="P83">
    <cfRule type="cellIs" dxfId="6170" priority="2824" operator="greaterThan">
      <formula>0</formula>
    </cfRule>
  </conditionalFormatting>
  <conditionalFormatting sqref="Q83">
    <cfRule type="cellIs" dxfId="6169" priority="2829" operator="lessThan">
      <formula>0</formula>
    </cfRule>
  </conditionalFormatting>
  <conditionalFormatting sqref="R83">
    <cfRule type="cellIs" dxfId="6168" priority="2821" operator="lessThan">
      <formula>0.8</formula>
    </cfRule>
    <cfRule type="cellIs" dxfId="6167" priority="2822" operator="greaterThan">
      <formula>1</formula>
    </cfRule>
  </conditionalFormatting>
  <conditionalFormatting sqref="R83">
    <cfRule type="cellIs" dxfId="6166" priority="2819" operator="greaterThan">
      <formula>1</formula>
    </cfRule>
    <cfRule type="cellIs" dxfId="6165" priority="2820" operator="lessThan">
      <formula>0.8</formula>
    </cfRule>
  </conditionalFormatting>
  <conditionalFormatting sqref="P83">
    <cfRule type="cellIs" dxfId="6164" priority="2818" operator="greaterThan">
      <formula>0</formula>
    </cfRule>
  </conditionalFormatting>
  <conditionalFormatting sqref="Q83">
    <cfRule type="cellIs" dxfId="6163" priority="2823" operator="lessThan">
      <formula>0</formula>
    </cfRule>
  </conditionalFormatting>
  <conditionalFormatting sqref="Q83">
    <cfRule type="cellIs" dxfId="6162" priority="2817" operator="lessThan">
      <formula>0</formula>
    </cfRule>
  </conditionalFormatting>
  <conditionalFormatting sqref="R83">
    <cfRule type="cellIs" dxfId="6161" priority="2815" operator="lessThan">
      <formula>0.8</formula>
    </cfRule>
    <cfRule type="cellIs" dxfId="6160" priority="2816" operator="greaterThan">
      <formula>1</formula>
    </cfRule>
  </conditionalFormatting>
  <conditionalFormatting sqref="R83">
    <cfRule type="cellIs" dxfId="6159" priority="2813" operator="greaterThan">
      <formula>1</formula>
    </cfRule>
    <cfRule type="cellIs" dxfId="6158" priority="2814" operator="lessThan">
      <formula>0.8</formula>
    </cfRule>
  </conditionalFormatting>
  <conditionalFormatting sqref="P83">
    <cfRule type="cellIs" dxfId="6157" priority="2812" operator="greaterThan">
      <formula>0</formula>
    </cfRule>
  </conditionalFormatting>
  <conditionalFormatting sqref="Q83">
    <cfRule type="cellIs" dxfId="6156" priority="2806" operator="lessThan">
      <formula>0</formula>
    </cfRule>
  </conditionalFormatting>
  <conditionalFormatting sqref="R83">
    <cfRule type="cellIs" dxfId="6155" priority="2810" operator="lessThan">
      <formula>0.8</formula>
    </cfRule>
    <cfRule type="cellIs" dxfId="6154" priority="2811" operator="greaterThan">
      <formula>1</formula>
    </cfRule>
  </conditionalFormatting>
  <conditionalFormatting sqref="R83">
    <cfRule type="cellIs" dxfId="6153" priority="2808" operator="greaterThan">
      <formula>1</formula>
    </cfRule>
    <cfRule type="cellIs" dxfId="6152" priority="2809" operator="lessThan">
      <formula>0.8</formula>
    </cfRule>
  </conditionalFormatting>
  <conditionalFormatting sqref="P83">
    <cfRule type="cellIs" dxfId="6151" priority="2807" operator="greaterThan">
      <formula>0</formula>
    </cfRule>
  </conditionalFormatting>
  <conditionalFormatting sqref="Q83">
    <cfRule type="cellIs" dxfId="6150" priority="2805" operator="lessThan">
      <formula>0</formula>
    </cfRule>
  </conditionalFormatting>
  <conditionalFormatting sqref="R83">
    <cfRule type="cellIs" dxfId="6149" priority="2803" operator="lessThan">
      <formula>0.8</formula>
    </cfRule>
    <cfRule type="cellIs" dxfId="6148" priority="2804" operator="greaterThan">
      <formula>1</formula>
    </cfRule>
  </conditionalFormatting>
  <conditionalFormatting sqref="R83">
    <cfRule type="cellIs" dxfId="6147" priority="2801" operator="greaterThan">
      <formula>1</formula>
    </cfRule>
    <cfRule type="cellIs" dxfId="6146" priority="2802" operator="lessThan">
      <formula>0.8</formula>
    </cfRule>
  </conditionalFormatting>
  <conditionalFormatting sqref="P83">
    <cfRule type="cellIs" dxfId="6145" priority="2800" operator="greaterThan">
      <formula>0</formula>
    </cfRule>
  </conditionalFormatting>
  <conditionalFormatting sqref="Q83">
    <cfRule type="cellIs" dxfId="6144" priority="2799" operator="lessThan">
      <formula>0</formula>
    </cfRule>
  </conditionalFormatting>
  <conditionalFormatting sqref="R83">
    <cfRule type="cellIs" dxfId="6143" priority="2797" operator="lessThan">
      <formula>0.8</formula>
    </cfRule>
    <cfRule type="cellIs" dxfId="6142" priority="2798" operator="greaterThan">
      <formula>1</formula>
    </cfRule>
  </conditionalFormatting>
  <conditionalFormatting sqref="R83">
    <cfRule type="cellIs" dxfId="6141" priority="2795" operator="greaterThan">
      <formula>1</formula>
    </cfRule>
    <cfRule type="cellIs" dxfId="6140" priority="2796" operator="lessThan">
      <formula>0.8</formula>
    </cfRule>
  </conditionalFormatting>
  <conditionalFormatting sqref="P83">
    <cfRule type="cellIs" dxfId="6139" priority="2794" operator="greaterThan">
      <formula>0</formula>
    </cfRule>
  </conditionalFormatting>
  <conditionalFormatting sqref="Q83">
    <cfRule type="cellIs" dxfId="6138" priority="2793" operator="lessThan">
      <formula>0</formula>
    </cfRule>
  </conditionalFormatting>
  <conditionalFormatting sqref="R83">
    <cfRule type="cellIs" dxfId="6137" priority="2791" operator="lessThan">
      <formula>0.8</formula>
    </cfRule>
    <cfRule type="cellIs" dxfId="6136" priority="2792" operator="greaterThan">
      <formula>1</formula>
    </cfRule>
  </conditionalFormatting>
  <conditionalFormatting sqref="R83">
    <cfRule type="cellIs" dxfId="6135" priority="2789" operator="greaterThan">
      <formula>1</formula>
    </cfRule>
    <cfRule type="cellIs" dxfId="6134" priority="2790" operator="lessThan">
      <formula>0.8</formula>
    </cfRule>
  </conditionalFormatting>
  <conditionalFormatting sqref="P83">
    <cfRule type="cellIs" dxfId="6133" priority="2788" operator="greaterThan">
      <formula>0</formula>
    </cfRule>
  </conditionalFormatting>
  <conditionalFormatting sqref="Q83">
    <cfRule type="cellIs" dxfId="6132" priority="2787" operator="lessThan">
      <formula>0</formula>
    </cfRule>
  </conditionalFormatting>
  <conditionalFormatting sqref="R83">
    <cfRule type="cellIs" dxfId="6131" priority="2785" operator="lessThan">
      <formula>0.8</formula>
    </cfRule>
    <cfRule type="cellIs" dxfId="6130" priority="2786" operator="greaterThan">
      <formula>1</formula>
    </cfRule>
  </conditionalFormatting>
  <conditionalFormatting sqref="R83">
    <cfRule type="cellIs" dxfId="6129" priority="2783" operator="greaterThan">
      <formula>1</formula>
    </cfRule>
    <cfRule type="cellIs" dxfId="6128" priority="2784" operator="lessThan">
      <formula>0.8</formula>
    </cfRule>
  </conditionalFormatting>
  <conditionalFormatting sqref="P83">
    <cfRule type="cellIs" dxfId="6127" priority="2782" operator="greaterThan">
      <formula>0</formula>
    </cfRule>
  </conditionalFormatting>
  <conditionalFormatting sqref="Q83">
    <cfRule type="cellIs" dxfId="6126" priority="2781" operator="lessThan">
      <formula>0</formula>
    </cfRule>
  </conditionalFormatting>
  <conditionalFormatting sqref="R83">
    <cfRule type="cellIs" dxfId="6125" priority="2779" operator="lessThan">
      <formula>0.8</formula>
    </cfRule>
    <cfRule type="cellIs" dxfId="6124" priority="2780" operator="greaterThan">
      <formula>1</formula>
    </cfRule>
  </conditionalFormatting>
  <conditionalFormatting sqref="R83">
    <cfRule type="cellIs" dxfId="6123" priority="2777" operator="greaterThan">
      <formula>1</formula>
    </cfRule>
    <cfRule type="cellIs" dxfId="6122" priority="2778" operator="lessThan">
      <formula>0.8</formula>
    </cfRule>
  </conditionalFormatting>
  <conditionalFormatting sqref="P83">
    <cfRule type="cellIs" dxfId="6121" priority="2776" operator="greaterThan">
      <formula>0</formula>
    </cfRule>
  </conditionalFormatting>
  <conditionalFormatting sqref="P83">
    <cfRule type="cellIs" dxfId="6120" priority="2770" operator="greaterThan">
      <formula>0</formula>
    </cfRule>
  </conditionalFormatting>
  <conditionalFormatting sqref="Q83">
    <cfRule type="cellIs" dxfId="6119" priority="2775" operator="lessThan">
      <formula>0</formula>
    </cfRule>
  </conditionalFormatting>
  <conditionalFormatting sqref="R83">
    <cfRule type="cellIs" dxfId="6118" priority="2773" operator="lessThan">
      <formula>0.8</formula>
    </cfRule>
    <cfRule type="cellIs" dxfId="6117" priority="2774" operator="greaterThan">
      <formula>1</formula>
    </cfRule>
  </conditionalFormatting>
  <conditionalFormatting sqref="R83">
    <cfRule type="cellIs" dxfId="6116" priority="2771" operator="greaterThan">
      <formula>1</formula>
    </cfRule>
    <cfRule type="cellIs" dxfId="6115" priority="2772" operator="lessThan">
      <formula>0.8</formula>
    </cfRule>
  </conditionalFormatting>
  <conditionalFormatting sqref="P83">
    <cfRule type="cellIs" dxfId="6114" priority="2764" operator="greaterThan">
      <formula>0</formula>
    </cfRule>
  </conditionalFormatting>
  <conditionalFormatting sqref="Q83">
    <cfRule type="cellIs" dxfId="6113" priority="2769" operator="lessThan">
      <formula>0</formula>
    </cfRule>
  </conditionalFormatting>
  <conditionalFormatting sqref="R83">
    <cfRule type="cellIs" dxfId="6112" priority="2767" operator="lessThan">
      <formula>0.8</formula>
    </cfRule>
    <cfRule type="cellIs" dxfId="6111" priority="2768" operator="greaterThan">
      <formula>1</formula>
    </cfRule>
  </conditionalFormatting>
  <conditionalFormatting sqref="R83">
    <cfRule type="cellIs" dxfId="6110" priority="2765" operator="greaterThan">
      <formula>1</formula>
    </cfRule>
    <cfRule type="cellIs" dxfId="6109" priority="2766" operator="lessThan">
      <formula>0.8</formula>
    </cfRule>
  </conditionalFormatting>
  <conditionalFormatting sqref="R83">
    <cfRule type="cellIs" dxfId="6108" priority="2761" operator="lessThan">
      <formula>0.8</formula>
    </cfRule>
    <cfRule type="cellIs" dxfId="6107" priority="2762" operator="greaterThan">
      <formula>1</formula>
    </cfRule>
  </conditionalFormatting>
  <conditionalFormatting sqref="R83">
    <cfRule type="cellIs" dxfId="6106" priority="2759" operator="greaterThan">
      <formula>1</formula>
    </cfRule>
    <cfRule type="cellIs" dxfId="6105" priority="2760" operator="lessThan">
      <formula>0.8</formula>
    </cfRule>
  </conditionalFormatting>
  <conditionalFormatting sqref="P83">
    <cfRule type="cellIs" dxfId="6104" priority="2758" operator="greaterThan">
      <formula>0</formula>
    </cfRule>
  </conditionalFormatting>
  <conditionalFormatting sqref="Q83">
    <cfRule type="cellIs" dxfId="6103" priority="2763" operator="lessThan">
      <formula>0</formula>
    </cfRule>
  </conditionalFormatting>
  <conditionalFormatting sqref="Q83">
    <cfRule type="cellIs" dxfId="6102" priority="2752" operator="lessThan">
      <formula>0</formula>
    </cfRule>
  </conditionalFormatting>
  <conditionalFormatting sqref="P83">
    <cfRule type="cellIs" dxfId="6101" priority="2753" operator="greaterThan">
      <formula>0</formula>
    </cfRule>
  </conditionalFormatting>
  <conditionalFormatting sqref="R83">
    <cfRule type="cellIs" dxfId="6100" priority="2756" operator="lessThan">
      <formula>0.8</formula>
    </cfRule>
    <cfRule type="cellIs" dxfId="6099" priority="2757" operator="greaterThan">
      <formula>1</formula>
    </cfRule>
  </conditionalFormatting>
  <conditionalFormatting sqref="R83">
    <cfRule type="cellIs" dxfId="6098" priority="2754" operator="greaterThan">
      <formula>1</formula>
    </cfRule>
    <cfRule type="cellIs" dxfId="6097" priority="2755" operator="lessThan">
      <formula>0.8</formula>
    </cfRule>
  </conditionalFormatting>
  <conditionalFormatting sqref="Q83">
    <cfRule type="cellIs" dxfId="6096" priority="2746" operator="lessThan">
      <formula>0</formula>
    </cfRule>
  </conditionalFormatting>
  <conditionalFormatting sqref="R83">
    <cfRule type="cellIs" dxfId="6095" priority="2750" operator="lessThan">
      <formula>0.8</formula>
    </cfRule>
    <cfRule type="cellIs" dxfId="6094" priority="2751" operator="greaterThan">
      <formula>1</formula>
    </cfRule>
  </conditionalFormatting>
  <conditionalFormatting sqref="R83">
    <cfRule type="cellIs" dxfId="6093" priority="2748" operator="greaterThan">
      <formula>1</formula>
    </cfRule>
    <cfRule type="cellIs" dxfId="6092" priority="2749" operator="lessThan">
      <formula>0.8</formula>
    </cfRule>
  </conditionalFormatting>
  <conditionalFormatting sqref="P83">
    <cfRule type="cellIs" dxfId="6091" priority="2747" operator="greaterThan">
      <formula>0</formula>
    </cfRule>
  </conditionalFormatting>
  <conditionalFormatting sqref="Q83">
    <cfRule type="cellIs" dxfId="6090" priority="2745" operator="lessThan">
      <formula>0</formula>
    </cfRule>
  </conditionalFormatting>
  <conditionalFormatting sqref="R83">
    <cfRule type="cellIs" dxfId="6089" priority="2743" operator="lessThan">
      <formula>0.8</formula>
    </cfRule>
    <cfRule type="cellIs" dxfId="6088" priority="2744" operator="greaterThan">
      <formula>1</formula>
    </cfRule>
  </conditionalFormatting>
  <conditionalFormatting sqref="R83">
    <cfRule type="cellIs" dxfId="6087" priority="2741" operator="greaterThan">
      <formula>1</formula>
    </cfRule>
    <cfRule type="cellIs" dxfId="6086" priority="2742" operator="lessThan">
      <formula>0.8</formula>
    </cfRule>
  </conditionalFormatting>
  <conditionalFormatting sqref="P83">
    <cfRule type="cellIs" dxfId="6085" priority="2740" operator="greaterThan">
      <formula>0</formula>
    </cfRule>
  </conditionalFormatting>
  <conditionalFormatting sqref="Q83">
    <cfRule type="cellIs" dxfId="6084" priority="2739" operator="lessThan">
      <formula>0</formula>
    </cfRule>
  </conditionalFormatting>
  <conditionalFormatting sqref="R83">
    <cfRule type="cellIs" dxfId="6083" priority="2737" operator="lessThan">
      <formula>0.8</formula>
    </cfRule>
    <cfRule type="cellIs" dxfId="6082" priority="2738" operator="greaterThan">
      <formula>1</formula>
    </cfRule>
  </conditionalFormatting>
  <conditionalFormatting sqref="R83">
    <cfRule type="cellIs" dxfId="6081" priority="2735" operator="greaterThan">
      <formula>1</formula>
    </cfRule>
    <cfRule type="cellIs" dxfId="6080" priority="2736" operator="lessThan">
      <formula>0.8</formula>
    </cfRule>
  </conditionalFormatting>
  <conditionalFormatting sqref="P83">
    <cfRule type="cellIs" dxfId="6079" priority="2734" operator="greaterThan">
      <formula>0</formula>
    </cfRule>
  </conditionalFormatting>
  <conditionalFormatting sqref="Q83">
    <cfRule type="cellIs" dxfId="6078" priority="2733" operator="lessThan">
      <formula>0</formula>
    </cfRule>
  </conditionalFormatting>
  <conditionalFormatting sqref="R83">
    <cfRule type="cellIs" dxfId="6077" priority="2731" operator="lessThan">
      <formula>0.8</formula>
    </cfRule>
    <cfRule type="cellIs" dxfId="6076" priority="2732" operator="greaterThan">
      <formula>1</formula>
    </cfRule>
  </conditionalFormatting>
  <conditionalFormatting sqref="R83">
    <cfRule type="cellIs" dxfId="6075" priority="2729" operator="greaterThan">
      <formula>1</formula>
    </cfRule>
    <cfRule type="cellIs" dxfId="6074" priority="2730" operator="lessThan">
      <formula>0.8</formula>
    </cfRule>
  </conditionalFormatting>
  <conditionalFormatting sqref="P83">
    <cfRule type="cellIs" dxfId="6073" priority="2728" operator="greaterThan">
      <formula>0</formula>
    </cfRule>
  </conditionalFormatting>
  <conditionalFormatting sqref="Q83">
    <cfRule type="cellIs" dxfId="6072" priority="2727" operator="lessThan">
      <formula>0</formula>
    </cfRule>
  </conditionalFormatting>
  <conditionalFormatting sqref="R83">
    <cfRule type="cellIs" dxfId="6071" priority="2725" operator="lessThan">
      <formula>0.8</formula>
    </cfRule>
    <cfRule type="cellIs" dxfId="6070" priority="2726" operator="greaterThan">
      <formula>1</formula>
    </cfRule>
  </conditionalFormatting>
  <conditionalFormatting sqref="R83">
    <cfRule type="cellIs" dxfId="6069" priority="2723" operator="greaterThan">
      <formula>1</formula>
    </cfRule>
    <cfRule type="cellIs" dxfId="6068" priority="2724" operator="lessThan">
      <formula>0.8</formula>
    </cfRule>
  </conditionalFormatting>
  <conditionalFormatting sqref="P83">
    <cfRule type="cellIs" dxfId="6067" priority="2722" operator="greaterThan">
      <formula>0</formula>
    </cfRule>
  </conditionalFormatting>
  <conditionalFormatting sqref="Q83">
    <cfRule type="cellIs" dxfId="6066" priority="2721" operator="lessThan">
      <formula>0</formula>
    </cfRule>
  </conditionalFormatting>
  <conditionalFormatting sqref="R83">
    <cfRule type="cellIs" dxfId="6065" priority="2719" operator="lessThan">
      <formula>0.8</formula>
    </cfRule>
    <cfRule type="cellIs" dxfId="6064" priority="2720" operator="greaterThan">
      <formula>1</formula>
    </cfRule>
  </conditionalFormatting>
  <conditionalFormatting sqref="R83">
    <cfRule type="cellIs" dxfId="6063" priority="2717" operator="greaterThan">
      <formula>1</formula>
    </cfRule>
    <cfRule type="cellIs" dxfId="6062" priority="2718" operator="lessThan">
      <formula>0.8</formula>
    </cfRule>
  </conditionalFormatting>
  <conditionalFormatting sqref="P83">
    <cfRule type="cellIs" dxfId="6061" priority="2716" operator="greaterThan">
      <formula>0</formula>
    </cfRule>
  </conditionalFormatting>
  <conditionalFormatting sqref="Q83">
    <cfRule type="cellIs" dxfId="6060" priority="2715" operator="lessThan">
      <formula>0</formula>
    </cfRule>
  </conditionalFormatting>
  <conditionalFormatting sqref="R83">
    <cfRule type="cellIs" dxfId="6059" priority="2713" operator="lessThan">
      <formula>0.8</formula>
    </cfRule>
    <cfRule type="cellIs" dxfId="6058" priority="2714" operator="greaterThan">
      <formula>1</formula>
    </cfRule>
  </conditionalFormatting>
  <conditionalFormatting sqref="R83">
    <cfRule type="cellIs" dxfId="6057" priority="2711" operator="greaterThan">
      <formula>1</formula>
    </cfRule>
    <cfRule type="cellIs" dxfId="6056" priority="2712" operator="lessThan">
      <formula>0.8</formula>
    </cfRule>
  </conditionalFormatting>
  <conditionalFormatting sqref="P83">
    <cfRule type="cellIs" dxfId="6055" priority="2710" operator="greaterThan">
      <formula>0</formula>
    </cfRule>
  </conditionalFormatting>
  <conditionalFormatting sqref="Q83">
    <cfRule type="cellIs" dxfId="6054" priority="2709" operator="lessThan">
      <formula>0</formula>
    </cfRule>
  </conditionalFormatting>
  <conditionalFormatting sqref="R83">
    <cfRule type="cellIs" dxfId="6053" priority="2707" operator="lessThan">
      <formula>0.8</formula>
    </cfRule>
    <cfRule type="cellIs" dxfId="6052" priority="2708" operator="greaterThan">
      <formula>1</formula>
    </cfRule>
  </conditionalFormatting>
  <conditionalFormatting sqref="R83">
    <cfRule type="cellIs" dxfId="6051" priority="2705" operator="greaterThan">
      <formula>1</formula>
    </cfRule>
    <cfRule type="cellIs" dxfId="6050" priority="2706" operator="lessThan">
      <formula>0.8</formula>
    </cfRule>
  </conditionalFormatting>
  <conditionalFormatting sqref="P83">
    <cfRule type="cellIs" dxfId="6049" priority="2704" operator="greaterThan">
      <formula>0</formula>
    </cfRule>
  </conditionalFormatting>
  <conditionalFormatting sqref="P83">
    <cfRule type="cellIs" dxfId="6048" priority="2698" operator="greaterThan">
      <formula>0</formula>
    </cfRule>
  </conditionalFormatting>
  <conditionalFormatting sqref="Q83">
    <cfRule type="cellIs" dxfId="6047" priority="2703" operator="lessThan">
      <formula>0</formula>
    </cfRule>
  </conditionalFormatting>
  <conditionalFormatting sqref="R83">
    <cfRule type="cellIs" dxfId="6046" priority="2701" operator="lessThan">
      <formula>0.8</formula>
    </cfRule>
    <cfRule type="cellIs" dxfId="6045" priority="2702" operator="greaterThan">
      <formula>1</formula>
    </cfRule>
  </conditionalFormatting>
  <conditionalFormatting sqref="R83">
    <cfRule type="cellIs" dxfId="6044" priority="2699" operator="greaterThan">
      <formula>1</formula>
    </cfRule>
    <cfRule type="cellIs" dxfId="6043" priority="2700" operator="lessThan">
      <formula>0.8</formula>
    </cfRule>
  </conditionalFormatting>
  <conditionalFormatting sqref="P83">
    <cfRule type="cellIs" dxfId="6042" priority="2692" operator="greaterThan">
      <formula>0</formula>
    </cfRule>
  </conditionalFormatting>
  <conditionalFormatting sqref="Q83">
    <cfRule type="cellIs" dxfId="6041" priority="2697" operator="lessThan">
      <formula>0</formula>
    </cfRule>
  </conditionalFormatting>
  <conditionalFormatting sqref="R83">
    <cfRule type="cellIs" dxfId="6040" priority="2695" operator="lessThan">
      <formula>0.8</formula>
    </cfRule>
    <cfRule type="cellIs" dxfId="6039" priority="2696" operator="greaterThan">
      <formula>1</formula>
    </cfRule>
  </conditionalFormatting>
  <conditionalFormatting sqref="R83">
    <cfRule type="cellIs" dxfId="6038" priority="2693" operator="greaterThan">
      <formula>1</formula>
    </cfRule>
    <cfRule type="cellIs" dxfId="6037" priority="2694" operator="lessThan">
      <formula>0.8</formula>
    </cfRule>
  </conditionalFormatting>
  <conditionalFormatting sqref="R83">
    <cfRule type="cellIs" dxfId="6036" priority="2689" operator="lessThan">
      <formula>0.8</formula>
    </cfRule>
    <cfRule type="cellIs" dxfId="6035" priority="2690" operator="greaterThan">
      <formula>1</formula>
    </cfRule>
  </conditionalFormatting>
  <conditionalFormatting sqref="R83">
    <cfRule type="cellIs" dxfId="6034" priority="2687" operator="greaterThan">
      <formula>1</formula>
    </cfRule>
    <cfRule type="cellIs" dxfId="6033" priority="2688" operator="lessThan">
      <formula>0.8</formula>
    </cfRule>
  </conditionalFormatting>
  <conditionalFormatting sqref="P83">
    <cfRule type="cellIs" dxfId="6032" priority="2686" operator="greaterThan">
      <formula>0</formula>
    </cfRule>
  </conditionalFormatting>
  <conditionalFormatting sqref="Q83">
    <cfRule type="cellIs" dxfId="6031" priority="2691" operator="lessThan">
      <formula>0</formula>
    </cfRule>
  </conditionalFormatting>
  <conditionalFormatting sqref="Q83">
    <cfRule type="cellIs" dxfId="6030" priority="2685" operator="lessThan">
      <formula>0</formula>
    </cfRule>
  </conditionalFormatting>
  <conditionalFormatting sqref="R83">
    <cfRule type="cellIs" dxfId="6029" priority="2683" operator="lessThan">
      <formula>0.8</formula>
    </cfRule>
    <cfRule type="cellIs" dxfId="6028" priority="2684" operator="greaterThan">
      <formula>1</formula>
    </cfRule>
  </conditionalFormatting>
  <conditionalFormatting sqref="R83">
    <cfRule type="cellIs" dxfId="6027" priority="2681" operator="greaterThan">
      <formula>1</formula>
    </cfRule>
    <cfRule type="cellIs" dxfId="6026" priority="2682" operator="lessThan">
      <formula>0.8</formula>
    </cfRule>
  </conditionalFormatting>
  <conditionalFormatting sqref="P83">
    <cfRule type="cellIs" dxfId="6025" priority="2680" operator="greaterThan">
      <formula>0</formula>
    </cfRule>
  </conditionalFormatting>
  <conditionalFormatting sqref="P83">
    <cfRule type="cellIs" dxfId="6024" priority="2674" operator="greaterThan">
      <formula>0</formula>
    </cfRule>
  </conditionalFormatting>
  <conditionalFormatting sqref="Q83">
    <cfRule type="cellIs" dxfId="6023" priority="2679" operator="lessThan">
      <formula>0</formula>
    </cfRule>
  </conditionalFormatting>
  <conditionalFormatting sqref="R83">
    <cfRule type="cellIs" dxfId="6022" priority="2677" operator="lessThan">
      <formula>0.8</formula>
    </cfRule>
    <cfRule type="cellIs" dxfId="6021" priority="2678" operator="greaterThan">
      <formula>1</formula>
    </cfRule>
  </conditionalFormatting>
  <conditionalFormatting sqref="R83">
    <cfRule type="cellIs" dxfId="6020" priority="2675" operator="greaterThan">
      <formula>1</formula>
    </cfRule>
    <cfRule type="cellIs" dxfId="6019" priority="2676" operator="lessThan">
      <formula>0.8</formula>
    </cfRule>
  </conditionalFormatting>
  <conditionalFormatting sqref="P83">
    <cfRule type="cellIs" dxfId="6018" priority="2668" operator="greaterThan">
      <formula>0</formula>
    </cfRule>
  </conditionalFormatting>
  <conditionalFormatting sqref="Q83">
    <cfRule type="cellIs" dxfId="6017" priority="2673" operator="lessThan">
      <formula>0</formula>
    </cfRule>
  </conditionalFormatting>
  <conditionalFormatting sqref="R83">
    <cfRule type="cellIs" dxfId="6016" priority="2671" operator="lessThan">
      <formula>0.8</formula>
    </cfRule>
    <cfRule type="cellIs" dxfId="6015" priority="2672" operator="greaterThan">
      <formula>1</formula>
    </cfRule>
  </conditionalFormatting>
  <conditionalFormatting sqref="R83">
    <cfRule type="cellIs" dxfId="6014" priority="2669" operator="greaterThan">
      <formula>1</formula>
    </cfRule>
    <cfRule type="cellIs" dxfId="6013" priority="2670" operator="lessThan">
      <formula>0.8</formula>
    </cfRule>
  </conditionalFormatting>
  <conditionalFormatting sqref="R83">
    <cfRule type="cellIs" dxfId="6012" priority="2665" operator="lessThan">
      <formula>0.8</formula>
    </cfRule>
    <cfRule type="cellIs" dxfId="6011" priority="2666" operator="greaterThan">
      <formula>1</formula>
    </cfRule>
  </conditionalFormatting>
  <conditionalFormatting sqref="R83">
    <cfRule type="cellIs" dxfId="6010" priority="2663" operator="greaterThan">
      <formula>1</formula>
    </cfRule>
    <cfRule type="cellIs" dxfId="6009" priority="2664" operator="lessThan">
      <formula>0.8</formula>
    </cfRule>
  </conditionalFormatting>
  <conditionalFormatting sqref="P83">
    <cfRule type="cellIs" dxfId="6008" priority="2662" operator="greaterThan">
      <formula>0</formula>
    </cfRule>
  </conditionalFormatting>
  <conditionalFormatting sqref="Q83">
    <cfRule type="cellIs" dxfId="6007" priority="2667" operator="lessThan">
      <formula>0</formula>
    </cfRule>
  </conditionalFormatting>
  <conditionalFormatting sqref="P83">
    <cfRule type="cellIs" dxfId="6006" priority="2656" operator="greaterThan">
      <formula>0</formula>
    </cfRule>
  </conditionalFormatting>
  <conditionalFormatting sqref="Q83">
    <cfRule type="cellIs" dxfId="6005" priority="2661" operator="lessThan">
      <formula>0</formula>
    </cfRule>
  </conditionalFormatting>
  <conditionalFormatting sqref="R83">
    <cfRule type="cellIs" dxfId="6004" priority="2659" operator="lessThan">
      <formula>0.8</formula>
    </cfRule>
    <cfRule type="cellIs" dxfId="6003" priority="2660" operator="greaterThan">
      <formula>1</formula>
    </cfRule>
  </conditionalFormatting>
  <conditionalFormatting sqref="R83">
    <cfRule type="cellIs" dxfId="6002" priority="2657" operator="greaterThan">
      <formula>1</formula>
    </cfRule>
    <cfRule type="cellIs" dxfId="6001" priority="2658" operator="lessThan">
      <formula>0.8</formula>
    </cfRule>
  </conditionalFormatting>
  <conditionalFormatting sqref="R83">
    <cfRule type="cellIs" dxfId="6000" priority="2653" operator="lessThan">
      <formula>0.8</formula>
    </cfRule>
    <cfRule type="cellIs" dxfId="5999" priority="2654" operator="greaterThan">
      <formula>1</formula>
    </cfRule>
  </conditionalFormatting>
  <conditionalFormatting sqref="R83">
    <cfRule type="cellIs" dxfId="5998" priority="2651" operator="greaterThan">
      <formula>1</formula>
    </cfRule>
    <cfRule type="cellIs" dxfId="5997" priority="2652" operator="lessThan">
      <formula>0.8</formula>
    </cfRule>
  </conditionalFormatting>
  <conditionalFormatting sqref="P83">
    <cfRule type="cellIs" dxfId="5996" priority="2650" operator="greaterThan">
      <formula>0</formula>
    </cfRule>
  </conditionalFormatting>
  <conditionalFormatting sqref="Q83">
    <cfRule type="cellIs" dxfId="5995" priority="2655" operator="lessThan">
      <formula>0</formula>
    </cfRule>
  </conditionalFormatting>
  <conditionalFormatting sqref="R83">
    <cfRule type="cellIs" dxfId="5994" priority="2647" operator="lessThan">
      <formula>0.8</formula>
    </cfRule>
    <cfRule type="cellIs" dxfId="5993" priority="2648" operator="greaterThan">
      <formula>1</formula>
    </cfRule>
  </conditionalFormatting>
  <conditionalFormatting sqref="R83">
    <cfRule type="cellIs" dxfId="5992" priority="2645" operator="greaterThan">
      <formula>1</formula>
    </cfRule>
    <cfRule type="cellIs" dxfId="5991" priority="2646" operator="lessThan">
      <formula>0.8</formula>
    </cfRule>
  </conditionalFormatting>
  <conditionalFormatting sqref="P83">
    <cfRule type="cellIs" dxfId="5990" priority="2644" operator="greaterThan">
      <formula>0</formula>
    </cfRule>
  </conditionalFormatting>
  <conditionalFormatting sqref="Q83">
    <cfRule type="cellIs" dxfId="5989" priority="2649" operator="lessThan">
      <formula>0</formula>
    </cfRule>
  </conditionalFormatting>
  <conditionalFormatting sqref="Q83">
    <cfRule type="cellIs" dxfId="5988" priority="2643" operator="lessThan">
      <formula>0</formula>
    </cfRule>
  </conditionalFormatting>
  <conditionalFormatting sqref="R83">
    <cfRule type="cellIs" dxfId="5987" priority="2641" operator="lessThan">
      <formula>0.8</formula>
    </cfRule>
    <cfRule type="cellIs" dxfId="5986" priority="2642" operator="greaterThan">
      <formula>1</formula>
    </cfRule>
  </conditionalFormatting>
  <conditionalFormatting sqref="R83">
    <cfRule type="cellIs" dxfId="5985" priority="2639" operator="greaterThan">
      <formula>1</formula>
    </cfRule>
    <cfRule type="cellIs" dxfId="5984" priority="2640" operator="lessThan">
      <formula>0.8</formula>
    </cfRule>
  </conditionalFormatting>
  <conditionalFormatting sqref="P83">
    <cfRule type="cellIs" dxfId="5983" priority="2638" operator="greaterThan">
      <formula>0</formula>
    </cfRule>
  </conditionalFormatting>
  <conditionalFormatting sqref="Q83">
    <cfRule type="cellIs" dxfId="5982" priority="2632" operator="lessThan">
      <formula>0</formula>
    </cfRule>
  </conditionalFormatting>
  <conditionalFormatting sqref="R83">
    <cfRule type="cellIs" dxfId="5981" priority="2636" operator="lessThan">
      <formula>0.8</formula>
    </cfRule>
    <cfRule type="cellIs" dxfId="5980" priority="2637" operator="greaterThan">
      <formula>1</formula>
    </cfRule>
  </conditionalFormatting>
  <conditionalFormatting sqref="R83">
    <cfRule type="cellIs" dxfId="5979" priority="2634" operator="greaterThan">
      <formula>1</formula>
    </cfRule>
    <cfRule type="cellIs" dxfId="5978" priority="2635" operator="lessThan">
      <formula>0.8</formula>
    </cfRule>
  </conditionalFormatting>
  <conditionalFormatting sqref="P83">
    <cfRule type="cellIs" dxfId="5977" priority="2633" operator="greaterThan">
      <formula>0</formula>
    </cfRule>
  </conditionalFormatting>
  <conditionalFormatting sqref="Q83">
    <cfRule type="cellIs" dxfId="5976" priority="2631" operator="lessThan">
      <formula>0</formula>
    </cfRule>
  </conditionalFormatting>
  <conditionalFormatting sqref="R83">
    <cfRule type="cellIs" dxfId="5975" priority="2629" operator="lessThan">
      <formula>0.8</formula>
    </cfRule>
    <cfRule type="cellIs" dxfId="5974" priority="2630" operator="greaterThan">
      <formula>1</formula>
    </cfRule>
  </conditionalFormatting>
  <conditionalFormatting sqref="R83">
    <cfRule type="cellIs" dxfId="5973" priority="2627" operator="greaterThan">
      <formula>1</formula>
    </cfRule>
    <cfRule type="cellIs" dxfId="5972" priority="2628" operator="lessThan">
      <formula>0.8</formula>
    </cfRule>
  </conditionalFormatting>
  <conditionalFormatting sqref="P83">
    <cfRule type="cellIs" dxfId="5971" priority="2626" operator="greaterThan">
      <formula>0</formula>
    </cfRule>
  </conditionalFormatting>
  <conditionalFormatting sqref="Q83">
    <cfRule type="cellIs" dxfId="5970" priority="2625" operator="lessThan">
      <formula>0</formula>
    </cfRule>
  </conditionalFormatting>
  <conditionalFormatting sqref="R83">
    <cfRule type="cellIs" dxfId="5969" priority="2623" operator="lessThan">
      <formula>0.8</formula>
    </cfRule>
    <cfRule type="cellIs" dxfId="5968" priority="2624" operator="greaterThan">
      <formula>1</formula>
    </cfRule>
  </conditionalFormatting>
  <conditionalFormatting sqref="R83">
    <cfRule type="cellIs" dxfId="5967" priority="2621" operator="greaterThan">
      <formula>1</formula>
    </cfRule>
    <cfRule type="cellIs" dxfId="5966" priority="2622" operator="lessThan">
      <formula>0.8</formula>
    </cfRule>
  </conditionalFormatting>
  <conditionalFormatting sqref="P83">
    <cfRule type="cellIs" dxfId="5965" priority="2620" operator="greaterThan">
      <formula>0</formula>
    </cfRule>
  </conditionalFormatting>
  <conditionalFormatting sqref="Q83">
    <cfRule type="cellIs" dxfId="5964" priority="2619" operator="lessThan">
      <formula>0</formula>
    </cfRule>
  </conditionalFormatting>
  <conditionalFormatting sqref="R83">
    <cfRule type="cellIs" dxfId="5963" priority="2617" operator="lessThan">
      <formula>0.8</formula>
    </cfRule>
    <cfRule type="cellIs" dxfId="5962" priority="2618" operator="greaterThan">
      <formula>1</formula>
    </cfRule>
  </conditionalFormatting>
  <conditionalFormatting sqref="R83">
    <cfRule type="cellIs" dxfId="5961" priority="2615" operator="greaterThan">
      <formula>1</formula>
    </cfRule>
    <cfRule type="cellIs" dxfId="5960" priority="2616" operator="lessThan">
      <formula>0.8</formula>
    </cfRule>
  </conditionalFormatting>
  <conditionalFormatting sqref="P83">
    <cfRule type="cellIs" dxfId="5959" priority="2614" operator="greaterThan">
      <formula>0</formula>
    </cfRule>
  </conditionalFormatting>
  <conditionalFormatting sqref="Q83">
    <cfRule type="cellIs" dxfId="5958" priority="2613" operator="lessThan">
      <formula>0</formula>
    </cfRule>
  </conditionalFormatting>
  <conditionalFormatting sqref="R83">
    <cfRule type="cellIs" dxfId="5957" priority="2611" operator="lessThan">
      <formula>0.8</formula>
    </cfRule>
    <cfRule type="cellIs" dxfId="5956" priority="2612" operator="greaterThan">
      <formula>1</formula>
    </cfRule>
  </conditionalFormatting>
  <conditionalFormatting sqref="R83">
    <cfRule type="cellIs" dxfId="5955" priority="2609" operator="greaterThan">
      <formula>1</formula>
    </cfRule>
    <cfRule type="cellIs" dxfId="5954" priority="2610" operator="lessThan">
      <formula>0.8</formula>
    </cfRule>
  </conditionalFormatting>
  <conditionalFormatting sqref="P83">
    <cfRule type="cellIs" dxfId="5953" priority="2608" operator="greaterThan">
      <formula>0</formula>
    </cfRule>
  </conditionalFormatting>
  <conditionalFormatting sqref="Q83">
    <cfRule type="cellIs" dxfId="5952" priority="2607" operator="lessThan">
      <formula>0</formula>
    </cfRule>
  </conditionalFormatting>
  <conditionalFormatting sqref="R83">
    <cfRule type="cellIs" dxfId="5951" priority="2605" operator="lessThan">
      <formula>0.8</formula>
    </cfRule>
    <cfRule type="cellIs" dxfId="5950" priority="2606" operator="greaterThan">
      <formula>1</formula>
    </cfRule>
  </conditionalFormatting>
  <conditionalFormatting sqref="R83">
    <cfRule type="cellIs" dxfId="5949" priority="2603" operator="greaterThan">
      <formula>1</formula>
    </cfRule>
    <cfRule type="cellIs" dxfId="5948" priority="2604" operator="lessThan">
      <formula>0.8</formula>
    </cfRule>
  </conditionalFormatting>
  <conditionalFormatting sqref="P83">
    <cfRule type="cellIs" dxfId="5947" priority="2602" operator="greaterThan">
      <formula>0</formula>
    </cfRule>
  </conditionalFormatting>
  <conditionalFormatting sqref="P83">
    <cfRule type="cellIs" dxfId="5946" priority="2596" operator="greaterThan">
      <formula>0</formula>
    </cfRule>
  </conditionalFormatting>
  <conditionalFormatting sqref="Q83">
    <cfRule type="cellIs" dxfId="5945" priority="2601" operator="lessThan">
      <formula>0</formula>
    </cfRule>
  </conditionalFormatting>
  <conditionalFormatting sqref="R83">
    <cfRule type="cellIs" dxfId="5944" priority="2599" operator="lessThan">
      <formula>0.8</formula>
    </cfRule>
    <cfRule type="cellIs" dxfId="5943" priority="2600" operator="greaterThan">
      <formula>1</formula>
    </cfRule>
  </conditionalFormatting>
  <conditionalFormatting sqref="R83">
    <cfRule type="cellIs" dxfId="5942" priority="2597" operator="greaterThan">
      <formula>1</formula>
    </cfRule>
    <cfRule type="cellIs" dxfId="5941" priority="2598" operator="lessThan">
      <formula>0.8</formula>
    </cfRule>
  </conditionalFormatting>
  <conditionalFormatting sqref="P83">
    <cfRule type="cellIs" dxfId="5940" priority="2590" operator="greaterThan">
      <formula>0</formula>
    </cfRule>
  </conditionalFormatting>
  <conditionalFormatting sqref="Q83">
    <cfRule type="cellIs" dxfId="5939" priority="2595" operator="lessThan">
      <formula>0</formula>
    </cfRule>
  </conditionalFormatting>
  <conditionalFormatting sqref="R83">
    <cfRule type="cellIs" dxfId="5938" priority="2593" operator="lessThan">
      <formula>0.8</formula>
    </cfRule>
    <cfRule type="cellIs" dxfId="5937" priority="2594" operator="greaterThan">
      <formula>1</formula>
    </cfRule>
  </conditionalFormatting>
  <conditionalFormatting sqref="R83">
    <cfRule type="cellIs" dxfId="5936" priority="2591" operator="greaterThan">
      <formula>1</formula>
    </cfRule>
    <cfRule type="cellIs" dxfId="5935" priority="2592" operator="lessThan">
      <formula>0.8</formula>
    </cfRule>
  </conditionalFormatting>
  <conditionalFormatting sqref="R83">
    <cfRule type="cellIs" dxfId="5934" priority="2587" operator="lessThan">
      <formula>0.8</formula>
    </cfRule>
    <cfRule type="cellIs" dxfId="5933" priority="2588" operator="greaterThan">
      <formula>1</formula>
    </cfRule>
  </conditionalFormatting>
  <conditionalFormatting sqref="R83">
    <cfRule type="cellIs" dxfId="5932" priority="2585" operator="greaterThan">
      <formula>1</formula>
    </cfRule>
    <cfRule type="cellIs" dxfId="5931" priority="2586" operator="lessThan">
      <formula>0.8</formula>
    </cfRule>
  </conditionalFormatting>
  <conditionalFormatting sqref="P83">
    <cfRule type="cellIs" dxfId="5930" priority="2584" operator="greaterThan">
      <formula>0</formula>
    </cfRule>
  </conditionalFormatting>
  <conditionalFormatting sqref="Q83">
    <cfRule type="cellIs" dxfId="5929" priority="2589" operator="lessThan">
      <formula>0</formula>
    </cfRule>
  </conditionalFormatting>
  <conditionalFormatting sqref="P123 P125:P126 P128:P130">
    <cfRule type="cellIs" dxfId="5928" priority="2578" operator="greaterThan">
      <formula>0</formula>
    </cfRule>
  </conditionalFormatting>
  <conditionalFormatting sqref="Q123 Q125:Q126 Q128:Q130">
    <cfRule type="cellIs" dxfId="5927" priority="2583" operator="lessThan">
      <formula>0</formula>
    </cfRule>
  </conditionalFormatting>
  <conditionalFormatting sqref="R123 R125:R126 R128:R130">
    <cfRule type="cellIs" dxfId="5926" priority="2581" operator="lessThan">
      <formula>0.8</formula>
    </cfRule>
    <cfRule type="cellIs" dxfId="5925" priority="2582" operator="greaterThan">
      <formula>1</formula>
    </cfRule>
  </conditionalFormatting>
  <conditionalFormatting sqref="R123 R125:R126 R128:R130">
    <cfRule type="cellIs" dxfId="5924" priority="2579" operator="greaterThan">
      <formula>1</formula>
    </cfRule>
    <cfRule type="cellIs" dxfId="5923" priority="2580" operator="lessThan">
      <formula>0.8</formula>
    </cfRule>
  </conditionalFormatting>
  <conditionalFormatting sqref="Q123 Q125:Q126 Q128:Q130">
    <cfRule type="cellIs" dxfId="5922" priority="2577" operator="lessThan">
      <formula>0</formula>
    </cfRule>
  </conditionalFormatting>
  <conditionalFormatting sqref="R123 R125:R126 R128:R130">
    <cfRule type="cellIs" dxfId="5921" priority="2575" operator="lessThan">
      <formula>0.8</formula>
    </cfRule>
    <cfRule type="cellIs" dxfId="5920" priority="2576" operator="greaterThan">
      <formula>1</formula>
    </cfRule>
  </conditionalFormatting>
  <conditionalFormatting sqref="R123 R125:R126 R128:R130">
    <cfRule type="cellIs" dxfId="5919" priority="2573" operator="greaterThan">
      <formula>1</formula>
    </cfRule>
    <cfRule type="cellIs" dxfId="5918" priority="2574" operator="lessThan">
      <formula>0.8</formula>
    </cfRule>
  </conditionalFormatting>
  <conditionalFormatting sqref="P123 P125:P126 P128:P130">
    <cfRule type="cellIs" dxfId="5917" priority="2572" operator="greaterThan">
      <formula>0</formula>
    </cfRule>
  </conditionalFormatting>
  <conditionalFormatting sqref="Q31">
    <cfRule type="cellIs" dxfId="5916" priority="2571" operator="lessThan">
      <formula>0</formula>
    </cfRule>
  </conditionalFormatting>
  <conditionalFormatting sqref="R31">
    <cfRule type="cellIs" dxfId="5915" priority="2569" operator="lessThan">
      <formula>0.8</formula>
    </cfRule>
    <cfRule type="cellIs" dxfId="5914" priority="2570" operator="greaterThan">
      <formula>1</formula>
    </cfRule>
  </conditionalFormatting>
  <conditionalFormatting sqref="R31">
    <cfRule type="cellIs" dxfId="5913" priority="2567" operator="greaterThan">
      <formula>1</formula>
    </cfRule>
    <cfRule type="cellIs" dxfId="5912" priority="2568" operator="lessThan">
      <formula>0.8</formula>
    </cfRule>
  </conditionalFormatting>
  <conditionalFormatting sqref="P31">
    <cfRule type="cellIs" dxfId="5911" priority="2566" operator="greaterThan">
      <formula>0</formula>
    </cfRule>
  </conditionalFormatting>
  <conditionalFormatting sqref="Q31">
    <cfRule type="cellIs" dxfId="5910" priority="2565" operator="lessThan">
      <formula>0</formula>
    </cfRule>
  </conditionalFormatting>
  <conditionalFormatting sqref="R31">
    <cfRule type="cellIs" dxfId="5909" priority="2563" operator="lessThan">
      <formula>0.8</formula>
    </cfRule>
    <cfRule type="cellIs" dxfId="5908" priority="2564" operator="greaterThan">
      <formula>1</formula>
    </cfRule>
  </conditionalFormatting>
  <conditionalFormatting sqref="R31">
    <cfRule type="cellIs" dxfId="5907" priority="2561" operator="greaterThan">
      <formula>1</formula>
    </cfRule>
    <cfRule type="cellIs" dxfId="5906" priority="2562" operator="lessThan">
      <formula>0.8</formula>
    </cfRule>
  </conditionalFormatting>
  <conditionalFormatting sqref="P31">
    <cfRule type="cellIs" dxfId="5905" priority="2560" operator="greaterThan">
      <formula>0</formula>
    </cfRule>
  </conditionalFormatting>
  <conditionalFormatting sqref="Q31">
    <cfRule type="cellIs" dxfId="5904" priority="2559" operator="lessThan">
      <formula>0</formula>
    </cfRule>
  </conditionalFormatting>
  <conditionalFormatting sqref="R31">
    <cfRule type="cellIs" dxfId="5903" priority="2557" operator="lessThan">
      <formula>0.8</formula>
    </cfRule>
    <cfRule type="cellIs" dxfId="5902" priority="2558" operator="greaterThan">
      <formula>1</formula>
    </cfRule>
  </conditionalFormatting>
  <conditionalFormatting sqref="R31">
    <cfRule type="cellIs" dxfId="5901" priority="2555" operator="greaterThan">
      <formula>1</formula>
    </cfRule>
    <cfRule type="cellIs" dxfId="5900" priority="2556" operator="lessThan">
      <formula>0.8</formula>
    </cfRule>
  </conditionalFormatting>
  <conditionalFormatting sqref="P31">
    <cfRule type="cellIs" dxfId="5899" priority="2554" operator="greaterThan">
      <formula>0</formula>
    </cfRule>
  </conditionalFormatting>
  <conditionalFormatting sqref="Q31">
    <cfRule type="cellIs" dxfId="5898" priority="2553" operator="lessThan">
      <formula>0</formula>
    </cfRule>
  </conditionalFormatting>
  <conditionalFormatting sqref="R31">
    <cfRule type="cellIs" dxfId="5897" priority="2551" operator="lessThan">
      <formula>0.8</formula>
    </cfRule>
    <cfRule type="cellIs" dxfId="5896" priority="2552" operator="greaterThan">
      <formula>1</formula>
    </cfRule>
  </conditionalFormatting>
  <conditionalFormatting sqref="R31">
    <cfRule type="cellIs" dxfId="5895" priority="2549" operator="greaterThan">
      <formula>1</formula>
    </cfRule>
    <cfRule type="cellIs" dxfId="5894" priority="2550" operator="lessThan">
      <formula>0.8</formula>
    </cfRule>
  </conditionalFormatting>
  <conditionalFormatting sqref="P31">
    <cfRule type="cellIs" dxfId="5893" priority="2548" operator="greaterThan">
      <formula>0</formula>
    </cfRule>
  </conditionalFormatting>
  <conditionalFormatting sqref="P31">
    <cfRule type="cellIs" dxfId="5892" priority="2542" operator="greaterThan">
      <formula>0</formula>
    </cfRule>
  </conditionalFormatting>
  <conditionalFormatting sqref="Q31">
    <cfRule type="cellIs" dxfId="5891" priority="2547" operator="lessThan">
      <formula>0</formula>
    </cfRule>
  </conditionalFormatting>
  <conditionalFormatting sqref="R31">
    <cfRule type="cellIs" dxfId="5890" priority="2545" operator="lessThan">
      <formula>0.8</formula>
    </cfRule>
    <cfRule type="cellIs" dxfId="5889" priority="2546" operator="greaterThan">
      <formula>1</formula>
    </cfRule>
  </conditionalFormatting>
  <conditionalFormatting sqref="R31">
    <cfRule type="cellIs" dxfId="5888" priority="2543" operator="greaterThan">
      <formula>1</formula>
    </cfRule>
    <cfRule type="cellIs" dxfId="5887" priority="2544" operator="lessThan">
      <formula>0.8</formula>
    </cfRule>
  </conditionalFormatting>
  <conditionalFormatting sqref="P31">
    <cfRule type="cellIs" dxfId="5886" priority="2536" operator="greaterThan">
      <formula>0</formula>
    </cfRule>
  </conditionalFormatting>
  <conditionalFormatting sqref="Q31">
    <cfRule type="cellIs" dxfId="5885" priority="2541" operator="lessThan">
      <formula>0</formula>
    </cfRule>
  </conditionalFormatting>
  <conditionalFormatting sqref="R31">
    <cfRule type="cellIs" dxfId="5884" priority="2539" operator="lessThan">
      <formula>0.8</formula>
    </cfRule>
    <cfRule type="cellIs" dxfId="5883" priority="2540" operator="greaterThan">
      <formula>1</formula>
    </cfRule>
  </conditionalFormatting>
  <conditionalFormatting sqref="R31">
    <cfRule type="cellIs" dxfId="5882" priority="2537" operator="greaterThan">
      <formula>1</formula>
    </cfRule>
    <cfRule type="cellIs" dxfId="5881" priority="2538" operator="lessThan">
      <formula>0.8</formula>
    </cfRule>
  </conditionalFormatting>
  <conditionalFormatting sqref="R31">
    <cfRule type="cellIs" dxfId="5880" priority="2533" operator="lessThan">
      <formula>0.8</formula>
    </cfRule>
    <cfRule type="cellIs" dxfId="5879" priority="2534" operator="greaterThan">
      <formula>1</formula>
    </cfRule>
  </conditionalFormatting>
  <conditionalFormatting sqref="R31">
    <cfRule type="cellIs" dxfId="5878" priority="2531" operator="greaterThan">
      <formula>1</formula>
    </cfRule>
    <cfRule type="cellIs" dxfId="5877" priority="2532" operator="lessThan">
      <formula>0.8</formula>
    </cfRule>
  </conditionalFormatting>
  <conditionalFormatting sqref="P31">
    <cfRule type="cellIs" dxfId="5876" priority="2530" operator="greaterThan">
      <formula>0</formula>
    </cfRule>
  </conditionalFormatting>
  <conditionalFormatting sqref="Q31">
    <cfRule type="cellIs" dxfId="5875" priority="2535" operator="lessThan">
      <formula>0</formula>
    </cfRule>
  </conditionalFormatting>
  <conditionalFormatting sqref="Q31">
    <cfRule type="cellIs" dxfId="5874" priority="2529" operator="lessThan">
      <formula>0</formula>
    </cfRule>
  </conditionalFormatting>
  <conditionalFormatting sqref="R31">
    <cfRule type="cellIs" dxfId="5873" priority="2527" operator="lessThan">
      <formula>0.8</formula>
    </cfRule>
    <cfRule type="cellIs" dxfId="5872" priority="2528" operator="greaterThan">
      <formula>1</formula>
    </cfRule>
  </conditionalFormatting>
  <conditionalFormatting sqref="R31">
    <cfRule type="cellIs" dxfId="5871" priority="2525" operator="greaterThan">
      <formula>1</formula>
    </cfRule>
    <cfRule type="cellIs" dxfId="5870" priority="2526" operator="lessThan">
      <formula>0.8</formula>
    </cfRule>
  </conditionalFormatting>
  <conditionalFormatting sqref="P31">
    <cfRule type="cellIs" dxfId="5869" priority="2524" operator="greaterThan">
      <formula>0</formula>
    </cfRule>
  </conditionalFormatting>
  <conditionalFormatting sqref="P31">
    <cfRule type="cellIs" dxfId="5868" priority="2518" operator="greaterThan">
      <formula>0</formula>
    </cfRule>
  </conditionalFormatting>
  <conditionalFormatting sqref="Q31">
    <cfRule type="cellIs" dxfId="5867" priority="2523" operator="lessThan">
      <formula>0</formula>
    </cfRule>
  </conditionalFormatting>
  <conditionalFormatting sqref="R31">
    <cfRule type="cellIs" dxfId="5866" priority="2521" operator="lessThan">
      <formula>0.8</formula>
    </cfRule>
    <cfRule type="cellIs" dxfId="5865" priority="2522" operator="greaterThan">
      <formula>1</formula>
    </cfRule>
  </conditionalFormatting>
  <conditionalFormatting sqref="R31">
    <cfRule type="cellIs" dxfId="5864" priority="2519" operator="greaterThan">
      <formula>1</formula>
    </cfRule>
    <cfRule type="cellIs" dxfId="5863" priority="2520" operator="lessThan">
      <formula>0.8</formula>
    </cfRule>
  </conditionalFormatting>
  <conditionalFormatting sqref="P31">
    <cfRule type="cellIs" dxfId="5862" priority="2512" operator="greaterThan">
      <formula>0</formula>
    </cfRule>
  </conditionalFormatting>
  <conditionalFormatting sqref="Q31">
    <cfRule type="cellIs" dxfId="5861" priority="2517" operator="lessThan">
      <formula>0</formula>
    </cfRule>
  </conditionalFormatting>
  <conditionalFormatting sqref="R31">
    <cfRule type="cellIs" dxfId="5860" priority="2515" operator="lessThan">
      <formula>0.8</formula>
    </cfRule>
    <cfRule type="cellIs" dxfId="5859" priority="2516" operator="greaterThan">
      <formula>1</formula>
    </cfRule>
  </conditionalFormatting>
  <conditionalFormatting sqref="R31">
    <cfRule type="cellIs" dxfId="5858" priority="2513" operator="greaterThan">
      <formula>1</formula>
    </cfRule>
    <cfRule type="cellIs" dxfId="5857" priority="2514" operator="lessThan">
      <formula>0.8</formula>
    </cfRule>
  </conditionalFormatting>
  <conditionalFormatting sqref="R31">
    <cfRule type="cellIs" dxfId="5856" priority="2509" operator="lessThan">
      <formula>0.8</formula>
    </cfRule>
    <cfRule type="cellIs" dxfId="5855" priority="2510" operator="greaterThan">
      <formula>1</formula>
    </cfRule>
  </conditionalFormatting>
  <conditionalFormatting sqref="R31">
    <cfRule type="cellIs" dxfId="5854" priority="2507" operator="greaterThan">
      <formula>1</formula>
    </cfRule>
    <cfRule type="cellIs" dxfId="5853" priority="2508" operator="lessThan">
      <formula>0.8</formula>
    </cfRule>
  </conditionalFormatting>
  <conditionalFormatting sqref="P31">
    <cfRule type="cellIs" dxfId="5852" priority="2506" operator="greaterThan">
      <formula>0</formula>
    </cfRule>
  </conditionalFormatting>
  <conditionalFormatting sqref="Q31">
    <cfRule type="cellIs" dxfId="5851" priority="2511" operator="lessThan">
      <formula>0</formula>
    </cfRule>
  </conditionalFormatting>
  <conditionalFormatting sqref="P31">
    <cfRule type="cellIs" dxfId="5850" priority="2500" operator="greaterThan">
      <formula>0</formula>
    </cfRule>
  </conditionalFormatting>
  <conditionalFormatting sqref="Q31">
    <cfRule type="cellIs" dxfId="5849" priority="2505" operator="lessThan">
      <formula>0</formula>
    </cfRule>
  </conditionalFormatting>
  <conditionalFormatting sqref="R31">
    <cfRule type="cellIs" dxfId="5848" priority="2503" operator="lessThan">
      <formula>0.8</formula>
    </cfRule>
    <cfRule type="cellIs" dxfId="5847" priority="2504" operator="greaterThan">
      <formula>1</formula>
    </cfRule>
  </conditionalFormatting>
  <conditionalFormatting sqref="R31">
    <cfRule type="cellIs" dxfId="5846" priority="2501" operator="greaterThan">
      <formula>1</formula>
    </cfRule>
    <cfRule type="cellIs" dxfId="5845" priority="2502" operator="lessThan">
      <formula>0.8</formula>
    </cfRule>
  </conditionalFormatting>
  <conditionalFormatting sqref="R31">
    <cfRule type="cellIs" dxfId="5844" priority="2497" operator="lessThan">
      <formula>0.8</formula>
    </cfRule>
    <cfRule type="cellIs" dxfId="5843" priority="2498" operator="greaterThan">
      <formula>1</formula>
    </cfRule>
  </conditionalFormatting>
  <conditionalFormatting sqref="R31">
    <cfRule type="cellIs" dxfId="5842" priority="2495" operator="greaterThan">
      <formula>1</formula>
    </cfRule>
    <cfRule type="cellIs" dxfId="5841" priority="2496" operator="lessThan">
      <formula>0.8</formula>
    </cfRule>
  </conditionalFormatting>
  <conditionalFormatting sqref="P31">
    <cfRule type="cellIs" dxfId="5840" priority="2494" operator="greaterThan">
      <formula>0</formula>
    </cfRule>
  </conditionalFormatting>
  <conditionalFormatting sqref="Q31">
    <cfRule type="cellIs" dxfId="5839" priority="2499" operator="lessThan">
      <formula>0</formula>
    </cfRule>
  </conditionalFormatting>
  <conditionalFormatting sqref="R31">
    <cfRule type="cellIs" dxfId="5838" priority="2491" operator="lessThan">
      <formula>0.8</formula>
    </cfRule>
    <cfRule type="cellIs" dxfId="5837" priority="2492" operator="greaterThan">
      <formula>1</formula>
    </cfRule>
  </conditionalFormatting>
  <conditionalFormatting sqref="R31">
    <cfRule type="cellIs" dxfId="5836" priority="2489" operator="greaterThan">
      <formula>1</formula>
    </cfRule>
    <cfRule type="cellIs" dxfId="5835" priority="2490" operator="lessThan">
      <formula>0.8</formula>
    </cfRule>
  </conditionalFormatting>
  <conditionalFormatting sqref="P31">
    <cfRule type="cellIs" dxfId="5834" priority="2488" operator="greaterThan">
      <formula>0</formula>
    </cfRule>
  </conditionalFormatting>
  <conditionalFormatting sqref="Q31">
    <cfRule type="cellIs" dxfId="5833" priority="2493" operator="lessThan">
      <formula>0</formula>
    </cfRule>
  </conditionalFormatting>
  <conditionalFormatting sqref="Q31">
    <cfRule type="cellIs" dxfId="5832" priority="2487" operator="lessThan">
      <formula>0</formula>
    </cfRule>
  </conditionalFormatting>
  <conditionalFormatting sqref="R31">
    <cfRule type="cellIs" dxfId="5831" priority="2485" operator="lessThan">
      <formula>0.8</formula>
    </cfRule>
    <cfRule type="cellIs" dxfId="5830" priority="2486" operator="greaterThan">
      <formula>1</formula>
    </cfRule>
  </conditionalFormatting>
  <conditionalFormatting sqref="R31">
    <cfRule type="cellIs" dxfId="5829" priority="2483" operator="greaterThan">
      <formula>1</formula>
    </cfRule>
    <cfRule type="cellIs" dxfId="5828" priority="2484" operator="lessThan">
      <formula>0.8</formula>
    </cfRule>
  </conditionalFormatting>
  <conditionalFormatting sqref="P31">
    <cfRule type="cellIs" dxfId="5827" priority="2482" operator="greaterThan">
      <formula>0</formula>
    </cfRule>
  </conditionalFormatting>
  <conditionalFormatting sqref="Q31">
    <cfRule type="cellIs" dxfId="5826" priority="2476" operator="lessThan">
      <formula>0</formula>
    </cfRule>
  </conditionalFormatting>
  <conditionalFormatting sqref="R31">
    <cfRule type="cellIs" dxfId="5825" priority="2480" operator="lessThan">
      <formula>0.8</formula>
    </cfRule>
    <cfRule type="cellIs" dxfId="5824" priority="2481" operator="greaterThan">
      <formula>1</formula>
    </cfRule>
  </conditionalFormatting>
  <conditionalFormatting sqref="R31">
    <cfRule type="cellIs" dxfId="5823" priority="2478" operator="greaterThan">
      <formula>1</formula>
    </cfRule>
    <cfRule type="cellIs" dxfId="5822" priority="2479" operator="lessThan">
      <formula>0.8</formula>
    </cfRule>
  </conditionalFormatting>
  <conditionalFormatting sqref="P31">
    <cfRule type="cellIs" dxfId="5821" priority="2477" operator="greaterThan">
      <formula>0</formula>
    </cfRule>
  </conditionalFormatting>
  <conditionalFormatting sqref="Q31">
    <cfRule type="cellIs" dxfId="5820" priority="2475" operator="lessThan">
      <formula>0</formula>
    </cfRule>
  </conditionalFormatting>
  <conditionalFormatting sqref="R31">
    <cfRule type="cellIs" dxfId="5819" priority="2473" operator="lessThan">
      <formula>0.8</formula>
    </cfRule>
    <cfRule type="cellIs" dxfId="5818" priority="2474" operator="greaterThan">
      <formula>1</formula>
    </cfRule>
  </conditionalFormatting>
  <conditionalFormatting sqref="R31">
    <cfRule type="cellIs" dxfId="5817" priority="2471" operator="greaterThan">
      <formula>1</formula>
    </cfRule>
    <cfRule type="cellIs" dxfId="5816" priority="2472" operator="lessThan">
      <formula>0.8</formula>
    </cfRule>
  </conditionalFormatting>
  <conditionalFormatting sqref="P31">
    <cfRule type="cellIs" dxfId="5815" priority="2470" operator="greaterThan">
      <formula>0</formula>
    </cfRule>
  </conditionalFormatting>
  <conditionalFormatting sqref="Q31">
    <cfRule type="cellIs" dxfId="5814" priority="2469" operator="lessThan">
      <formula>0</formula>
    </cfRule>
  </conditionalFormatting>
  <conditionalFormatting sqref="R31">
    <cfRule type="cellIs" dxfId="5813" priority="2467" operator="lessThan">
      <formula>0.8</formula>
    </cfRule>
    <cfRule type="cellIs" dxfId="5812" priority="2468" operator="greaterThan">
      <formula>1</formula>
    </cfRule>
  </conditionalFormatting>
  <conditionalFormatting sqref="R31">
    <cfRule type="cellIs" dxfId="5811" priority="2465" operator="greaterThan">
      <formula>1</formula>
    </cfRule>
    <cfRule type="cellIs" dxfId="5810" priority="2466" operator="lessThan">
      <formula>0.8</formula>
    </cfRule>
  </conditionalFormatting>
  <conditionalFormatting sqref="P31">
    <cfRule type="cellIs" dxfId="5809" priority="2464" operator="greaterThan">
      <formula>0</formula>
    </cfRule>
  </conditionalFormatting>
  <conditionalFormatting sqref="Q31">
    <cfRule type="cellIs" dxfId="5808" priority="2463" operator="lessThan">
      <formula>0</formula>
    </cfRule>
  </conditionalFormatting>
  <conditionalFormatting sqref="R31">
    <cfRule type="cellIs" dxfId="5807" priority="2461" operator="lessThan">
      <formula>0.8</formula>
    </cfRule>
    <cfRule type="cellIs" dxfId="5806" priority="2462" operator="greaterThan">
      <formula>1</formula>
    </cfRule>
  </conditionalFormatting>
  <conditionalFormatting sqref="R31">
    <cfRule type="cellIs" dxfId="5805" priority="2459" operator="greaterThan">
      <formula>1</formula>
    </cfRule>
    <cfRule type="cellIs" dxfId="5804" priority="2460" operator="lessThan">
      <formula>0.8</formula>
    </cfRule>
  </conditionalFormatting>
  <conditionalFormatting sqref="P31">
    <cfRule type="cellIs" dxfId="5803" priority="2458" operator="greaterThan">
      <formula>0</formula>
    </cfRule>
  </conditionalFormatting>
  <conditionalFormatting sqref="Q31">
    <cfRule type="cellIs" dxfId="5802" priority="2457" operator="lessThan">
      <formula>0</formula>
    </cfRule>
  </conditionalFormatting>
  <conditionalFormatting sqref="R31">
    <cfRule type="cellIs" dxfId="5801" priority="2455" operator="lessThan">
      <formula>0.8</formula>
    </cfRule>
    <cfRule type="cellIs" dxfId="5800" priority="2456" operator="greaterThan">
      <formula>1</formula>
    </cfRule>
  </conditionalFormatting>
  <conditionalFormatting sqref="R31">
    <cfRule type="cellIs" dxfId="5799" priority="2453" operator="greaterThan">
      <formula>1</formula>
    </cfRule>
    <cfRule type="cellIs" dxfId="5798" priority="2454" operator="lessThan">
      <formula>0.8</formula>
    </cfRule>
  </conditionalFormatting>
  <conditionalFormatting sqref="P31">
    <cfRule type="cellIs" dxfId="5797" priority="2452" operator="greaterThan">
      <formula>0</formula>
    </cfRule>
  </conditionalFormatting>
  <conditionalFormatting sqref="Q31">
    <cfRule type="cellIs" dxfId="5796" priority="2451" operator="lessThan">
      <formula>0</formula>
    </cfRule>
  </conditionalFormatting>
  <conditionalFormatting sqref="R31">
    <cfRule type="cellIs" dxfId="5795" priority="2449" operator="lessThan">
      <formula>0.8</formula>
    </cfRule>
    <cfRule type="cellIs" dxfId="5794" priority="2450" operator="greaterThan">
      <formula>1</formula>
    </cfRule>
  </conditionalFormatting>
  <conditionalFormatting sqref="R31">
    <cfRule type="cellIs" dxfId="5793" priority="2447" operator="greaterThan">
      <formula>1</formula>
    </cfRule>
    <cfRule type="cellIs" dxfId="5792" priority="2448" operator="lessThan">
      <formula>0.8</formula>
    </cfRule>
  </conditionalFormatting>
  <conditionalFormatting sqref="P31">
    <cfRule type="cellIs" dxfId="5791" priority="2446" operator="greaterThan">
      <formula>0</formula>
    </cfRule>
  </conditionalFormatting>
  <conditionalFormatting sqref="P31">
    <cfRule type="cellIs" dxfId="5790" priority="2440" operator="greaterThan">
      <formula>0</formula>
    </cfRule>
  </conditionalFormatting>
  <conditionalFormatting sqref="Q31">
    <cfRule type="cellIs" dxfId="5789" priority="2445" operator="lessThan">
      <formula>0</formula>
    </cfRule>
  </conditionalFormatting>
  <conditionalFormatting sqref="R31">
    <cfRule type="cellIs" dxfId="5788" priority="2443" operator="lessThan">
      <formula>0.8</formula>
    </cfRule>
    <cfRule type="cellIs" dxfId="5787" priority="2444" operator="greaterThan">
      <formula>1</formula>
    </cfRule>
  </conditionalFormatting>
  <conditionalFormatting sqref="R31">
    <cfRule type="cellIs" dxfId="5786" priority="2441" operator="greaterThan">
      <formula>1</formula>
    </cfRule>
    <cfRule type="cellIs" dxfId="5785" priority="2442" operator="lessThan">
      <formula>0.8</formula>
    </cfRule>
  </conditionalFormatting>
  <conditionalFormatting sqref="P31">
    <cfRule type="cellIs" dxfId="5784" priority="2434" operator="greaterThan">
      <formula>0</formula>
    </cfRule>
  </conditionalFormatting>
  <conditionalFormatting sqref="Q31">
    <cfRule type="cellIs" dxfId="5783" priority="2439" operator="lessThan">
      <formula>0</formula>
    </cfRule>
  </conditionalFormatting>
  <conditionalFormatting sqref="R31">
    <cfRule type="cellIs" dxfId="5782" priority="2437" operator="lessThan">
      <formula>0.8</formula>
    </cfRule>
    <cfRule type="cellIs" dxfId="5781" priority="2438" operator="greaterThan">
      <formula>1</formula>
    </cfRule>
  </conditionalFormatting>
  <conditionalFormatting sqref="R31">
    <cfRule type="cellIs" dxfId="5780" priority="2435" operator="greaterThan">
      <formula>1</formula>
    </cfRule>
    <cfRule type="cellIs" dxfId="5779" priority="2436" operator="lessThan">
      <formula>0.8</formula>
    </cfRule>
  </conditionalFormatting>
  <conditionalFormatting sqref="R31">
    <cfRule type="cellIs" dxfId="5778" priority="2431" operator="lessThan">
      <formula>0.8</formula>
    </cfRule>
    <cfRule type="cellIs" dxfId="5777" priority="2432" operator="greaterThan">
      <formula>1</formula>
    </cfRule>
  </conditionalFormatting>
  <conditionalFormatting sqref="R31">
    <cfRule type="cellIs" dxfId="5776" priority="2429" operator="greaterThan">
      <formula>1</formula>
    </cfRule>
    <cfRule type="cellIs" dxfId="5775" priority="2430" operator="lessThan">
      <formula>0.8</formula>
    </cfRule>
  </conditionalFormatting>
  <conditionalFormatting sqref="P31">
    <cfRule type="cellIs" dxfId="5774" priority="2428" operator="greaterThan">
      <formula>0</formula>
    </cfRule>
  </conditionalFormatting>
  <conditionalFormatting sqref="Q31">
    <cfRule type="cellIs" dxfId="5773" priority="2433" operator="lessThan">
      <formula>0</formula>
    </cfRule>
  </conditionalFormatting>
  <conditionalFormatting sqref="Q31">
    <cfRule type="cellIs" dxfId="5772" priority="2427" operator="lessThan">
      <formula>0</formula>
    </cfRule>
  </conditionalFormatting>
  <conditionalFormatting sqref="R31">
    <cfRule type="cellIs" dxfId="5771" priority="2425" operator="lessThan">
      <formula>0.8</formula>
    </cfRule>
    <cfRule type="cellIs" dxfId="5770" priority="2426" operator="greaterThan">
      <formula>1</formula>
    </cfRule>
  </conditionalFormatting>
  <conditionalFormatting sqref="R31">
    <cfRule type="cellIs" dxfId="5769" priority="2423" operator="greaterThan">
      <formula>1</formula>
    </cfRule>
    <cfRule type="cellIs" dxfId="5768" priority="2424" operator="lessThan">
      <formula>0.8</formula>
    </cfRule>
  </conditionalFormatting>
  <conditionalFormatting sqref="P31">
    <cfRule type="cellIs" dxfId="5767" priority="2422" operator="greaterThan">
      <formula>0</formula>
    </cfRule>
  </conditionalFormatting>
  <conditionalFormatting sqref="Q31">
    <cfRule type="cellIs" dxfId="5766" priority="2421" operator="lessThan">
      <formula>0</formula>
    </cfRule>
  </conditionalFormatting>
  <conditionalFormatting sqref="R31">
    <cfRule type="cellIs" dxfId="5765" priority="2419" operator="lessThan">
      <formula>0.8</formula>
    </cfRule>
    <cfRule type="cellIs" dxfId="5764" priority="2420" operator="greaterThan">
      <formula>1</formula>
    </cfRule>
  </conditionalFormatting>
  <conditionalFormatting sqref="R31">
    <cfRule type="cellIs" dxfId="5763" priority="2417" operator="greaterThan">
      <formula>1</formula>
    </cfRule>
    <cfRule type="cellIs" dxfId="5762" priority="2418" operator="lessThan">
      <formula>0.8</formula>
    </cfRule>
  </conditionalFormatting>
  <conditionalFormatting sqref="P31">
    <cfRule type="cellIs" dxfId="5761" priority="2416" operator="greaterThan">
      <formula>0</formula>
    </cfRule>
  </conditionalFormatting>
  <conditionalFormatting sqref="Q31">
    <cfRule type="cellIs" dxfId="5760" priority="2415" operator="lessThan">
      <formula>0</formula>
    </cfRule>
  </conditionalFormatting>
  <conditionalFormatting sqref="R31">
    <cfRule type="cellIs" dxfId="5759" priority="2413" operator="lessThan">
      <formula>0.8</formula>
    </cfRule>
    <cfRule type="cellIs" dxfId="5758" priority="2414" operator="greaterThan">
      <formula>1</formula>
    </cfRule>
  </conditionalFormatting>
  <conditionalFormatting sqref="R31">
    <cfRule type="cellIs" dxfId="5757" priority="2411" operator="greaterThan">
      <formula>1</formula>
    </cfRule>
    <cfRule type="cellIs" dxfId="5756" priority="2412" operator="lessThan">
      <formula>0.8</formula>
    </cfRule>
  </conditionalFormatting>
  <conditionalFormatting sqref="P31">
    <cfRule type="cellIs" dxfId="5755" priority="2410" operator="greaterThan">
      <formula>0</formula>
    </cfRule>
  </conditionalFormatting>
  <conditionalFormatting sqref="Q31">
    <cfRule type="cellIs" dxfId="5754" priority="2409" operator="lessThan">
      <formula>0</formula>
    </cfRule>
  </conditionalFormatting>
  <conditionalFormatting sqref="R31">
    <cfRule type="cellIs" dxfId="5753" priority="2407" operator="lessThan">
      <formula>0.8</formula>
    </cfRule>
    <cfRule type="cellIs" dxfId="5752" priority="2408" operator="greaterThan">
      <formula>1</formula>
    </cfRule>
  </conditionalFormatting>
  <conditionalFormatting sqref="R31">
    <cfRule type="cellIs" dxfId="5751" priority="2405" operator="greaterThan">
      <formula>1</formula>
    </cfRule>
    <cfRule type="cellIs" dxfId="5750" priority="2406" operator="lessThan">
      <formula>0.8</formula>
    </cfRule>
  </conditionalFormatting>
  <conditionalFormatting sqref="P31">
    <cfRule type="cellIs" dxfId="5749" priority="2404" operator="greaterThan">
      <formula>0</formula>
    </cfRule>
  </conditionalFormatting>
  <conditionalFormatting sqref="P31">
    <cfRule type="cellIs" dxfId="5748" priority="2398" operator="greaterThan">
      <formula>0</formula>
    </cfRule>
  </conditionalFormatting>
  <conditionalFormatting sqref="Q31">
    <cfRule type="cellIs" dxfId="5747" priority="2403" operator="lessThan">
      <formula>0</formula>
    </cfRule>
  </conditionalFormatting>
  <conditionalFormatting sqref="R31">
    <cfRule type="cellIs" dxfId="5746" priority="2401" operator="lessThan">
      <formula>0.8</formula>
    </cfRule>
    <cfRule type="cellIs" dxfId="5745" priority="2402" operator="greaterThan">
      <formula>1</formula>
    </cfRule>
  </conditionalFormatting>
  <conditionalFormatting sqref="R31">
    <cfRule type="cellIs" dxfId="5744" priority="2399" operator="greaterThan">
      <formula>1</formula>
    </cfRule>
    <cfRule type="cellIs" dxfId="5743" priority="2400" operator="lessThan">
      <formula>0.8</formula>
    </cfRule>
  </conditionalFormatting>
  <conditionalFormatting sqref="P31">
    <cfRule type="cellIs" dxfId="5742" priority="2392" operator="greaterThan">
      <formula>0</formula>
    </cfRule>
  </conditionalFormatting>
  <conditionalFormatting sqref="Q31">
    <cfRule type="cellIs" dxfId="5741" priority="2397" operator="lessThan">
      <formula>0</formula>
    </cfRule>
  </conditionalFormatting>
  <conditionalFormatting sqref="R31">
    <cfRule type="cellIs" dxfId="5740" priority="2395" operator="lessThan">
      <formula>0.8</formula>
    </cfRule>
    <cfRule type="cellIs" dxfId="5739" priority="2396" operator="greaterThan">
      <formula>1</formula>
    </cfRule>
  </conditionalFormatting>
  <conditionalFormatting sqref="R31">
    <cfRule type="cellIs" dxfId="5738" priority="2393" operator="greaterThan">
      <formula>1</formula>
    </cfRule>
    <cfRule type="cellIs" dxfId="5737" priority="2394" operator="lessThan">
      <formula>0.8</formula>
    </cfRule>
  </conditionalFormatting>
  <conditionalFormatting sqref="R31">
    <cfRule type="cellIs" dxfId="5736" priority="2389" operator="lessThan">
      <formula>0.8</formula>
    </cfRule>
    <cfRule type="cellIs" dxfId="5735" priority="2390" operator="greaterThan">
      <formula>1</formula>
    </cfRule>
  </conditionalFormatting>
  <conditionalFormatting sqref="R31">
    <cfRule type="cellIs" dxfId="5734" priority="2387" operator="greaterThan">
      <formula>1</formula>
    </cfRule>
    <cfRule type="cellIs" dxfId="5733" priority="2388" operator="lessThan">
      <formula>0.8</formula>
    </cfRule>
  </conditionalFormatting>
  <conditionalFormatting sqref="P31">
    <cfRule type="cellIs" dxfId="5732" priority="2386" operator="greaterThan">
      <formula>0</formula>
    </cfRule>
  </conditionalFormatting>
  <conditionalFormatting sqref="Q31">
    <cfRule type="cellIs" dxfId="5731" priority="2391" operator="lessThan">
      <formula>0</formula>
    </cfRule>
  </conditionalFormatting>
  <conditionalFormatting sqref="Q31">
    <cfRule type="cellIs" dxfId="5730" priority="2385" operator="lessThan">
      <formula>0</formula>
    </cfRule>
  </conditionalFormatting>
  <conditionalFormatting sqref="R31">
    <cfRule type="cellIs" dxfId="5729" priority="2383" operator="lessThan">
      <formula>0.8</formula>
    </cfRule>
    <cfRule type="cellIs" dxfId="5728" priority="2384" operator="greaterThan">
      <formula>1</formula>
    </cfRule>
  </conditionalFormatting>
  <conditionalFormatting sqref="R31">
    <cfRule type="cellIs" dxfId="5727" priority="2381" operator="greaterThan">
      <formula>1</formula>
    </cfRule>
    <cfRule type="cellIs" dxfId="5726" priority="2382" operator="lessThan">
      <formula>0.8</formula>
    </cfRule>
  </conditionalFormatting>
  <conditionalFormatting sqref="P31">
    <cfRule type="cellIs" dxfId="5725" priority="2380" operator="greaterThan">
      <formula>0</formula>
    </cfRule>
  </conditionalFormatting>
  <conditionalFormatting sqref="P31">
    <cfRule type="cellIs" dxfId="5724" priority="2374" operator="greaterThan">
      <formula>0</formula>
    </cfRule>
  </conditionalFormatting>
  <conditionalFormatting sqref="Q31">
    <cfRule type="cellIs" dxfId="5723" priority="2379" operator="lessThan">
      <formula>0</formula>
    </cfRule>
  </conditionalFormatting>
  <conditionalFormatting sqref="R31">
    <cfRule type="cellIs" dxfId="5722" priority="2377" operator="lessThan">
      <formula>0.8</formula>
    </cfRule>
    <cfRule type="cellIs" dxfId="5721" priority="2378" operator="greaterThan">
      <formula>1</formula>
    </cfRule>
  </conditionalFormatting>
  <conditionalFormatting sqref="R31">
    <cfRule type="cellIs" dxfId="5720" priority="2375" operator="greaterThan">
      <formula>1</formula>
    </cfRule>
    <cfRule type="cellIs" dxfId="5719" priority="2376" operator="lessThan">
      <formula>0.8</formula>
    </cfRule>
  </conditionalFormatting>
  <conditionalFormatting sqref="P31">
    <cfRule type="cellIs" dxfId="5718" priority="2368" operator="greaterThan">
      <formula>0</formula>
    </cfRule>
  </conditionalFormatting>
  <conditionalFormatting sqref="Q31">
    <cfRule type="cellIs" dxfId="5717" priority="2373" operator="lessThan">
      <formula>0</formula>
    </cfRule>
  </conditionalFormatting>
  <conditionalFormatting sqref="R31">
    <cfRule type="cellIs" dxfId="5716" priority="2371" operator="lessThan">
      <formula>0.8</formula>
    </cfRule>
    <cfRule type="cellIs" dxfId="5715" priority="2372" operator="greaterThan">
      <formula>1</formula>
    </cfRule>
  </conditionalFormatting>
  <conditionalFormatting sqref="R31">
    <cfRule type="cellIs" dxfId="5714" priority="2369" operator="greaterThan">
      <formula>1</formula>
    </cfRule>
    <cfRule type="cellIs" dxfId="5713" priority="2370" operator="lessThan">
      <formula>0.8</formula>
    </cfRule>
  </conditionalFormatting>
  <conditionalFormatting sqref="R31">
    <cfRule type="cellIs" dxfId="5712" priority="2365" operator="lessThan">
      <formula>0.8</formula>
    </cfRule>
    <cfRule type="cellIs" dxfId="5711" priority="2366" operator="greaterThan">
      <formula>1</formula>
    </cfRule>
  </conditionalFormatting>
  <conditionalFormatting sqref="R31">
    <cfRule type="cellIs" dxfId="5710" priority="2363" operator="greaterThan">
      <formula>1</formula>
    </cfRule>
    <cfRule type="cellIs" dxfId="5709" priority="2364" operator="lessThan">
      <formula>0.8</formula>
    </cfRule>
  </conditionalFormatting>
  <conditionalFormatting sqref="P31">
    <cfRule type="cellIs" dxfId="5708" priority="2362" operator="greaterThan">
      <formula>0</formula>
    </cfRule>
  </conditionalFormatting>
  <conditionalFormatting sqref="Q31">
    <cfRule type="cellIs" dxfId="5707" priority="2367" operator="lessThan">
      <formula>0</formula>
    </cfRule>
  </conditionalFormatting>
  <conditionalFormatting sqref="P31">
    <cfRule type="cellIs" dxfId="5706" priority="2356" operator="greaterThan">
      <formula>0</formula>
    </cfRule>
  </conditionalFormatting>
  <conditionalFormatting sqref="Q31">
    <cfRule type="cellIs" dxfId="5705" priority="2361" operator="lessThan">
      <formula>0</formula>
    </cfRule>
  </conditionalFormatting>
  <conditionalFormatting sqref="R31">
    <cfRule type="cellIs" dxfId="5704" priority="2359" operator="lessThan">
      <formula>0.8</formula>
    </cfRule>
    <cfRule type="cellIs" dxfId="5703" priority="2360" operator="greaterThan">
      <formula>1</formula>
    </cfRule>
  </conditionalFormatting>
  <conditionalFormatting sqref="R31">
    <cfRule type="cellIs" dxfId="5702" priority="2357" operator="greaterThan">
      <formula>1</formula>
    </cfRule>
    <cfRule type="cellIs" dxfId="5701" priority="2358" operator="lessThan">
      <formula>0.8</formula>
    </cfRule>
  </conditionalFormatting>
  <conditionalFormatting sqref="R31">
    <cfRule type="cellIs" dxfId="5700" priority="2353" operator="lessThan">
      <formula>0.8</formula>
    </cfRule>
    <cfRule type="cellIs" dxfId="5699" priority="2354" operator="greaterThan">
      <formula>1</formula>
    </cfRule>
  </conditionalFormatting>
  <conditionalFormatting sqref="R31">
    <cfRule type="cellIs" dxfId="5698" priority="2351" operator="greaterThan">
      <formula>1</formula>
    </cfRule>
    <cfRule type="cellIs" dxfId="5697" priority="2352" operator="lessThan">
      <formula>0.8</formula>
    </cfRule>
  </conditionalFormatting>
  <conditionalFormatting sqref="P31">
    <cfRule type="cellIs" dxfId="5696" priority="2350" operator="greaterThan">
      <formula>0</formula>
    </cfRule>
  </conditionalFormatting>
  <conditionalFormatting sqref="Q31">
    <cfRule type="cellIs" dxfId="5695" priority="2355" operator="lessThan">
      <formula>0</formula>
    </cfRule>
  </conditionalFormatting>
  <conditionalFormatting sqref="R31">
    <cfRule type="cellIs" dxfId="5694" priority="2347" operator="lessThan">
      <formula>0.8</formula>
    </cfRule>
    <cfRule type="cellIs" dxfId="5693" priority="2348" operator="greaterThan">
      <formula>1</formula>
    </cfRule>
  </conditionalFormatting>
  <conditionalFormatting sqref="R31">
    <cfRule type="cellIs" dxfId="5692" priority="2345" operator="greaterThan">
      <formula>1</formula>
    </cfRule>
    <cfRule type="cellIs" dxfId="5691" priority="2346" operator="lessThan">
      <formula>0.8</formula>
    </cfRule>
  </conditionalFormatting>
  <conditionalFormatting sqref="P31">
    <cfRule type="cellIs" dxfId="5690" priority="2344" operator="greaterThan">
      <formula>0</formula>
    </cfRule>
  </conditionalFormatting>
  <conditionalFormatting sqref="Q31">
    <cfRule type="cellIs" dxfId="5689" priority="2349" operator="lessThan">
      <formula>0</formula>
    </cfRule>
  </conditionalFormatting>
  <conditionalFormatting sqref="Q31">
    <cfRule type="cellIs" dxfId="5688" priority="2343" operator="lessThan">
      <formula>0</formula>
    </cfRule>
  </conditionalFormatting>
  <conditionalFormatting sqref="R31">
    <cfRule type="cellIs" dxfId="5687" priority="2341" operator="lessThan">
      <formula>0.8</formula>
    </cfRule>
    <cfRule type="cellIs" dxfId="5686" priority="2342" operator="greaterThan">
      <formula>1</formula>
    </cfRule>
  </conditionalFormatting>
  <conditionalFormatting sqref="R31">
    <cfRule type="cellIs" dxfId="5685" priority="2339" operator="greaterThan">
      <formula>1</formula>
    </cfRule>
    <cfRule type="cellIs" dxfId="5684" priority="2340" operator="lessThan">
      <formula>0.8</formula>
    </cfRule>
  </conditionalFormatting>
  <conditionalFormatting sqref="P31">
    <cfRule type="cellIs" dxfId="5683" priority="2338" operator="greaterThan">
      <formula>0</formula>
    </cfRule>
  </conditionalFormatting>
  <conditionalFormatting sqref="Q31">
    <cfRule type="cellIs" dxfId="5682" priority="2332" operator="lessThan">
      <formula>0</formula>
    </cfRule>
  </conditionalFormatting>
  <conditionalFormatting sqref="R31">
    <cfRule type="cellIs" dxfId="5681" priority="2336" operator="lessThan">
      <formula>0.8</formula>
    </cfRule>
    <cfRule type="cellIs" dxfId="5680" priority="2337" operator="greaterThan">
      <formula>1</formula>
    </cfRule>
  </conditionalFormatting>
  <conditionalFormatting sqref="R31">
    <cfRule type="cellIs" dxfId="5679" priority="2334" operator="greaterThan">
      <formula>1</formula>
    </cfRule>
    <cfRule type="cellIs" dxfId="5678" priority="2335" operator="lessThan">
      <formula>0.8</formula>
    </cfRule>
  </conditionalFormatting>
  <conditionalFormatting sqref="P31">
    <cfRule type="cellIs" dxfId="5677" priority="2333" operator="greaterThan">
      <formula>0</formula>
    </cfRule>
  </conditionalFormatting>
  <conditionalFormatting sqref="Q31">
    <cfRule type="cellIs" dxfId="5676" priority="2331" operator="lessThan">
      <formula>0</formula>
    </cfRule>
  </conditionalFormatting>
  <conditionalFormatting sqref="R31">
    <cfRule type="cellIs" dxfId="5675" priority="2329" operator="lessThan">
      <formula>0.8</formula>
    </cfRule>
    <cfRule type="cellIs" dxfId="5674" priority="2330" operator="greaterThan">
      <formula>1</formula>
    </cfRule>
  </conditionalFormatting>
  <conditionalFormatting sqref="R31">
    <cfRule type="cellIs" dxfId="5673" priority="2327" operator="greaterThan">
      <formula>1</formula>
    </cfRule>
    <cfRule type="cellIs" dxfId="5672" priority="2328" operator="lessThan">
      <formula>0.8</formula>
    </cfRule>
  </conditionalFormatting>
  <conditionalFormatting sqref="P31">
    <cfRule type="cellIs" dxfId="5671" priority="2326" operator="greaterThan">
      <formula>0</formula>
    </cfRule>
  </conditionalFormatting>
  <conditionalFormatting sqref="Q31">
    <cfRule type="cellIs" dxfId="5670" priority="2325" operator="lessThan">
      <formula>0</formula>
    </cfRule>
  </conditionalFormatting>
  <conditionalFormatting sqref="R31">
    <cfRule type="cellIs" dxfId="5669" priority="2323" operator="lessThan">
      <formula>0.8</formula>
    </cfRule>
    <cfRule type="cellIs" dxfId="5668" priority="2324" operator="greaterThan">
      <formula>1</formula>
    </cfRule>
  </conditionalFormatting>
  <conditionalFormatting sqref="R31">
    <cfRule type="cellIs" dxfId="5667" priority="2321" operator="greaterThan">
      <formula>1</formula>
    </cfRule>
    <cfRule type="cellIs" dxfId="5666" priority="2322" operator="lessThan">
      <formula>0.8</formula>
    </cfRule>
  </conditionalFormatting>
  <conditionalFormatting sqref="P31">
    <cfRule type="cellIs" dxfId="5665" priority="2320" operator="greaterThan">
      <formula>0</formula>
    </cfRule>
  </conditionalFormatting>
  <conditionalFormatting sqref="Q31">
    <cfRule type="cellIs" dxfId="5664" priority="2319" operator="lessThan">
      <formula>0</formula>
    </cfRule>
  </conditionalFormatting>
  <conditionalFormatting sqref="R31">
    <cfRule type="cellIs" dxfId="5663" priority="2317" operator="lessThan">
      <formula>0.8</formula>
    </cfRule>
    <cfRule type="cellIs" dxfId="5662" priority="2318" operator="greaterThan">
      <formula>1</formula>
    </cfRule>
  </conditionalFormatting>
  <conditionalFormatting sqref="R31">
    <cfRule type="cellIs" dxfId="5661" priority="2315" operator="greaterThan">
      <formula>1</formula>
    </cfRule>
    <cfRule type="cellIs" dxfId="5660" priority="2316" operator="lessThan">
      <formula>0.8</formula>
    </cfRule>
  </conditionalFormatting>
  <conditionalFormatting sqref="P31">
    <cfRule type="cellIs" dxfId="5659" priority="2314" operator="greaterThan">
      <formula>0</formula>
    </cfRule>
  </conditionalFormatting>
  <conditionalFormatting sqref="Q31">
    <cfRule type="cellIs" dxfId="5658" priority="2313" operator="lessThan">
      <formula>0</formula>
    </cfRule>
  </conditionalFormatting>
  <conditionalFormatting sqref="R31">
    <cfRule type="cellIs" dxfId="5657" priority="2311" operator="lessThan">
      <formula>0.8</formula>
    </cfRule>
    <cfRule type="cellIs" dxfId="5656" priority="2312" operator="greaterThan">
      <formula>1</formula>
    </cfRule>
  </conditionalFormatting>
  <conditionalFormatting sqref="R31">
    <cfRule type="cellIs" dxfId="5655" priority="2309" operator="greaterThan">
      <formula>1</formula>
    </cfRule>
    <cfRule type="cellIs" dxfId="5654" priority="2310" operator="lessThan">
      <formula>0.8</formula>
    </cfRule>
  </conditionalFormatting>
  <conditionalFormatting sqref="P31">
    <cfRule type="cellIs" dxfId="5653" priority="2308" operator="greaterThan">
      <formula>0</formula>
    </cfRule>
  </conditionalFormatting>
  <conditionalFormatting sqref="Q31">
    <cfRule type="cellIs" dxfId="5652" priority="2307" operator="lessThan">
      <formula>0</formula>
    </cfRule>
  </conditionalFormatting>
  <conditionalFormatting sqref="R31">
    <cfRule type="cellIs" dxfId="5651" priority="2305" operator="lessThan">
      <formula>0.8</formula>
    </cfRule>
    <cfRule type="cellIs" dxfId="5650" priority="2306" operator="greaterThan">
      <formula>1</formula>
    </cfRule>
  </conditionalFormatting>
  <conditionalFormatting sqref="R31">
    <cfRule type="cellIs" dxfId="5649" priority="2303" operator="greaterThan">
      <formula>1</formula>
    </cfRule>
    <cfRule type="cellIs" dxfId="5648" priority="2304" operator="lessThan">
      <formula>0.8</formula>
    </cfRule>
  </conditionalFormatting>
  <conditionalFormatting sqref="P31">
    <cfRule type="cellIs" dxfId="5647" priority="2302" operator="greaterThan">
      <formula>0</formula>
    </cfRule>
  </conditionalFormatting>
  <conditionalFormatting sqref="P31">
    <cfRule type="cellIs" dxfId="5646" priority="2296" operator="greaterThan">
      <formula>0</formula>
    </cfRule>
  </conditionalFormatting>
  <conditionalFormatting sqref="Q31">
    <cfRule type="cellIs" dxfId="5645" priority="2301" operator="lessThan">
      <formula>0</formula>
    </cfRule>
  </conditionalFormatting>
  <conditionalFormatting sqref="R31">
    <cfRule type="cellIs" dxfId="5644" priority="2299" operator="lessThan">
      <formula>0.8</formula>
    </cfRule>
    <cfRule type="cellIs" dxfId="5643" priority="2300" operator="greaterThan">
      <formula>1</formula>
    </cfRule>
  </conditionalFormatting>
  <conditionalFormatting sqref="R31">
    <cfRule type="cellIs" dxfId="5642" priority="2297" operator="greaterThan">
      <formula>1</formula>
    </cfRule>
    <cfRule type="cellIs" dxfId="5641" priority="2298" operator="lessThan">
      <formula>0.8</formula>
    </cfRule>
  </conditionalFormatting>
  <conditionalFormatting sqref="P31">
    <cfRule type="cellIs" dxfId="5640" priority="2290" operator="greaterThan">
      <formula>0</formula>
    </cfRule>
  </conditionalFormatting>
  <conditionalFormatting sqref="Q31">
    <cfRule type="cellIs" dxfId="5639" priority="2295" operator="lessThan">
      <formula>0</formula>
    </cfRule>
  </conditionalFormatting>
  <conditionalFormatting sqref="R31">
    <cfRule type="cellIs" dxfId="5638" priority="2293" operator="lessThan">
      <formula>0.8</formula>
    </cfRule>
    <cfRule type="cellIs" dxfId="5637" priority="2294" operator="greaterThan">
      <formula>1</formula>
    </cfRule>
  </conditionalFormatting>
  <conditionalFormatting sqref="R31">
    <cfRule type="cellIs" dxfId="5636" priority="2291" operator="greaterThan">
      <formula>1</formula>
    </cfRule>
    <cfRule type="cellIs" dxfId="5635" priority="2292" operator="lessThan">
      <formula>0.8</formula>
    </cfRule>
  </conditionalFormatting>
  <conditionalFormatting sqref="R31">
    <cfRule type="cellIs" dxfId="5634" priority="2287" operator="lessThan">
      <formula>0.8</formula>
    </cfRule>
    <cfRule type="cellIs" dxfId="5633" priority="2288" operator="greaterThan">
      <formula>1</formula>
    </cfRule>
  </conditionalFormatting>
  <conditionalFormatting sqref="R31">
    <cfRule type="cellIs" dxfId="5632" priority="2285" operator="greaterThan">
      <formula>1</formula>
    </cfRule>
    <cfRule type="cellIs" dxfId="5631" priority="2286" operator="lessThan">
      <formula>0.8</formula>
    </cfRule>
  </conditionalFormatting>
  <conditionalFormatting sqref="P31">
    <cfRule type="cellIs" dxfId="5630" priority="2284" operator="greaterThan">
      <formula>0</formula>
    </cfRule>
  </conditionalFormatting>
  <conditionalFormatting sqref="Q31">
    <cfRule type="cellIs" dxfId="5629" priority="2289" operator="lessThan">
      <formula>0</formula>
    </cfRule>
  </conditionalFormatting>
  <conditionalFormatting sqref="P79">
    <cfRule type="cellIs" dxfId="5628" priority="2278" operator="greaterThan">
      <formula>0</formula>
    </cfRule>
  </conditionalFormatting>
  <conditionalFormatting sqref="Q79">
    <cfRule type="cellIs" dxfId="5627" priority="2283" operator="lessThan">
      <formula>0</formula>
    </cfRule>
  </conditionalFormatting>
  <conditionalFormatting sqref="R79">
    <cfRule type="cellIs" dxfId="5626" priority="2281" operator="lessThan">
      <formula>0.8</formula>
    </cfRule>
    <cfRule type="cellIs" dxfId="5625" priority="2282" operator="greaterThan">
      <formula>1</formula>
    </cfRule>
  </conditionalFormatting>
  <conditionalFormatting sqref="R79">
    <cfRule type="cellIs" dxfId="5624" priority="2279" operator="greaterThan">
      <formula>1</formula>
    </cfRule>
    <cfRule type="cellIs" dxfId="5623" priority="2280" operator="lessThan">
      <formula>0.8</formula>
    </cfRule>
  </conditionalFormatting>
  <conditionalFormatting sqref="Q79">
    <cfRule type="cellIs" dxfId="5622" priority="2277" operator="lessThan">
      <formula>0</formula>
    </cfRule>
  </conditionalFormatting>
  <conditionalFormatting sqref="R79">
    <cfRule type="cellIs" dxfId="5621" priority="2275" operator="lessThan">
      <formula>0.8</formula>
    </cfRule>
    <cfRule type="cellIs" dxfId="5620" priority="2276" operator="greaterThan">
      <formula>1</formula>
    </cfRule>
  </conditionalFormatting>
  <conditionalFormatting sqref="R79">
    <cfRule type="cellIs" dxfId="5619" priority="2273" operator="greaterThan">
      <formula>1</formula>
    </cfRule>
    <cfRule type="cellIs" dxfId="5618" priority="2274" operator="lessThan">
      <formula>0.8</formula>
    </cfRule>
  </conditionalFormatting>
  <conditionalFormatting sqref="P79">
    <cfRule type="cellIs" dxfId="5617" priority="2272" operator="greaterThan">
      <formula>0</formula>
    </cfRule>
  </conditionalFormatting>
  <conditionalFormatting sqref="P79">
    <cfRule type="cellIs" dxfId="5616" priority="2266" operator="greaterThan">
      <formula>0</formula>
    </cfRule>
  </conditionalFormatting>
  <conditionalFormatting sqref="Q79">
    <cfRule type="cellIs" dxfId="5615" priority="2271" operator="lessThan">
      <formula>0</formula>
    </cfRule>
  </conditionalFormatting>
  <conditionalFormatting sqref="R79">
    <cfRule type="cellIs" dxfId="5614" priority="2269" operator="lessThan">
      <formula>0.8</formula>
    </cfRule>
    <cfRule type="cellIs" dxfId="5613" priority="2270" operator="greaterThan">
      <formula>1</formula>
    </cfRule>
  </conditionalFormatting>
  <conditionalFormatting sqref="R79">
    <cfRule type="cellIs" dxfId="5612" priority="2267" operator="greaterThan">
      <formula>1</formula>
    </cfRule>
    <cfRule type="cellIs" dxfId="5611" priority="2268" operator="lessThan">
      <formula>0.8</formula>
    </cfRule>
  </conditionalFormatting>
  <conditionalFormatting sqref="Q79">
    <cfRule type="cellIs" dxfId="5610" priority="2260" operator="lessThan">
      <formula>0</formula>
    </cfRule>
  </conditionalFormatting>
  <conditionalFormatting sqref="P79">
    <cfRule type="cellIs" dxfId="5609" priority="2261" operator="greaterThan">
      <formula>0</formula>
    </cfRule>
  </conditionalFormatting>
  <conditionalFormatting sqref="R79">
    <cfRule type="cellIs" dxfId="5608" priority="2264" operator="lessThan">
      <formula>0.8</formula>
    </cfRule>
    <cfRule type="cellIs" dxfId="5607" priority="2265" operator="greaterThan">
      <formula>1</formula>
    </cfRule>
  </conditionalFormatting>
  <conditionalFormatting sqref="R79">
    <cfRule type="cellIs" dxfId="5606" priority="2262" operator="greaterThan">
      <formula>1</formula>
    </cfRule>
    <cfRule type="cellIs" dxfId="5605" priority="2263" operator="lessThan">
      <formula>0.8</formula>
    </cfRule>
  </conditionalFormatting>
  <conditionalFormatting sqref="Q79">
    <cfRule type="cellIs" dxfId="5604" priority="2254" operator="lessThan">
      <formula>0</formula>
    </cfRule>
  </conditionalFormatting>
  <conditionalFormatting sqref="R79">
    <cfRule type="cellIs" dxfId="5603" priority="2258" operator="lessThan">
      <formula>0.8</formula>
    </cfRule>
    <cfRule type="cellIs" dxfId="5602" priority="2259" operator="greaterThan">
      <formula>1</formula>
    </cfRule>
  </conditionalFormatting>
  <conditionalFormatting sqref="R79">
    <cfRule type="cellIs" dxfId="5601" priority="2256" operator="greaterThan">
      <formula>1</formula>
    </cfRule>
    <cfRule type="cellIs" dxfId="5600" priority="2257" operator="lessThan">
      <formula>0.8</formula>
    </cfRule>
  </conditionalFormatting>
  <conditionalFormatting sqref="P79">
    <cfRule type="cellIs" dxfId="5599" priority="2255" operator="greaterThan">
      <formula>0</formula>
    </cfRule>
  </conditionalFormatting>
  <conditionalFormatting sqref="Q79">
    <cfRule type="cellIs" dxfId="5598" priority="2253" operator="lessThan">
      <formula>0</formula>
    </cfRule>
  </conditionalFormatting>
  <conditionalFormatting sqref="R79">
    <cfRule type="cellIs" dxfId="5597" priority="2251" operator="lessThan">
      <formula>0.8</formula>
    </cfRule>
    <cfRule type="cellIs" dxfId="5596" priority="2252" operator="greaterThan">
      <formula>1</formula>
    </cfRule>
  </conditionalFormatting>
  <conditionalFormatting sqref="R79">
    <cfRule type="cellIs" dxfId="5595" priority="2249" operator="greaterThan">
      <formula>1</formula>
    </cfRule>
    <cfRule type="cellIs" dxfId="5594" priority="2250" operator="lessThan">
      <formula>0.8</formula>
    </cfRule>
  </conditionalFormatting>
  <conditionalFormatting sqref="P79">
    <cfRule type="cellIs" dxfId="5593" priority="2248" operator="greaterThan">
      <formula>0</formula>
    </cfRule>
  </conditionalFormatting>
  <conditionalFormatting sqref="Q79">
    <cfRule type="cellIs" dxfId="5592" priority="2247" operator="lessThan">
      <formula>0</formula>
    </cfRule>
  </conditionalFormatting>
  <conditionalFormatting sqref="R79">
    <cfRule type="cellIs" dxfId="5591" priority="2245" operator="lessThan">
      <formula>0.8</formula>
    </cfRule>
    <cfRule type="cellIs" dxfId="5590" priority="2246" operator="greaterThan">
      <formula>1</formula>
    </cfRule>
  </conditionalFormatting>
  <conditionalFormatting sqref="R79">
    <cfRule type="cellIs" dxfId="5589" priority="2243" operator="greaterThan">
      <formula>1</formula>
    </cfRule>
    <cfRule type="cellIs" dxfId="5588" priority="2244" operator="lessThan">
      <formula>0.8</formula>
    </cfRule>
  </conditionalFormatting>
  <conditionalFormatting sqref="P79">
    <cfRule type="cellIs" dxfId="5587" priority="2242" operator="greaterThan">
      <formula>0</formula>
    </cfRule>
  </conditionalFormatting>
  <conditionalFormatting sqref="P79">
    <cfRule type="cellIs" dxfId="5586" priority="2236" operator="greaterThan">
      <formula>0</formula>
    </cfRule>
  </conditionalFormatting>
  <conditionalFormatting sqref="Q79">
    <cfRule type="cellIs" dxfId="5585" priority="2241" operator="lessThan">
      <formula>0</formula>
    </cfRule>
  </conditionalFormatting>
  <conditionalFormatting sqref="R79">
    <cfRule type="cellIs" dxfId="5584" priority="2239" operator="lessThan">
      <formula>0.8</formula>
    </cfRule>
    <cfRule type="cellIs" dxfId="5583" priority="2240" operator="greaterThan">
      <formula>1</formula>
    </cfRule>
  </conditionalFormatting>
  <conditionalFormatting sqref="R79">
    <cfRule type="cellIs" dxfId="5582" priority="2237" operator="greaterThan">
      <formula>1</formula>
    </cfRule>
    <cfRule type="cellIs" dxfId="5581" priority="2238" operator="lessThan">
      <formula>0.8</formula>
    </cfRule>
  </conditionalFormatting>
  <conditionalFormatting sqref="P71:P78">
    <cfRule type="cellIs" dxfId="5580" priority="2230" operator="greaterThan">
      <formula>0</formula>
    </cfRule>
  </conditionalFormatting>
  <conditionalFormatting sqref="Q71:Q78">
    <cfRule type="cellIs" dxfId="5579" priority="2235" operator="lessThan">
      <formula>0</formula>
    </cfRule>
  </conditionalFormatting>
  <conditionalFormatting sqref="R71:R78">
    <cfRule type="cellIs" dxfId="5578" priority="2233" operator="lessThan">
      <formula>0.8</formula>
    </cfRule>
    <cfRule type="cellIs" dxfId="5577" priority="2234" operator="greaterThan">
      <formula>1</formula>
    </cfRule>
  </conditionalFormatting>
  <conditionalFormatting sqref="R71:R78">
    <cfRule type="cellIs" dxfId="5576" priority="2231" operator="greaterThan">
      <formula>1</formula>
    </cfRule>
    <cfRule type="cellIs" dxfId="5575" priority="2232" operator="lessThan">
      <formula>0.8</formula>
    </cfRule>
  </conditionalFormatting>
  <conditionalFormatting sqref="Q148:Q153">
    <cfRule type="cellIs" dxfId="5574" priority="2229" operator="lessThan">
      <formula>0</formula>
    </cfRule>
  </conditionalFormatting>
  <conditionalFormatting sqref="R148:R153">
    <cfRule type="cellIs" dxfId="5573" priority="2227" operator="lessThan">
      <formula>0.8</formula>
    </cfRule>
    <cfRule type="cellIs" dxfId="5572" priority="2228" operator="greaterThan">
      <formula>1</formula>
    </cfRule>
  </conditionalFormatting>
  <conditionalFormatting sqref="R148:R153">
    <cfRule type="cellIs" dxfId="5571" priority="2225" operator="greaterThan">
      <formula>1</formula>
    </cfRule>
    <cfRule type="cellIs" dxfId="5570" priority="2226" operator="lessThan">
      <formula>0.8</formula>
    </cfRule>
  </conditionalFormatting>
  <conditionalFormatting sqref="P148:P153">
    <cfRule type="cellIs" dxfId="5569" priority="2224" operator="greaterThan">
      <formula>0</formula>
    </cfRule>
  </conditionalFormatting>
  <conditionalFormatting sqref="Q148:Q153">
    <cfRule type="cellIs" dxfId="5568" priority="2223" operator="lessThan">
      <formula>0</formula>
    </cfRule>
  </conditionalFormatting>
  <conditionalFormatting sqref="R148:R153">
    <cfRule type="cellIs" dxfId="5567" priority="2221" operator="lessThan">
      <formula>0.8</formula>
    </cfRule>
    <cfRule type="cellIs" dxfId="5566" priority="2222" operator="greaterThan">
      <formula>1</formula>
    </cfRule>
  </conditionalFormatting>
  <conditionalFormatting sqref="R148:R153">
    <cfRule type="cellIs" dxfId="5565" priority="2219" operator="greaterThan">
      <formula>1</formula>
    </cfRule>
    <cfRule type="cellIs" dxfId="5564" priority="2220" operator="lessThan">
      <formula>0.8</formula>
    </cfRule>
  </conditionalFormatting>
  <conditionalFormatting sqref="P148:P153">
    <cfRule type="cellIs" dxfId="5563" priority="2218" operator="greaterThan">
      <formula>0</formula>
    </cfRule>
  </conditionalFormatting>
  <conditionalFormatting sqref="Q148:Q153">
    <cfRule type="cellIs" dxfId="5562" priority="2217" operator="lessThan">
      <formula>0</formula>
    </cfRule>
  </conditionalFormatting>
  <conditionalFormatting sqref="R148:R153">
    <cfRule type="cellIs" dxfId="5561" priority="2215" operator="lessThan">
      <formula>0.8</formula>
    </cfRule>
    <cfRule type="cellIs" dxfId="5560" priority="2216" operator="greaterThan">
      <formula>1</formula>
    </cfRule>
  </conditionalFormatting>
  <conditionalFormatting sqref="R148:R153">
    <cfRule type="cellIs" dxfId="5559" priority="2213" operator="greaterThan">
      <formula>1</formula>
    </cfRule>
    <cfRule type="cellIs" dxfId="5558" priority="2214" operator="lessThan">
      <formula>0.8</formula>
    </cfRule>
  </conditionalFormatting>
  <conditionalFormatting sqref="P148:P153">
    <cfRule type="cellIs" dxfId="5557" priority="2212" operator="greaterThan">
      <formula>0</formula>
    </cfRule>
  </conditionalFormatting>
  <conditionalFormatting sqref="Q148:Q153">
    <cfRule type="cellIs" dxfId="5556" priority="2211" operator="lessThan">
      <formula>0</formula>
    </cfRule>
  </conditionalFormatting>
  <conditionalFormatting sqref="R148:R153">
    <cfRule type="cellIs" dxfId="5555" priority="2209" operator="lessThan">
      <formula>0.8</formula>
    </cfRule>
    <cfRule type="cellIs" dxfId="5554" priority="2210" operator="greaterThan">
      <formula>1</formula>
    </cfRule>
  </conditionalFormatting>
  <conditionalFormatting sqref="R148:R153">
    <cfRule type="cellIs" dxfId="5553" priority="2207" operator="greaterThan">
      <formula>1</formula>
    </cfRule>
    <cfRule type="cellIs" dxfId="5552" priority="2208" operator="lessThan">
      <formula>0.8</formula>
    </cfRule>
  </conditionalFormatting>
  <conditionalFormatting sqref="P148:P153">
    <cfRule type="cellIs" dxfId="5551" priority="2206" operator="greaterThan">
      <formula>0</formula>
    </cfRule>
  </conditionalFormatting>
  <conditionalFormatting sqref="P148:P153">
    <cfRule type="cellIs" dxfId="5550" priority="2200" operator="greaterThan">
      <formula>0</formula>
    </cfRule>
  </conditionalFormatting>
  <conditionalFormatting sqref="Q148:Q153">
    <cfRule type="cellIs" dxfId="5549" priority="2205" operator="lessThan">
      <formula>0</formula>
    </cfRule>
  </conditionalFormatting>
  <conditionalFormatting sqref="R148:R153">
    <cfRule type="cellIs" dxfId="5548" priority="2203" operator="lessThan">
      <formula>0.8</formula>
    </cfRule>
    <cfRule type="cellIs" dxfId="5547" priority="2204" operator="greaterThan">
      <formula>1</formula>
    </cfRule>
  </conditionalFormatting>
  <conditionalFormatting sqref="R148:R153">
    <cfRule type="cellIs" dxfId="5546" priority="2201" operator="greaterThan">
      <formula>1</formula>
    </cfRule>
    <cfRule type="cellIs" dxfId="5545" priority="2202" operator="lessThan">
      <formula>0.8</formula>
    </cfRule>
  </conditionalFormatting>
  <conditionalFormatting sqref="P148:P153">
    <cfRule type="cellIs" dxfId="5544" priority="2194" operator="greaterThan">
      <formula>0</formula>
    </cfRule>
  </conditionalFormatting>
  <conditionalFormatting sqref="Q148:Q153">
    <cfRule type="cellIs" dxfId="5543" priority="2199" operator="lessThan">
      <formula>0</formula>
    </cfRule>
  </conditionalFormatting>
  <conditionalFormatting sqref="R148:R153">
    <cfRule type="cellIs" dxfId="5542" priority="2197" operator="lessThan">
      <formula>0.8</formula>
    </cfRule>
    <cfRule type="cellIs" dxfId="5541" priority="2198" operator="greaterThan">
      <formula>1</formula>
    </cfRule>
  </conditionalFormatting>
  <conditionalFormatting sqref="R148:R153">
    <cfRule type="cellIs" dxfId="5540" priority="2195" operator="greaterThan">
      <formula>1</formula>
    </cfRule>
    <cfRule type="cellIs" dxfId="5539" priority="2196" operator="lessThan">
      <formula>0.8</formula>
    </cfRule>
  </conditionalFormatting>
  <conditionalFormatting sqref="R148:R153">
    <cfRule type="cellIs" dxfId="5538" priority="2191" operator="lessThan">
      <formula>0.8</formula>
    </cfRule>
    <cfRule type="cellIs" dxfId="5537" priority="2192" operator="greaterThan">
      <formula>1</formula>
    </cfRule>
  </conditionalFormatting>
  <conditionalFormatting sqref="R148:R153">
    <cfRule type="cellIs" dxfId="5536" priority="2189" operator="greaterThan">
      <formula>1</formula>
    </cfRule>
    <cfRule type="cellIs" dxfId="5535" priority="2190" operator="lessThan">
      <formula>0.8</formula>
    </cfRule>
  </conditionalFormatting>
  <conditionalFormatting sqref="P148:P153">
    <cfRule type="cellIs" dxfId="5534" priority="2188" operator="greaterThan">
      <formula>0</formula>
    </cfRule>
  </conditionalFormatting>
  <conditionalFormatting sqref="Q148:Q153">
    <cfRule type="cellIs" dxfId="5533" priority="2193" operator="lessThan">
      <formula>0</formula>
    </cfRule>
  </conditionalFormatting>
  <conditionalFormatting sqref="Q148:Q153">
    <cfRule type="cellIs" dxfId="5532" priority="2187" operator="lessThan">
      <formula>0</formula>
    </cfRule>
  </conditionalFormatting>
  <conditionalFormatting sqref="R148:R153">
    <cfRule type="cellIs" dxfId="5531" priority="2185" operator="lessThan">
      <formula>0.8</formula>
    </cfRule>
    <cfRule type="cellIs" dxfId="5530" priority="2186" operator="greaterThan">
      <formula>1</formula>
    </cfRule>
  </conditionalFormatting>
  <conditionalFormatting sqref="R148:R153">
    <cfRule type="cellIs" dxfId="5529" priority="2183" operator="greaterThan">
      <formula>1</formula>
    </cfRule>
    <cfRule type="cellIs" dxfId="5528" priority="2184" operator="lessThan">
      <formula>0.8</formula>
    </cfRule>
  </conditionalFormatting>
  <conditionalFormatting sqref="P148:P153">
    <cfRule type="cellIs" dxfId="5527" priority="2182" operator="greaterThan">
      <formula>0</formula>
    </cfRule>
  </conditionalFormatting>
  <conditionalFormatting sqref="P148:P153">
    <cfRule type="cellIs" dxfId="5526" priority="2176" operator="greaterThan">
      <formula>0</formula>
    </cfRule>
  </conditionalFormatting>
  <conditionalFormatting sqref="Q148:Q153">
    <cfRule type="cellIs" dxfId="5525" priority="2181" operator="lessThan">
      <formula>0</formula>
    </cfRule>
  </conditionalFormatting>
  <conditionalFormatting sqref="R148:R153">
    <cfRule type="cellIs" dxfId="5524" priority="2179" operator="lessThan">
      <formula>0.8</formula>
    </cfRule>
    <cfRule type="cellIs" dxfId="5523" priority="2180" operator="greaterThan">
      <formula>1</formula>
    </cfRule>
  </conditionalFormatting>
  <conditionalFormatting sqref="R148:R153">
    <cfRule type="cellIs" dxfId="5522" priority="2177" operator="greaterThan">
      <formula>1</formula>
    </cfRule>
    <cfRule type="cellIs" dxfId="5521" priority="2178" operator="lessThan">
      <formula>0.8</formula>
    </cfRule>
  </conditionalFormatting>
  <conditionalFormatting sqref="P148:P153">
    <cfRule type="cellIs" dxfId="5520" priority="2170" operator="greaterThan">
      <formula>0</formula>
    </cfRule>
  </conditionalFormatting>
  <conditionalFormatting sqref="Q148:Q153">
    <cfRule type="cellIs" dxfId="5519" priority="2175" operator="lessThan">
      <formula>0</formula>
    </cfRule>
  </conditionalFormatting>
  <conditionalFormatting sqref="R148:R153">
    <cfRule type="cellIs" dxfId="5518" priority="2173" operator="lessThan">
      <formula>0.8</formula>
    </cfRule>
    <cfRule type="cellIs" dxfId="5517" priority="2174" operator="greaterThan">
      <formula>1</formula>
    </cfRule>
  </conditionalFormatting>
  <conditionalFormatting sqref="R148:R153">
    <cfRule type="cellIs" dxfId="5516" priority="2171" operator="greaterThan">
      <formula>1</formula>
    </cfRule>
    <cfRule type="cellIs" dxfId="5515" priority="2172" operator="lessThan">
      <formula>0.8</formula>
    </cfRule>
  </conditionalFormatting>
  <conditionalFormatting sqref="R148:R153">
    <cfRule type="cellIs" dxfId="5514" priority="2167" operator="lessThan">
      <formula>0.8</formula>
    </cfRule>
    <cfRule type="cellIs" dxfId="5513" priority="2168" operator="greaterThan">
      <formula>1</formula>
    </cfRule>
  </conditionalFormatting>
  <conditionalFormatting sqref="R148:R153">
    <cfRule type="cellIs" dxfId="5512" priority="2165" operator="greaterThan">
      <formula>1</formula>
    </cfRule>
    <cfRule type="cellIs" dxfId="5511" priority="2166" operator="lessThan">
      <formula>0.8</formula>
    </cfRule>
  </conditionalFormatting>
  <conditionalFormatting sqref="P148:P153">
    <cfRule type="cellIs" dxfId="5510" priority="2164" operator="greaterThan">
      <formula>0</formula>
    </cfRule>
  </conditionalFormatting>
  <conditionalFormatting sqref="Q148:Q153">
    <cfRule type="cellIs" dxfId="5509" priority="2169" operator="lessThan">
      <formula>0</formula>
    </cfRule>
  </conditionalFormatting>
  <conditionalFormatting sqref="P148:P153">
    <cfRule type="cellIs" dxfId="5508" priority="2158" operator="greaterThan">
      <formula>0</formula>
    </cfRule>
  </conditionalFormatting>
  <conditionalFormatting sqref="Q148:Q153">
    <cfRule type="cellIs" dxfId="5507" priority="2163" operator="lessThan">
      <formula>0</formula>
    </cfRule>
  </conditionalFormatting>
  <conditionalFormatting sqref="R148:R153">
    <cfRule type="cellIs" dxfId="5506" priority="2161" operator="lessThan">
      <formula>0.8</formula>
    </cfRule>
    <cfRule type="cellIs" dxfId="5505" priority="2162" operator="greaterThan">
      <formula>1</formula>
    </cfRule>
  </conditionalFormatting>
  <conditionalFormatting sqref="R148:R153">
    <cfRule type="cellIs" dxfId="5504" priority="2159" operator="greaterThan">
      <formula>1</formula>
    </cfRule>
    <cfRule type="cellIs" dxfId="5503" priority="2160" operator="lessThan">
      <formula>0.8</formula>
    </cfRule>
  </conditionalFormatting>
  <conditionalFormatting sqref="R148:R153">
    <cfRule type="cellIs" dxfId="5502" priority="2155" operator="lessThan">
      <formula>0.8</formula>
    </cfRule>
    <cfRule type="cellIs" dxfId="5501" priority="2156" operator="greaterThan">
      <formula>1</formula>
    </cfRule>
  </conditionalFormatting>
  <conditionalFormatting sqref="R148:R153">
    <cfRule type="cellIs" dxfId="5500" priority="2153" operator="greaterThan">
      <formula>1</formula>
    </cfRule>
    <cfRule type="cellIs" dxfId="5499" priority="2154" operator="lessThan">
      <formula>0.8</formula>
    </cfRule>
  </conditionalFormatting>
  <conditionalFormatting sqref="P148:P153">
    <cfRule type="cellIs" dxfId="5498" priority="2152" operator="greaterThan">
      <formula>0</formula>
    </cfRule>
  </conditionalFormatting>
  <conditionalFormatting sqref="Q148:Q153">
    <cfRule type="cellIs" dxfId="5497" priority="2157" operator="lessThan">
      <formula>0</formula>
    </cfRule>
  </conditionalFormatting>
  <conditionalFormatting sqref="R148:R153">
    <cfRule type="cellIs" dxfId="5496" priority="2149" operator="lessThan">
      <formula>0.8</formula>
    </cfRule>
    <cfRule type="cellIs" dxfId="5495" priority="2150" operator="greaterThan">
      <formula>1</formula>
    </cfRule>
  </conditionalFormatting>
  <conditionalFormatting sqref="R148:R153">
    <cfRule type="cellIs" dxfId="5494" priority="2147" operator="greaterThan">
      <formula>1</formula>
    </cfRule>
    <cfRule type="cellIs" dxfId="5493" priority="2148" operator="lessThan">
      <formula>0.8</formula>
    </cfRule>
  </conditionalFormatting>
  <conditionalFormatting sqref="P148:P153">
    <cfRule type="cellIs" dxfId="5492" priority="2146" operator="greaterThan">
      <formula>0</formula>
    </cfRule>
  </conditionalFormatting>
  <conditionalFormatting sqref="Q148:Q153">
    <cfRule type="cellIs" dxfId="5491" priority="2151" operator="lessThan">
      <formula>0</formula>
    </cfRule>
  </conditionalFormatting>
  <conditionalFormatting sqref="Q148:Q153">
    <cfRule type="cellIs" dxfId="5490" priority="2145" operator="lessThan">
      <formula>0</formula>
    </cfRule>
  </conditionalFormatting>
  <conditionalFormatting sqref="R148:R153">
    <cfRule type="cellIs" dxfId="5489" priority="2143" operator="lessThan">
      <formula>0.8</formula>
    </cfRule>
    <cfRule type="cellIs" dxfId="5488" priority="2144" operator="greaterThan">
      <formula>1</formula>
    </cfRule>
  </conditionalFormatting>
  <conditionalFormatting sqref="R148:R153">
    <cfRule type="cellIs" dxfId="5487" priority="2141" operator="greaterThan">
      <formula>1</formula>
    </cfRule>
    <cfRule type="cellIs" dxfId="5486" priority="2142" operator="lessThan">
      <formula>0.8</formula>
    </cfRule>
  </conditionalFormatting>
  <conditionalFormatting sqref="P148:P153">
    <cfRule type="cellIs" dxfId="5485" priority="2140" operator="greaterThan">
      <formula>0</formula>
    </cfRule>
  </conditionalFormatting>
  <conditionalFormatting sqref="Q148:Q153">
    <cfRule type="cellIs" dxfId="5484" priority="2134" operator="lessThan">
      <formula>0</formula>
    </cfRule>
  </conditionalFormatting>
  <conditionalFormatting sqref="R148:R153">
    <cfRule type="cellIs" dxfId="5483" priority="2138" operator="lessThan">
      <formula>0.8</formula>
    </cfRule>
    <cfRule type="cellIs" dxfId="5482" priority="2139" operator="greaterThan">
      <formula>1</formula>
    </cfRule>
  </conditionalFormatting>
  <conditionalFormatting sqref="R148:R153">
    <cfRule type="cellIs" dxfId="5481" priority="2136" operator="greaterThan">
      <formula>1</formula>
    </cfRule>
    <cfRule type="cellIs" dxfId="5480" priority="2137" operator="lessThan">
      <formula>0.8</formula>
    </cfRule>
  </conditionalFormatting>
  <conditionalFormatting sqref="P148:P153">
    <cfRule type="cellIs" dxfId="5479" priority="2135" operator="greaterThan">
      <formula>0</formula>
    </cfRule>
  </conditionalFormatting>
  <conditionalFormatting sqref="Q148:Q153">
    <cfRule type="cellIs" dxfId="5478" priority="2133" operator="lessThan">
      <formula>0</formula>
    </cfRule>
  </conditionalFormatting>
  <conditionalFormatting sqref="R148:R153">
    <cfRule type="cellIs" dxfId="5477" priority="2131" operator="lessThan">
      <formula>0.8</formula>
    </cfRule>
    <cfRule type="cellIs" dxfId="5476" priority="2132" operator="greaterThan">
      <formula>1</formula>
    </cfRule>
  </conditionalFormatting>
  <conditionalFormatting sqref="R148:R153">
    <cfRule type="cellIs" dxfId="5475" priority="2129" operator="greaterThan">
      <formula>1</formula>
    </cfRule>
    <cfRule type="cellIs" dxfId="5474" priority="2130" operator="lessThan">
      <formula>0.8</formula>
    </cfRule>
  </conditionalFormatting>
  <conditionalFormatting sqref="P148:P153">
    <cfRule type="cellIs" dxfId="5473" priority="2128" operator="greaterThan">
      <formula>0</formula>
    </cfRule>
  </conditionalFormatting>
  <conditionalFormatting sqref="Q148:Q153">
    <cfRule type="cellIs" dxfId="5472" priority="2127" operator="lessThan">
      <formula>0</formula>
    </cfRule>
  </conditionalFormatting>
  <conditionalFormatting sqref="R148:R153">
    <cfRule type="cellIs" dxfId="5471" priority="2125" operator="lessThan">
      <formula>0.8</formula>
    </cfRule>
    <cfRule type="cellIs" dxfId="5470" priority="2126" operator="greaterThan">
      <formula>1</formula>
    </cfRule>
  </conditionalFormatting>
  <conditionalFormatting sqref="R148:R153">
    <cfRule type="cellIs" dxfId="5469" priority="2123" operator="greaterThan">
      <formula>1</formula>
    </cfRule>
    <cfRule type="cellIs" dxfId="5468" priority="2124" operator="lessThan">
      <formula>0.8</formula>
    </cfRule>
  </conditionalFormatting>
  <conditionalFormatting sqref="P148:P153">
    <cfRule type="cellIs" dxfId="5467" priority="2122" operator="greaterThan">
      <formula>0</formula>
    </cfRule>
  </conditionalFormatting>
  <conditionalFormatting sqref="Q148:Q153">
    <cfRule type="cellIs" dxfId="5466" priority="2121" operator="lessThan">
      <formula>0</formula>
    </cfRule>
  </conditionalFormatting>
  <conditionalFormatting sqref="R148:R153">
    <cfRule type="cellIs" dxfId="5465" priority="2119" operator="lessThan">
      <formula>0.8</formula>
    </cfRule>
    <cfRule type="cellIs" dxfId="5464" priority="2120" operator="greaterThan">
      <formula>1</formula>
    </cfRule>
  </conditionalFormatting>
  <conditionalFormatting sqref="R148:R153">
    <cfRule type="cellIs" dxfId="5463" priority="2117" operator="greaterThan">
      <formula>1</formula>
    </cfRule>
    <cfRule type="cellIs" dxfId="5462" priority="2118" operator="lessThan">
      <formula>0.8</formula>
    </cfRule>
  </conditionalFormatting>
  <conditionalFormatting sqref="P148:P153">
    <cfRule type="cellIs" dxfId="5461" priority="2116" operator="greaterThan">
      <formula>0</formula>
    </cfRule>
  </conditionalFormatting>
  <conditionalFormatting sqref="Q148:Q153">
    <cfRule type="cellIs" dxfId="5460" priority="2115" operator="lessThan">
      <formula>0</formula>
    </cfRule>
  </conditionalFormatting>
  <conditionalFormatting sqref="R148:R153">
    <cfRule type="cellIs" dxfId="5459" priority="2113" operator="lessThan">
      <formula>0.8</formula>
    </cfRule>
    <cfRule type="cellIs" dxfId="5458" priority="2114" operator="greaterThan">
      <formula>1</formula>
    </cfRule>
  </conditionalFormatting>
  <conditionalFormatting sqref="R148:R153">
    <cfRule type="cellIs" dxfId="5457" priority="2111" operator="greaterThan">
      <formula>1</formula>
    </cfRule>
    <cfRule type="cellIs" dxfId="5456" priority="2112" operator="lessThan">
      <formula>0.8</formula>
    </cfRule>
  </conditionalFormatting>
  <conditionalFormatting sqref="P148:P153">
    <cfRule type="cellIs" dxfId="5455" priority="2110" operator="greaterThan">
      <formula>0</formula>
    </cfRule>
  </conditionalFormatting>
  <conditionalFormatting sqref="Q148:Q153">
    <cfRule type="cellIs" dxfId="5454" priority="2109" operator="lessThan">
      <formula>0</formula>
    </cfRule>
  </conditionalFormatting>
  <conditionalFormatting sqref="R148:R153">
    <cfRule type="cellIs" dxfId="5453" priority="2107" operator="lessThan">
      <formula>0.8</formula>
    </cfRule>
    <cfRule type="cellIs" dxfId="5452" priority="2108" operator="greaterThan">
      <formula>1</formula>
    </cfRule>
  </conditionalFormatting>
  <conditionalFormatting sqref="R148:R153">
    <cfRule type="cellIs" dxfId="5451" priority="2105" operator="greaterThan">
      <formula>1</formula>
    </cfRule>
    <cfRule type="cellIs" dxfId="5450" priority="2106" operator="lessThan">
      <formula>0.8</formula>
    </cfRule>
  </conditionalFormatting>
  <conditionalFormatting sqref="P148:P153">
    <cfRule type="cellIs" dxfId="5449" priority="2104" operator="greaterThan">
      <formula>0</formula>
    </cfRule>
  </conditionalFormatting>
  <conditionalFormatting sqref="P148:P153">
    <cfRule type="cellIs" dxfId="5448" priority="2098" operator="greaterThan">
      <formula>0</formula>
    </cfRule>
  </conditionalFormatting>
  <conditionalFormatting sqref="Q148:Q153">
    <cfRule type="cellIs" dxfId="5447" priority="2103" operator="lessThan">
      <formula>0</formula>
    </cfRule>
  </conditionalFormatting>
  <conditionalFormatting sqref="R148:R153">
    <cfRule type="cellIs" dxfId="5446" priority="2101" operator="lessThan">
      <formula>0.8</formula>
    </cfRule>
    <cfRule type="cellIs" dxfId="5445" priority="2102" operator="greaterThan">
      <formula>1</formula>
    </cfRule>
  </conditionalFormatting>
  <conditionalFormatting sqref="R148:R153">
    <cfRule type="cellIs" dxfId="5444" priority="2099" operator="greaterThan">
      <formula>1</formula>
    </cfRule>
    <cfRule type="cellIs" dxfId="5443" priority="2100" operator="lessThan">
      <formula>0.8</formula>
    </cfRule>
  </conditionalFormatting>
  <conditionalFormatting sqref="P148:P153">
    <cfRule type="cellIs" dxfId="5442" priority="2092" operator="greaterThan">
      <formula>0</formula>
    </cfRule>
  </conditionalFormatting>
  <conditionalFormatting sqref="Q148:Q153">
    <cfRule type="cellIs" dxfId="5441" priority="2097" operator="lessThan">
      <formula>0</formula>
    </cfRule>
  </conditionalFormatting>
  <conditionalFormatting sqref="R148:R153">
    <cfRule type="cellIs" dxfId="5440" priority="2095" operator="lessThan">
      <formula>0.8</formula>
    </cfRule>
    <cfRule type="cellIs" dxfId="5439" priority="2096" operator="greaterThan">
      <formula>1</formula>
    </cfRule>
  </conditionalFormatting>
  <conditionalFormatting sqref="R148:R153">
    <cfRule type="cellIs" dxfId="5438" priority="2093" operator="greaterThan">
      <formula>1</formula>
    </cfRule>
    <cfRule type="cellIs" dxfId="5437" priority="2094" operator="lessThan">
      <formula>0.8</formula>
    </cfRule>
  </conditionalFormatting>
  <conditionalFormatting sqref="R148:R153">
    <cfRule type="cellIs" dxfId="5436" priority="2089" operator="lessThan">
      <formula>0.8</formula>
    </cfRule>
    <cfRule type="cellIs" dxfId="5435" priority="2090" operator="greaterThan">
      <formula>1</formula>
    </cfRule>
  </conditionalFormatting>
  <conditionalFormatting sqref="R148:R153">
    <cfRule type="cellIs" dxfId="5434" priority="2087" operator="greaterThan">
      <formula>1</formula>
    </cfRule>
    <cfRule type="cellIs" dxfId="5433" priority="2088" operator="lessThan">
      <formula>0.8</formula>
    </cfRule>
  </conditionalFormatting>
  <conditionalFormatting sqref="P148:P153">
    <cfRule type="cellIs" dxfId="5432" priority="2086" operator="greaterThan">
      <formula>0</formula>
    </cfRule>
  </conditionalFormatting>
  <conditionalFormatting sqref="Q148:Q153">
    <cfRule type="cellIs" dxfId="5431" priority="2091" operator="lessThan">
      <formula>0</formula>
    </cfRule>
  </conditionalFormatting>
  <conditionalFormatting sqref="Q148:Q153">
    <cfRule type="cellIs" dxfId="5430" priority="2080" operator="lessThan">
      <formula>0</formula>
    </cfRule>
  </conditionalFormatting>
  <conditionalFormatting sqref="P148:P153">
    <cfRule type="cellIs" dxfId="5429" priority="2081" operator="greaterThan">
      <formula>0</formula>
    </cfRule>
  </conditionalFormatting>
  <conditionalFormatting sqref="R148:R153">
    <cfRule type="cellIs" dxfId="5428" priority="2084" operator="lessThan">
      <formula>0.8</formula>
    </cfRule>
    <cfRule type="cellIs" dxfId="5427" priority="2085" operator="greaterThan">
      <formula>1</formula>
    </cfRule>
  </conditionalFormatting>
  <conditionalFormatting sqref="R148:R153">
    <cfRule type="cellIs" dxfId="5426" priority="2082" operator="greaterThan">
      <formula>1</formula>
    </cfRule>
    <cfRule type="cellIs" dxfId="5425" priority="2083" operator="lessThan">
      <formula>0.8</formula>
    </cfRule>
  </conditionalFormatting>
  <conditionalFormatting sqref="Q148:Q153">
    <cfRule type="cellIs" dxfId="5424" priority="2074" operator="lessThan">
      <formula>0</formula>
    </cfRule>
  </conditionalFormatting>
  <conditionalFormatting sqref="R148:R153">
    <cfRule type="cellIs" dxfId="5423" priority="2078" operator="lessThan">
      <formula>0.8</formula>
    </cfRule>
    <cfRule type="cellIs" dxfId="5422" priority="2079" operator="greaterThan">
      <formula>1</formula>
    </cfRule>
  </conditionalFormatting>
  <conditionalFormatting sqref="R148:R153">
    <cfRule type="cellIs" dxfId="5421" priority="2076" operator="greaterThan">
      <formula>1</formula>
    </cfRule>
    <cfRule type="cellIs" dxfId="5420" priority="2077" operator="lessThan">
      <formula>0.8</formula>
    </cfRule>
  </conditionalFormatting>
  <conditionalFormatting sqref="P148:P153">
    <cfRule type="cellIs" dxfId="5419" priority="2075" operator="greaterThan">
      <formula>0</formula>
    </cfRule>
  </conditionalFormatting>
  <conditionalFormatting sqref="Q148:Q153">
    <cfRule type="cellIs" dxfId="5418" priority="2073" operator="lessThan">
      <formula>0</formula>
    </cfRule>
  </conditionalFormatting>
  <conditionalFormatting sqref="R148:R153">
    <cfRule type="cellIs" dxfId="5417" priority="2071" operator="lessThan">
      <formula>0.8</formula>
    </cfRule>
    <cfRule type="cellIs" dxfId="5416" priority="2072" operator="greaterThan">
      <formula>1</formula>
    </cfRule>
  </conditionalFormatting>
  <conditionalFormatting sqref="R148:R153">
    <cfRule type="cellIs" dxfId="5415" priority="2069" operator="greaterThan">
      <formula>1</formula>
    </cfRule>
    <cfRule type="cellIs" dxfId="5414" priority="2070" operator="lessThan">
      <formula>0.8</formula>
    </cfRule>
  </conditionalFormatting>
  <conditionalFormatting sqref="P148:P153">
    <cfRule type="cellIs" dxfId="5413" priority="2068" operator="greaterThan">
      <formula>0</formula>
    </cfRule>
  </conditionalFormatting>
  <conditionalFormatting sqref="Q148:Q153">
    <cfRule type="cellIs" dxfId="5412" priority="2067" operator="lessThan">
      <formula>0</formula>
    </cfRule>
  </conditionalFormatting>
  <conditionalFormatting sqref="R148:R153">
    <cfRule type="cellIs" dxfId="5411" priority="2065" operator="lessThan">
      <formula>0.8</formula>
    </cfRule>
    <cfRule type="cellIs" dxfId="5410" priority="2066" operator="greaterThan">
      <formula>1</formula>
    </cfRule>
  </conditionalFormatting>
  <conditionalFormatting sqref="R148:R153">
    <cfRule type="cellIs" dxfId="5409" priority="2063" operator="greaterThan">
      <formula>1</formula>
    </cfRule>
    <cfRule type="cellIs" dxfId="5408" priority="2064" operator="lessThan">
      <formula>0.8</formula>
    </cfRule>
  </conditionalFormatting>
  <conditionalFormatting sqref="P148:P153">
    <cfRule type="cellIs" dxfId="5407" priority="2062" operator="greaterThan">
      <formula>0</formula>
    </cfRule>
  </conditionalFormatting>
  <conditionalFormatting sqref="Q148:Q153">
    <cfRule type="cellIs" dxfId="5406" priority="2061" operator="lessThan">
      <formula>0</formula>
    </cfRule>
  </conditionalFormatting>
  <conditionalFormatting sqref="R148:R153">
    <cfRule type="cellIs" dxfId="5405" priority="2059" operator="lessThan">
      <formula>0.8</formula>
    </cfRule>
    <cfRule type="cellIs" dxfId="5404" priority="2060" operator="greaterThan">
      <formula>1</formula>
    </cfRule>
  </conditionalFormatting>
  <conditionalFormatting sqref="R148:R153">
    <cfRule type="cellIs" dxfId="5403" priority="2057" operator="greaterThan">
      <formula>1</formula>
    </cfRule>
    <cfRule type="cellIs" dxfId="5402" priority="2058" operator="lessThan">
      <formula>0.8</formula>
    </cfRule>
  </conditionalFormatting>
  <conditionalFormatting sqref="P148:P153">
    <cfRule type="cellIs" dxfId="5401" priority="2056" operator="greaterThan">
      <formula>0</formula>
    </cfRule>
  </conditionalFormatting>
  <conditionalFormatting sqref="Q148:Q153">
    <cfRule type="cellIs" dxfId="5400" priority="2055" operator="lessThan">
      <formula>0</formula>
    </cfRule>
  </conditionalFormatting>
  <conditionalFormatting sqref="R148:R153">
    <cfRule type="cellIs" dxfId="5399" priority="2053" operator="lessThan">
      <formula>0.8</formula>
    </cfRule>
    <cfRule type="cellIs" dxfId="5398" priority="2054" operator="greaterThan">
      <formula>1</formula>
    </cfRule>
  </conditionalFormatting>
  <conditionalFormatting sqref="R148:R153">
    <cfRule type="cellIs" dxfId="5397" priority="2051" operator="greaterThan">
      <formula>1</formula>
    </cfRule>
    <cfRule type="cellIs" dxfId="5396" priority="2052" operator="lessThan">
      <formula>0.8</formula>
    </cfRule>
  </conditionalFormatting>
  <conditionalFormatting sqref="P148:P153">
    <cfRule type="cellIs" dxfId="5395" priority="2050" operator="greaterThan">
      <formula>0</formula>
    </cfRule>
  </conditionalFormatting>
  <conditionalFormatting sqref="Q124 Q131 Q127">
    <cfRule type="cellIs" dxfId="5394" priority="2044" operator="lessThan">
      <formula>0</formula>
    </cfRule>
  </conditionalFormatting>
  <conditionalFormatting sqref="P124 P131 P127">
    <cfRule type="cellIs" dxfId="5393" priority="2045" operator="greaterThan">
      <formula>0</formula>
    </cfRule>
  </conditionalFormatting>
  <conditionalFormatting sqref="R124 R131 R127">
    <cfRule type="cellIs" dxfId="5392" priority="2048" operator="lessThan">
      <formula>0.8</formula>
    </cfRule>
    <cfRule type="cellIs" dxfId="5391" priority="2049" operator="greaterThan">
      <formula>1</formula>
    </cfRule>
  </conditionalFormatting>
  <conditionalFormatting sqref="R124 R131 R127">
    <cfRule type="cellIs" dxfId="5390" priority="2046" operator="greaterThan">
      <formula>1</formula>
    </cfRule>
    <cfRule type="cellIs" dxfId="5389" priority="2047" operator="lessThan">
      <formula>0.8</formula>
    </cfRule>
  </conditionalFormatting>
  <conditionalFormatting sqref="Q124 Q131 Q127">
    <cfRule type="cellIs" dxfId="5388" priority="2038" operator="lessThan">
      <formula>0</formula>
    </cfRule>
  </conditionalFormatting>
  <conditionalFormatting sqref="R124 R131 R127">
    <cfRule type="cellIs" dxfId="5387" priority="2042" operator="lessThan">
      <formula>0.8</formula>
    </cfRule>
    <cfRule type="cellIs" dxfId="5386" priority="2043" operator="greaterThan">
      <formula>1</formula>
    </cfRule>
  </conditionalFormatting>
  <conditionalFormatting sqref="R124 R131 R127">
    <cfRule type="cellIs" dxfId="5385" priority="2040" operator="greaterThan">
      <formula>1</formula>
    </cfRule>
    <cfRule type="cellIs" dxfId="5384" priority="2041" operator="lessThan">
      <formula>0.8</formula>
    </cfRule>
  </conditionalFormatting>
  <conditionalFormatting sqref="P124 P131 P127">
    <cfRule type="cellIs" dxfId="5383" priority="2039" operator="greaterThan">
      <formula>0</formula>
    </cfRule>
  </conditionalFormatting>
  <conditionalFormatting sqref="Q124 Q131 Q127">
    <cfRule type="cellIs" dxfId="5382" priority="2037" operator="lessThan">
      <formula>0</formula>
    </cfRule>
  </conditionalFormatting>
  <conditionalFormatting sqref="R124 R131 R127">
    <cfRule type="cellIs" dxfId="5381" priority="2035" operator="lessThan">
      <formula>0.8</formula>
    </cfRule>
    <cfRule type="cellIs" dxfId="5380" priority="2036" operator="greaterThan">
      <formula>1</formula>
    </cfRule>
  </conditionalFormatting>
  <conditionalFormatting sqref="R124 R131 R127">
    <cfRule type="cellIs" dxfId="5379" priority="2033" operator="greaterThan">
      <formula>1</formula>
    </cfRule>
    <cfRule type="cellIs" dxfId="5378" priority="2034" operator="lessThan">
      <formula>0.8</formula>
    </cfRule>
  </conditionalFormatting>
  <conditionalFormatting sqref="P124 P131 P127">
    <cfRule type="cellIs" dxfId="5377" priority="2032" operator="greaterThan">
      <formula>0</formula>
    </cfRule>
  </conditionalFormatting>
  <conditionalFormatting sqref="Q124 Q131 Q127">
    <cfRule type="cellIs" dxfId="5376" priority="2031" operator="lessThan">
      <formula>0</formula>
    </cfRule>
  </conditionalFormatting>
  <conditionalFormatting sqref="R124 R131 R127">
    <cfRule type="cellIs" dxfId="5375" priority="2029" operator="lessThan">
      <formula>0.8</formula>
    </cfRule>
    <cfRule type="cellIs" dxfId="5374" priority="2030" operator="greaterThan">
      <formula>1</formula>
    </cfRule>
  </conditionalFormatting>
  <conditionalFormatting sqref="R124 R131 R127">
    <cfRule type="cellIs" dxfId="5373" priority="2027" operator="greaterThan">
      <formula>1</formula>
    </cfRule>
    <cfRule type="cellIs" dxfId="5372" priority="2028" operator="lessThan">
      <formula>0.8</formula>
    </cfRule>
  </conditionalFormatting>
  <conditionalFormatting sqref="P124 P131 P127">
    <cfRule type="cellIs" dxfId="5371" priority="2026" operator="greaterThan">
      <formula>0</formula>
    </cfRule>
  </conditionalFormatting>
  <conditionalFormatting sqref="Q124 Q131 Q127">
    <cfRule type="cellIs" dxfId="5370" priority="2025" operator="lessThan">
      <formula>0</formula>
    </cfRule>
  </conditionalFormatting>
  <conditionalFormatting sqref="R124 R131 R127">
    <cfRule type="cellIs" dxfId="5369" priority="2023" operator="lessThan">
      <formula>0.8</formula>
    </cfRule>
    <cfRule type="cellIs" dxfId="5368" priority="2024" operator="greaterThan">
      <formula>1</formula>
    </cfRule>
  </conditionalFormatting>
  <conditionalFormatting sqref="R124 R131 R127">
    <cfRule type="cellIs" dxfId="5367" priority="2021" operator="greaterThan">
      <formula>1</formula>
    </cfRule>
    <cfRule type="cellIs" dxfId="5366" priority="2022" operator="lessThan">
      <formula>0.8</formula>
    </cfRule>
  </conditionalFormatting>
  <conditionalFormatting sqref="P124 P131 P127">
    <cfRule type="cellIs" dxfId="5365" priority="2020" operator="greaterThan">
      <formula>0</formula>
    </cfRule>
  </conditionalFormatting>
  <conditionalFormatting sqref="Q124 Q131 Q127">
    <cfRule type="cellIs" dxfId="5364" priority="2019" operator="lessThan">
      <formula>0</formula>
    </cfRule>
  </conditionalFormatting>
  <conditionalFormatting sqref="R124 R131 R127">
    <cfRule type="cellIs" dxfId="5363" priority="2017" operator="lessThan">
      <formula>0.8</formula>
    </cfRule>
    <cfRule type="cellIs" dxfId="5362" priority="2018" operator="greaterThan">
      <formula>1</formula>
    </cfRule>
  </conditionalFormatting>
  <conditionalFormatting sqref="R124 R131 R127">
    <cfRule type="cellIs" dxfId="5361" priority="2015" operator="greaterThan">
      <formula>1</formula>
    </cfRule>
    <cfRule type="cellIs" dxfId="5360" priority="2016" operator="lessThan">
      <formula>0.8</formula>
    </cfRule>
  </conditionalFormatting>
  <conditionalFormatting sqref="P124 P131 P127">
    <cfRule type="cellIs" dxfId="5359" priority="2014" operator="greaterThan">
      <formula>0</formula>
    </cfRule>
  </conditionalFormatting>
  <conditionalFormatting sqref="Q124 Q131 Q127">
    <cfRule type="cellIs" dxfId="5358" priority="2013" operator="lessThan">
      <formula>0</formula>
    </cfRule>
  </conditionalFormatting>
  <conditionalFormatting sqref="R124 R131 R127">
    <cfRule type="cellIs" dxfId="5357" priority="2011" operator="lessThan">
      <formula>0.8</formula>
    </cfRule>
    <cfRule type="cellIs" dxfId="5356" priority="2012" operator="greaterThan">
      <formula>1</formula>
    </cfRule>
  </conditionalFormatting>
  <conditionalFormatting sqref="R124 R131 R127">
    <cfRule type="cellIs" dxfId="5355" priority="2009" operator="greaterThan">
      <formula>1</formula>
    </cfRule>
    <cfRule type="cellIs" dxfId="5354" priority="2010" operator="lessThan">
      <formula>0.8</formula>
    </cfRule>
  </conditionalFormatting>
  <conditionalFormatting sqref="P124 P131 P127">
    <cfRule type="cellIs" dxfId="5353" priority="2008" operator="greaterThan">
      <formula>0</formula>
    </cfRule>
  </conditionalFormatting>
  <conditionalFormatting sqref="Q124 Q131 Q127">
    <cfRule type="cellIs" dxfId="5352" priority="2007" operator="lessThan">
      <formula>0</formula>
    </cfRule>
  </conditionalFormatting>
  <conditionalFormatting sqref="R124 R131 R127">
    <cfRule type="cellIs" dxfId="5351" priority="2005" operator="lessThan">
      <formula>0.8</formula>
    </cfRule>
    <cfRule type="cellIs" dxfId="5350" priority="2006" operator="greaterThan">
      <formula>1</formula>
    </cfRule>
  </conditionalFormatting>
  <conditionalFormatting sqref="R124 R131 R127">
    <cfRule type="cellIs" dxfId="5349" priority="2003" operator="greaterThan">
      <formula>1</formula>
    </cfRule>
    <cfRule type="cellIs" dxfId="5348" priority="2004" operator="lessThan">
      <formula>0.8</formula>
    </cfRule>
  </conditionalFormatting>
  <conditionalFormatting sqref="P124 P131 P127">
    <cfRule type="cellIs" dxfId="5347" priority="2002" operator="greaterThan">
      <formula>0</formula>
    </cfRule>
  </conditionalFormatting>
  <conditionalFormatting sqref="Q124 Q131 Q127">
    <cfRule type="cellIs" dxfId="5346" priority="2001" operator="lessThan">
      <formula>0</formula>
    </cfRule>
  </conditionalFormatting>
  <conditionalFormatting sqref="R124 R131 R127">
    <cfRule type="cellIs" dxfId="5345" priority="1999" operator="lessThan">
      <formula>0.8</formula>
    </cfRule>
    <cfRule type="cellIs" dxfId="5344" priority="2000" operator="greaterThan">
      <formula>1</formula>
    </cfRule>
  </conditionalFormatting>
  <conditionalFormatting sqref="R124 R131 R127">
    <cfRule type="cellIs" dxfId="5343" priority="1997" operator="greaterThan">
      <formula>1</formula>
    </cfRule>
    <cfRule type="cellIs" dxfId="5342" priority="1998" operator="lessThan">
      <formula>0.8</formula>
    </cfRule>
  </conditionalFormatting>
  <conditionalFormatting sqref="P124 P131 P127">
    <cfRule type="cellIs" dxfId="5341" priority="1996" operator="greaterThan">
      <formula>0</formula>
    </cfRule>
  </conditionalFormatting>
  <conditionalFormatting sqref="P124 P131 P127">
    <cfRule type="cellIs" dxfId="5340" priority="1990" operator="greaterThan">
      <formula>0</formula>
    </cfRule>
  </conditionalFormatting>
  <conditionalFormatting sqref="Q124 Q131 Q127">
    <cfRule type="cellIs" dxfId="5339" priority="1995" operator="lessThan">
      <formula>0</formula>
    </cfRule>
  </conditionalFormatting>
  <conditionalFormatting sqref="R124 R131 R127">
    <cfRule type="cellIs" dxfId="5338" priority="1993" operator="lessThan">
      <formula>0.8</formula>
    </cfRule>
    <cfRule type="cellIs" dxfId="5337" priority="1994" operator="greaterThan">
      <formula>1</formula>
    </cfRule>
  </conditionalFormatting>
  <conditionalFormatting sqref="R124 R131 R127">
    <cfRule type="cellIs" dxfId="5336" priority="1991" operator="greaterThan">
      <formula>1</formula>
    </cfRule>
    <cfRule type="cellIs" dxfId="5335" priority="1992" operator="lessThan">
      <formula>0.8</formula>
    </cfRule>
  </conditionalFormatting>
  <conditionalFormatting sqref="P124 P131 P127">
    <cfRule type="cellIs" dxfId="5334" priority="1984" operator="greaterThan">
      <formula>0</formula>
    </cfRule>
  </conditionalFormatting>
  <conditionalFormatting sqref="Q124 Q131 Q127">
    <cfRule type="cellIs" dxfId="5333" priority="1989" operator="lessThan">
      <formula>0</formula>
    </cfRule>
  </conditionalFormatting>
  <conditionalFormatting sqref="R124 R131 R127">
    <cfRule type="cellIs" dxfId="5332" priority="1987" operator="lessThan">
      <formula>0.8</formula>
    </cfRule>
    <cfRule type="cellIs" dxfId="5331" priority="1988" operator="greaterThan">
      <formula>1</formula>
    </cfRule>
  </conditionalFormatting>
  <conditionalFormatting sqref="R124 R131 R127">
    <cfRule type="cellIs" dxfId="5330" priority="1985" operator="greaterThan">
      <formula>1</formula>
    </cfRule>
    <cfRule type="cellIs" dxfId="5329" priority="1986" operator="lessThan">
      <formula>0.8</formula>
    </cfRule>
  </conditionalFormatting>
  <conditionalFormatting sqref="R124 R131 R127">
    <cfRule type="cellIs" dxfId="5328" priority="1981" operator="lessThan">
      <formula>0.8</formula>
    </cfRule>
    <cfRule type="cellIs" dxfId="5327" priority="1982" operator="greaterThan">
      <formula>1</formula>
    </cfRule>
  </conditionalFormatting>
  <conditionalFormatting sqref="R124 R131 R127">
    <cfRule type="cellIs" dxfId="5326" priority="1979" operator="greaterThan">
      <formula>1</formula>
    </cfRule>
    <cfRule type="cellIs" dxfId="5325" priority="1980" operator="lessThan">
      <formula>0.8</formula>
    </cfRule>
  </conditionalFormatting>
  <conditionalFormatting sqref="P124 P131 P127">
    <cfRule type="cellIs" dxfId="5324" priority="1978" operator="greaterThan">
      <formula>0</formula>
    </cfRule>
  </conditionalFormatting>
  <conditionalFormatting sqref="Q124 Q131 Q127">
    <cfRule type="cellIs" dxfId="5323" priority="1983" operator="lessThan">
      <formula>0</formula>
    </cfRule>
  </conditionalFormatting>
  <conditionalFormatting sqref="Q124 Q131 Q127">
    <cfRule type="cellIs" dxfId="5322" priority="1977" operator="lessThan">
      <formula>0</formula>
    </cfRule>
  </conditionalFormatting>
  <conditionalFormatting sqref="R124 R131 R127">
    <cfRule type="cellIs" dxfId="5321" priority="1975" operator="lessThan">
      <formula>0.8</formula>
    </cfRule>
    <cfRule type="cellIs" dxfId="5320" priority="1976" operator="greaterThan">
      <formula>1</formula>
    </cfRule>
  </conditionalFormatting>
  <conditionalFormatting sqref="R124 R131 R127">
    <cfRule type="cellIs" dxfId="5319" priority="1973" operator="greaterThan">
      <formula>1</formula>
    </cfRule>
    <cfRule type="cellIs" dxfId="5318" priority="1974" operator="lessThan">
      <formula>0.8</formula>
    </cfRule>
  </conditionalFormatting>
  <conditionalFormatting sqref="P124 P131 P127">
    <cfRule type="cellIs" dxfId="5317" priority="1972" operator="greaterThan">
      <formula>0</formula>
    </cfRule>
  </conditionalFormatting>
  <conditionalFormatting sqref="P124 P131 P127">
    <cfRule type="cellIs" dxfId="5316" priority="1966" operator="greaterThan">
      <formula>0</formula>
    </cfRule>
  </conditionalFormatting>
  <conditionalFormatting sqref="Q124 Q131 Q127">
    <cfRule type="cellIs" dxfId="5315" priority="1971" operator="lessThan">
      <formula>0</formula>
    </cfRule>
  </conditionalFormatting>
  <conditionalFormatting sqref="R124 R131 R127">
    <cfRule type="cellIs" dxfId="5314" priority="1969" operator="lessThan">
      <formula>0.8</formula>
    </cfRule>
    <cfRule type="cellIs" dxfId="5313" priority="1970" operator="greaterThan">
      <formula>1</formula>
    </cfRule>
  </conditionalFormatting>
  <conditionalFormatting sqref="R124 R131 R127">
    <cfRule type="cellIs" dxfId="5312" priority="1967" operator="greaterThan">
      <formula>1</formula>
    </cfRule>
    <cfRule type="cellIs" dxfId="5311" priority="1968" operator="lessThan">
      <formula>0.8</formula>
    </cfRule>
  </conditionalFormatting>
  <conditionalFormatting sqref="P124 P131 P127">
    <cfRule type="cellIs" dxfId="5310" priority="1960" operator="greaterThan">
      <formula>0</formula>
    </cfRule>
  </conditionalFormatting>
  <conditionalFormatting sqref="Q124 Q131 Q127">
    <cfRule type="cellIs" dxfId="5309" priority="1965" operator="lessThan">
      <formula>0</formula>
    </cfRule>
  </conditionalFormatting>
  <conditionalFormatting sqref="R124 R131 R127">
    <cfRule type="cellIs" dxfId="5308" priority="1963" operator="lessThan">
      <formula>0.8</formula>
    </cfRule>
    <cfRule type="cellIs" dxfId="5307" priority="1964" operator="greaterThan">
      <formula>1</formula>
    </cfRule>
  </conditionalFormatting>
  <conditionalFormatting sqref="R124 R131 R127">
    <cfRule type="cellIs" dxfId="5306" priority="1961" operator="greaterThan">
      <formula>1</formula>
    </cfRule>
    <cfRule type="cellIs" dxfId="5305" priority="1962" operator="lessThan">
      <formula>0.8</formula>
    </cfRule>
  </conditionalFormatting>
  <conditionalFormatting sqref="R124 R131 R127">
    <cfRule type="cellIs" dxfId="5304" priority="1957" operator="lessThan">
      <formula>0.8</formula>
    </cfRule>
    <cfRule type="cellIs" dxfId="5303" priority="1958" operator="greaterThan">
      <formula>1</formula>
    </cfRule>
  </conditionalFormatting>
  <conditionalFormatting sqref="R124 R131 R127">
    <cfRule type="cellIs" dxfId="5302" priority="1955" operator="greaterThan">
      <formula>1</formula>
    </cfRule>
    <cfRule type="cellIs" dxfId="5301" priority="1956" operator="lessThan">
      <formula>0.8</formula>
    </cfRule>
  </conditionalFormatting>
  <conditionalFormatting sqref="P124 P131 P127">
    <cfRule type="cellIs" dxfId="5300" priority="1954" operator="greaterThan">
      <formula>0</formula>
    </cfRule>
  </conditionalFormatting>
  <conditionalFormatting sqref="Q124 Q131 Q127">
    <cfRule type="cellIs" dxfId="5299" priority="1959" operator="lessThan">
      <formula>0</formula>
    </cfRule>
  </conditionalFormatting>
  <conditionalFormatting sqref="P124 P131 P127">
    <cfRule type="cellIs" dxfId="5298" priority="1948" operator="greaterThan">
      <formula>0</formula>
    </cfRule>
  </conditionalFormatting>
  <conditionalFormatting sqref="Q124 Q131 Q127">
    <cfRule type="cellIs" dxfId="5297" priority="1953" operator="lessThan">
      <formula>0</formula>
    </cfRule>
  </conditionalFormatting>
  <conditionalFormatting sqref="R124 R131 R127">
    <cfRule type="cellIs" dxfId="5296" priority="1951" operator="lessThan">
      <formula>0.8</formula>
    </cfRule>
    <cfRule type="cellIs" dxfId="5295" priority="1952" operator="greaterThan">
      <formula>1</formula>
    </cfRule>
  </conditionalFormatting>
  <conditionalFormatting sqref="R124 R131 R127">
    <cfRule type="cellIs" dxfId="5294" priority="1949" operator="greaterThan">
      <formula>1</formula>
    </cfRule>
    <cfRule type="cellIs" dxfId="5293" priority="1950" operator="lessThan">
      <formula>0.8</formula>
    </cfRule>
  </conditionalFormatting>
  <conditionalFormatting sqref="R124 R131 R127">
    <cfRule type="cellIs" dxfId="5292" priority="1945" operator="lessThan">
      <formula>0.8</formula>
    </cfRule>
    <cfRule type="cellIs" dxfId="5291" priority="1946" operator="greaterThan">
      <formula>1</formula>
    </cfRule>
  </conditionalFormatting>
  <conditionalFormatting sqref="R124 R131 R127">
    <cfRule type="cellIs" dxfId="5290" priority="1943" operator="greaterThan">
      <formula>1</formula>
    </cfRule>
    <cfRule type="cellIs" dxfId="5289" priority="1944" operator="lessThan">
      <formula>0.8</formula>
    </cfRule>
  </conditionalFormatting>
  <conditionalFormatting sqref="P124 P131 P127">
    <cfRule type="cellIs" dxfId="5288" priority="1942" operator="greaterThan">
      <formula>0</formula>
    </cfRule>
  </conditionalFormatting>
  <conditionalFormatting sqref="Q124 Q131 Q127">
    <cfRule type="cellIs" dxfId="5287" priority="1947" operator="lessThan">
      <formula>0</formula>
    </cfRule>
  </conditionalFormatting>
  <conditionalFormatting sqref="R124 R131 R127">
    <cfRule type="cellIs" dxfId="5286" priority="1939" operator="lessThan">
      <formula>0.8</formula>
    </cfRule>
    <cfRule type="cellIs" dxfId="5285" priority="1940" operator="greaterThan">
      <formula>1</formula>
    </cfRule>
  </conditionalFormatting>
  <conditionalFormatting sqref="R124 R131 R127">
    <cfRule type="cellIs" dxfId="5284" priority="1937" operator="greaterThan">
      <formula>1</formula>
    </cfRule>
    <cfRule type="cellIs" dxfId="5283" priority="1938" operator="lessThan">
      <formula>0.8</formula>
    </cfRule>
  </conditionalFormatting>
  <conditionalFormatting sqref="P124 P131 P127">
    <cfRule type="cellIs" dxfId="5282" priority="1936" operator="greaterThan">
      <formula>0</formula>
    </cfRule>
  </conditionalFormatting>
  <conditionalFormatting sqref="Q124 Q131 Q127">
    <cfRule type="cellIs" dxfId="5281" priority="1941" operator="lessThan">
      <formula>0</formula>
    </cfRule>
  </conditionalFormatting>
  <conditionalFormatting sqref="Q124 Q131 Q127">
    <cfRule type="cellIs" dxfId="5280" priority="1935" operator="lessThan">
      <formula>0</formula>
    </cfRule>
  </conditionalFormatting>
  <conditionalFormatting sqref="R124 R131 R127">
    <cfRule type="cellIs" dxfId="5279" priority="1933" operator="lessThan">
      <formula>0.8</formula>
    </cfRule>
    <cfRule type="cellIs" dxfId="5278" priority="1934" operator="greaterThan">
      <formula>1</formula>
    </cfRule>
  </conditionalFormatting>
  <conditionalFormatting sqref="R124 R131 R127">
    <cfRule type="cellIs" dxfId="5277" priority="1931" operator="greaterThan">
      <formula>1</formula>
    </cfRule>
    <cfRule type="cellIs" dxfId="5276" priority="1932" operator="lessThan">
      <formula>0.8</formula>
    </cfRule>
  </conditionalFormatting>
  <conditionalFormatting sqref="P124 P131 P127">
    <cfRule type="cellIs" dxfId="5275" priority="1930" operator="greaterThan">
      <formula>0</formula>
    </cfRule>
  </conditionalFormatting>
  <conditionalFormatting sqref="Q124 Q131 Q127">
    <cfRule type="cellIs" dxfId="5274" priority="1924" operator="lessThan">
      <formula>0</formula>
    </cfRule>
  </conditionalFormatting>
  <conditionalFormatting sqref="R124 R131 R127">
    <cfRule type="cellIs" dxfId="5273" priority="1928" operator="lessThan">
      <formula>0.8</formula>
    </cfRule>
    <cfRule type="cellIs" dxfId="5272" priority="1929" operator="greaterThan">
      <formula>1</formula>
    </cfRule>
  </conditionalFormatting>
  <conditionalFormatting sqref="R124 R131 R127">
    <cfRule type="cellIs" dxfId="5271" priority="1926" operator="greaterThan">
      <formula>1</formula>
    </cfRule>
    <cfRule type="cellIs" dxfId="5270" priority="1927" operator="lessThan">
      <formula>0.8</formula>
    </cfRule>
  </conditionalFormatting>
  <conditionalFormatting sqref="P124 P131 P127">
    <cfRule type="cellIs" dxfId="5269" priority="1925" operator="greaterThan">
      <formula>0</formula>
    </cfRule>
  </conditionalFormatting>
  <conditionalFormatting sqref="Q124 Q131 Q127">
    <cfRule type="cellIs" dxfId="5268" priority="1923" operator="lessThan">
      <formula>0</formula>
    </cfRule>
  </conditionalFormatting>
  <conditionalFormatting sqref="R124 R131 R127">
    <cfRule type="cellIs" dxfId="5267" priority="1921" operator="lessThan">
      <formula>0.8</formula>
    </cfRule>
    <cfRule type="cellIs" dxfId="5266" priority="1922" operator="greaterThan">
      <formula>1</formula>
    </cfRule>
  </conditionalFormatting>
  <conditionalFormatting sqref="R124 R131 R127">
    <cfRule type="cellIs" dxfId="5265" priority="1919" operator="greaterThan">
      <formula>1</formula>
    </cfRule>
    <cfRule type="cellIs" dxfId="5264" priority="1920" operator="lessThan">
      <formula>0.8</formula>
    </cfRule>
  </conditionalFormatting>
  <conditionalFormatting sqref="P124 P131 P127">
    <cfRule type="cellIs" dxfId="5263" priority="1918" operator="greaterThan">
      <formula>0</formula>
    </cfRule>
  </conditionalFormatting>
  <conditionalFormatting sqref="Q124 Q131 Q127">
    <cfRule type="cellIs" dxfId="5262" priority="1917" operator="lessThan">
      <formula>0</formula>
    </cfRule>
  </conditionalFormatting>
  <conditionalFormatting sqref="R124 R131 R127">
    <cfRule type="cellIs" dxfId="5261" priority="1915" operator="lessThan">
      <formula>0.8</formula>
    </cfRule>
    <cfRule type="cellIs" dxfId="5260" priority="1916" operator="greaterThan">
      <formula>1</formula>
    </cfRule>
  </conditionalFormatting>
  <conditionalFormatting sqref="R124 R131 R127">
    <cfRule type="cellIs" dxfId="5259" priority="1913" operator="greaterThan">
      <formula>1</formula>
    </cfRule>
    <cfRule type="cellIs" dxfId="5258" priority="1914" operator="lessThan">
      <formula>0.8</formula>
    </cfRule>
  </conditionalFormatting>
  <conditionalFormatting sqref="P124 P131 P127">
    <cfRule type="cellIs" dxfId="5257" priority="1912" operator="greaterThan">
      <formula>0</formula>
    </cfRule>
  </conditionalFormatting>
  <conditionalFormatting sqref="Q124 Q131 Q127">
    <cfRule type="cellIs" dxfId="5256" priority="1911" operator="lessThan">
      <formula>0</formula>
    </cfRule>
  </conditionalFormatting>
  <conditionalFormatting sqref="R124 R131 R127">
    <cfRule type="cellIs" dxfId="5255" priority="1909" operator="lessThan">
      <formula>0.8</formula>
    </cfRule>
    <cfRule type="cellIs" dxfId="5254" priority="1910" operator="greaterThan">
      <formula>1</formula>
    </cfRule>
  </conditionalFormatting>
  <conditionalFormatting sqref="R124 R131 R127">
    <cfRule type="cellIs" dxfId="5253" priority="1907" operator="greaterThan">
      <formula>1</formula>
    </cfRule>
    <cfRule type="cellIs" dxfId="5252" priority="1908" operator="lessThan">
      <formula>0.8</formula>
    </cfRule>
  </conditionalFormatting>
  <conditionalFormatting sqref="P124 P131 P127">
    <cfRule type="cellIs" dxfId="5251" priority="1906" operator="greaterThan">
      <formula>0</formula>
    </cfRule>
  </conditionalFormatting>
  <conditionalFormatting sqref="Q124 Q131 Q127">
    <cfRule type="cellIs" dxfId="5250" priority="1905" operator="lessThan">
      <formula>0</formula>
    </cfRule>
  </conditionalFormatting>
  <conditionalFormatting sqref="R124 R131 R127">
    <cfRule type="cellIs" dxfId="5249" priority="1903" operator="lessThan">
      <formula>0.8</formula>
    </cfRule>
    <cfRule type="cellIs" dxfId="5248" priority="1904" operator="greaterThan">
      <formula>1</formula>
    </cfRule>
  </conditionalFormatting>
  <conditionalFormatting sqref="R124 R131 R127">
    <cfRule type="cellIs" dxfId="5247" priority="1901" operator="greaterThan">
      <formula>1</formula>
    </cfRule>
    <cfRule type="cellIs" dxfId="5246" priority="1902" operator="lessThan">
      <formula>0.8</formula>
    </cfRule>
  </conditionalFormatting>
  <conditionalFormatting sqref="P124 P131 P127">
    <cfRule type="cellIs" dxfId="5245" priority="1900" operator="greaterThan">
      <formula>0</formula>
    </cfRule>
  </conditionalFormatting>
  <conditionalFormatting sqref="Q124 Q131 Q127">
    <cfRule type="cellIs" dxfId="5244" priority="1899" operator="lessThan">
      <formula>0</formula>
    </cfRule>
  </conditionalFormatting>
  <conditionalFormatting sqref="R124 R131 R127">
    <cfRule type="cellIs" dxfId="5243" priority="1897" operator="lessThan">
      <formula>0.8</formula>
    </cfRule>
    <cfRule type="cellIs" dxfId="5242" priority="1898" operator="greaterThan">
      <formula>1</formula>
    </cfRule>
  </conditionalFormatting>
  <conditionalFormatting sqref="R124 R131 R127">
    <cfRule type="cellIs" dxfId="5241" priority="1895" operator="greaterThan">
      <formula>1</formula>
    </cfRule>
    <cfRule type="cellIs" dxfId="5240" priority="1896" operator="lessThan">
      <formula>0.8</formula>
    </cfRule>
  </conditionalFormatting>
  <conditionalFormatting sqref="P124 P131 P127">
    <cfRule type="cellIs" dxfId="5239" priority="1894" operator="greaterThan">
      <formula>0</formula>
    </cfRule>
  </conditionalFormatting>
  <conditionalFormatting sqref="P124 P131 P127">
    <cfRule type="cellIs" dxfId="5238" priority="1888" operator="greaterThan">
      <formula>0</formula>
    </cfRule>
  </conditionalFormatting>
  <conditionalFormatting sqref="Q124 Q131 Q127">
    <cfRule type="cellIs" dxfId="5237" priority="1893" operator="lessThan">
      <formula>0</formula>
    </cfRule>
  </conditionalFormatting>
  <conditionalFormatting sqref="R124 R131 R127">
    <cfRule type="cellIs" dxfId="5236" priority="1891" operator="lessThan">
      <formula>0.8</formula>
    </cfRule>
    <cfRule type="cellIs" dxfId="5235" priority="1892" operator="greaterThan">
      <formula>1</formula>
    </cfRule>
  </conditionalFormatting>
  <conditionalFormatting sqref="R124 R131 R127">
    <cfRule type="cellIs" dxfId="5234" priority="1889" operator="greaterThan">
      <formula>1</formula>
    </cfRule>
    <cfRule type="cellIs" dxfId="5233" priority="1890" operator="lessThan">
      <formula>0.8</formula>
    </cfRule>
  </conditionalFormatting>
  <conditionalFormatting sqref="P124 P131 P127">
    <cfRule type="cellIs" dxfId="5232" priority="1882" operator="greaterThan">
      <formula>0</formula>
    </cfRule>
  </conditionalFormatting>
  <conditionalFormatting sqref="Q124 Q131 Q127">
    <cfRule type="cellIs" dxfId="5231" priority="1887" operator="lessThan">
      <formula>0</formula>
    </cfRule>
  </conditionalFormatting>
  <conditionalFormatting sqref="R124 R131 R127">
    <cfRule type="cellIs" dxfId="5230" priority="1885" operator="lessThan">
      <formula>0.8</formula>
    </cfRule>
    <cfRule type="cellIs" dxfId="5229" priority="1886" operator="greaterThan">
      <formula>1</formula>
    </cfRule>
  </conditionalFormatting>
  <conditionalFormatting sqref="R124 R131 R127">
    <cfRule type="cellIs" dxfId="5228" priority="1883" operator="greaterThan">
      <formula>1</formula>
    </cfRule>
    <cfRule type="cellIs" dxfId="5227" priority="1884" operator="lessThan">
      <formula>0.8</formula>
    </cfRule>
  </conditionalFormatting>
  <conditionalFormatting sqref="R124 R131 R127">
    <cfRule type="cellIs" dxfId="5226" priority="1879" operator="lessThan">
      <formula>0.8</formula>
    </cfRule>
    <cfRule type="cellIs" dxfId="5225" priority="1880" operator="greaterThan">
      <formula>1</formula>
    </cfRule>
  </conditionalFormatting>
  <conditionalFormatting sqref="R124 R131 R127">
    <cfRule type="cellIs" dxfId="5224" priority="1877" operator="greaterThan">
      <formula>1</formula>
    </cfRule>
    <cfRule type="cellIs" dxfId="5223" priority="1878" operator="lessThan">
      <formula>0.8</formula>
    </cfRule>
  </conditionalFormatting>
  <conditionalFormatting sqref="P124 P131 P127">
    <cfRule type="cellIs" dxfId="5222" priority="1876" operator="greaterThan">
      <formula>0</formula>
    </cfRule>
  </conditionalFormatting>
  <conditionalFormatting sqref="Q124 Q131 Q127">
    <cfRule type="cellIs" dxfId="5221" priority="1881" operator="lessThan">
      <formula>0</formula>
    </cfRule>
  </conditionalFormatting>
  <conditionalFormatting sqref="Q5:Q14">
    <cfRule type="cellIs" dxfId="5220" priority="1875" operator="lessThan">
      <formula>0</formula>
    </cfRule>
  </conditionalFormatting>
  <conditionalFormatting sqref="R5:R14">
    <cfRule type="cellIs" dxfId="5219" priority="1873" operator="lessThan">
      <formula>0.8</formula>
    </cfRule>
    <cfRule type="cellIs" dxfId="5218" priority="1874" operator="greaterThan">
      <formula>1</formula>
    </cfRule>
  </conditionalFormatting>
  <conditionalFormatting sqref="R5:R14">
    <cfRule type="cellIs" dxfId="5217" priority="1871" operator="greaterThan">
      <formula>1</formula>
    </cfRule>
    <cfRule type="cellIs" dxfId="5216" priority="1872" operator="lessThan">
      <formula>0.8</formula>
    </cfRule>
  </conditionalFormatting>
  <conditionalFormatting sqref="P5:P14">
    <cfRule type="cellIs" dxfId="5215" priority="1870" operator="greaterThan">
      <formula>0</formula>
    </cfRule>
  </conditionalFormatting>
  <conditionalFormatting sqref="Q83">
    <cfRule type="cellIs" dxfId="5214" priority="1869" operator="lessThan">
      <formula>0</formula>
    </cfRule>
  </conditionalFormatting>
  <conditionalFormatting sqref="R83">
    <cfRule type="cellIs" dxfId="5213" priority="1867" operator="lessThan">
      <formula>0.8</formula>
    </cfRule>
    <cfRule type="cellIs" dxfId="5212" priority="1868" operator="greaterThan">
      <formula>1</formula>
    </cfRule>
  </conditionalFormatting>
  <conditionalFormatting sqref="R83">
    <cfRule type="cellIs" dxfId="5211" priority="1865" operator="greaterThan">
      <formula>1</formula>
    </cfRule>
    <cfRule type="cellIs" dxfId="5210" priority="1866" operator="lessThan">
      <formula>0.8</formula>
    </cfRule>
  </conditionalFormatting>
  <conditionalFormatting sqref="P83">
    <cfRule type="cellIs" dxfId="5209" priority="1864" operator="greaterThan">
      <formula>0</formula>
    </cfRule>
  </conditionalFormatting>
  <conditionalFormatting sqref="Q83">
    <cfRule type="cellIs" dxfId="5208" priority="1863" operator="lessThan">
      <formula>0</formula>
    </cfRule>
  </conditionalFormatting>
  <conditionalFormatting sqref="R83">
    <cfRule type="cellIs" dxfId="5207" priority="1861" operator="lessThan">
      <formula>0.8</formula>
    </cfRule>
    <cfRule type="cellIs" dxfId="5206" priority="1862" operator="greaterThan">
      <formula>1</formula>
    </cfRule>
  </conditionalFormatting>
  <conditionalFormatting sqref="R83">
    <cfRule type="cellIs" dxfId="5205" priority="1859" operator="greaterThan">
      <formula>1</formula>
    </cfRule>
    <cfRule type="cellIs" dxfId="5204" priority="1860" operator="lessThan">
      <formula>0.8</formula>
    </cfRule>
  </conditionalFormatting>
  <conditionalFormatting sqref="P83">
    <cfRule type="cellIs" dxfId="5203" priority="1858" operator="greaterThan">
      <formula>0</formula>
    </cfRule>
  </conditionalFormatting>
  <conditionalFormatting sqref="Q83">
    <cfRule type="cellIs" dxfId="5202" priority="1857" operator="lessThan">
      <formula>0</formula>
    </cfRule>
  </conditionalFormatting>
  <conditionalFormatting sqref="R83">
    <cfRule type="cellIs" dxfId="5201" priority="1855" operator="lessThan">
      <formula>0.8</formula>
    </cfRule>
    <cfRule type="cellIs" dxfId="5200" priority="1856" operator="greaterThan">
      <formula>1</formula>
    </cfRule>
  </conditionalFormatting>
  <conditionalFormatting sqref="R83">
    <cfRule type="cellIs" dxfId="5199" priority="1853" operator="greaterThan">
      <formula>1</formula>
    </cfRule>
    <cfRule type="cellIs" dxfId="5198" priority="1854" operator="lessThan">
      <formula>0.8</formula>
    </cfRule>
  </conditionalFormatting>
  <conditionalFormatting sqref="P83">
    <cfRule type="cellIs" dxfId="5197" priority="1852" operator="greaterThan">
      <formula>0</formula>
    </cfRule>
  </conditionalFormatting>
  <conditionalFormatting sqref="Q83">
    <cfRule type="cellIs" dxfId="5196" priority="1851" operator="lessThan">
      <formula>0</formula>
    </cfRule>
  </conditionalFormatting>
  <conditionalFormatting sqref="R83">
    <cfRule type="cellIs" dxfId="5195" priority="1849" operator="lessThan">
      <formula>0.8</formula>
    </cfRule>
    <cfRule type="cellIs" dxfId="5194" priority="1850" operator="greaterThan">
      <formula>1</formula>
    </cfRule>
  </conditionalFormatting>
  <conditionalFormatting sqref="R83">
    <cfRule type="cellIs" dxfId="5193" priority="1847" operator="greaterThan">
      <formula>1</formula>
    </cfRule>
    <cfRule type="cellIs" dxfId="5192" priority="1848" operator="lessThan">
      <formula>0.8</formula>
    </cfRule>
  </conditionalFormatting>
  <conditionalFormatting sqref="P83">
    <cfRule type="cellIs" dxfId="5191" priority="1846" operator="greaterThan">
      <formula>0</formula>
    </cfRule>
  </conditionalFormatting>
  <conditionalFormatting sqref="P83">
    <cfRule type="cellIs" dxfId="5190" priority="1840" operator="greaterThan">
      <formula>0</formula>
    </cfRule>
  </conditionalFormatting>
  <conditionalFormatting sqref="Q83">
    <cfRule type="cellIs" dxfId="5189" priority="1845" operator="lessThan">
      <formula>0</formula>
    </cfRule>
  </conditionalFormatting>
  <conditionalFormatting sqref="R83">
    <cfRule type="cellIs" dxfId="5188" priority="1843" operator="lessThan">
      <formula>0.8</formula>
    </cfRule>
    <cfRule type="cellIs" dxfId="5187" priority="1844" operator="greaterThan">
      <formula>1</formula>
    </cfRule>
  </conditionalFormatting>
  <conditionalFormatting sqref="R83">
    <cfRule type="cellIs" dxfId="5186" priority="1841" operator="greaterThan">
      <formula>1</formula>
    </cfRule>
    <cfRule type="cellIs" dxfId="5185" priority="1842" operator="lessThan">
      <formula>0.8</formula>
    </cfRule>
  </conditionalFormatting>
  <conditionalFormatting sqref="P83">
    <cfRule type="cellIs" dxfId="5184" priority="1834" operator="greaterThan">
      <formula>0</formula>
    </cfRule>
  </conditionalFormatting>
  <conditionalFormatting sqref="Q83">
    <cfRule type="cellIs" dxfId="5183" priority="1839" operator="lessThan">
      <formula>0</formula>
    </cfRule>
  </conditionalFormatting>
  <conditionalFormatting sqref="R83">
    <cfRule type="cellIs" dxfId="5182" priority="1837" operator="lessThan">
      <formula>0.8</formula>
    </cfRule>
    <cfRule type="cellIs" dxfId="5181" priority="1838" operator="greaterThan">
      <formula>1</formula>
    </cfRule>
  </conditionalFormatting>
  <conditionalFormatting sqref="R83">
    <cfRule type="cellIs" dxfId="5180" priority="1835" operator="greaterThan">
      <formula>1</formula>
    </cfRule>
    <cfRule type="cellIs" dxfId="5179" priority="1836" operator="lessThan">
      <formula>0.8</formula>
    </cfRule>
  </conditionalFormatting>
  <conditionalFormatting sqref="R83">
    <cfRule type="cellIs" dxfId="5178" priority="1831" operator="lessThan">
      <formula>0.8</formula>
    </cfRule>
    <cfRule type="cellIs" dxfId="5177" priority="1832" operator="greaterThan">
      <formula>1</formula>
    </cfRule>
  </conditionalFormatting>
  <conditionalFormatting sqref="R83">
    <cfRule type="cellIs" dxfId="5176" priority="1829" operator="greaterThan">
      <formula>1</formula>
    </cfRule>
    <cfRule type="cellIs" dxfId="5175" priority="1830" operator="lessThan">
      <formula>0.8</formula>
    </cfRule>
  </conditionalFormatting>
  <conditionalFormatting sqref="P83">
    <cfRule type="cellIs" dxfId="5174" priority="1828" operator="greaterThan">
      <formula>0</formula>
    </cfRule>
  </conditionalFormatting>
  <conditionalFormatting sqref="Q83">
    <cfRule type="cellIs" dxfId="5173" priority="1833" operator="lessThan">
      <formula>0</formula>
    </cfRule>
  </conditionalFormatting>
  <conditionalFormatting sqref="Q83">
    <cfRule type="cellIs" dxfId="5172" priority="1827" operator="lessThan">
      <formula>0</formula>
    </cfRule>
  </conditionalFormatting>
  <conditionalFormatting sqref="R83">
    <cfRule type="cellIs" dxfId="5171" priority="1825" operator="lessThan">
      <formula>0.8</formula>
    </cfRule>
    <cfRule type="cellIs" dxfId="5170" priority="1826" operator="greaterThan">
      <formula>1</formula>
    </cfRule>
  </conditionalFormatting>
  <conditionalFormatting sqref="R83">
    <cfRule type="cellIs" dxfId="5169" priority="1823" operator="greaterThan">
      <formula>1</formula>
    </cfRule>
    <cfRule type="cellIs" dxfId="5168" priority="1824" operator="lessThan">
      <formula>0.8</formula>
    </cfRule>
  </conditionalFormatting>
  <conditionalFormatting sqref="P83">
    <cfRule type="cellIs" dxfId="5167" priority="1822" operator="greaterThan">
      <formula>0</formula>
    </cfRule>
  </conditionalFormatting>
  <conditionalFormatting sqref="P83">
    <cfRule type="cellIs" dxfId="5166" priority="1816" operator="greaterThan">
      <formula>0</formula>
    </cfRule>
  </conditionalFormatting>
  <conditionalFormatting sqref="Q83">
    <cfRule type="cellIs" dxfId="5165" priority="1821" operator="lessThan">
      <formula>0</formula>
    </cfRule>
  </conditionalFormatting>
  <conditionalFormatting sqref="R83">
    <cfRule type="cellIs" dxfId="5164" priority="1819" operator="lessThan">
      <formula>0.8</formula>
    </cfRule>
    <cfRule type="cellIs" dxfId="5163" priority="1820" operator="greaterThan">
      <formula>1</formula>
    </cfRule>
  </conditionalFormatting>
  <conditionalFormatting sqref="R83">
    <cfRule type="cellIs" dxfId="5162" priority="1817" operator="greaterThan">
      <formula>1</formula>
    </cfRule>
    <cfRule type="cellIs" dxfId="5161" priority="1818" operator="lessThan">
      <formula>0.8</formula>
    </cfRule>
  </conditionalFormatting>
  <conditionalFormatting sqref="P83">
    <cfRule type="cellIs" dxfId="5160" priority="1810" operator="greaterThan">
      <formula>0</formula>
    </cfRule>
  </conditionalFormatting>
  <conditionalFormatting sqref="Q83">
    <cfRule type="cellIs" dxfId="5159" priority="1815" operator="lessThan">
      <formula>0</formula>
    </cfRule>
  </conditionalFormatting>
  <conditionalFormatting sqref="R83">
    <cfRule type="cellIs" dxfId="5158" priority="1813" operator="lessThan">
      <formula>0.8</formula>
    </cfRule>
    <cfRule type="cellIs" dxfId="5157" priority="1814" operator="greaterThan">
      <formula>1</formula>
    </cfRule>
  </conditionalFormatting>
  <conditionalFormatting sqref="R83">
    <cfRule type="cellIs" dxfId="5156" priority="1811" operator="greaterThan">
      <formula>1</formula>
    </cfRule>
    <cfRule type="cellIs" dxfId="5155" priority="1812" operator="lessThan">
      <formula>0.8</formula>
    </cfRule>
  </conditionalFormatting>
  <conditionalFormatting sqref="R83">
    <cfRule type="cellIs" dxfId="5154" priority="1807" operator="lessThan">
      <formula>0.8</formula>
    </cfRule>
    <cfRule type="cellIs" dxfId="5153" priority="1808" operator="greaterThan">
      <formula>1</formula>
    </cfRule>
  </conditionalFormatting>
  <conditionalFormatting sqref="R83">
    <cfRule type="cellIs" dxfId="5152" priority="1805" operator="greaterThan">
      <formula>1</formula>
    </cfRule>
    <cfRule type="cellIs" dxfId="5151" priority="1806" operator="lessThan">
      <formula>0.8</formula>
    </cfRule>
  </conditionalFormatting>
  <conditionalFormatting sqref="P83">
    <cfRule type="cellIs" dxfId="5150" priority="1804" operator="greaterThan">
      <formula>0</formula>
    </cfRule>
  </conditionalFormatting>
  <conditionalFormatting sqref="Q83">
    <cfRule type="cellIs" dxfId="5149" priority="1809" operator="lessThan">
      <formula>0</formula>
    </cfRule>
  </conditionalFormatting>
  <conditionalFormatting sqref="P83">
    <cfRule type="cellIs" dxfId="5148" priority="1798" operator="greaterThan">
      <formula>0</formula>
    </cfRule>
  </conditionalFormatting>
  <conditionalFormatting sqref="Q83">
    <cfRule type="cellIs" dxfId="5147" priority="1803" operator="lessThan">
      <formula>0</formula>
    </cfRule>
  </conditionalFormatting>
  <conditionalFormatting sqref="R83">
    <cfRule type="cellIs" dxfId="5146" priority="1801" operator="lessThan">
      <formula>0.8</formula>
    </cfRule>
    <cfRule type="cellIs" dxfId="5145" priority="1802" operator="greaterThan">
      <formula>1</formula>
    </cfRule>
  </conditionalFormatting>
  <conditionalFormatting sqref="R83">
    <cfRule type="cellIs" dxfId="5144" priority="1799" operator="greaterThan">
      <formula>1</formula>
    </cfRule>
    <cfRule type="cellIs" dxfId="5143" priority="1800" operator="lessThan">
      <formula>0.8</formula>
    </cfRule>
  </conditionalFormatting>
  <conditionalFormatting sqref="R83">
    <cfRule type="cellIs" dxfId="5142" priority="1795" operator="lessThan">
      <formula>0.8</formula>
    </cfRule>
    <cfRule type="cellIs" dxfId="5141" priority="1796" operator="greaterThan">
      <formula>1</formula>
    </cfRule>
  </conditionalFormatting>
  <conditionalFormatting sqref="R83">
    <cfRule type="cellIs" dxfId="5140" priority="1793" operator="greaterThan">
      <formula>1</formula>
    </cfRule>
    <cfRule type="cellIs" dxfId="5139" priority="1794" operator="lessThan">
      <formula>0.8</formula>
    </cfRule>
  </conditionalFormatting>
  <conditionalFormatting sqref="P83">
    <cfRule type="cellIs" dxfId="5138" priority="1792" operator="greaterThan">
      <formula>0</formula>
    </cfRule>
  </conditionalFormatting>
  <conditionalFormatting sqref="Q83">
    <cfRule type="cellIs" dxfId="5137" priority="1797" operator="lessThan">
      <formula>0</formula>
    </cfRule>
  </conditionalFormatting>
  <conditionalFormatting sqref="R83">
    <cfRule type="cellIs" dxfId="5136" priority="1789" operator="lessThan">
      <formula>0.8</formula>
    </cfRule>
    <cfRule type="cellIs" dxfId="5135" priority="1790" operator="greaterThan">
      <formula>1</formula>
    </cfRule>
  </conditionalFormatting>
  <conditionalFormatting sqref="R83">
    <cfRule type="cellIs" dxfId="5134" priority="1787" operator="greaterThan">
      <formula>1</formula>
    </cfRule>
    <cfRule type="cellIs" dxfId="5133" priority="1788" operator="lessThan">
      <formula>0.8</formula>
    </cfRule>
  </conditionalFormatting>
  <conditionalFormatting sqref="P83">
    <cfRule type="cellIs" dxfId="5132" priority="1786" operator="greaterThan">
      <formula>0</formula>
    </cfRule>
  </conditionalFormatting>
  <conditionalFormatting sqref="Q83">
    <cfRule type="cellIs" dxfId="5131" priority="1791" operator="lessThan">
      <formula>0</formula>
    </cfRule>
  </conditionalFormatting>
  <conditionalFormatting sqref="Q83">
    <cfRule type="cellIs" dxfId="5130" priority="1785" operator="lessThan">
      <formula>0</formula>
    </cfRule>
  </conditionalFormatting>
  <conditionalFormatting sqref="R83">
    <cfRule type="cellIs" dxfId="5129" priority="1783" operator="lessThan">
      <formula>0.8</formula>
    </cfRule>
    <cfRule type="cellIs" dxfId="5128" priority="1784" operator="greaterThan">
      <formula>1</formula>
    </cfRule>
  </conditionalFormatting>
  <conditionalFormatting sqref="R83">
    <cfRule type="cellIs" dxfId="5127" priority="1781" operator="greaterThan">
      <formula>1</formula>
    </cfRule>
    <cfRule type="cellIs" dxfId="5126" priority="1782" operator="lessThan">
      <formula>0.8</formula>
    </cfRule>
  </conditionalFormatting>
  <conditionalFormatting sqref="P83">
    <cfRule type="cellIs" dxfId="5125" priority="1780" operator="greaterThan">
      <formula>0</formula>
    </cfRule>
  </conditionalFormatting>
  <conditionalFormatting sqref="Q83">
    <cfRule type="cellIs" dxfId="5124" priority="1774" operator="lessThan">
      <formula>0</formula>
    </cfRule>
  </conditionalFormatting>
  <conditionalFormatting sqref="R83">
    <cfRule type="cellIs" dxfId="5123" priority="1778" operator="lessThan">
      <formula>0.8</formula>
    </cfRule>
    <cfRule type="cellIs" dxfId="5122" priority="1779" operator="greaterThan">
      <formula>1</formula>
    </cfRule>
  </conditionalFormatting>
  <conditionalFormatting sqref="R83">
    <cfRule type="cellIs" dxfId="5121" priority="1776" operator="greaterThan">
      <formula>1</formula>
    </cfRule>
    <cfRule type="cellIs" dxfId="5120" priority="1777" operator="lessThan">
      <formula>0.8</formula>
    </cfRule>
  </conditionalFormatting>
  <conditionalFormatting sqref="P83">
    <cfRule type="cellIs" dxfId="5119" priority="1775" operator="greaterThan">
      <formula>0</formula>
    </cfRule>
  </conditionalFormatting>
  <conditionalFormatting sqref="Q83">
    <cfRule type="cellIs" dxfId="5118" priority="1773" operator="lessThan">
      <formula>0</formula>
    </cfRule>
  </conditionalFormatting>
  <conditionalFormatting sqref="R83">
    <cfRule type="cellIs" dxfId="5117" priority="1771" operator="lessThan">
      <formula>0.8</formula>
    </cfRule>
    <cfRule type="cellIs" dxfId="5116" priority="1772" operator="greaterThan">
      <formula>1</formula>
    </cfRule>
  </conditionalFormatting>
  <conditionalFormatting sqref="R83">
    <cfRule type="cellIs" dxfId="5115" priority="1769" operator="greaterThan">
      <formula>1</formula>
    </cfRule>
    <cfRule type="cellIs" dxfId="5114" priority="1770" operator="lessThan">
      <formula>0.8</formula>
    </cfRule>
  </conditionalFormatting>
  <conditionalFormatting sqref="P83">
    <cfRule type="cellIs" dxfId="5113" priority="1768" operator="greaterThan">
      <formula>0</formula>
    </cfRule>
  </conditionalFormatting>
  <conditionalFormatting sqref="Q83">
    <cfRule type="cellIs" dxfId="5112" priority="1767" operator="lessThan">
      <formula>0</formula>
    </cfRule>
  </conditionalFormatting>
  <conditionalFormatting sqref="R83">
    <cfRule type="cellIs" dxfId="5111" priority="1765" operator="lessThan">
      <formula>0.8</formula>
    </cfRule>
    <cfRule type="cellIs" dxfId="5110" priority="1766" operator="greaterThan">
      <formula>1</formula>
    </cfRule>
  </conditionalFormatting>
  <conditionalFormatting sqref="R83">
    <cfRule type="cellIs" dxfId="5109" priority="1763" operator="greaterThan">
      <formula>1</formula>
    </cfRule>
    <cfRule type="cellIs" dxfId="5108" priority="1764" operator="lessThan">
      <formula>0.8</formula>
    </cfRule>
  </conditionalFormatting>
  <conditionalFormatting sqref="P83">
    <cfRule type="cellIs" dxfId="5107" priority="1762" operator="greaterThan">
      <formula>0</formula>
    </cfRule>
  </conditionalFormatting>
  <conditionalFormatting sqref="Q83">
    <cfRule type="cellIs" dxfId="5106" priority="1761" operator="lessThan">
      <formula>0</formula>
    </cfRule>
  </conditionalFormatting>
  <conditionalFormatting sqref="R83">
    <cfRule type="cellIs" dxfId="5105" priority="1759" operator="lessThan">
      <formula>0.8</formula>
    </cfRule>
    <cfRule type="cellIs" dxfId="5104" priority="1760" operator="greaterThan">
      <formula>1</formula>
    </cfRule>
  </conditionalFormatting>
  <conditionalFormatting sqref="R83">
    <cfRule type="cellIs" dxfId="5103" priority="1757" operator="greaterThan">
      <formula>1</formula>
    </cfRule>
    <cfRule type="cellIs" dxfId="5102" priority="1758" operator="lessThan">
      <formula>0.8</formula>
    </cfRule>
  </conditionalFormatting>
  <conditionalFormatting sqref="P83">
    <cfRule type="cellIs" dxfId="5101" priority="1756" operator="greaterThan">
      <formula>0</formula>
    </cfRule>
  </conditionalFormatting>
  <conditionalFormatting sqref="Q83">
    <cfRule type="cellIs" dxfId="5100" priority="1755" operator="lessThan">
      <formula>0</formula>
    </cfRule>
  </conditionalFormatting>
  <conditionalFormatting sqref="R83">
    <cfRule type="cellIs" dxfId="5099" priority="1753" operator="lessThan">
      <formula>0.8</formula>
    </cfRule>
    <cfRule type="cellIs" dxfId="5098" priority="1754" operator="greaterThan">
      <formula>1</formula>
    </cfRule>
  </conditionalFormatting>
  <conditionalFormatting sqref="R83">
    <cfRule type="cellIs" dxfId="5097" priority="1751" operator="greaterThan">
      <formula>1</formula>
    </cfRule>
    <cfRule type="cellIs" dxfId="5096" priority="1752" operator="lessThan">
      <formula>0.8</formula>
    </cfRule>
  </conditionalFormatting>
  <conditionalFormatting sqref="P83">
    <cfRule type="cellIs" dxfId="5095" priority="1750" operator="greaterThan">
      <formula>0</formula>
    </cfRule>
  </conditionalFormatting>
  <conditionalFormatting sqref="Q83">
    <cfRule type="cellIs" dxfId="5094" priority="1749" operator="lessThan">
      <formula>0</formula>
    </cfRule>
  </conditionalFormatting>
  <conditionalFormatting sqref="R83">
    <cfRule type="cellIs" dxfId="5093" priority="1747" operator="lessThan">
      <formula>0.8</formula>
    </cfRule>
    <cfRule type="cellIs" dxfId="5092" priority="1748" operator="greaterThan">
      <formula>1</formula>
    </cfRule>
  </conditionalFormatting>
  <conditionalFormatting sqref="R83">
    <cfRule type="cellIs" dxfId="5091" priority="1745" operator="greaterThan">
      <formula>1</formula>
    </cfRule>
    <cfRule type="cellIs" dxfId="5090" priority="1746" operator="lessThan">
      <formula>0.8</formula>
    </cfRule>
  </conditionalFormatting>
  <conditionalFormatting sqref="P83">
    <cfRule type="cellIs" dxfId="5089" priority="1744" operator="greaterThan">
      <formula>0</formula>
    </cfRule>
  </conditionalFormatting>
  <conditionalFormatting sqref="P83">
    <cfRule type="cellIs" dxfId="5088" priority="1738" operator="greaterThan">
      <formula>0</formula>
    </cfRule>
  </conditionalFormatting>
  <conditionalFormatting sqref="Q83">
    <cfRule type="cellIs" dxfId="5087" priority="1743" operator="lessThan">
      <formula>0</formula>
    </cfRule>
  </conditionalFormatting>
  <conditionalFormatting sqref="R83">
    <cfRule type="cellIs" dxfId="5086" priority="1741" operator="lessThan">
      <formula>0.8</formula>
    </cfRule>
    <cfRule type="cellIs" dxfId="5085" priority="1742" operator="greaterThan">
      <formula>1</formula>
    </cfRule>
  </conditionalFormatting>
  <conditionalFormatting sqref="R83">
    <cfRule type="cellIs" dxfId="5084" priority="1739" operator="greaterThan">
      <formula>1</formula>
    </cfRule>
    <cfRule type="cellIs" dxfId="5083" priority="1740" operator="lessThan">
      <formula>0.8</formula>
    </cfRule>
  </conditionalFormatting>
  <conditionalFormatting sqref="P83">
    <cfRule type="cellIs" dxfId="5082" priority="1732" operator="greaterThan">
      <formula>0</formula>
    </cfRule>
  </conditionalFormatting>
  <conditionalFormatting sqref="Q83">
    <cfRule type="cellIs" dxfId="5081" priority="1737" operator="lessThan">
      <formula>0</formula>
    </cfRule>
  </conditionalFormatting>
  <conditionalFormatting sqref="R83">
    <cfRule type="cellIs" dxfId="5080" priority="1735" operator="lessThan">
      <formula>0.8</formula>
    </cfRule>
    <cfRule type="cellIs" dxfId="5079" priority="1736" operator="greaterThan">
      <formula>1</formula>
    </cfRule>
  </conditionalFormatting>
  <conditionalFormatting sqref="R83">
    <cfRule type="cellIs" dxfId="5078" priority="1733" operator="greaterThan">
      <formula>1</formula>
    </cfRule>
    <cfRule type="cellIs" dxfId="5077" priority="1734" operator="lessThan">
      <formula>0.8</formula>
    </cfRule>
  </conditionalFormatting>
  <conditionalFormatting sqref="R83">
    <cfRule type="cellIs" dxfId="5076" priority="1729" operator="lessThan">
      <formula>0.8</formula>
    </cfRule>
    <cfRule type="cellIs" dxfId="5075" priority="1730" operator="greaterThan">
      <formula>1</formula>
    </cfRule>
  </conditionalFormatting>
  <conditionalFormatting sqref="R83">
    <cfRule type="cellIs" dxfId="5074" priority="1727" operator="greaterThan">
      <formula>1</formula>
    </cfRule>
    <cfRule type="cellIs" dxfId="5073" priority="1728" operator="lessThan">
      <formula>0.8</formula>
    </cfRule>
  </conditionalFormatting>
  <conditionalFormatting sqref="P83">
    <cfRule type="cellIs" dxfId="5072" priority="1726" operator="greaterThan">
      <formula>0</formula>
    </cfRule>
  </conditionalFormatting>
  <conditionalFormatting sqref="Q83">
    <cfRule type="cellIs" dxfId="5071" priority="1731" operator="lessThan">
      <formula>0</formula>
    </cfRule>
  </conditionalFormatting>
  <conditionalFormatting sqref="Q83">
    <cfRule type="cellIs" dxfId="5070" priority="1720" operator="lessThan">
      <formula>0</formula>
    </cfRule>
  </conditionalFormatting>
  <conditionalFormatting sqref="P83">
    <cfRule type="cellIs" dxfId="5069" priority="1721" operator="greaterThan">
      <formula>0</formula>
    </cfRule>
  </conditionalFormatting>
  <conditionalFormatting sqref="R83">
    <cfRule type="cellIs" dxfId="5068" priority="1724" operator="lessThan">
      <formula>0.8</formula>
    </cfRule>
    <cfRule type="cellIs" dxfId="5067" priority="1725" operator="greaterThan">
      <formula>1</formula>
    </cfRule>
  </conditionalFormatting>
  <conditionalFormatting sqref="R83">
    <cfRule type="cellIs" dxfId="5066" priority="1722" operator="greaterThan">
      <formula>1</formula>
    </cfRule>
    <cfRule type="cellIs" dxfId="5065" priority="1723" operator="lessThan">
      <formula>0.8</formula>
    </cfRule>
  </conditionalFormatting>
  <conditionalFormatting sqref="Q83">
    <cfRule type="cellIs" dxfId="5064" priority="1714" operator="lessThan">
      <formula>0</formula>
    </cfRule>
  </conditionalFormatting>
  <conditionalFormatting sqref="R83">
    <cfRule type="cellIs" dxfId="5063" priority="1718" operator="lessThan">
      <formula>0.8</formula>
    </cfRule>
    <cfRule type="cellIs" dxfId="5062" priority="1719" operator="greaterThan">
      <formula>1</formula>
    </cfRule>
  </conditionalFormatting>
  <conditionalFormatting sqref="R83">
    <cfRule type="cellIs" dxfId="5061" priority="1716" operator="greaterThan">
      <formula>1</formula>
    </cfRule>
    <cfRule type="cellIs" dxfId="5060" priority="1717" operator="lessThan">
      <formula>0.8</formula>
    </cfRule>
  </conditionalFormatting>
  <conditionalFormatting sqref="P83">
    <cfRule type="cellIs" dxfId="5059" priority="1715" operator="greaterThan">
      <formula>0</formula>
    </cfRule>
  </conditionalFormatting>
  <conditionalFormatting sqref="Q83">
    <cfRule type="cellIs" dxfId="5058" priority="1713" operator="lessThan">
      <formula>0</formula>
    </cfRule>
  </conditionalFormatting>
  <conditionalFormatting sqref="R83">
    <cfRule type="cellIs" dxfId="5057" priority="1711" operator="lessThan">
      <formula>0.8</formula>
    </cfRule>
    <cfRule type="cellIs" dxfId="5056" priority="1712" operator="greaterThan">
      <formula>1</formula>
    </cfRule>
  </conditionalFormatting>
  <conditionalFormatting sqref="R83">
    <cfRule type="cellIs" dxfId="5055" priority="1709" operator="greaterThan">
      <formula>1</formula>
    </cfRule>
    <cfRule type="cellIs" dxfId="5054" priority="1710" operator="lessThan">
      <formula>0.8</formula>
    </cfRule>
  </conditionalFormatting>
  <conditionalFormatting sqref="P83">
    <cfRule type="cellIs" dxfId="5053" priority="1708" operator="greaterThan">
      <formula>0</formula>
    </cfRule>
  </conditionalFormatting>
  <conditionalFormatting sqref="Q83">
    <cfRule type="cellIs" dxfId="5052" priority="1707" operator="lessThan">
      <formula>0</formula>
    </cfRule>
  </conditionalFormatting>
  <conditionalFormatting sqref="R83">
    <cfRule type="cellIs" dxfId="5051" priority="1705" operator="lessThan">
      <formula>0.8</formula>
    </cfRule>
    <cfRule type="cellIs" dxfId="5050" priority="1706" operator="greaterThan">
      <formula>1</formula>
    </cfRule>
  </conditionalFormatting>
  <conditionalFormatting sqref="R83">
    <cfRule type="cellIs" dxfId="5049" priority="1703" operator="greaterThan">
      <formula>1</formula>
    </cfRule>
    <cfRule type="cellIs" dxfId="5048" priority="1704" operator="lessThan">
      <formula>0.8</formula>
    </cfRule>
  </conditionalFormatting>
  <conditionalFormatting sqref="P83">
    <cfRule type="cellIs" dxfId="5047" priority="1702" operator="greaterThan">
      <formula>0</formula>
    </cfRule>
  </conditionalFormatting>
  <conditionalFormatting sqref="Q83">
    <cfRule type="cellIs" dxfId="5046" priority="1701" operator="lessThan">
      <formula>0</formula>
    </cfRule>
  </conditionalFormatting>
  <conditionalFormatting sqref="R83">
    <cfRule type="cellIs" dxfId="5045" priority="1699" operator="lessThan">
      <formula>0.8</formula>
    </cfRule>
    <cfRule type="cellIs" dxfId="5044" priority="1700" operator="greaterThan">
      <formula>1</formula>
    </cfRule>
  </conditionalFormatting>
  <conditionalFormatting sqref="R83">
    <cfRule type="cellIs" dxfId="5043" priority="1697" operator="greaterThan">
      <formula>1</formula>
    </cfRule>
    <cfRule type="cellIs" dxfId="5042" priority="1698" operator="lessThan">
      <formula>0.8</formula>
    </cfRule>
  </conditionalFormatting>
  <conditionalFormatting sqref="P83">
    <cfRule type="cellIs" dxfId="5041" priority="1696" operator="greaterThan">
      <formula>0</formula>
    </cfRule>
  </conditionalFormatting>
  <conditionalFormatting sqref="Q32:Q39">
    <cfRule type="cellIs" dxfId="5040" priority="1690" operator="lessThan">
      <formula>0</formula>
    </cfRule>
  </conditionalFormatting>
  <conditionalFormatting sqref="P32:P39">
    <cfRule type="cellIs" dxfId="5039" priority="1691" operator="greaterThan">
      <formula>0</formula>
    </cfRule>
  </conditionalFormatting>
  <conditionalFormatting sqref="R32:R39">
    <cfRule type="cellIs" dxfId="5038" priority="1694" operator="lessThan">
      <formula>0.8</formula>
    </cfRule>
    <cfRule type="cellIs" dxfId="5037" priority="1695" operator="greaterThan">
      <formula>1</formula>
    </cfRule>
  </conditionalFormatting>
  <conditionalFormatting sqref="R32:R39">
    <cfRule type="cellIs" dxfId="5036" priority="1692" operator="greaterThan">
      <formula>1</formula>
    </cfRule>
    <cfRule type="cellIs" dxfId="5035" priority="1693" operator="lessThan">
      <formula>0.8</formula>
    </cfRule>
  </conditionalFormatting>
  <conditionalFormatting sqref="Q32:Q39">
    <cfRule type="cellIs" dxfId="5034" priority="1684" operator="lessThan">
      <formula>0</formula>
    </cfRule>
  </conditionalFormatting>
  <conditionalFormatting sqref="R32:R39">
    <cfRule type="cellIs" dxfId="5033" priority="1688" operator="lessThan">
      <formula>0.8</formula>
    </cfRule>
    <cfRule type="cellIs" dxfId="5032" priority="1689" operator="greaterThan">
      <formula>1</formula>
    </cfRule>
  </conditionalFormatting>
  <conditionalFormatting sqref="R32:R39">
    <cfRule type="cellIs" dxfId="5031" priority="1686" operator="greaterThan">
      <formula>1</formula>
    </cfRule>
    <cfRule type="cellIs" dxfId="5030" priority="1687" operator="lessThan">
      <formula>0.8</formula>
    </cfRule>
  </conditionalFormatting>
  <conditionalFormatting sqref="P32:P39">
    <cfRule type="cellIs" dxfId="5029" priority="1685" operator="greaterThan">
      <formula>0</formula>
    </cfRule>
  </conditionalFormatting>
  <conditionalFormatting sqref="Q32:Q39">
    <cfRule type="cellIs" dxfId="5028" priority="1683" operator="lessThan">
      <formula>0</formula>
    </cfRule>
  </conditionalFormatting>
  <conditionalFormatting sqref="R32:R39">
    <cfRule type="cellIs" dxfId="5027" priority="1681" operator="lessThan">
      <formula>0.8</formula>
    </cfRule>
    <cfRule type="cellIs" dxfId="5026" priority="1682" operator="greaterThan">
      <formula>1</formula>
    </cfRule>
  </conditionalFormatting>
  <conditionalFormatting sqref="R32:R39">
    <cfRule type="cellIs" dxfId="5025" priority="1679" operator="greaterThan">
      <formula>1</formula>
    </cfRule>
    <cfRule type="cellIs" dxfId="5024" priority="1680" operator="lessThan">
      <formula>0.8</formula>
    </cfRule>
  </conditionalFormatting>
  <conditionalFormatting sqref="P32:P39">
    <cfRule type="cellIs" dxfId="5023" priority="1678" operator="greaterThan">
      <formula>0</formula>
    </cfRule>
  </conditionalFormatting>
  <conditionalFormatting sqref="Q32:Q39">
    <cfRule type="cellIs" dxfId="5022" priority="1677" operator="lessThan">
      <formula>0</formula>
    </cfRule>
  </conditionalFormatting>
  <conditionalFormatting sqref="R32:R39">
    <cfRule type="cellIs" dxfId="5021" priority="1675" operator="lessThan">
      <formula>0.8</formula>
    </cfRule>
    <cfRule type="cellIs" dxfId="5020" priority="1676" operator="greaterThan">
      <formula>1</formula>
    </cfRule>
  </conditionalFormatting>
  <conditionalFormatting sqref="R32:R39">
    <cfRule type="cellIs" dxfId="5019" priority="1673" operator="greaterThan">
      <formula>1</formula>
    </cfRule>
    <cfRule type="cellIs" dxfId="5018" priority="1674" operator="lessThan">
      <formula>0.8</formula>
    </cfRule>
  </conditionalFormatting>
  <conditionalFormatting sqref="P32:P39">
    <cfRule type="cellIs" dxfId="5017" priority="1672" operator="greaterThan">
      <formula>0</formula>
    </cfRule>
  </conditionalFormatting>
  <conditionalFormatting sqref="Q32:Q39">
    <cfRule type="cellIs" dxfId="5016" priority="1666" operator="lessThan">
      <formula>0</formula>
    </cfRule>
  </conditionalFormatting>
  <conditionalFormatting sqref="R32:R39">
    <cfRule type="cellIs" dxfId="5015" priority="1670" operator="lessThan">
      <formula>0.8</formula>
    </cfRule>
    <cfRule type="cellIs" dxfId="5014" priority="1671" operator="greaterThan">
      <formula>1</formula>
    </cfRule>
  </conditionalFormatting>
  <conditionalFormatting sqref="R32:R39">
    <cfRule type="cellIs" dxfId="5013" priority="1668" operator="greaterThan">
      <formula>1</formula>
    </cfRule>
    <cfRule type="cellIs" dxfId="5012" priority="1669" operator="lessThan">
      <formula>0.8</formula>
    </cfRule>
  </conditionalFormatting>
  <conditionalFormatting sqref="P32:P39">
    <cfRule type="cellIs" dxfId="5011" priority="1667" operator="greaterThan">
      <formula>0</formula>
    </cfRule>
  </conditionalFormatting>
  <conditionalFormatting sqref="Q32:Q39">
    <cfRule type="cellIs" dxfId="5010" priority="1665" operator="lessThan">
      <formula>0</formula>
    </cfRule>
  </conditionalFormatting>
  <conditionalFormatting sqref="R32:R39">
    <cfRule type="cellIs" dxfId="5009" priority="1663" operator="lessThan">
      <formula>0.8</formula>
    </cfRule>
    <cfRule type="cellIs" dxfId="5008" priority="1664" operator="greaterThan">
      <formula>1</formula>
    </cfRule>
  </conditionalFormatting>
  <conditionalFormatting sqref="R32:R39">
    <cfRule type="cellIs" dxfId="5007" priority="1661" operator="greaterThan">
      <formula>1</formula>
    </cfRule>
    <cfRule type="cellIs" dxfId="5006" priority="1662" operator="lessThan">
      <formula>0.8</formula>
    </cfRule>
  </conditionalFormatting>
  <conditionalFormatting sqref="P32:P39">
    <cfRule type="cellIs" dxfId="5005" priority="1660" operator="greaterThan">
      <formula>0</formula>
    </cfRule>
  </conditionalFormatting>
  <conditionalFormatting sqref="Q32:Q39">
    <cfRule type="cellIs" dxfId="5004" priority="1659" operator="lessThan">
      <formula>0</formula>
    </cfRule>
  </conditionalFormatting>
  <conditionalFormatting sqref="R32:R39">
    <cfRule type="cellIs" dxfId="5003" priority="1657" operator="lessThan">
      <formula>0.8</formula>
    </cfRule>
    <cfRule type="cellIs" dxfId="5002" priority="1658" operator="greaterThan">
      <formula>1</formula>
    </cfRule>
  </conditionalFormatting>
  <conditionalFormatting sqref="R32:R39">
    <cfRule type="cellIs" dxfId="5001" priority="1655" operator="greaterThan">
      <formula>1</formula>
    </cfRule>
    <cfRule type="cellIs" dxfId="5000" priority="1656" operator="lessThan">
      <formula>0.8</formula>
    </cfRule>
  </conditionalFormatting>
  <conditionalFormatting sqref="P32:P39">
    <cfRule type="cellIs" dxfId="4999" priority="1654" operator="greaterThan">
      <formula>0</formula>
    </cfRule>
  </conditionalFormatting>
  <conditionalFormatting sqref="Q32:Q39">
    <cfRule type="cellIs" dxfId="4998" priority="1653" operator="lessThan">
      <formula>0</formula>
    </cfRule>
  </conditionalFormatting>
  <conditionalFormatting sqref="R32:R39">
    <cfRule type="cellIs" dxfId="4997" priority="1651" operator="lessThan">
      <formula>0.8</formula>
    </cfRule>
    <cfRule type="cellIs" dxfId="4996" priority="1652" operator="greaterThan">
      <formula>1</formula>
    </cfRule>
  </conditionalFormatting>
  <conditionalFormatting sqref="R32:R39">
    <cfRule type="cellIs" dxfId="4995" priority="1649" operator="greaterThan">
      <formula>1</formula>
    </cfRule>
    <cfRule type="cellIs" dxfId="4994" priority="1650" operator="lessThan">
      <formula>0.8</formula>
    </cfRule>
  </conditionalFormatting>
  <conditionalFormatting sqref="P32:P39">
    <cfRule type="cellIs" dxfId="4993" priority="1648" operator="greaterThan">
      <formula>0</formula>
    </cfRule>
  </conditionalFormatting>
  <conditionalFormatting sqref="Q32:Q39">
    <cfRule type="cellIs" dxfId="4992" priority="1647" operator="lessThan">
      <formula>0</formula>
    </cfRule>
  </conditionalFormatting>
  <conditionalFormatting sqref="R32:R39">
    <cfRule type="cellIs" dxfId="4991" priority="1645" operator="lessThan">
      <formula>0.8</formula>
    </cfRule>
    <cfRule type="cellIs" dxfId="4990" priority="1646" operator="greaterThan">
      <formula>1</formula>
    </cfRule>
  </conditionalFormatting>
  <conditionalFormatting sqref="R32:R39">
    <cfRule type="cellIs" dxfId="4989" priority="1643" operator="greaterThan">
      <formula>1</formula>
    </cfRule>
    <cfRule type="cellIs" dxfId="4988" priority="1644" operator="lessThan">
      <formula>0.8</formula>
    </cfRule>
  </conditionalFormatting>
  <conditionalFormatting sqref="P32:P39">
    <cfRule type="cellIs" dxfId="4987" priority="1642" operator="greaterThan">
      <formula>0</formula>
    </cfRule>
  </conditionalFormatting>
  <conditionalFormatting sqref="Q32:Q39">
    <cfRule type="cellIs" dxfId="4986" priority="1641" operator="lessThan">
      <formula>0</formula>
    </cfRule>
  </conditionalFormatting>
  <conditionalFormatting sqref="R32:R39">
    <cfRule type="cellIs" dxfId="4985" priority="1639" operator="lessThan">
      <formula>0.8</formula>
    </cfRule>
    <cfRule type="cellIs" dxfId="4984" priority="1640" operator="greaterThan">
      <formula>1</formula>
    </cfRule>
  </conditionalFormatting>
  <conditionalFormatting sqref="R32:R39">
    <cfRule type="cellIs" dxfId="4983" priority="1637" operator="greaterThan">
      <formula>1</formula>
    </cfRule>
    <cfRule type="cellIs" dxfId="4982" priority="1638" operator="lessThan">
      <formula>0.8</formula>
    </cfRule>
  </conditionalFormatting>
  <conditionalFormatting sqref="P32:P39">
    <cfRule type="cellIs" dxfId="4981" priority="1636" operator="greaterThan">
      <formula>0</formula>
    </cfRule>
  </conditionalFormatting>
  <conditionalFormatting sqref="P32:P39">
    <cfRule type="cellIs" dxfId="4980" priority="1630" operator="greaterThan">
      <formula>0</formula>
    </cfRule>
  </conditionalFormatting>
  <conditionalFormatting sqref="Q32:Q39">
    <cfRule type="cellIs" dxfId="4979" priority="1635" operator="lessThan">
      <formula>0</formula>
    </cfRule>
  </conditionalFormatting>
  <conditionalFormatting sqref="R32:R39">
    <cfRule type="cellIs" dxfId="4978" priority="1633" operator="lessThan">
      <formula>0.8</formula>
    </cfRule>
    <cfRule type="cellIs" dxfId="4977" priority="1634" operator="greaterThan">
      <formula>1</formula>
    </cfRule>
  </conditionalFormatting>
  <conditionalFormatting sqref="R32:R39">
    <cfRule type="cellIs" dxfId="4976" priority="1631" operator="greaterThan">
      <formula>1</formula>
    </cfRule>
    <cfRule type="cellIs" dxfId="4975" priority="1632" operator="lessThan">
      <formula>0.8</formula>
    </cfRule>
  </conditionalFormatting>
  <conditionalFormatting sqref="P32:P39">
    <cfRule type="cellIs" dxfId="4974" priority="1624" operator="greaterThan">
      <formula>0</formula>
    </cfRule>
  </conditionalFormatting>
  <conditionalFormatting sqref="Q32:Q39">
    <cfRule type="cellIs" dxfId="4973" priority="1629" operator="lessThan">
      <formula>0</formula>
    </cfRule>
  </conditionalFormatting>
  <conditionalFormatting sqref="R32:R39">
    <cfRule type="cellIs" dxfId="4972" priority="1627" operator="lessThan">
      <formula>0.8</formula>
    </cfRule>
    <cfRule type="cellIs" dxfId="4971" priority="1628" operator="greaterThan">
      <formula>1</formula>
    </cfRule>
  </conditionalFormatting>
  <conditionalFormatting sqref="R32:R39">
    <cfRule type="cellIs" dxfId="4970" priority="1625" operator="greaterThan">
      <formula>1</formula>
    </cfRule>
    <cfRule type="cellIs" dxfId="4969" priority="1626" operator="lessThan">
      <formula>0.8</formula>
    </cfRule>
  </conditionalFormatting>
  <conditionalFormatting sqref="R32:R39">
    <cfRule type="cellIs" dxfId="4968" priority="1621" operator="lessThan">
      <formula>0.8</formula>
    </cfRule>
    <cfRule type="cellIs" dxfId="4967" priority="1622" operator="greaterThan">
      <formula>1</formula>
    </cfRule>
  </conditionalFormatting>
  <conditionalFormatting sqref="R32:R39">
    <cfRule type="cellIs" dxfId="4966" priority="1619" operator="greaterThan">
      <formula>1</formula>
    </cfRule>
    <cfRule type="cellIs" dxfId="4965" priority="1620" operator="lessThan">
      <formula>0.8</formula>
    </cfRule>
  </conditionalFormatting>
  <conditionalFormatting sqref="P32:P39">
    <cfRule type="cellIs" dxfId="4964" priority="1618" operator="greaterThan">
      <formula>0</formula>
    </cfRule>
  </conditionalFormatting>
  <conditionalFormatting sqref="Q32:Q39">
    <cfRule type="cellIs" dxfId="4963" priority="1623" operator="lessThan">
      <formula>0</formula>
    </cfRule>
  </conditionalFormatting>
  <conditionalFormatting sqref="Q32:Q39">
    <cfRule type="cellIs" dxfId="4962" priority="1612" operator="lessThan">
      <formula>0</formula>
    </cfRule>
  </conditionalFormatting>
  <conditionalFormatting sqref="P32:P39">
    <cfRule type="cellIs" dxfId="4961" priority="1613" operator="greaterThan">
      <formula>0</formula>
    </cfRule>
  </conditionalFormatting>
  <conditionalFormatting sqref="R32:R39">
    <cfRule type="cellIs" dxfId="4960" priority="1616" operator="lessThan">
      <formula>0.8</formula>
    </cfRule>
    <cfRule type="cellIs" dxfId="4959" priority="1617" operator="greaterThan">
      <formula>1</formula>
    </cfRule>
  </conditionalFormatting>
  <conditionalFormatting sqref="R32:R39">
    <cfRule type="cellIs" dxfId="4958" priority="1614" operator="greaterThan">
      <formula>1</formula>
    </cfRule>
    <cfRule type="cellIs" dxfId="4957" priority="1615" operator="lessThan">
      <formula>0.8</formula>
    </cfRule>
  </conditionalFormatting>
  <conditionalFormatting sqref="Q32:Q39">
    <cfRule type="cellIs" dxfId="4956" priority="1606" operator="lessThan">
      <formula>0</formula>
    </cfRule>
  </conditionalFormatting>
  <conditionalFormatting sqref="R32:R39">
    <cfRule type="cellIs" dxfId="4955" priority="1610" operator="lessThan">
      <formula>0.8</formula>
    </cfRule>
    <cfRule type="cellIs" dxfId="4954" priority="1611" operator="greaterThan">
      <formula>1</formula>
    </cfRule>
  </conditionalFormatting>
  <conditionalFormatting sqref="R32:R39">
    <cfRule type="cellIs" dxfId="4953" priority="1608" operator="greaterThan">
      <formula>1</formula>
    </cfRule>
    <cfRule type="cellIs" dxfId="4952" priority="1609" operator="lessThan">
      <formula>0.8</formula>
    </cfRule>
  </conditionalFormatting>
  <conditionalFormatting sqref="P32:P39">
    <cfRule type="cellIs" dxfId="4951" priority="1607" operator="greaterThan">
      <formula>0</formula>
    </cfRule>
  </conditionalFormatting>
  <conditionalFormatting sqref="Q32:Q39">
    <cfRule type="cellIs" dxfId="4950" priority="1605" operator="lessThan">
      <formula>0</formula>
    </cfRule>
  </conditionalFormatting>
  <conditionalFormatting sqref="R32:R39">
    <cfRule type="cellIs" dxfId="4949" priority="1603" operator="lessThan">
      <formula>0.8</formula>
    </cfRule>
    <cfRule type="cellIs" dxfId="4948" priority="1604" operator="greaterThan">
      <formula>1</formula>
    </cfRule>
  </conditionalFormatting>
  <conditionalFormatting sqref="R32:R39">
    <cfRule type="cellIs" dxfId="4947" priority="1601" operator="greaterThan">
      <formula>1</formula>
    </cfRule>
    <cfRule type="cellIs" dxfId="4946" priority="1602" operator="lessThan">
      <formula>0.8</formula>
    </cfRule>
  </conditionalFormatting>
  <conditionalFormatting sqref="P32:P39">
    <cfRule type="cellIs" dxfId="4945" priority="1600" operator="greaterThan">
      <formula>0</formula>
    </cfRule>
  </conditionalFormatting>
  <conditionalFormatting sqref="Q32:Q39">
    <cfRule type="cellIs" dxfId="4944" priority="1599" operator="lessThan">
      <formula>0</formula>
    </cfRule>
  </conditionalFormatting>
  <conditionalFormatting sqref="R32:R39">
    <cfRule type="cellIs" dxfId="4943" priority="1597" operator="lessThan">
      <formula>0.8</formula>
    </cfRule>
    <cfRule type="cellIs" dxfId="4942" priority="1598" operator="greaterThan">
      <formula>1</formula>
    </cfRule>
  </conditionalFormatting>
  <conditionalFormatting sqref="R32:R39">
    <cfRule type="cellIs" dxfId="4941" priority="1595" operator="greaterThan">
      <formula>1</formula>
    </cfRule>
    <cfRule type="cellIs" dxfId="4940" priority="1596" operator="lessThan">
      <formula>0.8</formula>
    </cfRule>
  </conditionalFormatting>
  <conditionalFormatting sqref="P32:P39">
    <cfRule type="cellIs" dxfId="4939" priority="1594" operator="greaterThan">
      <formula>0</formula>
    </cfRule>
  </conditionalFormatting>
  <conditionalFormatting sqref="Q32:Q39">
    <cfRule type="cellIs" dxfId="4938" priority="1588" operator="lessThan">
      <formula>0</formula>
    </cfRule>
  </conditionalFormatting>
  <conditionalFormatting sqref="P32:P39">
    <cfRule type="cellIs" dxfId="4937" priority="1589" operator="greaterThan">
      <formula>0</formula>
    </cfRule>
  </conditionalFormatting>
  <conditionalFormatting sqref="R32:R39">
    <cfRule type="cellIs" dxfId="4936" priority="1592" operator="lessThan">
      <formula>0.8</formula>
    </cfRule>
    <cfRule type="cellIs" dxfId="4935" priority="1593" operator="greaterThan">
      <formula>1</formula>
    </cfRule>
  </conditionalFormatting>
  <conditionalFormatting sqref="R32:R39">
    <cfRule type="cellIs" dxfId="4934" priority="1590" operator="greaterThan">
      <formula>1</formula>
    </cfRule>
    <cfRule type="cellIs" dxfId="4933" priority="1591" operator="lessThan">
      <formula>0.8</formula>
    </cfRule>
  </conditionalFormatting>
  <conditionalFormatting sqref="Q32:Q39">
    <cfRule type="cellIs" dxfId="4932" priority="1582" operator="lessThan">
      <formula>0</formula>
    </cfRule>
  </conditionalFormatting>
  <conditionalFormatting sqref="R32:R39">
    <cfRule type="cellIs" dxfId="4931" priority="1586" operator="lessThan">
      <formula>0.8</formula>
    </cfRule>
    <cfRule type="cellIs" dxfId="4930" priority="1587" operator="greaterThan">
      <formula>1</formula>
    </cfRule>
  </conditionalFormatting>
  <conditionalFormatting sqref="R32:R39">
    <cfRule type="cellIs" dxfId="4929" priority="1584" operator="greaterThan">
      <formula>1</formula>
    </cfRule>
    <cfRule type="cellIs" dxfId="4928" priority="1585" operator="lessThan">
      <formula>0.8</formula>
    </cfRule>
  </conditionalFormatting>
  <conditionalFormatting sqref="P32:P39">
    <cfRule type="cellIs" dxfId="4927" priority="1583" operator="greaterThan">
      <formula>0</formula>
    </cfRule>
  </conditionalFormatting>
  <conditionalFormatting sqref="Q32:Q39">
    <cfRule type="cellIs" dxfId="4926" priority="1581" operator="lessThan">
      <formula>0</formula>
    </cfRule>
  </conditionalFormatting>
  <conditionalFormatting sqref="R32:R39">
    <cfRule type="cellIs" dxfId="4925" priority="1579" operator="lessThan">
      <formula>0.8</formula>
    </cfRule>
    <cfRule type="cellIs" dxfId="4924" priority="1580" operator="greaterThan">
      <formula>1</formula>
    </cfRule>
  </conditionalFormatting>
  <conditionalFormatting sqref="R32:R39">
    <cfRule type="cellIs" dxfId="4923" priority="1577" operator="greaterThan">
      <formula>1</formula>
    </cfRule>
    <cfRule type="cellIs" dxfId="4922" priority="1578" operator="lessThan">
      <formula>0.8</formula>
    </cfRule>
  </conditionalFormatting>
  <conditionalFormatting sqref="P32:P39">
    <cfRule type="cellIs" dxfId="4921" priority="1576" operator="greaterThan">
      <formula>0</formula>
    </cfRule>
  </conditionalFormatting>
  <conditionalFormatting sqref="Q32:Q39">
    <cfRule type="cellIs" dxfId="4920" priority="1575" operator="lessThan">
      <formula>0</formula>
    </cfRule>
  </conditionalFormatting>
  <conditionalFormatting sqref="R32:R39">
    <cfRule type="cellIs" dxfId="4919" priority="1573" operator="lessThan">
      <formula>0.8</formula>
    </cfRule>
    <cfRule type="cellIs" dxfId="4918" priority="1574" operator="greaterThan">
      <formula>1</formula>
    </cfRule>
  </conditionalFormatting>
  <conditionalFormatting sqref="R32:R39">
    <cfRule type="cellIs" dxfId="4917" priority="1571" operator="greaterThan">
      <formula>1</formula>
    </cfRule>
    <cfRule type="cellIs" dxfId="4916" priority="1572" operator="lessThan">
      <formula>0.8</formula>
    </cfRule>
  </conditionalFormatting>
  <conditionalFormatting sqref="P32:P39">
    <cfRule type="cellIs" dxfId="4915" priority="1570" operator="greaterThan">
      <formula>0</formula>
    </cfRule>
  </conditionalFormatting>
  <conditionalFormatting sqref="Q19:Q25">
    <cfRule type="cellIs" dxfId="4914" priority="1569" operator="lessThan">
      <formula>0</formula>
    </cfRule>
  </conditionalFormatting>
  <conditionalFormatting sqref="R19:R25">
    <cfRule type="cellIs" dxfId="4913" priority="1567" operator="lessThan">
      <formula>0.8</formula>
    </cfRule>
    <cfRule type="cellIs" dxfId="4912" priority="1568" operator="greaterThan">
      <formula>1</formula>
    </cfRule>
  </conditionalFormatting>
  <conditionalFormatting sqref="R19:R25">
    <cfRule type="cellIs" dxfId="4911" priority="1565" operator="greaterThan">
      <formula>1</formula>
    </cfRule>
    <cfRule type="cellIs" dxfId="4910" priority="1566" operator="lessThan">
      <formula>0.8</formula>
    </cfRule>
  </conditionalFormatting>
  <conditionalFormatting sqref="P19:P25">
    <cfRule type="cellIs" dxfId="4909" priority="1564" operator="greaterThan">
      <formula>0</formula>
    </cfRule>
  </conditionalFormatting>
  <conditionalFormatting sqref="R19:R25">
    <cfRule type="cellIs" dxfId="4908" priority="1561" operator="lessThan">
      <formula>0.8</formula>
    </cfRule>
    <cfRule type="cellIs" dxfId="4907" priority="1562" operator="greaterThan">
      <formula>1</formula>
    </cfRule>
  </conditionalFormatting>
  <conditionalFormatting sqref="R19:R25">
    <cfRule type="cellIs" dxfId="4906" priority="1559" operator="greaterThan">
      <formula>1</formula>
    </cfRule>
    <cfRule type="cellIs" dxfId="4905" priority="1560" operator="lessThan">
      <formula>0.8</formula>
    </cfRule>
  </conditionalFormatting>
  <conditionalFormatting sqref="P19:P25">
    <cfRule type="cellIs" dxfId="4904" priority="1558" operator="greaterThan">
      <formula>0</formula>
    </cfRule>
  </conditionalFormatting>
  <conditionalFormatting sqref="Q19:Q25">
    <cfRule type="cellIs" dxfId="4903" priority="1563" operator="lessThan">
      <formula>0</formula>
    </cfRule>
  </conditionalFormatting>
  <conditionalFormatting sqref="R19:R25">
    <cfRule type="cellIs" dxfId="4902" priority="1555" operator="lessThan">
      <formula>0.8</formula>
    </cfRule>
    <cfRule type="cellIs" dxfId="4901" priority="1556" operator="greaterThan">
      <formula>1</formula>
    </cfRule>
  </conditionalFormatting>
  <conditionalFormatting sqref="R19:R25">
    <cfRule type="cellIs" dxfId="4900" priority="1553" operator="greaterThan">
      <formula>1</formula>
    </cfRule>
    <cfRule type="cellIs" dxfId="4899" priority="1554" operator="lessThan">
      <formula>0.8</formula>
    </cfRule>
  </conditionalFormatting>
  <conditionalFormatting sqref="P19:P25">
    <cfRule type="cellIs" dxfId="4898" priority="1552" operator="greaterThan">
      <formula>0</formula>
    </cfRule>
  </conditionalFormatting>
  <conditionalFormatting sqref="Q19:Q25">
    <cfRule type="cellIs" dxfId="4897" priority="1557" operator="lessThan">
      <formula>0</formula>
    </cfRule>
  </conditionalFormatting>
  <conditionalFormatting sqref="Q19:Q25">
    <cfRule type="cellIs" dxfId="4896" priority="1551" operator="lessThan">
      <formula>0</formula>
    </cfRule>
  </conditionalFormatting>
  <conditionalFormatting sqref="R19:R25">
    <cfRule type="cellIs" dxfId="4895" priority="1549" operator="lessThan">
      <formula>0.8</formula>
    </cfRule>
    <cfRule type="cellIs" dxfId="4894" priority="1550" operator="greaterThan">
      <formula>1</formula>
    </cfRule>
  </conditionalFormatting>
  <conditionalFormatting sqref="R19:R25">
    <cfRule type="cellIs" dxfId="4893" priority="1547" operator="greaterThan">
      <formula>1</formula>
    </cfRule>
    <cfRule type="cellIs" dxfId="4892" priority="1548" operator="lessThan">
      <formula>0.8</formula>
    </cfRule>
  </conditionalFormatting>
  <conditionalFormatting sqref="P19:P25">
    <cfRule type="cellIs" dxfId="4891" priority="1546" operator="greaterThan">
      <formula>0</formula>
    </cfRule>
  </conditionalFormatting>
  <conditionalFormatting sqref="Q135:Q136 Q139 Q142">
    <cfRule type="cellIs" dxfId="4890" priority="1545" operator="lessThan">
      <formula>0</formula>
    </cfRule>
  </conditionalFormatting>
  <conditionalFormatting sqref="R135:R136 R139 R142">
    <cfRule type="cellIs" dxfId="4889" priority="1543" operator="lessThan">
      <formula>0.8</formula>
    </cfRule>
    <cfRule type="cellIs" dxfId="4888" priority="1544" operator="greaterThan">
      <formula>1</formula>
    </cfRule>
  </conditionalFormatting>
  <conditionalFormatting sqref="R135:R136 R139 R142">
    <cfRule type="cellIs" dxfId="4887" priority="1541" operator="greaterThan">
      <formula>1</formula>
    </cfRule>
    <cfRule type="cellIs" dxfId="4886" priority="1542" operator="lessThan">
      <formula>0.8</formula>
    </cfRule>
  </conditionalFormatting>
  <conditionalFormatting sqref="P135:P136 P139 P142">
    <cfRule type="cellIs" dxfId="4885" priority="1540" operator="greaterThan">
      <formula>0</formula>
    </cfRule>
  </conditionalFormatting>
  <conditionalFormatting sqref="P135:P136 P139 P142">
    <cfRule type="cellIs" dxfId="4884" priority="1534" operator="greaterThan">
      <formula>0</formula>
    </cfRule>
  </conditionalFormatting>
  <conditionalFormatting sqref="Q135:Q136 Q139 Q142">
    <cfRule type="cellIs" dxfId="4883" priority="1539" operator="lessThan">
      <formula>0</formula>
    </cfRule>
  </conditionalFormatting>
  <conditionalFormatting sqref="R135:R136 R139 R142">
    <cfRule type="cellIs" dxfId="4882" priority="1537" operator="lessThan">
      <formula>0.8</formula>
    </cfRule>
    <cfRule type="cellIs" dxfId="4881" priority="1538" operator="greaterThan">
      <formula>1</formula>
    </cfRule>
  </conditionalFormatting>
  <conditionalFormatting sqref="R135:R136 R139 R142">
    <cfRule type="cellIs" dxfId="4880" priority="1535" operator="greaterThan">
      <formula>1</formula>
    </cfRule>
    <cfRule type="cellIs" dxfId="4879" priority="1536" operator="lessThan">
      <formula>0.8</formula>
    </cfRule>
  </conditionalFormatting>
  <conditionalFormatting sqref="P19:P25">
    <cfRule type="cellIs" dxfId="4878" priority="1528" operator="greaterThan">
      <formula>0</formula>
    </cfRule>
  </conditionalFormatting>
  <conditionalFormatting sqref="Q19:Q25">
    <cfRule type="cellIs" dxfId="4877" priority="1533" operator="lessThan">
      <formula>0</formula>
    </cfRule>
  </conditionalFormatting>
  <conditionalFormatting sqref="R19:R25">
    <cfRule type="cellIs" dxfId="4876" priority="1531" operator="lessThan">
      <formula>0.8</formula>
    </cfRule>
    <cfRule type="cellIs" dxfId="4875" priority="1532" operator="greaterThan">
      <formula>1</formula>
    </cfRule>
  </conditionalFormatting>
  <conditionalFormatting sqref="R19:R25">
    <cfRule type="cellIs" dxfId="4874" priority="1529" operator="greaterThan">
      <formula>1</formula>
    </cfRule>
    <cfRule type="cellIs" dxfId="4873" priority="1530" operator="lessThan">
      <formula>0.8</formula>
    </cfRule>
  </conditionalFormatting>
  <conditionalFormatting sqref="Q19:Q25">
    <cfRule type="cellIs" dxfId="4872" priority="1527" operator="lessThan">
      <formula>0</formula>
    </cfRule>
  </conditionalFormatting>
  <conditionalFormatting sqref="R19:R25">
    <cfRule type="cellIs" dxfId="4871" priority="1525" operator="lessThan">
      <formula>0.8</formula>
    </cfRule>
    <cfRule type="cellIs" dxfId="4870" priority="1526" operator="greaterThan">
      <formula>1</formula>
    </cfRule>
  </conditionalFormatting>
  <conditionalFormatting sqref="R19:R25">
    <cfRule type="cellIs" dxfId="4869" priority="1523" operator="greaterThan">
      <formula>1</formula>
    </cfRule>
    <cfRule type="cellIs" dxfId="4868" priority="1524" operator="lessThan">
      <formula>0.8</formula>
    </cfRule>
  </conditionalFormatting>
  <conditionalFormatting sqref="P19:P25">
    <cfRule type="cellIs" dxfId="4867" priority="1522" operator="greaterThan">
      <formula>0</formula>
    </cfRule>
  </conditionalFormatting>
  <conditionalFormatting sqref="Q19:Q25">
    <cfRule type="cellIs" dxfId="4866" priority="1521" operator="lessThan">
      <formula>0</formula>
    </cfRule>
  </conditionalFormatting>
  <conditionalFormatting sqref="R19:R25">
    <cfRule type="cellIs" dxfId="4865" priority="1519" operator="lessThan">
      <formula>0.8</formula>
    </cfRule>
    <cfRule type="cellIs" dxfId="4864" priority="1520" operator="greaterThan">
      <formula>1</formula>
    </cfRule>
  </conditionalFormatting>
  <conditionalFormatting sqref="R19:R25">
    <cfRule type="cellIs" dxfId="4863" priority="1517" operator="greaterThan">
      <formula>1</formula>
    </cfRule>
    <cfRule type="cellIs" dxfId="4862" priority="1518" operator="lessThan">
      <formula>0.8</formula>
    </cfRule>
  </conditionalFormatting>
  <conditionalFormatting sqref="P19:P25">
    <cfRule type="cellIs" dxfId="4861" priority="1516" operator="greaterThan">
      <formula>0</formula>
    </cfRule>
  </conditionalFormatting>
  <conditionalFormatting sqref="Q19:Q25">
    <cfRule type="cellIs" dxfId="4860" priority="1515" operator="lessThan">
      <formula>0</formula>
    </cfRule>
  </conditionalFormatting>
  <conditionalFormatting sqref="R19:R25">
    <cfRule type="cellIs" dxfId="4859" priority="1513" operator="lessThan">
      <formula>0.8</formula>
    </cfRule>
    <cfRule type="cellIs" dxfId="4858" priority="1514" operator="greaterThan">
      <formula>1</formula>
    </cfRule>
  </conditionalFormatting>
  <conditionalFormatting sqref="R19:R25">
    <cfRule type="cellIs" dxfId="4857" priority="1511" operator="greaterThan">
      <formula>1</formula>
    </cfRule>
    <cfRule type="cellIs" dxfId="4856" priority="1512" operator="lessThan">
      <formula>0.8</formula>
    </cfRule>
  </conditionalFormatting>
  <conditionalFormatting sqref="P19:P25">
    <cfRule type="cellIs" dxfId="4855" priority="1510" operator="greaterThan">
      <formula>0</formula>
    </cfRule>
  </conditionalFormatting>
  <conditionalFormatting sqref="R19:R25">
    <cfRule type="cellIs" dxfId="4854" priority="1507" operator="lessThan">
      <formula>0.8</formula>
    </cfRule>
    <cfRule type="cellIs" dxfId="4853" priority="1508" operator="greaterThan">
      <formula>1</formula>
    </cfRule>
  </conditionalFormatting>
  <conditionalFormatting sqref="R19:R25">
    <cfRule type="cellIs" dxfId="4852" priority="1505" operator="greaterThan">
      <formula>1</formula>
    </cfRule>
    <cfRule type="cellIs" dxfId="4851" priority="1506" operator="lessThan">
      <formula>0.8</formula>
    </cfRule>
  </conditionalFormatting>
  <conditionalFormatting sqref="P19:P25">
    <cfRule type="cellIs" dxfId="4850" priority="1504" operator="greaterThan">
      <formula>0</formula>
    </cfRule>
  </conditionalFormatting>
  <conditionalFormatting sqref="Q19:Q25">
    <cfRule type="cellIs" dxfId="4849" priority="1509" operator="lessThan">
      <formula>0</formula>
    </cfRule>
  </conditionalFormatting>
  <conditionalFormatting sqref="Q19:Q25">
    <cfRule type="cellIs" dxfId="4848" priority="1503" operator="lessThan">
      <formula>0</formula>
    </cfRule>
  </conditionalFormatting>
  <conditionalFormatting sqref="R19:R25">
    <cfRule type="cellIs" dxfId="4847" priority="1501" operator="lessThan">
      <formula>0.8</formula>
    </cfRule>
    <cfRule type="cellIs" dxfId="4846" priority="1502" operator="greaterThan">
      <formula>1</formula>
    </cfRule>
  </conditionalFormatting>
  <conditionalFormatting sqref="R19:R25">
    <cfRule type="cellIs" dxfId="4845" priority="1499" operator="greaterThan">
      <formula>1</formula>
    </cfRule>
    <cfRule type="cellIs" dxfId="4844" priority="1500" operator="lessThan">
      <formula>0.8</formula>
    </cfRule>
  </conditionalFormatting>
  <conditionalFormatting sqref="P19:P25">
    <cfRule type="cellIs" dxfId="4843" priority="1498" operator="greaterThan">
      <formula>0</formula>
    </cfRule>
  </conditionalFormatting>
  <conditionalFormatting sqref="P19:P25">
    <cfRule type="cellIs" dxfId="4842" priority="1492" operator="greaterThan">
      <formula>0</formula>
    </cfRule>
  </conditionalFormatting>
  <conditionalFormatting sqref="Q19:Q25">
    <cfRule type="cellIs" dxfId="4841" priority="1497" operator="lessThan">
      <formula>0</formula>
    </cfRule>
  </conditionalFormatting>
  <conditionalFormatting sqref="R19:R25">
    <cfRule type="cellIs" dxfId="4840" priority="1495" operator="lessThan">
      <formula>0.8</formula>
    </cfRule>
    <cfRule type="cellIs" dxfId="4839" priority="1496" operator="greaterThan">
      <formula>1</formula>
    </cfRule>
  </conditionalFormatting>
  <conditionalFormatting sqref="R19:R25">
    <cfRule type="cellIs" dxfId="4838" priority="1493" operator="greaterThan">
      <formula>1</formula>
    </cfRule>
    <cfRule type="cellIs" dxfId="4837" priority="1494" operator="lessThan">
      <formula>0.8</formula>
    </cfRule>
  </conditionalFormatting>
  <conditionalFormatting sqref="P19:P25">
    <cfRule type="cellIs" dxfId="4836" priority="1486" operator="greaterThan">
      <formula>0</formula>
    </cfRule>
  </conditionalFormatting>
  <conditionalFormatting sqref="Q19:Q25">
    <cfRule type="cellIs" dxfId="4835" priority="1491" operator="lessThan">
      <formula>0</formula>
    </cfRule>
  </conditionalFormatting>
  <conditionalFormatting sqref="R19:R25">
    <cfRule type="cellIs" dxfId="4834" priority="1489" operator="lessThan">
      <formula>0.8</formula>
    </cfRule>
    <cfRule type="cellIs" dxfId="4833" priority="1490" operator="greaterThan">
      <formula>1</formula>
    </cfRule>
  </conditionalFormatting>
  <conditionalFormatting sqref="R19:R25">
    <cfRule type="cellIs" dxfId="4832" priority="1487" operator="greaterThan">
      <formula>1</formula>
    </cfRule>
    <cfRule type="cellIs" dxfId="4831" priority="1488" operator="lessThan">
      <formula>0.8</formula>
    </cfRule>
  </conditionalFormatting>
  <conditionalFormatting sqref="Q19:Q25">
    <cfRule type="cellIs" dxfId="4830" priority="1485" operator="lessThan">
      <formula>0</formula>
    </cfRule>
  </conditionalFormatting>
  <conditionalFormatting sqref="R19:R25">
    <cfRule type="cellIs" dxfId="4829" priority="1483" operator="lessThan">
      <formula>0.8</formula>
    </cfRule>
    <cfRule type="cellIs" dxfId="4828" priority="1484" operator="greaterThan">
      <formula>1</formula>
    </cfRule>
  </conditionalFormatting>
  <conditionalFormatting sqref="R19:R25">
    <cfRule type="cellIs" dxfId="4827" priority="1481" operator="greaterThan">
      <formula>1</formula>
    </cfRule>
    <cfRule type="cellIs" dxfId="4826" priority="1482" operator="lessThan">
      <formula>0.8</formula>
    </cfRule>
  </conditionalFormatting>
  <conditionalFormatting sqref="P19:P25">
    <cfRule type="cellIs" dxfId="4825" priority="1480" operator="greaterThan">
      <formula>0</formula>
    </cfRule>
  </conditionalFormatting>
  <conditionalFormatting sqref="Q19:Q25">
    <cfRule type="cellIs" dxfId="4824" priority="1479" operator="lessThan">
      <formula>0</formula>
    </cfRule>
  </conditionalFormatting>
  <conditionalFormatting sqref="R19:R25">
    <cfRule type="cellIs" dxfId="4823" priority="1477" operator="lessThan">
      <formula>0.8</formula>
    </cfRule>
    <cfRule type="cellIs" dxfId="4822" priority="1478" operator="greaterThan">
      <formula>1</formula>
    </cfRule>
  </conditionalFormatting>
  <conditionalFormatting sqref="R19:R25">
    <cfRule type="cellIs" dxfId="4821" priority="1475" operator="greaterThan">
      <formula>1</formula>
    </cfRule>
    <cfRule type="cellIs" dxfId="4820" priority="1476" operator="lessThan">
      <formula>0.8</formula>
    </cfRule>
  </conditionalFormatting>
  <conditionalFormatting sqref="P19:P25">
    <cfRule type="cellIs" dxfId="4819" priority="1474" operator="greaterThan">
      <formula>0</formula>
    </cfRule>
  </conditionalFormatting>
  <conditionalFormatting sqref="P19:P25">
    <cfRule type="cellIs" dxfId="4818" priority="1468" operator="greaterThan">
      <formula>0</formula>
    </cfRule>
  </conditionalFormatting>
  <conditionalFormatting sqref="Q19:Q25">
    <cfRule type="cellIs" dxfId="4817" priority="1473" operator="lessThan">
      <formula>0</formula>
    </cfRule>
  </conditionalFormatting>
  <conditionalFormatting sqref="R19:R25">
    <cfRule type="cellIs" dxfId="4816" priority="1471" operator="lessThan">
      <formula>0.8</formula>
    </cfRule>
    <cfRule type="cellIs" dxfId="4815" priority="1472" operator="greaterThan">
      <formula>1</formula>
    </cfRule>
  </conditionalFormatting>
  <conditionalFormatting sqref="R19:R25">
    <cfRule type="cellIs" dxfId="4814" priority="1469" operator="greaterThan">
      <formula>1</formula>
    </cfRule>
    <cfRule type="cellIs" dxfId="4813" priority="1470" operator="lessThan">
      <formula>0.8</formula>
    </cfRule>
  </conditionalFormatting>
  <conditionalFormatting sqref="Q19:Q25">
    <cfRule type="cellIs" dxfId="4812" priority="1467" operator="lessThan">
      <formula>0</formula>
    </cfRule>
  </conditionalFormatting>
  <conditionalFormatting sqref="R19:R25">
    <cfRule type="cellIs" dxfId="4811" priority="1465" operator="lessThan">
      <formula>0.8</formula>
    </cfRule>
    <cfRule type="cellIs" dxfId="4810" priority="1466" operator="greaterThan">
      <formula>1</formula>
    </cfRule>
  </conditionalFormatting>
  <conditionalFormatting sqref="R19:R25">
    <cfRule type="cellIs" dxfId="4809" priority="1463" operator="greaterThan">
      <formula>1</formula>
    </cfRule>
    <cfRule type="cellIs" dxfId="4808" priority="1464" operator="lessThan">
      <formula>0.8</formula>
    </cfRule>
  </conditionalFormatting>
  <conditionalFormatting sqref="P19:P25">
    <cfRule type="cellIs" dxfId="4807" priority="1462" operator="greaterThan">
      <formula>0</formula>
    </cfRule>
  </conditionalFormatting>
  <conditionalFormatting sqref="Q19:Q25">
    <cfRule type="cellIs" dxfId="4806" priority="1461" operator="lessThan">
      <formula>0</formula>
    </cfRule>
  </conditionalFormatting>
  <conditionalFormatting sqref="R19:R25">
    <cfRule type="cellIs" dxfId="4805" priority="1459" operator="lessThan">
      <formula>0.8</formula>
    </cfRule>
    <cfRule type="cellIs" dxfId="4804" priority="1460" operator="greaterThan">
      <formula>1</formula>
    </cfRule>
  </conditionalFormatting>
  <conditionalFormatting sqref="R19:R25">
    <cfRule type="cellIs" dxfId="4803" priority="1457" operator="greaterThan">
      <formula>1</formula>
    </cfRule>
    <cfRule type="cellIs" dxfId="4802" priority="1458" operator="lessThan">
      <formula>0.8</formula>
    </cfRule>
  </conditionalFormatting>
  <conditionalFormatting sqref="P19:P25">
    <cfRule type="cellIs" dxfId="4801" priority="1456" operator="greaterThan">
      <formula>0</formula>
    </cfRule>
  </conditionalFormatting>
  <conditionalFormatting sqref="Q19:Q25">
    <cfRule type="cellIs" dxfId="4800" priority="1455" operator="lessThan">
      <formula>0</formula>
    </cfRule>
  </conditionalFormatting>
  <conditionalFormatting sqref="R19:R25">
    <cfRule type="cellIs" dxfId="4799" priority="1453" operator="lessThan">
      <formula>0.8</formula>
    </cfRule>
    <cfRule type="cellIs" dxfId="4798" priority="1454" operator="greaterThan">
      <formula>1</formula>
    </cfRule>
  </conditionalFormatting>
  <conditionalFormatting sqref="R19:R25">
    <cfRule type="cellIs" dxfId="4797" priority="1451" operator="greaterThan">
      <formula>1</formula>
    </cfRule>
    <cfRule type="cellIs" dxfId="4796" priority="1452" operator="lessThan">
      <formula>0.8</formula>
    </cfRule>
  </conditionalFormatting>
  <conditionalFormatting sqref="P19:P25">
    <cfRule type="cellIs" dxfId="4795" priority="1450" operator="greaterThan">
      <formula>0</formula>
    </cfRule>
  </conditionalFormatting>
  <conditionalFormatting sqref="R19:R25">
    <cfRule type="cellIs" dxfId="4794" priority="1447" operator="lessThan">
      <formula>0.8</formula>
    </cfRule>
    <cfRule type="cellIs" dxfId="4793" priority="1448" operator="greaterThan">
      <formula>1</formula>
    </cfRule>
  </conditionalFormatting>
  <conditionalFormatting sqref="R19:R25">
    <cfRule type="cellIs" dxfId="4792" priority="1445" operator="greaterThan">
      <formula>1</formula>
    </cfRule>
    <cfRule type="cellIs" dxfId="4791" priority="1446" operator="lessThan">
      <formula>0.8</formula>
    </cfRule>
  </conditionalFormatting>
  <conditionalFormatting sqref="P19:P25">
    <cfRule type="cellIs" dxfId="4790" priority="1444" operator="greaterThan">
      <formula>0</formula>
    </cfRule>
  </conditionalFormatting>
  <conditionalFormatting sqref="Q19:Q25">
    <cfRule type="cellIs" dxfId="4789" priority="1449" operator="lessThan">
      <formula>0</formula>
    </cfRule>
  </conditionalFormatting>
  <conditionalFormatting sqref="Q40">
    <cfRule type="cellIs" dxfId="4788" priority="1443" operator="lessThan">
      <formula>0</formula>
    </cfRule>
  </conditionalFormatting>
  <conditionalFormatting sqref="R40">
    <cfRule type="cellIs" dxfId="4787" priority="1441" operator="lessThan">
      <formula>0.8</formula>
    </cfRule>
    <cfRule type="cellIs" dxfId="4786" priority="1442" operator="greaterThan">
      <formula>1</formula>
    </cfRule>
  </conditionalFormatting>
  <conditionalFormatting sqref="R40">
    <cfRule type="cellIs" dxfId="4785" priority="1439" operator="greaterThan">
      <formula>1</formula>
    </cfRule>
    <cfRule type="cellIs" dxfId="4784" priority="1440" operator="lessThan">
      <formula>0.8</formula>
    </cfRule>
  </conditionalFormatting>
  <conditionalFormatting sqref="P40">
    <cfRule type="cellIs" dxfId="4783" priority="1438" operator="greaterThan">
      <formula>0</formula>
    </cfRule>
  </conditionalFormatting>
  <conditionalFormatting sqref="P40">
    <cfRule type="cellIs" dxfId="4782" priority="1432" operator="greaterThan">
      <formula>0</formula>
    </cfRule>
  </conditionalFormatting>
  <conditionalFormatting sqref="Q40">
    <cfRule type="cellIs" dxfId="4781" priority="1437" operator="lessThan">
      <formula>0</formula>
    </cfRule>
  </conditionalFormatting>
  <conditionalFormatting sqref="R40">
    <cfRule type="cellIs" dxfId="4780" priority="1435" operator="lessThan">
      <formula>0.8</formula>
    </cfRule>
    <cfRule type="cellIs" dxfId="4779" priority="1436" operator="greaterThan">
      <formula>1</formula>
    </cfRule>
  </conditionalFormatting>
  <conditionalFormatting sqref="R40">
    <cfRule type="cellIs" dxfId="4778" priority="1433" operator="greaterThan">
      <formula>1</formula>
    </cfRule>
    <cfRule type="cellIs" dxfId="4777" priority="1434" operator="lessThan">
      <formula>0.8</formula>
    </cfRule>
  </conditionalFormatting>
  <conditionalFormatting sqref="P40">
    <cfRule type="cellIs" dxfId="4776" priority="1426" operator="greaterThan">
      <formula>0</formula>
    </cfRule>
  </conditionalFormatting>
  <conditionalFormatting sqref="Q40">
    <cfRule type="cellIs" dxfId="4775" priority="1431" operator="lessThan">
      <formula>0</formula>
    </cfRule>
  </conditionalFormatting>
  <conditionalFormatting sqref="R40">
    <cfRule type="cellIs" dxfId="4774" priority="1429" operator="lessThan">
      <formula>0.8</formula>
    </cfRule>
    <cfRule type="cellIs" dxfId="4773" priority="1430" operator="greaterThan">
      <formula>1</formula>
    </cfRule>
  </conditionalFormatting>
  <conditionalFormatting sqref="R40">
    <cfRule type="cellIs" dxfId="4772" priority="1427" operator="greaterThan">
      <formula>1</formula>
    </cfRule>
    <cfRule type="cellIs" dxfId="4771" priority="1428" operator="lessThan">
      <formula>0.8</formula>
    </cfRule>
  </conditionalFormatting>
  <conditionalFormatting sqref="Q40">
    <cfRule type="cellIs" dxfId="4770" priority="1425" operator="lessThan">
      <formula>0</formula>
    </cfRule>
  </conditionalFormatting>
  <conditionalFormatting sqref="R40">
    <cfRule type="cellIs" dxfId="4769" priority="1423" operator="lessThan">
      <formula>0.8</formula>
    </cfRule>
    <cfRule type="cellIs" dxfId="4768" priority="1424" operator="greaterThan">
      <formula>1</formula>
    </cfRule>
  </conditionalFormatting>
  <conditionalFormatting sqref="R40">
    <cfRule type="cellIs" dxfId="4767" priority="1421" operator="greaterThan">
      <formula>1</formula>
    </cfRule>
    <cfRule type="cellIs" dxfId="4766" priority="1422" operator="lessThan">
      <formula>0.8</formula>
    </cfRule>
  </conditionalFormatting>
  <conditionalFormatting sqref="P40">
    <cfRule type="cellIs" dxfId="4765" priority="1420" operator="greaterThan">
      <formula>0</formula>
    </cfRule>
  </conditionalFormatting>
  <conditionalFormatting sqref="P40">
    <cfRule type="cellIs" dxfId="4764" priority="1414" operator="greaterThan">
      <formula>0</formula>
    </cfRule>
  </conditionalFormatting>
  <conditionalFormatting sqref="Q40">
    <cfRule type="cellIs" dxfId="4763" priority="1419" operator="lessThan">
      <formula>0</formula>
    </cfRule>
  </conditionalFormatting>
  <conditionalFormatting sqref="R40">
    <cfRule type="cellIs" dxfId="4762" priority="1417" operator="lessThan">
      <formula>0.8</formula>
    </cfRule>
    <cfRule type="cellIs" dxfId="4761" priority="1418" operator="greaterThan">
      <formula>1</formula>
    </cfRule>
  </conditionalFormatting>
  <conditionalFormatting sqref="R40">
    <cfRule type="cellIs" dxfId="4760" priority="1415" operator="greaterThan">
      <formula>1</formula>
    </cfRule>
    <cfRule type="cellIs" dxfId="4759" priority="1416" operator="lessThan">
      <formula>0.8</formula>
    </cfRule>
  </conditionalFormatting>
  <conditionalFormatting sqref="P40">
    <cfRule type="cellIs" dxfId="4758" priority="1408" operator="greaterThan">
      <formula>0</formula>
    </cfRule>
  </conditionalFormatting>
  <conditionalFormatting sqref="Q40">
    <cfRule type="cellIs" dxfId="4757" priority="1413" operator="lessThan">
      <formula>0</formula>
    </cfRule>
  </conditionalFormatting>
  <conditionalFormatting sqref="R40">
    <cfRule type="cellIs" dxfId="4756" priority="1411" operator="lessThan">
      <formula>0.8</formula>
    </cfRule>
    <cfRule type="cellIs" dxfId="4755" priority="1412" operator="greaterThan">
      <formula>1</formula>
    </cfRule>
  </conditionalFormatting>
  <conditionalFormatting sqref="R40">
    <cfRule type="cellIs" dxfId="4754" priority="1409" operator="greaterThan">
      <formula>1</formula>
    </cfRule>
    <cfRule type="cellIs" dxfId="4753" priority="1410" operator="lessThan">
      <formula>0.8</formula>
    </cfRule>
  </conditionalFormatting>
  <conditionalFormatting sqref="P40">
    <cfRule type="cellIs" dxfId="4752" priority="1402" operator="greaterThan">
      <formula>0</formula>
    </cfRule>
  </conditionalFormatting>
  <conditionalFormatting sqref="Q40">
    <cfRule type="cellIs" dxfId="4751" priority="1407" operator="lessThan">
      <formula>0</formula>
    </cfRule>
  </conditionalFormatting>
  <conditionalFormatting sqref="R40">
    <cfRule type="cellIs" dxfId="4750" priority="1405" operator="lessThan">
      <formula>0.8</formula>
    </cfRule>
    <cfRule type="cellIs" dxfId="4749" priority="1406" operator="greaterThan">
      <formula>1</formula>
    </cfRule>
  </conditionalFormatting>
  <conditionalFormatting sqref="R40">
    <cfRule type="cellIs" dxfId="4748" priority="1403" operator="greaterThan">
      <formula>1</formula>
    </cfRule>
    <cfRule type="cellIs" dxfId="4747" priority="1404" operator="lessThan">
      <formula>0.8</formula>
    </cfRule>
  </conditionalFormatting>
  <conditionalFormatting sqref="Q40">
    <cfRule type="cellIs" dxfId="4746" priority="1396" operator="lessThan">
      <formula>0</formula>
    </cfRule>
  </conditionalFormatting>
  <conditionalFormatting sqref="P40">
    <cfRule type="cellIs" dxfId="4745" priority="1397" operator="greaterThan">
      <formula>0</formula>
    </cfRule>
  </conditionalFormatting>
  <conditionalFormatting sqref="R40">
    <cfRule type="cellIs" dxfId="4744" priority="1400" operator="lessThan">
      <formula>0.8</formula>
    </cfRule>
    <cfRule type="cellIs" dxfId="4743" priority="1401" operator="greaterThan">
      <formula>1</formula>
    </cfRule>
  </conditionalFormatting>
  <conditionalFormatting sqref="R40">
    <cfRule type="cellIs" dxfId="4742" priority="1398" operator="greaterThan">
      <formula>1</formula>
    </cfRule>
    <cfRule type="cellIs" dxfId="4741" priority="1399" operator="lessThan">
      <formula>0.8</formula>
    </cfRule>
  </conditionalFormatting>
  <conditionalFormatting sqref="Q40">
    <cfRule type="cellIs" dxfId="4740" priority="1390" operator="lessThan">
      <formula>0</formula>
    </cfRule>
  </conditionalFormatting>
  <conditionalFormatting sqref="R40">
    <cfRule type="cellIs" dxfId="4739" priority="1394" operator="lessThan">
      <formula>0.8</formula>
    </cfRule>
    <cfRule type="cellIs" dxfId="4738" priority="1395" operator="greaterThan">
      <formula>1</formula>
    </cfRule>
  </conditionalFormatting>
  <conditionalFormatting sqref="R40">
    <cfRule type="cellIs" dxfId="4737" priority="1392" operator="greaterThan">
      <formula>1</formula>
    </cfRule>
    <cfRule type="cellIs" dxfId="4736" priority="1393" operator="lessThan">
      <formula>0.8</formula>
    </cfRule>
  </conditionalFormatting>
  <conditionalFormatting sqref="P40">
    <cfRule type="cellIs" dxfId="4735" priority="1391" operator="greaterThan">
      <formula>0</formula>
    </cfRule>
  </conditionalFormatting>
  <conditionalFormatting sqref="Q40">
    <cfRule type="cellIs" dxfId="4734" priority="1389" operator="lessThan">
      <formula>0</formula>
    </cfRule>
  </conditionalFormatting>
  <conditionalFormatting sqref="R40">
    <cfRule type="cellIs" dxfId="4733" priority="1387" operator="lessThan">
      <formula>0.8</formula>
    </cfRule>
    <cfRule type="cellIs" dxfId="4732" priority="1388" operator="greaterThan">
      <formula>1</formula>
    </cfRule>
  </conditionalFormatting>
  <conditionalFormatting sqref="R40">
    <cfRule type="cellIs" dxfId="4731" priority="1385" operator="greaterThan">
      <formula>1</formula>
    </cfRule>
    <cfRule type="cellIs" dxfId="4730" priority="1386" operator="lessThan">
      <formula>0.8</formula>
    </cfRule>
  </conditionalFormatting>
  <conditionalFormatting sqref="P40">
    <cfRule type="cellIs" dxfId="4729" priority="1384" operator="greaterThan">
      <formula>0</formula>
    </cfRule>
  </conditionalFormatting>
  <conditionalFormatting sqref="Q40">
    <cfRule type="cellIs" dxfId="4728" priority="1383" operator="lessThan">
      <formula>0</formula>
    </cfRule>
  </conditionalFormatting>
  <conditionalFormatting sqref="R40">
    <cfRule type="cellIs" dxfId="4727" priority="1381" operator="lessThan">
      <formula>0.8</formula>
    </cfRule>
    <cfRule type="cellIs" dxfId="4726" priority="1382" operator="greaterThan">
      <formula>1</formula>
    </cfRule>
  </conditionalFormatting>
  <conditionalFormatting sqref="R40">
    <cfRule type="cellIs" dxfId="4725" priority="1379" operator="greaterThan">
      <formula>1</formula>
    </cfRule>
    <cfRule type="cellIs" dxfId="4724" priority="1380" operator="lessThan">
      <formula>0.8</formula>
    </cfRule>
  </conditionalFormatting>
  <conditionalFormatting sqref="P40">
    <cfRule type="cellIs" dxfId="4723" priority="1378" operator="greaterThan">
      <formula>0</formula>
    </cfRule>
  </conditionalFormatting>
  <conditionalFormatting sqref="Q32:Q39">
    <cfRule type="cellIs" dxfId="4722" priority="1377" operator="lessThan">
      <formula>0</formula>
    </cfRule>
  </conditionalFormatting>
  <conditionalFormatting sqref="R32:R39">
    <cfRule type="cellIs" dxfId="4721" priority="1375" operator="lessThan">
      <formula>0.8</formula>
    </cfRule>
    <cfRule type="cellIs" dxfId="4720" priority="1376" operator="greaterThan">
      <formula>1</formula>
    </cfRule>
  </conditionalFormatting>
  <conditionalFormatting sqref="R32:R39">
    <cfRule type="cellIs" dxfId="4719" priority="1373" operator="greaterThan">
      <formula>1</formula>
    </cfRule>
    <cfRule type="cellIs" dxfId="4718" priority="1374" operator="lessThan">
      <formula>0.8</formula>
    </cfRule>
  </conditionalFormatting>
  <conditionalFormatting sqref="P32:P39">
    <cfRule type="cellIs" dxfId="4717" priority="1372" operator="greaterThan">
      <formula>0</formula>
    </cfRule>
  </conditionalFormatting>
  <conditionalFormatting sqref="Q32:Q39">
    <cfRule type="cellIs" dxfId="4716" priority="1371" operator="lessThan">
      <formula>0</formula>
    </cfRule>
  </conditionalFormatting>
  <conditionalFormatting sqref="R32:R39">
    <cfRule type="cellIs" dxfId="4715" priority="1369" operator="lessThan">
      <formula>0.8</formula>
    </cfRule>
    <cfRule type="cellIs" dxfId="4714" priority="1370" operator="greaterThan">
      <formula>1</formula>
    </cfRule>
  </conditionalFormatting>
  <conditionalFormatting sqref="R32:R39">
    <cfRule type="cellIs" dxfId="4713" priority="1367" operator="greaterThan">
      <formula>1</formula>
    </cfRule>
    <cfRule type="cellIs" dxfId="4712" priority="1368" operator="lessThan">
      <formula>0.8</formula>
    </cfRule>
  </conditionalFormatting>
  <conditionalFormatting sqref="P32:P39">
    <cfRule type="cellIs" dxfId="4711" priority="1366" operator="greaterThan">
      <formula>0</formula>
    </cfRule>
  </conditionalFormatting>
  <conditionalFormatting sqref="Q32:Q39">
    <cfRule type="cellIs" dxfId="4710" priority="1365" operator="lessThan">
      <formula>0</formula>
    </cfRule>
  </conditionalFormatting>
  <conditionalFormatting sqref="R32:R39">
    <cfRule type="cellIs" dxfId="4709" priority="1363" operator="lessThan">
      <formula>0.8</formula>
    </cfRule>
    <cfRule type="cellIs" dxfId="4708" priority="1364" operator="greaterThan">
      <formula>1</formula>
    </cfRule>
  </conditionalFormatting>
  <conditionalFormatting sqref="R32:R39">
    <cfRule type="cellIs" dxfId="4707" priority="1361" operator="greaterThan">
      <formula>1</formula>
    </cfRule>
    <cfRule type="cellIs" dxfId="4706" priority="1362" operator="lessThan">
      <formula>0.8</formula>
    </cfRule>
  </conditionalFormatting>
  <conditionalFormatting sqref="P32:P39">
    <cfRule type="cellIs" dxfId="4705" priority="1360" operator="greaterThan">
      <formula>0</formula>
    </cfRule>
  </conditionalFormatting>
  <conditionalFormatting sqref="Q32:Q39">
    <cfRule type="cellIs" dxfId="4704" priority="1359" operator="lessThan">
      <formula>0</formula>
    </cfRule>
  </conditionalFormatting>
  <conditionalFormatting sqref="R32:R39">
    <cfRule type="cellIs" dxfId="4703" priority="1357" operator="lessThan">
      <formula>0.8</formula>
    </cfRule>
    <cfRule type="cellIs" dxfId="4702" priority="1358" operator="greaterThan">
      <formula>1</formula>
    </cfRule>
  </conditionalFormatting>
  <conditionalFormatting sqref="R32:R39">
    <cfRule type="cellIs" dxfId="4701" priority="1355" operator="greaterThan">
      <formula>1</formula>
    </cfRule>
    <cfRule type="cellIs" dxfId="4700" priority="1356" operator="lessThan">
      <formula>0.8</formula>
    </cfRule>
  </conditionalFormatting>
  <conditionalFormatting sqref="P32:P39">
    <cfRule type="cellIs" dxfId="4699" priority="1354" operator="greaterThan">
      <formula>0</formula>
    </cfRule>
  </conditionalFormatting>
  <conditionalFormatting sqref="P32:P39">
    <cfRule type="cellIs" dxfId="4698" priority="1348" operator="greaterThan">
      <formula>0</formula>
    </cfRule>
  </conditionalFormatting>
  <conditionalFormatting sqref="Q32:Q39">
    <cfRule type="cellIs" dxfId="4697" priority="1353" operator="lessThan">
      <formula>0</formula>
    </cfRule>
  </conditionalFormatting>
  <conditionalFormatting sqref="R32:R39">
    <cfRule type="cellIs" dxfId="4696" priority="1351" operator="lessThan">
      <formula>0.8</formula>
    </cfRule>
    <cfRule type="cellIs" dxfId="4695" priority="1352" operator="greaterThan">
      <formula>1</formula>
    </cfRule>
  </conditionalFormatting>
  <conditionalFormatting sqref="R32:R39">
    <cfRule type="cellIs" dxfId="4694" priority="1349" operator="greaterThan">
      <formula>1</formula>
    </cfRule>
    <cfRule type="cellIs" dxfId="4693" priority="1350" operator="lessThan">
      <formula>0.8</formula>
    </cfRule>
  </conditionalFormatting>
  <conditionalFormatting sqref="P32:P39">
    <cfRule type="cellIs" dxfId="4692" priority="1342" operator="greaterThan">
      <formula>0</formula>
    </cfRule>
  </conditionalFormatting>
  <conditionalFormatting sqref="Q32:Q39">
    <cfRule type="cellIs" dxfId="4691" priority="1347" operator="lessThan">
      <formula>0</formula>
    </cfRule>
  </conditionalFormatting>
  <conditionalFormatting sqref="R32:R39">
    <cfRule type="cellIs" dxfId="4690" priority="1345" operator="lessThan">
      <formula>0.8</formula>
    </cfRule>
    <cfRule type="cellIs" dxfId="4689" priority="1346" operator="greaterThan">
      <formula>1</formula>
    </cfRule>
  </conditionalFormatting>
  <conditionalFormatting sqref="R32:R39">
    <cfRule type="cellIs" dxfId="4688" priority="1343" operator="greaterThan">
      <formula>1</formula>
    </cfRule>
    <cfRule type="cellIs" dxfId="4687" priority="1344" operator="lessThan">
      <formula>0.8</formula>
    </cfRule>
  </conditionalFormatting>
  <conditionalFormatting sqref="R32:R39">
    <cfRule type="cellIs" dxfId="4686" priority="1339" operator="lessThan">
      <formula>0.8</formula>
    </cfRule>
    <cfRule type="cellIs" dxfId="4685" priority="1340" operator="greaterThan">
      <formula>1</formula>
    </cfRule>
  </conditionalFormatting>
  <conditionalFormatting sqref="R32:R39">
    <cfRule type="cellIs" dxfId="4684" priority="1337" operator="greaterThan">
      <formula>1</formula>
    </cfRule>
    <cfRule type="cellIs" dxfId="4683" priority="1338" operator="lessThan">
      <formula>0.8</formula>
    </cfRule>
  </conditionalFormatting>
  <conditionalFormatting sqref="P32:P39">
    <cfRule type="cellIs" dxfId="4682" priority="1336" operator="greaterThan">
      <formula>0</formula>
    </cfRule>
  </conditionalFormatting>
  <conditionalFormatting sqref="Q32:Q39">
    <cfRule type="cellIs" dxfId="4681" priority="1341" operator="lessThan">
      <formula>0</formula>
    </cfRule>
  </conditionalFormatting>
  <conditionalFormatting sqref="Q32:Q39">
    <cfRule type="cellIs" dxfId="4680" priority="1335" operator="lessThan">
      <formula>0</formula>
    </cfRule>
  </conditionalFormatting>
  <conditionalFormatting sqref="R32:R39">
    <cfRule type="cellIs" dxfId="4679" priority="1333" operator="lessThan">
      <formula>0.8</formula>
    </cfRule>
    <cfRule type="cellIs" dxfId="4678" priority="1334" operator="greaterThan">
      <formula>1</formula>
    </cfRule>
  </conditionalFormatting>
  <conditionalFormatting sqref="R32:R39">
    <cfRule type="cellIs" dxfId="4677" priority="1331" operator="greaterThan">
      <formula>1</formula>
    </cfRule>
    <cfRule type="cellIs" dxfId="4676" priority="1332" operator="lessThan">
      <formula>0.8</formula>
    </cfRule>
  </conditionalFormatting>
  <conditionalFormatting sqref="P32:P39">
    <cfRule type="cellIs" dxfId="4675" priority="1330" operator="greaterThan">
      <formula>0</formula>
    </cfRule>
  </conditionalFormatting>
  <conditionalFormatting sqref="P32:P39">
    <cfRule type="cellIs" dxfId="4674" priority="1324" operator="greaterThan">
      <formula>0</formula>
    </cfRule>
  </conditionalFormatting>
  <conditionalFormatting sqref="Q32:Q39">
    <cfRule type="cellIs" dxfId="4673" priority="1329" operator="lessThan">
      <formula>0</formula>
    </cfRule>
  </conditionalFormatting>
  <conditionalFormatting sqref="R32:R39">
    <cfRule type="cellIs" dxfId="4672" priority="1327" operator="lessThan">
      <formula>0.8</formula>
    </cfRule>
    <cfRule type="cellIs" dxfId="4671" priority="1328" operator="greaterThan">
      <formula>1</formula>
    </cfRule>
  </conditionalFormatting>
  <conditionalFormatting sqref="R32:R39">
    <cfRule type="cellIs" dxfId="4670" priority="1325" operator="greaterThan">
      <formula>1</formula>
    </cfRule>
    <cfRule type="cellIs" dxfId="4669" priority="1326" operator="lessThan">
      <formula>0.8</formula>
    </cfRule>
  </conditionalFormatting>
  <conditionalFormatting sqref="P32:P39">
    <cfRule type="cellIs" dxfId="4668" priority="1318" operator="greaterThan">
      <formula>0</formula>
    </cfRule>
  </conditionalFormatting>
  <conditionalFormatting sqref="Q32:Q39">
    <cfRule type="cellIs" dxfId="4667" priority="1323" operator="lessThan">
      <formula>0</formula>
    </cfRule>
  </conditionalFormatting>
  <conditionalFormatting sqref="R32:R39">
    <cfRule type="cellIs" dxfId="4666" priority="1321" operator="lessThan">
      <formula>0.8</formula>
    </cfRule>
    <cfRule type="cellIs" dxfId="4665" priority="1322" operator="greaterThan">
      <formula>1</formula>
    </cfRule>
  </conditionalFormatting>
  <conditionalFormatting sqref="R32:R39">
    <cfRule type="cellIs" dxfId="4664" priority="1319" operator="greaterThan">
      <formula>1</formula>
    </cfRule>
    <cfRule type="cellIs" dxfId="4663" priority="1320" operator="lessThan">
      <formula>0.8</formula>
    </cfRule>
  </conditionalFormatting>
  <conditionalFormatting sqref="R32:R39">
    <cfRule type="cellIs" dxfId="4662" priority="1315" operator="lessThan">
      <formula>0.8</formula>
    </cfRule>
    <cfRule type="cellIs" dxfId="4661" priority="1316" operator="greaterThan">
      <formula>1</formula>
    </cfRule>
  </conditionalFormatting>
  <conditionalFormatting sqref="R32:R39">
    <cfRule type="cellIs" dxfId="4660" priority="1313" operator="greaterThan">
      <formula>1</formula>
    </cfRule>
    <cfRule type="cellIs" dxfId="4659" priority="1314" operator="lessThan">
      <formula>0.8</formula>
    </cfRule>
  </conditionalFormatting>
  <conditionalFormatting sqref="P32:P39">
    <cfRule type="cellIs" dxfId="4658" priority="1312" operator="greaterThan">
      <formula>0</formula>
    </cfRule>
  </conditionalFormatting>
  <conditionalFormatting sqref="Q32:Q39">
    <cfRule type="cellIs" dxfId="4657" priority="1317" operator="lessThan">
      <formula>0</formula>
    </cfRule>
  </conditionalFormatting>
  <conditionalFormatting sqref="P32:P39">
    <cfRule type="cellIs" dxfId="4656" priority="1306" operator="greaterThan">
      <formula>0</formula>
    </cfRule>
  </conditionalFormatting>
  <conditionalFormatting sqref="Q32:Q39">
    <cfRule type="cellIs" dxfId="4655" priority="1311" operator="lessThan">
      <formula>0</formula>
    </cfRule>
  </conditionalFormatting>
  <conditionalFormatting sqref="R32:R39">
    <cfRule type="cellIs" dxfId="4654" priority="1309" operator="lessThan">
      <formula>0.8</formula>
    </cfRule>
    <cfRule type="cellIs" dxfId="4653" priority="1310" operator="greaterThan">
      <formula>1</formula>
    </cfRule>
  </conditionalFormatting>
  <conditionalFormatting sqref="R32:R39">
    <cfRule type="cellIs" dxfId="4652" priority="1307" operator="greaterThan">
      <formula>1</formula>
    </cfRule>
    <cfRule type="cellIs" dxfId="4651" priority="1308" operator="lessThan">
      <formula>0.8</formula>
    </cfRule>
  </conditionalFormatting>
  <conditionalFormatting sqref="R32:R39">
    <cfRule type="cellIs" dxfId="4650" priority="1303" operator="lessThan">
      <formula>0.8</formula>
    </cfRule>
    <cfRule type="cellIs" dxfId="4649" priority="1304" operator="greaterThan">
      <formula>1</formula>
    </cfRule>
  </conditionalFormatting>
  <conditionalFormatting sqref="R32:R39">
    <cfRule type="cellIs" dxfId="4648" priority="1301" operator="greaterThan">
      <formula>1</formula>
    </cfRule>
    <cfRule type="cellIs" dxfId="4647" priority="1302" operator="lessThan">
      <formula>0.8</formula>
    </cfRule>
  </conditionalFormatting>
  <conditionalFormatting sqref="P32:P39">
    <cfRule type="cellIs" dxfId="4646" priority="1300" operator="greaterThan">
      <formula>0</formula>
    </cfRule>
  </conditionalFormatting>
  <conditionalFormatting sqref="Q32:Q39">
    <cfRule type="cellIs" dxfId="4645" priority="1305" operator="lessThan">
      <formula>0</formula>
    </cfRule>
  </conditionalFormatting>
  <conditionalFormatting sqref="R32:R39">
    <cfRule type="cellIs" dxfId="4644" priority="1297" operator="lessThan">
      <formula>0.8</formula>
    </cfRule>
    <cfRule type="cellIs" dxfId="4643" priority="1298" operator="greaterThan">
      <formula>1</formula>
    </cfRule>
  </conditionalFormatting>
  <conditionalFormatting sqref="R32:R39">
    <cfRule type="cellIs" dxfId="4642" priority="1295" operator="greaterThan">
      <formula>1</formula>
    </cfRule>
    <cfRule type="cellIs" dxfId="4641" priority="1296" operator="lessThan">
      <formula>0.8</formula>
    </cfRule>
  </conditionalFormatting>
  <conditionalFormatting sqref="P32:P39">
    <cfRule type="cellIs" dxfId="4640" priority="1294" operator="greaterThan">
      <formula>0</formula>
    </cfRule>
  </conditionalFormatting>
  <conditionalFormatting sqref="Q32:Q39">
    <cfRule type="cellIs" dxfId="4639" priority="1299" operator="lessThan">
      <formula>0</formula>
    </cfRule>
  </conditionalFormatting>
  <conditionalFormatting sqref="Q32:Q39">
    <cfRule type="cellIs" dxfId="4638" priority="1293" operator="lessThan">
      <formula>0</formula>
    </cfRule>
  </conditionalFormatting>
  <conditionalFormatting sqref="R32:R39">
    <cfRule type="cellIs" dxfId="4637" priority="1291" operator="lessThan">
      <formula>0.8</formula>
    </cfRule>
    <cfRule type="cellIs" dxfId="4636" priority="1292" operator="greaterThan">
      <formula>1</formula>
    </cfRule>
  </conditionalFormatting>
  <conditionalFormatting sqref="R32:R39">
    <cfRule type="cellIs" dxfId="4635" priority="1289" operator="greaterThan">
      <formula>1</formula>
    </cfRule>
    <cfRule type="cellIs" dxfId="4634" priority="1290" operator="lessThan">
      <formula>0.8</formula>
    </cfRule>
  </conditionalFormatting>
  <conditionalFormatting sqref="P32:P39">
    <cfRule type="cellIs" dxfId="4633" priority="1288" operator="greaterThan">
      <formula>0</formula>
    </cfRule>
  </conditionalFormatting>
  <conditionalFormatting sqref="Q32:Q39">
    <cfRule type="cellIs" dxfId="4632" priority="1282" operator="lessThan">
      <formula>0</formula>
    </cfRule>
  </conditionalFormatting>
  <conditionalFormatting sqref="R32:R39">
    <cfRule type="cellIs" dxfId="4631" priority="1286" operator="lessThan">
      <formula>0.8</formula>
    </cfRule>
    <cfRule type="cellIs" dxfId="4630" priority="1287" operator="greaterThan">
      <formula>1</formula>
    </cfRule>
  </conditionalFormatting>
  <conditionalFormatting sqref="R32:R39">
    <cfRule type="cellIs" dxfId="4629" priority="1284" operator="greaterThan">
      <formula>1</formula>
    </cfRule>
    <cfRule type="cellIs" dxfId="4628" priority="1285" operator="lessThan">
      <formula>0.8</formula>
    </cfRule>
  </conditionalFormatting>
  <conditionalFormatting sqref="P32:P39">
    <cfRule type="cellIs" dxfId="4627" priority="1283" operator="greaterThan">
      <formula>0</formula>
    </cfRule>
  </conditionalFormatting>
  <conditionalFormatting sqref="Q32:Q39">
    <cfRule type="cellIs" dxfId="4626" priority="1281" operator="lessThan">
      <formula>0</formula>
    </cfRule>
  </conditionalFormatting>
  <conditionalFormatting sqref="R32:R39">
    <cfRule type="cellIs" dxfId="4625" priority="1279" operator="lessThan">
      <formula>0.8</formula>
    </cfRule>
    <cfRule type="cellIs" dxfId="4624" priority="1280" operator="greaterThan">
      <formula>1</formula>
    </cfRule>
  </conditionalFormatting>
  <conditionalFormatting sqref="R32:R39">
    <cfRule type="cellIs" dxfId="4623" priority="1277" operator="greaterThan">
      <formula>1</formula>
    </cfRule>
    <cfRule type="cellIs" dxfId="4622" priority="1278" operator="lessThan">
      <formula>0.8</formula>
    </cfRule>
  </conditionalFormatting>
  <conditionalFormatting sqref="P32:P39">
    <cfRule type="cellIs" dxfId="4621" priority="1276" operator="greaterThan">
      <formula>0</formula>
    </cfRule>
  </conditionalFormatting>
  <conditionalFormatting sqref="Q32:Q39">
    <cfRule type="cellIs" dxfId="4620" priority="1275" operator="lessThan">
      <formula>0</formula>
    </cfRule>
  </conditionalFormatting>
  <conditionalFormatting sqref="R32:R39">
    <cfRule type="cellIs" dxfId="4619" priority="1273" operator="lessThan">
      <formula>0.8</formula>
    </cfRule>
    <cfRule type="cellIs" dxfId="4618" priority="1274" operator="greaterThan">
      <formula>1</formula>
    </cfRule>
  </conditionalFormatting>
  <conditionalFormatting sqref="R32:R39">
    <cfRule type="cellIs" dxfId="4617" priority="1271" operator="greaterThan">
      <formula>1</formula>
    </cfRule>
    <cfRule type="cellIs" dxfId="4616" priority="1272" operator="lessThan">
      <formula>0.8</formula>
    </cfRule>
  </conditionalFormatting>
  <conditionalFormatting sqref="P32:P39">
    <cfRule type="cellIs" dxfId="4615" priority="1270" operator="greaterThan">
      <formula>0</formula>
    </cfRule>
  </conditionalFormatting>
  <conditionalFormatting sqref="Q32:Q39">
    <cfRule type="cellIs" dxfId="4614" priority="1269" operator="lessThan">
      <formula>0</formula>
    </cfRule>
  </conditionalFormatting>
  <conditionalFormatting sqref="R32:R39">
    <cfRule type="cellIs" dxfId="4613" priority="1267" operator="lessThan">
      <formula>0.8</formula>
    </cfRule>
    <cfRule type="cellIs" dxfId="4612" priority="1268" operator="greaterThan">
      <formula>1</formula>
    </cfRule>
  </conditionalFormatting>
  <conditionalFormatting sqref="R32:R39">
    <cfRule type="cellIs" dxfId="4611" priority="1265" operator="greaterThan">
      <formula>1</formula>
    </cfRule>
    <cfRule type="cellIs" dxfId="4610" priority="1266" operator="lessThan">
      <formula>0.8</formula>
    </cfRule>
  </conditionalFormatting>
  <conditionalFormatting sqref="P32:P39">
    <cfRule type="cellIs" dxfId="4609" priority="1264" operator="greaterThan">
      <formula>0</formula>
    </cfRule>
  </conditionalFormatting>
  <conditionalFormatting sqref="Q32:Q39">
    <cfRule type="cellIs" dxfId="4608" priority="1263" operator="lessThan">
      <formula>0</formula>
    </cfRule>
  </conditionalFormatting>
  <conditionalFormatting sqref="R32:R39">
    <cfRule type="cellIs" dxfId="4607" priority="1261" operator="lessThan">
      <formula>0.8</formula>
    </cfRule>
    <cfRule type="cellIs" dxfId="4606" priority="1262" operator="greaterThan">
      <formula>1</formula>
    </cfRule>
  </conditionalFormatting>
  <conditionalFormatting sqref="R32:R39">
    <cfRule type="cellIs" dxfId="4605" priority="1259" operator="greaterThan">
      <formula>1</formula>
    </cfRule>
    <cfRule type="cellIs" dxfId="4604" priority="1260" operator="lessThan">
      <formula>0.8</formula>
    </cfRule>
  </conditionalFormatting>
  <conditionalFormatting sqref="P32:P39">
    <cfRule type="cellIs" dxfId="4603" priority="1258" operator="greaterThan">
      <formula>0</formula>
    </cfRule>
  </conditionalFormatting>
  <conditionalFormatting sqref="Q32:Q39">
    <cfRule type="cellIs" dxfId="4602" priority="1257" operator="lessThan">
      <formula>0</formula>
    </cfRule>
  </conditionalFormatting>
  <conditionalFormatting sqref="R32:R39">
    <cfRule type="cellIs" dxfId="4601" priority="1255" operator="lessThan">
      <formula>0.8</formula>
    </cfRule>
    <cfRule type="cellIs" dxfId="4600" priority="1256" operator="greaterThan">
      <formula>1</formula>
    </cfRule>
  </conditionalFormatting>
  <conditionalFormatting sqref="R32:R39">
    <cfRule type="cellIs" dxfId="4599" priority="1253" operator="greaterThan">
      <formula>1</formula>
    </cfRule>
    <cfRule type="cellIs" dxfId="4598" priority="1254" operator="lessThan">
      <formula>0.8</formula>
    </cfRule>
  </conditionalFormatting>
  <conditionalFormatting sqref="P32:P39">
    <cfRule type="cellIs" dxfId="4597" priority="1252" operator="greaterThan">
      <formula>0</formula>
    </cfRule>
  </conditionalFormatting>
  <conditionalFormatting sqref="P32:P39">
    <cfRule type="cellIs" dxfId="4596" priority="1246" operator="greaterThan">
      <formula>0</formula>
    </cfRule>
  </conditionalFormatting>
  <conditionalFormatting sqref="Q32:Q39">
    <cfRule type="cellIs" dxfId="4595" priority="1251" operator="lessThan">
      <formula>0</formula>
    </cfRule>
  </conditionalFormatting>
  <conditionalFormatting sqref="R32:R39">
    <cfRule type="cellIs" dxfId="4594" priority="1249" operator="lessThan">
      <formula>0.8</formula>
    </cfRule>
    <cfRule type="cellIs" dxfId="4593" priority="1250" operator="greaterThan">
      <formula>1</formula>
    </cfRule>
  </conditionalFormatting>
  <conditionalFormatting sqref="R32:R39">
    <cfRule type="cellIs" dxfId="4592" priority="1247" operator="greaterThan">
      <formula>1</formula>
    </cfRule>
    <cfRule type="cellIs" dxfId="4591" priority="1248" operator="lessThan">
      <formula>0.8</formula>
    </cfRule>
  </conditionalFormatting>
  <conditionalFormatting sqref="P32:P39">
    <cfRule type="cellIs" dxfId="4590" priority="1240" operator="greaterThan">
      <formula>0</formula>
    </cfRule>
  </conditionalFormatting>
  <conditionalFormatting sqref="Q32:Q39">
    <cfRule type="cellIs" dxfId="4589" priority="1245" operator="lessThan">
      <formula>0</formula>
    </cfRule>
  </conditionalFormatting>
  <conditionalFormatting sqref="R32:R39">
    <cfRule type="cellIs" dxfId="4588" priority="1243" operator="lessThan">
      <formula>0.8</formula>
    </cfRule>
    <cfRule type="cellIs" dxfId="4587" priority="1244" operator="greaterThan">
      <formula>1</formula>
    </cfRule>
  </conditionalFormatting>
  <conditionalFormatting sqref="R32:R39">
    <cfRule type="cellIs" dxfId="4586" priority="1241" operator="greaterThan">
      <formula>1</formula>
    </cfRule>
    <cfRule type="cellIs" dxfId="4585" priority="1242" operator="lessThan">
      <formula>0.8</formula>
    </cfRule>
  </conditionalFormatting>
  <conditionalFormatting sqref="R32:R39">
    <cfRule type="cellIs" dxfId="4584" priority="1237" operator="lessThan">
      <formula>0.8</formula>
    </cfRule>
    <cfRule type="cellIs" dxfId="4583" priority="1238" operator="greaterThan">
      <formula>1</formula>
    </cfRule>
  </conditionalFormatting>
  <conditionalFormatting sqref="R32:R39">
    <cfRule type="cellIs" dxfId="4582" priority="1235" operator="greaterThan">
      <formula>1</formula>
    </cfRule>
    <cfRule type="cellIs" dxfId="4581" priority="1236" operator="lessThan">
      <formula>0.8</formula>
    </cfRule>
  </conditionalFormatting>
  <conditionalFormatting sqref="P32:P39">
    <cfRule type="cellIs" dxfId="4580" priority="1234" operator="greaterThan">
      <formula>0</formula>
    </cfRule>
  </conditionalFormatting>
  <conditionalFormatting sqref="Q32:Q39">
    <cfRule type="cellIs" dxfId="4579" priority="1239" operator="lessThan">
      <formula>0</formula>
    </cfRule>
  </conditionalFormatting>
  <conditionalFormatting sqref="Q32:Q39">
    <cfRule type="cellIs" dxfId="4578" priority="1228" operator="lessThan">
      <formula>0</formula>
    </cfRule>
  </conditionalFormatting>
  <conditionalFormatting sqref="P32:P39">
    <cfRule type="cellIs" dxfId="4577" priority="1229" operator="greaterThan">
      <formula>0</formula>
    </cfRule>
  </conditionalFormatting>
  <conditionalFormatting sqref="R32:R39">
    <cfRule type="cellIs" dxfId="4576" priority="1232" operator="lessThan">
      <formula>0.8</formula>
    </cfRule>
    <cfRule type="cellIs" dxfId="4575" priority="1233" operator="greaterThan">
      <formula>1</formula>
    </cfRule>
  </conditionalFormatting>
  <conditionalFormatting sqref="R32:R39">
    <cfRule type="cellIs" dxfId="4574" priority="1230" operator="greaterThan">
      <formula>1</formula>
    </cfRule>
    <cfRule type="cellIs" dxfId="4573" priority="1231" operator="lessThan">
      <formula>0.8</formula>
    </cfRule>
  </conditionalFormatting>
  <conditionalFormatting sqref="Q32:Q39">
    <cfRule type="cellIs" dxfId="4572" priority="1222" operator="lessThan">
      <formula>0</formula>
    </cfRule>
  </conditionalFormatting>
  <conditionalFormatting sqref="R32:R39">
    <cfRule type="cellIs" dxfId="4571" priority="1226" operator="lessThan">
      <formula>0.8</formula>
    </cfRule>
    <cfRule type="cellIs" dxfId="4570" priority="1227" operator="greaterThan">
      <formula>1</formula>
    </cfRule>
  </conditionalFormatting>
  <conditionalFormatting sqref="R32:R39">
    <cfRule type="cellIs" dxfId="4569" priority="1224" operator="greaterThan">
      <formula>1</formula>
    </cfRule>
    <cfRule type="cellIs" dxfId="4568" priority="1225" operator="lessThan">
      <formula>0.8</formula>
    </cfRule>
  </conditionalFormatting>
  <conditionalFormatting sqref="P32:P39">
    <cfRule type="cellIs" dxfId="4567" priority="1223" operator="greaterThan">
      <formula>0</formula>
    </cfRule>
  </conditionalFormatting>
  <conditionalFormatting sqref="Q32:Q39">
    <cfRule type="cellIs" dxfId="4566" priority="1221" operator="lessThan">
      <formula>0</formula>
    </cfRule>
  </conditionalFormatting>
  <conditionalFormatting sqref="R32:R39">
    <cfRule type="cellIs" dxfId="4565" priority="1219" operator="lessThan">
      <formula>0.8</formula>
    </cfRule>
    <cfRule type="cellIs" dxfId="4564" priority="1220" operator="greaterThan">
      <formula>1</formula>
    </cfRule>
  </conditionalFormatting>
  <conditionalFormatting sqref="R32:R39">
    <cfRule type="cellIs" dxfId="4563" priority="1217" operator="greaterThan">
      <formula>1</formula>
    </cfRule>
    <cfRule type="cellIs" dxfId="4562" priority="1218" operator="lessThan">
      <formula>0.8</formula>
    </cfRule>
  </conditionalFormatting>
  <conditionalFormatting sqref="P32:P39">
    <cfRule type="cellIs" dxfId="4561" priority="1216" operator="greaterThan">
      <formula>0</formula>
    </cfRule>
  </conditionalFormatting>
  <conditionalFormatting sqref="Q32:Q39">
    <cfRule type="cellIs" dxfId="4560" priority="1215" operator="lessThan">
      <formula>0</formula>
    </cfRule>
  </conditionalFormatting>
  <conditionalFormatting sqref="R32:R39">
    <cfRule type="cellIs" dxfId="4559" priority="1213" operator="lessThan">
      <formula>0.8</formula>
    </cfRule>
    <cfRule type="cellIs" dxfId="4558" priority="1214" operator="greaterThan">
      <formula>1</formula>
    </cfRule>
  </conditionalFormatting>
  <conditionalFormatting sqref="R32:R39">
    <cfRule type="cellIs" dxfId="4557" priority="1211" operator="greaterThan">
      <formula>1</formula>
    </cfRule>
    <cfRule type="cellIs" dxfId="4556" priority="1212" operator="lessThan">
      <formula>0.8</formula>
    </cfRule>
  </conditionalFormatting>
  <conditionalFormatting sqref="P32:P39">
    <cfRule type="cellIs" dxfId="4555" priority="1210" operator="greaterThan">
      <formula>0</formula>
    </cfRule>
  </conditionalFormatting>
  <conditionalFormatting sqref="Q32:Q39">
    <cfRule type="cellIs" dxfId="4554" priority="1209" operator="lessThan">
      <formula>0</formula>
    </cfRule>
  </conditionalFormatting>
  <conditionalFormatting sqref="R32:R39">
    <cfRule type="cellIs" dxfId="4553" priority="1207" operator="lessThan">
      <formula>0.8</formula>
    </cfRule>
    <cfRule type="cellIs" dxfId="4552" priority="1208" operator="greaterThan">
      <formula>1</formula>
    </cfRule>
  </conditionalFormatting>
  <conditionalFormatting sqref="R32:R39">
    <cfRule type="cellIs" dxfId="4551" priority="1205" operator="greaterThan">
      <formula>1</formula>
    </cfRule>
    <cfRule type="cellIs" dxfId="4550" priority="1206" operator="lessThan">
      <formula>0.8</formula>
    </cfRule>
  </conditionalFormatting>
  <conditionalFormatting sqref="P32:P39">
    <cfRule type="cellIs" dxfId="4549" priority="1204" operator="greaterThan">
      <formula>0</formula>
    </cfRule>
  </conditionalFormatting>
  <conditionalFormatting sqref="Q32:Q39">
    <cfRule type="cellIs" dxfId="4548" priority="1203" operator="lessThan">
      <formula>0</formula>
    </cfRule>
  </conditionalFormatting>
  <conditionalFormatting sqref="R32:R39">
    <cfRule type="cellIs" dxfId="4547" priority="1201" operator="lessThan">
      <formula>0.8</formula>
    </cfRule>
    <cfRule type="cellIs" dxfId="4546" priority="1202" operator="greaterThan">
      <formula>1</formula>
    </cfRule>
  </conditionalFormatting>
  <conditionalFormatting sqref="R32:R39">
    <cfRule type="cellIs" dxfId="4545" priority="1199" operator="greaterThan">
      <formula>1</formula>
    </cfRule>
    <cfRule type="cellIs" dxfId="4544" priority="1200" operator="lessThan">
      <formula>0.8</formula>
    </cfRule>
  </conditionalFormatting>
  <conditionalFormatting sqref="P32:P39">
    <cfRule type="cellIs" dxfId="4543" priority="1198" operator="greaterThan">
      <formula>0</formula>
    </cfRule>
  </conditionalFormatting>
  <conditionalFormatting sqref="Q96:Q105">
    <cfRule type="cellIs" dxfId="4542" priority="1192" operator="lessThan">
      <formula>0</formula>
    </cfRule>
  </conditionalFormatting>
  <conditionalFormatting sqref="P96:P105">
    <cfRule type="cellIs" dxfId="4541" priority="1193" operator="greaterThan">
      <formula>0</formula>
    </cfRule>
  </conditionalFormatting>
  <conditionalFormatting sqref="R96:R105">
    <cfRule type="cellIs" dxfId="4540" priority="1196" operator="lessThan">
      <formula>0.8</formula>
    </cfRule>
    <cfRule type="cellIs" dxfId="4539" priority="1197" operator="greaterThan">
      <formula>1</formula>
    </cfRule>
  </conditionalFormatting>
  <conditionalFormatting sqref="R96:R105">
    <cfRule type="cellIs" dxfId="4538" priority="1194" operator="greaterThan">
      <formula>1</formula>
    </cfRule>
    <cfRule type="cellIs" dxfId="4537" priority="1195" operator="lessThan">
      <formula>0.8</formula>
    </cfRule>
  </conditionalFormatting>
  <conditionalFormatting sqref="Q96:Q105">
    <cfRule type="cellIs" dxfId="4536" priority="1186" operator="lessThan">
      <formula>0</formula>
    </cfRule>
  </conditionalFormatting>
  <conditionalFormatting sqref="R96:R105">
    <cfRule type="cellIs" dxfId="4535" priority="1190" operator="lessThan">
      <formula>0.8</formula>
    </cfRule>
    <cfRule type="cellIs" dxfId="4534" priority="1191" operator="greaterThan">
      <formula>1</formula>
    </cfRule>
  </conditionalFormatting>
  <conditionalFormatting sqref="R96:R105">
    <cfRule type="cellIs" dxfId="4533" priority="1188" operator="greaterThan">
      <formula>1</formula>
    </cfRule>
    <cfRule type="cellIs" dxfId="4532" priority="1189" operator="lessThan">
      <formula>0.8</formula>
    </cfRule>
  </conditionalFormatting>
  <conditionalFormatting sqref="P96:P105">
    <cfRule type="cellIs" dxfId="4531" priority="1187" operator="greaterThan">
      <formula>0</formula>
    </cfRule>
  </conditionalFormatting>
  <conditionalFormatting sqref="Q96:Q105">
    <cfRule type="cellIs" dxfId="4530" priority="1185" operator="lessThan">
      <formula>0</formula>
    </cfRule>
  </conditionalFormatting>
  <conditionalFormatting sqref="R96:R105">
    <cfRule type="cellIs" dxfId="4529" priority="1183" operator="lessThan">
      <formula>0.8</formula>
    </cfRule>
    <cfRule type="cellIs" dxfId="4528" priority="1184" operator="greaterThan">
      <formula>1</formula>
    </cfRule>
  </conditionalFormatting>
  <conditionalFormatting sqref="R96:R105">
    <cfRule type="cellIs" dxfId="4527" priority="1181" operator="greaterThan">
      <formula>1</formula>
    </cfRule>
    <cfRule type="cellIs" dxfId="4526" priority="1182" operator="lessThan">
      <formula>0.8</formula>
    </cfRule>
  </conditionalFormatting>
  <conditionalFormatting sqref="P96:P105">
    <cfRule type="cellIs" dxfId="4525" priority="1180" operator="greaterThan">
      <formula>0</formula>
    </cfRule>
  </conditionalFormatting>
  <conditionalFormatting sqref="Q96:Q105">
    <cfRule type="cellIs" dxfId="4524" priority="1179" operator="lessThan">
      <formula>0</formula>
    </cfRule>
  </conditionalFormatting>
  <conditionalFormatting sqref="R96:R105">
    <cfRule type="cellIs" dxfId="4523" priority="1177" operator="lessThan">
      <formula>0.8</formula>
    </cfRule>
    <cfRule type="cellIs" dxfId="4522" priority="1178" operator="greaterThan">
      <formula>1</formula>
    </cfRule>
  </conditionalFormatting>
  <conditionalFormatting sqref="R96:R105">
    <cfRule type="cellIs" dxfId="4521" priority="1175" operator="greaterThan">
      <formula>1</formula>
    </cfRule>
    <cfRule type="cellIs" dxfId="4520" priority="1176" operator="lessThan">
      <formula>0.8</formula>
    </cfRule>
  </conditionalFormatting>
  <conditionalFormatting sqref="P96:P105">
    <cfRule type="cellIs" dxfId="4519" priority="1174" operator="greaterThan">
      <formula>0</formula>
    </cfRule>
  </conditionalFormatting>
  <conditionalFormatting sqref="Q96:Q105">
    <cfRule type="cellIs" dxfId="4518" priority="1168" operator="lessThan">
      <formula>0</formula>
    </cfRule>
  </conditionalFormatting>
  <conditionalFormatting sqref="R96:R105">
    <cfRule type="cellIs" dxfId="4517" priority="1172" operator="lessThan">
      <formula>0.8</formula>
    </cfRule>
    <cfRule type="cellIs" dxfId="4516" priority="1173" operator="greaterThan">
      <formula>1</formula>
    </cfRule>
  </conditionalFormatting>
  <conditionalFormatting sqref="R96:R105">
    <cfRule type="cellIs" dxfId="4515" priority="1170" operator="greaterThan">
      <formula>1</formula>
    </cfRule>
    <cfRule type="cellIs" dxfId="4514" priority="1171" operator="lessThan">
      <formula>0.8</formula>
    </cfRule>
  </conditionalFormatting>
  <conditionalFormatting sqref="P96:P105">
    <cfRule type="cellIs" dxfId="4513" priority="1169" operator="greaterThan">
      <formula>0</formula>
    </cfRule>
  </conditionalFormatting>
  <conditionalFormatting sqref="Q96:Q105">
    <cfRule type="cellIs" dxfId="4512" priority="1167" operator="lessThan">
      <formula>0</formula>
    </cfRule>
  </conditionalFormatting>
  <conditionalFormatting sqref="R96:R105">
    <cfRule type="cellIs" dxfId="4511" priority="1165" operator="lessThan">
      <formula>0.8</formula>
    </cfRule>
    <cfRule type="cellIs" dxfId="4510" priority="1166" operator="greaterThan">
      <formula>1</formula>
    </cfRule>
  </conditionalFormatting>
  <conditionalFormatting sqref="R96:R105">
    <cfRule type="cellIs" dxfId="4509" priority="1163" operator="greaterThan">
      <formula>1</formula>
    </cfRule>
    <cfRule type="cellIs" dxfId="4508" priority="1164" operator="lessThan">
      <formula>0.8</formula>
    </cfRule>
  </conditionalFormatting>
  <conditionalFormatting sqref="P96:P105">
    <cfRule type="cellIs" dxfId="4507" priority="1162" operator="greaterThan">
      <formula>0</formula>
    </cfRule>
  </conditionalFormatting>
  <conditionalFormatting sqref="Q96:Q105">
    <cfRule type="cellIs" dxfId="4506" priority="1161" operator="lessThan">
      <formula>0</formula>
    </cfRule>
  </conditionalFormatting>
  <conditionalFormatting sqref="R96:R105">
    <cfRule type="cellIs" dxfId="4505" priority="1159" operator="lessThan">
      <formula>0.8</formula>
    </cfRule>
    <cfRule type="cellIs" dxfId="4504" priority="1160" operator="greaterThan">
      <formula>1</formula>
    </cfRule>
  </conditionalFormatting>
  <conditionalFormatting sqref="R96:R105">
    <cfRule type="cellIs" dxfId="4503" priority="1157" operator="greaterThan">
      <formula>1</formula>
    </cfRule>
    <cfRule type="cellIs" dxfId="4502" priority="1158" operator="lessThan">
      <formula>0.8</formula>
    </cfRule>
  </conditionalFormatting>
  <conditionalFormatting sqref="P96:P105">
    <cfRule type="cellIs" dxfId="4501" priority="1156" operator="greaterThan">
      <formula>0</formula>
    </cfRule>
  </conditionalFormatting>
  <conditionalFormatting sqref="Q96:Q105">
    <cfRule type="cellIs" dxfId="4500" priority="1155" operator="lessThan">
      <formula>0</formula>
    </cfRule>
  </conditionalFormatting>
  <conditionalFormatting sqref="R96:R105">
    <cfRule type="cellIs" dxfId="4499" priority="1153" operator="lessThan">
      <formula>0.8</formula>
    </cfRule>
    <cfRule type="cellIs" dxfId="4498" priority="1154" operator="greaterThan">
      <formula>1</formula>
    </cfRule>
  </conditionalFormatting>
  <conditionalFormatting sqref="R96:R105">
    <cfRule type="cellIs" dxfId="4497" priority="1151" operator="greaterThan">
      <formula>1</formula>
    </cfRule>
    <cfRule type="cellIs" dxfId="4496" priority="1152" operator="lessThan">
      <formula>0.8</formula>
    </cfRule>
  </conditionalFormatting>
  <conditionalFormatting sqref="P96:P105">
    <cfRule type="cellIs" dxfId="4495" priority="1150" operator="greaterThan">
      <formula>0</formula>
    </cfRule>
  </conditionalFormatting>
  <conditionalFormatting sqref="Q96:Q105">
    <cfRule type="cellIs" dxfId="4494" priority="1149" operator="lessThan">
      <formula>0</formula>
    </cfRule>
  </conditionalFormatting>
  <conditionalFormatting sqref="R96:R105">
    <cfRule type="cellIs" dxfId="4493" priority="1147" operator="lessThan">
      <formula>0.8</formula>
    </cfRule>
    <cfRule type="cellIs" dxfId="4492" priority="1148" operator="greaterThan">
      <formula>1</formula>
    </cfRule>
  </conditionalFormatting>
  <conditionalFormatting sqref="R96:R105">
    <cfRule type="cellIs" dxfId="4491" priority="1145" operator="greaterThan">
      <formula>1</formula>
    </cfRule>
    <cfRule type="cellIs" dxfId="4490" priority="1146" operator="lessThan">
      <formula>0.8</formula>
    </cfRule>
  </conditionalFormatting>
  <conditionalFormatting sqref="P96:P105">
    <cfRule type="cellIs" dxfId="4489" priority="1144" operator="greaterThan">
      <formula>0</formula>
    </cfRule>
  </conditionalFormatting>
  <conditionalFormatting sqref="Q96:Q105">
    <cfRule type="cellIs" dxfId="4488" priority="1143" operator="lessThan">
      <formula>0</formula>
    </cfRule>
  </conditionalFormatting>
  <conditionalFormatting sqref="R96:R105">
    <cfRule type="cellIs" dxfId="4487" priority="1141" operator="lessThan">
      <formula>0.8</formula>
    </cfRule>
    <cfRule type="cellIs" dxfId="4486" priority="1142" operator="greaterThan">
      <formula>1</formula>
    </cfRule>
  </conditionalFormatting>
  <conditionalFormatting sqref="R96:R105">
    <cfRule type="cellIs" dxfId="4485" priority="1139" operator="greaterThan">
      <formula>1</formula>
    </cfRule>
    <cfRule type="cellIs" dxfId="4484" priority="1140" operator="lessThan">
      <formula>0.8</formula>
    </cfRule>
  </conditionalFormatting>
  <conditionalFormatting sqref="P96:P105">
    <cfRule type="cellIs" dxfId="4483" priority="1138" operator="greaterThan">
      <formula>0</formula>
    </cfRule>
  </conditionalFormatting>
  <conditionalFormatting sqref="P96:P105">
    <cfRule type="cellIs" dxfId="4482" priority="1132" operator="greaterThan">
      <formula>0</formula>
    </cfRule>
  </conditionalFormatting>
  <conditionalFormatting sqref="Q96:Q105">
    <cfRule type="cellIs" dxfId="4481" priority="1137" operator="lessThan">
      <formula>0</formula>
    </cfRule>
  </conditionalFormatting>
  <conditionalFormatting sqref="R96:R105">
    <cfRule type="cellIs" dxfId="4480" priority="1135" operator="lessThan">
      <formula>0.8</formula>
    </cfRule>
    <cfRule type="cellIs" dxfId="4479" priority="1136" operator="greaterThan">
      <formula>1</formula>
    </cfRule>
  </conditionalFormatting>
  <conditionalFormatting sqref="R96:R105">
    <cfRule type="cellIs" dxfId="4478" priority="1133" operator="greaterThan">
      <formula>1</formula>
    </cfRule>
    <cfRule type="cellIs" dxfId="4477" priority="1134" operator="lessThan">
      <formula>0.8</formula>
    </cfRule>
  </conditionalFormatting>
  <conditionalFormatting sqref="P96:P105">
    <cfRule type="cellIs" dxfId="4476" priority="1126" operator="greaterThan">
      <formula>0</formula>
    </cfRule>
  </conditionalFormatting>
  <conditionalFormatting sqref="Q96:Q105">
    <cfRule type="cellIs" dxfId="4475" priority="1131" operator="lessThan">
      <formula>0</formula>
    </cfRule>
  </conditionalFormatting>
  <conditionalFormatting sqref="R96:R105">
    <cfRule type="cellIs" dxfId="4474" priority="1129" operator="lessThan">
      <formula>0.8</formula>
    </cfRule>
    <cfRule type="cellIs" dxfId="4473" priority="1130" operator="greaterThan">
      <formula>1</formula>
    </cfRule>
  </conditionalFormatting>
  <conditionalFormatting sqref="R96:R105">
    <cfRule type="cellIs" dxfId="4472" priority="1127" operator="greaterThan">
      <formula>1</formula>
    </cfRule>
    <cfRule type="cellIs" dxfId="4471" priority="1128" operator="lessThan">
      <formula>0.8</formula>
    </cfRule>
  </conditionalFormatting>
  <conditionalFormatting sqref="R96:R105">
    <cfRule type="cellIs" dxfId="4470" priority="1123" operator="lessThan">
      <formula>0.8</formula>
    </cfRule>
    <cfRule type="cellIs" dxfId="4469" priority="1124" operator="greaterThan">
      <formula>1</formula>
    </cfRule>
  </conditionalFormatting>
  <conditionalFormatting sqref="R96:R105">
    <cfRule type="cellIs" dxfId="4468" priority="1121" operator="greaterThan">
      <formula>1</formula>
    </cfRule>
    <cfRule type="cellIs" dxfId="4467" priority="1122" operator="lessThan">
      <formula>0.8</formula>
    </cfRule>
  </conditionalFormatting>
  <conditionalFormatting sqref="P96:P105">
    <cfRule type="cellIs" dxfId="4466" priority="1120" operator="greaterThan">
      <formula>0</formula>
    </cfRule>
  </conditionalFormatting>
  <conditionalFormatting sqref="Q96:Q105">
    <cfRule type="cellIs" dxfId="4465" priority="1125" operator="lessThan">
      <formula>0</formula>
    </cfRule>
  </conditionalFormatting>
  <conditionalFormatting sqref="Q96:Q105">
    <cfRule type="cellIs" dxfId="4464" priority="1114" operator="lessThan">
      <formula>0</formula>
    </cfRule>
  </conditionalFormatting>
  <conditionalFormatting sqref="P96:P105">
    <cfRule type="cellIs" dxfId="4463" priority="1115" operator="greaterThan">
      <formula>0</formula>
    </cfRule>
  </conditionalFormatting>
  <conditionalFormatting sqref="R96:R105">
    <cfRule type="cellIs" dxfId="4462" priority="1118" operator="lessThan">
      <formula>0.8</formula>
    </cfRule>
    <cfRule type="cellIs" dxfId="4461" priority="1119" operator="greaterThan">
      <formula>1</formula>
    </cfRule>
  </conditionalFormatting>
  <conditionalFormatting sqref="R96:R105">
    <cfRule type="cellIs" dxfId="4460" priority="1116" operator="greaterThan">
      <formula>1</formula>
    </cfRule>
    <cfRule type="cellIs" dxfId="4459" priority="1117" operator="lessThan">
      <formula>0.8</formula>
    </cfRule>
  </conditionalFormatting>
  <conditionalFormatting sqref="Q96:Q105">
    <cfRule type="cellIs" dxfId="4458" priority="1108" operator="lessThan">
      <formula>0</formula>
    </cfRule>
  </conditionalFormatting>
  <conditionalFormatting sqref="R96:R105">
    <cfRule type="cellIs" dxfId="4457" priority="1112" operator="lessThan">
      <formula>0.8</formula>
    </cfRule>
    <cfRule type="cellIs" dxfId="4456" priority="1113" operator="greaterThan">
      <formula>1</formula>
    </cfRule>
  </conditionalFormatting>
  <conditionalFormatting sqref="R96:R105">
    <cfRule type="cellIs" dxfId="4455" priority="1110" operator="greaterThan">
      <formula>1</formula>
    </cfRule>
    <cfRule type="cellIs" dxfId="4454" priority="1111" operator="lessThan">
      <formula>0.8</formula>
    </cfRule>
  </conditionalFormatting>
  <conditionalFormatting sqref="P96:P105">
    <cfRule type="cellIs" dxfId="4453" priority="1109" operator="greaterThan">
      <formula>0</formula>
    </cfRule>
  </conditionalFormatting>
  <conditionalFormatting sqref="Q96:Q105">
    <cfRule type="cellIs" dxfId="4452" priority="1107" operator="lessThan">
      <formula>0</formula>
    </cfRule>
  </conditionalFormatting>
  <conditionalFormatting sqref="R96:R105">
    <cfRule type="cellIs" dxfId="4451" priority="1105" operator="lessThan">
      <formula>0.8</formula>
    </cfRule>
    <cfRule type="cellIs" dxfId="4450" priority="1106" operator="greaterThan">
      <formula>1</formula>
    </cfRule>
  </conditionalFormatting>
  <conditionalFormatting sqref="R96:R105">
    <cfRule type="cellIs" dxfId="4449" priority="1103" operator="greaterThan">
      <formula>1</formula>
    </cfRule>
    <cfRule type="cellIs" dxfId="4448" priority="1104" operator="lessThan">
      <formula>0.8</formula>
    </cfRule>
  </conditionalFormatting>
  <conditionalFormatting sqref="P96:P105">
    <cfRule type="cellIs" dxfId="4447" priority="1102" operator="greaterThan">
      <formula>0</formula>
    </cfRule>
  </conditionalFormatting>
  <conditionalFormatting sqref="Q96:Q105">
    <cfRule type="cellIs" dxfId="4446" priority="1101" operator="lessThan">
      <formula>0</formula>
    </cfRule>
  </conditionalFormatting>
  <conditionalFormatting sqref="R96:R105">
    <cfRule type="cellIs" dxfId="4445" priority="1099" operator="lessThan">
      <formula>0.8</formula>
    </cfRule>
    <cfRule type="cellIs" dxfId="4444" priority="1100" operator="greaterThan">
      <formula>1</formula>
    </cfRule>
  </conditionalFormatting>
  <conditionalFormatting sqref="R96:R105">
    <cfRule type="cellIs" dxfId="4443" priority="1097" operator="greaterThan">
      <formula>1</formula>
    </cfRule>
    <cfRule type="cellIs" dxfId="4442" priority="1098" operator="lessThan">
      <formula>0.8</formula>
    </cfRule>
  </conditionalFormatting>
  <conditionalFormatting sqref="P96:P105">
    <cfRule type="cellIs" dxfId="4441" priority="1096" operator="greaterThan">
      <formula>0</formula>
    </cfRule>
  </conditionalFormatting>
  <conditionalFormatting sqref="Q96:Q105">
    <cfRule type="cellIs" dxfId="4440" priority="1090" operator="lessThan">
      <formula>0</formula>
    </cfRule>
  </conditionalFormatting>
  <conditionalFormatting sqref="P96:P105">
    <cfRule type="cellIs" dxfId="4439" priority="1091" operator="greaterThan">
      <formula>0</formula>
    </cfRule>
  </conditionalFormatting>
  <conditionalFormatting sqref="R96:R105">
    <cfRule type="cellIs" dxfId="4438" priority="1094" operator="lessThan">
      <formula>0.8</formula>
    </cfRule>
    <cfRule type="cellIs" dxfId="4437" priority="1095" operator="greaterThan">
      <formula>1</formula>
    </cfRule>
  </conditionalFormatting>
  <conditionalFormatting sqref="R96:R105">
    <cfRule type="cellIs" dxfId="4436" priority="1092" operator="greaterThan">
      <formula>1</formula>
    </cfRule>
    <cfRule type="cellIs" dxfId="4435" priority="1093" operator="lessThan">
      <formula>0.8</formula>
    </cfRule>
  </conditionalFormatting>
  <conditionalFormatting sqref="Q96:Q105">
    <cfRule type="cellIs" dxfId="4434" priority="1084" operator="lessThan">
      <formula>0</formula>
    </cfRule>
  </conditionalFormatting>
  <conditionalFormatting sqref="R96:R105">
    <cfRule type="cellIs" dxfId="4433" priority="1088" operator="lessThan">
      <formula>0.8</formula>
    </cfRule>
    <cfRule type="cellIs" dxfId="4432" priority="1089" operator="greaterThan">
      <formula>1</formula>
    </cfRule>
  </conditionalFormatting>
  <conditionalFormatting sqref="R96:R105">
    <cfRule type="cellIs" dxfId="4431" priority="1086" operator="greaterThan">
      <formula>1</formula>
    </cfRule>
    <cfRule type="cellIs" dxfId="4430" priority="1087" operator="lessThan">
      <formula>0.8</formula>
    </cfRule>
  </conditionalFormatting>
  <conditionalFormatting sqref="P96:P105">
    <cfRule type="cellIs" dxfId="4429" priority="1085" operator="greaterThan">
      <formula>0</formula>
    </cfRule>
  </conditionalFormatting>
  <conditionalFormatting sqref="Q96:Q105">
    <cfRule type="cellIs" dxfId="4428" priority="1083" operator="lessThan">
      <formula>0</formula>
    </cfRule>
  </conditionalFormatting>
  <conditionalFormatting sqref="R96:R105">
    <cfRule type="cellIs" dxfId="4427" priority="1081" operator="lessThan">
      <formula>0.8</formula>
    </cfRule>
    <cfRule type="cellIs" dxfId="4426" priority="1082" operator="greaterThan">
      <formula>1</formula>
    </cfRule>
  </conditionalFormatting>
  <conditionalFormatting sqref="R96:R105">
    <cfRule type="cellIs" dxfId="4425" priority="1079" operator="greaterThan">
      <formula>1</formula>
    </cfRule>
    <cfRule type="cellIs" dxfId="4424" priority="1080" operator="lessThan">
      <formula>0.8</formula>
    </cfRule>
  </conditionalFormatting>
  <conditionalFormatting sqref="P96:P105">
    <cfRule type="cellIs" dxfId="4423" priority="1078" operator="greaterThan">
      <formula>0</formula>
    </cfRule>
  </conditionalFormatting>
  <conditionalFormatting sqref="Q96:Q105">
    <cfRule type="cellIs" dxfId="4422" priority="1077" operator="lessThan">
      <formula>0</formula>
    </cfRule>
  </conditionalFormatting>
  <conditionalFormatting sqref="R96:R105">
    <cfRule type="cellIs" dxfId="4421" priority="1075" operator="lessThan">
      <formula>0.8</formula>
    </cfRule>
    <cfRule type="cellIs" dxfId="4420" priority="1076" operator="greaterThan">
      <formula>1</formula>
    </cfRule>
  </conditionalFormatting>
  <conditionalFormatting sqref="R96:R105">
    <cfRule type="cellIs" dxfId="4419" priority="1073" operator="greaterThan">
      <formula>1</formula>
    </cfRule>
    <cfRule type="cellIs" dxfId="4418" priority="1074" operator="lessThan">
      <formula>0.8</formula>
    </cfRule>
  </conditionalFormatting>
  <conditionalFormatting sqref="P96:P105">
    <cfRule type="cellIs" dxfId="4417" priority="1072" operator="greaterThan">
      <formula>0</formula>
    </cfRule>
  </conditionalFormatting>
  <conditionalFormatting sqref="P124 P131 P127">
    <cfRule type="cellIs" dxfId="4416" priority="1066" operator="greaterThan">
      <formula>0</formula>
    </cfRule>
  </conditionalFormatting>
  <conditionalFormatting sqref="Q124 Q131 Q127">
    <cfRule type="cellIs" dxfId="4415" priority="1071" operator="lessThan">
      <formula>0</formula>
    </cfRule>
  </conditionalFormatting>
  <conditionalFormatting sqref="R124 R131 R127">
    <cfRule type="cellIs" dxfId="4414" priority="1069" operator="lessThan">
      <formula>0.8</formula>
    </cfRule>
    <cfRule type="cellIs" dxfId="4413" priority="1070" operator="greaterThan">
      <formula>1</formula>
    </cfRule>
  </conditionalFormatting>
  <conditionalFormatting sqref="R124 R131 R127">
    <cfRule type="cellIs" dxfId="4412" priority="1067" operator="greaterThan">
      <formula>1</formula>
    </cfRule>
    <cfRule type="cellIs" dxfId="4411" priority="1068" operator="lessThan">
      <formula>0.8</formula>
    </cfRule>
  </conditionalFormatting>
  <conditionalFormatting sqref="Q124 Q131 Q127">
    <cfRule type="cellIs" dxfId="4410" priority="1065" operator="lessThan">
      <formula>0</formula>
    </cfRule>
  </conditionalFormatting>
  <conditionalFormatting sqref="R124 R131 R127">
    <cfRule type="cellIs" dxfId="4409" priority="1063" operator="lessThan">
      <formula>0.8</formula>
    </cfRule>
    <cfRule type="cellIs" dxfId="4408" priority="1064" operator="greaterThan">
      <formula>1</formula>
    </cfRule>
  </conditionalFormatting>
  <conditionalFormatting sqref="R124 R131 R127">
    <cfRule type="cellIs" dxfId="4407" priority="1061" operator="greaterThan">
      <formula>1</formula>
    </cfRule>
    <cfRule type="cellIs" dxfId="4406" priority="1062" operator="lessThan">
      <formula>0.8</formula>
    </cfRule>
  </conditionalFormatting>
  <conditionalFormatting sqref="P124 P131 P127">
    <cfRule type="cellIs" dxfId="4405" priority="1060" operator="greaterThan">
      <formula>0</formula>
    </cfRule>
  </conditionalFormatting>
  <conditionalFormatting sqref="Q123 Q125:Q126 Q128:Q130">
    <cfRule type="cellIs" dxfId="4404" priority="1059" operator="lessThan">
      <formula>0</formula>
    </cfRule>
  </conditionalFormatting>
  <conditionalFormatting sqref="R123 R125:R126 R128:R130">
    <cfRule type="cellIs" dxfId="4403" priority="1057" operator="lessThan">
      <formula>0.8</formula>
    </cfRule>
    <cfRule type="cellIs" dxfId="4402" priority="1058" operator="greaterThan">
      <formula>1</formula>
    </cfRule>
  </conditionalFormatting>
  <conditionalFormatting sqref="R123 R125:R126 R128:R130">
    <cfRule type="cellIs" dxfId="4401" priority="1055" operator="greaterThan">
      <formula>1</formula>
    </cfRule>
    <cfRule type="cellIs" dxfId="4400" priority="1056" operator="lessThan">
      <formula>0.8</formula>
    </cfRule>
  </conditionalFormatting>
  <conditionalFormatting sqref="P123 P125:P126 P128:P130">
    <cfRule type="cellIs" dxfId="4399" priority="1054" operator="greaterThan">
      <formula>0</formula>
    </cfRule>
  </conditionalFormatting>
  <conditionalFormatting sqref="P123 P125:P126 P128:P130">
    <cfRule type="cellIs" dxfId="4398" priority="1048" operator="greaterThan">
      <formula>0</formula>
    </cfRule>
  </conditionalFormatting>
  <conditionalFormatting sqref="Q123 Q125:Q126 Q128:Q130">
    <cfRule type="cellIs" dxfId="4397" priority="1053" operator="lessThan">
      <formula>0</formula>
    </cfRule>
  </conditionalFormatting>
  <conditionalFormatting sqref="R123 R125:R126 R128:R130">
    <cfRule type="cellIs" dxfId="4396" priority="1051" operator="lessThan">
      <formula>0.8</formula>
    </cfRule>
    <cfRule type="cellIs" dxfId="4395" priority="1052" operator="greaterThan">
      <formula>1</formula>
    </cfRule>
  </conditionalFormatting>
  <conditionalFormatting sqref="R123 R125:R126 R128:R130">
    <cfRule type="cellIs" dxfId="4394" priority="1049" operator="greaterThan">
      <formula>1</formula>
    </cfRule>
    <cfRule type="cellIs" dxfId="4393" priority="1050" operator="lessThan">
      <formula>0.8</formula>
    </cfRule>
  </conditionalFormatting>
  <conditionalFormatting sqref="P122">
    <cfRule type="cellIs" dxfId="4392" priority="1042" operator="greaterThan">
      <formula>0</formula>
    </cfRule>
  </conditionalFormatting>
  <conditionalFormatting sqref="Q122">
    <cfRule type="cellIs" dxfId="4391" priority="1047" operator="lessThan">
      <formula>0</formula>
    </cfRule>
  </conditionalFormatting>
  <conditionalFormatting sqref="R122">
    <cfRule type="cellIs" dxfId="4390" priority="1045" operator="lessThan">
      <formula>0.8</formula>
    </cfRule>
    <cfRule type="cellIs" dxfId="4389" priority="1046" operator="greaterThan">
      <formula>1</formula>
    </cfRule>
  </conditionalFormatting>
  <conditionalFormatting sqref="R122">
    <cfRule type="cellIs" dxfId="4388" priority="1043" operator="greaterThan">
      <formula>1</formula>
    </cfRule>
    <cfRule type="cellIs" dxfId="4387" priority="1044" operator="lessThan">
      <formula>0.8</formula>
    </cfRule>
  </conditionalFormatting>
  <conditionalFormatting sqref="Q109:Q116">
    <cfRule type="cellIs" dxfId="4386" priority="1041" operator="lessThan">
      <formula>0</formula>
    </cfRule>
  </conditionalFormatting>
  <conditionalFormatting sqref="R109:R116">
    <cfRule type="cellIs" dxfId="4385" priority="1039" operator="lessThan">
      <formula>0.8</formula>
    </cfRule>
    <cfRule type="cellIs" dxfId="4384" priority="1040" operator="greaterThan">
      <formula>1</formula>
    </cfRule>
  </conditionalFormatting>
  <conditionalFormatting sqref="R109:R116">
    <cfRule type="cellIs" dxfId="4383" priority="1037" operator="greaterThan">
      <formula>1</formula>
    </cfRule>
    <cfRule type="cellIs" dxfId="4382" priority="1038" operator="lessThan">
      <formula>0.8</formula>
    </cfRule>
  </conditionalFormatting>
  <conditionalFormatting sqref="P109:P116">
    <cfRule type="cellIs" dxfId="4381" priority="1036" operator="greaterThan">
      <formula>0</formula>
    </cfRule>
  </conditionalFormatting>
  <conditionalFormatting sqref="P137 P140 P143">
    <cfRule type="cellIs" dxfId="4380" priority="1035" operator="greaterThan">
      <formula>0</formula>
    </cfRule>
  </conditionalFormatting>
  <conditionalFormatting sqref="Q137 Q140 Q143">
    <cfRule type="cellIs" dxfId="4379" priority="1034" operator="lessThan">
      <formula>0</formula>
    </cfRule>
  </conditionalFormatting>
  <conditionalFormatting sqref="R137 R140 R143">
    <cfRule type="cellIs" dxfId="4378" priority="1032" operator="lessThan">
      <formula>0.8</formula>
    </cfRule>
    <cfRule type="cellIs" dxfId="4377" priority="1033" operator="greaterThan">
      <formula>1</formula>
    </cfRule>
  </conditionalFormatting>
  <conditionalFormatting sqref="R137 R140 R143">
    <cfRule type="cellIs" dxfId="4376" priority="1030" operator="greaterThan">
      <formula>1</formula>
    </cfRule>
    <cfRule type="cellIs" dxfId="4375" priority="1031" operator="lessThan">
      <formula>0.8</formula>
    </cfRule>
  </conditionalFormatting>
  <conditionalFormatting sqref="P137 P140 P143">
    <cfRule type="cellIs" dxfId="4374" priority="1029" operator="greaterThan">
      <formula>0</formula>
    </cfRule>
  </conditionalFormatting>
  <conditionalFormatting sqref="Q137 Q140 Q143">
    <cfRule type="cellIs" dxfId="4373" priority="1028" operator="lessThan">
      <formula>0</formula>
    </cfRule>
  </conditionalFormatting>
  <conditionalFormatting sqref="R137 R140 R143">
    <cfRule type="cellIs" dxfId="4372" priority="1026" operator="lessThan">
      <formula>0.8</formula>
    </cfRule>
    <cfRule type="cellIs" dxfId="4371" priority="1027" operator="greaterThan">
      <formula>1</formula>
    </cfRule>
  </conditionalFormatting>
  <conditionalFormatting sqref="R137 R140 R143">
    <cfRule type="cellIs" dxfId="4370" priority="1024" operator="greaterThan">
      <formula>1</formula>
    </cfRule>
    <cfRule type="cellIs" dxfId="4369" priority="1025" operator="lessThan">
      <formula>0.8</formula>
    </cfRule>
  </conditionalFormatting>
  <conditionalFormatting sqref="P137 P140 P143">
    <cfRule type="cellIs" dxfId="4368" priority="1023" operator="greaterThan">
      <formula>0</formula>
    </cfRule>
  </conditionalFormatting>
  <conditionalFormatting sqref="P137 P140 P143">
    <cfRule type="cellIs" dxfId="4367" priority="1017" operator="greaterThan">
      <formula>0</formula>
    </cfRule>
  </conditionalFormatting>
  <conditionalFormatting sqref="Q137 Q140 Q143">
    <cfRule type="cellIs" dxfId="4366" priority="1022" operator="lessThan">
      <formula>0</formula>
    </cfRule>
  </conditionalFormatting>
  <conditionalFormatting sqref="R137 R140 R143">
    <cfRule type="cellIs" dxfId="4365" priority="1020" operator="lessThan">
      <formula>0.8</formula>
    </cfRule>
    <cfRule type="cellIs" dxfId="4364" priority="1021" operator="greaterThan">
      <formula>1</formula>
    </cfRule>
  </conditionalFormatting>
  <conditionalFormatting sqref="R137 R140 R143">
    <cfRule type="cellIs" dxfId="4363" priority="1018" operator="greaterThan">
      <formula>1</formula>
    </cfRule>
    <cfRule type="cellIs" dxfId="4362" priority="1019" operator="lessThan">
      <formula>0.8</formula>
    </cfRule>
  </conditionalFormatting>
  <conditionalFormatting sqref="Q137 Q140 Q143">
    <cfRule type="cellIs" dxfId="4361" priority="1016" operator="lessThan">
      <formula>0</formula>
    </cfRule>
  </conditionalFormatting>
  <conditionalFormatting sqref="R137 R140 R143">
    <cfRule type="cellIs" dxfId="4360" priority="1014" operator="lessThan">
      <formula>0.8</formula>
    </cfRule>
    <cfRule type="cellIs" dxfId="4359" priority="1015" operator="greaterThan">
      <formula>1</formula>
    </cfRule>
  </conditionalFormatting>
  <conditionalFormatting sqref="R137 R140 R143">
    <cfRule type="cellIs" dxfId="4358" priority="1012" operator="greaterThan">
      <formula>1</formula>
    </cfRule>
    <cfRule type="cellIs" dxfId="4357" priority="1013" operator="lessThan">
      <formula>0.8</formula>
    </cfRule>
  </conditionalFormatting>
  <conditionalFormatting sqref="P137 P140 P143">
    <cfRule type="cellIs" dxfId="4356" priority="1011" operator="greaterThan">
      <formula>0</formula>
    </cfRule>
  </conditionalFormatting>
  <conditionalFormatting sqref="Q137 Q140 Q143">
    <cfRule type="cellIs" dxfId="4355" priority="1010" operator="lessThan">
      <formula>0</formula>
    </cfRule>
  </conditionalFormatting>
  <conditionalFormatting sqref="R137 R140 R143">
    <cfRule type="cellIs" dxfId="4354" priority="1008" operator="lessThan">
      <formula>0.8</formula>
    </cfRule>
    <cfRule type="cellIs" dxfId="4353" priority="1009" operator="greaterThan">
      <formula>1</formula>
    </cfRule>
  </conditionalFormatting>
  <conditionalFormatting sqref="R137 R140 R143">
    <cfRule type="cellIs" dxfId="4352" priority="1006" operator="greaterThan">
      <formula>1</formula>
    </cfRule>
    <cfRule type="cellIs" dxfId="4351" priority="1007" operator="lessThan">
      <formula>0.8</formula>
    </cfRule>
  </conditionalFormatting>
  <conditionalFormatting sqref="P137 P140 P143">
    <cfRule type="cellIs" dxfId="4350" priority="1005" operator="greaterThan">
      <formula>0</formula>
    </cfRule>
  </conditionalFormatting>
  <conditionalFormatting sqref="P137 P140 P143">
    <cfRule type="cellIs" dxfId="4349" priority="999" operator="greaterThan">
      <formula>0</formula>
    </cfRule>
  </conditionalFormatting>
  <conditionalFormatting sqref="Q137 Q140 Q143">
    <cfRule type="cellIs" dxfId="4348" priority="1004" operator="lessThan">
      <formula>0</formula>
    </cfRule>
  </conditionalFormatting>
  <conditionalFormatting sqref="R137 R140 R143">
    <cfRule type="cellIs" dxfId="4347" priority="1002" operator="lessThan">
      <formula>0.8</formula>
    </cfRule>
    <cfRule type="cellIs" dxfId="4346" priority="1003" operator="greaterThan">
      <formula>1</formula>
    </cfRule>
  </conditionalFormatting>
  <conditionalFormatting sqref="R137 R140 R143">
    <cfRule type="cellIs" dxfId="4345" priority="1000" operator="greaterThan">
      <formula>1</formula>
    </cfRule>
    <cfRule type="cellIs" dxfId="4344" priority="1001" operator="lessThan">
      <formula>0.8</formula>
    </cfRule>
  </conditionalFormatting>
  <conditionalFormatting sqref="Q137 Q140 Q143">
    <cfRule type="cellIs" dxfId="4343" priority="998" operator="lessThan">
      <formula>0</formula>
    </cfRule>
  </conditionalFormatting>
  <conditionalFormatting sqref="R137 R140 R143">
    <cfRule type="cellIs" dxfId="4342" priority="996" operator="lessThan">
      <formula>0.8</formula>
    </cfRule>
    <cfRule type="cellIs" dxfId="4341" priority="997" operator="greaterThan">
      <formula>1</formula>
    </cfRule>
  </conditionalFormatting>
  <conditionalFormatting sqref="R137 R140 R143">
    <cfRule type="cellIs" dxfId="4340" priority="994" operator="greaterThan">
      <formula>1</formula>
    </cfRule>
    <cfRule type="cellIs" dxfId="4339" priority="995" operator="lessThan">
      <formula>0.8</formula>
    </cfRule>
  </conditionalFormatting>
  <conditionalFormatting sqref="P137 P140 P143">
    <cfRule type="cellIs" dxfId="4338" priority="993" operator="greaterThan">
      <formula>0</formula>
    </cfRule>
  </conditionalFormatting>
  <conditionalFormatting sqref="Q137 Q140 Q143">
    <cfRule type="cellIs" dxfId="4337" priority="992" operator="lessThan">
      <formula>0</formula>
    </cfRule>
  </conditionalFormatting>
  <conditionalFormatting sqref="R137 R140 R143">
    <cfRule type="cellIs" dxfId="4336" priority="990" operator="lessThan">
      <formula>0.8</formula>
    </cfRule>
    <cfRule type="cellIs" dxfId="4335" priority="991" operator="greaterThan">
      <formula>1</formula>
    </cfRule>
  </conditionalFormatting>
  <conditionalFormatting sqref="R137 R140 R143">
    <cfRule type="cellIs" dxfId="4334" priority="988" operator="greaterThan">
      <formula>1</formula>
    </cfRule>
    <cfRule type="cellIs" dxfId="4333" priority="989" operator="lessThan">
      <formula>0.8</formula>
    </cfRule>
  </conditionalFormatting>
  <conditionalFormatting sqref="P137 P140 P143">
    <cfRule type="cellIs" dxfId="4332" priority="987" operator="greaterThan">
      <formula>0</formula>
    </cfRule>
  </conditionalFormatting>
  <conditionalFormatting sqref="P137 P140 P143">
    <cfRule type="cellIs" dxfId="4331" priority="981" operator="greaterThan">
      <formula>0</formula>
    </cfRule>
  </conditionalFormatting>
  <conditionalFormatting sqref="Q137 Q140 Q143">
    <cfRule type="cellIs" dxfId="4330" priority="986" operator="lessThan">
      <formula>0</formula>
    </cfRule>
  </conditionalFormatting>
  <conditionalFormatting sqref="R137 R140 R143">
    <cfRule type="cellIs" dxfId="4329" priority="984" operator="lessThan">
      <formula>0.8</formula>
    </cfRule>
    <cfRule type="cellIs" dxfId="4328" priority="985" operator="greaterThan">
      <formula>1</formula>
    </cfRule>
  </conditionalFormatting>
  <conditionalFormatting sqref="R137 R140 R143">
    <cfRule type="cellIs" dxfId="4327" priority="982" operator="greaterThan">
      <formula>1</formula>
    </cfRule>
    <cfRule type="cellIs" dxfId="4326" priority="983" operator="lessThan">
      <formula>0.8</formula>
    </cfRule>
  </conditionalFormatting>
  <conditionalFormatting sqref="Q137 Q140 Q143">
    <cfRule type="cellIs" dxfId="4325" priority="980" operator="lessThan">
      <formula>0</formula>
    </cfRule>
  </conditionalFormatting>
  <conditionalFormatting sqref="R137 R140 R143">
    <cfRule type="cellIs" dxfId="4324" priority="978" operator="lessThan">
      <formula>0.8</formula>
    </cfRule>
    <cfRule type="cellIs" dxfId="4323" priority="979" operator="greaterThan">
      <formula>1</formula>
    </cfRule>
  </conditionalFormatting>
  <conditionalFormatting sqref="R137 R140 R143">
    <cfRule type="cellIs" dxfId="4322" priority="976" operator="greaterThan">
      <formula>1</formula>
    </cfRule>
    <cfRule type="cellIs" dxfId="4321" priority="977" operator="lessThan">
      <formula>0.8</formula>
    </cfRule>
  </conditionalFormatting>
  <conditionalFormatting sqref="P137 P140 P143">
    <cfRule type="cellIs" dxfId="4320" priority="975" operator="greaterThan">
      <formula>0</formula>
    </cfRule>
  </conditionalFormatting>
  <conditionalFormatting sqref="P138 P144 P141">
    <cfRule type="cellIs" dxfId="4319" priority="969" operator="greaterThan">
      <formula>0</formula>
    </cfRule>
  </conditionalFormatting>
  <conditionalFormatting sqref="Q138 Q144 Q141">
    <cfRule type="cellIs" dxfId="4318" priority="974" operator="lessThan">
      <formula>0</formula>
    </cfRule>
  </conditionalFormatting>
  <conditionalFormatting sqref="R138 R144 R141">
    <cfRule type="cellIs" dxfId="4317" priority="972" operator="lessThan">
      <formula>0.8</formula>
    </cfRule>
    <cfRule type="cellIs" dxfId="4316" priority="973" operator="greaterThan">
      <formula>1</formula>
    </cfRule>
  </conditionalFormatting>
  <conditionalFormatting sqref="R138 R144 R141">
    <cfRule type="cellIs" dxfId="4315" priority="970" operator="greaterThan">
      <formula>1</formula>
    </cfRule>
    <cfRule type="cellIs" dxfId="4314" priority="971" operator="lessThan">
      <formula>0.8</formula>
    </cfRule>
  </conditionalFormatting>
  <conditionalFormatting sqref="Q138 Q144 Q141">
    <cfRule type="cellIs" dxfId="4313" priority="968" operator="lessThan">
      <formula>0</formula>
    </cfRule>
  </conditionalFormatting>
  <conditionalFormatting sqref="R138 R144 R141">
    <cfRule type="cellIs" dxfId="4312" priority="966" operator="lessThan">
      <formula>0.8</formula>
    </cfRule>
    <cfRule type="cellIs" dxfId="4311" priority="967" operator="greaterThan">
      <formula>1</formula>
    </cfRule>
  </conditionalFormatting>
  <conditionalFormatting sqref="R138 R144 R141">
    <cfRule type="cellIs" dxfId="4310" priority="964" operator="greaterThan">
      <formula>1</formula>
    </cfRule>
    <cfRule type="cellIs" dxfId="4309" priority="965" operator="lessThan">
      <formula>0.8</formula>
    </cfRule>
  </conditionalFormatting>
  <conditionalFormatting sqref="P138 P144 P141">
    <cfRule type="cellIs" dxfId="4308" priority="963" operator="greaterThan">
      <formula>0</formula>
    </cfRule>
  </conditionalFormatting>
  <conditionalFormatting sqref="Q138 Q144 Q141">
    <cfRule type="cellIs" dxfId="4307" priority="962" operator="lessThan">
      <formula>0</formula>
    </cfRule>
  </conditionalFormatting>
  <conditionalFormatting sqref="R138 R144 R141">
    <cfRule type="cellIs" dxfId="4306" priority="960" operator="lessThan">
      <formula>0.8</formula>
    </cfRule>
    <cfRule type="cellIs" dxfId="4305" priority="961" operator="greaterThan">
      <formula>1</formula>
    </cfRule>
  </conditionalFormatting>
  <conditionalFormatting sqref="R138 R144 R141">
    <cfRule type="cellIs" dxfId="4304" priority="958" operator="greaterThan">
      <formula>1</formula>
    </cfRule>
    <cfRule type="cellIs" dxfId="4303" priority="959" operator="lessThan">
      <formula>0.8</formula>
    </cfRule>
  </conditionalFormatting>
  <conditionalFormatting sqref="P138 P144 P141">
    <cfRule type="cellIs" dxfId="4302" priority="957" operator="greaterThan">
      <formula>0</formula>
    </cfRule>
  </conditionalFormatting>
  <conditionalFormatting sqref="Q138 Q144 Q141">
    <cfRule type="cellIs" dxfId="4301" priority="956" operator="lessThan">
      <formula>0</formula>
    </cfRule>
  </conditionalFormatting>
  <conditionalFormatting sqref="R138 R144 R141">
    <cfRule type="cellIs" dxfId="4300" priority="954" operator="lessThan">
      <formula>0.8</formula>
    </cfRule>
    <cfRule type="cellIs" dxfId="4299" priority="955" operator="greaterThan">
      <formula>1</formula>
    </cfRule>
  </conditionalFormatting>
  <conditionalFormatting sqref="R138 R144 R141">
    <cfRule type="cellIs" dxfId="4298" priority="952" operator="greaterThan">
      <formula>1</formula>
    </cfRule>
    <cfRule type="cellIs" dxfId="4297" priority="953" operator="lessThan">
      <formula>0.8</formula>
    </cfRule>
  </conditionalFormatting>
  <conditionalFormatting sqref="P138 P144 P141">
    <cfRule type="cellIs" dxfId="4296" priority="951" operator="greaterThan">
      <formula>0</formula>
    </cfRule>
  </conditionalFormatting>
  <conditionalFormatting sqref="Q138 Q144 Q141">
    <cfRule type="cellIs" dxfId="4295" priority="950" operator="lessThan">
      <formula>0</formula>
    </cfRule>
  </conditionalFormatting>
  <conditionalFormatting sqref="R138 R144 R141">
    <cfRule type="cellIs" dxfId="4294" priority="948" operator="lessThan">
      <formula>0.8</formula>
    </cfRule>
    <cfRule type="cellIs" dxfId="4293" priority="949" operator="greaterThan">
      <formula>1</formula>
    </cfRule>
  </conditionalFormatting>
  <conditionalFormatting sqref="R138 R144 R141">
    <cfRule type="cellIs" dxfId="4292" priority="946" operator="greaterThan">
      <formula>1</formula>
    </cfRule>
    <cfRule type="cellIs" dxfId="4291" priority="947" operator="lessThan">
      <formula>0.8</formula>
    </cfRule>
  </conditionalFormatting>
  <conditionalFormatting sqref="Q138 Q144 Q141">
    <cfRule type="cellIs" dxfId="4290" priority="945" operator="lessThan">
      <formula>0</formula>
    </cfRule>
  </conditionalFormatting>
  <conditionalFormatting sqref="R138 R144 R141">
    <cfRule type="cellIs" dxfId="4289" priority="943" operator="lessThan">
      <formula>0.8</formula>
    </cfRule>
    <cfRule type="cellIs" dxfId="4288" priority="944" operator="greaterThan">
      <formula>1</formula>
    </cfRule>
  </conditionalFormatting>
  <conditionalFormatting sqref="R138 R144 R141">
    <cfRule type="cellIs" dxfId="4287" priority="941" operator="greaterThan">
      <formula>1</formula>
    </cfRule>
    <cfRule type="cellIs" dxfId="4286" priority="942" operator="lessThan">
      <formula>0.8</formula>
    </cfRule>
  </conditionalFormatting>
  <conditionalFormatting sqref="P138 P144 P141">
    <cfRule type="cellIs" dxfId="4285" priority="940" operator="greaterThan">
      <formula>0</formula>
    </cfRule>
  </conditionalFormatting>
  <conditionalFormatting sqref="P138 P144 P141">
    <cfRule type="cellIs" dxfId="4284" priority="934" operator="greaterThan">
      <formula>0</formula>
    </cfRule>
  </conditionalFormatting>
  <conditionalFormatting sqref="Q138 Q144 Q141">
    <cfRule type="cellIs" dxfId="4283" priority="939" operator="lessThan">
      <formula>0</formula>
    </cfRule>
  </conditionalFormatting>
  <conditionalFormatting sqref="R138 R144 R141">
    <cfRule type="cellIs" dxfId="4282" priority="937" operator="lessThan">
      <formula>0.8</formula>
    </cfRule>
    <cfRule type="cellIs" dxfId="4281" priority="938" operator="greaterThan">
      <formula>1</formula>
    </cfRule>
  </conditionalFormatting>
  <conditionalFormatting sqref="R138 R144 R141">
    <cfRule type="cellIs" dxfId="4280" priority="935" operator="greaterThan">
      <formula>1</formula>
    </cfRule>
    <cfRule type="cellIs" dxfId="4279" priority="936" operator="lessThan">
      <formula>0.8</formula>
    </cfRule>
  </conditionalFormatting>
  <conditionalFormatting sqref="Q138 Q144 Q141">
    <cfRule type="cellIs" dxfId="4278" priority="933" operator="lessThan">
      <formula>0</formula>
    </cfRule>
  </conditionalFormatting>
  <conditionalFormatting sqref="R138 R144 R141">
    <cfRule type="cellIs" dxfId="4277" priority="931" operator="lessThan">
      <formula>0.8</formula>
    </cfRule>
    <cfRule type="cellIs" dxfId="4276" priority="932" operator="greaterThan">
      <formula>1</formula>
    </cfRule>
  </conditionalFormatting>
  <conditionalFormatting sqref="R138 R144 R141">
    <cfRule type="cellIs" dxfId="4275" priority="929" operator="greaterThan">
      <formula>1</formula>
    </cfRule>
    <cfRule type="cellIs" dxfId="4274" priority="930" operator="lessThan">
      <formula>0.8</formula>
    </cfRule>
  </conditionalFormatting>
  <conditionalFormatting sqref="P138 P144 P141">
    <cfRule type="cellIs" dxfId="4273" priority="928" operator="greaterThan">
      <formula>0</formula>
    </cfRule>
  </conditionalFormatting>
  <conditionalFormatting sqref="Q148:Q153">
    <cfRule type="cellIs" dxfId="4272" priority="927" operator="lessThan">
      <formula>0</formula>
    </cfRule>
  </conditionalFormatting>
  <conditionalFormatting sqref="R148:R153">
    <cfRule type="cellIs" dxfId="4271" priority="925" operator="lessThan">
      <formula>0.8</formula>
    </cfRule>
    <cfRule type="cellIs" dxfId="4270" priority="926" operator="greaterThan">
      <formula>1</formula>
    </cfRule>
  </conditionalFormatting>
  <conditionalFormatting sqref="R148:R153">
    <cfRule type="cellIs" dxfId="4269" priority="923" operator="greaterThan">
      <formula>1</formula>
    </cfRule>
    <cfRule type="cellIs" dxfId="4268" priority="924" operator="lessThan">
      <formula>0.8</formula>
    </cfRule>
  </conditionalFormatting>
  <conditionalFormatting sqref="P148:P153">
    <cfRule type="cellIs" dxfId="4267" priority="922" operator="greaterThan">
      <formula>0</formula>
    </cfRule>
  </conditionalFormatting>
  <conditionalFormatting sqref="P148:P153">
    <cfRule type="cellIs" dxfId="4266" priority="916" operator="greaterThan">
      <formula>0</formula>
    </cfRule>
  </conditionalFormatting>
  <conditionalFormatting sqref="Q148:Q153">
    <cfRule type="cellIs" dxfId="4265" priority="921" operator="lessThan">
      <formula>0</formula>
    </cfRule>
  </conditionalFormatting>
  <conditionalFormatting sqref="R148:R153">
    <cfRule type="cellIs" dxfId="4264" priority="919" operator="lessThan">
      <formula>0.8</formula>
    </cfRule>
    <cfRule type="cellIs" dxfId="4263" priority="920" operator="greaterThan">
      <formula>1</formula>
    </cfRule>
  </conditionalFormatting>
  <conditionalFormatting sqref="R148:R153">
    <cfRule type="cellIs" dxfId="4262" priority="917" operator="greaterThan">
      <formula>1</formula>
    </cfRule>
    <cfRule type="cellIs" dxfId="4261" priority="918" operator="lessThan">
      <formula>0.8</formula>
    </cfRule>
  </conditionalFormatting>
  <conditionalFormatting sqref="Q148:Q153">
    <cfRule type="cellIs" dxfId="4260" priority="915" operator="lessThan">
      <formula>0</formula>
    </cfRule>
  </conditionalFormatting>
  <conditionalFormatting sqref="R148:R153">
    <cfRule type="cellIs" dxfId="4259" priority="913" operator="lessThan">
      <formula>0.8</formula>
    </cfRule>
    <cfRule type="cellIs" dxfId="4258" priority="914" operator="greaterThan">
      <formula>1</formula>
    </cfRule>
  </conditionalFormatting>
  <conditionalFormatting sqref="R148:R153">
    <cfRule type="cellIs" dxfId="4257" priority="911" operator="greaterThan">
      <formula>1</formula>
    </cfRule>
    <cfRule type="cellIs" dxfId="4256" priority="912" operator="lessThan">
      <formula>0.8</formula>
    </cfRule>
  </conditionalFormatting>
  <conditionalFormatting sqref="P148:P153">
    <cfRule type="cellIs" dxfId="4255" priority="910" operator="greaterThan">
      <formula>0</formula>
    </cfRule>
  </conditionalFormatting>
  <conditionalFormatting sqref="Q148:Q153">
    <cfRule type="cellIs" dxfId="4254" priority="909" operator="lessThan">
      <formula>0</formula>
    </cfRule>
  </conditionalFormatting>
  <conditionalFormatting sqref="R148:R153">
    <cfRule type="cellIs" dxfId="4253" priority="907" operator="lessThan">
      <formula>0.8</formula>
    </cfRule>
    <cfRule type="cellIs" dxfId="4252" priority="908" operator="greaterThan">
      <formula>1</formula>
    </cfRule>
  </conditionalFormatting>
  <conditionalFormatting sqref="R148:R153">
    <cfRule type="cellIs" dxfId="4251" priority="905" operator="greaterThan">
      <formula>1</formula>
    </cfRule>
    <cfRule type="cellIs" dxfId="4250" priority="906" operator="lessThan">
      <formula>0.8</formula>
    </cfRule>
  </conditionalFormatting>
  <conditionalFormatting sqref="P148:P153">
    <cfRule type="cellIs" dxfId="4249" priority="904" operator="greaterThan">
      <formula>0</formula>
    </cfRule>
  </conditionalFormatting>
  <conditionalFormatting sqref="P148:P153">
    <cfRule type="cellIs" dxfId="4248" priority="898" operator="greaterThan">
      <formula>0</formula>
    </cfRule>
  </conditionalFormatting>
  <conditionalFormatting sqref="Q148:Q153">
    <cfRule type="cellIs" dxfId="4247" priority="903" operator="lessThan">
      <formula>0</formula>
    </cfRule>
  </conditionalFormatting>
  <conditionalFormatting sqref="R148:R153">
    <cfRule type="cellIs" dxfId="4246" priority="901" operator="lessThan">
      <formula>0.8</formula>
    </cfRule>
    <cfRule type="cellIs" dxfId="4245" priority="902" operator="greaterThan">
      <formula>1</formula>
    </cfRule>
  </conditionalFormatting>
  <conditionalFormatting sqref="R148:R153">
    <cfRule type="cellIs" dxfId="4244" priority="899" operator="greaterThan">
      <formula>1</formula>
    </cfRule>
    <cfRule type="cellIs" dxfId="4243" priority="900" operator="lessThan">
      <formula>0.8</formula>
    </cfRule>
  </conditionalFormatting>
  <conditionalFormatting sqref="Q148:Q153">
    <cfRule type="cellIs" dxfId="4242" priority="897" operator="lessThan">
      <formula>0</formula>
    </cfRule>
  </conditionalFormatting>
  <conditionalFormatting sqref="R148:R153">
    <cfRule type="cellIs" dxfId="4241" priority="895" operator="lessThan">
      <formula>0.8</formula>
    </cfRule>
    <cfRule type="cellIs" dxfId="4240" priority="896" operator="greaterThan">
      <formula>1</formula>
    </cfRule>
  </conditionalFormatting>
  <conditionalFormatting sqref="R148:R153">
    <cfRule type="cellIs" dxfId="4239" priority="893" operator="greaterThan">
      <formula>1</formula>
    </cfRule>
    <cfRule type="cellIs" dxfId="4238" priority="894" operator="lessThan">
      <formula>0.8</formula>
    </cfRule>
  </conditionalFormatting>
  <conditionalFormatting sqref="P148:P153">
    <cfRule type="cellIs" dxfId="4237" priority="892" operator="greaterThan">
      <formula>0</formula>
    </cfRule>
  </conditionalFormatting>
  <conditionalFormatting sqref="Q148:Q153">
    <cfRule type="cellIs" dxfId="4236" priority="886" operator="lessThan">
      <formula>0</formula>
    </cfRule>
  </conditionalFormatting>
  <conditionalFormatting sqref="P148:P153">
    <cfRule type="cellIs" dxfId="4235" priority="887" operator="greaterThan">
      <formula>0</formula>
    </cfRule>
  </conditionalFormatting>
  <conditionalFormatting sqref="R148:R153">
    <cfRule type="cellIs" dxfId="4234" priority="890" operator="lessThan">
      <formula>0.8</formula>
    </cfRule>
    <cfRule type="cellIs" dxfId="4233" priority="891" operator="greaterThan">
      <formula>1</formula>
    </cfRule>
  </conditionalFormatting>
  <conditionalFormatting sqref="R148:R153">
    <cfRule type="cellIs" dxfId="4232" priority="888" operator="greaterThan">
      <formula>1</formula>
    </cfRule>
    <cfRule type="cellIs" dxfId="4231" priority="889" operator="lessThan">
      <formula>0.8</formula>
    </cfRule>
  </conditionalFormatting>
  <conditionalFormatting sqref="Q148:Q153">
    <cfRule type="cellIs" dxfId="4230" priority="880" operator="lessThan">
      <formula>0</formula>
    </cfRule>
  </conditionalFormatting>
  <conditionalFormatting sqref="R148:R153">
    <cfRule type="cellIs" dxfId="4229" priority="884" operator="lessThan">
      <formula>0.8</formula>
    </cfRule>
    <cfRule type="cellIs" dxfId="4228" priority="885" operator="greaterThan">
      <formula>1</formula>
    </cfRule>
  </conditionalFormatting>
  <conditionalFormatting sqref="R148:R153">
    <cfRule type="cellIs" dxfId="4227" priority="882" operator="greaterThan">
      <formula>1</formula>
    </cfRule>
    <cfRule type="cellIs" dxfId="4226" priority="883" operator="lessThan">
      <formula>0.8</formula>
    </cfRule>
  </conditionalFormatting>
  <conditionalFormatting sqref="P148:P153">
    <cfRule type="cellIs" dxfId="4225" priority="881" operator="greaterThan">
      <formula>0</formula>
    </cfRule>
  </conditionalFormatting>
  <conditionalFormatting sqref="Q148:Q153">
    <cfRule type="cellIs" dxfId="4224" priority="879" operator="lessThan">
      <formula>0</formula>
    </cfRule>
  </conditionalFormatting>
  <conditionalFormatting sqref="R148:R153">
    <cfRule type="cellIs" dxfId="4223" priority="877" operator="lessThan">
      <formula>0.8</formula>
    </cfRule>
    <cfRule type="cellIs" dxfId="4222" priority="878" operator="greaterThan">
      <formula>1</formula>
    </cfRule>
  </conditionalFormatting>
  <conditionalFormatting sqref="R148:R153">
    <cfRule type="cellIs" dxfId="4221" priority="875" operator="greaterThan">
      <formula>1</formula>
    </cfRule>
    <cfRule type="cellIs" dxfId="4220" priority="876" operator="lessThan">
      <formula>0.8</formula>
    </cfRule>
  </conditionalFormatting>
  <conditionalFormatting sqref="P148:P153">
    <cfRule type="cellIs" dxfId="4219" priority="874" operator="greaterThan">
      <formula>0</formula>
    </cfRule>
  </conditionalFormatting>
  <conditionalFormatting sqref="Q148:Q153">
    <cfRule type="cellIs" dxfId="4218" priority="873" operator="lessThan">
      <formula>0</formula>
    </cfRule>
  </conditionalFormatting>
  <conditionalFormatting sqref="R148:R153">
    <cfRule type="cellIs" dxfId="4217" priority="871" operator="lessThan">
      <formula>0.8</formula>
    </cfRule>
    <cfRule type="cellIs" dxfId="4216" priority="872" operator="greaterThan">
      <formula>1</formula>
    </cfRule>
  </conditionalFormatting>
  <conditionalFormatting sqref="R148:R153">
    <cfRule type="cellIs" dxfId="4215" priority="869" operator="greaterThan">
      <formula>1</formula>
    </cfRule>
    <cfRule type="cellIs" dxfId="4214" priority="870" operator="lessThan">
      <formula>0.8</formula>
    </cfRule>
  </conditionalFormatting>
  <conditionalFormatting sqref="P148:P153">
    <cfRule type="cellIs" dxfId="4213" priority="868" operator="greaterThan">
      <formula>0</formula>
    </cfRule>
  </conditionalFormatting>
  <conditionalFormatting sqref="Q148:Q153">
    <cfRule type="cellIs" dxfId="4212" priority="867" operator="lessThan">
      <formula>0</formula>
    </cfRule>
  </conditionalFormatting>
  <conditionalFormatting sqref="R148:R153">
    <cfRule type="cellIs" dxfId="4211" priority="865" operator="lessThan">
      <formula>0.8</formula>
    </cfRule>
    <cfRule type="cellIs" dxfId="4210" priority="866" operator="greaterThan">
      <formula>1</formula>
    </cfRule>
  </conditionalFormatting>
  <conditionalFormatting sqref="R148:R153">
    <cfRule type="cellIs" dxfId="4209" priority="863" operator="greaterThan">
      <formula>1</formula>
    </cfRule>
    <cfRule type="cellIs" dxfId="4208" priority="864" operator="lessThan">
      <formula>0.8</formula>
    </cfRule>
  </conditionalFormatting>
  <conditionalFormatting sqref="P148:P153">
    <cfRule type="cellIs" dxfId="4207" priority="862" operator="greaterThan">
      <formula>0</formula>
    </cfRule>
  </conditionalFormatting>
  <conditionalFormatting sqref="Q148:Q153">
    <cfRule type="cellIs" dxfId="4206" priority="861" operator="lessThan">
      <formula>0</formula>
    </cfRule>
  </conditionalFormatting>
  <conditionalFormatting sqref="R148:R153">
    <cfRule type="cellIs" dxfId="4205" priority="859" operator="lessThan">
      <formula>0.8</formula>
    </cfRule>
    <cfRule type="cellIs" dxfId="4204" priority="860" operator="greaterThan">
      <formula>1</formula>
    </cfRule>
  </conditionalFormatting>
  <conditionalFormatting sqref="R148:R153">
    <cfRule type="cellIs" dxfId="4203" priority="857" operator="greaterThan">
      <formula>1</formula>
    </cfRule>
    <cfRule type="cellIs" dxfId="4202" priority="858" operator="lessThan">
      <formula>0.8</formula>
    </cfRule>
  </conditionalFormatting>
  <conditionalFormatting sqref="P148:P153">
    <cfRule type="cellIs" dxfId="4201" priority="856" operator="greaterThan">
      <formula>0</formula>
    </cfRule>
  </conditionalFormatting>
  <conditionalFormatting sqref="Q148:Q153">
    <cfRule type="cellIs" dxfId="4200" priority="855" operator="lessThan">
      <formula>0</formula>
    </cfRule>
  </conditionalFormatting>
  <conditionalFormatting sqref="R148:R153">
    <cfRule type="cellIs" dxfId="4199" priority="853" operator="lessThan">
      <formula>0.8</formula>
    </cfRule>
    <cfRule type="cellIs" dxfId="4198" priority="854" operator="greaterThan">
      <formula>1</formula>
    </cfRule>
  </conditionalFormatting>
  <conditionalFormatting sqref="R148:R153">
    <cfRule type="cellIs" dxfId="4197" priority="851" operator="greaterThan">
      <formula>1</formula>
    </cfRule>
    <cfRule type="cellIs" dxfId="4196" priority="852" operator="lessThan">
      <formula>0.8</formula>
    </cfRule>
  </conditionalFormatting>
  <conditionalFormatting sqref="P148:P153">
    <cfRule type="cellIs" dxfId="4195" priority="850" operator="greaterThan">
      <formula>0</formula>
    </cfRule>
  </conditionalFormatting>
  <conditionalFormatting sqref="Q148:Q153">
    <cfRule type="cellIs" dxfId="4194" priority="849" operator="lessThan">
      <formula>0</formula>
    </cfRule>
  </conditionalFormatting>
  <conditionalFormatting sqref="R148:R153">
    <cfRule type="cellIs" dxfId="4193" priority="847" operator="lessThan">
      <formula>0.8</formula>
    </cfRule>
    <cfRule type="cellIs" dxfId="4192" priority="848" operator="greaterThan">
      <formula>1</formula>
    </cfRule>
  </conditionalFormatting>
  <conditionalFormatting sqref="R148:R153">
    <cfRule type="cellIs" dxfId="4191" priority="845" operator="greaterThan">
      <formula>1</formula>
    </cfRule>
    <cfRule type="cellIs" dxfId="4190" priority="846" operator="lessThan">
      <formula>0.8</formula>
    </cfRule>
  </conditionalFormatting>
  <conditionalFormatting sqref="P148:P153">
    <cfRule type="cellIs" dxfId="4189" priority="844" operator="greaterThan">
      <formula>0</formula>
    </cfRule>
  </conditionalFormatting>
  <conditionalFormatting sqref="Q148:Q153">
    <cfRule type="cellIs" dxfId="4188" priority="843" operator="lessThan">
      <formula>0</formula>
    </cfRule>
  </conditionalFormatting>
  <conditionalFormatting sqref="R148:R153">
    <cfRule type="cellIs" dxfId="4187" priority="841" operator="lessThan">
      <formula>0.8</formula>
    </cfRule>
    <cfRule type="cellIs" dxfId="4186" priority="842" operator="greaterThan">
      <formula>1</formula>
    </cfRule>
  </conditionalFormatting>
  <conditionalFormatting sqref="R148:R153">
    <cfRule type="cellIs" dxfId="4185" priority="839" operator="greaterThan">
      <formula>1</formula>
    </cfRule>
    <cfRule type="cellIs" dxfId="4184" priority="840" operator="lessThan">
      <formula>0.8</formula>
    </cfRule>
  </conditionalFormatting>
  <conditionalFormatting sqref="P148:P153">
    <cfRule type="cellIs" dxfId="4183" priority="838" operator="greaterThan">
      <formula>0</formula>
    </cfRule>
  </conditionalFormatting>
  <conditionalFormatting sqref="P148:P153">
    <cfRule type="cellIs" dxfId="4182" priority="832" operator="greaterThan">
      <formula>0</formula>
    </cfRule>
  </conditionalFormatting>
  <conditionalFormatting sqref="Q148:Q153">
    <cfRule type="cellIs" dxfId="4181" priority="837" operator="lessThan">
      <formula>0</formula>
    </cfRule>
  </conditionalFormatting>
  <conditionalFormatting sqref="R148:R153">
    <cfRule type="cellIs" dxfId="4180" priority="835" operator="lessThan">
      <formula>0.8</formula>
    </cfRule>
    <cfRule type="cellIs" dxfId="4179" priority="836" operator="greaterThan">
      <formula>1</formula>
    </cfRule>
  </conditionalFormatting>
  <conditionalFormatting sqref="R148:R153">
    <cfRule type="cellIs" dxfId="4178" priority="833" operator="greaterThan">
      <formula>1</formula>
    </cfRule>
    <cfRule type="cellIs" dxfId="4177" priority="834" operator="lessThan">
      <formula>0.8</formula>
    </cfRule>
  </conditionalFormatting>
  <conditionalFormatting sqref="P148:P153">
    <cfRule type="cellIs" dxfId="4176" priority="826" operator="greaterThan">
      <formula>0</formula>
    </cfRule>
  </conditionalFormatting>
  <conditionalFormatting sqref="Q148:Q153">
    <cfRule type="cellIs" dxfId="4175" priority="831" operator="lessThan">
      <formula>0</formula>
    </cfRule>
  </conditionalFormatting>
  <conditionalFormatting sqref="R148:R153">
    <cfRule type="cellIs" dxfId="4174" priority="829" operator="lessThan">
      <formula>0.8</formula>
    </cfRule>
    <cfRule type="cellIs" dxfId="4173" priority="830" operator="greaterThan">
      <formula>1</formula>
    </cfRule>
  </conditionalFormatting>
  <conditionalFormatting sqref="R148:R153">
    <cfRule type="cellIs" dxfId="4172" priority="827" operator="greaterThan">
      <formula>1</formula>
    </cfRule>
    <cfRule type="cellIs" dxfId="4171" priority="828" operator="lessThan">
      <formula>0.8</formula>
    </cfRule>
  </conditionalFormatting>
  <conditionalFormatting sqref="R148:R153">
    <cfRule type="cellIs" dxfId="4170" priority="823" operator="lessThan">
      <formula>0.8</formula>
    </cfRule>
    <cfRule type="cellIs" dxfId="4169" priority="824" operator="greaterThan">
      <formula>1</formula>
    </cfRule>
  </conditionalFormatting>
  <conditionalFormatting sqref="R148:R153">
    <cfRule type="cellIs" dxfId="4168" priority="821" operator="greaterThan">
      <formula>1</formula>
    </cfRule>
    <cfRule type="cellIs" dxfId="4167" priority="822" operator="lessThan">
      <formula>0.8</formula>
    </cfRule>
  </conditionalFormatting>
  <conditionalFormatting sqref="P148:P153">
    <cfRule type="cellIs" dxfId="4166" priority="820" operator="greaterThan">
      <formula>0</formula>
    </cfRule>
  </conditionalFormatting>
  <conditionalFormatting sqref="Q148:Q153">
    <cfRule type="cellIs" dxfId="4165" priority="825" operator="lessThan">
      <formula>0</formula>
    </cfRule>
  </conditionalFormatting>
  <conditionalFormatting sqref="Q148:Q153">
    <cfRule type="cellIs" dxfId="4164" priority="819" operator="lessThan">
      <formula>0</formula>
    </cfRule>
  </conditionalFormatting>
  <conditionalFormatting sqref="R148:R153">
    <cfRule type="cellIs" dxfId="4163" priority="817" operator="lessThan">
      <formula>0.8</formula>
    </cfRule>
    <cfRule type="cellIs" dxfId="4162" priority="818" operator="greaterThan">
      <formula>1</formula>
    </cfRule>
  </conditionalFormatting>
  <conditionalFormatting sqref="R148:R153">
    <cfRule type="cellIs" dxfId="4161" priority="815" operator="greaterThan">
      <formula>1</formula>
    </cfRule>
    <cfRule type="cellIs" dxfId="4160" priority="816" operator="lessThan">
      <formula>0.8</formula>
    </cfRule>
  </conditionalFormatting>
  <conditionalFormatting sqref="P148:P153">
    <cfRule type="cellIs" dxfId="4159" priority="814" operator="greaterThan">
      <formula>0</formula>
    </cfRule>
  </conditionalFormatting>
  <conditionalFormatting sqref="P148:P153">
    <cfRule type="cellIs" dxfId="4158" priority="808" operator="greaterThan">
      <formula>0</formula>
    </cfRule>
  </conditionalFormatting>
  <conditionalFormatting sqref="Q148:Q153">
    <cfRule type="cellIs" dxfId="4157" priority="813" operator="lessThan">
      <formula>0</formula>
    </cfRule>
  </conditionalFormatting>
  <conditionalFormatting sqref="R148:R153">
    <cfRule type="cellIs" dxfId="4156" priority="811" operator="lessThan">
      <formula>0.8</formula>
    </cfRule>
    <cfRule type="cellIs" dxfId="4155" priority="812" operator="greaterThan">
      <formula>1</formula>
    </cfRule>
  </conditionalFormatting>
  <conditionalFormatting sqref="R148:R153">
    <cfRule type="cellIs" dxfId="4154" priority="809" operator="greaterThan">
      <formula>1</formula>
    </cfRule>
    <cfRule type="cellIs" dxfId="4153" priority="810" operator="lessThan">
      <formula>0.8</formula>
    </cfRule>
  </conditionalFormatting>
  <conditionalFormatting sqref="P148:P153">
    <cfRule type="cellIs" dxfId="4152" priority="802" operator="greaterThan">
      <formula>0</formula>
    </cfRule>
  </conditionalFormatting>
  <conditionalFormatting sqref="Q148:Q153">
    <cfRule type="cellIs" dxfId="4151" priority="807" operator="lessThan">
      <formula>0</formula>
    </cfRule>
  </conditionalFormatting>
  <conditionalFormatting sqref="R148:R153">
    <cfRule type="cellIs" dxfId="4150" priority="805" operator="lessThan">
      <formula>0.8</formula>
    </cfRule>
    <cfRule type="cellIs" dxfId="4149" priority="806" operator="greaterThan">
      <formula>1</formula>
    </cfRule>
  </conditionalFormatting>
  <conditionalFormatting sqref="R148:R153">
    <cfRule type="cellIs" dxfId="4148" priority="803" operator="greaterThan">
      <formula>1</formula>
    </cfRule>
    <cfRule type="cellIs" dxfId="4147" priority="804" operator="lessThan">
      <formula>0.8</formula>
    </cfRule>
  </conditionalFormatting>
  <conditionalFormatting sqref="R148:R153">
    <cfRule type="cellIs" dxfId="4146" priority="799" operator="lessThan">
      <formula>0.8</formula>
    </cfRule>
    <cfRule type="cellIs" dxfId="4145" priority="800" operator="greaterThan">
      <formula>1</formula>
    </cfRule>
  </conditionalFormatting>
  <conditionalFormatting sqref="R148:R153">
    <cfRule type="cellIs" dxfId="4144" priority="797" operator="greaterThan">
      <formula>1</formula>
    </cfRule>
    <cfRule type="cellIs" dxfId="4143" priority="798" operator="lessThan">
      <formula>0.8</formula>
    </cfRule>
  </conditionalFormatting>
  <conditionalFormatting sqref="P148:P153">
    <cfRule type="cellIs" dxfId="4142" priority="796" operator="greaterThan">
      <formula>0</formula>
    </cfRule>
  </conditionalFormatting>
  <conditionalFormatting sqref="Q148:Q153">
    <cfRule type="cellIs" dxfId="4141" priority="801" operator="lessThan">
      <formula>0</formula>
    </cfRule>
  </conditionalFormatting>
  <conditionalFormatting sqref="P148:P153">
    <cfRule type="cellIs" dxfId="4140" priority="790" operator="greaterThan">
      <formula>0</formula>
    </cfRule>
  </conditionalFormatting>
  <conditionalFormatting sqref="Q148:Q153">
    <cfRule type="cellIs" dxfId="4139" priority="795" operator="lessThan">
      <formula>0</formula>
    </cfRule>
  </conditionalFormatting>
  <conditionalFormatting sqref="R148:R153">
    <cfRule type="cellIs" dxfId="4138" priority="793" operator="lessThan">
      <formula>0.8</formula>
    </cfRule>
    <cfRule type="cellIs" dxfId="4137" priority="794" operator="greaterThan">
      <formula>1</formula>
    </cfRule>
  </conditionalFormatting>
  <conditionalFormatting sqref="R148:R153">
    <cfRule type="cellIs" dxfId="4136" priority="791" operator="greaterThan">
      <formula>1</formula>
    </cfRule>
    <cfRule type="cellIs" dxfId="4135" priority="792" operator="lessThan">
      <formula>0.8</formula>
    </cfRule>
  </conditionalFormatting>
  <conditionalFormatting sqref="R148:R153">
    <cfRule type="cellIs" dxfId="4134" priority="787" operator="lessThan">
      <formula>0.8</formula>
    </cfRule>
    <cfRule type="cellIs" dxfId="4133" priority="788" operator="greaterThan">
      <formula>1</formula>
    </cfRule>
  </conditionalFormatting>
  <conditionalFormatting sqref="R148:R153">
    <cfRule type="cellIs" dxfId="4132" priority="785" operator="greaterThan">
      <formula>1</formula>
    </cfRule>
    <cfRule type="cellIs" dxfId="4131" priority="786" operator="lessThan">
      <formula>0.8</formula>
    </cfRule>
  </conditionalFormatting>
  <conditionalFormatting sqref="P148:P153">
    <cfRule type="cellIs" dxfId="4130" priority="784" operator="greaterThan">
      <formula>0</formula>
    </cfRule>
  </conditionalFormatting>
  <conditionalFormatting sqref="Q148:Q153">
    <cfRule type="cellIs" dxfId="4129" priority="789" operator="lessThan">
      <formula>0</formula>
    </cfRule>
  </conditionalFormatting>
  <conditionalFormatting sqref="R148:R153">
    <cfRule type="cellIs" dxfId="4128" priority="781" operator="lessThan">
      <formula>0.8</formula>
    </cfRule>
    <cfRule type="cellIs" dxfId="4127" priority="782" operator="greaterThan">
      <formula>1</formula>
    </cfRule>
  </conditionalFormatting>
  <conditionalFormatting sqref="R148:R153">
    <cfRule type="cellIs" dxfId="4126" priority="779" operator="greaterThan">
      <formula>1</formula>
    </cfRule>
    <cfRule type="cellIs" dxfId="4125" priority="780" operator="lessThan">
      <formula>0.8</formula>
    </cfRule>
  </conditionalFormatting>
  <conditionalFormatting sqref="P148:P153">
    <cfRule type="cellIs" dxfId="4124" priority="778" operator="greaterThan">
      <formula>0</formula>
    </cfRule>
  </conditionalFormatting>
  <conditionalFormatting sqref="Q148:Q153">
    <cfRule type="cellIs" dxfId="4123" priority="783" operator="lessThan">
      <formula>0</formula>
    </cfRule>
  </conditionalFormatting>
  <conditionalFormatting sqref="Q148:Q153">
    <cfRule type="cellIs" dxfId="4122" priority="777" operator="lessThan">
      <formula>0</formula>
    </cfRule>
  </conditionalFormatting>
  <conditionalFormatting sqref="R148:R153">
    <cfRule type="cellIs" dxfId="4121" priority="775" operator="lessThan">
      <formula>0.8</formula>
    </cfRule>
    <cfRule type="cellIs" dxfId="4120" priority="776" operator="greaterThan">
      <formula>1</formula>
    </cfRule>
  </conditionalFormatting>
  <conditionalFormatting sqref="R148:R153">
    <cfRule type="cellIs" dxfId="4119" priority="773" operator="greaterThan">
      <formula>1</formula>
    </cfRule>
    <cfRule type="cellIs" dxfId="4118" priority="774" operator="lessThan">
      <formula>0.8</formula>
    </cfRule>
  </conditionalFormatting>
  <conditionalFormatting sqref="P148:P153">
    <cfRule type="cellIs" dxfId="4117" priority="772" operator="greaterThan">
      <formula>0</formula>
    </cfRule>
  </conditionalFormatting>
  <conditionalFormatting sqref="Q148:Q153">
    <cfRule type="cellIs" dxfId="4116" priority="766" operator="lessThan">
      <formula>0</formula>
    </cfRule>
  </conditionalFormatting>
  <conditionalFormatting sqref="R148:R153">
    <cfRule type="cellIs" dxfId="4115" priority="770" operator="lessThan">
      <formula>0.8</formula>
    </cfRule>
    <cfRule type="cellIs" dxfId="4114" priority="771" operator="greaterThan">
      <formula>1</formula>
    </cfRule>
  </conditionalFormatting>
  <conditionalFormatting sqref="R148:R153">
    <cfRule type="cellIs" dxfId="4113" priority="768" operator="greaterThan">
      <formula>1</formula>
    </cfRule>
    <cfRule type="cellIs" dxfId="4112" priority="769" operator="lessThan">
      <formula>0.8</formula>
    </cfRule>
  </conditionalFormatting>
  <conditionalFormatting sqref="P148:P153">
    <cfRule type="cellIs" dxfId="4111" priority="767" operator="greaterThan">
      <formula>0</formula>
    </cfRule>
  </conditionalFormatting>
  <conditionalFormatting sqref="Q148:Q153">
    <cfRule type="cellIs" dxfId="4110" priority="765" operator="lessThan">
      <formula>0</formula>
    </cfRule>
  </conditionalFormatting>
  <conditionalFormatting sqref="R148:R153">
    <cfRule type="cellIs" dxfId="4109" priority="763" operator="lessThan">
      <formula>0.8</formula>
    </cfRule>
    <cfRule type="cellIs" dxfId="4108" priority="764" operator="greaterThan">
      <formula>1</formula>
    </cfRule>
  </conditionalFormatting>
  <conditionalFormatting sqref="R148:R153">
    <cfRule type="cellIs" dxfId="4107" priority="761" operator="greaterThan">
      <formula>1</formula>
    </cfRule>
    <cfRule type="cellIs" dxfId="4106" priority="762" operator="lessThan">
      <formula>0.8</formula>
    </cfRule>
  </conditionalFormatting>
  <conditionalFormatting sqref="P148:P153">
    <cfRule type="cellIs" dxfId="4105" priority="760" operator="greaterThan">
      <formula>0</formula>
    </cfRule>
  </conditionalFormatting>
  <conditionalFormatting sqref="Q148:Q153">
    <cfRule type="cellIs" dxfId="4104" priority="759" operator="lessThan">
      <formula>0</formula>
    </cfRule>
  </conditionalFormatting>
  <conditionalFormatting sqref="R148:R153">
    <cfRule type="cellIs" dxfId="4103" priority="757" operator="lessThan">
      <formula>0.8</formula>
    </cfRule>
    <cfRule type="cellIs" dxfId="4102" priority="758" operator="greaterThan">
      <formula>1</formula>
    </cfRule>
  </conditionalFormatting>
  <conditionalFormatting sqref="R148:R153">
    <cfRule type="cellIs" dxfId="4101" priority="755" operator="greaterThan">
      <formula>1</formula>
    </cfRule>
    <cfRule type="cellIs" dxfId="4100" priority="756" operator="lessThan">
      <formula>0.8</formula>
    </cfRule>
  </conditionalFormatting>
  <conditionalFormatting sqref="P148:P153">
    <cfRule type="cellIs" dxfId="4099" priority="754" operator="greaterThan">
      <formula>0</formula>
    </cfRule>
  </conditionalFormatting>
  <conditionalFormatting sqref="Q148:Q153">
    <cfRule type="cellIs" dxfId="4098" priority="753" operator="lessThan">
      <formula>0</formula>
    </cfRule>
  </conditionalFormatting>
  <conditionalFormatting sqref="R148:R153">
    <cfRule type="cellIs" dxfId="4097" priority="751" operator="lessThan">
      <formula>0.8</formula>
    </cfRule>
    <cfRule type="cellIs" dxfId="4096" priority="752" operator="greaterThan">
      <formula>1</formula>
    </cfRule>
  </conditionalFormatting>
  <conditionalFormatting sqref="R148:R153">
    <cfRule type="cellIs" dxfId="4095" priority="749" operator="greaterThan">
      <formula>1</formula>
    </cfRule>
    <cfRule type="cellIs" dxfId="4094" priority="750" operator="lessThan">
      <formula>0.8</formula>
    </cfRule>
  </conditionalFormatting>
  <conditionalFormatting sqref="P148:P153">
    <cfRule type="cellIs" dxfId="4093" priority="748" operator="greaterThan">
      <formula>0</formula>
    </cfRule>
  </conditionalFormatting>
  <conditionalFormatting sqref="Q148:Q153">
    <cfRule type="cellIs" dxfId="4092" priority="747" operator="lessThan">
      <formula>0</formula>
    </cfRule>
  </conditionalFormatting>
  <conditionalFormatting sqref="R148:R153">
    <cfRule type="cellIs" dxfId="4091" priority="745" operator="lessThan">
      <formula>0.8</formula>
    </cfRule>
    <cfRule type="cellIs" dxfId="4090" priority="746" operator="greaterThan">
      <formula>1</formula>
    </cfRule>
  </conditionalFormatting>
  <conditionalFormatting sqref="R148:R153">
    <cfRule type="cellIs" dxfId="4089" priority="743" operator="greaterThan">
      <formula>1</formula>
    </cfRule>
    <cfRule type="cellIs" dxfId="4088" priority="744" operator="lessThan">
      <formula>0.8</formula>
    </cfRule>
  </conditionalFormatting>
  <conditionalFormatting sqref="P148:P153">
    <cfRule type="cellIs" dxfId="4087" priority="742" operator="greaterThan">
      <formula>0</formula>
    </cfRule>
  </conditionalFormatting>
  <conditionalFormatting sqref="Q148:Q153">
    <cfRule type="cellIs" dxfId="4086" priority="741" operator="lessThan">
      <formula>0</formula>
    </cfRule>
  </conditionalFormatting>
  <conditionalFormatting sqref="R148:R153">
    <cfRule type="cellIs" dxfId="4085" priority="739" operator="lessThan">
      <formula>0.8</formula>
    </cfRule>
    <cfRule type="cellIs" dxfId="4084" priority="740" operator="greaterThan">
      <formula>1</formula>
    </cfRule>
  </conditionalFormatting>
  <conditionalFormatting sqref="R148:R153">
    <cfRule type="cellIs" dxfId="4083" priority="737" operator="greaterThan">
      <formula>1</formula>
    </cfRule>
    <cfRule type="cellIs" dxfId="4082" priority="738" operator="lessThan">
      <formula>0.8</formula>
    </cfRule>
  </conditionalFormatting>
  <conditionalFormatting sqref="P148:P153">
    <cfRule type="cellIs" dxfId="4081" priority="736" operator="greaterThan">
      <formula>0</formula>
    </cfRule>
  </conditionalFormatting>
  <conditionalFormatting sqref="P148:P153">
    <cfRule type="cellIs" dxfId="4080" priority="730" operator="greaterThan">
      <formula>0</formula>
    </cfRule>
  </conditionalFormatting>
  <conditionalFormatting sqref="Q148:Q153">
    <cfRule type="cellIs" dxfId="4079" priority="735" operator="lessThan">
      <formula>0</formula>
    </cfRule>
  </conditionalFormatting>
  <conditionalFormatting sqref="R148:R153">
    <cfRule type="cellIs" dxfId="4078" priority="733" operator="lessThan">
      <formula>0.8</formula>
    </cfRule>
    <cfRule type="cellIs" dxfId="4077" priority="734" operator="greaterThan">
      <formula>1</formula>
    </cfRule>
  </conditionalFormatting>
  <conditionalFormatting sqref="R148:R153">
    <cfRule type="cellIs" dxfId="4076" priority="731" operator="greaterThan">
      <formula>1</formula>
    </cfRule>
    <cfRule type="cellIs" dxfId="4075" priority="732" operator="lessThan">
      <formula>0.8</formula>
    </cfRule>
  </conditionalFormatting>
  <conditionalFormatting sqref="P148:P153">
    <cfRule type="cellIs" dxfId="4074" priority="724" operator="greaterThan">
      <formula>0</formula>
    </cfRule>
  </conditionalFormatting>
  <conditionalFormatting sqref="Q148:Q153">
    <cfRule type="cellIs" dxfId="4073" priority="729" operator="lessThan">
      <formula>0</formula>
    </cfRule>
  </conditionalFormatting>
  <conditionalFormatting sqref="R148:R153">
    <cfRule type="cellIs" dxfId="4072" priority="727" operator="lessThan">
      <formula>0.8</formula>
    </cfRule>
    <cfRule type="cellIs" dxfId="4071" priority="728" operator="greaterThan">
      <formula>1</formula>
    </cfRule>
  </conditionalFormatting>
  <conditionalFormatting sqref="R148:R153">
    <cfRule type="cellIs" dxfId="4070" priority="725" operator="greaterThan">
      <formula>1</formula>
    </cfRule>
    <cfRule type="cellIs" dxfId="4069" priority="726" operator="lessThan">
      <formula>0.8</formula>
    </cfRule>
  </conditionalFormatting>
  <conditionalFormatting sqref="R148:R153">
    <cfRule type="cellIs" dxfId="4068" priority="721" operator="lessThan">
      <formula>0.8</formula>
    </cfRule>
    <cfRule type="cellIs" dxfId="4067" priority="722" operator="greaterThan">
      <formula>1</formula>
    </cfRule>
  </conditionalFormatting>
  <conditionalFormatting sqref="R148:R153">
    <cfRule type="cellIs" dxfId="4066" priority="719" operator="greaterThan">
      <formula>1</formula>
    </cfRule>
    <cfRule type="cellIs" dxfId="4065" priority="720" operator="lessThan">
      <formula>0.8</formula>
    </cfRule>
  </conditionalFormatting>
  <conditionalFormatting sqref="P148:P153">
    <cfRule type="cellIs" dxfId="4064" priority="718" operator="greaterThan">
      <formula>0</formula>
    </cfRule>
  </conditionalFormatting>
  <conditionalFormatting sqref="Q148:Q153">
    <cfRule type="cellIs" dxfId="4063" priority="723" operator="lessThan">
      <formula>0</formula>
    </cfRule>
  </conditionalFormatting>
  <conditionalFormatting sqref="P44:P51">
    <cfRule type="cellIs" dxfId="4062" priority="712" operator="greaterThan">
      <formula>0</formula>
    </cfRule>
  </conditionalFormatting>
  <conditionalFormatting sqref="Q44:Q51">
    <cfRule type="cellIs" dxfId="4061" priority="717" operator="lessThan">
      <formula>0</formula>
    </cfRule>
  </conditionalFormatting>
  <conditionalFormatting sqref="R44:R51">
    <cfRule type="cellIs" dxfId="4060" priority="715" operator="lessThan">
      <formula>0.8</formula>
    </cfRule>
    <cfRule type="cellIs" dxfId="4059" priority="716" operator="greaterThan">
      <formula>1</formula>
    </cfRule>
  </conditionalFormatting>
  <conditionalFormatting sqref="R44:R51">
    <cfRule type="cellIs" dxfId="4058" priority="713" operator="greaterThan">
      <formula>1</formula>
    </cfRule>
    <cfRule type="cellIs" dxfId="4057" priority="714" operator="lessThan">
      <formula>0.8</formula>
    </cfRule>
  </conditionalFormatting>
  <conditionalFormatting sqref="Q84:Q91">
    <cfRule type="cellIs" dxfId="4056" priority="711" operator="lessThan">
      <formula>0</formula>
    </cfRule>
  </conditionalFormatting>
  <conditionalFormatting sqref="R84:R91">
    <cfRule type="cellIs" dxfId="4055" priority="709" operator="lessThan">
      <formula>0.8</formula>
    </cfRule>
    <cfRule type="cellIs" dxfId="4054" priority="710" operator="greaterThan">
      <formula>1</formula>
    </cfRule>
  </conditionalFormatting>
  <conditionalFormatting sqref="R84:R91">
    <cfRule type="cellIs" dxfId="4053" priority="707" operator="greaterThan">
      <formula>1</formula>
    </cfRule>
    <cfRule type="cellIs" dxfId="4052" priority="708" operator="lessThan">
      <formula>0.8</formula>
    </cfRule>
  </conditionalFormatting>
  <conditionalFormatting sqref="P84:P91">
    <cfRule type="cellIs" dxfId="4051" priority="706" operator="greaterThan">
      <formula>0</formula>
    </cfRule>
  </conditionalFormatting>
  <conditionalFormatting sqref="Q84:Q91">
    <cfRule type="cellIs" dxfId="4050" priority="705" operator="lessThan">
      <formula>0</formula>
    </cfRule>
  </conditionalFormatting>
  <conditionalFormatting sqref="R84:R91">
    <cfRule type="cellIs" dxfId="4049" priority="703" operator="lessThan">
      <formula>0.8</formula>
    </cfRule>
    <cfRule type="cellIs" dxfId="4048" priority="704" operator="greaterThan">
      <formula>1</formula>
    </cfRule>
  </conditionalFormatting>
  <conditionalFormatting sqref="R84:R91">
    <cfRule type="cellIs" dxfId="4047" priority="701" operator="greaterThan">
      <formula>1</formula>
    </cfRule>
    <cfRule type="cellIs" dxfId="4046" priority="702" operator="lessThan">
      <formula>0.8</formula>
    </cfRule>
  </conditionalFormatting>
  <conditionalFormatting sqref="P84:P91">
    <cfRule type="cellIs" dxfId="4045" priority="700" operator="greaterThan">
      <formula>0</formula>
    </cfRule>
  </conditionalFormatting>
  <conditionalFormatting sqref="Q84:Q91">
    <cfRule type="cellIs" dxfId="4044" priority="699" operator="lessThan">
      <formula>0</formula>
    </cfRule>
  </conditionalFormatting>
  <conditionalFormatting sqref="R84:R91">
    <cfRule type="cellIs" dxfId="4043" priority="697" operator="lessThan">
      <formula>0.8</formula>
    </cfRule>
    <cfRule type="cellIs" dxfId="4042" priority="698" operator="greaterThan">
      <formula>1</formula>
    </cfRule>
  </conditionalFormatting>
  <conditionalFormatting sqref="R84:R91">
    <cfRule type="cellIs" dxfId="4041" priority="695" operator="greaterThan">
      <formula>1</formula>
    </cfRule>
    <cfRule type="cellIs" dxfId="4040" priority="696" operator="lessThan">
      <formula>0.8</formula>
    </cfRule>
  </conditionalFormatting>
  <conditionalFormatting sqref="P84:P91">
    <cfRule type="cellIs" dxfId="4039" priority="694" operator="greaterThan">
      <formula>0</formula>
    </cfRule>
  </conditionalFormatting>
  <conditionalFormatting sqref="Q84:Q91">
    <cfRule type="cellIs" dxfId="4038" priority="693" operator="lessThan">
      <formula>0</formula>
    </cfRule>
  </conditionalFormatting>
  <conditionalFormatting sqref="R84:R91">
    <cfRule type="cellIs" dxfId="4037" priority="691" operator="lessThan">
      <formula>0.8</formula>
    </cfRule>
    <cfRule type="cellIs" dxfId="4036" priority="692" operator="greaterThan">
      <formula>1</formula>
    </cfRule>
  </conditionalFormatting>
  <conditionalFormatting sqref="R84:R91">
    <cfRule type="cellIs" dxfId="4035" priority="689" operator="greaterThan">
      <formula>1</formula>
    </cfRule>
    <cfRule type="cellIs" dxfId="4034" priority="690" operator="lessThan">
      <formula>0.8</formula>
    </cfRule>
  </conditionalFormatting>
  <conditionalFormatting sqref="P84:P91">
    <cfRule type="cellIs" dxfId="4033" priority="688" operator="greaterThan">
      <formula>0</formula>
    </cfRule>
  </conditionalFormatting>
  <conditionalFormatting sqref="P84:P91">
    <cfRule type="cellIs" dxfId="4032" priority="682" operator="greaterThan">
      <formula>0</formula>
    </cfRule>
  </conditionalFormatting>
  <conditionalFormatting sqref="Q84:Q91">
    <cfRule type="cellIs" dxfId="4031" priority="687" operator="lessThan">
      <formula>0</formula>
    </cfRule>
  </conditionalFormatting>
  <conditionalFormatting sqref="R84:R91">
    <cfRule type="cellIs" dxfId="4030" priority="685" operator="lessThan">
      <formula>0.8</formula>
    </cfRule>
    <cfRule type="cellIs" dxfId="4029" priority="686" operator="greaterThan">
      <formula>1</formula>
    </cfRule>
  </conditionalFormatting>
  <conditionalFormatting sqref="R84:R91">
    <cfRule type="cellIs" dxfId="4028" priority="683" operator="greaterThan">
      <formula>1</formula>
    </cfRule>
    <cfRule type="cellIs" dxfId="4027" priority="684" operator="lessThan">
      <formula>0.8</formula>
    </cfRule>
  </conditionalFormatting>
  <conditionalFormatting sqref="P84:P91">
    <cfRule type="cellIs" dxfId="4026" priority="676" operator="greaterThan">
      <formula>0</formula>
    </cfRule>
  </conditionalFormatting>
  <conditionalFormatting sqref="Q84:Q91">
    <cfRule type="cellIs" dxfId="4025" priority="681" operator="lessThan">
      <formula>0</formula>
    </cfRule>
  </conditionalFormatting>
  <conditionalFormatting sqref="R84:R91">
    <cfRule type="cellIs" dxfId="4024" priority="679" operator="lessThan">
      <formula>0.8</formula>
    </cfRule>
    <cfRule type="cellIs" dxfId="4023" priority="680" operator="greaterThan">
      <formula>1</formula>
    </cfRule>
  </conditionalFormatting>
  <conditionalFormatting sqref="R84:R91">
    <cfRule type="cellIs" dxfId="4022" priority="677" operator="greaterThan">
      <formula>1</formula>
    </cfRule>
    <cfRule type="cellIs" dxfId="4021" priority="678" operator="lessThan">
      <formula>0.8</formula>
    </cfRule>
  </conditionalFormatting>
  <conditionalFormatting sqref="R84:R91">
    <cfRule type="cellIs" dxfId="4020" priority="673" operator="lessThan">
      <formula>0.8</formula>
    </cfRule>
    <cfRule type="cellIs" dxfId="4019" priority="674" operator="greaterThan">
      <formula>1</formula>
    </cfRule>
  </conditionalFormatting>
  <conditionalFormatting sqref="R84:R91">
    <cfRule type="cellIs" dxfId="4018" priority="671" operator="greaterThan">
      <formula>1</formula>
    </cfRule>
    <cfRule type="cellIs" dxfId="4017" priority="672" operator="lessThan">
      <formula>0.8</formula>
    </cfRule>
  </conditionalFormatting>
  <conditionalFormatting sqref="P84:P91">
    <cfRule type="cellIs" dxfId="4016" priority="670" operator="greaterThan">
      <formula>0</formula>
    </cfRule>
  </conditionalFormatting>
  <conditionalFormatting sqref="Q84:Q91">
    <cfRule type="cellIs" dxfId="4015" priority="675" operator="lessThan">
      <formula>0</formula>
    </cfRule>
  </conditionalFormatting>
  <conditionalFormatting sqref="Q84:Q91">
    <cfRule type="cellIs" dxfId="4014" priority="669" operator="lessThan">
      <formula>0</formula>
    </cfRule>
  </conditionalFormatting>
  <conditionalFormatting sqref="R84:R91">
    <cfRule type="cellIs" dxfId="4013" priority="667" operator="lessThan">
      <formula>0.8</formula>
    </cfRule>
    <cfRule type="cellIs" dxfId="4012" priority="668" operator="greaterThan">
      <formula>1</formula>
    </cfRule>
  </conditionalFormatting>
  <conditionalFormatting sqref="R84:R91">
    <cfRule type="cellIs" dxfId="4011" priority="665" operator="greaterThan">
      <formula>1</formula>
    </cfRule>
    <cfRule type="cellIs" dxfId="4010" priority="666" operator="lessThan">
      <formula>0.8</formula>
    </cfRule>
  </conditionalFormatting>
  <conditionalFormatting sqref="P84:P91">
    <cfRule type="cellIs" dxfId="4009" priority="664" operator="greaterThan">
      <formula>0</formula>
    </cfRule>
  </conditionalFormatting>
  <conditionalFormatting sqref="P84:P91">
    <cfRule type="cellIs" dxfId="4008" priority="658" operator="greaterThan">
      <formula>0</formula>
    </cfRule>
  </conditionalFormatting>
  <conditionalFormatting sqref="Q84:Q91">
    <cfRule type="cellIs" dxfId="4007" priority="663" operator="lessThan">
      <formula>0</formula>
    </cfRule>
  </conditionalFormatting>
  <conditionalFormatting sqref="R84:R91">
    <cfRule type="cellIs" dxfId="4006" priority="661" operator="lessThan">
      <formula>0.8</formula>
    </cfRule>
    <cfRule type="cellIs" dxfId="4005" priority="662" operator="greaterThan">
      <formula>1</formula>
    </cfRule>
  </conditionalFormatting>
  <conditionalFormatting sqref="R84:R91">
    <cfRule type="cellIs" dxfId="4004" priority="659" operator="greaterThan">
      <formula>1</formula>
    </cfRule>
    <cfRule type="cellIs" dxfId="4003" priority="660" operator="lessThan">
      <formula>0.8</formula>
    </cfRule>
  </conditionalFormatting>
  <conditionalFormatting sqref="P84:P91">
    <cfRule type="cellIs" dxfId="4002" priority="652" operator="greaterThan">
      <formula>0</formula>
    </cfRule>
  </conditionalFormatting>
  <conditionalFormatting sqref="Q84:Q91">
    <cfRule type="cellIs" dxfId="4001" priority="657" operator="lessThan">
      <formula>0</formula>
    </cfRule>
  </conditionalFormatting>
  <conditionalFormatting sqref="R84:R91">
    <cfRule type="cellIs" dxfId="4000" priority="655" operator="lessThan">
      <formula>0.8</formula>
    </cfRule>
    <cfRule type="cellIs" dxfId="3999" priority="656" operator="greaterThan">
      <formula>1</formula>
    </cfRule>
  </conditionalFormatting>
  <conditionalFormatting sqref="R84:R91">
    <cfRule type="cellIs" dxfId="3998" priority="653" operator="greaterThan">
      <formula>1</formula>
    </cfRule>
    <cfRule type="cellIs" dxfId="3997" priority="654" operator="lessThan">
      <formula>0.8</formula>
    </cfRule>
  </conditionalFormatting>
  <conditionalFormatting sqref="R84:R91">
    <cfRule type="cellIs" dxfId="3996" priority="649" operator="lessThan">
      <formula>0.8</formula>
    </cfRule>
    <cfRule type="cellIs" dxfId="3995" priority="650" operator="greaterThan">
      <formula>1</formula>
    </cfRule>
  </conditionalFormatting>
  <conditionalFormatting sqref="R84:R91">
    <cfRule type="cellIs" dxfId="3994" priority="647" operator="greaterThan">
      <formula>1</formula>
    </cfRule>
    <cfRule type="cellIs" dxfId="3993" priority="648" operator="lessThan">
      <formula>0.8</formula>
    </cfRule>
  </conditionalFormatting>
  <conditionalFormatting sqref="P84:P91">
    <cfRule type="cellIs" dxfId="3992" priority="646" operator="greaterThan">
      <formula>0</formula>
    </cfRule>
  </conditionalFormatting>
  <conditionalFormatting sqref="Q84:Q91">
    <cfRule type="cellIs" dxfId="3991" priority="651" operator="lessThan">
      <formula>0</formula>
    </cfRule>
  </conditionalFormatting>
  <conditionalFormatting sqref="P84:P91">
    <cfRule type="cellIs" dxfId="3990" priority="640" operator="greaterThan">
      <formula>0</formula>
    </cfRule>
  </conditionalFormatting>
  <conditionalFormatting sqref="Q84:Q91">
    <cfRule type="cellIs" dxfId="3989" priority="645" operator="lessThan">
      <formula>0</formula>
    </cfRule>
  </conditionalFormatting>
  <conditionalFormatting sqref="R84:R91">
    <cfRule type="cellIs" dxfId="3988" priority="643" operator="lessThan">
      <formula>0.8</formula>
    </cfRule>
    <cfRule type="cellIs" dxfId="3987" priority="644" operator="greaterThan">
      <formula>1</formula>
    </cfRule>
  </conditionalFormatting>
  <conditionalFormatting sqref="R84:R91">
    <cfRule type="cellIs" dxfId="3986" priority="641" operator="greaterThan">
      <formula>1</formula>
    </cfRule>
    <cfRule type="cellIs" dxfId="3985" priority="642" operator="lessThan">
      <formula>0.8</formula>
    </cfRule>
  </conditionalFormatting>
  <conditionalFormatting sqref="R84:R91">
    <cfRule type="cellIs" dxfId="3984" priority="637" operator="lessThan">
      <formula>0.8</formula>
    </cfRule>
    <cfRule type="cellIs" dxfId="3983" priority="638" operator="greaterThan">
      <formula>1</formula>
    </cfRule>
  </conditionalFormatting>
  <conditionalFormatting sqref="R84:R91">
    <cfRule type="cellIs" dxfId="3982" priority="635" operator="greaterThan">
      <formula>1</formula>
    </cfRule>
    <cfRule type="cellIs" dxfId="3981" priority="636" operator="lessThan">
      <formula>0.8</formula>
    </cfRule>
  </conditionalFormatting>
  <conditionalFormatting sqref="P84:P91">
    <cfRule type="cellIs" dxfId="3980" priority="634" operator="greaterThan">
      <formula>0</formula>
    </cfRule>
  </conditionalFormatting>
  <conditionalFormatting sqref="Q84:Q91">
    <cfRule type="cellIs" dxfId="3979" priority="639" operator="lessThan">
      <formula>0</formula>
    </cfRule>
  </conditionalFormatting>
  <conditionalFormatting sqref="R84:R91">
    <cfRule type="cellIs" dxfId="3978" priority="631" operator="lessThan">
      <formula>0.8</formula>
    </cfRule>
    <cfRule type="cellIs" dxfId="3977" priority="632" operator="greaterThan">
      <formula>1</formula>
    </cfRule>
  </conditionalFormatting>
  <conditionalFormatting sqref="R84:R91">
    <cfRule type="cellIs" dxfId="3976" priority="629" operator="greaterThan">
      <formula>1</formula>
    </cfRule>
    <cfRule type="cellIs" dxfId="3975" priority="630" operator="lessThan">
      <formula>0.8</formula>
    </cfRule>
  </conditionalFormatting>
  <conditionalFormatting sqref="P84:P91">
    <cfRule type="cellIs" dxfId="3974" priority="628" operator="greaterThan">
      <formula>0</formula>
    </cfRule>
  </conditionalFormatting>
  <conditionalFormatting sqref="Q84:Q91">
    <cfRule type="cellIs" dxfId="3973" priority="633" operator="lessThan">
      <formula>0</formula>
    </cfRule>
  </conditionalFormatting>
  <conditionalFormatting sqref="Q84:Q91">
    <cfRule type="cellIs" dxfId="3972" priority="627" operator="lessThan">
      <formula>0</formula>
    </cfRule>
  </conditionalFormatting>
  <conditionalFormatting sqref="R84:R91">
    <cfRule type="cellIs" dxfId="3971" priority="625" operator="lessThan">
      <formula>0.8</formula>
    </cfRule>
    <cfRule type="cellIs" dxfId="3970" priority="626" operator="greaterThan">
      <formula>1</formula>
    </cfRule>
  </conditionalFormatting>
  <conditionalFormatting sqref="R84:R91">
    <cfRule type="cellIs" dxfId="3969" priority="623" operator="greaterThan">
      <formula>1</formula>
    </cfRule>
    <cfRule type="cellIs" dxfId="3968" priority="624" operator="lessThan">
      <formula>0.8</formula>
    </cfRule>
  </conditionalFormatting>
  <conditionalFormatting sqref="P84:P91">
    <cfRule type="cellIs" dxfId="3967" priority="622" operator="greaterThan">
      <formula>0</formula>
    </cfRule>
  </conditionalFormatting>
  <conditionalFormatting sqref="Q84:Q91">
    <cfRule type="cellIs" dxfId="3966" priority="616" operator="lessThan">
      <formula>0</formula>
    </cfRule>
  </conditionalFormatting>
  <conditionalFormatting sqref="R84:R91">
    <cfRule type="cellIs" dxfId="3965" priority="620" operator="lessThan">
      <formula>0.8</formula>
    </cfRule>
    <cfRule type="cellIs" dxfId="3964" priority="621" operator="greaterThan">
      <formula>1</formula>
    </cfRule>
  </conditionalFormatting>
  <conditionalFormatting sqref="R84:R91">
    <cfRule type="cellIs" dxfId="3963" priority="618" operator="greaterThan">
      <formula>1</formula>
    </cfRule>
    <cfRule type="cellIs" dxfId="3962" priority="619" operator="lessThan">
      <formula>0.8</formula>
    </cfRule>
  </conditionalFormatting>
  <conditionalFormatting sqref="P84:P91">
    <cfRule type="cellIs" dxfId="3961" priority="617" operator="greaterThan">
      <formula>0</formula>
    </cfRule>
  </conditionalFormatting>
  <conditionalFormatting sqref="Q84:Q91">
    <cfRule type="cellIs" dxfId="3960" priority="615" operator="lessThan">
      <formula>0</formula>
    </cfRule>
  </conditionalFormatting>
  <conditionalFormatting sqref="R84:R91">
    <cfRule type="cellIs" dxfId="3959" priority="613" operator="lessThan">
      <formula>0.8</formula>
    </cfRule>
    <cfRule type="cellIs" dxfId="3958" priority="614" operator="greaterThan">
      <formula>1</formula>
    </cfRule>
  </conditionalFormatting>
  <conditionalFormatting sqref="R84:R91">
    <cfRule type="cellIs" dxfId="3957" priority="611" operator="greaterThan">
      <formula>1</formula>
    </cfRule>
    <cfRule type="cellIs" dxfId="3956" priority="612" operator="lessThan">
      <formula>0.8</formula>
    </cfRule>
  </conditionalFormatting>
  <conditionalFormatting sqref="P84:P91">
    <cfRule type="cellIs" dxfId="3955" priority="610" operator="greaterThan">
      <formula>0</formula>
    </cfRule>
  </conditionalFormatting>
  <conditionalFormatting sqref="Q84:Q91">
    <cfRule type="cellIs" dxfId="3954" priority="609" operator="lessThan">
      <formula>0</formula>
    </cfRule>
  </conditionalFormatting>
  <conditionalFormatting sqref="R84:R91">
    <cfRule type="cellIs" dxfId="3953" priority="607" operator="lessThan">
      <formula>0.8</formula>
    </cfRule>
    <cfRule type="cellIs" dxfId="3952" priority="608" operator="greaterThan">
      <formula>1</formula>
    </cfRule>
  </conditionalFormatting>
  <conditionalFormatting sqref="R84:R91">
    <cfRule type="cellIs" dxfId="3951" priority="605" operator="greaterThan">
      <formula>1</formula>
    </cfRule>
    <cfRule type="cellIs" dxfId="3950" priority="606" operator="lessThan">
      <formula>0.8</formula>
    </cfRule>
  </conditionalFormatting>
  <conditionalFormatting sqref="P84:P91">
    <cfRule type="cellIs" dxfId="3949" priority="604" operator="greaterThan">
      <formula>0</formula>
    </cfRule>
  </conditionalFormatting>
  <conditionalFormatting sqref="Q84:Q91">
    <cfRule type="cellIs" dxfId="3948" priority="603" operator="lessThan">
      <formula>0</formula>
    </cfRule>
  </conditionalFormatting>
  <conditionalFormatting sqref="R84:R91">
    <cfRule type="cellIs" dxfId="3947" priority="601" operator="lessThan">
      <formula>0.8</formula>
    </cfRule>
    <cfRule type="cellIs" dxfId="3946" priority="602" operator="greaterThan">
      <formula>1</formula>
    </cfRule>
  </conditionalFormatting>
  <conditionalFormatting sqref="R84:R91">
    <cfRule type="cellIs" dxfId="3945" priority="599" operator="greaterThan">
      <formula>1</formula>
    </cfRule>
    <cfRule type="cellIs" dxfId="3944" priority="600" operator="lessThan">
      <formula>0.8</formula>
    </cfRule>
  </conditionalFormatting>
  <conditionalFormatting sqref="P84:P91">
    <cfRule type="cellIs" dxfId="3943" priority="598" operator="greaterThan">
      <formula>0</formula>
    </cfRule>
  </conditionalFormatting>
  <conditionalFormatting sqref="Q84:Q91">
    <cfRule type="cellIs" dxfId="3942" priority="597" operator="lessThan">
      <formula>0</formula>
    </cfRule>
  </conditionalFormatting>
  <conditionalFormatting sqref="R84:R91">
    <cfRule type="cellIs" dxfId="3941" priority="595" operator="lessThan">
      <formula>0.8</formula>
    </cfRule>
    <cfRule type="cellIs" dxfId="3940" priority="596" operator="greaterThan">
      <formula>1</formula>
    </cfRule>
  </conditionalFormatting>
  <conditionalFormatting sqref="R84:R91">
    <cfRule type="cellIs" dxfId="3939" priority="593" operator="greaterThan">
      <formula>1</formula>
    </cfRule>
    <cfRule type="cellIs" dxfId="3938" priority="594" operator="lessThan">
      <formula>0.8</formula>
    </cfRule>
  </conditionalFormatting>
  <conditionalFormatting sqref="P84:P91">
    <cfRule type="cellIs" dxfId="3937" priority="592" operator="greaterThan">
      <formula>0</formula>
    </cfRule>
  </conditionalFormatting>
  <conditionalFormatting sqref="Q84:Q91">
    <cfRule type="cellIs" dxfId="3936" priority="591" operator="lessThan">
      <formula>0</formula>
    </cfRule>
  </conditionalFormatting>
  <conditionalFormatting sqref="R84:R91">
    <cfRule type="cellIs" dxfId="3935" priority="589" operator="lessThan">
      <formula>0.8</formula>
    </cfRule>
    <cfRule type="cellIs" dxfId="3934" priority="590" operator="greaterThan">
      <formula>1</formula>
    </cfRule>
  </conditionalFormatting>
  <conditionalFormatting sqref="R84:R91">
    <cfRule type="cellIs" dxfId="3933" priority="587" operator="greaterThan">
      <formula>1</formula>
    </cfRule>
    <cfRule type="cellIs" dxfId="3932" priority="588" operator="lessThan">
      <formula>0.8</formula>
    </cfRule>
  </conditionalFormatting>
  <conditionalFormatting sqref="P84:P91">
    <cfRule type="cellIs" dxfId="3931" priority="586" operator="greaterThan">
      <formula>0</formula>
    </cfRule>
  </conditionalFormatting>
  <conditionalFormatting sqref="P84:P91">
    <cfRule type="cellIs" dxfId="3930" priority="580" operator="greaterThan">
      <formula>0</formula>
    </cfRule>
  </conditionalFormatting>
  <conditionalFormatting sqref="Q84:Q91">
    <cfRule type="cellIs" dxfId="3929" priority="585" operator="lessThan">
      <formula>0</formula>
    </cfRule>
  </conditionalFormatting>
  <conditionalFormatting sqref="R84:R91">
    <cfRule type="cellIs" dxfId="3928" priority="583" operator="lessThan">
      <formula>0.8</formula>
    </cfRule>
    <cfRule type="cellIs" dxfId="3927" priority="584" operator="greaterThan">
      <formula>1</formula>
    </cfRule>
  </conditionalFormatting>
  <conditionalFormatting sqref="R84:R91">
    <cfRule type="cellIs" dxfId="3926" priority="581" operator="greaterThan">
      <formula>1</formula>
    </cfRule>
    <cfRule type="cellIs" dxfId="3925" priority="582" operator="lessThan">
      <formula>0.8</formula>
    </cfRule>
  </conditionalFormatting>
  <conditionalFormatting sqref="P84:P91">
    <cfRule type="cellIs" dxfId="3924" priority="574" operator="greaterThan">
      <formula>0</formula>
    </cfRule>
  </conditionalFormatting>
  <conditionalFormatting sqref="Q84:Q91">
    <cfRule type="cellIs" dxfId="3923" priority="579" operator="lessThan">
      <formula>0</formula>
    </cfRule>
  </conditionalFormatting>
  <conditionalFormatting sqref="R84:R91">
    <cfRule type="cellIs" dxfId="3922" priority="577" operator="lessThan">
      <formula>0.8</formula>
    </cfRule>
    <cfRule type="cellIs" dxfId="3921" priority="578" operator="greaterThan">
      <formula>1</formula>
    </cfRule>
  </conditionalFormatting>
  <conditionalFormatting sqref="R84:R91">
    <cfRule type="cellIs" dxfId="3920" priority="575" operator="greaterThan">
      <formula>1</formula>
    </cfRule>
    <cfRule type="cellIs" dxfId="3919" priority="576" operator="lessThan">
      <formula>0.8</formula>
    </cfRule>
  </conditionalFormatting>
  <conditionalFormatting sqref="R84:R91">
    <cfRule type="cellIs" dxfId="3918" priority="571" operator="lessThan">
      <formula>0.8</formula>
    </cfRule>
    <cfRule type="cellIs" dxfId="3917" priority="572" operator="greaterThan">
      <formula>1</formula>
    </cfRule>
  </conditionalFormatting>
  <conditionalFormatting sqref="R84:R91">
    <cfRule type="cellIs" dxfId="3916" priority="569" operator="greaterThan">
      <formula>1</formula>
    </cfRule>
    <cfRule type="cellIs" dxfId="3915" priority="570" operator="lessThan">
      <formula>0.8</formula>
    </cfRule>
  </conditionalFormatting>
  <conditionalFormatting sqref="P84:P91">
    <cfRule type="cellIs" dxfId="3914" priority="568" operator="greaterThan">
      <formula>0</formula>
    </cfRule>
  </conditionalFormatting>
  <conditionalFormatting sqref="Q84:Q91">
    <cfRule type="cellIs" dxfId="3913" priority="573" operator="lessThan">
      <formula>0</formula>
    </cfRule>
  </conditionalFormatting>
  <conditionalFormatting sqref="Q84:Q91">
    <cfRule type="cellIs" dxfId="3912" priority="567" operator="lessThan">
      <formula>0</formula>
    </cfRule>
  </conditionalFormatting>
  <conditionalFormatting sqref="R84:R91">
    <cfRule type="cellIs" dxfId="3911" priority="565" operator="lessThan">
      <formula>0.8</formula>
    </cfRule>
    <cfRule type="cellIs" dxfId="3910" priority="566" operator="greaterThan">
      <formula>1</formula>
    </cfRule>
  </conditionalFormatting>
  <conditionalFormatting sqref="R84:R91">
    <cfRule type="cellIs" dxfId="3909" priority="563" operator="greaterThan">
      <formula>1</formula>
    </cfRule>
    <cfRule type="cellIs" dxfId="3908" priority="564" operator="lessThan">
      <formula>0.8</formula>
    </cfRule>
  </conditionalFormatting>
  <conditionalFormatting sqref="P84:P91">
    <cfRule type="cellIs" dxfId="3907" priority="562" operator="greaterThan">
      <formula>0</formula>
    </cfRule>
  </conditionalFormatting>
  <conditionalFormatting sqref="Q84:Q91">
    <cfRule type="cellIs" dxfId="3906" priority="561" operator="lessThan">
      <formula>0</formula>
    </cfRule>
  </conditionalFormatting>
  <conditionalFormatting sqref="R84:R91">
    <cfRule type="cellIs" dxfId="3905" priority="559" operator="lessThan">
      <formula>0.8</formula>
    </cfRule>
    <cfRule type="cellIs" dxfId="3904" priority="560" operator="greaterThan">
      <formula>1</formula>
    </cfRule>
  </conditionalFormatting>
  <conditionalFormatting sqref="R84:R91">
    <cfRule type="cellIs" dxfId="3903" priority="557" operator="greaterThan">
      <formula>1</formula>
    </cfRule>
    <cfRule type="cellIs" dxfId="3902" priority="558" operator="lessThan">
      <formula>0.8</formula>
    </cfRule>
  </conditionalFormatting>
  <conditionalFormatting sqref="P84:P91">
    <cfRule type="cellIs" dxfId="3901" priority="556" operator="greaterThan">
      <formula>0</formula>
    </cfRule>
  </conditionalFormatting>
  <conditionalFormatting sqref="Q84:Q91">
    <cfRule type="cellIs" dxfId="3900" priority="555" operator="lessThan">
      <formula>0</formula>
    </cfRule>
  </conditionalFormatting>
  <conditionalFormatting sqref="R84:R91">
    <cfRule type="cellIs" dxfId="3899" priority="553" operator="lessThan">
      <formula>0.8</formula>
    </cfRule>
    <cfRule type="cellIs" dxfId="3898" priority="554" operator="greaterThan">
      <formula>1</formula>
    </cfRule>
  </conditionalFormatting>
  <conditionalFormatting sqref="R84:R91">
    <cfRule type="cellIs" dxfId="3897" priority="551" operator="greaterThan">
      <formula>1</formula>
    </cfRule>
    <cfRule type="cellIs" dxfId="3896" priority="552" operator="lessThan">
      <formula>0.8</formula>
    </cfRule>
  </conditionalFormatting>
  <conditionalFormatting sqref="P84:P91">
    <cfRule type="cellIs" dxfId="3895" priority="550" operator="greaterThan">
      <formula>0</formula>
    </cfRule>
  </conditionalFormatting>
  <conditionalFormatting sqref="Q84:Q91">
    <cfRule type="cellIs" dxfId="3894" priority="549" operator="lessThan">
      <formula>0</formula>
    </cfRule>
  </conditionalFormatting>
  <conditionalFormatting sqref="R84:R91">
    <cfRule type="cellIs" dxfId="3893" priority="547" operator="lessThan">
      <formula>0.8</formula>
    </cfRule>
    <cfRule type="cellIs" dxfId="3892" priority="548" operator="greaterThan">
      <formula>1</formula>
    </cfRule>
  </conditionalFormatting>
  <conditionalFormatting sqref="R84:R91">
    <cfRule type="cellIs" dxfId="3891" priority="545" operator="greaterThan">
      <formula>1</formula>
    </cfRule>
    <cfRule type="cellIs" dxfId="3890" priority="546" operator="lessThan">
      <formula>0.8</formula>
    </cfRule>
  </conditionalFormatting>
  <conditionalFormatting sqref="P84:P91">
    <cfRule type="cellIs" dxfId="3889" priority="544" operator="greaterThan">
      <formula>0</formula>
    </cfRule>
  </conditionalFormatting>
  <conditionalFormatting sqref="P84:P91">
    <cfRule type="cellIs" dxfId="3888" priority="538" operator="greaterThan">
      <formula>0</formula>
    </cfRule>
  </conditionalFormatting>
  <conditionalFormatting sqref="Q84:Q91">
    <cfRule type="cellIs" dxfId="3887" priority="543" operator="lessThan">
      <formula>0</formula>
    </cfRule>
  </conditionalFormatting>
  <conditionalFormatting sqref="R84:R91">
    <cfRule type="cellIs" dxfId="3886" priority="541" operator="lessThan">
      <formula>0.8</formula>
    </cfRule>
    <cfRule type="cellIs" dxfId="3885" priority="542" operator="greaterThan">
      <formula>1</formula>
    </cfRule>
  </conditionalFormatting>
  <conditionalFormatting sqref="R84:R91">
    <cfRule type="cellIs" dxfId="3884" priority="539" operator="greaterThan">
      <formula>1</formula>
    </cfRule>
    <cfRule type="cellIs" dxfId="3883" priority="540" operator="lessThan">
      <formula>0.8</formula>
    </cfRule>
  </conditionalFormatting>
  <conditionalFormatting sqref="P84:P91">
    <cfRule type="cellIs" dxfId="3882" priority="532" operator="greaterThan">
      <formula>0</formula>
    </cfRule>
  </conditionalFormatting>
  <conditionalFormatting sqref="Q84:Q91">
    <cfRule type="cellIs" dxfId="3881" priority="537" operator="lessThan">
      <formula>0</formula>
    </cfRule>
  </conditionalFormatting>
  <conditionalFormatting sqref="R84:R91">
    <cfRule type="cellIs" dxfId="3880" priority="535" operator="lessThan">
      <formula>0.8</formula>
    </cfRule>
    <cfRule type="cellIs" dxfId="3879" priority="536" operator="greaterThan">
      <formula>1</formula>
    </cfRule>
  </conditionalFormatting>
  <conditionalFormatting sqref="R84:R91">
    <cfRule type="cellIs" dxfId="3878" priority="533" operator="greaterThan">
      <formula>1</formula>
    </cfRule>
    <cfRule type="cellIs" dxfId="3877" priority="534" operator="lessThan">
      <formula>0.8</formula>
    </cfRule>
  </conditionalFormatting>
  <conditionalFormatting sqref="R84:R91">
    <cfRule type="cellIs" dxfId="3876" priority="529" operator="lessThan">
      <formula>0.8</formula>
    </cfRule>
    <cfRule type="cellIs" dxfId="3875" priority="530" operator="greaterThan">
      <formula>1</formula>
    </cfRule>
  </conditionalFormatting>
  <conditionalFormatting sqref="R84:R91">
    <cfRule type="cellIs" dxfId="3874" priority="527" operator="greaterThan">
      <formula>1</formula>
    </cfRule>
    <cfRule type="cellIs" dxfId="3873" priority="528" operator="lessThan">
      <formula>0.8</formula>
    </cfRule>
  </conditionalFormatting>
  <conditionalFormatting sqref="P84:P91">
    <cfRule type="cellIs" dxfId="3872" priority="526" operator="greaterThan">
      <formula>0</formula>
    </cfRule>
  </conditionalFormatting>
  <conditionalFormatting sqref="Q84:Q91">
    <cfRule type="cellIs" dxfId="3871" priority="531" operator="lessThan">
      <formula>0</formula>
    </cfRule>
  </conditionalFormatting>
  <conditionalFormatting sqref="Q84:Q91">
    <cfRule type="cellIs" dxfId="3870" priority="525" operator="lessThan">
      <formula>0</formula>
    </cfRule>
  </conditionalFormatting>
  <conditionalFormatting sqref="R84:R91">
    <cfRule type="cellIs" dxfId="3869" priority="523" operator="lessThan">
      <formula>0.8</formula>
    </cfRule>
    <cfRule type="cellIs" dxfId="3868" priority="524" operator="greaterThan">
      <formula>1</formula>
    </cfRule>
  </conditionalFormatting>
  <conditionalFormatting sqref="R84:R91">
    <cfRule type="cellIs" dxfId="3867" priority="521" operator="greaterThan">
      <formula>1</formula>
    </cfRule>
    <cfRule type="cellIs" dxfId="3866" priority="522" operator="lessThan">
      <formula>0.8</formula>
    </cfRule>
  </conditionalFormatting>
  <conditionalFormatting sqref="P84:P91">
    <cfRule type="cellIs" dxfId="3865" priority="520" operator="greaterThan">
      <formula>0</formula>
    </cfRule>
  </conditionalFormatting>
  <conditionalFormatting sqref="P84:P91">
    <cfRule type="cellIs" dxfId="3864" priority="514" operator="greaterThan">
      <formula>0</formula>
    </cfRule>
  </conditionalFormatting>
  <conditionalFormatting sqref="Q84:Q91">
    <cfRule type="cellIs" dxfId="3863" priority="519" operator="lessThan">
      <formula>0</formula>
    </cfRule>
  </conditionalFormatting>
  <conditionalFormatting sqref="R84:R91">
    <cfRule type="cellIs" dxfId="3862" priority="517" operator="lessThan">
      <formula>0.8</formula>
    </cfRule>
    <cfRule type="cellIs" dxfId="3861" priority="518" operator="greaterThan">
      <formula>1</formula>
    </cfRule>
  </conditionalFormatting>
  <conditionalFormatting sqref="R84:R91">
    <cfRule type="cellIs" dxfId="3860" priority="515" operator="greaterThan">
      <formula>1</formula>
    </cfRule>
    <cfRule type="cellIs" dxfId="3859" priority="516" operator="lessThan">
      <formula>0.8</formula>
    </cfRule>
  </conditionalFormatting>
  <conditionalFormatting sqref="P84:P91">
    <cfRule type="cellIs" dxfId="3858" priority="508" operator="greaterThan">
      <formula>0</formula>
    </cfRule>
  </conditionalFormatting>
  <conditionalFormatting sqref="Q84:Q91">
    <cfRule type="cellIs" dxfId="3857" priority="513" operator="lessThan">
      <formula>0</formula>
    </cfRule>
  </conditionalFormatting>
  <conditionalFormatting sqref="R84:R91">
    <cfRule type="cellIs" dxfId="3856" priority="511" operator="lessThan">
      <formula>0.8</formula>
    </cfRule>
    <cfRule type="cellIs" dxfId="3855" priority="512" operator="greaterThan">
      <formula>1</formula>
    </cfRule>
  </conditionalFormatting>
  <conditionalFormatting sqref="R84:R91">
    <cfRule type="cellIs" dxfId="3854" priority="509" operator="greaterThan">
      <formula>1</formula>
    </cfRule>
    <cfRule type="cellIs" dxfId="3853" priority="510" operator="lessThan">
      <formula>0.8</formula>
    </cfRule>
  </conditionalFormatting>
  <conditionalFormatting sqref="R84:R91">
    <cfRule type="cellIs" dxfId="3852" priority="505" operator="lessThan">
      <formula>0.8</formula>
    </cfRule>
    <cfRule type="cellIs" dxfId="3851" priority="506" operator="greaterThan">
      <formula>1</formula>
    </cfRule>
  </conditionalFormatting>
  <conditionalFormatting sqref="R84:R91">
    <cfRule type="cellIs" dxfId="3850" priority="503" operator="greaterThan">
      <formula>1</formula>
    </cfRule>
    <cfRule type="cellIs" dxfId="3849" priority="504" operator="lessThan">
      <formula>0.8</formula>
    </cfRule>
  </conditionalFormatting>
  <conditionalFormatting sqref="P84:P91">
    <cfRule type="cellIs" dxfId="3848" priority="502" operator="greaterThan">
      <formula>0</formula>
    </cfRule>
  </conditionalFormatting>
  <conditionalFormatting sqref="Q84:Q91">
    <cfRule type="cellIs" dxfId="3847" priority="507" operator="lessThan">
      <formula>0</formula>
    </cfRule>
  </conditionalFormatting>
  <conditionalFormatting sqref="P84:P91">
    <cfRule type="cellIs" dxfId="3846" priority="496" operator="greaterThan">
      <formula>0</formula>
    </cfRule>
  </conditionalFormatting>
  <conditionalFormatting sqref="Q84:Q91">
    <cfRule type="cellIs" dxfId="3845" priority="501" operator="lessThan">
      <formula>0</formula>
    </cfRule>
  </conditionalFormatting>
  <conditionalFormatting sqref="R84:R91">
    <cfRule type="cellIs" dxfId="3844" priority="499" operator="lessThan">
      <formula>0.8</formula>
    </cfRule>
    <cfRule type="cellIs" dxfId="3843" priority="500" operator="greaterThan">
      <formula>1</formula>
    </cfRule>
  </conditionalFormatting>
  <conditionalFormatting sqref="R84:R91">
    <cfRule type="cellIs" dxfId="3842" priority="497" operator="greaterThan">
      <formula>1</formula>
    </cfRule>
    <cfRule type="cellIs" dxfId="3841" priority="498" operator="lessThan">
      <formula>0.8</formula>
    </cfRule>
  </conditionalFormatting>
  <conditionalFormatting sqref="R84:R91">
    <cfRule type="cellIs" dxfId="3840" priority="493" operator="lessThan">
      <formula>0.8</formula>
    </cfRule>
    <cfRule type="cellIs" dxfId="3839" priority="494" operator="greaterThan">
      <formula>1</formula>
    </cfRule>
  </conditionalFormatting>
  <conditionalFormatting sqref="R84:R91">
    <cfRule type="cellIs" dxfId="3838" priority="491" operator="greaterThan">
      <formula>1</formula>
    </cfRule>
    <cfRule type="cellIs" dxfId="3837" priority="492" operator="lessThan">
      <formula>0.8</formula>
    </cfRule>
  </conditionalFormatting>
  <conditionalFormatting sqref="P84:P91">
    <cfRule type="cellIs" dxfId="3836" priority="490" operator="greaterThan">
      <formula>0</formula>
    </cfRule>
  </conditionalFormatting>
  <conditionalFormatting sqref="Q84:Q91">
    <cfRule type="cellIs" dxfId="3835" priority="495" operator="lessThan">
      <formula>0</formula>
    </cfRule>
  </conditionalFormatting>
  <conditionalFormatting sqref="R84:R91">
    <cfRule type="cellIs" dxfId="3834" priority="487" operator="lessThan">
      <formula>0.8</formula>
    </cfRule>
    <cfRule type="cellIs" dxfId="3833" priority="488" operator="greaterThan">
      <formula>1</formula>
    </cfRule>
  </conditionalFormatting>
  <conditionalFormatting sqref="R84:R91">
    <cfRule type="cellIs" dxfId="3832" priority="485" operator="greaterThan">
      <formula>1</formula>
    </cfRule>
    <cfRule type="cellIs" dxfId="3831" priority="486" operator="lessThan">
      <formula>0.8</formula>
    </cfRule>
  </conditionalFormatting>
  <conditionalFormatting sqref="P84:P91">
    <cfRule type="cellIs" dxfId="3830" priority="484" operator="greaterThan">
      <formula>0</formula>
    </cfRule>
  </conditionalFormatting>
  <conditionalFormatting sqref="Q84:Q91">
    <cfRule type="cellIs" dxfId="3829" priority="489" operator="lessThan">
      <formula>0</formula>
    </cfRule>
  </conditionalFormatting>
  <conditionalFormatting sqref="Q84:Q91">
    <cfRule type="cellIs" dxfId="3828" priority="483" operator="lessThan">
      <formula>0</formula>
    </cfRule>
  </conditionalFormatting>
  <conditionalFormatting sqref="R84:R91">
    <cfRule type="cellIs" dxfId="3827" priority="481" operator="lessThan">
      <formula>0.8</formula>
    </cfRule>
    <cfRule type="cellIs" dxfId="3826" priority="482" operator="greaterThan">
      <formula>1</formula>
    </cfRule>
  </conditionalFormatting>
  <conditionalFormatting sqref="R84:R91">
    <cfRule type="cellIs" dxfId="3825" priority="479" operator="greaterThan">
      <formula>1</formula>
    </cfRule>
    <cfRule type="cellIs" dxfId="3824" priority="480" operator="lessThan">
      <formula>0.8</formula>
    </cfRule>
  </conditionalFormatting>
  <conditionalFormatting sqref="P84:P91">
    <cfRule type="cellIs" dxfId="3823" priority="478" operator="greaterThan">
      <formula>0</formula>
    </cfRule>
  </conditionalFormatting>
  <conditionalFormatting sqref="Q84:Q91">
    <cfRule type="cellIs" dxfId="3822" priority="472" operator="lessThan">
      <formula>0</formula>
    </cfRule>
  </conditionalFormatting>
  <conditionalFormatting sqref="R84:R91">
    <cfRule type="cellIs" dxfId="3821" priority="476" operator="lessThan">
      <formula>0.8</formula>
    </cfRule>
    <cfRule type="cellIs" dxfId="3820" priority="477" operator="greaterThan">
      <formula>1</formula>
    </cfRule>
  </conditionalFormatting>
  <conditionalFormatting sqref="R84:R91">
    <cfRule type="cellIs" dxfId="3819" priority="474" operator="greaterThan">
      <formula>1</formula>
    </cfRule>
    <cfRule type="cellIs" dxfId="3818" priority="475" operator="lessThan">
      <formula>0.8</formula>
    </cfRule>
  </conditionalFormatting>
  <conditionalFormatting sqref="P84:P91">
    <cfRule type="cellIs" dxfId="3817" priority="473" operator="greaterThan">
      <formula>0</formula>
    </cfRule>
  </conditionalFormatting>
  <conditionalFormatting sqref="Q84:Q91">
    <cfRule type="cellIs" dxfId="3816" priority="471" operator="lessThan">
      <formula>0</formula>
    </cfRule>
  </conditionalFormatting>
  <conditionalFormatting sqref="R84:R91">
    <cfRule type="cellIs" dxfId="3815" priority="469" operator="lessThan">
      <formula>0.8</formula>
    </cfRule>
    <cfRule type="cellIs" dxfId="3814" priority="470" operator="greaterThan">
      <formula>1</formula>
    </cfRule>
  </conditionalFormatting>
  <conditionalFormatting sqref="R84:R91">
    <cfRule type="cellIs" dxfId="3813" priority="467" operator="greaterThan">
      <formula>1</formula>
    </cfRule>
    <cfRule type="cellIs" dxfId="3812" priority="468" operator="lessThan">
      <formula>0.8</formula>
    </cfRule>
  </conditionalFormatting>
  <conditionalFormatting sqref="P84:P91">
    <cfRule type="cellIs" dxfId="3811" priority="466" operator="greaterThan">
      <formula>0</formula>
    </cfRule>
  </conditionalFormatting>
  <conditionalFormatting sqref="Q84:Q91">
    <cfRule type="cellIs" dxfId="3810" priority="465" operator="lessThan">
      <formula>0</formula>
    </cfRule>
  </conditionalFormatting>
  <conditionalFormatting sqref="R84:R91">
    <cfRule type="cellIs" dxfId="3809" priority="463" operator="lessThan">
      <formula>0.8</formula>
    </cfRule>
    <cfRule type="cellIs" dxfId="3808" priority="464" operator="greaterThan">
      <formula>1</formula>
    </cfRule>
  </conditionalFormatting>
  <conditionalFormatting sqref="R84:R91">
    <cfRule type="cellIs" dxfId="3807" priority="461" operator="greaterThan">
      <formula>1</formula>
    </cfRule>
    <cfRule type="cellIs" dxfId="3806" priority="462" operator="lessThan">
      <formula>0.8</formula>
    </cfRule>
  </conditionalFormatting>
  <conditionalFormatting sqref="P84:P91">
    <cfRule type="cellIs" dxfId="3805" priority="460" operator="greaterThan">
      <formula>0</formula>
    </cfRule>
  </conditionalFormatting>
  <conditionalFormatting sqref="Q84:Q91">
    <cfRule type="cellIs" dxfId="3804" priority="459" operator="lessThan">
      <formula>0</formula>
    </cfRule>
  </conditionalFormatting>
  <conditionalFormatting sqref="R84:R91">
    <cfRule type="cellIs" dxfId="3803" priority="457" operator="lessThan">
      <formula>0.8</formula>
    </cfRule>
    <cfRule type="cellIs" dxfId="3802" priority="458" operator="greaterThan">
      <formula>1</formula>
    </cfRule>
  </conditionalFormatting>
  <conditionalFormatting sqref="R84:R91">
    <cfRule type="cellIs" dxfId="3801" priority="455" operator="greaterThan">
      <formula>1</formula>
    </cfRule>
    <cfRule type="cellIs" dxfId="3800" priority="456" operator="lessThan">
      <formula>0.8</formula>
    </cfRule>
  </conditionalFormatting>
  <conditionalFormatting sqref="P84:P91">
    <cfRule type="cellIs" dxfId="3799" priority="454" operator="greaterThan">
      <formula>0</formula>
    </cfRule>
  </conditionalFormatting>
  <conditionalFormatting sqref="Q84:Q91">
    <cfRule type="cellIs" dxfId="3798" priority="453" operator="lessThan">
      <formula>0</formula>
    </cfRule>
  </conditionalFormatting>
  <conditionalFormatting sqref="R84:R91">
    <cfRule type="cellIs" dxfId="3797" priority="451" operator="lessThan">
      <formula>0.8</formula>
    </cfRule>
    <cfRule type="cellIs" dxfId="3796" priority="452" operator="greaterThan">
      <formula>1</formula>
    </cfRule>
  </conditionalFormatting>
  <conditionalFormatting sqref="R84:R91">
    <cfRule type="cellIs" dxfId="3795" priority="449" operator="greaterThan">
      <formula>1</formula>
    </cfRule>
    <cfRule type="cellIs" dxfId="3794" priority="450" operator="lessThan">
      <formula>0.8</formula>
    </cfRule>
  </conditionalFormatting>
  <conditionalFormatting sqref="P84:P91">
    <cfRule type="cellIs" dxfId="3793" priority="448" operator="greaterThan">
      <formula>0</formula>
    </cfRule>
  </conditionalFormatting>
  <conditionalFormatting sqref="Q84:Q91">
    <cfRule type="cellIs" dxfId="3792" priority="447" operator="lessThan">
      <formula>0</formula>
    </cfRule>
  </conditionalFormatting>
  <conditionalFormatting sqref="R84:R91">
    <cfRule type="cellIs" dxfId="3791" priority="445" operator="lessThan">
      <formula>0.8</formula>
    </cfRule>
    <cfRule type="cellIs" dxfId="3790" priority="446" operator="greaterThan">
      <formula>1</formula>
    </cfRule>
  </conditionalFormatting>
  <conditionalFormatting sqref="R84:R91">
    <cfRule type="cellIs" dxfId="3789" priority="443" operator="greaterThan">
      <formula>1</formula>
    </cfRule>
    <cfRule type="cellIs" dxfId="3788" priority="444" operator="lessThan">
      <formula>0.8</formula>
    </cfRule>
  </conditionalFormatting>
  <conditionalFormatting sqref="P84:P91">
    <cfRule type="cellIs" dxfId="3787" priority="442" operator="greaterThan">
      <formula>0</formula>
    </cfRule>
  </conditionalFormatting>
  <conditionalFormatting sqref="P84:P91">
    <cfRule type="cellIs" dxfId="3786" priority="436" operator="greaterThan">
      <formula>0</formula>
    </cfRule>
  </conditionalFormatting>
  <conditionalFormatting sqref="Q84:Q91">
    <cfRule type="cellIs" dxfId="3785" priority="441" operator="lessThan">
      <formula>0</formula>
    </cfRule>
  </conditionalFormatting>
  <conditionalFormatting sqref="R84:R91">
    <cfRule type="cellIs" dxfId="3784" priority="439" operator="lessThan">
      <formula>0.8</formula>
    </cfRule>
    <cfRule type="cellIs" dxfId="3783" priority="440" operator="greaterThan">
      <formula>1</formula>
    </cfRule>
  </conditionalFormatting>
  <conditionalFormatting sqref="R84:R91">
    <cfRule type="cellIs" dxfId="3782" priority="437" operator="greaterThan">
      <formula>1</formula>
    </cfRule>
    <cfRule type="cellIs" dxfId="3781" priority="438" operator="lessThan">
      <formula>0.8</formula>
    </cfRule>
  </conditionalFormatting>
  <conditionalFormatting sqref="P84:P91">
    <cfRule type="cellIs" dxfId="3780" priority="430" operator="greaterThan">
      <formula>0</formula>
    </cfRule>
  </conditionalFormatting>
  <conditionalFormatting sqref="Q84:Q91">
    <cfRule type="cellIs" dxfId="3779" priority="435" operator="lessThan">
      <formula>0</formula>
    </cfRule>
  </conditionalFormatting>
  <conditionalFormatting sqref="R84:R91">
    <cfRule type="cellIs" dxfId="3778" priority="433" operator="lessThan">
      <formula>0.8</formula>
    </cfRule>
    <cfRule type="cellIs" dxfId="3777" priority="434" operator="greaterThan">
      <formula>1</formula>
    </cfRule>
  </conditionalFormatting>
  <conditionalFormatting sqref="R84:R91">
    <cfRule type="cellIs" dxfId="3776" priority="431" operator="greaterThan">
      <formula>1</formula>
    </cfRule>
    <cfRule type="cellIs" dxfId="3775" priority="432" operator="lessThan">
      <formula>0.8</formula>
    </cfRule>
  </conditionalFormatting>
  <conditionalFormatting sqref="R84:R91">
    <cfRule type="cellIs" dxfId="3774" priority="427" operator="lessThan">
      <formula>0.8</formula>
    </cfRule>
    <cfRule type="cellIs" dxfId="3773" priority="428" operator="greaterThan">
      <formula>1</formula>
    </cfRule>
  </conditionalFormatting>
  <conditionalFormatting sqref="R84:R91">
    <cfRule type="cellIs" dxfId="3772" priority="425" operator="greaterThan">
      <formula>1</formula>
    </cfRule>
    <cfRule type="cellIs" dxfId="3771" priority="426" operator="lessThan">
      <formula>0.8</formula>
    </cfRule>
  </conditionalFormatting>
  <conditionalFormatting sqref="P84:P91">
    <cfRule type="cellIs" dxfId="3770" priority="424" operator="greaterThan">
      <formula>0</formula>
    </cfRule>
  </conditionalFormatting>
  <conditionalFormatting sqref="Q84:Q91">
    <cfRule type="cellIs" dxfId="3769" priority="429" operator="lessThan">
      <formula>0</formula>
    </cfRule>
  </conditionalFormatting>
  <conditionalFormatting sqref="Q84:Q91">
    <cfRule type="cellIs" dxfId="3768" priority="418" operator="lessThan">
      <formula>0</formula>
    </cfRule>
  </conditionalFormatting>
  <conditionalFormatting sqref="P84:P91">
    <cfRule type="cellIs" dxfId="3767" priority="419" operator="greaterThan">
      <formula>0</formula>
    </cfRule>
  </conditionalFormatting>
  <conditionalFormatting sqref="R84:R91">
    <cfRule type="cellIs" dxfId="3766" priority="422" operator="lessThan">
      <formula>0.8</formula>
    </cfRule>
    <cfRule type="cellIs" dxfId="3765" priority="423" operator="greaterThan">
      <formula>1</formula>
    </cfRule>
  </conditionalFormatting>
  <conditionalFormatting sqref="R84:R91">
    <cfRule type="cellIs" dxfId="3764" priority="420" operator="greaterThan">
      <formula>1</formula>
    </cfRule>
    <cfRule type="cellIs" dxfId="3763" priority="421" operator="lessThan">
      <formula>0.8</formula>
    </cfRule>
  </conditionalFormatting>
  <conditionalFormatting sqref="Q84:Q91">
    <cfRule type="cellIs" dxfId="3762" priority="412" operator="lessThan">
      <formula>0</formula>
    </cfRule>
  </conditionalFormatting>
  <conditionalFormatting sqref="R84:R91">
    <cfRule type="cellIs" dxfId="3761" priority="416" operator="lessThan">
      <formula>0.8</formula>
    </cfRule>
    <cfRule type="cellIs" dxfId="3760" priority="417" operator="greaterThan">
      <formula>1</formula>
    </cfRule>
  </conditionalFormatting>
  <conditionalFormatting sqref="R84:R91">
    <cfRule type="cellIs" dxfId="3759" priority="414" operator="greaterThan">
      <formula>1</formula>
    </cfRule>
    <cfRule type="cellIs" dxfId="3758" priority="415" operator="lessThan">
      <formula>0.8</formula>
    </cfRule>
  </conditionalFormatting>
  <conditionalFormatting sqref="P84:P91">
    <cfRule type="cellIs" dxfId="3757" priority="413" operator="greaterThan">
      <formula>0</formula>
    </cfRule>
  </conditionalFormatting>
  <conditionalFormatting sqref="Q84:Q91">
    <cfRule type="cellIs" dxfId="3756" priority="411" operator="lessThan">
      <formula>0</formula>
    </cfRule>
  </conditionalFormatting>
  <conditionalFormatting sqref="R84:R91">
    <cfRule type="cellIs" dxfId="3755" priority="409" operator="lessThan">
      <formula>0.8</formula>
    </cfRule>
    <cfRule type="cellIs" dxfId="3754" priority="410" operator="greaterThan">
      <formula>1</formula>
    </cfRule>
  </conditionalFormatting>
  <conditionalFormatting sqref="R84:R91">
    <cfRule type="cellIs" dxfId="3753" priority="407" operator="greaterThan">
      <formula>1</formula>
    </cfRule>
    <cfRule type="cellIs" dxfId="3752" priority="408" operator="lessThan">
      <formula>0.8</formula>
    </cfRule>
  </conditionalFormatting>
  <conditionalFormatting sqref="P84:P91">
    <cfRule type="cellIs" dxfId="3751" priority="406" operator="greaterThan">
      <formula>0</formula>
    </cfRule>
  </conditionalFormatting>
  <conditionalFormatting sqref="Q84:Q91">
    <cfRule type="cellIs" dxfId="3750" priority="405" operator="lessThan">
      <formula>0</formula>
    </cfRule>
  </conditionalFormatting>
  <conditionalFormatting sqref="R84:R91">
    <cfRule type="cellIs" dxfId="3749" priority="403" operator="lessThan">
      <formula>0.8</formula>
    </cfRule>
    <cfRule type="cellIs" dxfId="3748" priority="404" operator="greaterThan">
      <formula>1</formula>
    </cfRule>
  </conditionalFormatting>
  <conditionalFormatting sqref="R84:R91">
    <cfRule type="cellIs" dxfId="3747" priority="401" operator="greaterThan">
      <formula>1</formula>
    </cfRule>
    <cfRule type="cellIs" dxfId="3746" priority="402" operator="lessThan">
      <formula>0.8</formula>
    </cfRule>
  </conditionalFormatting>
  <conditionalFormatting sqref="P84:P91">
    <cfRule type="cellIs" dxfId="3745" priority="400" operator="greaterThan">
      <formula>0</formula>
    </cfRule>
  </conditionalFormatting>
  <conditionalFormatting sqref="Q84:Q91">
    <cfRule type="cellIs" dxfId="3744" priority="399" operator="lessThan">
      <formula>0</formula>
    </cfRule>
  </conditionalFormatting>
  <conditionalFormatting sqref="R84:R91">
    <cfRule type="cellIs" dxfId="3743" priority="397" operator="lessThan">
      <formula>0.8</formula>
    </cfRule>
    <cfRule type="cellIs" dxfId="3742" priority="398" operator="greaterThan">
      <formula>1</formula>
    </cfRule>
  </conditionalFormatting>
  <conditionalFormatting sqref="R84:R91">
    <cfRule type="cellIs" dxfId="3741" priority="395" operator="greaterThan">
      <formula>1</formula>
    </cfRule>
    <cfRule type="cellIs" dxfId="3740" priority="396" operator="lessThan">
      <formula>0.8</formula>
    </cfRule>
  </conditionalFormatting>
  <conditionalFormatting sqref="P84:P91">
    <cfRule type="cellIs" dxfId="3739" priority="394" operator="greaterThan">
      <formula>0</formula>
    </cfRule>
  </conditionalFormatting>
  <conditionalFormatting sqref="Q84:Q91">
    <cfRule type="cellIs" dxfId="3738" priority="393" operator="lessThan">
      <formula>0</formula>
    </cfRule>
  </conditionalFormatting>
  <conditionalFormatting sqref="R84:R91">
    <cfRule type="cellIs" dxfId="3737" priority="391" operator="lessThan">
      <formula>0.8</formula>
    </cfRule>
    <cfRule type="cellIs" dxfId="3736" priority="392" operator="greaterThan">
      <formula>1</formula>
    </cfRule>
  </conditionalFormatting>
  <conditionalFormatting sqref="R84:R91">
    <cfRule type="cellIs" dxfId="3735" priority="389" operator="greaterThan">
      <formula>1</formula>
    </cfRule>
    <cfRule type="cellIs" dxfId="3734" priority="390" operator="lessThan">
      <formula>0.8</formula>
    </cfRule>
  </conditionalFormatting>
  <conditionalFormatting sqref="P84:P91">
    <cfRule type="cellIs" dxfId="3733" priority="388" operator="greaterThan">
      <formula>0</formula>
    </cfRule>
  </conditionalFormatting>
  <conditionalFormatting sqref="Q84:Q91">
    <cfRule type="cellIs" dxfId="3732" priority="387" operator="lessThan">
      <formula>0</formula>
    </cfRule>
  </conditionalFormatting>
  <conditionalFormatting sqref="R84:R91">
    <cfRule type="cellIs" dxfId="3731" priority="385" operator="lessThan">
      <formula>0.8</formula>
    </cfRule>
    <cfRule type="cellIs" dxfId="3730" priority="386" operator="greaterThan">
      <formula>1</formula>
    </cfRule>
  </conditionalFormatting>
  <conditionalFormatting sqref="R84:R91">
    <cfRule type="cellIs" dxfId="3729" priority="383" operator="greaterThan">
      <formula>1</formula>
    </cfRule>
    <cfRule type="cellIs" dxfId="3728" priority="384" operator="lessThan">
      <formula>0.8</formula>
    </cfRule>
  </conditionalFormatting>
  <conditionalFormatting sqref="P84:P91">
    <cfRule type="cellIs" dxfId="3727" priority="382" operator="greaterThan">
      <formula>0</formula>
    </cfRule>
  </conditionalFormatting>
  <conditionalFormatting sqref="Q84:Q91">
    <cfRule type="cellIs" dxfId="3726" priority="381" operator="lessThan">
      <formula>0</formula>
    </cfRule>
  </conditionalFormatting>
  <conditionalFormatting sqref="R84:R91">
    <cfRule type="cellIs" dxfId="3725" priority="379" operator="lessThan">
      <formula>0.8</formula>
    </cfRule>
    <cfRule type="cellIs" dxfId="3724" priority="380" operator="greaterThan">
      <formula>1</formula>
    </cfRule>
  </conditionalFormatting>
  <conditionalFormatting sqref="R84:R91">
    <cfRule type="cellIs" dxfId="3723" priority="377" operator="greaterThan">
      <formula>1</formula>
    </cfRule>
    <cfRule type="cellIs" dxfId="3722" priority="378" operator="lessThan">
      <formula>0.8</formula>
    </cfRule>
  </conditionalFormatting>
  <conditionalFormatting sqref="P84:P91">
    <cfRule type="cellIs" dxfId="3721" priority="376" operator="greaterThan">
      <formula>0</formula>
    </cfRule>
  </conditionalFormatting>
  <conditionalFormatting sqref="Q84:Q91">
    <cfRule type="cellIs" dxfId="3720" priority="375" operator="lessThan">
      <formula>0</formula>
    </cfRule>
  </conditionalFormatting>
  <conditionalFormatting sqref="R84:R91">
    <cfRule type="cellIs" dxfId="3719" priority="373" operator="lessThan">
      <formula>0.8</formula>
    </cfRule>
    <cfRule type="cellIs" dxfId="3718" priority="374" operator="greaterThan">
      <formula>1</formula>
    </cfRule>
  </conditionalFormatting>
  <conditionalFormatting sqref="R84:R91">
    <cfRule type="cellIs" dxfId="3717" priority="371" operator="greaterThan">
      <formula>1</formula>
    </cfRule>
    <cfRule type="cellIs" dxfId="3716" priority="372" operator="lessThan">
      <formula>0.8</formula>
    </cfRule>
  </conditionalFormatting>
  <conditionalFormatting sqref="P84:P91">
    <cfRule type="cellIs" dxfId="3715" priority="370" operator="greaterThan">
      <formula>0</formula>
    </cfRule>
  </conditionalFormatting>
  <conditionalFormatting sqref="P84:P91">
    <cfRule type="cellIs" dxfId="3714" priority="364" operator="greaterThan">
      <formula>0</formula>
    </cfRule>
  </conditionalFormatting>
  <conditionalFormatting sqref="Q84:Q91">
    <cfRule type="cellIs" dxfId="3713" priority="369" operator="lessThan">
      <formula>0</formula>
    </cfRule>
  </conditionalFormatting>
  <conditionalFormatting sqref="R84:R91">
    <cfRule type="cellIs" dxfId="3712" priority="367" operator="lessThan">
      <formula>0.8</formula>
    </cfRule>
    <cfRule type="cellIs" dxfId="3711" priority="368" operator="greaterThan">
      <formula>1</formula>
    </cfRule>
  </conditionalFormatting>
  <conditionalFormatting sqref="R84:R91">
    <cfRule type="cellIs" dxfId="3710" priority="365" operator="greaterThan">
      <formula>1</formula>
    </cfRule>
    <cfRule type="cellIs" dxfId="3709" priority="366" operator="lessThan">
      <formula>0.8</formula>
    </cfRule>
  </conditionalFormatting>
  <conditionalFormatting sqref="P84:P91">
    <cfRule type="cellIs" dxfId="3708" priority="358" operator="greaterThan">
      <formula>0</formula>
    </cfRule>
  </conditionalFormatting>
  <conditionalFormatting sqref="Q84:Q91">
    <cfRule type="cellIs" dxfId="3707" priority="363" operator="lessThan">
      <formula>0</formula>
    </cfRule>
  </conditionalFormatting>
  <conditionalFormatting sqref="R84:R91">
    <cfRule type="cellIs" dxfId="3706" priority="361" operator="lessThan">
      <formula>0.8</formula>
    </cfRule>
    <cfRule type="cellIs" dxfId="3705" priority="362" operator="greaterThan">
      <formula>1</formula>
    </cfRule>
  </conditionalFormatting>
  <conditionalFormatting sqref="R84:R91">
    <cfRule type="cellIs" dxfId="3704" priority="359" operator="greaterThan">
      <formula>1</formula>
    </cfRule>
    <cfRule type="cellIs" dxfId="3703" priority="360" operator="lessThan">
      <formula>0.8</formula>
    </cfRule>
  </conditionalFormatting>
  <conditionalFormatting sqref="R84:R91">
    <cfRule type="cellIs" dxfId="3702" priority="355" operator="lessThan">
      <formula>0.8</formula>
    </cfRule>
    <cfRule type="cellIs" dxfId="3701" priority="356" operator="greaterThan">
      <formula>1</formula>
    </cfRule>
  </conditionalFormatting>
  <conditionalFormatting sqref="R84:R91">
    <cfRule type="cellIs" dxfId="3700" priority="353" operator="greaterThan">
      <formula>1</formula>
    </cfRule>
    <cfRule type="cellIs" dxfId="3699" priority="354" operator="lessThan">
      <formula>0.8</formula>
    </cfRule>
  </conditionalFormatting>
  <conditionalFormatting sqref="P84:P91">
    <cfRule type="cellIs" dxfId="3698" priority="352" operator="greaterThan">
      <formula>0</formula>
    </cfRule>
  </conditionalFormatting>
  <conditionalFormatting sqref="Q84:Q91">
    <cfRule type="cellIs" dxfId="3697" priority="357" operator="lessThan">
      <formula>0</formula>
    </cfRule>
  </conditionalFormatting>
  <conditionalFormatting sqref="Q84:Q91">
    <cfRule type="cellIs" dxfId="3696" priority="351" operator="lessThan">
      <formula>0</formula>
    </cfRule>
  </conditionalFormatting>
  <conditionalFormatting sqref="R84:R91">
    <cfRule type="cellIs" dxfId="3695" priority="349" operator="lessThan">
      <formula>0.8</formula>
    </cfRule>
    <cfRule type="cellIs" dxfId="3694" priority="350" operator="greaterThan">
      <formula>1</formula>
    </cfRule>
  </conditionalFormatting>
  <conditionalFormatting sqref="R84:R91">
    <cfRule type="cellIs" dxfId="3693" priority="347" operator="greaterThan">
      <formula>1</formula>
    </cfRule>
    <cfRule type="cellIs" dxfId="3692" priority="348" operator="lessThan">
      <formula>0.8</formula>
    </cfRule>
  </conditionalFormatting>
  <conditionalFormatting sqref="P84:P91">
    <cfRule type="cellIs" dxfId="3691" priority="346" operator="greaterThan">
      <formula>0</formula>
    </cfRule>
  </conditionalFormatting>
  <conditionalFormatting sqref="P84:P91">
    <cfRule type="cellIs" dxfId="3690" priority="340" operator="greaterThan">
      <formula>0</formula>
    </cfRule>
  </conditionalFormatting>
  <conditionalFormatting sqref="Q84:Q91">
    <cfRule type="cellIs" dxfId="3689" priority="345" operator="lessThan">
      <formula>0</formula>
    </cfRule>
  </conditionalFormatting>
  <conditionalFormatting sqref="R84:R91">
    <cfRule type="cellIs" dxfId="3688" priority="343" operator="lessThan">
      <formula>0.8</formula>
    </cfRule>
    <cfRule type="cellIs" dxfId="3687" priority="344" operator="greaterThan">
      <formula>1</formula>
    </cfRule>
  </conditionalFormatting>
  <conditionalFormatting sqref="R84:R91">
    <cfRule type="cellIs" dxfId="3686" priority="341" operator="greaterThan">
      <formula>1</formula>
    </cfRule>
    <cfRule type="cellIs" dxfId="3685" priority="342" operator="lessThan">
      <formula>0.8</formula>
    </cfRule>
  </conditionalFormatting>
  <conditionalFormatting sqref="P84:P91">
    <cfRule type="cellIs" dxfId="3684" priority="334" operator="greaterThan">
      <formula>0</formula>
    </cfRule>
  </conditionalFormatting>
  <conditionalFormatting sqref="Q84:Q91">
    <cfRule type="cellIs" dxfId="3683" priority="339" operator="lessThan">
      <formula>0</formula>
    </cfRule>
  </conditionalFormatting>
  <conditionalFormatting sqref="R84:R91">
    <cfRule type="cellIs" dxfId="3682" priority="337" operator="lessThan">
      <formula>0.8</formula>
    </cfRule>
    <cfRule type="cellIs" dxfId="3681" priority="338" operator="greaterThan">
      <formula>1</formula>
    </cfRule>
  </conditionalFormatting>
  <conditionalFormatting sqref="R84:R91">
    <cfRule type="cellIs" dxfId="3680" priority="335" operator="greaterThan">
      <formula>1</formula>
    </cfRule>
    <cfRule type="cellIs" dxfId="3679" priority="336" operator="lessThan">
      <formula>0.8</formula>
    </cfRule>
  </conditionalFormatting>
  <conditionalFormatting sqref="R84:R91">
    <cfRule type="cellIs" dxfId="3678" priority="331" operator="lessThan">
      <formula>0.8</formula>
    </cfRule>
    <cfRule type="cellIs" dxfId="3677" priority="332" operator="greaterThan">
      <formula>1</formula>
    </cfRule>
  </conditionalFormatting>
  <conditionalFormatting sqref="R84:R91">
    <cfRule type="cellIs" dxfId="3676" priority="329" operator="greaterThan">
      <formula>1</formula>
    </cfRule>
    <cfRule type="cellIs" dxfId="3675" priority="330" operator="lessThan">
      <formula>0.8</formula>
    </cfRule>
  </conditionalFormatting>
  <conditionalFormatting sqref="P84:P91">
    <cfRule type="cellIs" dxfId="3674" priority="328" operator="greaterThan">
      <formula>0</formula>
    </cfRule>
  </conditionalFormatting>
  <conditionalFormatting sqref="Q84:Q91">
    <cfRule type="cellIs" dxfId="3673" priority="333" operator="lessThan">
      <formula>0</formula>
    </cfRule>
  </conditionalFormatting>
  <conditionalFormatting sqref="P84:P91">
    <cfRule type="cellIs" dxfId="3672" priority="322" operator="greaterThan">
      <formula>0</formula>
    </cfRule>
  </conditionalFormatting>
  <conditionalFormatting sqref="Q84:Q91">
    <cfRule type="cellIs" dxfId="3671" priority="327" operator="lessThan">
      <formula>0</formula>
    </cfRule>
  </conditionalFormatting>
  <conditionalFormatting sqref="R84:R91">
    <cfRule type="cellIs" dxfId="3670" priority="325" operator="lessThan">
      <formula>0.8</formula>
    </cfRule>
    <cfRule type="cellIs" dxfId="3669" priority="326" operator="greaterThan">
      <formula>1</formula>
    </cfRule>
  </conditionalFormatting>
  <conditionalFormatting sqref="R84:R91">
    <cfRule type="cellIs" dxfId="3668" priority="323" operator="greaterThan">
      <formula>1</formula>
    </cfRule>
    <cfRule type="cellIs" dxfId="3667" priority="324" operator="lessThan">
      <formula>0.8</formula>
    </cfRule>
  </conditionalFormatting>
  <conditionalFormatting sqref="R84:R91">
    <cfRule type="cellIs" dxfId="3666" priority="319" operator="lessThan">
      <formula>0.8</formula>
    </cfRule>
    <cfRule type="cellIs" dxfId="3665" priority="320" operator="greaterThan">
      <formula>1</formula>
    </cfRule>
  </conditionalFormatting>
  <conditionalFormatting sqref="R84:R91">
    <cfRule type="cellIs" dxfId="3664" priority="317" operator="greaterThan">
      <formula>1</formula>
    </cfRule>
    <cfRule type="cellIs" dxfId="3663" priority="318" operator="lessThan">
      <formula>0.8</formula>
    </cfRule>
  </conditionalFormatting>
  <conditionalFormatting sqref="P84:P91">
    <cfRule type="cellIs" dxfId="3662" priority="316" operator="greaterThan">
      <formula>0</formula>
    </cfRule>
  </conditionalFormatting>
  <conditionalFormatting sqref="Q84:Q91">
    <cfRule type="cellIs" dxfId="3661" priority="321" operator="lessThan">
      <formula>0</formula>
    </cfRule>
  </conditionalFormatting>
  <conditionalFormatting sqref="R84:R91">
    <cfRule type="cellIs" dxfId="3660" priority="313" operator="lessThan">
      <formula>0.8</formula>
    </cfRule>
    <cfRule type="cellIs" dxfId="3659" priority="314" operator="greaterThan">
      <formula>1</formula>
    </cfRule>
  </conditionalFormatting>
  <conditionalFormatting sqref="R84:R91">
    <cfRule type="cellIs" dxfId="3658" priority="311" operator="greaterThan">
      <formula>1</formula>
    </cfRule>
    <cfRule type="cellIs" dxfId="3657" priority="312" operator="lessThan">
      <formula>0.8</formula>
    </cfRule>
  </conditionalFormatting>
  <conditionalFormatting sqref="P84:P91">
    <cfRule type="cellIs" dxfId="3656" priority="310" operator="greaterThan">
      <formula>0</formula>
    </cfRule>
  </conditionalFormatting>
  <conditionalFormatting sqref="Q84:Q91">
    <cfRule type="cellIs" dxfId="3655" priority="315" operator="lessThan">
      <formula>0</formula>
    </cfRule>
  </conditionalFormatting>
  <conditionalFormatting sqref="Q84:Q91">
    <cfRule type="cellIs" dxfId="3654" priority="309" operator="lessThan">
      <formula>0</formula>
    </cfRule>
  </conditionalFormatting>
  <conditionalFormatting sqref="R84:R91">
    <cfRule type="cellIs" dxfId="3653" priority="307" operator="lessThan">
      <formula>0.8</formula>
    </cfRule>
    <cfRule type="cellIs" dxfId="3652" priority="308" operator="greaterThan">
      <formula>1</formula>
    </cfRule>
  </conditionalFormatting>
  <conditionalFormatting sqref="R84:R91">
    <cfRule type="cellIs" dxfId="3651" priority="305" operator="greaterThan">
      <formula>1</formula>
    </cfRule>
    <cfRule type="cellIs" dxfId="3650" priority="306" operator="lessThan">
      <formula>0.8</formula>
    </cfRule>
  </conditionalFormatting>
  <conditionalFormatting sqref="P84:P91">
    <cfRule type="cellIs" dxfId="3649" priority="304" operator="greaterThan">
      <formula>0</formula>
    </cfRule>
  </conditionalFormatting>
  <conditionalFormatting sqref="Q84:Q91">
    <cfRule type="cellIs" dxfId="3648" priority="298" operator="lessThan">
      <formula>0</formula>
    </cfRule>
  </conditionalFormatting>
  <conditionalFormatting sqref="R84:R91">
    <cfRule type="cellIs" dxfId="3647" priority="302" operator="lessThan">
      <formula>0.8</formula>
    </cfRule>
    <cfRule type="cellIs" dxfId="3646" priority="303" operator="greaterThan">
      <formula>1</formula>
    </cfRule>
  </conditionalFormatting>
  <conditionalFormatting sqref="R84:R91">
    <cfRule type="cellIs" dxfId="3645" priority="300" operator="greaterThan">
      <formula>1</formula>
    </cfRule>
    <cfRule type="cellIs" dxfId="3644" priority="301" operator="lessThan">
      <formula>0.8</formula>
    </cfRule>
  </conditionalFormatting>
  <conditionalFormatting sqref="P84:P91">
    <cfRule type="cellIs" dxfId="3643" priority="299" operator="greaterThan">
      <formula>0</formula>
    </cfRule>
  </conditionalFormatting>
  <conditionalFormatting sqref="Q84:Q91">
    <cfRule type="cellIs" dxfId="3642" priority="297" operator="lessThan">
      <formula>0</formula>
    </cfRule>
  </conditionalFormatting>
  <conditionalFormatting sqref="R84:R91">
    <cfRule type="cellIs" dxfId="3641" priority="295" operator="lessThan">
      <formula>0.8</formula>
    </cfRule>
    <cfRule type="cellIs" dxfId="3640" priority="296" operator="greaterThan">
      <formula>1</formula>
    </cfRule>
  </conditionalFormatting>
  <conditionalFormatting sqref="R84:R91">
    <cfRule type="cellIs" dxfId="3639" priority="293" operator="greaterThan">
      <formula>1</formula>
    </cfRule>
    <cfRule type="cellIs" dxfId="3638" priority="294" operator="lessThan">
      <formula>0.8</formula>
    </cfRule>
  </conditionalFormatting>
  <conditionalFormatting sqref="P84:P91">
    <cfRule type="cellIs" dxfId="3637" priority="292" operator="greaterThan">
      <formula>0</formula>
    </cfRule>
  </conditionalFormatting>
  <conditionalFormatting sqref="Q84:Q91">
    <cfRule type="cellIs" dxfId="3636" priority="291" operator="lessThan">
      <formula>0</formula>
    </cfRule>
  </conditionalFormatting>
  <conditionalFormatting sqref="R84:R91">
    <cfRule type="cellIs" dxfId="3635" priority="289" operator="lessThan">
      <formula>0.8</formula>
    </cfRule>
    <cfRule type="cellIs" dxfId="3634" priority="290" operator="greaterThan">
      <formula>1</formula>
    </cfRule>
  </conditionalFormatting>
  <conditionalFormatting sqref="R84:R91">
    <cfRule type="cellIs" dxfId="3633" priority="287" operator="greaterThan">
      <formula>1</formula>
    </cfRule>
    <cfRule type="cellIs" dxfId="3632" priority="288" operator="lessThan">
      <formula>0.8</formula>
    </cfRule>
  </conditionalFormatting>
  <conditionalFormatting sqref="P84:P91">
    <cfRule type="cellIs" dxfId="3631" priority="286" operator="greaterThan">
      <formula>0</formula>
    </cfRule>
  </conditionalFormatting>
  <conditionalFormatting sqref="Q84:Q91">
    <cfRule type="cellIs" dxfId="3630" priority="285" operator="lessThan">
      <formula>0</formula>
    </cfRule>
  </conditionalFormatting>
  <conditionalFormatting sqref="R84:R91">
    <cfRule type="cellIs" dxfId="3629" priority="283" operator="lessThan">
      <formula>0.8</formula>
    </cfRule>
    <cfRule type="cellIs" dxfId="3628" priority="284" operator="greaterThan">
      <formula>1</formula>
    </cfRule>
  </conditionalFormatting>
  <conditionalFormatting sqref="R84:R91">
    <cfRule type="cellIs" dxfId="3627" priority="281" operator="greaterThan">
      <formula>1</formula>
    </cfRule>
    <cfRule type="cellIs" dxfId="3626" priority="282" operator="lessThan">
      <formula>0.8</formula>
    </cfRule>
  </conditionalFormatting>
  <conditionalFormatting sqref="P84:P91">
    <cfRule type="cellIs" dxfId="3625" priority="280" operator="greaterThan">
      <formula>0</formula>
    </cfRule>
  </conditionalFormatting>
  <conditionalFormatting sqref="Q84:Q91">
    <cfRule type="cellIs" dxfId="3624" priority="279" operator="lessThan">
      <formula>0</formula>
    </cfRule>
  </conditionalFormatting>
  <conditionalFormatting sqref="R84:R91">
    <cfRule type="cellIs" dxfId="3623" priority="277" operator="lessThan">
      <formula>0.8</formula>
    </cfRule>
    <cfRule type="cellIs" dxfId="3622" priority="278" operator="greaterThan">
      <formula>1</formula>
    </cfRule>
  </conditionalFormatting>
  <conditionalFormatting sqref="R84:R91">
    <cfRule type="cellIs" dxfId="3621" priority="275" operator="greaterThan">
      <formula>1</formula>
    </cfRule>
    <cfRule type="cellIs" dxfId="3620" priority="276" operator="lessThan">
      <formula>0.8</formula>
    </cfRule>
  </conditionalFormatting>
  <conditionalFormatting sqref="P84:P91">
    <cfRule type="cellIs" dxfId="3619" priority="274" operator="greaterThan">
      <formula>0</formula>
    </cfRule>
  </conditionalFormatting>
  <conditionalFormatting sqref="Q84:Q91">
    <cfRule type="cellIs" dxfId="3618" priority="273" operator="lessThan">
      <formula>0</formula>
    </cfRule>
  </conditionalFormatting>
  <conditionalFormatting sqref="R84:R91">
    <cfRule type="cellIs" dxfId="3617" priority="271" operator="lessThan">
      <formula>0.8</formula>
    </cfRule>
    <cfRule type="cellIs" dxfId="3616" priority="272" operator="greaterThan">
      <formula>1</formula>
    </cfRule>
  </conditionalFormatting>
  <conditionalFormatting sqref="R84:R91">
    <cfRule type="cellIs" dxfId="3615" priority="269" operator="greaterThan">
      <formula>1</formula>
    </cfRule>
    <cfRule type="cellIs" dxfId="3614" priority="270" operator="lessThan">
      <formula>0.8</formula>
    </cfRule>
  </conditionalFormatting>
  <conditionalFormatting sqref="P84:P91">
    <cfRule type="cellIs" dxfId="3613" priority="268" operator="greaterThan">
      <formula>0</formula>
    </cfRule>
  </conditionalFormatting>
  <conditionalFormatting sqref="P84:P91">
    <cfRule type="cellIs" dxfId="3612" priority="262" operator="greaterThan">
      <formula>0</formula>
    </cfRule>
  </conditionalFormatting>
  <conditionalFormatting sqref="Q84:Q91">
    <cfRule type="cellIs" dxfId="3611" priority="267" operator="lessThan">
      <formula>0</formula>
    </cfRule>
  </conditionalFormatting>
  <conditionalFormatting sqref="R84:R91">
    <cfRule type="cellIs" dxfId="3610" priority="265" operator="lessThan">
      <formula>0.8</formula>
    </cfRule>
    <cfRule type="cellIs" dxfId="3609" priority="266" operator="greaterThan">
      <formula>1</formula>
    </cfRule>
  </conditionalFormatting>
  <conditionalFormatting sqref="R84:R91">
    <cfRule type="cellIs" dxfId="3608" priority="263" operator="greaterThan">
      <formula>1</formula>
    </cfRule>
    <cfRule type="cellIs" dxfId="3607" priority="264" operator="lessThan">
      <formula>0.8</formula>
    </cfRule>
  </conditionalFormatting>
  <conditionalFormatting sqref="P84:P91">
    <cfRule type="cellIs" dxfId="3606" priority="256" operator="greaterThan">
      <formula>0</formula>
    </cfRule>
  </conditionalFormatting>
  <conditionalFormatting sqref="Q84:Q91">
    <cfRule type="cellIs" dxfId="3605" priority="261" operator="lessThan">
      <formula>0</formula>
    </cfRule>
  </conditionalFormatting>
  <conditionalFormatting sqref="R84:R91">
    <cfRule type="cellIs" dxfId="3604" priority="259" operator="lessThan">
      <formula>0.8</formula>
    </cfRule>
    <cfRule type="cellIs" dxfId="3603" priority="260" operator="greaterThan">
      <formula>1</formula>
    </cfRule>
  </conditionalFormatting>
  <conditionalFormatting sqref="R84:R91">
    <cfRule type="cellIs" dxfId="3602" priority="257" operator="greaterThan">
      <formula>1</formula>
    </cfRule>
    <cfRule type="cellIs" dxfId="3601" priority="258" operator="lessThan">
      <formula>0.8</formula>
    </cfRule>
  </conditionalFormatting>
  <conditionalFormatting sqref="R84:R91">
    <cfRule type="cellIs" dxfId="3600" priority="253" operator="lessThan">
      <formula>0.8</formula>
    </cfRule>
    <cfRule type="cellIs" dxfId="3599" priority="254" operator="greaterThan">
      <formula>1</formula>
    </cfRule>
  </conditionalFormatting>
  <conditionalFormatting sqref="R84:R91">
    <cfRule type="cellIs" dxfId="3598" priority="251" operator="greaterThan">
      <formula>1</formula>
    </cfRule>
    <cfRule type="cellIs" dxfId="3597" priority="252" operator="lessThan">
      <formula>0.8</formula>
    </cfRule>
  </conditionalFormatting>
  <conditionalFormatting sqref="P84:P91">
    <cfRule type="cellIs" dxfId="3596" priority="250" operator="greaterThan">
      <formula>0</formula>
    </cfRule>
  </conditionalFormatting>
  <conditionalFormatting sqref="Q84:Q91">
    <cfRule type="cellIs" dxfId="3595" priority="255" operator="lessThan">
      <formula>0</formula>
    </cfRule>
  </conditionalFormatting>
  <conditionalFormatting sqref="Q84:Q91">
    <cfRule type="cellIs" dxfId="3594" priority="249" operator="lessThan">
      <formula>0</formula>
    </cfRule>
  </conditionalFormatting>
  <conditionalFormatting sqref="R84:R91">
    <cfRule type="cellIs" dxfId="3593" priority="247" operator="lessThan">
      <formula>0.8</formula>
    </cfRule>
    <cfRule type="cellIs" dxfId="3592" priority="248" operator="greaterThan">
      <formula>1</formula>
    </cfRule>
  </conditionalFormatting>
  <conditionalFormatting sqref="R84:R91">
    <cfRule type="cellIs" dxfId="3591" priority="245" operator="greaterThan">
      <formula>1</formula>
    </cfRule>
    <cfRule type="cellIs" dxfId="3590" priority="246" operator="lessThan">
      <formula>0.8</formula>
    </cfRule>
  </conditionalFormatting>
  <conditionalFormatting sqref="P84:P91">
    <cfRule type="cellIs" dxfId="3589" priority="244" operator="greaterThan">
      <formula>0</formula>
    </cfRule>
  </conditionalFormatting>
  <conditionalFormatting sqref="Q84:Q91">
    <cfRule type="cellIs" dxfId="3588" priority="243" operator="lessThan">
      <formula>0</formula>
    </cfRule>
  </conditionalFormatting>
  <conditionalFormatting sqref="R84:R91">
    <cfRule type="cellIs" dxfId="3587" priority="241" operator="lessThan">
      <formula>0.8</formula>
    </cfRule>
    <cfRule type="cellIs" dxfId="3586" priority="242" operator="greaterThan">
      <formula>1</formula>
    </cfRule>
  </conditionalFormatting>
  <conditionalFormatting sqref="R84:R91">
    <cfRule type="cellIs" dxfId="3585" priority="239" operator="greaterThan">
      <formula>1</formula>
    </cfRule>
    <cfRule type="cellIs" dxfId="3584" priority="240" operator="lessThan">
      <formula>0.8</formula>
    </cfRule>
  </conditionalFormatting>
  <conditionalFormatting sqref="P84:P91">
    <cfRule type="cellIs" dxfId="3583" priority="238" operator="greaterThan">
      <formula>0</formula>
    </cfRule>
  </conditionalFormatting>
  <conditionalFormatting sqref="Q84:Q91">
    <cfRule type="cellIs" dxfId="3582" priority="237" operator="lessThan">
      <formula>0</formula>
    </cfRule>
  </conditionalFormatting>
  <conditionalFormatting sqref="R84:R91">
    <cfRule type="cellIs" dxfId="3581" priority="235" operator="lessThan">
      <formula>0.8</formula>
    </cfRule>
    <cfRule type="cellIs" dxfId="3580" priority="236" operator="greaterThan">
      <formula>1</formula>
    </cfRule>
  </conditionalFormatting>
  <conditionalFormatting sqref="R84:R91">
    <cfRule type="cellIs" dxfId="3579" priority="233" operator="greaterThan">
      <formula>1</formula>
    </cfRule>
    <cfRule type="cellIs" dxfId="3578" priority="234" operator="lessThan">
      <formula>0.8</formula>
    </cfRule>
  </conditionalFormatting>
  <conditionalFormatting sqref="P84:P91">
    <cfRule type="cellIs" dxfId="3577" priority="232" operator="greaterThan">
      <formula>0</formula>
    </cfRule>
  </conditionalFormatting>
  <conditionalFormatting sqref="Q84:Q91">
    <cfRule type="cellIs" dxfId="3576" priority="231" operator="lessThan">
      <formula>0</formula>
    </cfRule>
  </conditionalFormatting>
  <conditionalFormatting sqref="R84:R91">
    <cfRule type="cellIs" dxfId="3575" priority="229" operator="lessThan">
      <formula>0.8</formula>
    </cfRule>
    <cfRule type="cellIs" dxfId="3574" priority="230" operator="greaterThan">
      <formula>1</formula>
    </cfRule>
  </conditionalFormatting>
  <conditionalFormatting sqref="R84:R91">
    <cfRule type="cellIs" dxfId="3573" priority="227" operator="greaterThan">
      <formula>1</formula>
    </cfRule>
    <cfRule type="cellIs" dxfId="3572" priority="228" operator="lessThan">
      <formula>0.8</formula>
    </cfRule>
  </conditionalFormatting>
  <conditionalFormatting sqref="P84:P91">
    <cfRule type="cellIs" dxfId="3571" priority="226" operator="greaterThan">
      <formula>0</formula>
    </cfRule>
  </conditionalFormatting>
  <conditionalFormatting sqref="P84:P91">
    <cfRule type="cellIs" dxfId="3570" priority="220" operator="greaterThan">
      <formula>0</formula>
    </cfRule>
  </conditionalFormatting>
  <conditionalFormatting sqref="Q84:Q91">
    <cfRule type="cellIs" dxfId="3569" priority="225" operator="lessThan">
      <formula>0</formula>
    </cfRule>
  </conditionalFormatting>
  <conditionalFormatting sqref="R84:R91">
    <cfRule type="cellIs" dxfId="3568" priority="223" operator="lessThan">
      <formula>0.8</formula>
    </cfRule>
    <cfRule type="cellIs" dxfId="3567" priority="224" operator="greaterThan">
      <formula>1</formula>
    </cfRule>
  </conditionalFormatting>
  <conditionalFormatting sqref="R84:R91">
    <cfRule type="cellIs" dxfId="3566" priority="221" operator="greaterThan">
      <formula>1</formula>
    </cfRule>
    <cfRule type="cellIs" dxfId="3565" priority="222" operator="lessThan">
      <formula>0.8</formula>
    </cfRule>
  </conditionalFormatting>
  <conditionalFormatting sqref="P84:P91">
    <cfRule type="cellIs" dxfId="3564" priority="214" operator="greaterThan">
      <formula>0</formula>
    </cfRule>
  </conditionalFormatting>
  <conditionalFormatting sqref="Q84:Q91">
    <cfRule type="cellIs" dxfId="3563" priority="219" operator="lessThan">
      <formula>0</formula>
    </cfRule>
  </conditionalFormatting>
  <conditionalFormatting sqref="R84:R91">
    <cfRule type="cellIs" dxfId="3562" priority="217" operator="lessThan">
      <formula>0.8</formula>
    </cfRule>
    <cfRule type="cellIs" dxfId="3561" priority="218" operator="greaterThan">
      <formula>1</formula>
    </cfRule>
  </conditionalFormatting>
  <conditionalFormatting sqref="R84:R91">
    <cfRule type="cellIs" dxfId="3560" priority="215" operator="greaterThan">
      <formula>1</formula>
    </cfRule>
    <cfRule type="cellIs" dxfId="3559" priority="216" operator="lessThan">
      <formula>0.8</formula>
    </cfRule>
  </conditionalFormatting>
  <conditionalFormatting sqref="R84:R91">
    <cfRule type="cellIs" dxfId="3558" priority="211" operator="lessThan">
      <formula>0.8</formula>
    </cfRule>
    <cfRule type="cellIs" dxfId="3557" priority="212" operator="greaterThan">
      <formula>1</formula>
    </cfRule>
  </conditionalFormatting>
  <conditionalFormatting sqref="R84:R91">
    <cfRule type="cellIs" dxfId="3556" priority="209" operator="greaterThan">
      <formula>1</formula>
    </cfRule>
    <cfRule type="cellIs" dxfId="3555" priority="210" operator="lessThan">
      <formula>0.8</formula>
    </cfRule>
  </conditionalFormatting>
  <conditionalFormatting sqref="P84:P91">
    <cfRule type="cellIs" dxfId="3554" priority="208" operator="greaterThan">
      <formula>0</formula>
    </cfRule>
  </conditionalFormatting>
  <conditionalFormatting sqref="Q84:Q91">
    <cfRule type="cellIs" dxfId="3553" priority="213" operator="lessThan">
      <formula>0</formula>
    </cfRule>
  </conditionalFormatting>
  <conditionalFormatting sqref="Q84:Q91">
    <cfRule type="cellIs" dxfId="3552" priority="207" operator="lessThan">
      <formula>0</formula>
    </cfRule>
  </conditionalFormatting>
  <conditionalFormatting sqref="R84:R91">
    <cfRule type="cellIs" dxfId="3551" priority="205" operator="lessThan">
      <formula>0.8</formula>
    </cfRule>
    <cfRule type="cellIs" dxfId="3550" priority="206" operator="greaterThan">
      <formula>1</formula>
    </cfRule>
  </conditionalFormatting>
  <conditionalFormatting sqref="R84:R91">
    <cfRule type="cellIs" dxfId="3549" priority="203" operator="greaterThan">
      <formula>1</formula>
    </cfRule>
    <cfRule type="cellIs" dxfId="3548" priority="204" operator="lessThan">
      <formula>0.8</formula>
    </cfRule>
  </conditionalFormatting>
  <conditionalFormatting sqref="P84:P91">
    <cfRule type="cellIs" dxfId="3547" priority="202" operator="greaterThan">
      <formula>0</formula>
    </cfRule>
  </conditionalFormatting>
  <conditionalFormatting sqref="P84:P91">
    <cfRule type="cellIs" dxfId="3546" priority="196" operator="greaterThan">
      <formula>0</formula>
    </cfRule>
  </conditionalFormatting>
  <conditionalFormatting sqref="Q84:Q91">
    <cfRule type="cellIs" dxfId="3545" priority="201" operator="lessThan">
      <formula>0</formula>
    </cfRule>
  </conditionalFormatting>
  <conditionalFormatting sqref="R84:R91">
    <cfRule type="cellIs" dxfId="3544" priority="199" operator="lessThan">
      <formula>0.8</formula>
    </cfRule>
    <cfRule type="cellIs" dxfId="3543" priority="200" operator="greaterThan">
      <formula>1</formula>
    </cfRule>
  </conditionalFormatting>
  <conditionalFormatting sqref="R84:R91">
    <cfRule type="cellIs" dxfId="3542" priority="197" operator="greaterThan">
      <formula>1</formula>
    </cfRule>
    <cfRule type="cellIs" dxfId="3541" priority="198" operator="lessThan">
      <formula>0.8</formula>
    </cfRule>
  </conditionalFormatting>
  <conditionalFormatting sqref="P84:P91">
    <cfRule type="cellIs" dxfId="3540" priority="190" operator="greaterThan">
      <formula>0</formula>
    </cfRule>
  </conditionalFormatting>
  <conditionalFormatting sqref="Q84:Q91">
    <cfRule type="cellIs" dxfId="3539" priority="195" operator="lessThan">
      <formula>0</formula>
    </cfRule>
  </conditionalFormatting>
  <conditionalFormatting sqref="R84:R91">
    <cfRule type="cellIs" dxfId="3538" priority="193" operator="lessThan">
      <formula>0.8</formula>
    </cfRule>
    <cfRule type="cellIs" dxfId="3537" priority="194" operator="greaterThan">
      <formula>1</formula>
    </cfRule>
  </conditionalFormatting>
  <conditionalFormatting sqref="R84:R91">
    <cfRule type="cellIs" dxfId="3536" priority="191" operator="greaterThan">
      <formula>1</formula>
    </cfRule>
    <cfRule type="cellIs" dxfId="3535" priority="192" operator="lessThan">
      <formula>0.8</formula>
    </cfRule>
  </conditionalFormatting>
  <conditionalFormatting sqref="R84:R91">
    <cfRule type="cellIs" dxfId="3534" priority="187" operator="lessThan">
      <formula>0.8</formula>
    </cfRule>
    <cfRule type="cellIs" dxfId="3533" priority="188" operator="greaterThan">
      <formula>1</formula>
    </cfRule>
  </conditionalFormatting>
  <conditionalFormatting sqref="R84:R91">
    <cfRule type="cellIs" dxfId="3532" priority="185" operator="greaterThan">
      <formula>1</formula>
    </cfRule>
    <cfRule type="cellIs" dxfId="3531" priority="186" operator="lessThan">
      <formula>0.8</formula>
    </cfRule>
  </conditionalFormatting>
  <conditionalFormatting sqref="P84:P91">
    <cfRule type="cellIs" dxfId="3530" priority="184" operator="greaterThan">
      <formula>0</formula>
    </cfRule>
  </conditionalFormatting>
  <conditionalFormatting sqref="Q84:Q91">
    <cfRule type="cellIs" dxfId="3529" priority="189" operator="lessThan">
      <formula>0</formula>
    </cfRule>
  </conditionalFormatting>
  <conditionalFormatting sqref="P84:P91">
    <cfRule type="cellIs" dxfId="3528" priority="178" operator="greaterThan">
      <formula>0</formula>
    </cfRule>
  </conditionalFormatting>
  <conditionalFormatting sqref="Q84:Q91">
    <cfRule type="cellIs" dxfId="3527" priority="183" operator="lessThan">
      <formula>0</formula>
    </cfRule>
  </conditionalFormatting>
  <conditionalFormatting sqref="R84:R91">
    <cfRule type="cellIs" dxfId="3526" priority="181" operator="lessThan">
      <formula>0.8</formula>
    </cfRule>
    <cfRule type="cellIs" dxfId="3525" priority="182" operator="greaterThan">
      <formula>1</formula>
    </cfRule>
  </conditionalFormatting>
  <conditionalFormatting sqref="R84:R91">
    <cfRule type="cellIs" dxfId="3524" priority="179" operator="greaterThan">
      <formula>1</formula>
    </cfRule>
    <cfRule type="cellIs" dxfId="3523" priority="180" operator="lessThan">
      <formula>0.8</formula>
    </cfRule>
  </conditionalFormatting>
  <conditionalFormatting sqref="R84:R91">
    <cfRule type="cellIs" dxfId="3522" priority="175" operator="lessThan">
      <formula>0.8</formula>
    </cfRule>
    <cfRule type="cellIs" dxfId="3521" priority="176" operator="greaterThan">
      <formula>1</formula>
    </cfRule>
  </conditionalFormatting>
  <conditionalFormatting sqref="R84:R91">
    <cfRule type="cellIs" dxfId="3520" priority="173" operator="greaterThan">
      <formula>1</formula>
    </cfRule>
    <cfRule type="cellIs" dxfId="3519" priority="174" operator="lessThan">
      <formula>0.8</formula>
    </cfRule>
  </conditionalFormatting>
  <conditionalFormatting sqref="P84:P91">
    <cfRule type="cellIs" dxfId="3518" priority="172" operator="greaterThan">
      <formula>0</formula>
    </cfRule>
  </conditionalFormatting>
  <conditionalFormatting sqref="Q84:Q91">
    <cfRule type="cellIs" dxfId="3517" priority="177" operator="lessThan">
      <formula>0</formula>
    </cfRule>
  </conditionalFormatting>
  <conditionalFormatting sqref="R84:R91">
    <cfRule type="cellIs" dxfId="3516" priority="169" operator="lessThan">
      <formula>0.8</formula>
    </cfRule>
    <cfRule type="cellIs" dxfId="3515" priority="170" operator="greaterThan">
      <formula>1</formula>
    </cfRule>
  </conditionalFormatting>
  <conditionalFormatting sqref="R84:R91">
    <cfRule type="cellIs" dxfId="3514" priority="167" operator="greaterThan">
      <formula>1</formula>
    </cfRule>
    <cfRule type="cellIs" dxfId="3513" priority="168" operator="lessThan">
      <formula>0.8</formula>
    </cfRule>
  </conditionalFormatting>
  <conditionalFormatting sqref="P84:P91">
    <cfRule type="cellIs" dxfId="3512" priority="166" operator="greaterThan">
      <formula>0</formula>
    </cfRule>
  </conditionalFormatting>
  <conditionalFormatting sqref="Q84:Q91">
    <cfRule type="cellIs" dxfId="3511" priority="171" operator="lessThan">
      <formula>0</formula>
    </cfRule>
  </conditionalFormatting>
  <conditionalFormatting sqref="Q84:Q91">
    <cfRule type="cellIs" dxfId="3510" priority="165" operator="lessThan">
      <formula>0</formula>
    </cfRule>
  </conditionalFormatting>
  <conditionalFormatting sqref="R84:R91">
    <cfRule type="cellIs" dxfId="3509" priority="163" operator="lessThan">
      <formula>0.8</formula>
    </cfRule>
    <cfRule type="cellIs" dxfId="3508" priority="164" operator="greaterThan">
      <formula>1</formula>
    </cfRule>
  </conditionalFormatting>
  <conditionalFormatting sqref="R84:R91">
    <cfRule type="cellIs" dxfId="3507" priority="161" operator="greaterThan">
      <formula>1</formula>
    </cfRule>
    <cfRule type="cellIs" dxfId="3506" priority="162" operator="lessThan">
      <formula>0.8</formula>
    </cfRule>
  </conditionalFormatting>
  <conditionalFormatting sqref="P84:P91">
    <cfRule type="cellIs" dxfId="3505" priority="160" operator="greaterThan">
      <formula>0</formula>
    </cfRule>
  </conditionalFormatting>
  <conditionalFormatting sqref="Q84:Q91">
    <cfRule type="cellIs" dxfId="3504" priority="154" operator="lessThan">
      <formula>0</formula>
    </cfRule>
  </conditionalFormatting>
  <conditionalFormatting sqref="R84:R91">
    <cfRule type="cellIs" dxfId="3503" priority="158" operator="lessThan">
      <formula>0.8</formula>
    </cfRule>
    <cfRule type="cellIs" dxfId="3502" priority="159" operator="greaterThan">
      <formula>1</formula>
    </cfRule>
  </conditionalFormatting>
  <conditionalFormatting sqref="R84:R91">
    <cfRule type="cellIs" dxfId="3501" priority="156" operator="greaterThan">
      <formula>1</formula>
    </cfRule>
    <cfRule type="cellIs" dxfId="3500" priority="157" operator="lessThan">
      <formula>0.8</formula>
    </cfRule>
  </conditionalFormatting>
  <conditionalFormatting sqref="P84:P91">
    <cfRule type="cellIs" dxfId="3499" priority="155" operator="greaterThan">
      <formula>0</formula>
    </cfRule>
  </conditionalFormatting>
  <conditionalFormatting sqref="Q84:Q91">
    <cfRule type="cellIs" dxfId="3498" priority="153" operator="lessThan">
      <formula>0</formula>
    </cfRule>
  </conditionalFormatting>
  <conditionalFormatting sqref="R84:R91">
    <cfRule type="cellIs" dxfId="3497" priority="151" operator="lessThan">
      <formula>0.8</formula>
    </cfRule>
    <cfRule type="cellIs" dxfId="3496" priority="152" operator="greaterThan">
      <formula>1</formula>
    </cfRule>
  </conditionalFormatting>
  <conditionalFormatting sqref="R84:R91">
    <cfRule type="cellIs" dxfId="3495" priority="149" operator="greaterThan">
      <formula>1</formula>
    </cfRule>
    <cfRule type="cellIs" dxfId="3494" priority="150" operator="lessThan">
      <formula>0.8</formula>
    </cfRule>
  </conditionalFormatting>
  <conditionalFormatting sqref="P84:P91">
    <cfRule type="cellIs" dxfId="3493" priority="148" operator="greaterThan">
      <formula>0</formula>
    </cfRule>
  </conditionalFormatting>
  <conditionalFormatting sqref="Q84:Q91">
    <cfRule type="cellIs" dxfId="3492" priority="147" operator="lessThan">
      <formula>0</formula>
    </cfRule>
  </conditionalFormatting>
  <conditionalFormatting sqref="R84:R91">
    <cfRule type="cellIs" dxfId="3491" priority="145" operator="lessThan">
      <formula>0.8</formula>
    </cfRule>
    <cfRule type="cellIs" dxfId="3490" priority="146" operator="greaterThan">
      <formula>1</formula>
    </cfRule>
  </conditionalFormatting>
  <conditionalFormatting sqref="R84:R91">
    <cfRule type="cellIs" dxfId="3489" priority="143" operator="greaterThan">
      <formula>1</formula>
    </cfRule>
    <cfRule type="cellIs" dxfId="3488" priority="144" operator="lessThan">
      <formula>0.8</formula>
    </cfRule>
  </conditionalFormatting>
  <conditionalFormatting sqref="P84:P91">
    <cfRule type="cellIs" dxfId="3487" priority="142" operator="greaterThan">
      <formula>0</formula>
    </cfRule>
  </conditionalFormatting>
  <conditionalFormatting sqref="Q84:Q91">
    <cfRule type="cellIs" dxfId="3486" priority="141" operator="lessThan">
      <formula>0</formula>
    </cfRule>
  </conditionalFormatting>
  <conditionalFormatting sqref="R84:R91">
    <cfRule type="cellIs" dxfId="3485" priority="139" operator="lessThan">
      <formula>0.8</formula>
    </cfRule>
    <cfRule type="cellIs" dxfId="3484" priority="140" operator="greaterThan">
      <formula>1</formula>
    </cfRule>
  </conditionalFormatting>
  <conditionalFormatting sqref="R84:R91">
    <cfRule type="cellIs" dxfId="3483" priority="137" operator="greaterThan">
      <formula>1</formula>
    </cfRule>
    <cfRule type="cellIs" dxfId="3482" priority="138" operator="lessThan">
      <formula>0.8</formula>
    </cfRule>
  </conditionalFormatting>
  <conditionalFormatting sqref="P84:P91">
    <cfRule type="cellIs" dxfId="3481" priority="136" operator="greaterThan">
      <formula>0</formula>
    </cfRule>
  </conditionalFormatting>
  <conditionalFormatting sqref="Q84:Q91">
    <cfRule type="cellIs" dxfId="3480" priority="135" operator="lessThan">
      <formula>0</formula>
    </cfRule>
  </conditionalFormatting>
  <conditionalFormatting sqref="R84:R91">
    <cfRule type="cellIs" dxfId="3479" priority="133" operator="lessThan">
      <formula>0.8</formula>
    </cfRule>
    <cfRule type="cellIs" dxfId="3478" priority="134" operator="greaterThan">
      <formula>1</formula>
    </cfRule>
  </conditionalFormatting>
  <conditionalFormatting sqref="R84:R91">
    <cfRule type="cellIs" dxfId="3477" priority="131" operator="greaterThan">
      <formula>1</formula>
    </cfRule>
    <cfRule type="cellIs" dxfId="3476" priority="132" operator="lessThan">
      <formula>0.8</formula>
    </cfRule>
  </conditionalFormatting>
  <conditionalFormatting sqref="P84:P91">
    <cfRule type="cellIs" dxfId="3475" priority="130" operator="greaterThan">
      <formula>0</formula>
    </cfRule>
  </conditionalFormatting>
  <conditionalFormatting sqref="Q84:Q91">
    <cfRule type="cellIs" dxfId="3474" priority="129" operator="lessThan">
      <formula>0</formula>
    </cfRule>
  </conditionalFormatting>
  <conditionalFormatting sqref="R84:R91">
    <cfRule type="cellIs" dxfId="3473" priority="127" operator="lessThan">
      <formula>0.8</formula>
    </cfRule>
    <cfRule type="cellIs" dxfId="3472" priority="128" operator="greaterThan">
      <formula>1</formula>
    </cfRule>
  </conditionalFormatting>
  <conditionalFormatting sqref="R84:R91">
    <cfRule type="cellIs" dxfId="3471" priority="125" operator="greaterThan">
      <formula>1</formula>
    </cfRule>
    <cfRule type="cellIs" dxfId="3470" priority="126" operator="lessThan">
      <formula>0.8</formula>
    </cfRule>
  </conditionalFormatting>
  <conditionalFormatting sqref="P84:P91">
    <cfRule type="cellIs" dxfId="3469" priority="124" operator="greaterThan">
      <formula>0</formula>
    </cfRule>
  </conditionalFormatting>
  <conditionalFormatting sqref="P84:P91">
    <cfRule type="cellIs" dxfId="3468" priority="118" operator="greaterThan">
      <formula>0</formula>
    </cfRule>
  </conditionalFormatting>
  <conditionalFormatting sqref="Q84:Q91">
    <cfRule type="cellIs" dxfId="3467" priority="123" operator="lessThan">
      <formula>0</formula>
    </cfRule>
  </conditionalFormatting>
  <conditionalFormatting sqref="R84:R91">
    <cfRule type="cellIs" dxfId="3466" priority="121" operator="lessThan">
      <formula>0.8</formula>
    </cfRule>
    <cfRule type="cellIs" dxfId="3465" priority="122" operator="greaterThan">
      <formula>1</formula>
    </cfRule>
  </conditionalFormatting>
  <conditionalFormatting sqref="R84:R91">
    <cfRule type="cellIs" dxfId="3464" priority="119" operator="greaterThan">
      <formula>1</formula>
    </cfRule>
    <cfRule type="cellIs" dxfId="3463" priority="120" operator="lessThan">
      <formula>0.8</formula>
    </cfRule>
  </conditionalFormatting>
  <conditionalFormatting sqref="P84:P91">
    <cfRule type="cellIs" dxfId="3462" priority="112" operator="greaterThan">
      <formula>0</formula>
    </cfRule>
  </conditionalFormatting>
  <conditionalFormatting sqref="Q84:Q91">
    <cfRule type="cellIs" dxfId="3461" priority="117" operator="lessThan">
      <formula>0</formula>
    </cfRule>
  </conditionalFormatting>
  <conditionalFormatting sqref="R84:R91">
    <cfRule type="cellIs" dxfId="3460" priority="115" operator="lessThan">
      <formula>0.8</formula>
    </cfRule>
    <cfRule type="cellIs" dxfId="3459" priority="116" operator="greaterThan">
      <formula>1</formula>
    </cfRule>
  </conditionalFormatting>
  <conditionalFormatting sqref="R84:R91">
    <cfRule type="cellIs" dxfId="3458" priority="113" operator="greaterThan">
      <formula>1</formula>
    </cfRule>
    <cfRule type="cellIs" dxfId="3457" priority="114" operator="lessThan">
      <formula>0.8</formula>
    </cfRule>
  </conditionalFormatting>
  <conditionalFormatting sqref="R84:R91">
    <cfRule type="cellIs" dxfId="3456" priority="109" operator="lessThan">
      <formula>0.8</formula>
    </cfRule>
    <cfRule type="cellIs" dxfId="3455" priority="110" operator="greaterThan">
      <formula>1</formula>
    </cfRule>
  </conditionalFormatting>
  <conditionalFormatting sqref="R84:R91">
    <cfRule type="cellIs" dxfId="3454" priority="107" operator="greaterThan">
      <formula>1</formula>
    </cfRule>
    <cfRule type="cellIs" dxfId="3453" priority="108" operator="lessThan">
      <formula>0.8</formula>
    </cfRule>
  </conditionalFormatting>
  <conditionalFormatting sqref="P84:P91">
    <cfRule type="cellIs" dxfId="3452" priority="106" operator="greaterThan">
      <formula>0</formula>
    </cfRule>
  </conditionalFormatting>
  <conditionalFormatting sqref="Q84:Q91">
    <cfRule type="cellIs" dxfId="3451" priority="111" operator="lessThan">
      <formula>0</formula>
    </cfRule>
  </conditionalFormatting>
  <conditionalFormatting sqref="Q84:Q91">
    <cfRule type="cellIs" dxfId="3450" priority="100" operator="lessThan">
      <formula>0</formula>
    </cfRule>
  </conditionalFormatting>
  <conditionalFormatting sqref="P84:P91">
    <cfRule type="cellIs" dxfId="3449" priority="101" operator="greaterThan">
      <formula>0</formula>
    </cfRule>
  </conditionalFormatting>
  <conditionalFormatting sqref="R84:R91">
    <cfRule type="cellIs" dxfId="3448" priority="104" operator="lessThan">
      <formula>0.8</formula>
    </cfRule>
    <cfRule type="cellIs" dxfId="3447" priority="105" operator="greaterThan">
      <formula>1</formula>
    </cfRule>
  </conditionalFormatting>
  <conditionalFormatting sqref="R84:R91">
    <cfRule type="cellIs" dxfId="3446" priority="102" operator="greaterThan">
      <formula>1</formula>
    </cfRule>
    <cfRule type="cellIs" dxfId="3445" priority="103" operator="lessThan">
      <formula>0.8</formula>
    </cfRule>
  </conditionalFormatting>
  <conditionalFormatting sqref="Q84:Q91">
    <cfRule type="cellIs" dxfId="3444" priority="94" operator="lessThan">
      <formula>0</formula>
    </cfRule>
  </conditionalFormatting>
  <conditionalFormatting sqref="R84:R91">
    <cfRule type="cellIs" dxfId="3443" priority="98" operator="lessThan">
      <formula>0.8</formula>
    </cfRule>
    <cfRule type="cellIs" dxfId="3442" priority="99" operator="greaterThan">
      <formula>1</formula>
    </cfRule>
  </conditionalFormatting>
  <conditionalFormatting sqref="R84:R91">
    <cfRule type="cellIs" dxfId="3441" priority="96" operator="greaterThan">
      <formula>1</formula>
    </cfRule>
    <cfRule type="cellIs" dxfId="3440" priority="97" operator="lessThan">
      <formula>0.8</formula>
    </cfRule>
  </conditionalFormatting>
  <conditionalFormatting sqref="P84:P91">
    <cfRule type="cellIs" dxfId="3439" priority="95" operator="greaterThan">
      <formula>0</formula>
    </cfRule>
  </conditionalFormatting>
  <conditionalFormatting sqref="Q84:Q91">
    <cfRule type="cellIs" dxfId="3438" priority="93" operator="lessThan">
      <formula>0</formula>
    </cfRule>
  </conditionalFormatting>
  <conditionalFormatting sqref="R84:R91">
    <cfRule type="cellIs" dxfId="3437" priority="91" operator="lessThan">
      <formula>0.8</formula>
    </cfRule>
    <cfRule type="cellIs" dxfId="3436" priority="92" operator="greaterThan">
      <formula>1</formula>
    </cfRule>
  </conditionalFormatting>
  <conditionalFormatting sqref="R84:R91">
    <cfRule type="cellIs" dxfId="3435" priority="89" operator="greaterThan">
      <formula>1</formula>
    </cfRule>
    <cfRule type="cellIs" dxfId="3434" priority="90" operator="lessThan">
      <formula>0.8</formula>
    </cfRule>
  </conditionalFormatting>
  <conditionalFormatting sqref="P84:P91">
    <cfRule type="cellIs" dxfId="3433" priority="88" operator="greaterThan">
      <formula>0</formula>
    </cfRule>
  </conditionalFormatting>
  <conditionalFormatting sqref="Q84:Q91">
    <cfRule type="cellIs" dxfId="3432" priority="87" operator="lessThan">
      <formula>0</formula>
    </cfRule>
  </conditionalFormatting>
  <conditionalFormatting sqref="R84:R91">
    <cfRule type="cellIs" dxfId="3431" priority="85" operator="lessThan">
      <formula>0.8</formula>
    </cfRule>
    <cfRule type="cellIs" dxfId="3430" priority="86" operator="greaterThan">
      <formula>1</formula>
    </cfRule>
  </conditionalFormatting>
  <conditionalFormatting sqref="R84:R91">
    <cfRule type="cellIs" dxfId="3429" priority="83" operator="greaterThan">
      <formula>1</formula>
    </cfRule>
    <cfRule type="cellIs" dxfId="3428" priority="84" operator="lessThan">
      <formula>0.8</formula>
    </cfRule>
  </conditionalFormatting>
  <conditionalFormatting sqref="P84:P91">
    <cfRule type="cellIs" dxfId="3427" priority="82" operator="greaterThan">
      <formula>0</formula>
    </cfRule>
  </conditionalFormatting>
  <conditionalFormatting sqref="Q84:Q91">
    <cfRule type="cellIs" dxfId="3426" priority="81" operator="lessThan">
      <formula>0</formula>
    </cfRule>
  </conditionalFormatting>
  <conditionalFormatting sqref="R84:R91">
    <cfRule type="cellIs" dxfId="3425" priority="79" operator="lessThan">
      <formula>0.8</formula>
    </cfRule>
    <cfRule type="cellIs" dxfId="3424" priority="80" operator="greaterThan">
      <formula>1</formula>
    </cfRule>
  </conditionalFormatting>
  <conditionalFormatting sqref="R84:R91">
    <cfRule type="cellIs" dxfId="3423" priority="77" operator="greaterThan">
      <formula>1</formula>
    </cfRule>
    <cfRule type="cellIs" dxfId="3422" priority="78" operator="lessThan">
      <formula>0.8</formula>
    </cfRule>
  </conditionalFormatting>
  <conditionalFormatting sqref="P84:P91">
    <cfRule type="cellIs" dxfId="3421" priority="76" operator="greaterThan">
      <formula>0</formula>
    </cfRule>
  </conditionalFormatting>
  <conditionalFormatting sqref="Q162:Q166">
    <cfRule type="cellIs" dxfId="3420" priority="75" operator="lessThan">
      <formula>0</formula>
    </cfRule>
  </conditionalFormatting>
  <conditionalFormatting sqref="R162:R166">
    <cfRule type="cellIs" dxfId="3419" priority="73" operator="lessThan">
      <formula>0.8</formula>
    </cfRule>
    <cfRule type="cellIs" dxfId="3418" priority="74" operator="greaterThan">
      <formula>1</formula>
    </cfRule>
  </conditionalFormatting>
  <conditionalFormatting sqref="R162:R166">
    <cfRule type="cellIs" dxfId="3417" priority="71" operator="greaterThan">
      <formula>1</formula>
    </cfRule>
    <cfRule type="cellIs" dxfId="3416" priority="72" operator="lessThan">
      <formula>0.8</formula>
    </cfRule>
  </conditionalFormatting>
  <conditionalFormatting sqref="P162:P166">
    <cfRule type="cellIs" dxfId="3415" priority="70" operator="greaterThan">
      <formula>0</formula>
    </cfRule>
  </conditionalFormatting>
  <conditionalFormatting sqref="P167:P168">
    <cfRule type="cellIs" dxfId="3414" priority="64" operator="greaterThan">
      <formula>0</formula>
    </cfRule>
  </conditionalFormatting>
  <conditionalFormatting sqref="R167:R168">
    <cfRule type="cellIs" dxfId="3413" priority="67" operator="lessThan">
      <formula>0.8</formula>
    </cfRule>
    <cfRule type="cellIs" dxfId="3412" priority="68" operator="greaterThan">
      <formula>1</formula>
    </cfRule>
  </conditionalFormatting>
  <conditionalFormatting sqref="R167:R168">
    <cfRule type="cellIs" dxfId="3411" priority="65" operator="greaterThan">
      <formula>1</formula>
    </cfRule>
    <cfRule type="cellIs" dxfId="3410" priority="66" operator="lessThan">
      <formula>0.8</formula>
    </cfRule>
  </conditionalFormatting>
  <conditionalFormatting sqref="Q167:Q168">
    <cfRule type="cellIs" dxfId="3409" priority="69" operator="lessThan">
      <formula>0</formula>
    </cfRule>
  </conditionalFormatting>
  <conditionalFormatting sqref="Q161">
    <cfRule type="cellIs" dxfId="3408" priority="63" operator="lessThan">
      <formula>0</formula>
    </cfRule>
  </conditionalFormatting>
  <conditionalFormatting sqref="R161">
    <cfRule type="cellIs" dxfId="3407" priority="61" operator="lessThan">
      <formula>0.8</formula>
    </cfRule>
    <cfRule type="cellIs" dxfId="3406" priority="62" operator="greaterThan">
      <formula>1</formula>
    </cfRule>
  </conditionalFormatting>
  <conditionalFormatting sqref="R161">
    <cfRule type="cellIs" dxfId="3405" priority="59" operator="greaterThan">
      <formula>1</formula>
    </cfRule>
    <cfRule type="cellIs" dxfId="3404" priority="60" operator="lessThan">
      <formula>0.8</formula>
    </cfRule>
  </conditionalFormatting>
  <conditionalFormatting sqref="P161">
    <cfRule type="cellIs" dxfId="3403" priority="58" operator="greaterThan">
      <formula>0</formula>
    </cfRule>
  </conditionalFormatting>
  <conditionalFormatting sqref="Q162:Q166">
    <cfRule type="cellIs" dxfId="3402" priority="57" operator="lessThan">
      <formula>0</formula>
    </cfRule>
  </conditionalFormatting>
  <conditionalFormatting sqref="R162:R166">
    <cfRule type="cellIs" dxfId="3401" priority="55" operator="lessThan">
      <formula>0.8</formula>
    </cfRule>
    <cfRule type="cellIs" dxfId="3400" priority="56" operator="greaterThan">
      <formula>1</formula>
    </cfRule>
  </conditionalFormatting>
  <conditionalFormatting sqref="R162:R166">
    <cfRule type="cellIs" dxfId="3399" priority="53" operator="greaterThan">
      <formula>1</formula>
    </cfRule>
    <cfRule type="cellIs" dxfId="3398" priority="54" operator="lessThan">
      <formula>0.8</formula>
    </cfRule>
  </conditionalFormatting>
  <conditionalFormatting sqref="P162:P166">
    <cfRule type="cellIs" dxfId="3397" priority="52" operator="greaterThan">
      <formula>0</formula>
    </cfRule>
  </conditionalFormatting>
  <conditionalFormatting sqref="Q162:Q166">
    <cfRule type="cellIs" dxfId="3396" priority="51" operator="lessThan">
      <formula>0</formula>
    </cfRule>
  </conditionalFormatting>
  <conditionalFormatting sqref="R162:R166">
    <cfRule type="cellIs" dxfId="3395" priority="49" operator="lessThan">
      <formula>0.8</formula>
    </cfRule>
    <cfRule type="cellIs" dxfId="3394" priority="50" operator="greaterThan">
      <formula>1</formula>
    </cfRule>
  </conditionalFormatting>
  <conditionalFormatting sqref="R162:R166">
    <cfRule type="cellIs" dxfId="3393" priority="47" operator="greaterThan">
      <formula>1</formula>
    </cfRule>
    <cfRule type="cellIs" dxfId="3392" priority="48" operator="lessThan">
      <formula>0.8</formula>
    </cfRule>
  </conditionalFormatting>
  <conditionalFormatting sqref="P162:P166">
    <cfRule type="cellIs" dxfId="3391" priority="46" operator="greaterThan">
      <formula>0</formula>
    </cfRule>
  </conditionalFormatting>
  <conditionalFormatting sqref="Q167:Q168">
    <cfRule type="cellIs" dxfId="3390" priority="45" operator="lessThan">
      <formula>0</formula>
    </cfRule>
  </conditionalFormatting>
  <conditionalFormatting sqref="R167:R168">
    <cfRule type="cellIs" dxfId="3389" priority="43" operator="lessThan">
      <formula>0.8</formula>
    </cfRule>
    <cfRule type="cellIs" dxfId="3388" priority="44" operator="greaterThan">
      <formula>1</formula>
    </cfRule>
  </conditionalFormatting>
  <conditionalFormatting sqref="R167:R168">
    <cfRule type="cellIs" dxfId="3387" priority="41" operator="greaterThan">
      <formula>1</formula>
    </cfRule>
    <cfRule type="cellIs" dxfId="3386" priority="42" operator="lessThan">
      <formula>0.8</formula>
    </cfRule>
  </conditionalFormatting>
  <conditionalFormatting sqref="P167:P168">
    <cfRule type="cellIs" dxfId="3385" priority="40" operator="greaterThan">
      <formula>0</formula>
    </cfRule>
  </conditionalFormatting>
  <conditionalFormatting sqref="Q161">
    <cfRule type="cellIs" dxfId="3384" priority="39" operator="lessThan">
      <formula>0</formula>
    </cfRule>
  </conditionalFormatting>
  <conditionalFormatting sqref="R161">
    <cfRule type="cellIs" dxfId="3383" priority="37" operator="lessThan">
      <formula>0.8</formula>
    </cfRule>
    <cfRule type="cellIs" dxfId="3382" priority="38" operator="greaterThan">
      <formula>1</formula>
    </cfRule>
  </conditionalFormatting>
  <conditionalFormatting sqref="R161">
    <cfRule type="cellIs" dxfId="3381" priority="35" operator="greaterThan">
      <formula>1</formula>
    </cfRule>
    <cfRule type="cellIs" dxfId="3380" priority="36" operator="lessThan">
      <formula>0.8</formula>
    </cfRule>
  </conditionalFormatting>
  <conditionalFormatting sqref="P161">
    <cfRule type="cellIs" dxfId="3379" priority="34" operator="greaterThan">
      <formula>0</formula>
    </cfRule>
  </conditionalFormatting>
  <conditionalFormatting sqref="Q162:Q166">
    <cfRule type="cellIs" dxfId="3378" priority="33" operator="lessThan">
      <formula>0</formula>
    </cfRule>
  </conditionalFormatting>
  <conditionalFormatting sqref="R162:R166">
    <cfRule type="cellIs" dxfId="3377" priority="31" operator="lessThan">
      <formula>0.8</formula>
    </cfRule>
    <cfRule type="cellIs" dxfId="3376" priority="32" operator="greaterThan">
      <formula>1</formula>
    </cfRule>
  </conditionalFormatting>
  <conditionalFormatting sqref="R162:R166">
    <cfRule type="cellIs" dxfId="3375" priority="29" operator="greaterThan">
      <formula>1</formula>
    </cfRule>
    <cfRule type="cellIs" dxfId="3374" priority="30" operator="lessThan">
      <formula>0.8</formula>
    </cfRule>
  </conditionalFormatting>
  <conditionalFormatting sqref="P162:P166">
    <cfRule type="cellIs" dxfId="3373" priority="28" operator="greaterThan">
      <formula>0</formula>
    </cfRule>
  </conditionalFormatting>
  <conditionalFormatting sqref="Q161">
    <cfRule type="cellIs" dxfId="3372" priority="27" operator="lessThan">
      <formula>0</formula>
    </cfRule>
  </conditionalFormatting>
  <conditionalFormatting sqref="R161">
    <cfRule type="cellIs" dxfId="3371" priority="25" operator="lessThan">
      <formula>0.8</formula>
    </cfRule>
    <cfRule type="cellIs" dxfId="3370" priority="26" operator="greaterThan">
      <formula>1</formula>
    </cfRule>
  </conditionalFormatting>
  <conditionalFormatting sqref="R161">
    <cfRule type="cellIs" dxfId="3369" priority="23" operator="greaterThan">
      <formula>1</formula>
    </cfRule>
    <cfRule type="cellIs" dxfId="3368" priority="24" operator="lessThan">
      <formula>0.8</formula>
    </cfRule>
  </conditionalFormatting>
  <conditionalFormatting sqref="P161">
    <cfRule type="cellIs" dxfId="3367" priority="22" operator="greaterThan">
      <formula>0</formula>
    </cfRule>
  </conditionalFormatting>
  <conditionalFormatting sqref="Q162:Q166">
    <cfRule type="cellIs" dxfId="3366" priority="21" operator="lessThan">
      <formula>0</formula>
    </cfRule>
  </conditionalFormatting>
  <conditionalFormatting sqref="R162:R166">
    <cfRule type="cellIs" dxfId="3365" priority="19" operator="lessThan">
      <formula>0.8</formula>
    </cfRule>
    <cfRule type="cellIs" dxfId="3364" priority="20" operator="greaterThan">
      <formula>1</formula>
    </cfRule>
  </conditionalFormatting>
  <conditionalFormatting sqref="R162:R166">
    <cfRule type="cellIs" dxfId="3363" priority="17" operator="greaterThan">
      <formula>1</formula>
    </cfRule>
    <cfRule type="cellIs" dxfId="3362" priority="18" operator="lessThan">
      <formula>0.8</formula>
    </cfRule>
  </conditionalFormatting>
  <conditionalFormatting sqref="P162:P166">
    <cfRule type="cellIs" dxfId="3361" priority="16" operator="greaterThan">
      <formula>0</formula>
    </cfRule>
  </conditionalFormatting>
  <conditionalFormatting sqref="Q161">
    <cfRule type="cellIs" dxfId="3360" priority="15" operator="lessThan">
      <formula>0</formula>
    </cfRule>
  </conditionalFormatting>
  <conditionalFormatting sqref="R161">
    <cfRule type="cellIs" dxfId="3359" priority="13" operator="lessThan">
      <formula>0.8</formula>
    </cfRule>
    <cfRule type="cellIs" dxfId="3358" priority="14" operator="greaterThan">
      <formula>1</formula>
    </cfRule>
  </conditionalFormatting>
  <conditionalFormatting sqref="R161">
    <cfRule type="cellIs" dxfId="3357" priority="11" operator="greaterThan">
      <formula>1</formula>
    </cfRule>
    <cfRule type="cellIs" dxfId="3356" priority="12" operator="lessThan">
      <formula>0.8</formula>
    </cfRule>
  </conditionalFormatting>
  <conditionalFormatting sqref="P161">
    <cfRule type="cellIs" dxfId="3355" priority="10" operator="greaterThan">
      <formula>0</formula>
    </cfRule>
  </conditionalFormatting>
  <conditionalFormatting sqref="P167:P168">
    <cfRule type="cellIs" dxfId="3354" priority="4" operator="greaterThan">
      <formula>0</formula>
    </cfRule>
  </conditionalFormatting>
  <conditionalFormatting sqref="R167:R168">
    <cfRule type="cellIs" dxfId="3353" priority="7" operator="lessThan">
      <formula>0.8</formula>
    </cfRule>
    <cfRule type="cellIs" dxfId="3352" priority="8" operator="greaterThan">
      <formula>1</formula>
    </cfRule>
  </conditionalFormatting>
  <conditionalFormatting sqref="R167:R168">
    <cfRule type="cellIs" dxfId="3351" priority="5" operator="greaterThan">
      <formula>1</formula>
    </cfRule>
    <cfRule type="cellIs" dxfId="3350" priority="6" operator="lessThan">
      <formula>0.8</formula>
    </cfRule>
  </conditionalFormatting>
  <conditionalFormatting sqref="Q167:Q168">
    <cfRule type="cellIs" dxfId="3349" priority="9" operator="lessThan">
      <formula>0</formula>
    </cfRule>
  </conditionalFormatting>
  <conditionalFormatting sqref="AF30">
    <cfRule type="cellIs" dxfId="3348" priority="3" operator="lessThan">
      <formula>0</formula>
    </cfRule>
  </conditionalFormatting>
  <conditionalFormatting sqref="AG30">
    <cfRule type="cellIs" dxfId="3347" priority="1" operator="greaterThan">
      <formula>1</formula>
    </cfRule>
    <cfRule type="cellIs" dxfId="334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97" t="s">
        <v>0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  <c r="N1" s="1"/>
      <c r="O1" s="1"/>
    </row>
    <row r="2" spans="2:17" ht="27.75" customHeight="1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  <c r="N2" s="1"/>
      <c r="O2" s="1"/>
    </row>
    <row r="3" spans="2:17" ht="46.5" customHeight="1">
      <c r="B3" s="491" t="s">
        <v>1</v>
      </c>
      <c r="C3" s="492"/>
      <c r="D3" s="500" t="s">
        <v>267</v>
      </c>
      <c r="E3" s="501"/>
      <c r="F3" s="491" t="s">
        <v>2</v>
      </c>
      <c r="G3" s="492"/>
      <c r="H3" s="502">
        <v>242469.96</v>
      </c>
      <c r="I3" s="503"/>
      <c r="J3" s="491" t="s">
        <v>3</v>
      </c>
      <c r="K3" s="492"/>
      <c r="L3" s="504">
        <v>7780964.1573369633</v>
      </c>
      <c r="M3" s="505"/>
      <c r="N3" s="3"/>
    </row>
    <row r="4" spans="2:17" ht="24" customHeight="1">
      <c r="B4" s="491" t="s">
        <v>4</v>
      </c>
      <c r="C4" s="492"/>
      <c r="D4" s="483" t="s">
        <v>5</v>
      </c>
      <c r="E4" s="484"/>
      <c r="F4" s="495" t="s">
        <v>6</v>
      </c>
      <c r="G4" s="496"/>
      <c r="H4" s="495" t="s">
        <v>7</v>
      </c>
      <c r="I4" s="496"/>
      <c r="J4" s="495" t="s">
        <v>8</v>
      </c>
      <c r="K4" s="496"/>
      <c r="L4" s="495" t="s">
        <v>9</v>
      </c>
      <c r="M4" s="496"/>
      <c r="N4" s="475" t="s">
        <v>10</v>
      </c>
      <c r="O4" s="476"/>
      <c r="P4" s="476" t="s">
        <v>11</v>
      </c>
      <c r="Q4" s="476"/>
    </row>
    <row r="5" spans="2:17" ht="24" customHeight="1">
      <c r="B5" s="477" t="s">
        <v>12</v>
      </c>
      <c r="C5" s="478"/>
      <c r="D5" s="483" t="s">
        <v>261</v>
      </c>
      <c r="E5" s="484"/>
      <c r="F5" s="483" t="s">
        <v>14</v>
      </c>
      <c r="G5" s="484"/>
      <c r="H5" s="485" t="s">
        <v>15</v>
      </c>
      <c r="I5" s="486"/>
      <c r="J5" s="487" t="s">
        <v>16</v>
      </c>
      <c r="K5" s="488"/>
      <c r="L5" s="489" t="s">
        <v>17</v>
      </c>
      <c r="M5" s="490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79"/>
      <c r="C6" s="480"/>
      <c r="D6" s="491" t="s">
        <v>21</v>
      </c>
      <c r="E6" s="492"/>
      <c r="F6" s="493">
        <f>AVERAGE(D13:O13,P13:Q13,D30:F30,H30,J30:M30)</f>
        <v>379.00683813722549</v>
      </c>
      <c r="G6" s="494"/>
      <c r="H6" s="469">
        <f>AVERAGE(D13:P13,Q13)</f>
        <v>138.79645992992576</v>
      </c>
      <c r="I6" s="470"/>
      <c r="J6" s="469">
        <f>AVERAGE(D30:H30)</f>
        <v>754</v>
      </c>
      <c r="K6" s="470"/>
      <c r="L6" s="471">
        <f>AVERAGE(J30:M30)</f>
        <v>881.25</v>
      </c>
      <c r="M6" s="472"/>
      <c r="N6" s="473">
        <f>[1]晉欣4度C0309!$Z$2</f>
        <v>0</v>
      </c>
      <c r="O6" s="458">
        <f>[1]晉欣4度C0309!$AA$2</f>
        <v>0</v>
      </c>
      <c r="P6" s="474">
        <f>[1]晉欣4度C0309!$AD$2</f>
        <v>2</v>
      </c>
      <c r="Q6" s="458">
        <f>[1]晉欣4度C0309!$AE$2</f>
        <v>4</v>
      </c>
    </row>
    <row r="7" spans="2:17" s="6" customFormat="1" ht="39.6" customHeight="1">
      <c r="B7" s="479"/>
      <c r="C7" s="480"/>
      <c r="D7" s="459" t="s">
        <v>22</v>
      </c>
      <c r="E7" s="460"/>
      <c r="F7" s="461">
        <f>AVERAGE(D14:O14,P14:Q14,D31:F31,J31:M31,H31)</f>
        <v>356.25142197303063</v>
      </c>
      <c r="G7" s="462"/>
      <c r="H7" s="463">
        <f>AVERAGE(D14:P14,Q14)</f>
        <v>123.55042232514833</v>
      </c>
      <c r="I7" s="464"/>
      <c r="J7" s="463">
        <f>AVERAGE(D31:H31)</f>
        <v>743.58706114191568</v>
      </c>
      <c r="K7" s="464"/>
      <c r="L7" s="465">
        <f>AVERAGE(J31:M31)</f>
        <v>810.67354185364536</v>
      </c>
      <c r="M7" s="466"/>
      <c r="N7" s="473"/>
      <c r="O7" s="458"/>
      <c r="P7" s="474"/>
      <c r="Q7" s="458"/>
    </row>
    <row r="8" spans="2:17" s="6" customFormat="1" ht="39.6" customHeight="1">
      <c r="B8" s="481"/>
      <c r="C8" s="482"/>
      <c r="D8" s="459" t="s">
        <v>23</v>
      </c>
      <c r="E8" s="460"/>
      <c r="F8" s="467">
        <f>AVERAGE(D15:O15,P15:Q15,D32:F32,H32,J32:K32,L32)</f>
        <v>0.9036681672336041</v>
      </c>
      <c r="G8" s="468"/>
      <c r="H8" s="467">
        <f>AVERAGE(D15:O15,P15:Q15)</f>
        <v>0.88485577297575024</v>
      </c>
      <c r="I8" s="468"/>
      <c r="J8" s="467">
        <f>AVERAGE(D32:H32)</f>
        <v>0.96739540368084853</v>
      </c>
      <c r="K8" s="468"/>
      <c r="L8" s="467">
        <f>AVERAGE(J32:M32)</f>
        <v>0.92177152798553186</v>
      </c>
      <c r="M8" s="468"/>
      <c r="N8" s="473"/>
      <c r="O8" s="458"/>
      <c r="P8" s="474"/>
      <c r="Q8" s="45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32" t="s">
        <v>24</v>
      </c>
      <c r="C10" s="454"/>
      <c r="D10" s="455" t="s">
        <v>25</v>
      </c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7"/>
    </row>
    <row r="11" spans="2:17" ht="17.25" customHeight="1">
      <c r="B11" s="440" t="s">
        <v>26</v>
      </c>
      <c r="C11" s="44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442"/>
      <c r="C12" s="44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444" t="s">
        <v>41</v>
      </c>
      <c r="C13" s="14" t="s">
        <v>42</v>
      </c>
      <c r="D13" s="15">
        <v>129.74415204678363</v>
      </c>
      <c r="E13" s="15">
        <v>110.03836797877047</v>
      </c>
      <c r="F13" s="15">
        <v>137.43717948717949</v>
      </c>
      <c r="G13" s="15">
        <v>368.5</v>
      </c>
      <c r="H13" s="15">
        <v>228.57142857142858</v>
      </c>
      <c r="I13" s="15">
        <v>90.699346405228752</v>
      </c>
      <c r="J13" s="15">
        <v>76.991638760767472</v>
      </c>
      <c r="K13" s="15">
        <v>114.87231968810916</v>
      </c>
      <c r="L13" s="15">
        <v>87.307200292397667</v>
      </c>
      <c r="M13" s="15">
        <v>81.342909971005952</v>
      </c>
      <c r="N13" s="15">
        <v>83.755860238832369</v>
      </c>
      <c r="O13" s="15">
        <v>83.070175438596493</v>
      </c>
      <c r="P13" s="15">
        <v>200.81986013986014</v>
      </c>
      <c r="Q13" s="16">
        <v>150</v>
      </c>
    </row>
    <row r="14" spans="2:17" ht="39.9" customHeight="1">
      <c r="B14" s="445"/>
      <c r="C14" s="14" t="s">
        <v>43</v>
      </c>
      <c r="D14" s="15">
        <v>115.57362684072399</v>
      </c>
      <c r="E14" s="15">
        <v>97.096431104353883</v>
      </c>
      <c r="F14" s="15">
        <v>119.21837499156483</v>
      </c>
      <c r="G14" s="15">
        <v>325.40335277544204</v>
      </c>
      <c r="H14" s="15">
        <v>210.197059314954</v>
      </c>
      <c r="I14" s="15">
        <v>80.208946736410667</v>
      </c>
      <c r="J14" s="15">
        <v>63.92277410858572</v>
      </c>
      <c r="K14" s="15">
        <v>99.446503009252083</v>
      </c>
      <c r="L14" s="15">
        <v>76.597057131799389</v>
      </c>
      <c r="M14" s="15">
        <v>73.250813087567053</v>
      </c>
      <c r="N14" s="15">
        <v>76.835016414614543</v>
      </c>
      <c r="O14" s="15">
        <v>68.663360639173902</v>
      </c>
      <c r="P14" s="15">
        <v>185.32925640429477</v>
      </c>
      <c r="Q14" s="16">
        <v>137.96333999333993</v>
      </c>
    </row>
    <row r="15" spans="2:17" ht="39.9" customHeight="1">
      <c r="B15" s="446"/>
      <c r="C15" s="10" t="s">
        <v>44</v>
      </c>
      <c r="D15" s="17">
        <f t="shared" ref="D15:P15" si="0">D14/D13</f>
        <v>0.89078101029979384</v>
      </c>
      <c r="E15" s="17">
        <f t="shared" si="0"/>
        <v>0.88238705178803223</v>
      </c>
      <c r="F15" s="17">
        <f t="shared" si="0"/>
        <v>0.8674390396863888</v>
      </c>
      <c r="G15" s="17">
        <f t="shared" si="0"/>
        <v>0.88304844715181019</v>
      </c>
      <c r="H15" s="17">
        <f t="shared" si="0"/>
        <v>0.91961213450292367</v>
      </c>
      <c r="I15" s="17">
        <f t="shared" si="0"/>
        <v>0.88433875121934369</v>
      </c>
      <c r="J15" s="17">
        <f t="shared" si="0"/>
        <v>0.83025605296193228</v>
      </c>
      <c r="K15" s="17">
        <f t="shared" si="0"/>
        <v>0.86571337010743887</v>
      </c>
      <c r="L15" s="17">
        <f t="shared" si="0"/>
        <v>0.87732806544329345</v>
      </c>
      <c r="M15" s="17">
        <f t="shared" si="0"/>
        <v>0.90051871900915192</v>
      </c>
      <c r="N15" s="17">
        <f t="shared" si="0"/>
        <v>0.91736884076549596</v>
      </c>
      <c r="O15" s="17">
        <f t="shared" si="0"/>
        <v>0.82657055046101635</v>
      </c>
      <c r="P15" s="17">
        <f t="shared" si="0"/>
        <v>0.92286318830828284</v>
      </c>
      <c r="Q15" s="18">
        <f>Q14/Q13</f>
        <v>0.91975559995559952</v>
      </c>
    </row>
    <row r="16" spans="2:17" ht="22.8" customHeight="1">
      <c r="B16" s="44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448"/>
      <c r="C17" s="10" t="s">
        <v>47</v>
      </c>
      <c r="D17" s="19">
        <v>0.76319444444444451</v>
      </c>
      <c r="E17" s="19">
        <v>0.61249999999999982</v>
      </c>
      <c r="F17" s="19">
        <v>0.5888888888888888</v>
      </c>
      <c r="G17" s="19">
        <v>0.68680555555555567</v>
      </c>
      <c r="H17" s="19">
        <v>0.66736111111111118</v>
      </c>
      <c r="I17" s="19">
        <v>0.75555555555555565</v>
      </c>
      <c r="J17" s="19">
        <v>0.79236111111111107</v>
      </c>
      <c r="K17" s="19">
        <v>0.7368055555555556</v>
      </c>
      <c r="L17" s="19">
        <v>0.85763888888888884</v>
      </c>
      <c r="M17" s="19">
        <v>0.9409722222222221</v>
      </c>
      <c r="N17" s="19">
        <v>0.98749999999999993</v>
      </c>
      <c r="O17" s="19">
        <v>0.83611111111111125</v>
      </c>
      <c r="P17" s="19">
        <v>0.65069444444444435</v>
      </c>
      <c r="Q17" s="20">
        <v>0.64930555555555558</v>
      </c>
    </row>
    <row r="18" spans="2:17" ht="22.8" customHeight="1">
      <c r="B18" s="449" t="s">
        <v>48</v>
      </c>
      <c r="C18" s="45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451"/>
      <c r="C19" s="45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449" t="s">
        <v>50</v>
      </c>
      <c r="C20" s="450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451"/>
      <c r="C21" s="452"/>
      <c r="D21" s="21">
        <v>1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2</v>
      </c>
      <c r="P21" s="21" t="s">
        <v>49</v>
      </c>
      <c r="Q21" s="22"/>
    </row>
    <row r="22" spans="2:17" ht="22.8" customHeight="1">
      <c r="B22" s="428" t="s">
        <v>51</v>
      </c>
      <c r="C22" s="429"/>
      <c r="D22" s="23">
        <v>19.25</v>
      </c>
      <c r="E22" s="23">
        <v>17.571428571428573</v>
      </c>
      <c r="F22" s="23">
        <v>15.714285714285714</v>
      </c>
      <c r="G22" s="23">
        <v>5.75</v>
      </c>
      <c r="H22" s="23">
        <v>7</v>
      </c>
      <c r="I22" s="23">
        <v>16.5</v>
      </c>
      <c r="J22" s="23">
        <v>19.142857142857142</v>
      </c>
      <c r="K22" s="23">
        <v>15.666666666666666</v>
      </c>
      <c r="L22" s="23">
        <v>17.166666666666668</v>
      </c>
      <c r="M22" s="23">
        <v>18.75</v>
      </c>
      <c r="N22" s="23">
        <v>17.833333333333332</v>
      </c>
      <c r="O22" s="23">
        <v>18</v>
      </c>
      <c r="P22" s="23">
        <v>11.8</v>
      </c>
      <c r="Q22" s="24">
        <v>11.2</v>
      </c>
    </row>
    <row r="23" spans="2:17" ht="22.8" customHeight="1">
      <c r="B23" s="428" t="s">
        <v>52</v>
      </c>
      <c r="C23" s="42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428" t="s">
        <v>58</v>
      </c>
      <c r="C24" s="4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430" t="s">
        <v>59</v>
      </c>
      <c r="C25" s="43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453"/>
      <c r="C26" s="453"/>
    </row>
    <row r="27" spans="2:17" ht="30" customHeight="1" thickBot="1">
      <c r="B27" s="432" t="s">
        <v>24</v>
      </c>
      <c r="C27" s="433"/>
      <c r="D27" s="434" t="s">
        <v>64</v>
      </c>
      <c r="E27" s="435"/>
      <c r="F27" s="435"/>
      <c r="G27" s="435"/>
      <c r="H27" s="436"/>
      <c r="I27" s="437" t="s">
        <v>65</v>
      </c>
      <c r="J27" s="438"/>
      <c r="K27" s="438"/>
      <c r="L27" s="438"/>
      <c r="M27" s="439"/>
    </row>
    <row r="28" spans="2:17" ht="17.25" customHeight="1">
      <c r="B28" s="440" t="s">
        <v>26</v>
      </c>
      <c r="C28" s="44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42"/>
      <c r="C29" s="44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44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445"/>
      <c r="C31" s="34" t="s">
        <v>43</v>
      </c>
      <c r="D31" s="15">
        <v>269.31250000000011</v>
      </c>
      <c r="E31" s="15">
        <v>691.88575848978121</v>
      </c>
      <c r="F31" s="15">
        <v>927.48039215686276</v>
      </c>
      <c r="G31" s="15">
        <v>852.80410226956315</v>
      </c>
      <c r="H31" s="41">
        <v>976.45255279337084</v>
      </c>
      <c r="I31" s="42">
        <v>0</v>
      </c>
      <c r="J31" s="15">
        <v>832.51666666666517</v>
      </c>
      <c r="K31" s="15">
        <v>610.81212121212059</v>
      </c>
      <c r="L31" s="15">
        <v>910.65828571428483</v>
      </c>
      <c r="M31" s="16">
        <v>888.70709382151074</v>
      </c>
    </row>
    <row r="32" spans="2:17" ht="39.9" customHeight="1">
      <c r="B32" s="446"/>
      <c r="C32" s="43" t="s">
        <v>44</v>
      </c>
      <c r="D32" s="17">
        <f t="shared" ref="D32:M32" si="1">D31/D30</f>
        <v>0.8416015625000004</v>
      </c>
      <c r="E32" s="17">
        <f t="shared" si="1"/>
        <v>0.83864940423003786</v>
      </c>
      <c r="F32" s="17">
        <f t="shared" si="1"/>
        <v>1.1242186571598336</v>
      </c>
      <c r="G32" s="17">
        <f t="shared" si="1"/>
        <v>0.94756011363284798</v>
      </c>
      <c r="H32" s="44">
        <f t="shared" si="1"/>
        <v>1.0849472808815233</v>
      </c>
      <c r="I32" s="45">
        <f t="shared" si="1"/>
        <v>0</v>
      </c>
      <c r="J32" s="17">
        <f t="shared" si="1"/>
        <v>1.0091111111111093</v>
      </c>
      <c r="K32" s="17">
        <f t="shared" si="1"/>
        <v>0.678680134680134</v>
      </c>
      <c r="L32" s="17">
        <f t="shared" si="1"/>
        <v>1.0118425396825388</v>
      </c>
      <c r="M32" s="18">
        <f t="shared" si="1"/>
        <v>0.98745232646834524</v>
      </c>
    </row>
    <row r="33" spans="2:13" ht="25.8" customHeight="1">
      <c r="B33" s="44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3037.8947368421095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448"/>
      <c r="C34" s="43" t="s">
        <v>47</v>
      </c>
      <c r="D34" s="19">
        <v>0.23055555555555554</v>
      </c>
      <c r="E34" s="19">
        <v>0.35000000000000003</v>
      </c>
      <c r="F34" s="19">
        <v>0.24374999999999999</v>
      </c>
      <c r="G34" s="19">
        <v>1066.2962962962968</v>
      </c>
      <c r="H34" s="46">
        <v>0.43402777777777773</v>
      </c>
      <c r="I34" s="47">
        <v>0</v>
      </c>
      <c r="J34" s="19">
        <v>0.82986111111111116</v>
      </c>
      <c r="K34" s="19">
        <v>0.84375</v>
      </c>
      <c r="L34" s="19">
        <v>1.1111111111111112</v>
      </c>
      <c r="M34" s="20">
        <v>0.9375</v>
      </c>
    </row>
    <row r="35" spans="2:13" ht="25.8" customHeight="1">
      <c r="B35" s="428" t="s">
        <v>51</v>
      </c>
      <c r="C35" s="429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428" t="s">
        <v>52</v>
      </c>
      <c r="C36" s="42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428" t="s">
        <v>58</v>
      </c>
      <c r="C37" s="42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430" t="s">
        <v>59</v>
      </c>
      <c r="C38" s="43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427" priority="6" operator="lessThan">
      <formula>0.8</formula>
    </cfRule>
  </conditionalFormatting>
  <conditionalFormatting sqref="M32">
    <cfRule type="cellIs" dxfId="23426" priority="5" operator="lessThan">
      <formula>0.8</formula>
    </cfRule>
  </conditionalFormatting>
  <conditionalFormatting sqref="K32">
    <cfRule type="cellIs" dxfId="23425" priority="4" operator="lessThan">
      <formula>0.8</formula>
    </cfRule>
  </conditionalFormatting>
  <conditionalFormatting sqref="E32">
    <cfRule type="cellIs" dxfId="23424" priority="3" operator="lessThan">
      <formula>0.8</formula>
    </cfRule>
  </conditionalFormatting>
  <conditionalFormatting sqref="D15:P15">
    <cfRule type="cellIs" dxfId="23423" priority="2" operator="lessThan">
      <formula>0.8</formula>
    </cfRule>
  </conditionalFormatting>
  <conditionalFormatting sqref="Q15">
    <cfRule type="cellIs" dxfId="2342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abSelected="1" zoomScale="70" zoomScaleNormal="70" workbookViewId="0">
      <selection activeCell="H27" sqref="H27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86129</v>
      </c>
      <c r="F1" s="340" t="s">
        <v>3</v>
      </c>
      <c r="G1" s="341">
        <f>SUM(H5:H124)</f>
        <v>1634673.1234455733</v>
      </c>
      <c r="H1" s="342" t="s">
        <v>390</v>
      </c>
      <c r="I1" s="343">
        <f>+J16+J64+J24+J38+J51+J81+J100+J91+J57+J124+J111</f>
        <v>41.68333333333333</v>
      </c>
      <c r="J1" s="554" t="s">
        <v>391</v>
      </c>
      <c r="K1" s="555"/>
      <c r="L1" s="556"/>
      <c r="M1" s="554" t="s">
        <v>271</v>
      </c>
      <c r="N1" s="555"/>
      <c r="O1" s="555"/>
      <c r="P1" s="555"/>
      <c r="Q1" s="555"/>
      <c r="R1" s="556"/>
    </row>
    <row r="2" spans="1:18" ht="26.25" customHeight="1" thickBot="1">
      <c r="A2" s="560" t="s">
        <v>407</v>
      </c>
      <c r="B2" s="561"/>
      <c r="C2" s="345"/>
      <c r="D2" s="346" t="s">
        <v>278</v>
      </c>
      <c r="E2" s="347">
        <f>AVERAGE(L16,L24,L38,L51,L100,L111,L91)</f>
        <v>625.80415203329358</v>
      </c>
      <c r="F2" s="348" t="s">
        <v>80</v>
      </c>
      <c r="G2" s="349">
        <f>G1/E1</f>
        <v>18.979357979839232</v>
      </c>
      <c r="H2" s="350" t="s">
        <v>393</v>
      </c>
      <c r="I2" s="351">
        <f>COUNT(I5:I124)</f>
        <v>0</v>
      </c>
      <c r="J2" s="557"/>
      <c r="K2" s="558"/>
      <c r="L2" s="559"/>
      <c r="M2" s="557"/>
      <c r="N2" s="558"/>
      <c r="O2" s="558"/>
      <c r="P2" s="558"/>
      <c r="Q2" s="558"/>
      <c r="R2" s="559"/>
    </row>
    <row r="3" spans="1:18" ht="23.25" customHeight="1">
      <c r="A3" s="562" t="s">
        <v>279</v>
      </c>
      <c r="B3" s="564" t="s">
        <v>394</v>
      </c>
      <c r="C3" s="352"/>
      <c r="D3" s="565" t="s">
        <v>280</v>
      </c>
      <c r="E3" s="565"/>
      <c r="F3" s="566" t="s">
        <v>83</v>
      </c>
      <c r="G3" s="567" t="s">
        <v>395</v>
      </c>
      <c r="H3" s="568" t="s">
        <v>396</v>
      </c>
      <c r="I3" s="569" t="s">
        <v>281</v>
      </c>
      <c r="J3" s="537" t="s">
        <v>283</v>
      </c>
      <c r="K3" s="547" t="s">
        <v>282</v>
      </c>
      <c r="L3" s="549" t="s">
        <v>278</v>
      </c>
      <c r="M3" s="551" t="s">
        <v>88</v>
      </c>
      <c r="N3" s="551"/>
      <c r="O3" s="537" t="s">
        <v>209</v>
      </c>
      <c r="P3" s="552" t="s">
        <v>286</v>
      </c>
      <c r="Q3" s="537" t="s">
        <v>287</v>
      </c>
      <c r="R3" s="537"/>
    </row>
    <row r="4" spans="1:18" ht="15.75" customHeight="1">
      <c r="A4" s="563"/>
      <c r="B4" s="564"/>
      <c r="C4" s="352"/>
      <c r="D4" s="565"/>
      <c r="E4" s="565"/>
      <c r="F4" s="566"/>
      <c r="G4" s="567"/>
      <c r="H4" s="568"/>
      <c r="I4" s="570"/>
      <c r="J4" s="546"/>
      <c r="K4" s="548"/>
      <c r="L4" s="550"/>
      <c r="M4" s="353" t="s">
        <v>90</v>
      </c>
      <c r="N4" s="353" t="s">
        <v>91</v>
      </c>
      <c r="O4" s="546"/>
      <c r="P4" s="553"/>
      <c r="Q4" s="354" t="s">
        <v>291</v>
      </c>
      <c r="R4" s="354" t="s">
        <v>397</v>
      </c>
    </row>
    <row r="5" spans="1:18">
      <c r="A5" s="538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2006</v>
      </c>
      <c r="H5" s="358">
        <f>F5*G5</f>
        <v>60110.779848171143</v>
      </c>
      <c r="I5" s="359"/>
      <c r="J5" s="360">
        <v>13</v>
      </c>
      <c r="K5" s="361">
        <f t="shared" ref="K5:K12" si="0">G5/P5*60</f>
        <v>1203.6000000000004</v>
      </c>
      <c r="L5" s="362">
        <f t="shared" ref="L5:L12" si="1">K5/J5</f>
        <v>92.584615384615418</v>
      </c>
      <c r="M5" s="363">
        <v>0.17361111111111113</v>
      </c>
      <c r="N5" s="363">
        <v>0.24305555555555555</v>
      </c>
      <c r="O5" s="354">
        <v>10</v>
      </c>
      <c r="P5" s="364">
        <f t="shared" ref="P5:P14" si="2">(N5-M5)*24*60</f>
        <v>99.999999999999972</v>
      </c>
      <c r="Q5" s="365"/>
      <c r="R5" s="365"/>
    </row>
    <row r="6" spans="1:18">
      <c r="A6" s="538"/>
      <c r="B6" s="355">
        <v>0</v>
      </c>
      <c r="C6" s="355"/>
      <c r="D6" s="356" t="s">
        <v>400</v>
      </c>
      <c r="E6" s="356"/>
      <c r="F6" s="357" t="s">
        <v>248</v>
      </c>
      <c r="G6" s="352">
        <v>1317</v>
      </c>
      <c r="H6" s="358">
        <f t="shared" ref="H6:H113" si="3">F6*G6</f>
        <v>0</v>
      </c>
      <c r="I6" s="359"/>
      <c r="J6" s="360">
        <v>9</v>
      </c>
      <c r="K6" s="361">
        <f t="shared" si="0"/>
        <v>1580.4000000000003</v>
      </c>
      <c r="L6" s="362">
        <f t="shared" si="1"/>
        <v>175.60000000000002</v>
      </c>
      <c r="M6" s="363">
        <v>0.24652777777777779</v>
      </c>
      <c r="N6" s="363">
        <v>0.28125</v>
      </c>
      <c r="O6" s="354">
        <v>5</v>
      </c>
      <c r="P6" s="364">
        <f t="shared" si="2"/>
        <v>49.999999999999986</v>
      </c>
      <c r="Q6" s="354"/>
      <c r="R6" s="354"/>
    </row>
    <row r="7" spans="1:18">
      <c r="A7" s="538"/>
      <c r="B7" s="355">
        <v>0</v>
      </c>
      <c r="C7" s="355"/>
      <c r="D7" s="356" t="s">
        <v>401</v>
      </c>
      <c r="E7" s="356"/>
      <c r="F7" s="357" t="s">
        <v>248</v>
      </c>
      <c r="G7" s="352">
        <v>1354</v>
      </c>
      <c r="H7" s="358">
        <f t="shared" si="3"/>
        <v>0</v>
      </c>
      <c r="I7" s="359"/>
      <c r="J7" s="360">
        <v>9</v>
      </c>
      <c r="K7" s="361">
        <f t="shared" si="0"/>
        <v>1624.7999999999979</v>
      </c>
      <c r="L7" s="362">
        <f t="shared" si="1"/>
        <v>180.5333333333331</v>
      </c>
      <c r="M7" s="363">
        <v>0.28472222222222221</v>
      </c>
      <c r="N7" s="363">
        <v>0.31944444444444448</v>
      </c>
      <c r="O7" s="354">
        <v>5</v>
      </c>
      <c r="P7" s="364">
        <f t="shared" si="2"/>
        <v>50.000000000000064</v>
      </c>
      <c r="Q7" s="365"/>
      <c r="R7" s="365"/>
    </row>
    <row r="8" spans="1:18">
      <c r="A8" s="538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1749</v>
      </c>
      <c r="H8" s="358">
        <f t="shared" si="3"/>
        <v>63751.05</v>
      </c>
      <c r="I8" s="359"/>
      <c r="J8" s="360">
        <v>10</v>
      </c>
      <c r="K8" s="361">
        <f t="shared" si="0"/>
        <v>1499.1428571428589</v>
      </c>
      <c r="L8" s="362">
        <f t="shared" si="1"/>
        <v>149.91428571428588</v>
      </c>
      <c r="M8" s="363">
        <v>0.32291666666666669</v>
      </c>
      <c r="N8" s="363">
        <v>0.37152777777777773</v>
      </c>
      <c r="O8" s="354">
        <v>5</v>
      </c>
      <c r="P8" s="364">
        <f t="shared" si="2"/>
        <v>69.999999999999915</v>
      </c>
      <c r="Q8" s="365"/>
      <c r="R8" s="365"/>
    </row>
    <row r="9" spans="1:18">
      <c r="A9" s="538"/>
      <c r="B9" s="355" t="s">
        <v>249</v>
      </c>
      <c r="C9" s="355"/>
      <c r="D9" s="356" t="s">
        <v>360</v>
      </c>
      <c r="E9" s="356"/>
      <c r="F9" s="357">
        <v>27.05</v>
      </c>
      <c r="G9" s="366">
        <v>528</v>
      </c>
      <c r="H9" s="358">
        <f t="shared" si="3"/>
        <v>14282.4</v>
      </c>
      <c r="I9" s="359"/>
      <c r="J9" s="360">
        <v>13</v>
      </c>
      <c r="K9" s="361">
        <f t="shared" si="0"/>
        <v>1583.9999999999995</v>
      </c>
      <c r="L9" s="362">
        <f t="shared" si="1"/>
        <v>121.84615384615381</v>
      </c>
      <c r="M9" s="363">
        <v>0.375</v>
      </c>
      <c r="N9" s="363">
        <v>0.3888888888888889</v>
      </c>
      <c r="O9" s="354">
        <v>5</v>
      </c>
      <c r="P9" s="364">
        <f t="shared" si="2"/>
        <v>20.000000000000007</v>
      </c>
      <c r="Q9" s="365">
        <v>0.3888888888888889</v>
      </c>
      <c r="R9" s="365">
        <v>0.43055555555555558</v>
      </c>
    </row>
    <row r="10" spans="1:18">
      <c r="A10" s="538"/>
      <c r="B10" s="355" t="s">
        <v>249</v>
      </c>
      <c r="C10" s="355"/>
      <c r="D10" s="356" t="s">
        <v>361</v>
      </c>
      <c r="E10" s="356"/>
      <c r="F10" s="357">
        <v>17.87</v>
      </c>
      <c r="G10" s="366">
        <v>2158</v>
      </c>
      <c r="H10" s="358">
        <f t="shared" si="3"/>
        <v>38563.46</v>
      </c>
      <c r="I10" s="359"/>
      <c r="J10" s="360">
        <v>12</v>
      </c>
      <c r="K10" s="361">
        <f t="shared" si="0"/>
        <v>1177.0909090909099</v>
      </c>
      <c r="L10" s="362">
        <f t="shared" si="1"/>
        <v>98.090909090909165</v>
      </c>
      <c r="M10" s="363">
        <v>0.43055555555555558</v>
      </c>
      <c r="N10" s="363">
        <v>0.50694444444444442</v>
      </c>
      <c r="O10" s="354">
        <v>5</v>
      </c>
      <c r="P10" s="364">
        <f t="shared" si="2"/>
        <v>109.99999999999993</v>
      </c>
      <c r="Q10" s="365"/>
      <c r="R10" s="365"/>
    </row>
    <row r="11" spans="1:18">
      <c r="A11" s="538"/>
      <c r="B11" s="355" t="s">
        <v>249</v>
      </c>
      <c r="C11" s="355"/>
      <c r="D11" s="356" t="s">
        <v>408</v>
      </c>
      <c r="E11" s="356"/>
      <c r="F11" s="357">
        <v>25.64</v>
      </c>
      <c r="G11" s="366">
        <v>703</v>
      </c>
      <c r="H11" s="358">
        <f t="shared" si="3"/>
        <v>18024.920000000002</v>
      </c>
      <c r="I11" s="359"/>
      <c r="J11" s="360">
        <v>12</v>
      </c>
      <c r="K11" s="361">
        <f t="shared" si="0"/>
        <v>1405.9999999999975</v>
      </c>
      <c r="L11" s="362">
        <f t="shared" si="1"/>
        <v>117.16666666666646</v>
      </c>
      <c r="M11" s="363">
        <v>0.51041666666666663</v>
      </c>
      <c r="N11" s="363">
        <v>0.53125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39"/>
      <c r="B12" s="355" t="s">
        <v>249</v>
      </c>
      <c r="C12" s="355"/>
      <c r="D12" s="356" t="s">
        <v>409</v>
      </c>
      <c r="E12" s="356"/>
      <c r="F12" s="357">
        <v>29.52</v>
      </c>
      <c r="G12" s="366">
        <v>1317</v>
      </c>
      <c r="H12" s="358">
        <f t="shared" si="3"/>
        <v>38877.839999999997</v>
      </c>
      <c r="I12" s="359"/>
      <c r="J12" s="360">
        <v>12</v>
      </c>
      <c r="K12" s="361">
        <f t="shared" si="0"/>
        <v>1756</v>
      </c>
      <c r="L12" s="362">
        <f t="shared" si="1"/>
        <v>146.33333333333334</v>
      </c>
      <c r="M12" s="363">
        <v>0.53472222222222221</v>
      </c>
      <c r="N12" s="363">
        <v>0.56597222222222221</v>
      </c>
      <c r="O12" s="354">
        <v>5</v>
      </c>
      <c r="P12" s="364">
        <f t="shared" si="2"/>
        <v>45</v>
      </c>
      <c r="Q12" s="365"/>
      <c r="R12" s="365"/>
    </row>
    <row r="13" spans="1:18">
      <c r="A13" s="539"/>
      <c r="B13" s="355" t="s">
        <v>249</v>
      </c>
      <c r="C13" s="367"/>
      <c r="D13" s="356" t="s">
        <v>410</v>
      </c>
      <c r="E13" s="356"/>
      <c r="F13" s="357">
        <v>29.856999999999999</v>
      </c>
      <c r="G13" s="368">
        <v>1353</v>
      </c>
      <c r="H13" s="358">
        <f t="shared" si="3"/>
        <v>40396.521000000001</v>
      </c>
      <c r="I13" s="359"/>
      <c r="J13" s="360">
        <v>12</v>
      </c>
      <c r="K13" s="361">
        <f>G13/P13*60</f>
        <v>1804</v>
      </c>
      <c r="L13" s="362">
        <f>K13/J13</f>
        <v>150.33333333333334</v>
      </c>
      <c r="M13" s="363">
        <v>0.56944444444444442</v>
      </c>
      <c r="N13" s="363">
        <v>0.60069444444444442</v>
      </c>
      <c r="O13" s="354">
        <v>5</v>
      </c>
      <c r="P13" s="364">
        <f t="shared" si="2"/>
        <v>45</v>
      </c>
      <c r="Q13" s="365"/>
      <c r="R13" s="354"/>
    </row>
    <row r="14" spans="1:18">
      <c r="A14" s="539"/>
      <c r="B14" s="355" t="s">
        <v>246</v>
      </c>
      <c r="C14" s="355"/>
      <c r="D14" s="379" t="s">
        <v>215</v>
      </c>
      <c r="E14" s="380"/>
      <c r="F14" s="357">
        <v>28.57</v>
      </c>
      <c r="G14" s="366">
        <v>1595</v>
      </c>
      <c r="H14" s="358">
        <f t="shared" si="3"/>
        <v>45569.15</v>
      </c>
      <c r="I14" s="359"/>
      <c r="J14" s="360">
        <v>10</v>
      </c>
      <c r="K14" s="361">
        <f>G14/P14*60</f>
        <v>1472.3076923076903</v>
      </c>
      <c r="L14" s="362">
        <f>K14/J14</f>
        <v>147.23076923076903</v>
      </c>
      <c r="M14" s="363">
        <v>0.60416666666666663</v>
      </c>
      <c r="N14" s="363">
        <v>0.64930555555555558</v>
      </c>
      <c r="O14" s="354">
        <v>5</v>
      </c>
      <c r="P14" s="364">
        <f t="shared" si="2"/>
        <v>65.000000000000085</v>
      </c>
      <c r="Q14" s="354"/>
      <c r="R14" s="354"/>
    </row>
    <row r="15" spans="1:18">
      <c r="A15" s="539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40"/>
      <c r="B16" s="355">
        <v>0</v>
      </c>
      <c r="C16" s="370" t="s">
        <v>411</v>
      </c>
      <c r="D16" s="522" t="s">
        <v>412</v>
      </c>
      <c r="E16" s="522"/>
      <c r="F16" s="371"/>
      <c r="G16" s="372"/>
      <c r="H16" s="373"/>
      <c r="I16" s="374"/>
      <c r="J16" s="375">
        <f>AVERAGE(J5:J15)</f>
        <v>11.2</v>
      </c>
      <c r="K16" s="375">
        <f>AVERAGE(K5:K15)</f>
        <v>1510.7341458541455</v>
      </c>
      <c r="L16" s="376">
        <f>AVERAGE(L5:L15)</f>
        <v>137.96333999333993</v>
      </c>
      <c r="M16" s="363"/>
      <c r="N16" s="363"/>
      <c r="O16" s="361"/>
      <c r="P16" s="361"/>
      <c r="Q16" s="362"/>
      <c r="R16" s="362"/>
    </row>
    <row r="17" spans="1:18" ht="15.75" customHeight="1">
      <c r="A17" s="541" t="s">
        <v>413</v>
      </c>
      <c r="B17" s="355" t="s">
        <v>249</v>
      </c>
      <c r="C17" s="367"/>
      <c r="D17" s="544" t="s">
        <v>414</v>
      </c>
      <c r="E17" s="545"/>
      <c r="F17" s="357">
        <v>14.03</v>
      </c>
      <c r="G17" s="352">
        <v>487</v>
      </c>
      <c r="H17" s="377">
        <f t="shared" ref="H17:H23" si="4">F17*G17</f>
        <v>6832.61</v>
      </c>
      <c r="I17" s="378"/>
      <c r="J17" s="360">
        <v>6</v>
      </c>
      <c r="K17" s="361">
        <f>G17/P17*60</f>
        <v>1460.9999999999995</v>
      </c>
      <c r="L17" s="362">
        <f>K17/J17</f>
        <v>243.49999999999991</v>
      </c>
      <c r="M17" s="363">
        <v>0.18055555555555555</v>
      </c>
      <c r="N17" s="363">
        <v>0.19444444444444445</v>
      </c>
      <c r="O17" s="354">
        <v>20</v>
      </c>
      <c r="P17" s="364">
        <f>(N17-M17)*24*60</f>
        <v>20.000000000000007</v>
      </c>
      <c r="Q17" s="354"/>
      <c r="R17" s="354"/>
    </row>
    <row r="18" spans="1:18" ht="15.75" customHeight="1">
      <c r="A18" s="541"/>
      <c r="B18" s="355" t="s">
        <v>246</v>
      </c>
      <c r="C18" s="367"/>
      <c r="D18" s="532" t="s">
        <v>415</v>
      </c>
      <c r="E18" s="533"/>
      <c r="F18" s="357">
        <v>14.49</v>
      </c>
      <c r="G18" s="368">
        <v>787</v>
      </c>
      <c r="H18" s="358">
        <f t="shared" si="4"/>
        <v>11403.630000000001</v>
      </c>
      <c r="I18" s="359"/>
      <c r="J18" s="360">
        <v>5</v>
      </c>
      <c r="K18" s="361">
        <f>G18/P18*60</f>
        <v>1475.6250000000018</v>
      </c>
      <c r="L18" s="362">
        <f>K18/J18</f>
        <v>295.12500000000034</v>
      </c>
      <c r="M18" s="363">
        <v>0.20833333333333334</v>
      </c>
      <c r="N18" s="363">
        <v>0.23055555555555554</v>
      </c>
      <c r="O18" s="354">
        <v>20</v>
      </c>
      <c r="P18" s="364">
        <f t="shared" ref="P18" si="5">(N18-M18)*24*60</f>
        <v>31.999999999999964</v>
      </c>
      <c r="Q18" s="365"/>
      <c r="R18" s="365"/>
    </row>
    <row r="19" spans="1:18" ht="15.75" customHeight="1">
      <c r="A19" s="541"/>
      <c r="B19" s="355">
        <v>0</v>
      </c>
      <c r="C19" s="367"/>
      <c r="D19" s="532"/>
      <c r="E19" s="533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42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42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42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42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43"/>
      <c r="B24" s="355">
        <v>0</v>
      </c>
      <c r="C24" s="12" t="s">
        <v>416</v>
      </c>
      <c r="D24" s="522" t="s">
        <v>412</v>
      </c>
      <c r="E24" s="522"/>
      <c r="F24" s="371"/>
      <c r="G24" s="382"/>
      <c r="H24" s="373"/>
      <c r="I24" s="374"/>
      <c r="J24" s="375">
        <f>AVERAGE(J17:J23)</f>
        <v>5.5</v>
      </c>
      <c r="K24" s="375">
        <f>AVERAGE(K17:K23)</f>
        <v>1468.3125000000007</v>
      </c>
      <c r="L24" s="376">
        <f>AVERAGE(L17:L23)</f>
        <v>269.31250000000011</v>
      </c>
      <c r="M24" s="363"/>
      <c r="N24" s="363"/>
      <c r="O24" s="354"/>
      <c r="P24" s="354"/>
      <c r="Q24" s="354"/>
      <c r="R24" s="354"/>
    </row>
    <row r="25" spans="1:18">
      <c r="A25" s="526" t="s">
        <v>417</v>
      </c>
      <c r="B25" s="355" t="s">
        <v>246</v>
      </c>
      <c r="C25" s="383"/>
      <c r="D25" s="384" t="s">
        <v>418</v>
      </c>
      <c r="E25" s="385"/>
      <c r="F25" s="357">
        <v>22.281818181818181</v>
      </c>
      <c r="G25" s="352">
        <v>645</v>
      </c>
      <c r="H25" s="358">
        <f t="shared" ref="H25:H37" si="6">F25*G25</f>
        <v>14371.772727272726</v>
      </c>
      <c r="I25" s="359"/>
      <c r="J25" s="360">
        <v>4</v>
      </c>
      <c r="K25" s="361">
        <f t="shared" ref="K25:K28" si="7">G25/P25*60</f>
        <v>2764.2857142857165</v>
      </c>
      <c r="L25" s="362">
        <f t="shared" ref="L25:L28" si="8">K25/J25</f>
        <v>691.07142857142912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26"/>
      <c r="B26" s="355" t="s">
        <v>246</v>
      </c>
      <c r="C26" s="383"/>
      <c r="D26" s="381" t="s">
        <v>216</v>
      </c>
      <c r="E26" s="384"/>
      <c r="F26" s="357">
        <v>18.18</v>
      </c>
      <c r="G26" s="352">
        <v>3109</v>
      </c>
      <c r="H26" s="358">
        <f t="shared" si="6"/>
        <v>56521.62</v>
      </c>
      <c r="I26" s="359"/>
      <c r="J26" s="360">
        <v>4</v>
      </c>
      <c r="K26" s="361">
        <f t="shared" si="7"/>
        <v>2784.1791044776137</v>
      </c>
      <c r="L26" s="362">
        <f t="shared" si="8"/>
        <v>696.04477611940342</v>
      </c>
      <c r="M26" s="363">
        <v>0.20416666666666669</v>
      </c>
      <c r="N26" s="363">
        <v>0.25069444444444444</v>
      </c>
      <c r="O26" s="354">
        <v>20</v>
      </c>
      <c r="P26" s="364">
        <f t="shared" si="9"/>
        <v>66.999999999999957</v>
      </c>
      <c r="Q26" s="365"/>
      <c r="R26" s="365"/>
    </row>
    <row r="27" spans="1:18">
      <c r="A27" s="526"/>
      <c r="B27" s="355" t="s">
        <v>246</v>
      </c>
      <c r="C27" s="383"/>
      <c r="D27" s="381" t="s">
        <v>220</v>
      </c>
      <c r="E27" s="384"/>
      <c r="F27" s="357">
        <v>27.27</v>
      </c>
      <c r="G27" s="352">
        <v>952</v>
      </c>
      <c r="H27" s="358">
        <f t="shared" si="6"/>
        <v>25961.040000000001</v>
      </c>
      <c r="I27" s="359"/>
      <c r="J27" s="360">
        <v>4</v>
      </c>
      <c r="K27" s="361">
        <f t="shared" si="7"/>
        <v>2719.9999999999991</v>
      </c>
      <c r="L27" s="362">
        <f t="shared" si="8"/>
        <v>679.99999999999977</v>
      </c>
      <c r="M27" s="363">
        <v>0.26458333333333334</v>
      </c>
      <c r="N27" s="363">
        <v>0.27916666666666667</v>
      </c>
      <c r="O27" s="354">
        <v>20</v>
      </c>
      <c r="P27" s="364">
        <f t="shared" si="9"/>
        <v>21.000000000000007</v>
      </c>
      <c r="Q27" s="365"/>
      <c r="R27" s="365"/>
    </row>
    <row r="28" spans="1:18">
      <c r="A28" s="526"/>
      <c r="B28" s="355" t="s">
        <v>246</v>
      </c>
      <c r="C28" s="367"/>
      <c r="D28" s="386" t="s">
        <v>419</v>
      </c>
      <c r="E28" s="387"/>
      <c r="F28" s="357">
        <v>15.03</v>
      </c>
      <c r="G28" s="352">
        <v>3829</v>
      </c>
      <c r="H28" s="358">
        <f t="shared" si="6"/>
        <v>57549.869999999995</v>
      </c>
      <c r="I28" s="359"/>
      <c r="J28" s="360">
        <v>4</v>
      </c>
      <c r="K28" s="361">
        <f t="shared" si="7"/>
        <v>2801.7073170731701</v>
      </c>
      <c r="L28" s="362">
        <f t="shared" si="8"/>
        <v>700.42682926829252</v>
      </c>
      <c r="M28" s="363">
        <v>0.29305555555555557</v>
      </c>
      <c r="N28" s="363">
        <v>0.35000000000000003</v>
      </c>
      <c r="O28" s="354">
        <v>20</v>
      </c>
      <c r="P28" s="364">
        <f t="shared" si="9"/>
        <v>82.000000000000028</v>
      </c>
      <c r="Q28" s="365">
        <v>0.35000000000000003</v>
      </c>
      <c r="R28" s="365">
        <v>0.39166666666666666</v>
      </c>
    </row>
    <row r="29" spans="1:18">
      <c r="A29" s="526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26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26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26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26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26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26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26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26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27"/>
      <c r="B38" s="355">
        <v>0</v>
      </c>
      <c r="C38" s="12" t="s">
        <v>67</v>
      </c>
      <c r="D38" s="517" t="s">
        <v>217</v>
      </c>
      <c r="E38" s="517"/>
      <c r="F38" s="371"/>
      <c r="G38" s="390"/>
      <c r="H38" s="373"/>
      <c r="I38" s="374"/>
      <c r="J38" s="375">
        <f>AVERAGE(J25:J37)</f>
        <v>4</v>
      </c>
      <c r="K38" s="375">
        <f>AVERAGE(K25:K37)</f>
        <v>2767.5430339591248</v>
      </c>
      <c r="L38" s="376">
        <f>AVERAGE(L25:L37)</f>
        <v>691.88575848978121</v>
      </c>
      <c r="M38" s="363"/>
      <c r="N38" s="363"/>
      <c r="O38" s="361"/>
      <c r="P38" s="361"/>
      <c r="Q38" s="362"/>
      <c r="R38" s="362"/>
    </row>
    <row r="39" spans="1:18" ht="16.2" customHeight="1">
      <c r="A39" s="528" t="s">
        <v>420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933</v>
      </c>
      <c r="H39" s="358">
        <f t="shared" ref="H39:H47" si="10">F39*G39</f>
        <v>20012.849999999999</v>
      </c>
      <c r="I39" s="359"/>
      <c r="J39" s="360">
        <v>3</v>
      </c>
      <c r="K39" s="361">
        <f>G39/P39*60</f>
        <v>2798.9999999999991</v>
      </c>
      <c r="L39" s="362">
        <f>K39/J39</f>
        <v>932.99999999999966</v>
      </c>
      <c r="M39" s="363">
        <v>0.18055555555555555</v>
      </c>
      <c r="N39" s="363">
        <v>0.19444444444444445</v>
      </c>
      <c r="O39" s="354">
        <v>20</v>
      </c>
      <c r="P39" s="391">
        <f t="shared" ref="P39:P40" si="11">(N39-M39)*24*60</f>
        <v>20.000000000000007</v>
      </c>
      <c r="Q39" s="365"/>
      <c r="R39" s="365"/>
    </row>
    <row r="40" spans="1:18">
      <c r="A40" s="529"/>
      <c r="B40" s="355" t="s">
        <v>246</v>
      </c>
      <c r="C40" s="367"/>
      <c r="D40" s="386" t="s">
        <v>219</v>
      </c>
      <c r="E40" s="380"/>
      <c r="F40" s="357">
        <v>18.53</v>
      </c>
      <c r="G40" s="352">
        <v>2351</v>
      </c>
      <c r="H40" s="358">
        <f t="shared" si="10"/>
        <v>43564.030000000006</v>
      </c>
      <c r="I40" s="359"/>
      <c r="J40" s="360">
        <v>3</v>
      </c>
      <c r="K40" s="361">
        <f>G40/P40*60</f>
        <v>2765.8823529411775</v>
      </c>
      <c r="L40" s="362">
        <f>K40/J40</f>
        <v>921.96078431372587</v>
      </c>
      <c r="M40" s="363">
        <v>0.20833333333333334</v>
      </c>
      <c r="N40" s="363">
        <v>0.24374999999999999</v>
      </c>
      <c r="O40" s="354">
        <v>20</v>
      </c>
      <c r="P40" s="391">
        <f t="shared" si="11"/>
        <v>50.999999999999979</v>
      </c>
      <c r="Q40" s="365"/>
      <c r="R40" s="365"/>
    </row>
    <row r="41" spans="1:18">
      <c r="A41" s="529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29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29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29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29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29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29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30"/>
      <c r="B48" s="355">
        <v>0</v>
      </c>
      <c r="C48" s="352"/>
      <c r="D48" s="665"/>
      <c r="E48" s="666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30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30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31"/>
      <c r="B51" s="355">
        <v>0</v>
      </c>
      <c r="C51" s="12" t="s">
        <v>68</v>
      </c>
      <c r="D51" s="522" t="s">
        <v>412</v>
      </c>
      <c r="E51" s="522"/>
      <c r="F51" s="371"/>
      <c r="G51" s="376"/>
      <c r="H51" s="398"/>
      <c r="I51" s="399"/>
      <c r="J51" s="375">
        <f>AVERAGE(J39:J50)</f>
        <v>3</v>
      </c>
      <c r="K51" s="375">
        <f>AVERAGE(K39:K50)</f>
        <v>2782.4411764705883</v>
      </c>
      <c r="L51" s="376">
        <f>AVERAGE(L39:L50)</f>
        <v>927.48039215686276</v>
      </c>
      <c r="M51" s="400"/>
      <c r="N51" s="363"/>
      <c r="O51" s="361"/>
      <c r="P51" s="361"/>
      <c r="Q51" s="362"/>
      <c r="R51" s="362"/>
    </row>
    <row r="52" spans="1:18" ht="15.6" customHeight="1">
      <c r="A52" s="534" t="s">
        <v>421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743</v>
      </c>
      <c r="H52" s="358">
        <f>F52*G52</f>
        <v>18597.29</v>
      </c>
      <c r="I52" s="359"/>
      <c r="J52" s="360">
        <v>4</v>
      </c>
      <c r="K52" s="361">
        <f>G52/P52*60</f>
        <v>3184.2857142857165</v>
      </c>
      <c r="L52" s="362">
        <f>K52/J52</f>
        <v>796.07142857142912</v>
      </c>
      <c r="M52" s="363">
        <v>0.18055555555555555</v>
      </c>
      <c r="N52" s="363">
        <v>0.19027777777777777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35"/>
      <c r="B53" s="355" t="s">
        <v>246</v>
      </c>
      <c r="C53" s="367"/>
      <c r="D53" s="384" t="s">
        <v>222</v>
      </c>
      <c r="E53" s="402"/>
      <c r="F53" s="357">
        <v>24.82</v>
      </c>
      <c r="G53" s="366">
        <v>962</v>
      </c>
      <c r="H53" s="358">
        <f t="shared" ref="H53:H62" si="12">F53*G53</f>
        <v>23876.84</v>
      </c>
      <c r="I53" s="359"/>
      <c r="J53" s="360">
        <v>4</v>
      </c>
      <c r="K53" s="361">
        <f t="shared" ref="K53:K55" si="13">G53/P53*60</f>
        <v>3037.8947368421095</v>
      </c>
      <c r="L53" s="362">
        <f t="shared" ref="L53:L55" si="14">K53/J53</f>
        <v>759.47368421052738</v>
      </c>
      <c r="M53" s="363">
        <v>0.20416666666666669</v>
      </c>
      <c r="N53" s="363">
        <v>0.21736111111111112</v>
      </c>
      <c r="O53" s="361">
        <v>20</v>
      </c>
      <c r="P53" s="364">
        <f t="shared" ref="P53:P55" si="15">(N53-M53)*24*60</f>
        <v>18.999999999999972</v>
      </c>
      <c r="Q53" s="365"/>
      <c r="R53" s="365"/>
    </row>
    <row r="54" spans="1:18" ht="15.6" customHeight="1">
      <c r="A54" s="535"/>
      <c r="B54" s="355" t="s">
        <v>246</v>
      </c>
      <c r="C54" s="367"/>
      <c r="D54" s="384" t="s">
        <v>223</v>
      </c>
      <c r="E54" s="380"/>
      <c r="F54" s="357">
        <v>30</v>
      </c>
      <c r="G54" s="366">
        <v>1684</v>
      </c>
      <c r="H54" s="358">
        <f t="shared" si="12"/>
        <v>50520</v>
      </c>
      <c r="I54" s="359"/>
      <c r="J54" s="360">
        <v>4</v>
      </c>
      <c r="K54" s="361">
        <f t="shared" si="13"/>
        <v>3157.4999999999991</v>
      </c>
      <c r="L54" s="362">
        <f t="shared" si="14"/>
        <v>789.37499999999977</v>
      </c>
      <c r="M54" s="363">
        <v>0.23124999999999998</v>
      </c>
      <c r="N54" s="363">
        <v>0.25347222222222221</v>
      </c>
      <c r="O54" s="361">
        <v>20</v>
      </c>
      <c r="P54" s="364">
        <f t="shared" si="15"/>
        <v>32.000000000000007</v>
      </c>
      <c r="Q54" s="365"/>
      <c r="R54" s="365"/>
    </row>
    <row r="55" spans="1:18" ht="15.6" customHeight="1">
      <c r="A55" s="535"/>
      <c r="B55" s="355" t="s">
        <v>246</v>
      </c>
      <c r="C55" s="367"/>
      <c r="D55" s="404" t="s">
        <v>224</v>
      </c>
      <c r="E55" s="387"/>
      <c r="F55" s="357">
        <v>14.03</v>
      </c>
      <c r="G55" s="366">
        <v>2879</v>
      </c>
      <c r="H55" s="358">
        <f t="shared" si="12"/>
        <v>40392.369999999995</v>
      </c>
      <c r="I55" s="359"/>
      <c r="J55" s="360">
        <v>3</v>
      </c>
      <c r="K55" s="361">
        <f t="shared" si="13"/>
        <v>3198.8888888888905</v>
      </c>
      <c r="L55" s="362">
        <f t="shared" si="14"/>
        <v>1066.2962962962968</v>
      </c>
      <c r="M55" s="363">
        <v>0.2673611111111111</v>
      </c>
      <c r="N55" s="363">
        <v>0.30486111111111108</v>
      </c>
      <c r="O55" s="361">
        <v>20</v>
      </c>
      <c r="P55" s="364">
        <f t="shared" si="15"/>
        <v>53.999999999999972</v>
      </c>
      <c r="Q55" s="365"/>
      <c r="R55" s="365"/>
    </row>
    <row r="56" spans="1:18" ht="15.6" customHeight="1">
      <c r="A56" s="535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35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35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35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35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35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35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35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36"/>
      <c r="B64" s="355">
        <v>0</v>
      </c>
      <c r="C64" s="12" t="s">
        <v>422</v>
      </c>
      <c r="D64" s="522" t="s">
        <v>412</v>
      </c>
      <c r="E64" s="522"/>
      <c r="F64" s="371"/>
      <c r="G64" s="376"/>
      <c r="H64" s="398"/>
      <c r="I64" s="399"/>
      <c r="J64" s="375">
        <f>AVERAGE(J52:J63)</f>
        <v>3.75</v>
      </c>
      <c r="K64" s="375">
        <f>AVERAGE(K52:K63)</f>
        <v>3144.6423350041787</v>
      </c>
      <c r="L64" s="376">
        <f>AVERAGE(L52:L63)</f>
        <v>852.80410226956315</v>
      </c>
      <c r="M64" s="363"/>
      <c r="N64" s="363"/>
      <c r="O64" s="354"/>
      <c r="P64" s="354"/>
      <c r="Q64" s="354"/>
      <c r="R64" s="354"/>
    </row>
    <row r="65" spans="1:18" ht="15.6" customHeight="1">
      <c r="A65" s="519" t="s">
        <v>423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806</v>
      </c>
      <c r="H65" s="358">
        <f>F65*G65</f>
        <v>14653.08</v>
      </c>
      <c r="I65" s="359"/>
      <c r="J65" s="360">
        <v>3</v>
      </c>
      <c r="K65" s="361">
        <f t="shared" ref="K65:K69" si="16">G65/P65*60</f>
        <v>3022.5000000000036</v>
      </c>
      <c r="L65" s="362">
        <f t="shared" ref="L65:L69" si="17">K65/J65</f>
        <v>1007.5000000000013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20"/>
      <c r="B66" s="355" t="s">
        <v>246</v>
      </c>
      <c r="C66" s="367"/>
      <c r="D66" s="386" t="s">
        <v>424</v>
      </c>
      <c r="E66" s="402"/>
      <c r="F66" s="357">
        <v>16.66</v>
      </c>
      <c r="G66" s="366">
        <v>2937</v>
      </c>
      <c r="H66" s="358">
        <f t="shared" ref="H66:H74" si="18">F66*G66</f>
        <v>48930.42</v>
      </c>
      <c r="I66" s="359"/>
      <c r="J66" s="360">
        <v>4</v>
      </c>
      <c r="K66" s="361">
        <f t="shared" si="16"/>
        <v>3038.2758620689656</v>
      </c>
      <c r="L66" s="362">
        <f t="shared" si="17"/>
        <v>759.56896551724139</v>
      </c>
      <c r="M66" s="363">
        <v>0.20555555555555557</v>
      </c>
      <c r="N66" s="363">
        <v>0.24583333333333335</v>
      </c>
      <c r="O66" s="361">
        <v>20</v>
      </c>
      <c r="P66" s="364">
        <f t="shared" ref="P66:P69" si="19">(N66-M66)*24*60</f>
        <v>57.999999999999993</v>
      </c>
      <c r="Q66" s="365"/>
      <c r="R66" s="365"/>
    </row>
    <row r="67" spans="1:18" ht="15.6" customHeight="1">
      <c r="A67" s="520"/>
      <c r="B67" s="355" t="s">
        <v>246</v>
      </c>
      <c r="C67" s="367"/>
      <c r="D67" s="403" t="s">
        <v>425</v>
      </c>
      <c r="E67" s="387"/>
      <c r="F67" s="357">
        <v>17.890909090909091</v>
      </c>
      <c r="G67" s="366">
        <v>1764</v>
      </c>
      <c r="H67" s="358">
        <f t="shared" si="18"/>
        <v>31559.563636363637</v>
      </c>
      <c r="I67" s="359"/>
      <c r="J67" s="360">
        <v>3</v>
      </c>
      <c r="K67" s="361">
        <f t="shared" si="16"/>
        <v>3024.0000000000036</v>
      </c>
      <c r="L67" s="362">
        <f t="shared" si="17"/>
        <v>1008.0000000000013</v>
      </c>
      <c r="M67" s="363">
        <v>0.25972222222222224</v>
      </c>
      <c r="N67" s="363">
        <v>0.28402777777777777</v>
      </c>
      <c r="O67" s="361">
        <v>20</v>
      </c>
      <c r="P67" s="364">
        <f t="shared" si="19"/>
        <v>34.999999999999957</v>
      </c>
      <c r="Q67" s="365"/>
      <c r="R67" s="365"/>
    </row>
    <row r="68" spans="1:18" ht="15.6" customHeight="1">
      <c r="A68" s="520"/>
      <c r="B68" s="355" t="s">
        <v>246</v>
      </c>
      <c r="C68" s="367"/>
      <c r="D68" s="386" t="s">
        <v>226</v>
      </c>
      <c r="E68" s="387"/>
      <c r="F68" s="357">
        <v>18.18</v>
      </c>
      <c r="G68" s="366">
        <v>1568</v>
      </c>
      <c r="H68" s="358">
        <f t="shared" si="18"/>
        <v>28506.239999999998</v>
      </c>
      <c r="I68" s="359"/>
      <c r="J68" s="360">
        <v>3</v>
      </c>
      <c r="K68" s="361">
        <f t="shared" si="16"/>
        <v>3135.9999999999945</v>
      </c>
      <c r="L68" s="362">
        <f t="shared" si="17"/>
        <v>1045.3333333333314</v>
      </c>
      <c r="M68" s="363">
        <v>0.29791666666666666</v>
      </c>
      <c r="N68" s="363">
        <v>0.31875000000000003</v>
      </c>
      <c r="O68" s="361">
        <v>20</v>
      </c>
      <c r="P68" s="364">
        <f t="shared" si="19"/>
        <v>30.000000000000053</v>
      </c>
      <c r="Q68" s="365">
        <v>0.31875000000000003</v>
      </c>
      <c r="R68" s="365">
        <v>0.36041666666666666</v>
      </c>
    </row>
    <row r="69" spans="1:18" ht="15.6" customHeight="1">
      <c r="A69" s="520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4566</v>
      </c>
      <c r="H69" s="358">
        <f t="shared" si="18"/>
        <v>65228.571428571413</v>
      </c>
      <c r="I69" s="359"/>
      <c r="J69" s="360">
        <v>3</v>
      </c>
      <c r="K69" s="361">
        <f t="shared" si="16"/>
        <v>3185.5813953488368</v>
      </c>
      <c r="L69" s="362">
        <f t="shared" si="17"/>
        <v>1061.8604651162789</v>
      </c>
      <c r="M69" s="363">
        <v>0.3743055555555555</v>
      </c>
      <c r="N69" s="363">
        <v>0.43402777777777773</v>
      </c>
      <c r="O69" s="361">
        <v>20</v>
      </c>
      <c r="P69" s="364">
        <f t="shared" si="19"/>
        <v>86.000000000000014</v>
      </c>
      <c r="Q69" s="365"/>
      <c r="R69" s="365"/>
    </row>
    <row r="70" spans="1:18" ht="15.75" customHeight="1">
      <c r="A70" s="520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20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20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20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20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21"/>
      <c r="B75" s="355">
        <v>0</v>
      </c>
      <c r="C75" s="12" t="s">
        <v>426</v>
      </c>
      <c r="D75" s="522" t="s">
        <v>412</v>
      </c>
      <c r="E75" s="522"/>
      <c r="F75" s="371"/>
      <c r="G75" s="376"/>
      <c r="H75" s="398"/>
      <c r="I75" s="399"/>
      <c r="J75" s="375">
        <f>AVERAGE(J65:J74)</f>
        <v>3.2</v>
      </c>
      <c r="K75" s="375">
        <f>AVERAGE(K65:K74)</f>
        <v>3081.2714514835607</v>
      </c>
      <c r="L75" s="376">
        <f>AVERAGE(L65:L74)</f>
        <v>976.45255279337084</v>
      </c>
      <c r="M75" s="363"/>
      <c r="N75" s="363"/>
      <c r="O75" s="354"/>
      <c r="P75" s="354"/>
      <c r="Q75" s="354"/>
      <c r="R75" s="354"/>
    </row>
    <row r="76" spans="1:18" ht="16.2" customHeight="1">
      <c r="A76" s="523" t="s">
        <v>228</v>
      </c>
      <c r="B76" s="355">
        <v>0</v>
      </c>
      <c r="C76" s="370"/>
      <c r="D76" s="524"/>
      <c r="E76" s="525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23"/>
      <c r="B77" s="355">
        <v>0</v>
      </c>
      <c r="C77" s="370"/>
      <c r="D77" s="524"/>
      <c r="E77" s="525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23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23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23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23"/>
      <c r="B81" s="355">
        <v>0</v>
      </c>
      <c r="C81" s="12" t="s">
        <v>71</v>
      </c>
      <c r="D81" s="517" t="s">
        <v>412</v>
      </c>
      <c r="E81" s="517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08" t="s">
        <v>427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451</v>
      </c>
      <c r="H82" s="414">
        <f t="shared" ref="H82:H90" si="20">F82*G82</f>
        <v>8199.18</v>
      </c>
      <c r="I82" s="359"/>
      <c r="J82" s="360">
        <v>4</v>
      </c>
      <c r="K82" s="361">
        <f t="shared" ref="K82:K84" si="21">G82/P82*60</f>
        <v>2706.0000000000095</v>
      </c>
      <c r="L82" s="362">
        <f t="shared" ref="L82:L84" si="22">K82/J82</f>
        <v>676.50000000000239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09"/>
      <c r="B83" s="355" t="s">
        <v>246</v>
      </c>
      <c r="C83" s="383"/>
      <c r="D83" s="403" t="s">
        <v>231</v>
      </c>
      <c r="E83" s="413"/>
      <c r="F83" s="357">
        <v>16.7</v>
      </c>
      <c r="G83" s="389">
        <v>1231</v>
      </c>
      <c r="H83" s="414">
        <f t="shared" si="20"/>
        <v>20557.7</v>
      </c>
      <c r="I83" s="359"/>
      <c r="J83" s="360">
        <v>3</v>
      </c>
      <c r="K83" s="361">
        <f t="shared" si="21"/>
        <v>2954.3999999999915</v>
      </c>
      <c r="L83" s="362">
        <f t="shared" si="22"/>
        <v>984.79999999999711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09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1115</v>
      </c>
      <c r="H84" s="414">
        <f t="shared" si="20"/>
        <v>24844.227272727272</v>
      </c>
      <c r="I84" s="359"/>
      <c r="J84" s="360">
        <v>4</v>
      </c>
      <c r="K84" s="361">
        <f t="shared" si="21"/>
        <v>3344.999999999985</v>
      </c>
      <c r="L84" s="362">
        <f t="shared" si="22"/>
        <v>836.24999999999625</v>
      </c>
      <c r="M84" s="363">
        <v>0.81597222222222221</v>
      </c>
      <c r="N84" s="363">
        <v>0.82986111111111116</v>
      </c>
      <c r="O84" s="361">
        <v>20</v>
      </c>
      <c r="P84" s="391">
        <f t="shared" ref="P84" si="23">(N84-M84)*24*60</f>
        <v>20.000000000000089</v>
      </c>
      <c r="Q84" s="365"/>
      <c r="R84" s="365"/>
    </row>
    <row r="85" spans="1:18">
      <c r="A85" s="509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09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09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09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09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09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09"/>
      <c r="B91" s="355">
        <v>0</v>
      </c>
      <c r="C91" s="12" t="s">
        <v>417</v>
      </c>
      <c r="D91" s="510" t="s">
        <v>412</v>
      </c>
      <c r="E91" s="510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3001.7999999999956</v>
      </c>
      <c r="L91" s="376">
        <f>AVERAGE(L82:L90)</f>
        <v>832.51666666666517</v>
      </c>
      <c r="M91" s="363"/>
      <c r="N91" s="363"/>
      <c r="O91" s="361"/>
      <c r="P91" s="361"/>
      <c r="Q91" s="362"/>
      <c r="R91" s="362"/>
    </row>
    <row r="92" spans="1:18" ht="16.2" customHeight="1">
      <c r="A92" s="511" t="s">
        <v>428</v>
      </c>
      <c r="B92" s="355" t="s">
        <v>246</v>
      </c>
      <c r="C92" s="370"/>
      <c r="D92" s="419" t="s">
        <v>429</v>
      </c>
      <c r="E92" s="413"/>
      <c r="F92" s="357">
        <v>24.54</v>
      </c>
      <c r="G92" s="352">
        <v>1817</v>
      </c>
      <c r="H92" s="358">
        <f t="shared" ref="H92:H97" si="24">F92*G92</f>
        <v>44589.18</v>
      </c>
      <c r="I92" s="359"/>
      <c r="J92" s="360">
        <v>3</v>
      </c>
      <c r="K92" s="361">
        <f>G92/P92*60</f>
        <v>2180.3999999999937</v>
      </c>
      <c r="L92" s="362">
        <f t="shared" ref="L92:L94" si="25">K92/J92</f>
        <v>726.79999999999791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12"/>
      <c r="B93" s="355" t="s">
        <v>246</v>
      </c>
      <c r="C93" s="370"/>
      <c r="D93" s="384" t="s">
        <v>234</v>
      </c>
      <c r="E93" s="413"/>
      <c r="F93" s="357">
        <v>22.48</v>
      </c>
      <c r="G93" s="352">
        <v>1038</v>
      </c>
      <c r="H93" s="358">
        <f t="shared" si="24"/>
        <v>23334.240000000002</v>
      </c>
      <c r="I93" s="359"/>
      <c r="J93" s="360">
        <v>4</v>
      </c>
      <c r="K93" s="361">
        <f t="shared" ref="K93:K94" si="26">G93/P93*60</f>
        <v>2076.0000000000073</v>
      </c>
      <c r="L93" s="362">
        <f t="shared" si="25"/>
        <v>519.00000000000182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12"/>
      <c r="B94" s="355" t="s">
        <v>246</v>
      </c>
      <c r="C94" s="370"/>
      <c r="D94" s="419" t="s">
        <v>430</v>
      </c>
      <c r="E94" s="407"/>
      <c r="F94" s="357">
        <v>22.21</v>
      </c>
      <c r="G94" s="366">
        <v>2151</v>
      </c>
      <c r="H94" s="358">
        <f t="shared" si="24"/>
        <v>47773.71</v>
      </c>
      <c r="I94" s="359"/>
      <c r="J94" s="360">
        <v>4</v>
      </c>
      <c r="K94" s="361">
        <f t="shared" si="26"/>
        <v>2346.545454545449</v>
      </c>
      <c r="L94" s="362">
        <f t="shared" si="25"/>
        <v>586.63636363636226</v>
      </c>
      <c r="M94" s="363">
        <v>0.80555555555555547</v>
      </c>
      <c r="N94" s="363">
        <v>0.84375</v>
      </c>
      <c r="O94" s="354">
        <v>20</v>
      </c>
      <c r="P94" s="364">
        <f>(N94-M94)*24*60</f>
        <v>55.000000000000128</v>
      </c>
      <c r="Q94" s="365"/>
      <c r="R94" s="365"/>
    </row>
    <row r="95" spans="1:18">
      <c r="A95" s="513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13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13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13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13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13"/>
      <c r="B100" s="355">
        <v>0</v>
      </c>
      <c r="C100" s="12" t="s">
        <v>431</v>
      </c>
      <c r="D100" s="514" t="s">
        <v>412</v>
      </c>
      <c r="E100" s="515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2200.9818181818168</v>
      </c>
      <c r="L100" s="376">
        <f>AVERAGE(L92:L99)</f>
        <v>610.81212121212059</v>
      </c>
      <c r="M100" s="363"/>
      <c r="N100" s="363"/>
      <c r="O100" s="361"/>
      <c r="P100" s="361"/>
      <c r="Q100" s="362"/>
      <c r="R100" s="362"/>
    </row>
    <row r="101" spans="1:18" ht="16.2" customHeight="1">
      <c r="A101" s="516" t="s">
        <v>432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1208</v>
      </c>
      <c r="H101" s="358">
        <f t="shared" ref="H101:H110" si="27">F101*G101</f>
        <v>30236.240000000002</v>
      </c>
      <c r="I101" s="359"/>
      <c r="J101" s="360">
        <v>4</v>
      </c>
      <c r="K101" s="361">
        <f>G101/P101*60</f>
        <v>2899.1999999999921</v>
      </c>
      <c r="L101" s="362">
        <f t="shared" ref="L101:L105" si="28">K101/J101</f>
        <v>724.79999999999802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16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1864</v>
      </c>
      <c r="H102" s="358">
        <f t="shared" si="27"/>
        <v>46264.480000000003</v>
      </c>
      <c r="I102" s="359"/>
      <c r="J102" s="360">
        <v>4</v>
      </c>
      <c r="K102" s="361">
        <f t="shared" ref="K102:K105" si="30">G102/P102*60</f>
        <v>3195.4285714285684</v>
      </c>
      <c r="L102" s="362">
        <f t="shared" si="28"/>
        <v>798.85714285714209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16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3102</v>
      </c>
      <c r="H103" s="358">
        <f t="shared" si="27"/>
        <v>88624.14</v>
      </c>
      <c r="I103" s="359"/>
      <c r="J103" s="360">
        <v>3</v>
      </c>
      <c r="K103" s="361">
        <f t="shared" si="30"/>
        <v>3101.9999999999945</v>
      </c>
      <c r="L103" s="362">
        <f t="shared" si="28"/>
        <v>1033.9999999999982</v>
      </c>
      <c r="M103" s="363">
        <v>0.79166666666666663</v>
      </c>
      <c r="N103" s="363">
        <v>0.83333333333333337</v>
      </c>
      <c r="O103" s="354">
        <v>20</v>
      </c>
      <c r="P103" s="361">
        <f t="shared" si="29"/>
        <v>60.000000000000107</v>
      </c>
      <c r="Q103" s="365"/>
      <c r="R103" s="365"/>
    </row>
    <row r="104" spans="1:18">
      <c r="A104" s="516"/>
      <c r="B104" s="355" t="s">
        <v>246</v>
      </c>
      <c r="C104" s="12"/>
      <c r="D104" s="384" t="s">
        <v>433</v>
      </c>
      <c r="E104" s="407"/>
      <c r="F104" s="357">
        <v>14.03</v>
      </c>
      <c r="G104" s="352">
        <v>6222</v>
      </c>
      <c r="H104" s="358">
        <f t="shared" si="27"/>
        <v>87294.659999999989</v>
      </c>
      <c r="I104" s="359"/>
      <c r="J104" s="360">
        <v>3</v>
      </c>
      <c r="K104" s="361">
        <f t="shared" si="30"/>
        <v>2986.5599999999995</v>
      </c>
      <c r="L104" s="362">
        <f t="shared" si="28"/>
        <v>995.51999999999987</v>
      </c>
      <c r="M104" s="363">
        <v>0.84722222222222221</v>
      </c>
      <c r="N104" s="363">
        <v>0.93402777777777779</v>
      </c>
      <c r="O104" s="354">
        <v>20</v>
      </c>
      <c r="P104" s="361">
        <f>(N104-M104)*24*60</f>
        <v>125.00000000000003</v>
      </c>
      <c r="Q104" s="365">
        <v>0.93402777777777779</v>
      </c>
      <c r="R104" s="365">
        <v>0.97569444444444453</v>
      </c>
    </row>
    <row r="105" spans="1:18">
      <c r="A105" s="516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8751</v>
      </c>
      <c r="H105" s="358">
        <f t="shared" si="27"/>
        <v>125014.2857142857</v>
      </c>
      <c r="I105" s="359"/>
      <c r="J105" s="360">
        <v>3</v>
      </c>
      <c r="K105" s="361">
        <f t="shared" si="30"/>
        <v>3000.3428571428567</v>
      </c>
      <c r="L105" s="362">
        <f t="shared" si="28"/>
        <v>1000.1142857142855</v>
      </c>
      <c r="M105" s="363">
        <v>0.98958333333333337</v>
      </c>
      <c r="N105" s="363">
        <v>1.1111111111111112</v>
      </c>
      <c r="O105" s="354">
        <v>20</v>
      </c>
      <c r="P105" s="361">
        <f>(N105-M105)*24*60</f>
        <v>175.00000000000003</v>
      </c>
      <c r="Q105" s="362"/>
      <c r="R105" s="365"/>
    </row>
    <row r="106" spans="1:18">
      <c r="A106" s="516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16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16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16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16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16"/>
      <c r="B111" s="355">
        <v>0</v>
      </c>
      <c r="C111" s="12" t="s">
        <v>422</v>
      </c>
      <c r="D111" s="517" t="s">
        <v>412</v>
      </c>
      <c r="E111" s="518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3036.7062857142823</v>
      </c>
      <c r="L111" s="376">
        <f>AVERAGE(L101:L110)</f>
        <v>910.65828571428483</v>
      </c>
      <c r="M111" s="363"/>
      <c r="N111" s="363"/>
      <c r="O111" s="361"/>
      <c r="P111" s="361"/>
      <c r="Q111" s="362"/>
      <c r="R111" s="354"/>
    </row>
    <row r="112" spans="1:18" ht="16.2" customHeight="1">
      <c r="A112" s="506" t="s">
        <v>434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1028</v>
      </c>
      <c r="H112" s="414">
        <f t="shared" si="3"/>
        <v>18689.04</v>
      </c>
      <c r="I112" s="359"/>
      <c r="J112" s="360">
        <v>4</v>
      </c>
      <c r="K112" s="361">
        <f t="shared" ref="K112:K115" si="31">G112/P112*60</f>
        <v>3083.9999999999864</v>
      </c>
      <c r="L112" s="362">
        <f t="shared" ref="L112:L115" si="32">K112/J112</f>
        <v>770.99999999999659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06"/>
      <c r="B113" s="355" t="s">
        <v>246</v>
      </c>
      <c r="C113" s="383"/>
      <c r="D113" s="411" t="s">
        <v>435</v>
      </c>
      <c r="E113" s="411"/>
      <c r="F113" s="357">
        <v>18.18</v>
      </c>
      <c r="G113" s="352">
        <v>1166</v>
      </c>
      <c r="H113" s="414">
        <f t="shared" si="3"/>
        <v>21197.88</v>
      </c>
      <c r="I113" s="359"/>
      <c r="J113" s="360">
        <v>3</v>
      </c>
      <c r="K113" s="361">
        <f t="shared" si="31"/>
        <v>3498.0000000000127</v>
      </c>
      <c r="L113" s="362">
        <f t="shared" si="32"/>
        <v>1166.0000000000043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06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5831</v>
      </c>
      <c r="H114" s="414">
        <f>F114*G114</f>
        <v>97144.46</v>
      </c>
      <c r="I114" s="359"/>
      <c r="J114" s="360">
        <v>4</v>
      </c>
      <c r="K114" s="361">
        <f t="shared" si="31"/>
        <v>3042.2608695652198</v>
      </c>
      <c r="L114" s="362">
        <f t="shared" si="32"/>
        <v>760.56521739130494</v>
      </c>
      <c r="M114" s="363">
        <v>0.77777777777777779</v>
      </c>
      <c r="N114" s="363">
        <v>0.85763888888888884</v>
      </c>
      <c r="O114" s="354">
        <v>20</v>
      </c>
      <c r="P114" s="364">
        <f t="shared" si="33"/>
        <v>114.99999999999991</v>
      </c>
      <c r="Q114" s="365"/>
      <c r="R114" s="365"/>
    </row>
    <row r="115" spans="1:18">
      <c r="A115" s="506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4072</v>
      </c>
      <c r="H115" s="414">
        <f t="shared" ref="H115:H123" si="34">F115*G115</f>
        <v>72851.781818181815</v>
      </c>
      <c r="I115" s="359"/>
      <c r="J115" s="360">
        <v>3</v>
      </c>
      <c r="K115" s="361">
        <f t="shared" si="31"/>
        <v>2571.7894736842109</v>
      </c>
      <c r="L115" s="362">
        <f t="shared" si="32"/>
        <v>857.26315789473699</v>
      </c>
      <c r="M115" s="363">
        <v>0.87152777777777779</v>
      </c>
      <c r="N115" s="363">
        <v>0.9375</v>
      </c>
      <c r="O115" s="354">
        <v>20</v>
      </c>
      <c r="P115" s="364">
        <f t="shared" si="33"/>
        <v>94.999999999999986</v>
      </c>
      <c r="Q115" s="365"/>
      <c r="R115" s="365"/>
    </row>
    <row r="116" spans="1:18">
      <c r="A116" s="506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06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06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06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06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06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06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06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06"/>
      <c r="B124" s="370">
        <v>0</v>
      </c>
      <c r="C124" s="12" t="s">
        <v>426</v>
      </c>
      <c r="D124" s="507" t="s">
        <v>412</v>
      </c>
      <c r="E124" s="507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3049.0125858123574</v>
      </c>
      <c r="L124" s="376">
        <f>AVERAGE(L112:L123)</f>
        <v>888.70709382151074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N106" sqref="N10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156340.96</v>
      </c>
      <c r="F1" s="75" t="s">
        <v>3</v>
      </c>
      <c r="G1" s="64">
        <f>SUM(H5:H173)</f>
        <v>6146291.0338913901</v>
      </c>
      <c r="H1" s="67" t="s">
        <v>77</v>
      </c>
      <c r="I1" s="65">
        <f>M17+M30+M43+M56+M69+M82+M95+M108+M121+M134+M147+M160+M173</f>
        <v>200.14523809523811</v>
      </c>
      <c r="J1" s="638" t="s">
        <v>78</v>
      </c>
      <c r="K1" s="638"/>
      <c r="L1" s="638"/>
      <c r="M1" s="638" t="s">
        <v>79</v>
      </c>
      <c r="N1" s="638"/>
      <c r="O1" s="638"/>
      <c r="P1" s="638" t="s">
        <v>176</v>
      </c>
      <c r="Q1" s="638"/>
      <c r="R1" s="638"/>
      <c r="S1" s="638"/>
      <c r="T1" s="638" t="s">
        <v>335</v>
      </c>
      <c r="U1" s="638"/>
      <c r="V1" s="638"/>
      <c r="W1" s="638"/>
      <c r="X1" s="638"/>
      <c r="Y1" s="638"/>
      <c r="Z1" s="66" t="s">
        <v>177</v>
      </c>
      <c r="AA1" s="66" t="s">
        <v>178</v>
      </c>
      <c r="AB1" s="639" t="s">
        <v>179</v>
      </c>
      <c r="AC1" s="640"/>
      <c r="AD1" s="66" t="s">
        <v>177</v>
      </c>
      <c r="AE1" s="66" t="s">
        <v>336</v>
      </c>
      <c r="AF1" s="638" t="s">
        <v>180</v>
      </c>
      <c r="AG1" s="643"/>
      <c r="AH1" s="643"/>
    </row>
    <row r="2" spans="1:34" ht="26.25" customHeight="1">
      <c r="A2" s="637" t="s">
        <v>354</v>
      </c>
      <c r="B2" s="637"/>
      <c r="C2" s="69"/>
      <c r="D2" s="69" t="s">
        <v>181</v>
      </c>
      <c r="E2" s="70">
        <f>AVERAGE(O17,O30,O43,O56,O69,O82,O95,O108,O121,O134,O147,O160,O173)</f>
        <v>122.44173635067204</v>
      </c>
      <c r="F2" s="71" t="s">
        <v>80</v>
      </c>
      <c r="G2" s="72">
        <f>G1/E1</f>
        <v>39.313376570614572</v>
      </c>
      <c r="H2" s="67" t="s">
        <v>81</v>
      </c>
      <c r="I2" s="67">
        <f>COUNT(I5:I173)</f>
        <v>7</v>
      </c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41"/>
      <c r="AC2" s="642"/>
      <c r="AD2" s="74">
        <f>AD17+AD30+AD43+AD56+AD69+AD82+AD95+AD108+AD121+AD134+AD147+AD160+AD173</f>
        <v>2</v>
      </c>
      <c r="AE2" s="74">
        <f>AE17+AE30+AE43+AE56+AE69+AE82+AE95+AE108+AE121+AE134+AE147+AE160+AE173</f>
        <v>4</v>
      </c>
      <c r="AF2" s="643"/>
      <c r="AG2" s="643"/>
      <c r="AH2" s="643"/>
    </row>
    <row r="3" spans="1:34" ht="30.6" customHeight="1">
      <c r="A3" s="571" t="s">
        <v>182</v>
      </c>
      <c r="B3" s="571" t="s">
        <v>82</v>
      </c>
      <c r="C3" s="635"/>
      <c r="D3" s="571" t="s">
        <v>183</v>
      </c>
      <c r="E3" s="571"/>
      <c r="F3" s="635" t="s">
        <v>83</v>
      </c>
      <c r="G3" s="629" t="s">
        <v>84</v>
      </c>
      <c r="H3" s="635" t="s">
        <v>85</v>
      </c>
      <c r="I3" s="631" t="s">
        <v>338</v>
      </c>
      <c r="J3" s="634" t="s">
        <v>86</v>
      </c>
      <c r="K3" s="624" t="s">
        <v>87</v>
      </c>
      <c r="L3" s="605" t="s">
        <v>75</v>
      </c>
      <c r="M3" s="629" t="s">
        <v>86</v>
      </c>
      <c r="N3" s="624" t="s">
        <v>184</v>
      </c>
      <c r="O3" s="605" t="s">
        <v>181</v>
      </c>
      <c r="P3" s="634" t="s">
        <v>185</v>
      </c>
      <c r="Q3" s="605" t="s">
        <v>181</v>
      </c>
      <c r="R3" s="625" t="s">
        <v>339</v>
      </c>
      <c r="S3" s="602" t="s">
        <v>340</v>
      </c>
      <c r="T3" s="629" t="s">
        <v>88</v>
      </c>
      <c r="U3" s="629"/>
      <c r="V3" s="630" t="s">
        <v>89</v>
      </c>
      <c r="W3" s="631" t="s">
        <v>186</v>
      </c>
      <c r="X3" s="629" t="s">
        <v>187</v>
      </c>
      <c r="Y3" s="629"/>
      <c r="Z3" s="632" t="s">
        <v>188</v>
      </c>
      <c r="AA3" s="633"/>
      <c r="AB3" s="620" t="s">
        <v>341</v>
      </c>
      <c r="AC3" s="621"/>
      <c r="AD3" s="622" t="s">
        <v>342</v>
      </c>
      <c r="AE3" s="623"/>
      <c r="AF3" s="624" t="s">
        <v>184</v>
      </c>
      <c r="AG3" s="625" t="s">
        <v>339</v>
      </c>
      <c r="AH3" s="602" t="s">
        <v>340</v>
      </c>
    </row>
    <row r="4" spans="1:34" ht="30.6" customHeight="1">
      <c r="A4" s="635"/>
      <c r="B4" s="571"/>
      <c r="C4" s="636"/>
      <c r="D4" s="571"/>
      <c r="E4" s="571"/>
      <c r="F4" s="636"/>
      <c r="G4" s="629"/>
      <c r="H4" s="636"/>
      <c r="I4" s="631"/>
      <c r="J4" s="634"/>
      <c r="K4" s="624"/>
      <c r="L4" s="605"/>
      <c r="M4" s="629"/>
      <c r="N4" s="624"/>
      <c r="O4" s="605"/>
      <c r="P4" s="634"/>
      <c r="Q4" s="605"/>
      <c r="R4" s="625"/>
      <c r="S4" s="602"/>
      <c r="T4" s="76" t="s">
        <v>90</v>
      </c>
      <c r="U4" s="76" t="s">
        <v>91</v>
      </c>
      <c r="V4" s="629"/>
      <c r="W4" s="631"/>
      <c r="X4" s="75" t="s">
        <v>343</v>
      </c>
      <c r="Y4" s="75" t="s">
        <v>76</v>
      </c>
      <c r="Z4" s="76" t="s">
        <v>344</v>
      </c>
      <c r="AA4" s="76" t="s">
        <v>92</v>
      </c>
      <c r="AB4" s="621"/>
      <c r="AC4" s="621"/>
      <c r="AD4" s="76" t="s">
        <v>93</v>
      </c>
      <c r="AE4" s="77" t="s">
        <v>189</v>
      </c>
      <c r="AF4" s="624"/>
      <c r="AG4" s="625"/>
      <c r="AH4" s="602"/>
    </row>
    <row r="5" spans="1:34" ht="18.75" customHeight="1">
      <c r="A5" s="626" t="s">
        <v>94</v>
      </c>
      <c r="B5" s="78" t="s">
        <v>242</v>
      </c>
      <c r="C5" s="79"/>
      <c r="D5" s="80" t="s">
        <v>95</v>
      </c>
      <c r="E5" s="81"/>
      <c r="F5" s="650">
        <v>37.94</v>
      </c>
      <c r="G5" s="82">
        <v>3023.8</v>
      </c>
      <c r="H5" s="83">
        <f t="shared" ref="H5:H16" si="0">F5*G5</f>
        <v>114722.97199999999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2" si="1">G5/W5*60</f>
        <v>2212.5365853658532</v>
      </c>
      <c r="O5" s="86">
        <f t="shared" ref="O5:O12" si="2">N5/M5</f>
        <v>110.62682926829265</v>
      </c>
      <c r="P5" s="88">
        <f t="shared" ref="P5:P12" si="3">M5-J5</f>
        <v>0</v>
      </c>
      <c r="Q5" s="89">
        <f t="shared" ref="Q5:Q12" si="4">O5-L5</f>
        <v>-9.3731707317073472</v>
      </c>
      <c r="R5" s="90">
        <f t="shared" ref="R5:R12" si="5">O5/L5</f>
        <v>0.92189024390243879</v>
      </c>
      <c r="S5" s="590">
        <f>R17</f>
        <v>0.89078101029979384</v>
      </c>
      <c r="T5" s="91">
        <v>0.29166666666666669</v>
      </c>
      <c r="U5" s="91">
        <v>0.34861111111111115</v>
      </c>
      <c r="V5" s="75">
        <v>5</v>
      </c>
      <c r="W5" s="84">
        <f>(U5-T5)*24*60</f>
        <v>82.000000000000028</v>
      </c>
      <c r="X5" s="75"/>
      <c r="Y5" s="75"/>
      <c r="Z5" s="92"/>
      <c r="AA5" s="92"/>
      <c r="AB5" s="571"/>
      <c r="AC5" s="571"/>
      <c r="AD5" s="93"/>
      <c r="AE5" s="93"/>
      <c r="AF5" s="88">
        <f t="shared" ref="AF5:AF70" si="6">N5-K5</f>
        <v>-187.46341463414683</v>
      </c>
      <c r="AG5" s="90">
        <f t="shared" ref="AG5:AG70" si="7">N5/K5</f>
        <v>0.92189024390243879</v>
      </c>
      <c r="AH5" s="590">
        <f>AG17</f>
        <v>0.92485292439817313</v>
      </c>
    </row>
    <row r="6" spans="1:34" ht="19.2" customHeight="1">
      <c r="A6" s="627"/>
      <c r="B6" s="78" t="s">
        <v>242</v>
      </c>
      <c r="C6" s="79"/>
      <c r="D6" s="80" t="s">
        <v>96</v>
      </c>
      <c r="E6" s="81"/>
      <c r="F6" s="650">
        <v>31.266131815044861</v>
      </c>
      <c r="G6" s="82">
        <v>1759.55</v>
      </c>
      <c r="H6" s="83">
        <f t="shared" si="0"/>
        <v>55014.322235162188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2513.6428571428564</v>
      </c>
      <c r="O6" s="86">
        <f t="shared" si="2"/>
        <v>132.29699248120298</v>
      </c>
      <c r="P6" s="88">
        <f t="shared" si="3"/>
        <v>1</v>
      </c>
      <c r="Q6" s="89">
        <f t="shared" si="4"/>
        <v>-12.14745196324148</v>
      </c>
      <c r="R6" s="90">
        <f t="shared" si="5"/>
        <v>0.91590225563909744</v>
      </c>
      <c r="S6" s="590"/>
      <c r="T6" s="91">
        <v>0.35347222222222224</v>
      </c>
      <c r="U6" s="91">
        <v>0.38263888888888892</v>
      </c>
      <c r="V6" s="75">
        <v>7</v>
      </c>
      <c r="W6" s="84">
        <f t="shared" ref="W6:W17" si="8">(U6-T6)*24*60</f>
        <v>42.000000000000014</v>
      </c>
      <c r="X6" s="94"/>
      <c r="Y6" s="94"/>
      <c r="Z6" s="95"/>
      <c r="AA6" s="95"/>
      <c r="AB6" s="571"/>
      <c r="AC6" s="571"/>
      <c r="AD6" s="332"/>
      <c r="AE6" s="332"/>
      <c r="AF6" s="88">
        <f t="shared" si="6"/>
        <v>-86.357142857143572</v>
      </c>
      <c r="AG6" s="90">
        <f t="shared" si="7"/>
        <v>0.96678571428571403</v>
      </c>
      <c r="AH6" s="590"/>
    </row>
    <row r="7" spans="1:34" ht="19.2" customHeight="1">
      <c r="A7" s="627"/>
      <c r="B7" s="78" t="s">
        <v>242</v>
      </c>
      <c r="C7" s="79"/>
      <c r="D7" s="80" t="s">
        <v>97</v>
      </c>
      <c r="E7" s="81"/>
      <c r="F7" s="650">
        <v>38.630952380952372</v>
      </c>
      <c r="G7" s="82">
        <v>2644.85</v>
      </c>
      <c r="H7" s="83">
        <f t="shared" si="0"/>
        <v>102173.07440476188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2479.5468749999995</v>
      </c>
      <c r="O7" s="86">
        <f t="shared" si="2"/>
        <v>130.50246710526312</v>
      </c>
      <c r="P7" s="88">
        <f t="shared" si="3"/>
        <v>1</v>
      </c>
      <c r="Q7" s="89">
        <f t="shared" si="4"/>
        <v>-13.941977339181335</v>
      </c>
      <c r="R7" s="90">
        <f t="shared" si="5"/>
        <v>0.90347861842105226</v>
      </c>
      <c r="S7" s="590"/>
      <c r="T7" s="91">
        <v>0.39861111111111114</v>
      </c>
      <c r="U7" s="91">
        <v>0.44305555555555559</v>
      </c>
      <c r="V7" s="75">
        <v>23</v>
      </c>
      <c r="W7" s="84">
        <f t="shared" si="8"/>
        <v>64.000000000000014</v>
      </c>
      <c r="X7" s="94">
        <v>0.38611111111111113</v>
      </c>
      <c r="Y7" s="94">
        <v>0.39583333333333331</v>
      </c>
      <c r="Z7" s="95"/>
      <c r="AA7" s="95"/>
      <c r="AB7" s="571"/>
      <c r="AC7" s="571"/>
      <c r="AD7" s="332">
        <v>1</v>
      </c>
      <c r="AE7" s="332">
        <v>1</v>
      </c>
      <c r="AF7" s="88">
        <f t="shared" si="6"/>
        <v>-120.45312500000045</v>
      </c>
      <c r="AG7" s="90">
        <f t="shared" si="7"/>
        <v>0.95367187499999984</v>
      </c>
      <c r="AH7" s="590"/>
    </row>
    <row r="8" spans="1:34" ht="19.2" customHeight="1">
      <c r="A8" s="627"/>
      <c r="B8" s="78" t="s">
        <v>242</v>
      </c>
      <c r="C8" s="79"/>
      <c r="D8" s="80" t="s">
        <v>98</v>
      </c>
      <c r="E8" s="81"/>
      <c r="F8" s="650">
        <v>38</v>
      </c>
      <c r="G8" s="82">
        <v>3522.2000000000003</v>
      </c>
      <c r="H8" s="83">
        <f t="shared" si="0"/>
        <v>133843.6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2515.8571428571449</v>
      </c>
      <c r="O8" s="86">
        <f t="shared" si="2"/>
        <v>125.79285714285724</v>
      </c>
      <c r="P8" s="88">
        <f t="shared" si="3"/>
        <v>1</v>
      </c>
      <c r="Q8" s="89">
        <f t="shared" si="4"/>
        <v>-11.049248120300646</v>
      </c>
      <c r="R8" s="90">
        <f t="shared" si="5"/>
        <v>0.91925549450549526</v>
      </c>
      <c r="S8" s="590"/>
      <c r="T8" s="91">
        <v>0.44861111111111113</v>
      </c>
      <c r="U8" s="91">
        <v>0.50694444444444442</v>
      </c>
      <c r="V8" s="75">
        <v>8</v>
      </c>
      <c r="W8" s="84">
        <f t="shared" si="8"/>
        <v>83.999999999999943</v>
      </c>
      <c r="X8" s="94"/>
      <c r="Y8" s="94"/>
      <c r="Z8" s="95"/>
      <c r="AA8" s="95"/>
      <c r="AB8" s="571"/>
      <c r="AC8" s="571"/>
      <c r="AD8" s="332"/>
      <c r="AE8" s="332"/>
      <c r="AF8" s="88">
        <f t="shared" si="6"/>
        <v>-84.142857142855064</v>
      </c>
      <c r="AG8" s="90">
        <f t="shared" si="7"/>
        <v>0.96763736263736344</v>
      </c>
      <c r="AH8" s="590"/>
    </row>
    <row r="9" spans="1:34" ht="19.2" customHeight="1">
      <c r="A9" s="627"/>
      <c r="B9" s="78" t="s">
        <v>242</v>
      </c>
      <c r="C9" s="96"/>
      <c r="D9" s="80" t="s">
        <v>97</v>
      </c>
      <c r="E9" s="97"/>
      <c r="F9" s="650">
        <v>38.630952380952372</v>
      </c>
      <c r="G9" s="98">
        <v>1424.1499999999999</v>
      </c>
      <c r="H9" s="83">
        <f t="shared" si="0"/>
        <v>55016.270833333314</v>
      </c>
      <c r="I9" s="332"/>
      <c r="J9" s="85">
        <v>18</v>
      </c>
      <c r="K9" s="82">
        <v>2600</v>
      </c>
      <c r="L9" s="86">
        <v>144.44444444444446</v>
      </c>
      <c r="M9" s="87">
        <v>20</v>
      </c>
      <c r="N9" s="82">
        <f t="shared" si="1"/>
        <v>2373.5833333333312</v>
      </c>
      <c r="O9" s="86">
        <f t="shared" si="2"/>
        <v>118.67916666666656</v>
      </c>
      <c r="P9" s="88">
        <f t="shared" si="3"/>
        <v>2</v>
      </c>
      <c r="Q9" s="89">
        <f t="shared" si="4"/>
        <v>-25.765277777777897</v>
      </c>
      <c r="R9" s="90">
        <f t="shared" si="5"/>
        <v>0.82162499999999916</v>
      </c>
      <c r="S9" s="590"/>
      <c r="T9" s="91">
        <v>0.54722222222222217</v>
      </c>
      <c r="U9" s="91">
        <v>0.57222222222222219</v>
      </c>
      <c r="V9" s="75">
        <v>5</v>
      </c>
      <c r="W9" s="84">
        <f t="shared" si="8"/>
        <v>36.000000000000028</v>
      </c>
      <c r="X9" s="94"/>
      <c r="Y9" s="94"/>
      <c r="Z9" s="95"/>
      <c r="AA9" s="95"/>
      <c r="AB9" s="571"/>
      <c r="AC9" s="571"/>
      <c r="AD9" s="332"/>
      <c r="AE9" s="332"/>
      <c r="AF9" s="88">
        <f t="shared" si="6"/>
        <v>-226.41666666666879</v>
      </c>
      <c r="AG9" s="90">
        <f t="shared" si="7"/>
        <v>0.91291666666666582</v>
      </c>
      <c r="AH9" s="590"/>
    </row>
    <row r="10" spans="1:34" ht="19.2" customHeight="1">
      <c r="A10" s="628"/>
      <c r="B10" s="78" t="s">
        <v>242</v>
      </c>
      <c r="C10" s="79"/>
      <c r="D10" s="80" t="s">
        <v>96</v>
      </c>
      <c r="E10" s="81"/>
      <c r="F10" s="650">
        <v>31.266131815044861</v>
      </c>
      <c r="G10" s="82">
        <v>947.44999999999993</v>
      </c>
      <c r="H10" s="83">
        <f t="shared" si="0"/>
        <v>29623.096588164251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2368.6249999999923</v>
      </c>
      <c r="O10" s="86">
        <f t="shared" si="2"/>
        <v>124.66447368421012</v>
      </c>
      <c r="P10" s="88">
        <f t="shared" si="3"/>
        <v>1</v>
      </c>
      <c r="Q10" s="89">
        <f t="shared" si="4"/>
        <v>-19.779970760234335</v>
      </c>
      <c r="R10" s="90">
        <f t="shared" si="5"/>
        <v>0.86306174089068544</v>
      </c>
      <c r="S10" s="593"/>
      <c r="T10" s="91">
        <v>0.57777777777777772</v>
      </c>
      <c r="U10" s="91">
        <v>0.59444444444444444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571"/>
      <c r="AC10" s="571"/>
      <c r="AD10" s="332"/>
      <c r="AE10" s="332"/>
      <c r="AF10" s="88">
        <f t="shared" si="6"/>
        <v>-231.37500000000773</v>
      </c>
      <c r="AG10" s="90">
        <f t="shared" si="7"/>
        <v>0.91100961538461245</v>
      </c>
      <c r="AH10" s="593"/>
    </row>
    <row r="11" spans="1:34" ht="19.2" customHeight="1">
      <c r="A11" s="628"/>
      <c r="B11" s="78" t="s">
        <v>242</v>
      </c>
      <c r="C11" s="79"/>
      <c r="D11" s="80" t="s">
        <v>95</v>
      </c>
      <c r="E11" s="81"/>
      <c r="F11" s="650">
        <v>37.94</v>
      </c>
      <c r="G11" s="82">
        <v>1628.1999999999998</v>
      </c>
      <c r="H11" s="83">
        <f t="shared" si="0"/>
        <v>61773.907999999989</v>
      </c>
      <c r="I11" s="84"/>
      <c r="J11" s="85">
        <v>20</v>
      </c>
      <c r="K11" s="82">
        <v>2400</v>
      </c>
      <c r="L11" s="86">
        <v>120</v>
      </c>
      <c r="M11" s="87">
        <v>19</v>
      </c>
      <c r="N11" s="82">
        <f t="shared" si="1"/>
        <v>2078.5531914893618</v>
      </c>
      <c r="O11" s="86">
        <f t="shared" si="2"/>
        <v>109.39753639417694</v>
      </c>
      <c r="P11" s="88">
        <f t="shared" si="3"/>
        <v>-1</v>
      </c>
      <c r="Q11" s="89">
        <f t="shared" si="4"/>
        <v>-10.602463605823061</v>
      </c>
      <c r="R11" s="90">
        <f t="shared" si="5"/>
        <v>0.9116461366181412</v>
      </c>
      <c r="S11" s="593"/>
      <c r="T11" s="91">
        <v>0.59930555555555554</v>
      </c>
      <c r="U11" s="91">
        <v>0.63194444444444442</v>
      </c>
      <c r="V11" s="75">
        <v>7</v>
      </c>
      <c r="W11" s="84">
        <f t="shared" si="8"/>
        <v>46.999999999999993</v>
      </c>
      <c r="X11" s="94"/>
      <c r="Y11" s="94"/>
      <c r="Z11" s="95"/>
      <c r="AA11" s="95"/>
      <c r="AB11" s="571"/>
      <c r="AC11" s="571"/>
      <c r="AD11" s="332"/>
      <c r="AE11" s="332"/>
      <c r="AF11" s="88">
        <f t="shared" si="6"/>
        <v>-321.44680851063822</v>
      </c>
      <c r="AG11" s="90">
        <f t="shared" si="7"/>
        <v>0.86606382978723406</v>
      </c>
      <c r="AH11" s="593"/>
    </row>
    <row r="12" spans="1:34" ht="19.2" customHeight="1">
      <c r="A12" s="628"/>
      <c r="B12" s="78" t="s">
        <v>247</v>
      </c>
      <c r="C12" s="79"/>
      <c r="D12" s="80" t="s">
        <v>355</v>
      </c>
      <c r="E12" s="81"/>
      <c r="F12" s="650">
        <v>50.67</v>
      </c>
      <c r="G12" s="82">
        <v>1721.3</v>
      </c>
      <c r="H12" s="83">
        <f t="shared" si="0"/>
        <v>87218.270999999993</v>
      </c>
      <c r="I12" s="84"/>
      <c r="J12" s="85">
        <v>18</v>
      </c>
      <c r="K12" s="82">
        <v>1500</v>
      </c>
      <c r="L12" s="86">
        <v>83.333333333333329</v>
      </c>
      <c r="M12" s="87">
        <v>18</v>
      </c>
      <c r="N12" s="82">
        <f t="shared" si="1"/>
        <v>1307.3164556962017</v>
      </c>
      <c r="O12" s="86">
        <f t="shared" si="2"/>
        <v>72.628691983122323</v>
      </c>
      <c r="P12" s="88">
        <f t="shared" si="3"/>
        <v>0</v>
      </c>
      <c r="Q12" s="89">
        <f t="shared" si="4"/>
        <v>-10.704641350211006</v>
      </c>
      <c r="R12" s="90">
        <f t="shared" si="5"/>
        <v>0.87154430379746795</v>
      </c>
      <c r="S12" s="593"/>
      <c r="T12" s="91">
        <v>0.70833333333333337</v>
      </c>
      <c r="U12" s="91">
        <v>0.76319444444444451</v>
      </c>
      <c r="V12" s="75">
        <v>5</v>
      </c>
      <c r="W12" s="84">
        <f t="shared" si="8"/>
        <v>79.000000000000043</v>
      </c>
      <c r="X12" s="94"/>
      <c r="Y12" s="94"/>
      <c r="Z12" s="95"/>
      <c r="AA12" s="95"/>
      <c r="AB12" s="571"/>
      <c r="AC12" s="571"/>
      <c r="AD12" s="332"/>
      <c r="AE12" s="332"/>
      <c r="AF12" s="88">
        <f t="shared" si="6"/>
        <v>-192.68354430379827</v>
      </c>
      <c r="AG12" s="90">
        <f t="shared" si="7"/>
        <v>0.87154430379746783</v>
      </c>
      <c r="AH12" s="593"/>
    </row>
    <row r="13" spans="1:34" ht="19.2" customHeight="1">
      <c r="A13" s="628"/>
      <c r="B13" s="78">
        <v>0</v>
      </c>
      <c r="C13" s="99"/>
      <c r="D13" s="100"/>
      <c r="E13" s="101"/>
      <c r="F13" s="650" t="s">
        <v>248</v>
      </c>
      <c r="G13" s="102"/>
      <c r="H13" s="83">
        <f t="shared" si="0"/>
        <v>0</v>
      </c>
      <c r="I13" s="103"/>
      <c r="J13" s="85"/>
      <c r="K13" s="82"/>
      <c r="L13" s="86"/>
      <c r="M13" s="104"/>
      <c r="N13" s="82"/>
      <c r="O13" s="86"/>
      <c r="P13" s="88"/>
      <c r="Q13" s="89"/>
      <c r="R13" s="90"/>
      <c r="S13" s="593"/>
      <c r="T13" s="105"/>
      <c r="U13" s="105"/>
      <c r="V13" s="103"/>
      <c r="W13" s="84"/>
      <c r="X13" s="106"/>
      <c r="Y13" s="106"/>
      <c r="Z13" s="95"/>
      <c r="AA13" s="95"/>
      <c r="AB13" s="571"/>
      <c r="AC13" s="571"/>
      <c r="AD13" s="332"/>
      <c r="AE13" s="332"/>
      <c r="AF13" s="88">
        <f t="shared" si="6"/>
        <v>0</v>
      </c>
      <c r="AG13" s="90" t="e">
        <f t="shared" si="7"/>
        <v>#DIV/0!</v>
      </c>
      <c r="AH13" s="593"/>
    </row>
    <row r="14" spans="1:34" ht="19.2" customHeight="1">
      <c r="A14" s="628"/>
      <c r="B14" s="78">
        <v>0</v>
      </c>
      <c r="C14" s="109"/>
      <c r="D14" s="80"/>
      <c r="E14" s="81"/>
      <c r="F14" s="650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593"/>
      <c r="T14" s="105"/>
      <c r="U14" s="105"/>
      <c r="V14" s="103"/>
      <c r="W14" s="84"/>
      <c r="X14" s="106"/>
      <c r="Y14" s="106"/>
      <c r="Z14" s="95"/>
      <c r="AA14" s="95"/>
      <c r="AB14" s="571"/>
      <c r="AC14" s="571"/>
      <c r="AD14" s="332"/>
      <c r="AE14" s="332"/>
      <c r="AF14" s="107"/>
      <c r="AG14" s="108"/>
      <c r="AH14" s="593"/>
    </row>
    <row r="15" spans="1:34" ht="19.2" customHeight="1">
      <c r="A15" s="628"/>
      <c r="B15" s="110">
        <v>0</v>
      </c>
      <c r="C15" s="99"/>
      <c r="D15" s="100"/>
      <c r="E15" s="101"/>
      <c r="F15" s="650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593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571"/>
      <c r="AC15" s="571"/>
      <c r="AD15" s="332"/>
      <c r="AE15" s="332"/>
      <c r="AF15" s="107"/>
      <c r="AG15" s="108"/>
      <c r="AH15" s="593"/>
    </row>
    <row r="16" spans="1:34" ht="19.2" customHeight="1">
      <c r="A16" s="628"/>
      <c r="B16" s="110">
        <v>0</v>
      </c>
      <c r="C16" s="99"/>
      <c r="D16" s="100"/>
      <c r="E16" s="101"/>
      <c r="F16" s="650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593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571"/>
      <c r="AC16" s="571"/>
      <c r="AD16" s="332"/>
      <c r="AE16" s="332"/>
      <c r="AF16" s="107"/>
      <c r="AG16" s="108"/>
      <c r="AH16" s="593"/>
    </row>
    <row r="17" spans="1:34" ht="19.2" customHeight="1">
      <c r="A17" s="628"/>
      <c r="B17" s="112">
        <v>0</v>
      </c>
      <c r="C17" s="112" t="s">
        <v>190</v>
      </c>
      <c r="D17" s="577" t="s">
        <v>191</v>
      </c>
      <c r="E17" s="577"/>
      <c r="F17" s="651"/>
      <c r="G17" s="113"/>
      <c r="H17" s="114"/>
      <c r="I17" s="115"/>
      <c r="J17" s="113">
        <v>18.625</v>
      </c>
      <c r="K17" s="113">
        <v>2412.5</v>
      </c>
      <c r="L17" s="116">
        <v>129.74415204678363</v>
      </c>
      <c r="M17" s="113">
        <f t="shared" ref="J17:O17" si="9">AVERAGE(M5:M16)</f>
        <v>19.25</v>
      </c>
      <c r="N17" s="113">
        <f t="shared" si="9"/>
        <v>2231.2076801105927</v>
      </c>
      <c r="O17" s="116">
        <f t="shared" si="9"/>
        <v>115.57362684072399</v>
      </c>
      <c r="P17" s="107">
        <f t="shared" ref="P17:P24" si="10">M17-J17</f>
        <v>0.625</v>
      </c>
      <c r="Q17" s="117">
        <f t="shared" ref="Q17:Q24" si="11">O17-L17</f>
        <v>-14.170525206059637</v>
      </c>
      <c r="R17" s="118">
        <f>O17/L17</f>
        <v>0.89078101029979384</v>
      </c>
      <c r="S17" s="593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571"/>
      <c r="AC17" s="571"/>
      <c r="AD17" s="122">
        <f>SUM(AD5:AD16)</f>
        <v>1</v>
      </c>
      <c r="AE17" s="122">
        <f>SUM(AE5:AE16)</f>
        <v>1</v>
      </c>
      <c r="AF17" s="107">
        <f t="shared" si="6"/>
        <v>-181.29231988940728</v>
      </c>
      <c r="AG17" s="108">
        <f t="shared" si="7"/>
        <v>0.92485292439817313</v>
      </c>
      <c r="AH17" s="593"/>
    </row>
    <row r="18" spans="1:34" ht="19.2" customHeight="1">
      <c r="A18" s="574" t="s">
        <v>345</v>
      </c>
      <c r="B18" s="123" t="s">
        <v>242</v>
      </c>
      <c r="C18" s="124"/>
      <c r="D18" s="125" t="s">
        <v>103</v>
      </c>
      <c r="E18" s="126"/>
      <c r="F18" s="652">
        <v>36.86</v>
      </c>
      <c r="G18" s="98">
        <v>2137.6</v>
      </c>
      <c r="H18" s="127">
        <f t="shared" ref="H18:H29" si="12">F18*G18</f>
        <v>78791.936000000002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4" si="13">G18/W18*60</f>
        <v>2137.6000000000004</v>
      </c>
      <c r="O18" s="129">
        <f t="shared" ref="O18:O24" si="14">N18/M18</f>
        <v>118.75555555555557</v>
      </c>
      <c r="P18" s="95">
        <f t="shared" si="10"/>
        <v>1</v>
      </c>
      <c r="Q18" s="131">
        <f t="shared" si="11"/>
        <v>-13.597385620915006</v>
      </c>
      <c r="R18" s="132">
        <f t="shared" ref="R18:R24" si="15">O18/L18</f>
        <v>0.89726419753086439</v>
      </c>
      <c r="S18" s="575">
        <f>R30</f>
        <v>0.88238705178803223</v>
      </c>
      <c r="T18" s="133">
        <v>0.16666666666666666</v>
      </c>
      <c r="U18" s="133">
        <v>0.20833333333333331</v>
      </c>
      <c r="V18" s="332">
        <v>5</v>
      </c>
      <c r="W18" s="134">
        <f>(U18-T18)*24*60</f>
        <v>59.999999999999986</v>
      </c>
      <c r="X18" s="129"/>
      <c r="Y18" s="129"/>
      <c r="Z18" s="95"/>
      <c r="AA18" s="95"/>
      <c r="AB18" s="571"/>
      <c r="AC18" s="571"/>
      <c r="AD18" s="332"/>
      <c r="AE18" s="332"/>
      <c r="AF18" s="135">
        <f t="shared" si="6"/>
        <v>-112.39999999999964</v>
      </c>
      <c r="AG18" s="136">
        <f t="shared" si="7"/>
        <v>0.95004444444444458</v>
      </c>
      <c r="AH18" s="616">
        <f>AG30</f>
        <v>0.91725183018609835</v>
      </c>
    </row>
    <row r="19" spans="1:34" ht="19.2" customHeight="1">
      <c r="A19" s="574"/>
      <c r="B19" s="219" t="s">
        <v>244</v>
      </c>
      <c r="C19" s="218"/>
      <c r="D19" s="125" t="s">
        <v>105</v>
      </c>
      <c r="E19" s="126"/>
      <c r="F19" s="650">
        <v>38.39</v>
      </c>
      <c r="G19" s="98">
        <v>2331</v>
      </c>
      <c r="H19" s="127">
        <f t="shared" si="12"/>
        <v>89487.09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1384.7524752475254</v>
      </c>
      <c r="O19" s="139">
        <f t="shared" si="14"/>
        <v>81.456027955736786</v>
      </c>
      <c r="P19" s="95">
        <f t="shared" si="10"/>
        <v>1</v>
      </c>
      <c r="Q19" s="131">
        <f t="shared" si="11"/>
        <v>-20.793972044263214</v>
      </c>
      <c r="R19" s="132">
        <f t="shared" si="15"/>
        <v>0.79663597022725463</v>
      </c>
      <c r="S19" s="575"/>
      <c r="T19" s="133">
        <v>0.22361111111111109</v>
      </c>
      <c r="U19" s="133">
        <v>0.29374999999999996</v>
      </c>
      <c r="V19" s="332">
        <v>22</v>
      </c>
      <c r="W19" s="134">
        <f>(U19-T19)*24*60</f>
        <v>100.99999999999996</v>
      </c>
      <c r="X19" s="140">
        <v>0.21180555555555555</v>
      </c>
      <c r="Y19" s="140">
        <v>0.22083333333333333</v>
      </c>
      <c r="Z19" s="95"/>
      <c r="AA19" s="95"/>
      <c r="AB19" s="571"/>
      <c r="AC19" s="571"/>
      <c r="AD19" s="332"/>
      <c r="AE19" s="332"/>
      <c r="AF19" s="88">
        <f t="shared" si="6"/>
        <v>-251.24752475247465</v>
      </c>
      <c r="AG19" s="90">
        <f t="shared" si="7"/>
        <v>0.84642571836645808</v>
      </c>
      <c r="AH19" s="617"/>
    </row>
    <row r="20" spans="1:34" ht="19.2" customHeight="1">
      <c r="A20" s="574"/>
      <c r="B20" s="219" t="s">
        <v>245</v>
      </c>
      <c r="C20" s="96"/>
      <c r="D20" s="80" t="s">
        <v>104</v>
      </c>
      <c r="E20" s="126"/>
      <c r="F20" s="650">
        <v>43.14</v>
      </c>
      <c r="G20" s="98">
        <v>2086</v>
      </c>
      <c r="H20" s="127">
        <f t="shared" si="12"/>
        <v>89990.040000000008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1375.3846153846155</v>
      </c>
      <c r="O20" s="139">
        <f t="shared" si="14"/>
        <v>85.961538461538467</v>
      </c>
      <c r="P20" s="95">
        <f t="shared" si="10"/>
        <v>0</v>
      </c>
      <c r="Q20" s="131">
        <f t="shared" si="11"/>
        <v>-4.038461538461533</v>
      </c>
      <c r="R20" s="132">
        <f t="shared" si="15"/>
        <v>0.95512820512820518</v>
      </c>
      <c r="S20" s="575"/>
      <c r="T20" s="133">
        <v>0.29861111111111105</v>
      </c>
      <c r="U20" s="133">
        <v>0.36180555555555549</v>
      </c>
      <c r="V20" s="332">
        <v>7</v>
      </c>
      <c r="W20" s="134">
        <f t="shared" ref="W20:W29" si="16">(U20-T20)*24*60</f>
        <v>91</v>
      </c>
      <c r="X20" s="140"/>
      <c r="Y20" s="140"/>
      <c r="Z20" s="95"/>
      <c r="AA20" s="95"/>
      <c r="AB20" s="571"/>
      <c r="AC20" s="571"/>
      <c r="AD20" s="332"/>
      <c r="AE20" s="332">
        <v>1</v>
      </c>
      <c r="AF20" s="135">
        <f t="shared" si="6"/>
        <v>-64.615384615384528</v>
      </c>
      <c r="AG20" s="136">
        <f t="shared" si="7"/>
        <v>0.95512820512820518</v>
      </c>
      <c r="AH20" s="617"/>
    </row>
    <row r="21" spans="1:34" ht="19.2" customHeight="1">
      <c r="A21" s="574"/>
      <c r="B21" s="219" t="s">
        <v>244</v>
      </c>
      <c r="C21" s="141"/>
      <c r="D21" s="142" t="s">
        <v>302</v>
      </c>
      <c r="E21" s="81"/>
      <c r="F21" s="650">
        <v>38.1</v>
      </c>
      <c r="G21" s="82">
        <v>2831</v>
      </c>
      <c r="H21" s="127">
        <f t="shared" si="12"/>
        <v>107861.1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1296.6412213740457</v>
      </c>
      <c r="O21" s="139">
        <f t="shared" si="14"/>
        <v>76.273013022002687</v>
      </c>
      <c r="P21" s="95">
        <f t="shared" si="10"/>
        <v>0</v>
      </c>
      <c r="Q21" s="131">
        <f t="shared" si="11"/>
        <v>-11.962281095644371</v>
      </c>
      <c r="R21" s="132">
        <f t="shared" si="15"/>
        <v>0.8644274809160305</v>
      </c>
      <c r="S21" s="575"/>
      <c r="T21" s="133">
        <v>0.37638888888888883</v>
      </c>
      <c r="U21" s="133">
        <v>0.46736111111111106</v>
      </c>
      <c r="V21" s="332">
        <v>21</v>
      </c>
      <c r="W21" s="134">
        <f t="shared" si="16"/>
        <v>131</v>
      </c>
      <c r="X21" s="140">
        <v>0.36527777777777781</v>
      </c>
      <c r="Y21" s="140">
        <v>0.37361111111111112</v>
      </c>
      <c r="Z21" s="95"/>
      <c r="AA21" s="95"/>
      <c r="AB21" s="571"/>
      <c r="AC21" s="571"/>
      <c r="AD21" s="332"/>
      <c r="AE21" s="332"/>
      <c r="AF21" s="88">
        <f t="shared" si="6"/>
        <v>-203.3587786259543</v>
      </c>
      <c r="AG21" s="90">
        <f t="shared" si="7"/>
        <v>0.8644274809160305</v>
      </c>
      <c r="AH21" s="618"/>
    </row>
    <row r="22" spans="1:34" ht="19.2" customHeight="1">
      <c r="A22" s="574"/>
      <c r="B22" s="219" t="s">
        <v>244</v>
      </c>
      <c r="C22" s="141"/>
      <c r="D22" s="80" t="s">
        <v>302</v>
      </c>
      <c r="E22" s="81"/>
      <c r="F22" s="650">
        <v>38.1</v>
      </c>
      <c r="G22" s="82">
        <v>1132.4000000000001</v>
      </c>
      <c r="H22" s="127">
        <f t="shared" si="12"/>
        <v>43144.44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1306.6153846153854</v>
      </c>
      <c r="O22" s="139">
        <f t="shared" si="14"/>
        <v>76.859728506787377</v>
      </c>
      <c r="P22" s="95">
        <f t="shared" si="10"/>
        <v>0</v>
      </c>
      <c r="Q22" s="131">
        <f t="shared" si="11"/>
        <v>-11.375565610859681</v>
      </c>
      <c r="R22" s="132">
        <f t="shared" si="15"/>
        <v>0.87107692307692364</v>
      </c>
      <c r="S22" s="575"/>
      <c r="T22" s="133">
        <v>0.50763888888888886</v>
      </c>
      <c r="U22" s="133">
        <v>0.54374999999999996</v>
      </c>
      <c r="V22" s="332">
        <v>5</v>
      </c>
      <c r="W22" s="134">
        <f t="shared" si="16"/>
        <v>51.999999999999972</v>
      </c>
      <c r="X22" s="140"/>
      <c r="Y22" s="140"/>
      <c r="Z22" s="95"/>
      <c r="AA22" s="95"/>
      <c r="AB22" s="571"/>
      <c r="AC22" s="571"/>
      <c r="AD22" s="332"/>
      <c r="AE22" s="332"/>
      <c r="AF22" s="135">
        <f t="shared" si="6"/>
        <v>-193.38461538461456</v>
      </c>
      <c r="AG22" s="136">
        <f t="shared" si="7"/>
        <v>0.87107692307692364</v>
      </c>
      <c r="AH22" s="618"/>
    </row>
    <row r="23" spans="1:34" ht="19.2" customHeight="1">
      <c r="A23" s="574"/>
      <c r="B23" s="219" t="s">
        <v>242</v>
      </c>
      <c r="C23" s="141"/>
      <c r="D23" s="80" t="s">
        <v>103</v>
      </c>
      <c r="E23" s="81"/>
      <c r="F23" s="650">
        <v>36.86</v>
      </c>
      <c r="G23" s="82">
        <v>534.4</v>
      </c>
      <c r="H23" s="127">
        <f t="shared" si="12"/>
        <v>19697.984</v>
      </c>
      <c r="I23" s="75">
        <v>2</v>
      </c>
      <c r="J23" s="137">
        <v>17</v>
      </c>
      <c r="K23" s="82">
        <v>2250</v>
      </c>
      <c r="L23" s="86">
        <v>132.35294117647058</v>
      </c>
      <c r="M23" s="130">
        <v>18</v>
      </c>
      <c r="N23" s="138">
        <f t="shared" si="13"/>
        <v>2004.0000000000073</v>
      </c>
      <c r="O23" s="139">
        <f t="shared" si="14"/>
        <v>111.33333333333374</v>
      </c>
      <c r="P23" s="95">
        <f t="shared" si="10"/>
        <v>1</v>
      </c>
      <c r="Q23" s="131">
        <f t="shared" si="11"/>
        <v>-21.019607843136839</v>
      </c>
      <c r="R23" s="132">
        <f t="shared" si="15"/>
        <v>0.84118518518518837</v>
      </c>
      <c r="S23" s="575"/>
      <c r="T23" s="133">
        <v>0.54930555555555549</v>
      </c>
      <c r="U23" s="133">
        <v>0.56041666666666656</v>
      </c>
      <c r="V23" s="332">
        <v>8</v>
      </c>
      <c r="W23" s="134">
        <f t="shared" si="16"/>
        <v>15.999999999999943</v>
      </c>
      <c r="X23" s="140"/>
      <c r="Y23" s="140"/>
      <c r="Z23" s="95"/>
      <c r="AA23" s="95"/>
      <c r="AB23" s="571"/>
      <c r="AC23" s="571"/>
      <c r="AD23" s="332"/>
      <c r="AE23" s="332"/>
      <c r="AF23" s="88">
        <f t="shared" si="6"/>
        <v>-245.99999999999272</v>
      </c>
      <c r="AG23" s="90">
        <f t="shared" si="7"/>
        <v>0.89066666666666994</v>
      </c>
      <c r="AH23" s="618"/>
    </row>
    <row r="24" spans="1:34" ht="19.2" customHeight="1">
      <c r="A24" s="574"/>
      <c r="B24" s="219" t="s">
        <v>242</v>
      </c>
      <c r="C24" s="124"/>
      <c r="D24" s="125" t="s">
        <v>98</v>
      </c>
      <c r="E24" s="126"/>
      <c r="F24" s="650">
        <v>38</v>
      </c>
      <c r="G24" s="98">
        <v>2881.8</v>
      </c>
      <c r="H24" s="127">
        <f t="shared" si="12"/>
        <v>109508.40000000001</v>
      </c>
      <c r="I24" s="134">
        <v>2</v>
      </c>
      <c r="J24" s="137">
        <v>19</v>
      </c>
      <c r="K24" s="82">
        <v>2600</v>
      </c>
      <c r="L24" s="86">
        <v>136.84210526315789</v>
      </c>
      <c r="M24" s="130">
        <v>20</v>
      </c>
      <c r="N24" s="138">
        <f t="shared" si="13"/>
        <v>2580.7164179104511</v>
      </c>
      <c r="O24" s="139">
        <f t="shared" si="14"/>
        <v>129.03582089552256</v>
      </c>
      <c r="P24" s="95">
        <f t="shared" si="10"/>
        <v>1</v>
      </c>
      <c r="Q24" s="131">
        <f t="shared" si="11"/>
        <v>-7.8062843676353282</v>
      </c>
      <c r="R24" s="132">
        <f t="shared" si="15"/>
        <v>0.94295407577497259</v>
      </c>
      <c r="S24" s="575"/>
      <c r="T24" s="133">
        <v>0.5659722222222221</v>
      </c>
      <c r="U24" s="133">
        <v>0.61249999999999982</v>
      </c>
      <c r="V24" s="332">
        <v>8</v>
      </c>
      <c r="W24" s="134">
        <f t="shared" si="16"/>
        <v>66.999999999999915</v>
      </c>
      <c r="X24" s="332"/>
      <c r="Y24" s="332"/>
      <c r="Z24" s="95"/>
      <c r="AA24" s="95"/>
      <c r="AB24" s="571"/>
      <c r="AC24" s="571"/>
      <c r="AD24" s="332"/>
      <c r="AE24" s="332"/>
      <c r="AF24" s="135">
        <f t="shared" si="6"/>
        <v>-19.283582089548872</v>
      </c>
      <c r="AG24" s="136">
        <f t="shared" si="7"/>
        <v>0.99258323765786582</v>
      </c>
      <c r="AH24" s="618"/>
    </row>
    <row r="25" spans="1:34" ht="19.2" customHeight="1">
      <c r="A25" s="574"/>
      <c r="B25" s="219">
        <v>0</v>
      </c>
      <c r="C25" s="124"/>
      <c r="D25" s="125"/>
      <c r="E25" s="126"/>
      <c r="F25" s="650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575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571"/>
      <c r="AC25" s="571"/>
      <c r="AD25" s="332"/>
      <c r="AE25" s="332"/>
      <c r="AF25" s="88">
        <f t="shared" si="6"/>
        <v>0</v>
      </c>
      <c r="AG25" s="90" t="e">
        <f t="shared" si="7"/>
        <v>#DIV/0!</v>
      </c>
      <c r="AH25" s="618"/>
    </row>
    <row r="26" spans="1:34" ht="19.2" customHeight="1">
      <c r="A26" s="574"/>
      <c r="B26" s="219">
        <v>0</v>
      </c>
      <c r="C26" s="124"/>
      <c r="D26" s="125"/>
      <c r="E26" s="126"/>
      <c r="F26" s="650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575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571"/>
      <c r="AC26" s="571"/>
      <c r="AD26" s="332"/>
      <c r="AE26" s="332"/>
      <c r="AF26" s="135">
        <f t="shared" si="6"/>
        <v>0</v>
      </c>
      <c r="AG26" s="136" t="e">
        <f t="shared" si="7"/>
        <v>#DIV/0!</v>
      </c>
      <c r="AH26" s="618"/>
    </row>
    <row r="27" spans="1:34" ht="19.2" customHeight="1">
      <c r="A27" s="574"/>
      <c r="B27" s="123">
        <v>0</v>
      </c>
      <c r="C27" s="124"/>
      <c r="D27" s="125"/>
      <c r="E27" s="126"/>
      <c r="F27" s="653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575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571"/>
      <c r="AC27" s="571"/>
      <c r="AD27" s="332"/>
      <c r="AE27" s="332"/>
      <c r="AF27" s="88">
        <f t="shared" si="6"/>
        <v>0</v>
      </c>
      <c r="AG27" s="90" t="e">
        <f t="shared" si="7"/>
        <v>#DIV/0!</v>
      </c>
      <c r="AH27" s="618"/>
    </row>
    <row r="28" spans="1:34" ht="19.2" customHeight="1">
      <c r="A28" s="574"/>
      <c r="B28" s="123">
        <v>0</v>
      </c>
      <c r="C28" s="124"/>
      <c r="D28" s="125"/>
      <c r="E28" s="126"/>
      <c r="F28" s="653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575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571"/>
      <c r="AC28" s="571"/>
      <c r="AD28" s="332"/>
      <c r="AE28" s="332"/>
      <c r="AF28" s="135">
        <f t="shared" si="6"/>
        <v>0</v>
      </c>
      <c r="AG28" s="136" t="e">
        <f t="shared" si="7"/>
        <v>#DIV/0!</v>
      </c>
      <c r="AH28" s="618"/>
    </row>
    <row r="29" spans="1:34" ht="19.2" customHeight="1">
      <c r="A29" s="574"/>
      <c r="B29" s="123">
        <v>0</v>
      </c>
      <c r="C29" s="124"/>
      <c r="D29" s="125"/>
      <c r="E29" s="126"/>
      <c r="F29" s="653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575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571"/>
      <c r="AC29" s="571"/>
      <c r="AD29" s="332"/>
      <c r="AE29" s="332"/>
      <c r="AF29" s="88">
        <f t="shared" si="6"/>
        <v>0</v>
      </c>
      <c r="AG29" s="90"/>
      <c r="AH29" s="618"/>
    </row>
    <row r="30" spans="1:34" ht="19.2" customHeight="1">
      <c r="A30" s="574"/>
      <c r="B30" s="143">
        <v>0</v>
      </c>
      <c r="C30" s="144" t="s">
        <v>192</v>
      </c>
      <c r="D30" s="615" t="s">
        <v>191</v>
      </c>
      <c r="E30" s="615"/>
      <c r="F30" s="654"/>
      <c r="G30" s="145"/>
      <c r="H30" s="146"/>
      <c r="I30" s="147"/>
      <c r="J30" s="145">
        <v>17</v>
      </c>
      <c r="K30" s="145">
        <v>1882.2857142857142</v>
      </c>
      <c r="L30" s="148">
        <v>110.03836797877047</v>
      </c>
      <c r="M30" s="145">
        <f t="shared" ref="J30:O30" si="17">AVERAGE(M18:M29)</f>
        <v>17.571428571428573</v>
      </c>
      <c r="N30" s="145">
        <f t="shared" si="17"/>
        <v>1726.5300163617187</v>
      </c>
      <c r="O30" s="148">
        <f t="shared" si="17"/>
        <v>97.096431104353883</v>
      </c>
      <c r="P30" s="95">
        <f t="shared" ref="P30:P37" si="18">M30-J30</f>
        <v>0.57142857142857295</v>
      </c>
      <c r="Q30" s="131">
        <f t="shared" ref="Q30:Q37" si="19">O30-L30</f>
        <v>-12.941936874416584</v>
      </c>
      <c r="R30" s="149">
        <f t="shared" ref="R30:R37" si="20">O30/L30</f>
        <v>0.88238705178803223</v>
      </c>
      <c r="S30" s="575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571"/>
      <c r="AC30" s="571"/>
      <c r="AD30" s="151">
        <f>SUM(AD18:AD29)</f>
        <v>0</v>
      </c>
      <c r="AE30" s="151">
        <f>SUM(AE18:AE29)</f>
        <v>1</v>
      </c>
      <c r="AF30" s="152">
        <f t="shared" si="6"/>
        <v>-155.75569792399551</v>
      </c>
      <c r="AG30" s="153">
        <f t="shared" ref="AG30" si="21">N30/K30</f>
        <v>0.91725183018609835</v>
      </c>
      <c r="AH30" s="619"/>
    </row>
    <row r="31" spans="1:34" ht="19.2" customHeight="1">
      <c r="A31" s="612" t="s">
        <v>304</v>
      </c>
      <c r="B31" s="154" t="s">
        <v>246</v>
      </c>
      <c r="C31" s="109"/>
      <c r="D31" s="155" t="s">
        <v>106</v>
      </c>
      <c r="E31" s="156"/>
      <c r="F31" s="655">
        <v>34.229999999999997</v>
      </c>
      <c r="G31" s="138">
        <v>2281</v>
      </c>
      <c r="H31" s="157">
        <f t="shared" ref="H31:H40" si="22">F31*G31</f>
        <v>78078.62999999999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2105.538461538461</v>
      </c>
      <c r="O31" s="160">
        <f t="shared" ref="O31:O37" si="24">N31/M31</f>
        <v>161.96449704142009</v>
      </c>
      <c r="P31" s="161">
        <f t="shared" si="18"/>
        <v>0</v>
      </c>
      <c r="Q31" s="162">
        <f t="shared" si="19"/>
        <v>-11.112426035502978</v>
      </c>
      <c r="R31" s="166">
        <f t="shared" si="20"/>
        <v>0.93579487179487164</v>
      </c>
      <c r="S31" s="614">
        <f>R43</f>
        <v>0.8674390396863888</v>
      </c>
      <c r="T31" s="163">
        <v>0.16666666666666666</v>
      </c>
      <c r="U31" s="163">
        <v>0.21180555555555555</v>
      </c>
      <c r="V31" s="93">
        <v>5</v>
      </c>
      <c r="W31" s="164">
        <f t="shared" ref="W31:W42" si="25">(U31-T31)*24*60</f>
        <v>65.000000000000014</v>
      </c>
      <c r="X31" s="93"/>
      <c r="Y31" s="93"/>
      <c r="Z31" s="92"/>
      <c r="AA31" s="92"/>
      <c r="AB31" s="571"/>
      <c r="AC31" s="571"/>
      <c r="AD31" s="93"/>
      <c r="AE31" s="93"/>
      <c r="AF31" s="161">
        <f t="shared" si="6"/>
        <v>-144.46153846153902</v>
      </c>
      <c r="AG31" s="165">
        <f t="shared" si="7"/>
        <v>0.93579487179487153</v>
      </c>
      <c r="AH31" s="592">
        <f>AG43</f>
        <v>0.8758028840135782</v>
      </c>
    </row>
    <row r="32" spans="1:34" ht="19.2" customHeight="1">
      <c r="A32" s="613"/>
      <c r="B32" s="167" t="s">
        <v>246</v>
      </c>
      <c r="C32" s="168"/>
      <c r="D32" s="142" t="s">
        <v>107</v>
      </c>
      <c r="E32" s="81"/>
      <c r="F32" s="650">
        <v>35.33</v>
      </c>
      <c r="G32" s="82">
        <v>2388</v>
      </c>
      <c r="H32" s="127">
        <f t="shared" si="22"/>
        <v>84368.04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1962.7397260273979</v>
      </c>
      <c r="O32" s="86">
        <f t="shared" si="24"/>
        <v>163.56164383561648</v>
      </c>
      <c r="P32" s="88">
        <f t="shared" si="18"/>
        <v>0</v>
      </c>
      <c r="Q32" s="89">
        <f t="shared" si="19"/>
        <v>-12.938356164383521</v>
      </c>
      <c r="R32" s="90">
        <f t="shared" si="20"/>
        <v>0.92669486592417272</v>
      </c>
      <c r="S32" s="575"/>
      <c r="T32" s="133">
        <v>0.21736111111111112</v>
      </c>
      <c r="U32" s="133">
        <v>0.26805555555555555</v>
      </c>
      <c r="V32" s="332">
        <v>8</v>
      </c>
      <c r="W32" s="134">
        <f t="shared" si="25"/>
        <v>72.999999999999986</v>
      </c>
      <c r="X32" s="169"/>
      <c r="Y32" s="169"/>
      <c r="Z32" s="170"/>
      <c r="AA32" s="170"/>
      <c r="AB32" s="571"/>
      <c r="AC32" s="571"/>
      <c r="AD32" s="332"/>
      <c r="AE32" s="332"/>
      <c r="AF32" s="88">
        <f t="shared" si="6"/>
        <v>-155.26027397260214</v>
      </c>
      <c r="AG32" s="90">
        <f t="shared" si="7"/>
        <v>0.92669486592417272</v>
      </c>
      <c r="AH32" s="590"/>
    </row>
    <row r="33" spans="1:34" ht="19.2" customHeight="1">
      <c r="A33" s="613"/>
      <c r="B33" s="167" t="s">
        <v>246</v>
      </c>
      <c r="C33" s="332"/>
      <c r="D33" s="125" t="s">
        <v>108</v>
      </c>
      <c r="E33" s="126"/>
      <c r="F33" s="650">
        <v>36.409999999999997</v>
      </c>
      <c r="G33" s="98">
        <v>2839.2</v>
      </c>
      <c r="H33" s="127">
        <f t="shared" si="22"/>
        <v>103375.27199999998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2241.4736842105272</v>
      </c>
      <c r="O33" s="86">
        <f t="shared" si="24"/>
        <v>224.1473684210527</v>
      </c>
      <c r="P33" s="88">
        <f t="shared" si="18"/>
        <v>0</v>
      </c>
      <c r="Q33" s="89">
        <f t="shared" si="19"/>
        <v>-52.752631578947273</v>
      </c>
      <c r="R33" s="90">
        <f t="shared" si="20"/>
        <v>0.80948851000741318</v>
      </c>
      <c r="S33" s="575"/>
      <c r="T33" s="133">
        <v>0.28333333333333333</v>
      </c>
      <c r="U33" s="133">
        <v>0.33611111111111108</v>
      </c>
      <c r="V33" s="332">
        <v>22</v>
      </c>
      <c r="W33" s="134">
        <f t="shared" si="25"/>
        <v>75.999999999999972</v>
      </c>
      <c r="X33" s="169">
        <v>0.27152777777777776</v>
      </c>
      <c r="Y33" s="169">
        <v>0.28055555555555556</v>
      </c>
      <c r="Z33" s="170"/>
      <c r="AA33" s="170"/>
      <c r="AB33" s="571"/>
      <c r="AC33" s="571"/>
      <c r="AD33" s="332"/>
      <c r="AE33" s="332"/>
      <c r="AF33" s="88">
        <f t="shared" si="6"/>
        <v>-527.52631578947285</v>
      </c>
      <c r="AG33" s="171">
        <f t="shared" si="7"/>
        <v>0.80948851000741318</v>
      </c>
      <c r="AH33" s="590"/>
    </row>
    <row r="34" spans="1:34" ht="19.2" customHeight="1">
      <c r="A34" s="613"/>
      <c r="B34" s="167" t="s">
        <v>247</v>
      </c>
      <c r="C34" s="172"/>
      <c r="D34" s="125" t="s">
        <v>110</v>
      </c>
      <c r="E34" s="126"/>
      <c r="F34" s="650">
        <v>53.27</v>
      </c>
      <c r="G34" s="98">
        <v>1480</v>
      </c>
      <c r="H34" s="127">
        <f t="shared" si="22"/>
        <v>78839.600000000006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1325.3731343283582</v>
      </c>
      <c r="O34" s="86">
        <f t="shared" si="24"/>
        <v>73.631840796019901</v>
      </c>
      <c r="P34" s="88">
        <f t="shared" si="18"/>
        <v>0</v>
      </c>
      <c r="Q34" s="89">
        <f t="shared" si="19"/>
        <v>-9.7014925373134275</v>
      </c>
      <c r="R34" s="90">
        <f t="shared" si="20"/>
        <v>0.88358208955223883</v>
      </c>
      <c r="S34" s="575"/>
      <c r="T34" s="133">
        <v>0.34166666666666662</v>
      </c>
      <c r="U34" s="133">
        <v>0.3881944444444444</v>
      </c>
      <c r="V34" s="332">
        <v>8</v>
      </c>
      <c r="W34" s="134">
        <f t="shared" si="25"/>
        <v>67</v>
      </c>
      <c r="X34" s="169"/>
      <c r="Y34" s="169"/>
      <c r="Z34" s="170"/>
      <c r="AA34" s="170"/>
      <c r="AB34" s="571"/>
      <c r="AC34" s="571"/>
      <c r="AD34" s="332"/>
      <c r="AE34" s="332"/>
      <c r="AF34" s="88">
        <f t="shared" si="6"/>
        <v>-174.62686567164178</v>
      </c>
      <c r="AG34" s="171">
        <f t="shared" si="7"/>
        <v>0.88358208955223883</v>
      </c>
      <c r="AH34" s="590"/>
    </row>
    <row r="35" spans="1:34" ht="19.2" customHeight="1">
      <c r="A35" s="613"/>
      <c r="B35" s="167" t="s">
        <v>245</v>
      </c>
      <c r="C35" s="79"/>
      <c r="D35" s="80" t="s">
        <v>111</v>
      </c>
      <c r="E35" s="81"/>
      <c r="F35" s="650">
        <v>29.113149847094796</v>
      </c>
      <c r="G35" s="173">
        <v>3085.92</v>
      </c>
      <c r="H35" s="127">
        <f t="shared" si="22"/>
        <v>89840.851376146777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1341.7043478260871</v>
      </c>
      <c r="O35" s="86">
        <f t="shared" si="24"/>
        <v>67.085217391304354</v>
      </c>
      <c r="P35" s="88">
        <f t="shared" si="18"/>
        <v>0</v>
      </c>
      <c r="Q35" s="89">
        <f t="shared" si="19"/>
        <v>-7.9147826086956456</v>
      </c>
      <c r="R35" s="90">
        <f t="shared" si="20"/>
        <v>0.8944695652173914</v>
      </c>
      <c r="S35" s="575"/>
      <c r="T35" s="133">
        <v>0.39305555555555549</v>
      </c>
      <c r="U35" s="133">
        <v>0.48888888888888882</v>
      </c>
      <c r="V35" s="332">
        <v>7</v>
      </c>
      <c r="W35" s="134">
        <f t="shared" si="25"/>
        <v>138</v>
      </c>
      <c r="X35" s="169"/>
      <c r="Y35" s="169"/>
      <c r="Z35" s="170"/>
      <c r="AA35" s="170"/>
      <c r="AB35" s="571"/>
      <c r="AC35" s="571"/>
      <c r="AD35" s="332"/>
      <c r="AE35" s="332"/>
      <c r="AF35" s="161">
        <f t="shared" si="6"/>
        <v>-158.29565217391291</v>
      </c>
      <c r="AG35" s="165">
        <f t="shared" si="7"/>
        <v>0.8944695652173914</v>
      </c>
      <c r="AH35" s="593"/>
    </row>
    <row r="36" spans="1:34" ht="19.2" customHeight="1">
      <c r="A36" s="613"/>
      <c r="B36" s="167" t="s">
        <v>244</v>
      </c>
      <c r="C36" s="175"/>
      <c r="D36" s="80" t="s">
        <v>105</v>
      </c>
      <c r="E36" s="126"/>
      <c r="F36" s="650">
        <v>38.39</v>
      </c>
      <c r="G36" s="98">
        <v>777</v>
      </c>
      <c r="H36" s="127">
        <f t="shared" si="22"/>
        <v>29829.03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1331.9999999999986</v>
      </c>
      <c r="O36" s="86">
        <f t="shared" si="24"/>
        <v>78.352941176470509</v>
      </c>
      <c r="P36" s="88">
        <f t="shared" si="18"/>
        <v>1</v>
      </c>
      <c r="Q36" s="89">
        <f t="shared" si="19"/>
        <v>-23.897058823529491</v>
      </c>
      <c r="R36" s="90">
        <f t="shared" si="20"/>
        <v>0.76628793326621525</v>
      </c>
      <c r="S36" s="575"/>
      <c r="T36" s="133">
        <v>0.52916666666666656</v>
      </c>
      <c r="U36" s="133">
        <v>0.55347222222222214</v>
      </c>
      <c r="V36" s="332">
        <v>5</v>
      </c>
      <c r="W36" s="134">
        <f t="shared" si="25"/>
        <v>35.000000000000036</v>
      </c>
      <c r="X36" s="169"/>
      <c r="Y36" s="169"/>
      <c r="Z36" s="170"/>
      <c r="AA36" s="170"/>
      <c r="AB36" s="571"/>
      <c r="AC36" s="571"/>
      <c r="AD36" s="332"/>
      <c r="AE36" s="332"/>
      <c r="AF36" s="88">
        <f t="shared" si="6"/>
        <v>-304.00000000000136</v>
      </c>
      <c r="AG36" s="90">
        <f t="shared" si="7"/>
        <v>0.81418092909535367</v>
      </c>
      <c r="AH36" s="593"/>
    </row>
    <row r="37" spans="1:34" ht="19.2" customHeight="1">
      <c r="A37" s="613"/>
      <c r="B37" s="167" t="s">
        <v>245</v>
      </c>
      <c r="C37" s="175"/>
      <c r="D37" s="125" t="s">
        <v>111</v>
      </c>
      <c r="E37" s="126"/>
      <c r="F37" s="650">
        <v>29.113149847094796</v>
      </c>
      <c r="G37" s="98">
        <v>942.92</v>
      </c>
      <c r="H37" s="127">
        <f t="shared" si="22"/>
        <v>27451.371253822625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1315.7023255813951</v>
      </c>
      <c r="O37" s="86">
        <f t="shared" si="24"/>
        <v>65.785116279069754</v>
      </c>
      <c r="P37" s="88">
        <f t="shared" si="18"/>
        <v>0</v>
      </c>
      <c r="Q37" s="89">
        <f t="shared" si="19"/>
        <v>-9.2148837209302457</v>
      </c>
      <c r="R37" s="90">
        <f t="shared" si="20"/>
        <v>0.87713488372093007</v>
      </c>
      <c r="S37" s="575"/>
      <c r="T37" s="133">
        <v>0.55902777777777768</v>
      </c>
      <c r="U37" s="133">
        <v>0.5888888888888888</v>
      </c>
      <c r="V37" s="332">
        <v>8</v>
      </c>
      <c r="W37" s="134">
        <f t="shared" si="25"/>
        <v>43.000000000000007</v>
      </c>
      <c r="X37" s="169"/>
      <c r="Y37" s="169"/>
      <c r="Z37" s="170"/>
      <c r="AA37" s="170"/>
      <c r="AB37" s="571"/>
      <c r="AC37" s="571"/>
      <c r="AD37" s="332"/>
      <c r="AE37" s="332"/>
      <c r="AF37" s="88">
        <f t="shared" si="6"/>
        <v>-184.29767441860486</v>
      </c>
      <c r="AG37" s="171">
        <f t="shared" si="7"/>
        <v>0.87713488372093007</v>
      </c>
      <c r="AH37" s="593"/>
    </row>
    <row r="38" spans="1:34" ht="19.2" customHeight="1">
      <c r="A38" s="613"/>
      <c r="B38" s="167">
        <v>0</v>
      </c>
      <c r="C38" s="175"/>
      <c r="D38" s="125"/>
      <c r="E38" s="126"/>
      <c r="F38" s="650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575"/>
      <c r="T38" s="133"/>
      <c r="U38" s="133"/>
      <c r="V38" s="332"/>
      <c r="W38" s="134"/>
      <c r="X38" s="169"/>
      <c r="Y38" s="169"/>
      <c r="Z38" s="170"/>
      <c r="AA38" s="170"/>
      <c r="AB38" s="571"/>
      <c r="AC38" s="571"/>
      <c r="AD38" s="332"/>
      <c r="AE38" s="332"/>
      <c r="AF38" s="88">
        <f t="shared" si="6"/>
        <v>0</v>
      </c>
      <c r="AG38" s="171" t="e">
        <f t="shared" si="7"/>
        <v>#DIV/0!</v>
      </c>
      <c r="AH38" s="593"/>
    </row>
    <row r="39" spans="1:34" ht="19.2" customHeight="1">
      <c r="A39" s="613"/>
      <c r="B39" s="167">
        <v>0</v>
      </c>
      <c r="C39" s="172"/>
      <c r="D39" s="80"/>
      <c r="E39" s="81"/>
      <c r="F39" s="650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575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571"/>
      <c r="AC39" s="571"/>
      <c r="AD39" s="332"/>
      <c r="AE39" s="332"/>
      <c r="AF39" s="161">
        <f t="shared" si="6"/>
        <v>0</v>
      </c>
      <c r="AG39" s="165" t="e">
        <f t="shared" si="7"/>
        <v>#DIV/0!</v>
      </c>
      <c r="AH39" s="593"/>
    </row>
    <row r="40" spans="1:34" ht="19.2" customHeight="1">
      <c r="A40" s="613"/>
      <c r="B40" s="177">
        <v>0</v>
      </c>
      <c r="C40" s="141"/>
      <c r="D40" s="80"/>
      <c r="E40" s="81"/>
      <c r="F40" s="650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575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571"/>
      <c r="AC40" s="571"/>
      <c r="AD40" s="332"/>
      <c r="AE40" s="332"/>
      <c r="AF40" s="88">
        <f t="shared" si="6"/>
        <v>0</v>
      </c>
      <c r="AG40" s="90" t="e">
        <f t="shared" si="7"/>
        <v>#DIV/0!</v>
      </c>
      <c r="AH40" s="593"/>
    </row>
    <row r="41" spans="1:34" ht="19.2" customHeight="1">
      <c r="A41" s="613"/>
      <c r="B41" s="332">
        <v>0</v>
      </c>
      <c r="C41" s="96"/>
      <c r="D41" s="125"/>
      <c r="E41" s="126"/>
      <c r="F41" s="650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575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571"/>
      <c r="AC41" s="571"/>
      <c r="AD41" s="332"/>
      <c r="AE41" s="332"/>
      <c r="AF41" s="88"/>
      <c r="AG41" s="176"/>
      <c r="AH41" s="593"/>
    </row>
    <row r="42" spans="1:34" ht="19.2" customHeight="1">
      <c r="A42" s="613"/>
      <c r="B42" s="332">
        <v>0</v>
      </c>
      <c r="C42" s="96"/>
      <c r="D42" s="125"/>
      <c r="E42" s="126"/>
      <c r="F42" s="656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575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571"/>
      <c r="AC42" s="571"/>
      <c r="AD42" s="332"/>
      <c r="AE42" s="332"/>
      <c r="AF42" s="88"/>
      <c r="AG42" s="176"/>
      <c r="AH42" s="593"/>
    </row>
    <row r="43" spans="1:34" ht="19.2" customHeight="1">
      <c r="A43" s="613"/>
      <c r="B43" s="167">
        <v>0</v>
      </c>
      <c r="C43" s="144" t="s">
        <v>193</v>
      </c>
      <c r="D43" s="572" t="s">
        <v>191</v>
      </c>
      <c r="E43" s="572"/>
      <c r="F43" s="654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J43:O43" si="26">AVERAGE(M31:M42)</f>
        <v>15.714285714285714</v>
      </c>
      <c r="N43" s="145">
        <f t="shared" si="26"/>
        <v>1660.6473827874604</v>
      </c>
      <c r="O43" s="148">
        <f t="shared" si="26"/>
        <v>119.21837499156483</v>
      </c>
      <c r="P43" s="95">
        <f>M43-J43</f>
        <v>0.14285714285714235</v>
      </c>
      <c r="Q43" s="131">
        <f>N43-K43</f>
        <v>-235.49547435539671</v>
      </c>
      <c r="R43" s="149">
        <f t="shared" ref="R43:R51" si="27">O43/L43</f>
        <v>0.8674390396863888</v>
      </c>
      <c r="S43" s="575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571"/>
      <c r="AC43" s="571"/>
      <c r="AD43" s="151">
        <f>SUM(AD31:AD42)</f>
        <v>0</v>
      </c>
      <c r="AE43" s="151">
        <f>SUM(AE31:AE42)</f>
        <v>0</v>
      </c>
      <c r="AF43" s="88">
        <f t="shared" ref="AF43:AF54" si="28">N43-K43</f>
        <v>-235.49547435539671</v>
      </c>
      <c r="AG43" s="108">
        <f t="shared" si="7"/>
        <v>0.8758028840135782</v>
      </c>
      <c r="AH43" s="593"/>
    </row>
    <row r="44" spans="1:34" s="195" customFormat="1" ht="19.2" customHeight="1">
      <c r="A44" s="608" t="s">
        <v>112</v>
      </c>
      <c r="B44" s="141" t="s">
        <v>246</v>
      </c>
      <c r="C44" s="182"/>
      <c r="D44" s="80" t="s">
        <v>130</v>
      </c>
      <c r="E44" s="81"/>
      <c r="F44" s="657">
        <v>22.27</v>
      </c>
      <c r="G44" s="183">
        <v>676</v>
      </c>
      <c r="H44" s="83">
        <f>F44*G44</f>
        <v>15054.52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2134.7368421052615</v>
      </c>
      <c r="O44" s="187">
        <f>N44/M44</f>
        <v>426.94736842105232</v>
      </c>
      <c r="P44" s="92">
        <f t="shared" ref="P44:P51" si="29">M44-J44</f>
        <v>1</v>
      </c>
      <c r="Q44" s="188">
        <f t="shared" ref="Q44:Q51" si="30">O44-L44</f>
        <v>-73.052631578947683</v>
      </c>
      <c r="R44" s="189">
        <f t="shared" si="27"/>
        <v>0.8538947368421046</v>
      </c>
      <c r="S44" s="590">
        <f>R56</f>
        <v>0.88304844715181019</v>
      </c>
      <c r="T44" s="190">
        <v>0.16666666666666666</v>
      </c>
      <c r="U44" s="190">
        <v>0.17986111111111111</v>
      </c>
      <c r="V44" s="191">
        <v>5</v>
      </c>
      <c r="W44" s="192">
        <f t="shared" ref="W44:W56" si="31">(U44-T44)*24*60</f>
        <v>19.000000000000014</v>
      </c>
      <c r="X44" s="169"/>
      <c r="Y44" s="169"/>
      <c r="Z44" s="170"/>
      <c r="AA44" s="170"/>
      <c r="AB44" s="571"/>
      <c r="AC44" s="571"/>
      <c r="AD44" s="332"/>
      <c r="AE44" s="332"/>
      <c r="AF44" s="193">
        <f t="shared" si="28"/>
        <v>134.73684210526153</v>
      </c>
      <c r="AG44" s="194">
        <f t="shared" si="7"/>
        <v>1.0673684210526309</v>
      </c>
      <c r="AH44" s="611">
        <f>AG56</f>
        <v>1.0140237666159502</v>
      </c>
    </row>
    <row r="45" spans="1:34" s="195" customFormat="1" ht="19.2" customHeight="1">
      <c r="A45" s="609"/>
      <c r="B45" s="141" t="s">
        <v>246</v>
      </c>
      <c r="C45" s="182"/>
      <c r="D45" s="80" t="s">
        <v>128</v>
      </c>
      <c r="E45" s="81"/>
      <c r="F45" s="657">
        <v>24.73</v>
      </c>
      <c r="G45" s="183">
        <v>2632</v>
      </c>
      <c r="H45" s="83">
        <f>F45*G45</f>
        <v>65089.36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2134.0540540540533</v>
      </c>
      <c r="O45" s="187">
        <f>N45/M45</f>
        <v>426.81081081081066</v>
      </c>
      <c r="P45" s="92">
        <f t="shared" si="29"/>
        <v>1</v>
      </c>
      <c r="Q45" s="188">
        <f t="shared" si="30"/>
        <v>-73.189189189189335</v>
      </c>
      <c r="R45" s="189">
        <f t="shared" si="27"/>
        <v>0.85362162162162136</v>
      </c>
      <c r="S45" s="590"/>
      <c r="T45" s="190">
        <v>0.18333333333333332</v>
      </c>
      <c r="U45" s="190">
        <v>0.23472222222222222</v>
      </c>
      <c r="V45" s="191">
        <v>5</v>
      </c>
      <c r="W45" s="192">
        <f t="shared" si="31"/>
        <v>74.000000000000014</v>
      </c>
      <c r="X45" s="169"/>
      <c r="Y45" s="169"/>
      <c r="Z45" s="170"/>
      <c r="AA45" s="170"/>
      <c r="AB45" s="571"/>
      <c r="AC45" s="571"/>
      <c r="AD45" s="332"/>
      <c r="AE45" s="332"/>
      <c r="AF45" s="193">
        <f t="shared" si="28"/>
        <v>134.05405405405327</v>
      </c>
      <c r="AG45" s="194">
        <f t="shared" si="7"/>
        <v>1.0670270270270266</v>
      </c>
      <c r="AH45" s="611"/>
    </row>
    <row r="46" spans="1:34" s="195" customFormat="1" ht="19.2" customHeight="1">
      <c r="A46" s="609"/>
      <c r="B46" s="141" t="s">
        <v>246</v>
      </c>
      <c r="C46" s="182"/>
      <c r="D46" s="80" t="s">
        <v>129</v>
      </c>
      <c r="E46" s="81"/>
      <c r="F46" s="657">
        <v>24.73</v>
      </c>
      <c r="G46" s="183">
        <v>2371</v>
      </c>
      <c r="H46" s="83">
        <f t="shared" ref="H46:H51" si="32">F46*G46</f>
        <v>58634.83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2123.2835820895521</v>
      </c>
      <c r="O46" s="187">
        <f>N46/M46</f>
        <v>424.65671641791039</v>
      </c>
      <c r="P46" s="92">
        <f t="shared" si="29"/>
        <v>1</v>
      </c>
      <c r="Q46" s="188">
        <f t="shared" si="30"/>
        <v>-75.343283582089612</v>
      </c>
      <c r="R46" s="189">
        <f t="shared" si="27"/>
        <v>0.84931343283582073</v>
      </c>
      <c r="S46" s="590"/>
      <c r="T46" s="190">
        <v>0.23819444444444443</v>
      </c>
      <c r="U46" s="190">
        <v>0.28472222222222221</v>
      </c>
      <c r="V46" s="191">
        <v>5</v>
      </c>
      <c r="W46" s="192">
        <f t="shared" si="31"/>
        <v>67</v>
      </c>
      <c r="X46" s="169"/>
      <c r="Y46" s="169"/>
      <c r="Z46" s="170"/>
      <c r="AA46" s="170"/>
      <c r="AB46" s="571"/>
      <c r="AC46" s="571"/>
      <c r="AD46" s="332"/>
      <c r="AE46" s="332"/>
      <c r="AF46" s="193">
        <f t="shared" si="28"/>
        <v>123.28358208955206</v>
      </c>
      <c r="AG46" s="194">
        <f t="shared" si="7"/>
        <v>1.061641791044776</v>
      </c>
      <c r="AH46" s="611"/>
    </row>
    <row r="47" spans="1:34" s="195" customFormat="1" ht="19.2" customHeight="1">
      <c r="A47" s="609"/>
      <c r="B47" s="141" t="s">
        <v>245</v>
      </c>
      <c r="C47" s="182"/>
      <c r="D47" s="197" t="s">
        <v>115</v>
      </c>
      <c r="E47" s="198"/>
      <c r="F47" s="657">
        <v>31.43</v>
      </c>
      <c r="G47" s="186">
        <v>2723</v>
      </c>
      <c r="H47" s="83">
        <f t="shared" si="32"/>
        <v>85583.89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1445.8407079646017</v>
      </c>
      <c r="O47" s="187">
        <f>N47/M47</f>
        <v>206.54867256637166</v>
      </c>
      <c r="P47" s="92">
        <f t="shared" si="29"/>
        <v>0</v>
      </c>
      <c r="Q47" s="188">
        <f t="shared" si="30"/>
        <v>-7.7370417193426135</v>
      </c>
      <c r="R47" s="189">
        <f t="shared" si="27"/>
        <v>0.96389380530973445</v>
      </c>
      <c r="S47" s="590"/>
      <c r="T47" s="190">
        <v>0.30208333333333331</v>
      </c>
      <c r="U47" s="190">
        <v>0.38055555555555554</v>
      </c>
      <c r="V47" s="186">
        <v>25</v>
      </c>
      <c r="W47" s="192">
        <f t="shared" si="31"/>
        <v>113</v>
      </c>
      <c r="X47" s="169">
        <v>0.28819444444444448</v>
      </c>
      <c r="Y47" s="169">
        <v>0.29930555555555555</v>
      </c>
      <c r="Z47" s="170"/>
      <c r="AA47" s="170"/>
      <c r="AB47" s="571"/>
      <c r="AC47" s="571"/>
      <c r="AD47" s="332"/>
      <c r="AE47" s="332"/>
      <c r="AF47" s="193">
        <f t="shared" si="28"/>
        <v>-54.159292035398266</v>
      </c>
      <c r="AG47" s="194">
        <f t="shared" si="7"/>
        <v>0.96389380530973445</v>
      </c>
      <c r="AH47" s="611"/>
    </row>
    <row r="48" spans="1:34" s="195" customFormat="1" ht="19.2" customHeight="1">
      <c r="A48" s="609"/>
      <c r="B48" s="141" t="s">
        <v>245</v>
      </c>
      <c r="C48" s="182"/>
      <c r="D48" s="200" t="s">
        <v>113</v>
      </c>
      <c r="E48" s="198"/>
      <c r="F48" s="657">
        <v>11.6</v>
      </c>
      <c r="G48" s="186">
        <v>2427</v>
      </c>
      <c r="H48" s="83">
        <f t="shared" si="32"/>
        <v>28153.200000000001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1470.9090909090903</v>
      </c>
      <c r="O48" s="187">
        <f t="shared" ref="O48:O51" si="34">N48/M48</f>
        <v>210.12987012987006</v>
      </c>
      <c r="P48" s="92">
        <f t="shared" si="29"/>
        <v>0</v>
      </c>
      <c r="Q48" s="188">
        <f t="shared" si="30"/>
        <v>-23.584415584415666</v>
      </c>
      <c r="R48" s="189">
        <f t="shared" si="27"/>
        <v>0.89908868637474959</v>
      </c>
      <c r="S48" s="590"/>
      <c r="T48" s="201">
        <v>0.39791666666666664</v>
      </c>
      <c r="U48" s="201">
        <v>0.46666666666666667</v>
      </c>
      <c r="V48" s="183">
        <v>25</v>
      </c>
      <c r="W48" s="192">
        <f t="shared" si="31"/>
        <v>99.000000000000043</v>
      </c>
      <c r="X48" s="169">
        <v>0.3840277777777778</v>
      </c>
      <c r="Y48" s="169">
        <v>0.39513888888888887</v>
      </c>
      <c r="Z48" s="170"/>
      <c r="AA48" s="170"/>
      <c r="AB48" s="571"/>
      <c r="AC48" s="571"/>
      <c r="AD48" s="332"/>
      <c r="AE48" s="332"/>
      <c r="AF48" s="193">
        <f t="shared" si="28"/>
        <v>-165.09090909090969</v>
      </c>
      <c r="AG48" s="194">
        <f t="shared" si="7"/>
        <v>0.89908868637474959</v>
      </c>
      <c r="AH48" s="611"/>
    </row>
    <row r="49" spans="1:34" s="195" customFormat="1" ht="19.2" customHeight="1">
      <c r="A49" s="609"/>
      <c r="B49" s="141" t="s">
        <v>247</v>
      </c>
      <c r="C49" s="182"/>
      <c r="D49" s="200" t="s">
        <v>114</v>
      </c>
      <c r="E49" s="198"/>
      <c r="F49" s="657">
        <v>10.09</v>
      </c>
      <c r="G49" s="183">
        <v>2696</v>
      </c>
      <c r="H49" s="83">
        <f t="shared" si="32"/>
        <v>27202.639999999999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1444.2857142857131</v>
      </c>
      <c r="O49" s="187">
        <f t="shared" si="34"/>
        <v>240.71428571428552</v>
      </c>
      <c r="P49" s="92">
        <f t="shared" si="29"/>
        <v>0</v>
      </c>
      <c r="Q49" s="188">
        <f t="shared" si="30"/>
        <v>-9.2857142857144765</v>
      </c>
      <c r="R49" s="189">
        <f t="shared" si="27"/>
        <v>0.96285714285714208</v>
      </c>
      <c r="S49" s="590"/>
      <c r="T49" s="201">
        <v>0.47361111111111109</v>
      </c>
      <c r="U49" s="201">
        <v>0.55138888888888893</v>
      </c>
      <c r="V49" s="183">
        <v>10</v>
      </c>
      <c r="W49" s="192">
        <f t="shared" si="31"/>
        <v>112.00000000000009</v>
      </c>
      <c r="X49" s="202"/>
      <c r="Y49" s="202"/>
      <c r="Z49" s="203"/>
      <c r="AA49" s="170"/>
      <c r="AB49" s="571"/>
      <c r="AC49" s="571"/>
      <c r="AD49" s="332"/>
      <c r="AE49" s="332"/>
      <c r="AF49" s="193">
        <f t="shared" si="28"/>
        <v>-55.714285714286916</v>
      </c>
      <c r="AG49" s="194">
        <f t="shared" si="7"/>
        <v>0.96285714285714208</v>
      </c>
      <c r="AH49" s="611"/>
    </row>
    <row r="50" spans="1:34" s="195" customFormat="1" ht="19.2" customHeight="1">
      <c r="A50" s="609"/>
      <c r="B50" s="141" t="s">
        <v>247</v>
      </c>
      <c r="C50" s="182"/>
      <c r="D50" s="200" t="s">
        <v>114</v>
      </c>
      <c r="E50" s="198"/>
      <c r="F50" s="657">
        <v>10.09</v>
      </c>
      <c r="G50" s="183">
        <v>2830.7999999999997</v>
      </c>
      <c r="H50" s="83">
        <f t="shared" si="32"/>
        <v>28562.771999999997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1464.206896551723</v>
      </c>
      <c r="O50" s="187">
        <f t="shared" si="34"/>
        <v>244.0344827586205</v>
      </c>
      <c r="P50" s="92">
        <f t="shared" si="29"/>
        <v>0</v>
      </c>
      <c r="Q50" s="188">
        <f t="shared" si="30"/>
        <v>-5.9655172413795015</v>
      </c>
      <c r="R50" s="189">
        <f t="shared" si="27"/>
        <v>0.97613793103448199</v>
      </c>
      <c r="S50" s="590"/>
      <c r="T50" s="201">
        <v>0.5722222222222223</v>
      </c>
      <c r="U50" s="201">
        <v>0.6527777777777779</v>
      </c>
      <c r="V50" s="183">
        <v>30</v>
      </c>
      <c r="W50" s="192">
        <f t="shared" si="31"/>
        <v>116.00000000000007</v>
      </c>
      <c r="X50" s="202">
        <v>0.55486111111111114</v>
      </c>
      <c r="Y50" s="202">
        <v>0.56944444444444442</v>
      </c>
      <c r="Z50" s="203"/>
      <c r="AA50" s="203"/>
      <c r="AB50" s="571"/>
      <c r="AC50" s="571"/>
      <c r="AD50" s="332"/>
      <c r="AE50" s="332"/>
      <c r="AF50" s="193">
        <f t="shared" si="28"/>
        <v>-35.793103448276952</v>
      </c>
      <c r="AG50" s="194">
        <f t="shared" si="7"/>
        <v>0.97613793103448199</v>
      </c>
      <c r="AH50" s="611"/>
    </row>
    <row r="51" spans="1:34" s="195" customFormat="1" ht="19.2" customHeight="1">
      <c r="A51" s="609"/>
      <c r="B51" s="141" t="s">
        <v>246</v>
      </c>
      <c r="C51" s="182"/>
      <c r="D51" s="200" t="s">
        <v>308</v>
      </c>
      <c r="E51" s="198"/>
      <c r="F51" s="657">
        <v>21.92</v>
      </c>
      <c r="G51" s="183">
        <v>1376</v>
      </c>
      <c r="H51" s="83">
        <f t="shared" si="32"/>
        <v>30161.920000000002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2116.9230769230758</v>
      </c>
      <c r="O51" s="187">
        <f t="shared" si="34"/>
        <v>423.38461538461513</v>
      </c>
      <c r="P51" s="92">
        <f t="shared" si="29"/>
        <v>1</v>
      </c>
      <c r="Q51" s="188">
        <f t="shared" si="30"/>
        <v>-76.615384615384869</v>
      </c>
      <c r="R51" s="189">
        <f t="shared" si="27"/>
        <v>0.84676923076923027</v>
      </c>
      <c r="S51" s="590"/>
      <c r="T51" s="201">
        <v>0.65972222222222232</v>
      </c>
      <c r="U51" s="201">
        <v>0.68680555555555567</v>
      </c>
      <c r="V51" s="183">
        <v>10</v>
      </c>
      <c r="W51" s="192">
        <f t="shared" si="31"/>
        <v>39.000000000000021</v>
      </c>
      <c r="X51" s="202"/>
      <c r="Y51" s="202"/>
      <c r="Z51" s="203"/>
      <c r="AA51" s="203"/>
      <c r="AB51" s="571"/>
      <c r="AC51" s="571"/>
      <c r="AD51" s="332"/>
      <c r="AE51" s="332"/>
      <c r="AF51" s="193">
        <f t="shared" si="28"/>
        <v>116.92307692307577</v>
      </c>
      <c r="AG51" s="194">
        <f t="shared" si="7"/>
        <v>1.0584615384615379</v>
      </c>
      <c r="AH51" s="611"/>
    </row>
    <row r="52" spans="1:34" s="195" customFormat="1" ht="19.2" customHeight="1">
      <c r="A52" s="609"/>
      <c r="B52" s="141">
        <v>0</v>
      </c>
      <c r="C52" s="182"/>
      <c r="D52" s="200"/>
      <c r="E52" s="198"/>
      <c r="F52" s="657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590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571"/>
      <c r="AC52" s="571"/>
      <c r="AD52" s="332"/>
      <c r="AE52" s="332"/>
      <c r="AF52" s="193">
        <f t="shared" si="28"/>
        <v>0</v>
      </c>
      <c r="AG52" s="194" t="e">
        <f t="shared" si="7"/>
        <v>#DIV/0!</v>
      </c>
      <c r="AH52" s="611"/>
    </row>
    <row r="53" spans="1:34" s="195" customFormat="1" ht="19.2" customHeight="1">
      <c r="A53" s="609"/>
      <c r="B53" s="141">
        <v>0</v>
      </c>
      <c r="C53" s="182"/>
      <c r="D53" s="200"/>
      <c r="E53" s="198"/>
      <c r="F53" s="657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590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571"/>
      <c r="AC53" s="571"/>
      <c r="AD53" s="332"/>
      <c r="AE53" s="332"/>
      <c r="AF53" s="193">
        <f t="shared" si="28"/>
        <v>0</v>
      </c>
      <c r="AG53" s="194" t="e">
        <f t="shared" si="7"/>
        <v>#DIV/0!</v>
      </c>
      <c r="AH53" s="611"/>
    </row>
    <row r="54" spans="1:34" s="195" customFormat="1" ht="19.2" customHeight="1">
      <c r="A54" s="609"/>
      <c r="B54" s="206">
        <v>0</v>
      </c>
      <c r="C54" s="182"/>
      <c r="D54" s="200"/>
      <c r="E54" s="198"/>
      <c r="F54" s="658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590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571"/>
      <c r="AC54" s="571"/>
      <c r="AD54" s="332"/>
      <c r="AE54" s="332"/>
      <c r="AF54" s="193">
        <f t="shared" si="28"/>
        <v>0</v>
      </c>
      <c r="AG54" s="194" t="e">
        <f t="shared" si="7"/>
        <v>#DIV/0!</v>
      </c>
      <c r="AH54" s="611"/>
    </row>
    <row r="55" spans="1:34" s="195" customFormat="1" ht="19.2" customHeight="1">
      <c r="A55" s="609"/>
      <c r="B55" s="206">
        <v>0</v>
      </c>
      <c r="C55" s="182"/>
      <c r="D55" s="200"/>
      <c r="E55" s="198"/>
      <c r="F55" s="658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590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571"/>
      <c r="AC55" s="571"/>
      <c r="AD55" s="332"/>
      <c r="AE55" s="332"/>
      <c r="AF55" s="193"/>
      <c r="AG55" s="194"/>
      <c r="AH55" s="611"/>
    </row>
    <row r="56" spans="1:34" ht="19.2" customHeight="1">
      <c r="A56" s="610"/>
      <c r="B56" s="207">
        <v>0</v>
      </c>
      <c r="C56" s="144" t="s">
        <v>309</v>
      </c>
      <c r="D56" s="572" t="s">
        <v>191</v>
      </c>
      <c r="E56" s="572"/>
      <c r="F56" s="654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5.75</v>
      </c>
      <c r="N56" s="145">
        <f t="shared" si="35"/>
        <v>1791.779995610384</v>
      </c>
      <c r="O56" s="148">
        <f t="shared" si="35"/>
        <v>325.40335277544204</v>
      </c>
      <c r="P56" s="208">
        <f>M56-J56</f>
        <v>0.5</v>
      </c>
      <c r="Q56" s="162">
        <f>N56-K56</f>
        <v>24.779995610384049</v>
      </c>
      <c r="R56" s="209">
        <f t="shared" ref="R56:R61" si="36">O56/L56</f>
        <v>0.88304844715181019</v>
      </c>
      <c r="S56" s="590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571"/>
      <c r="AC56" s="571"/>
      <c r="AD56" s="151">
        <f>SUM(AD44:AD55)</f>
        <v>0</v>
      </c>
      <c r="AE56" s="151">
        <f>SUM(AE44:AE55)</f>
        <v>0</v>
      </c>
      <c r="AF56" s="213">
        <f>N56-K56</f>
        <v>24.779995610384049</v>
      </c>
      <c r="AG56" s="132">
        <f>N56/K56</f>
        <v>1.0140237666159502</v>
      </c>
      <c r="AH56" s="611"/>
    </row>
    <row r="57" spans="1:34" ht="19.2" customHeight="1">
      <c r="A57" s="604" t="s">
        <v>346</v>
      </c>
      <c r="B57" s="141" t="s">
        <v>245</v>
      </c>
      <c r="C57" s="214"/>
      <c r="D57" s="215" t="s">
        <v>116</v>
      </c>
      <c r="E57" s="156"/>
      <c r="F57" s="650">
        <v>28.26</v>
      </c>
      <c r="G57" s="183">
        <v>1857</v>
      </c>
      <c r="H57" s="127">
        <f t="shared" ref="H57:H66" si="37">F57*G57</f>
        <v>52478.82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1466.0526315789471</v>
      </c>
      <c r="O57" s="129">
        <f t="shared" ref="O57:O61" si="39">N57/M57</f>
        <v>209.43609022556387</v>
      </c>
      <c r="P57" s="216">
        <f t="shared" ref="P57:P61" si="40">M57-J57</f>
        <v>0</v>
      </c>
      <c r="Q57" s="89">
        <f t="shared" ref="Q57:Q61" si="41">O57-L57</f>
        <v>-4.8496240601504041</v>
      </c>
      <c r="R57" s="90">
        <f t="shared" si="36"/>
        <v>0.97736842105263144</v>
      </c>
      <c r="S57" s="590">
        <f>R69</f>
        <v>0.91961213450292367</v>
      </c>
      <c r="T57" s="190">
        <v>0.16666666666666666</v>
      </c>
      <c r="U57" s="190">
        <v>0.21944444444444444</v>
      </c>
      <c r="V57" s="75">
        <v>5</v>
      </c>
      <c r="W57" s="84">
        <f>(U57-T57)*24*60</f>
        <v>76.000000000000014</v>
      </c>
      <c r="X57" s="94"/>
      <c r="Y57" s="94"/>
      <c r="Z57" s="95"/>
      <c r="AA57" s="95"/>
      <c r="AB57" s="571"/>
      <c r="AC57" s="571"/>
      <c r="AD57" s="332"/>
      <c r="AE57" s="332"/>
      <c r="AF57" s="88">
        <f t="shared" si="6"/>
        <v>-33.947368421052943</v>
      </c>
      <c r="AG57" s="166">
        <f t="shared" si="7"/>
        <v>0.97736842105263133</v>
      </c>
      <c r="AH57" s="592">
        <f>AG69</f>
        <v>0.98091961013645201</v>
      </c>
    </row>
    <row r="58" spans="1:34" ht="19.2" customHeight="1">
      <c r="A58" s="605"/>
      <c r="B58" s="141" t="s">
        <v>245</v>
      </c>
      <c r="C58" s="218"/>
      <c r="D58" s="80" t="s">
        <v>117</v>
      </c>
      <c r="E58" s="81"/>
      <c r="F58" s="650">
        <v>27.88</v>
      </c>
      <c r="G58" s="183">
        <v>2622</v>
      </c>
      <c r="H58" s="83">
        <f t="shared" si="37"/>
        <v>73101.36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1456.6666666666672</v>
      </c>
      <c r="O58" s="86">
        <f t="shared" si="39"/>
        <v>208.09523809523816</v>
      </c>
      <c r="P58" s="216">
        <f t="shared" si="40"/>
        <v>0</v>
      </c>
      <c r="Q58" s="89">
        <f t="shared" si="41"/>
        <v>-6.1904761904761187</v>
      </c>
      <c r="R58" s="90">
        <f t="shared" si="36"/>
        <v>0.97111111111111148</v>
      </c>
      <c r="S58" s="590"/>
      <c r="T58" s="217">
        <v>0.22638888888888889</v>
      </c>
      <c r="U58" s="217">
        <v>0.30138888888888887</v>
      </c>
      <c r="V58" s="75">
        <v>10</v>
      </c>
      <c r="W58" s="84">
        <f>(U58-T58)*24*60</f>
        <v>107.99999999999997</v>
      </c>
      <c r="X58" s="94"/>
      <c r="Y58" s="94"/>
      <c r="Z58" s="95"/>
      <c r="AA58" s="95"/>
      <c r="AB58" s="606"/>
      <c r="AC58" s="607"/>
      <c r="AD58" s="332"/>
      <c r="AE58" s="332"/>
      <c r="AF58" s="88">
        <f t="shared" si="6"/>
        <v>-43.333333333332803</v>
      </c>
      <c r="AG58" s="90">
        <f t="shared" si="7"/>
        <v>0.97111111111111148</v>
      </c>
      <c r="AH58" s="590"/>
    </row>
    <row r="59" spans="1:34" ht="19.2" customHeight="1">
      <c r="A59" s="605"/>
      <c r="B59" s="141" t="s">
        <v>245</v>
      </c>
      <c r="C59" s="218"/>
      <c r="D59" s="80" t="s">
        <v>118</v>
      </c>
      <c r="E59" s="81"/>
      <c r="F59" s="650">
        <v>28</v>
      </c>
      <c r="G59" s="183">
        <v>3093</v>
      </c>
      <c r="H59" s="83">
        <f t="shared" si="37"/>
        <v>86604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1472.8571428571424</v>
      </c>
      <c r="O59" s="86">
        <f t="shared" si="39"/>
        <v>210.40816326530606</v>
      </c>
      <c r="P59" s="216">
        <f t="shared" si="40"/>
        <v>0</v>
      </c>
      <c r="Q59" s="89">
        <f t="shared" si="41"/>
        <v>-3.8775510204082195</v>
      </c>
      <c r="R59" s="90">
        <f t="shared" si="36"/>
        <v>0.98190476190476161</v>
      </c>
      <c r="S59" s="590"/>
      <c r="T59" s="217">
        <v>0.31874999999999998</v>
      </c>
      <c r="U59" s="217">
        <v>0.40625</v>
      </c>
      <c r="V59" s="191">
        <v>25</v>
      </c>
      <c r="W59" s="84">
        <f>(U59-T59)*24*60</f>
        <v>126.00000000000003</v>
      </c>
      <c r="X59" s="94">
        <v>0.30486111111111108</v>
      </c>
      <c r="Y59" s="94">
        <v>0.31597222222222221</v>
      </c>
      <c r="Z59" s="95"/>
      <c r="AA59" s="95"/>
      <c r="AB59" s="571"/>
      <c r="AC59" s="571"/>
      <c r="AD59" s="332"/>
      <c r="AE59" s="332"/>
      <c r="AF59" s="88">
        <f t="shared" si="6"/>
        <v>-27.142857142857565</v>
      </c>
      <c r="AG59" s="90">
        <f t="shared" si="7"/>
        <v>0.98190476190476161</v>
      </c>
      <c r="AH59" s="590"/>
    </row>
    <row r="60" spans="1:34" ht="19.2" customHeight="1">
      <c r="A60" s="605"/>
      <c r="B60" s="141" t="s">
        <v>247</v>
      </c>
      <c r="C60" s="218"/>
      <c r="D60" s="80" t="s">
        <v>114</v>
      </c>
      <c r="E60" s="81"/>
      <c r="F60" s="650">
        <v>10.09</v>
      </c>
      <c r="G60" s="183">
        <v>2561.1999999999998</v>
      </c>
      <c r="H60" s="83">
        <f t="shared" si="37"/>
        <v>25842.507999999998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1463.5428571428565</v>
      </c>
      <c r="O60" s="86">
        <f t="shared" si="39"/>
        <v>209.07755102040807</v>
      </c>
      <c r="P60" s="216">
        <f t="shared" si="40"/>
        <v>1</v>
      </c>
      <c r="Q60" s="89">
        <f t="shared" si="41"/>
        <v>-40.922448979591934</v>
      </c>
      <c r="R60" s="90">
        <f t="shared" si="36"/>
        <v>0.83631020408163226</v>
      </c>
      <c r="S60" s="590"/>
      <c r="T60" s="217">
        <v>0.4236111111111111</v>
      </c>
      <c r="U60" s="217">
        <v>0.49652777777777779</v>
      </c>
      <c r="V60" s="191">
        <v>25</v>
      </c>
      <c r="W60" s="84">
        <f>(U60-T60)*24*60</f>
        <v>105.00000000000003</v>
      </c>
      <c r="X60" s="94">
        <v>0.40972222222222227</v>
      </c>
      <c r="Y60" s="94">
        <v>0.42083333333333334</v>
      </c>
      <c r="Z60" s="95"/>
      <c r="AA60" s="95"/>
      <c r="AB60" s="571"/>
      <c r="AC60" s="571"/>
      <c r="AD60" s="332"/>
      <c r="AE60" s="332"/>
      <c r="AF60" s="88">
        <f t="shared" si="6"/>
        <v>-36.457142857143481</v>
      </c>
      <c r="AG60" s="166">
        <f t="shared" si="7"/>
        <v>0.97569523809523773</v>
      </c>
      <c r="AH60" s="590"/>
    </row>
    <row r="61" spans="1:34" ht="19.2" customHeight="1">
      <c r="A61" s="605"/>
      <c r="B61" s="141" t="s">
        <v>247</v>
      </c>
      <c r="C61" s="218"/>
      <c r="D61" s="80" t="s">
        <v>114</v>
      </c>
      <c r="E61" s="81"/>
      <c r="F61" s="650">
        <v>10.09</v>
      </c>
      <c r="G61" s="183">
        <v>5392</v>
      </c>
      <c r="H61" s="83">
        <f t="shared" si="37"/>
        <v>54405.279999999999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1497.7777777777776</v>
      </c>
      <c r="O61" s="86">
        <f t="shared" si="39"/>
        <v>213.96825396825395</v>
      </c>
      <c r="P61" s="216">
        <f t="shared" si="40"/>
        <v>1</v>
      </c>
      <c r="Q61" s="89">
        <f t="shared" si="41"/>
        <v>-36.031746031746053</v>
      </c>
      <c r="R61" s="90">
        <f t="shared" si="36"/>
        <v>0.85587301587301579</v>
      </c>
      <c r="S61" s="590"/>
      <c r="T61" s="217">
        <v>0.51736111111111116</v>
      </c>
      <c r="U61" s="217">
        <v>0.66736111111111118</v>
      </c>
      <c r="V61" s="191">
        <v>30</v>
      </c>
      <c r="W61" s="84">
        <f>(U61-T61)*24*60</f>
        <v>216.00000000000003</v>
      </c>
      <c r="X61" s="94">
        <v>0.5</v>
      </c>
      <c r="Y61" s="94">
        <v>0.51458333333333328</v>
      </c>
      <c r="Z61" s="95"/>
      <c r="AA61" s="95"/>
      <c r="AB61" s="571"/>
      <c r="AC61" s="571"/>
      <c r="AD61" s="332"/>
      <c r="AE61" s="332"/>
      <c r="AF61" s="88">
        <f t="shared" si="6"/>
        <v>-2.2222222222223991</v>
      </c>
      <c r="AG61" s="90">
        <f t="shared" si="7"/>
        <v>0.99851851851851836</v>
      </c>
      <c r="AH61" s="590"/>
    </row>
    <row r="62" spans="1:34" ht="19.2" customHeight="1">
      <c r="A62" s="605"/>
      <c r="B62" s="141">
        <v>0</v>
      </c>
      <c r="C62" s="218"/>
      <c r="D62" s="80"/>
      <c r="E62" s="81"/>
      <c r="F62" s="650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590"/>
      <c r="T62" s="217"/>
      <c r="U62" s="217"/>
      <c r="V62" s="191"/>
      <c r="W62" s="84"/>
      <c r="X62" s="94"/>
      <c r="Y62" s="94"/>
      <c r="Z62" s="95"/>
      <c r="AA62" s="95"/>
      <c r="AB62" s="571"/>
      <c r="AC62" s="571"/>
      <c r="AD62" s="332"/>
      <c r="AE62" s="332"/>
      <c r="AF62" s="88">
        <f t="shared" si="6"/>
        <v>0</v>
      </c>
      <c r="AG62" s="90" t="e">
        <f t="shared" si="7"/>
        <v>#DIV/0!</v>
      </c>
      <c r="AH62" s="590"/>
    </row>
    <row r="63" spans="1:34" ht="19.2" customHeight="1">
      <c r="A63" s="605"/>
      <c r="B63" s="141">
        <v>0</v>
      </c>
      <c r="C63" s="218"/>
      <c r="D63" s="80"/>
      <c r="E63" s="81"/>
      <c r="F63" s="650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590"/>
      <c r="T63" s="217"/>
      <c r="U63" s="217"/>
      <c r="V63" s="191"/>
      <c r="W63" s="84"/>
      <c r="X63" s="94"/>
      <c r="Y63" s="94"/>
      <c r="Z63" s="95"/>
      <c r="AA63" s="95"/>
      <c r="AB63" s="571"/>
      <c r="AC63" s="571"/>
      <c r="AD63" s="332"/>
      <c r="AE63" s="332"/>
      <c r="AF63" s="88">
        <f t="shared" si="6"/>
        <v>0</v>
      </c>
      <c r="AG63" s="166" t="e">
        <f t="shared" si="7"/>
        <v>#DIV/0!</v>
      </c>
      <c r="AH63" s="590"/>
    </row>
    <row r="64" spans="1:34" ht="19.2" customHeight="1">
      <c r="A64" s="605"/>
      <c r="B64" s="141">
        <v>0</v>
      </c>
      <c r="C64" s="218"/>
      <c r="D64" s="80"/>
      <c r="E64" s="81"/>
      <c r="F64" s="650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590"/>
      <c r="T64" s="217"/>
      <c r="U64" s="217"/>
      <c r="V64" s="191"/>
      <c r="W64" s="84"/>
      <c r="X64" s="75"/>
      <c r="Y64" s="75"/>
      <c r="Z64" s="95"/>
      <c r="AA64" s="95"/>
      <c r="AB64" s="571"/>
      <c r="AC64" s="571"/>
      <c r="AD64" s="332"/>
      <c r="AE64" s="332"/>
      <c r="AF64" s="88">
        <f t="shared" si="6"/>
        <v>0</v>
      </c>
      <c r="AG64" s="90" t="e">
        <f t="shared" si="7"/>
        <v>#DIV/0!</v>
      </c>
      <c r="AH64" s="590"/>
    </row>
    <row r="65" spans="1:34" ht="19.2" customHeight="1">
      <c r="A65" s="605"/>
      <c r="B65" s="141">
        <v>0</v>
      </c>
      <c r="C65" s="218"/>
      <c r="D65" s="80"/>
      <c r="E65" s="81"/>
      <c r="F65" s="650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590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571"/>
      <c r="AC65" s="571"/>
      <c r="AD65" s="332"/>
      <c r="AE65" s="332"/>
      <c r="AF65" s="88">
        <f t="shared" si="6"/>
        <v>0</v>
      </c>
      <c r="AG65" s="90" t="e">
        <f t="shared" si="7"/>
        <v>#DIV/0!</v>
      </c>
      <c r="AH65" s="590"/>
    </row>
    <row r="66" spans="1:34" ht="19.2" customHeight="1">
      <c r="A66" s="605"/>
      <c r="B66" s="141">
        <v>0</v>
      </c>
      <c r="C66" s="218"/>
      <c r="D66" s="80"/>
      <c r="E66" s="81"/>
      <c r="F66" s="650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590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571"/>
      <c r="AC66" s="571"/>
      <c r="AD66" s="332"/>
      <c r="AE66" s="332"/>
      <c r="AF66" s="88">
        <f t="shared" si="6"/>
        <v>0</v>
      </c>
      <c r="AG66" s="166" t="e">
        <f t="shared" si="7"/>
        <v>#DIV/0!</v>
      </c>
      <c r="AH66" s="590"/>
    </row>
    <row r="67" spans="1:34" ht="19.2" customHeight="1">
      <c r="A67" s="605"/>
      <c r="B67" s="141">
        <v>0</v>
      </c>
      <c r="C67" s="218"/>
      <c r="D67" s="80"/>
      <c r="E67" s="81"/>
      <c r="F67" s="650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590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571"/>
      <c r="AC67" s="571"/>
      <c r="AD67" s="332"/>
      <c r="AE67" s="332"/>
      <c r="AF67" s="88">
        <f t="shared" si="6"/>
        <v>0</v>
      </c>
      <c r="AG67" s="90" t="e">
        <f t="shared" si="7"/>
        <v>#DIV/0!</v>
      </c>
      <c r="AH67" s="590"/>
    </row>
    <row r="68" spans="1:34" ht="19.2" customHeight="1">
      <c r="A68" s="605"/>
      <c r="B68" s="75">
        <v>0</v>
      </c>
      <c r="C68" s="218"/>
      <c r="D68" s="80"/>
      <c r="E68" s="81"/>
      <c r="F68" s="657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590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571"/>
      <c r="AC68" s="571"/>
      <c r="AD68" s="332"/>
      <c r="AE68" s="332"/>
      <c r="AF68" s="88"/>
      <c r="AG68" s="90"/>
      <c r="AH68" s="590"/>
    </row>
    <row r="69" spans="1:34" ht="19.2" customHeight="1">
      <c r="A69" s="605"/>
      <c r="B69" s="221">
        <v>0</v>
      </c>
      <c r="C69" s="12" t="s">
        <v>194</v>
      </c>
      <c r="D69" s="572" t="s">
        <v>191</v>
      </c>
      <c r="E69" s="572"/>
      <c r="F69" s="659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1471.379415204678</v>
      </c>
      <c r="O69" s="116">
        <f t="shared" si="43"/>
        <v>210.197059314954</v>
      </c>
      <c r="P69" s="88">
        <f>M69-J69</f>
        <v>0.40000000000000036</v>
      </c>
      <c r="Q69" s="89">
        <f>N69-K69</f>
        <v>-28.620584795321975</v>
      </c>
      <c r="R69" s="225">
        <f t="shared" ref="R69:R70" si="44">O69/L69</f>
        <v>0.91961213450292367</v>
      </c>
      <c r="S69" s="590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571"/>
      <c r="AC69" s="571"/>
      <c r="AD69" s="151">
        <f>SUM(AD57:AD68)</f>
        <v>0</v>
      </c>
      <c r="AE69" s="151">
        <f>SUM(AE57:AE68)</f>
        <v>0</v>
      </c>
      <c r="AF69" s="88">
        <f t="shared" si="6"/>
        <v>-28.620584795321975</v>
      </c>
      <c r="AG69" s="90">
        <f t="shared" si="7"/>
        <v>0.98091961013645201</v>
      </c>
      <c r="AH69" s="590"/>
    </row>
    <row r="70" spans="1:34" ht="19.2" customHeight="1">
      <c r="A70" s="602" t="s">
        <v>119</v>
      </c>
      <c r="B70" s="75" t="s">
        <v>244</v>
      </c>
      <c r="C70" s="141"/>
      <c r="D70" s="80" t="s">
        <v>120</v>
      </c>
      <c r="E70" s="81"/>
      <c r="F70" s="650">
        <v>62.13</v>
      </c>
      <c r="G70" s="82">
        <v>521</v>
      </c>
      <c r="H70" s="83">
        <f>F70*G70</f>
        <v>32369.73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7" si="45">G70/W70*60</f>
        <v>1250.4000000000003</v>
      </c>
      <c r="O70" s="86">
        <f t="shared" ref="O70:O77" si="46">N70/M70</f>
        <v>89.314285714285731</v>
      </c>
      <c r="P70" s="88">
        <f t="shared" ref="P70:P77" si="47">M70-J70</f>
        <v>0</v>
      </c>
      <c r="Q70" s="89">
        <f t="shared" ref="Q70" si="48">O70-L70</f>
        <v>-17.828571428571408</v>
      </c>
      <c r="R70" s="90">
        <f t="shared" si="44"/>
        <v>0.83360000000000023</v>
      </c>
      <c r="S70" s="590">
        <f>R82</f>
        <v>0.88433875121934369</v>
      </c>
      <c r="T70" s="91">
        <v>0.29166666666666669</v>
      </c>
      <c r="U70" s="91">
        <v>0.30902777777777779</v>
      </c>
      <c r="V70" s="75">
        <v>5</v>
      </c>
      <c r="W70" s="84">
        <f>(U70-T70)*24*60</f>
        <v>24.999999999999993</v>
      </c>
      <c r="X70" s="75"/>
      <c r="Y70" s="75"/>
      <c r="Z70" s="95"/>
      <c r="AA70" s="95"/>
      <c r="AB70" s="571"/>
      <c r="AC70" s="571"/>
      <c r="AD70" s="332"/>
      <c r="AE70" s="332"/>
      <c r="AF70" s="88">
        <f t="shared" si="6"/>
        <v>-249.59999999999968</v>
      </c>
      <c r="AG70" s="90">
        <f t="shared" si="7"/>
        <v>0.83360000000000023</v>
      </c>
      <c r="AH70" s="590">
        <f>AG82</f>
        <v>0.89260634043861831</v>
      </c>
    </row>
    <row r="71" spans="1:34" ht="19.2" customHeight="1">
      <c r="A71" s="602"/>
      <c r="B71" s="75" t="s">
        <v>243</v>
      </c>
      <c r="C71" s="79"/>
      <c r="D71" s="226" t="s">
        <v>121</v>
      </c>
      <c r="E71" s="81"/>
      <c r="F71" s="650">
        <v>47.65</v>
      </c>
      <c r="G71" s="82">
        <v>2488.64</v>
      </c>
      <c r="H71" s="83">
        <f>F71*G71</f>
        <v>118583.696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1321.4017699115043</v>
      </c>
      <c r="O71" s="86">
        <f t="shared" si="46"/>
        <v>73.411209439528022</v>
      </c>
      <c r="P71" s="88">
        <f t="shared" si="47"/>
        <v>0</v>
      </c>
      <c r="Q71" s="89">
        <f>O71-L71</f>
        <v>-6.5887905604719776</v>
      </c>
      <c r="R71" s="90">
        <f>O71/L71</f>
        <v>0.91764011799410028</v>
      </c>
      <c r="S71" s="590"/>
      <c r="T71" s="91">
        <v>0.31458333333333333</v>
      </c>
      <c r="U71" s="91">
        <v>0.39305555555555555</v>
      </c>
      <c r="V71" s="75">
        <v>8</v>
      </c>
      <c r="W71" s="84">
        <f t="shared" ref="W71:W81" si="49">(U71-T71)*24*60</f>
        <v>113</v>
      </c>
      <c r="X71" s="94"/>
      <c r="Y71" s="94"/>
      <c r="Z71" s="95"/>
      <c r="AA71" s="95"/>
      <c r="AB71" s="571"/>
      <c r="AC71" s="571"/>
      <c r="AD71" s="332"/>
      <c r="AE71" s="332"/>
      <c r="AF71" s="88">
        <f>N71-K71</f>
        <v>-118.59823008849571</v>
      </c>
      <c r="AG71" s="90">
        <f>N71/K71</f>
        <v>0.91764011799410017</v>
      </c>
      <c r="AH71" s="590"/>
    </row>
    <row r="72" spans="1:34" ht="19.2" customHeight="1">
      <c r="A72" s="602"/>
      <c r="B72" s="75" t="s">
        <v>243</v>
      </c>
      <c r="C72" s="109"/>
      <c r="D72" s="226" t="s">
        <v>123</v>
      </c>
      <c r="E72" s="81"/>
      <c r="F72" s="650">
        <v>53.76</v>
      </c>
      <c r="G72" s="98">
        <v>1314.72</v>
      </c>
      <c r="H72" s="83">
        <f t="shared" ref="H72:H80" si="50">F72*G72</f>
        <v>70679.347200000004</v>
      </c>
      <c r="I72" s="75"/>
      <c r="J72" s="130">
        <v>16</v>
      </c>
      <c r="K72" s="98">
        <v>1440</v>
      </c>
      <c r="L72" s="129">
        <v>90</v>
      </c>
      <c r="M72" s="87">
        <v>16</v>
      </c>
      <c r="N72" s="82">
        <f t="shared" si="45"/>
        <v>1337.003389830508</v>
      </c>
      <c r="O72" s="86">
        <f t="shared" si="46"/>
        <v>83.562711864406751</v>
      </c>
      <c r="P72" s="88">
        <f t="shared" si="47"/>
        <v>0</v>
      </c>
      <c r="Q72" s="89">
        <f>O72-L72</f>
        <v>-6.4372881355932492</v>
      </c>
      <c r="R72" s="90">
        <f>O72/L72</f>
        <v>0.92847457627118612</v>
      </c>
      <c r="S72" s="590"/>
      <c r="T72" s="91">
        <v>0.40833333333333333</v>
      </c>
      <c r="U72" s="91">
        <v>0.44930555555555557</v>
      </c>
      <c r="V72" s="75">
        <v>22</v>
      </c>
      <c r="W72" s="84">
        <f t="shared" si="49"/>
        <v>59.000000000000028</v>
      </c>
      <c r="X72" s="94">
        <v>0.39652777777777781</v>
      </c>
      <c r="Y72" s="94">
        <v>0.4055555555555555</v>
      </c>
      <c r="Z72" s="95"/>
      <c r="AA72" s="95"/>
      <c r="AB72" s="571"/>
      <c r="AC72" s="571"/>
      <c r="AD72" s="332"/>
      <c r="AE72" s="332"/>
      <c r="AF72" s="88">
        <f>N72-K72</f>
        <v>-102.99661016949199</v>
      </c>
      <c r="AG72" s="90">
        <f>N72/K72</f>
        <v>0.92847457627118612</v>
      </c>
      <c r="AH72" s="590"/>
    </row>
    <row r="73" spans="1:34" ht="19.2" customHeight="1">
      <c r="A73" s="602"/>
      <c r="B73" s="75" t="s">
        <v>243</v>
      </c>
      <c r="C73" s="228"/>
      <c r="D73" s="229" t="s">
        <v>124</v>
      </c>
      <c r="E73" s="230"/>
      <c r="F73" s="650">
        <v>47.51</v>
      </c>
      <c r="G73" s="98">
        <v>2772</v>
      </c>
      <c r="H73" s="83">
        <f t="shared" si="50"/>
        <v>131697.72</v>
      </c>
      <c r="I73" s="332"/>
      <c r="J73" s="231">
        <v>17</v>
      </c>
      <c r="K73" s="232">
        <v>1440</v>
      </c>
      <c r="L73" s="129">
        <v>84.705882352941174</v>
      </c>
      <c r="M73" s="174">
        <v>17</v>
      </c>
      <c r="N73" s="82">
        <f t="shared" si="45"/>
        <v>1330.5600000000006</v>
      </c>
      <c r="O73" s="86">
        <f t="shared" si="46"/>
        <v>78.268235294117687</v>
      </c>
      <c r="P73" s="88">
        <f t="shared" si="47"/>
        <v>0</v>
      </c>
      <c r="Q73" s="89">
        <f>O73-L73</f>
        <v>-6.4376470588234866</v>
      </c>
      <c r="R73" s="90">
        <f>O73/L73</f>
        <v>0.92400000000000049</v>
      </c>
      <c r="S73" s="590"/>
      <c r="T73" s="91">
        <v>0.48958333333333331</v>
      </c>
      <c r="U73" s="91">
        <v>0.57638888888888884</v>
      </c>
      <c r="V73" s="75">
        <v>5</v>
      </c>
      <c r="W73" s="84">
        <f t="shared" si="49"/>
        <v>124.99999999999996</v>
      </c>
      <c r="X73" s="233"/>
      <c r="Y73" s="233"/>
      <c r="Z73" s="170"/>
      <c r="AA73" s="170"/>
      <c r="AB73" s="571"/>
      <c r="AC73" s="571"/>
      <c r="AD73" s="332"/>
      <c r="AE73" s="332"/>
      <c r="AF73" s="88">
        <f>N73-K73</f>
        <v>-109.43999999999937</v>
      </c>
      <c r="AG73" s="90">
        <f>N73/K73</f>
        <v>0.92400000000000049</v>
      </c>
      <c r="AH73" s="590"/>
    </row>
    <row r="74" spans="1:34" ht="19.2" customHeight="1">
      <c r="A74" s="602"/>
      <c r="B74" s="75" t="s">
        <v>243</v>
      </c>
      <c r="C74" s="228"/>
      <c r="D74" s="229" t="s">
        <v>121</v>
      </c>
      <c r="E74" s="230"/>
      <c r="F74" s="650">
        <v>47.65</v>
      </c>
      <c r="G74" s="227">
        <v>339.36</v>
      </c>
      <c r="H74" s="83">
        <f t="shared" si="50"/>
        <v>16170.504000000001</v>
      </c>
      <c r="I74" s="75"/>
      <c r="J74" s="85">
        <v>18</v>
      </c>
      <c r="K74" s="227">
        <v>1440</v>
      </c>
      <c r="L74" s="86">
        <v>80</v>
      </c>
      <c r="M74" s="87">
        <v>18</v>
      </c>
      <c r="N74" s="82">
        <f t="shared" si="45"/>
        <v>1272.6000000000045</v>
      </c>
      <c r="O74" s="86">
        <f t="shared" si="46"/>
        <v>70.700000000000244</v>
      </c>
      <c r="P74" s="88">
        <f t="shared" si="47"/>
        <v>0</v>
      </c>
      <c r="Q74" s="89">
        <f>O74-L74</f>
        <v>-9.2999999999997556</v>
      </c>
      <c r="R74" s="90">
        <f>O74/L74</f>
        <v>0.88375000000000303</v>
      </c>
      <c r="S74" s="590"/>
      <c r="T74" s="91">
        <v>0.59236111111111112</v>
      </c>
      <c r="U74" s="91">
        <v>0.60347222222222219</v>
      </c>
      <c r="V74" s="75">
        <v>23</v>
      </c>
      <c r="W74" s="84">
        <f t="shared" si="49"/>
        <v>15.999999999999943</v>
      </c>
      <c r="X74" s="233">
        <v>0.57986111111111105</v>
      </c>
      <c r="Y74" s="233">
        <v>0.58958333333333335</v>
      </c>
      <c r="Z74" s="170"/>
      <c r="AA74" s="170"/>
      <c r="AB74" s="571"/>
      <c r="AC74" s="571"/>
      <c r="AD74" s="332"/>
      <c r="AE74" s="332"/>
      <c r="AF74" s="88">
        <f t="shared" ref="AF74:AF80" si="51">N74-K74</f>
        <v>-167.39999999999554</v>
      </c>
      <c r="AG74" s="90">
        <f t="shared" ref="AG74:AG80" si="52">N74/K74</f>
        <v>0.88375000000000314</v>
      </c>
      <c r="AH74" s="590"/>
    </row>
    <row r="75" spans="1:34" ht="19.2" customHeight="1">
      <c r="A75" s="602"/>
      <c r="B75" s="75" t="s">
        <v>247</v>
      </c>
      <c r="C75" s="109"/>
      <c r="D75" s="226" t="s">
        <v>314</v>
      </c>
      <c r="E75" s="81"/>
      <c r="F75" s="650">
        <v>56.85</v>
      </c>
      <c r="G75" s="98">
        <v>706.68</v>
      </c>
      <c r="H75" s="83">
        <f t="shared" si="50"/>
        <v>40174.758000000002</v>
      </c>
      <c r="I75" s="75"/>
      <c r="J75" s="231">
        <v>18</v>
      </c>
      <c r="K75" s="232">
        <v>1636</v>
      </c>
      <c r="L75" s="129">
        <v>90.888888888888886</v>
      </c>
      <c r="M75" s="87">
        <v>18</v>
      </c>
      <c r="N75" s="82">
        <f t="shared" si="45"/>
        <v>1325.0249999999983</v>
      </c>
      <c r="O75" s="86">
        <f t="shared" si="46"/>
        <v>73.612499999999898</v>
      </c>
      <c r="P75" s="88">
        <f t="shared" si="47"/>
        <v>0</v>
      </c>
      <c r="Q75" s="89">
        <f t="shared" ref="Q75" si="53">O75-L75</f>
        <v>-17.276388888888988</v>
      </c>
      <c r="R75" s="90">
        <f t="shared" ref="R75" si="54">O75/L75</f>
        <v>0.80991748166259059</v>
      </c>
      <c r="S75" s="590"/>
      <c r="T75" s="91">
        <v>0.60902777777777772</v>
      </c>
      <c r="U75" s="91">
        <v>0.63124999999999998</v>
      </c>
      <c r="V75" s="75">
        <v>8</v>
      </c>
      <c r="W75" s="84">
        <f t="shared" si="49"/>
        <v>32.000000000000043</v>
      </c>
      <c r="X75" s="233"/>
      <c r="Y75" s="233"/>
      <c r="Z75" s="170"/>
      <c r="AA75" s="170"/>
      <c r="AB75" s="571"/>
      <c r="AC75" s="571"/>
      <c r="AD75" s="332"/>
      <c r="AE75" s="332"/>
      <c r="AF75" s="88">
        <f t="shared" si="51"/>
        <v>-310.97500000000173</v>
      </c>
      <c r="AG75" s="90">
        <f t="shared" si="52"/>
        <v>0.80991748166259059</v>
      </c>
      <c r="AH75" s="590"/>
    </row>
    <row r="76" spans="1:34" ht="19.2" customHeight="1">
      <c r="A76" s="602"/>
      <c r="B76" s="75" t="s">
        <v>247</v>
      </c>
      <c r="C76" s="228"/>
      <c r="D76" s="229" t="s">
        <v>136</v>
      </c>
      <c r="E76" s="230"/>
      <c r="F76" s="650">
        <v>55.32</v>
      </c>
      <c r="G76" s="227">
        <v>543</v>
      </c>
      <c r="H76" s="83">
        <f t="shared" si="50"/>
        <v>30038.76</v>
      </c>
      <c r="I76" s="75"/>
      <c r="J76" s="85">
        <v>14</v>
      </c>
      <c r="K76" s="227">
        <v>1440</v>
      </c>
      <c r="L76" s="86">
        <v>102.85714285714286</v>
      </c>
      <c r="M76" s="174">
        <v>15</v>
      </c>
      <c r="N76" s="82">
        <f t="shared" si="45"/>
        <v>1357.4999999999957</v>
      </c>
      <c r="O76" s="86">
        <f t="shared" si="46"/>
        <v>90.499999999999716</v>
      </c>
      <c r="P76" s="88">
        <f t="shared" si="47"/>
        <v>1</v>
      </c>
      <c r="Q76" s="89">
        <f>O76-L76</f>
        <v>-12.357142857143145</v>
      </c>
      <c r="R76" s="90">
        <f>O76/L76</f>
        <v>0.87986111111110832</v>
      </c>
      <c r="S76" s="590"/>
      <c r="T76" s="91">
        <v>0.70833333333333337</v>
      </c>
      <c r="U76" s="91">
        <v>0.72500000000000009</v>
      </c>
      <c r="V76" s="75">
        <v>5</v>
      </c>
      <c r="W76" s="84">
        <f t="shared" si="49"/>
        <v>24.000000000000075</v>
      </c>
      <c r="X76" s="233"/>
      <c r="Y76" s="233"/>
      <c r="Z76" s="170"/>
      <c r="AA76" s="170"/>
      <c r="AB76" s="571"/>
      <c r="AC76" s="571"/>
      <c r="AD76" s="332"/>
      <c r="AE76" s="332"/>
      <c r="AF76" s="88">
        <f t="shared" si="51"/>
        <v>-82.50000000000432</v>
      </c>
      <c r="AG76" s="90">
        <f t="shared" si="52"/>
        <v>0.94270833333333037</v>
      </c>
      <c r="AH76" s="590"/>
    </row>
    <row r="77" spans="1:34" ht="19.2" customHeight="1">
      <c r="A77" s="602"/>
      <c r="B77" s="75" t="s">
        <v>247</v>
      </c>
      <c r="C77" s="218"/>
      <c r="D77" s="229" t="s">
        <v>137</v>
      </c>
      <c r="E77" s="81"/>
      <c r="F77" s="650">
        <v>55.56</v>
      </c>
      <c r="G77" s="227">
        <v>834</v>
      </c>
      <c r="H77" s="83">
        <f t="shared" si="50"/>
        <v>46337.04</v>
      </c>
      <c r="I77" s="332"/>
      <c r="J77" s="231">
        <v>16</v>
      </c>
      <c r="K77" s="232">
        <v>1440</v>
      </c>
      <c r="L77" s="129">
        <v>90</v>
      </c>
      <c r="M77" s="174">
        <v>16</v>
      </c>
      <c r="N77" s="82">
        <f t="shared" si="45"/>
        <v>1316.842105263157</v>
      </c>
      <c r="O77" s="86">
        <f t="shared" si="46"/>
        <v>82.302631578947313</v>
      </c>
      <c r="P77" s="88">
        <f t="shared" si="47"/>
        <v>0</v>
      </c>
      <c r="Q77" s="89">
        <f>O77-L77</f>
        <v>-7.6973684210526869</v>
      </c>
      <c r="R77" s="90">
        <f>O77/L77</f>
        <v>0.91447368421052566</v>
      </c>
      <c r="S77" s="590"/>
      <c r="T77" s="91">
        <v>0.72916666666666674</v>
      </c>
      <c r="U77" s="91">
        <v>0.75555555555555565</v>
      </c>
      <c r="V77" s="75">
        <v>6</v>
      </c>
      <c r="W77" s="84">
        <f t="shared" si="49"/>
        <v>38.000000000000028</v>
      </c>
      <c r="X77" s="233"/>
      <c r="Y77" s="233"/>
      <c r="Z77" s="170"/>
      <c r="AA77" s="170"/>
      <c r="AB77" s="571"/>
      <c r="AC77" s="571"/>
      <c r="AD77" s="332"/>
      <c r="AE77" s="332"/>
      <c r="AF77" s="88">
        <f t="shared" si="51"/>
        <v>-123.15789473684299</v>
      </c>
      <c r="AG77" s="90">
        <f t="shared" si="52"/>
        <v>0.91447368421052566</v>
      </c>
      <c r="AH77" s="590"/>
    </row>
    <row r="78" spans="1:34" ht="19.2" customHeight="1">
      <c r="A78" s="602"/>
      <c r="B78" s="75">
        <v>0</v>
      </c>
      <c r="C78" s="218"/>
      <c r="D78" s="80"/>
      <c r="E78" s="81"/>
      <c r="F78" s="650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590"/>
      <c r="T78" s="91"/>
      <c r="U78" s="91"/>
      <c r="V78" s="75"/>
      <c r="W78" s="84"/>
      <c r="X78" s="233"/>
      <c r="Y78" s="233"/>
      <c r="Z78" s="170"/>
      <c r="AA78" s="170"/>
      <c r="AB78" s="571"/>
      <c r="AC78" s="571"/>
      <c r="AD78" s="332"/>
      <c r="AE78" s="332"/>
      <c r="AF78" s="88">
        <f t="shared" si="51"/>
        <v>0</v>
      </c>
      <c r="AG78" s="90" t="e">
        <f t="shared" si="52"/>
        <v>#DIV/0!</v>
      </c>
      <c r="AH78" s="590"/>
    </row>
    <row r="79" spans="1:34" ht="19.2" customHeight="1">
      <c r="A79" s="602"/>
      <c r="B79" s="75">
        <v>0</v>
      </c>
      <c r="C79" s="228"/>
      <c r="D79" s="229"/>
      <c r="E79" s="230"/>
      <c r="F79" s="650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590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571"/>
      <c r="AC79" s="571"/>
      <c r="AD79" s="332"/>
      <c r="AE79" s="332"/>
      <c r="AF79" s="88">
        <f t="shared" si="51"/>
        <v>0</v>
      </c>
      <c r="AG79" s="90" t="e">
        <f t="shared" si="52"/>
        <v>#DIV/0!</v>
      </c>
      <c r="AH79" s="590"/>
    </row>
    <row r="80" spans="1:34" ht="19.2" customHeight="1">
      <c r="A80" s="602"/>
      <c r="B80" s="75">
        <v>0</v>
      </c>
      <c r="C80" s="218"/>
      <c r="D80" s="80"/>
      <c r="E80" s="81"/>
      <c r="F80" s="650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590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571"/>
      <c r="AC80" s="571"/>
      <c r="AD80" s="332"/>
      <c r="AE80" s="332"/>
      <c r="AF80" s="88">
        <f t="shared" si="51"/>
        <v>0</v>
      </c>
      <c r="AG80" s="90" t="e">
        <f t="shared" si="52"/>
        <v>#DIV/0!</v>
      </c>
      <c r="AH80" s="590"/>
    </row>
    <row r="81" spans="1:34" ht="19.2" customHeight="1">
      <c r="A81" s="602"/>
      <c r="B81" s="75">
        <v>0</v>
      </c>
      <c r="C81" s="218"/>
      <c r="D81" s="80"/>
      <c r="E81" s="81"/>
      <c r="F81" s="657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590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571"/>
      <c r="AC81" s="571"/>
      <c r="AD81" s="332"/>
      <c r="AE81" s="332"/>
      <c r="AF81" s="88"/>
      <c r="AG81" s="171"/>
      <c r="AH81" s="590"/>
    </row>
    <row r="82" spans="1:34" ht="19.2" customHeight="1">
      <c r="A82" s="603"/>
      <c r="B82" s="221">
        <v>0</v>
      </c>
      <c r="C82" s="144" t="s">
        <v>195</v>
      </c>
      <c r="D82" s="572" t="s">
        <v>191</v>
      </c>
      <c r="E82" s="572"/>
      <c r="F82" s="660"/>
      <c r="G82" s="145"/>
      <c r="H82" s="146"/>
      <c r="I82" s="147"/>
      <c r="J82" s="145">
        <v>16.375</v>
      </c>
      <c r="K82" s="145">
        <v>1472</v>
      </c>
      <c r="L82" s="148">
        <v>90.699346405228752</v>
      </c>
      <c r="M82" s="145">
        <f t="shared" ref="J82:O82" si="55">AVERAGE(M70:M81)</f>
        <v>16.5</v>
      </c>
      <c r="N82" s="145">
        <f t="shared" si="55"/>
        <v>1313.9165331256461</v>
      </c>
      <c r="O82" s="237">
        <f t="shared" si="55"/>
        <v>80.208946736410667</v>
      </c>
      <c r="P82" s="161">
        <f>M82-J82</f>
        <v>0.125</v>
      </c>
      <c r="Q82" s="162">
        <f>N82-K82</f>
        <v>-158.08346687435392</v>
      </c>
      <c r="R82" s="225">
        <f>O82/L82</f>
        <v>0.88433875121934369</v>
      </c>
      <c r="S82" s="590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571"/>
      <c r="AC82" s="571"/>
      <c r="AD82" s="151">
        <f>SUM(AD70:AD81)</f>
        <v>0</v>
      </c>
      <c r="AE82" s="151">
        <f>SUM(AE70:AE81)</f>
        <v>0</v>
      </c>
      <c r="AF82" s="88">
        <f>N82-K82</f>
        <v>-158.08346687435392</v>
      </c>
      <c r="AG82" s="90">
        <f>N82/K82</f>
        <v>0.89260634043861831</v>
      </c>
      <c r="AH82" s="590"/>
    </row>
    <row r="83" spans="1:34" ht="19.2" customHeight="1">
      <c r="A83" s="600" t="s">
        <v>347</v>
      </c>
      <c r="B83" s="154" t="s">
        <v>243</v>
      </c>
      <c r="C83" s="109"/>
      <c r="D83" s="238" t="s">
        <v>122</v>
      </c>
      <c r="E83" s="81"/>
      <c r="F83" s="657">
        <v>53.36</v>
      </c>
      <c r="G83" s="98">
        <v>2678.2400000000002</v>
      </c>
      <c r="H83" s="127">
        <f t="shared" ref="H83:H94" si="56">F83*G83</f>
        <v>142910.88640000002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1217.3818181818183</v>
      </c>
      <c r="O83" s="236">
        <f t="shared" ref="O83:O89" si="58">N83/M83</f>
        <v>64.072727272727278</v>
      </c>
      <c r="P83" s="95">
        <f t="shared" ref="P83:P89" si="59">M83-J83</f>
        <v>0</v>
      </c>
      <c r="Q83" s="131">
        <f t="shared" ref="Q83:Q89" si="60">O83-L83</f>
        <v>-11.716746411483243</v>
      </c>
      <c r="R83" s="239">
        <f t="shared" ref="R83:R89" si="61">O83/L83</f>
        <v>0.84540404040404049</v>
      </c>
      <c r="S83" s="590">
        <f>R95</f>
        <v>0.83025605296193228</v>
      </c>
      <c r="T83" s="91">
        <v>0.33333333333333331</v>
      </c>
      <c r="U83" s="91">
        <v>0.42499999999999999</v>
      </c>
      <c r="V83" s="75">
        <v>5</v>
      </c>
      <c r="W83" s="84">
        <f t="shared" ref="W83:W93" si="62">(U83-T83)*24*60</f>
        <v>132</v>
      </c>
      <c r="X83" s="94"/>
      <c r="Y83" s="94"/>
      <c r="Z83" s="95"/>
      <c r="AA83" s="95"/>
      <c r="AB83" s="571"/>
      <c r="AC83" s="571"/>
      <c r="AD83" s="332"/>
      <c r="AE83" s="332"/>
      <c r="AF83" s="88">
        <f t="shared" ref="AF83:AF173" si="63">N83-K83</f>
        <v>-222.61818181818171</v>
      </c>
      <c r="AG83" s="90">
        <f t="shared" ref="AG83:AG173" si="64">N83/K83</f>
        <v>0.84540404040404049</v>
      </c>
      <c r="AH83" s="590">
        <f>AG95</f>
        <v>0.83616365909224177</v>
      </c>
    </row>
    <row r="84" spans="1:34" ht="19.2" customHeight="1">
      <c r="A84" s="601"/>
      <c r="B84" s="154" t="s">
        <v>243</v>
      </c>
      <c r="C84" s="218"/>
      <c r="D84" s="240" t="s">
        <v>122</v>
      </c>
      <c r="E84" s="81"/>
      <c r="F84" s="657">
        <v>53.36</v>
      </c>
      <c r="G84" s="82">
        <v>2043.9199999999998</v>
      </c>
      <c r="H84" s="127">
        <f t="shared" si="56"/>
        <v>109063.57119999999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1214.2099009900994</v>
      </c>
      <c r="O84" s="236">
        <f t="shared" si="58"/>
        <v>63.905784262636814</v>
      </c>
      <c r="P84" s="95">
        <f t="shared" si="59"/>
        <v>0</v>
      </c>
      <c r="Q84" s="131">
        <f t="shared" si="60"/>
        <v>-11.883689421573706</v>
      </c>
      <c r="R84" s="239">
        <f t="shared" si="61"/>
        <v>0.84320132013201354</v>
      </c>
      <c r="S84" s="590"/>
      <c r="T84" s="91">
        <v>0.44027777777777777</v>
      </c>
      <c r="U84" s="91">
        <v>0.51041666666666663</v>
      </c>
      <c r="V84" s="75">
        <v>22</v>
      </c>
      <c r="W84" s="84">
        <f t="shared" si="62"/>
        <v>100.99999999999996</v>
      </c>
      <c r="X84" s="94">
        <v>0.4284722222222222</v>
      </c>
      <c r="Y84" s="94">
        <v>0.4375</v>
      </c>
      <c r="Z84" s="95"/>
      <c r="AA84" s="95"/>
      <c r="AB84" s="571"/>
      <c r="AC84" s="571"/>
      <c r="AD84" s="332"/>
      <c r="AE84" s="332"/>
      <c r="AF84" s="88">
        <f t="shared" si="63"/>
        <v>-225.79009900990059</v>
      </c>
      <c r="AG84" s="90">
        <f t="shared" si="64"/>
        <v>0.84320132013201343</v>
      </c>
      <c r="AH84" s="590"/>
    </row>
    <row r="85" spans="1:34" ht="19.2" customHeight="1">
      <c r="A85" s="601"/>
      <c r="B85" s="154" t="s">
        <v>247</v>
      </c>
      <c r="C85" s="168"/>
      <c r="D85" s="240" t="s">
        <v>134</v>
      </c>
      <c r="E85" s="81"/>
      <c r="F85" s="657">
        <v>51.75</v>
      </c>
      <c r="G85" s="82">
        <v>1154</v>
      </c>
      <c r="H85" s="127">
        <f t="shared" si="56"/>
        <v>59719.5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1258.9090909090917</v>
      </c>
      <c r="O85" s="236">
        <f t="shared" si="58"/>
        <v>59.948051948051983</v>
      </c>
      <c r="P85" s="95">
        <f t="shared" si="59"/>
        <v>0</v>
      </c>
      <c r="Q85" s="131">
        <f t="shared" si="60"/>
        <v>-11.480519480519447</v>
      </c>
      <c r="R85" s="239">
        <f t="shared" si="61"/>
        <v>0.83927272727272773</v>
      </c>
      <c r="S85" s="590"/>
      <c r="T85" s="91">
        <v>0.55208333333333326</v>
      </c>
      <c r="U85" s="91">
        <v>0.59027777777777768</v>
      </c>
      <c r="V85" s="75">
        <v>7</v>
      </c>
      <c r="W85" s="84">
        <f t="shared" si="62"/>
        <v>54.999999999999964</v>
      </c>
      <c r="X85" s="94"/>
      <c r="Y85" s="94"/>
      <c r="Z85" s="95"/>
      <c r="AA85" s="95"/>
      <c r="AB85" s="571"/>
      <c r="AC85" s="571"/>
      <c r="AD85" s="332"/>
      <c r="AE85" s="332"/>
      <c r="AF85" s="88">
        <f t="shared" si="63"/>
        <v>-241.09090909090833</v>
      </c>
      <c r="AG85" s="90">
        <f t="shared" si="64"/>
        <v>0.83927272727272784</v>
      </c>
      <c r="AH85" s="590"/>
    </row>
    <row r="86" spans="1:34" ht="19.2" customHeight="1">
      <c r="A86" s="601"/>
      <c r="B86" s="154" t="s">
        <v>243</v>
      </c>
      <c r="C86" s="141"/>
      <c r="D86" s="240" t="s">
        <v>99</v>
      </c>
      <c r="E86" s="81"/>
      <c r="F86" s="657">
        <v>59.34</v>
      </c>
      <c r="G86" s="82">
        <v>651</v>
      </c>
      <c r="H86" s="127">
        <f t="shared" si="56"/>
        <v>38630.340000000004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1183.6363636363621</v>
      </c>
      <c r="O86" s="236">
        <f t="shared" si="58"/>
        <v>69.625668449197775</v>
      </c>
      <c r="P86" s="95">
        <f t="shared" si="59"/>
        <v>0</v>
      </c>
      <c r="Q86" s="131">
        <f t="shared" si="60"/>
        <v>-15.080213903743399</v>
      </c>
      <c r="R86" s="239">
        <f t="shared" si="61"/>
        <v>0.82196969696969602</v>
      </c>
      <c r="S86" s="590"/>
      <c r="T86" s="91">
        <v>0.59583333333333321</v>
      </c>
      <c r="U86" s="91">
        <v>0.61874999999999991</v>
      </c>
      <c r="V86" s="75">
        <v>8</v>
      </c>
      <c r="W86" s="84">
        <f t="shared" si="62"/>
        <v>33.000000000000043</v>
      </c>
      <c r="X86" s="94"/>
      <c r="Y86" s="94"/>
      <c r="Z86" s="95"/>
      <c r="AA86" s="95"/>
      <c r="AB86" s="571"/>
      <c r="AC86" s="571"/>
      <c r="AD86" s="332"/>
      <c r="AE86" s="332"/>
      <c r="AF86" s="88">
        <f t="shared" si="63"/>
        <v>-256.36363636363785</v>
      </c>
      <c r="AG86" s="90">
        <f t="shared" si="64"/>
        <v>0.82196969696969591</v>
      </c>
      <c r="AH86" s="590"/>
    </row>
    <row r="87" spans="1:34" ht="19.2" customHeight="1">
      <c r="A87" s="601"/>
      <c r="B87" s="154" t="s">
        <v>247</v>
      </c>
      <c r="C87" s="141"/>
      <c r="D87" s="240" t="s">
        <v>133</v>
      </c>
      <c r="E87" s="81"/>
      <c r="F87" s="657">
        <v>56.43</v>
      </c>
      <c r="G87" s="82">
        <v>1086</v>
      </c>
      <c r="H87" s="127">
        <f t="shared" si="56"/>
        <v>61282.98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1253.0769230769238</v>
      </c>
      <c r="O87" s="236">
        <f t="shared" si="58"/>
        <v>69.615384615384656</v>
      </c>
      <c r="P87" s="95">
        <f t="shared" si="59"/>
        <v>0</v>
      </c>
      <c r="Q87" s="131">
        <f t="shared" si="60"/>
        <v>-13.717948717948673</v>
      </c>
      <c r="R87" s="239">
        <f t="shared" si="61"/>
        <v>0.83538461538461595</v>
      </c>
      <c r="S87" s="590"/>
      <c r="T87" s="91">
        <v>0.63472222222222219</v>
      </c>
      <c r="U87" s="91">
        <v>0.67083333333333328</v>
      </c>
      <c r="V87" s="75">
        <v>23</v>
      </c>
      <c r="W87" s="84">
        <f t="shared" si="62"/>
        <v>51.999999999999972</v>
      </c>
      <c r="X87" s="94">
        <v>0.62222222222222223</v>
      </c>
      <c r="Y87" s="94">
        <v>0.63194444444444442</v>
      </c>
      <c r="Z87" s="95"/>
      <c r="AA87" s="95"/>
      <c r="AB87" s="571"/>
      <c r="AC87" s="571"/>
      <c r="AD87" s="332"/>
      <c r="AE87" s="332"/>
      <c r="AF87" s="88">
        <f t="shared" si="63"/>
        <v>-246.92307692307622</v>
      </c>
      <c r="AG87" s="90">
        <f t="shared" si="64"/>
        <v>0.83538461538461584</v>
      </c>
      <c r="AH87" s="590"/>
    </row>
    <row r="88" spans="1:34" ht="19.2" customHeight="1">
      <c r="A88" s="601"/>
      <c r="B88" s="154" t="s">
        <v>247</v>
      </c>
      <c r="C88" s="218"/>
      <c r="D88" s="240" t="s">
        <v>125</v>
      </c>
      <c r="E88" s="81"/>
      <c r="F88" s="657">
        <v>58.17</v>
      </c>
      <c r="G88" s="98">
        <v>982</v>
      </c>
      <c r="H88" s="127">
        <f t="shared" si="56"/>
        <v>57122.94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1111.6981132075477</v>
      </c>
      <c r="O88" s="236">
        <f t="shared" si="58"/>
        <v>55.584905660377387</v>
      </c>
      <c r="P88" s="95">
        <f t="shared" si="59"/>
        <v>1</v>
      </c>
      <c r="Q88" s="131">
        <f t="shared" si="60"/>
        <v>-17.309831181727873</v>
      </c>
      <c r="R88" s="239">
        <f t="shared" si="61"/>
        <v>0.76253661194741551</v>
      </c>
      <c r="S88" s="590"/>
      <c r="T88" s="91">
        <v>0.70833333333333337</v>
      </c>
      <c r="U88" s="91">
        <v>0.74513888888888891</v>
      </c>
      <c r="V88" s="75">
        <v>5</v>
      </c>
      <c r="W88" s="84">
        <f t="shared" si="62"/>
        <v>52.999999999999972</v>
      </c>
      <c r="X88" s="94"/>
      <c r="Y88" s="94"/>
      <c r="Z88" s="95"/>
      <c r="AA88" s="95"/>
      <c r="AB88" s="571"/>
      <c r="AC88" s="571"/>
      <c r="AD88" s="332"/>
      <c r="AE88" s="332"/>
      <c r="AF88" s="88">
        <f t="shared" si="63"/>
        <v>-273.30188679245225</v>
      </c>
      <c r="AG88" s="90">
        <f t="shared" si="64"/>
        <v>0.80267011783938469</v>
      </c>
      <c r="AH88" s="590"/>
    </row>
    <row r="89" spans="1:34" ht="19.2" customHeight="1">
      <c r="A89" s="601"/>
      <c r="B89" s="154" t="s">
        <v>247</v>
      </c>
      <c r="C89" s="218"/>
      <c r="D89" s="80" t="s">
        <v>126</v>
      </c>
      <c r="E89" s="81"/>
      <c r="F89" s="657">
        <v>53.68</v>
      </c>
      <c r="G89" s="159">
        <v>1251</v>
      </c>
      <c r="H89" s="127">
        <f t="shared" si="56"/>
        <v>67153.679999999993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1294.1379310344837</v>
      </c>
      <c r="O89" s="236">
        <f t="shared" si="58"/>
        <v>64.706896551724185</v>
      </c>
      <c r="P89" s="95">
        <f t="shared" si="59"/>
        <v>0</v>
      </c>
      <c r="Q89" s="131">
        <f t="shared" si="60"/>
        <v>-10.293103448275815</v>
      </c>
      <c r="R89" s="239">
        <f t="shared" si="61"/>
        <v>0.86275862068965581</v>
      </c>
      <c r="S89" s="590"/>
      <c r="T89" s="91">
        <v>0.75208333333333333</v>
      </c>
      <c r="U89" s="91">
        <v>0.79236111111111107</v>
      </c>
      <c r="V89" s="75">
        <v>8</v>
      </c>
      <c r="W89" s="84">
        <f t="shared" si="62"/>
        <v>57.999999999999957</v>
      </c>
      <c r="X89" s="94"/>
      <c r="Y89" s="94"/>
      <c r="Z89" s="95"/>
      <c r="AA89" s="95"/>
      <c r="AB89" s="571"/>
      <c r="AC89" s="571"/>
      <c r="AD89" s="332"/>
      <c r="AE89" s="332"/>
      <c r="AF89" s="88">
        <f t="shared" si="63"/>
        <v>-205.8620689655163</v>
      </c>
      <c r="AG89" s="90">
        <f t="shared" si="64"/>
        <v>0.86275862068965581</v>
      </c>
      <c r="AH89" s="590"/>
    </row>
    <row r="90" spans="1:34" ht="19.2" customHeight="1">
      <c r="A90" s="601"/>
      <c r="B90" s="154">
        <v>0</v>
      </c>
      <c r="C90" s="218"/>
      <c r="D90" s="80"/>
      <c r="E90" s="81"/>
      <c r="F90" s="657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590"/>
      <c r="T90" s="91"/>
      <c r="U90" s="91"/>
      <c r="V90" s="75"/>
      <c r="W90" s="84"/>
      <c r="X90" s="242"/>
      <c r="Y90" s="242"/>
      <c r="Z90" s="95"/>
      <c r="AA90" s="95"/>
      <c r="AB90" s="571"/>
      <c r="AC90" s="571"/>
      <c r="AD90" s="332"/>
      <c r="AE90" s="332"/>
      <c r="AF90" s="88">
        <f t="shared" si="63"/>
        <v>0</v>
      </c>
      <c r="AG90" s="90" t="e">
        <f t="shared" si="64"/>
        <v>#DIV/0!</v>
      </c>
      <c r="AH90" s="590"/>
    </row>
    <row r="91" spans="1:34" ht="19.2" customHeight="1">
      <c r="A91" s="601"/>
      <c r="B91" s="154">
        <v>0</v>
      </c>
      <c r="C91" s="218"/>
      <c r="D91" s="80"/>
      <c r="E91" s="81"/>
      <c r="F91" s="657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593"/>
      <c r="T91" s="91"/>
      <c r="U91" s="91"/>
      <c r="V91" s="75"/>
      <c r="W91" s="84"/>
      <c r="X91" s="160"/>
      <c r="Y91" s="160"/>
      <c r="Z91" s="95"/>
      <c r="AA91" s="95"/>
      <c r="AB91" s="571"/>
      <c r="AC91" s="571"/>
      <c r="AD91" s="332"/>
      <c r="AE91" s="332"/>
      <c r="AF91" s="88">
        <f t="shared" si="63"/>
        <v>0</v>
      </c>
      <c r="AG91" s="90" t="e">
        <f t="shared" si="64"/>
        <v>#DIV/0!</v>
      </c>
      <c r="AH91" s="593"/>
    </row>
    <row r="92" spans="1:34" ht="19.2" customHeight="1">
      <c r="A92" s="601"/>
      <c r="B92" s="154">
        <v>0</v>
      </c>
      <c r="C92" s="218"/>
      <c r="D92" s="80"/>
      <c r="E92" s="81"/>
      <c r="F92" s="657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593"/>
      <c r="T92" s="91"/>
      <c r="U92" s="91"/>
      <c r="V92" s="75"/>
      <c r="W92" s="84"/>
      <c r="X92" s="233"/>
      <c r="Y92" s="233"/>
      <c r="Z92" s="170"/>
      <c r="AA92" s="170"/>
      <c r="AB92" s="571"/>
      <c r="AC92" s="571"/>
      <c r="AD92" s="332"/>
      <c r="AE92" s="332"/>
      <c r="AF92" s="88">
        <f t="shared" si="63"/>
        <v>0</v>
      </c>
      <c r="AG92" s="90" t="e">
        <f t="shared" si="64"/>
        <v>#DIV/0!</v>
      </c>
      <c r="AH92" s="593"/>
    </row>
    <row r="93" spans="1:34" ht="19.2" customHeight="1">
      <c r="A93" s="601"/>
      <c r="B93" s="103">
        <v>0</v>
      </c>
      <c r="C93" s="249"/>
      <c r="D93" s="100"/>
      <c r="E93" s="101"/>
      <c r="F93" s="657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599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571"/>
      <c r="AC93" s="571"/>
      <c r="AD93" s="332"/>
      <c r="AE93" s="332"/>
      <c r="AF93" s="88">
        <f t="shared" si="63"/>
        <v>0</v>
      </c>
      <c r="AG93" s="90" t="e">
        <f t="shared" si="64"/>
        <v>#DIV/0!</v>
      </c>
      <c r="AH93" s="593"/>
    </row>
    <row r="94" spans="1:34" ht="19.2" customHeight="1">
      <c r="A94" s="601"/>
      <c r="B94" s="103">
        <v>0</v>
      </c>
      <c r="C94" s="249"/>
      <c r="D94" s="80"/>
      <c r="E94" s="81"/>
      <c r="F94" s="657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599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571"/>
      <c r="AC94" s="571"/>
      <c r="AD94" s="332"/>
      <c r="AE94" s="332"/>
      <c r="AF94" s="88">
        <f t="shared" si="63"/>
        <v>0</v>
      </c>
      <c r="AG94" s="90" t="e">
        <f t="shared" si="64"/>
        <v>#DIV/0!</v>
      </c>
      <c r="AH94" s="593"/>
    </row>
    <row r="95" spans="1:34" ht="19.2" customHeight="1">
      <c r="A95" s="601"/>
      <c r="B95" s="255">
        <v>0</v>
      </c>
      <c r="C95" s="144" t="s">
        <v>196</v>
      </c>
      <c r="D95" s="572" t="s">
        <v>191</v>
      </c>
      <c r="E95" s="572"/>
      <c r="F95" s="651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J95:O95" si="65">AVERAGE(M83:M94)</f>
        <v>19.142857142857142</v>
      </c>
      <c r="N95" s="257">
        <f t="shared" si="65"/>
        <v>1219.0071630051896</v>
      </c>
      <c r="O95" s="258">
        <f t="shared" si="65"/>
        <v>63.92277410858572</v>
      </c>
      <c r="P95" s="259">
        <f>M95-J95</f>
        <v>0.14285714285714235</v>
      </c>
      <c r="Q95" s="260">
        <f t="shared" ref="Q95:Q101" si="66">O95-L95</f>
        <v>-13.068864652181752</v>
      </c>
      <c r="R95" s="261">
        <f>O95/L95</f>
        <v>0.83025605296193228</v>
      </c>
      <c r="S95" s="593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571"/>
      <c r="AC95" s="571"/>
      <c r="AD95" s="151">
        <f>SUM(AD83:AD94)</f>
        <v>0</v>
      </c>
      <c r="AE95" s="151">
        <f>SUM(AE83:AE94)</f>
        <v>0</v>
      </c>
      <c r="AF95" s="107">
        <f t="shared" si="63"/>
        <v>-238.84997985195332</v>
      </c>
      <c r="AG95" s="108">
        <f t="shared" si="64"/>
        <v>0.83616365909224177</v>
      </c>
      <c r="AH95" s="593"/>
    </row>
    <row r="96" spans="1:34" ht="19.2" customHeight="1">
      <c r="A96" s="598" t="s">
        <v>197</v>
      </c>
      <c r="B96" s="75" t="s">
        <v>245</v>
      </c>
      <c r="C96" s="141"/>
      <c r="D96" s="80" t="s">
        <v>127</v>
      </c>
      <c r="E96" s="81"/>
      <c r="F96" s="650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1" si="68">G96/W96*60</f>
        <v>1376.4705882352923</v>
      </c>
      <c r="O96" s="86">
        <f t="shared" ref="O96:O101" si="69">N96/M96</f>
        <v>229.41176470588206</v>
      </c>
      <c r="P96" s="88">
        <f t="shared" ref="P96:P101" si="70">M96-J96</f>
        <v>0</v>
      </c>
      <c r="Q96" s="89">
        <f t="shared" si="66"/>
        <v>-43.254901960784622</v>
      </c>
      <c r="R96" s="90">
        <f t="shared" ref="R96:R101" si="71">O96/L96</f>
        <v>0.84136344024162124</v>
      </c>
      <c r="S96" s="590">
        <f>R108</f>
        <v>0.86571337010743887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571"/>
      <c r="AC96" s="571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575">
        <f>AG108</f>
        <v>0.87238046567321492</v>
      </c>
    </row>
    <row r="97" spans="1:34" s="270" customFormat="1" ht="19.2" customHeight="1">
      <c r="A97" s="598"/>
      <c r="B97" s="75" t="s">
        <v>247</v>
      </c>
      <c r="C97" s="262"/>
      <c r="D97" s="263" t="s">
        <v>314</v>
      </c>
      <c r="E97" s="97"/>
      <c r="F97" s="661">
        <v>56.85</v>
      </c>
      <c r="G97" s="264">
        <v>3219.3199999999997</v>
      </c>
      <c r="H97" s="265">
        <f t="shared" si="67"/>
        <v>183018.34199999998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1314.0081632653066</v>
      </c>
      <c r="O97" s="86">
        <f t="shared" si="69"/>
        <v>73.000453514739263</v>
      </c>
      <c r="P97" s="88">
        <f t="shared" si="70"/>
        <v>0</v>
      </c>
      <c r="Q97" s="89">
        <f t="shared" si="66"/>
        <v>-17.888435374149623</v>
      </c>
      <c r="R97" s="90">
        <f t="shared" si="71"/>
        <v>0.80318347387854938</v>
      </c>
      <c r="S97" s="590"/>
      <c r="T97" s="266">
        <v>0.34930555555555554</v>
      </c>
      <c r="U97" s="266">
        <v>0.45138888888888884</v>
      </c>
      <c r="V97" s="267">
        <v>6</v>
      </c>
      <c r="W97" s="134">
        <f t="shared" si="72"/>
        <v>146.99999999999994</v>
      </c>
      <c r="X97" s="94"/>
      <c r="Y97" s="94"/>
      <c r="Z97" s="95"/>
      <c r="AA97" s="95"/>
      <c r="AB97" s="571"/>
      <c r="AC97" s="571"/>
      <c r="AD97" s="267"/>
      <c r="AE97" s="267"/>
      <c r="AF97" s="268">
        <f t="shared" si="63"/>
        <v>-321.99183673469338</v>
      </c>
      <c r="AG97" s="269">
        <f t="shared" si="64"/>
        <v>0.80318347387854927</v>
      </c>
      <c r="AH97" s="575"/>
    </row>
    <row r="98" spans="1:34" s="274" customFormat="1" ht="19.2" customHeight="1">
      <c r="A98" s="598"/>
      <c r="B98" s="75" t="s">
        <v>243</v>
      </c>
      <c r="C98" s="96"/>
      <c r="D98" s="80" t="s">
        <v>100</v>
      </c>
      <c r="E98" s="126"/>
      <c r="F98" s="661">
        <v>71.55</v>
      </c>
      <c r="G98" s="98">
        <v>897</v>
      </c>
      <c r="H98" s="265">
        <f t="shared" si="67"/>
        <v>64180.35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1281.4285714285711</v>
      </c>
      <c r="O98" s="86">
        <f t="shared" si="69"/>
        <v>71.190476190476176</v>
      </c>
      <c r="P98" s="88">
        <f t="shared" si="70"/>
        <v>0</v>
      </c>
      <c r="Q98" s="89">
        <f t="shared" si="66"/>
        <v>-5.7539682539682673</v>
      </c>
      <c r="R98" s="90">
        <f t="shared" si="71"/>
        <v>0.92521918514698276</v>
      </c>
      <c r="S98" s="590"/>
      <c r="T98" s="133">
        <v>0.45694444444444438</v>
      </c>
      <c r="U98" s="133">
        <v>0.48611111111111105</v>
      </c>
      <c r="V98" s="332">
        <v>8</v>
      </c>
      <c r="W98" s="134">
        <f t="shared" si="72"/>
        <v>42.000000000000014</v>
      </c>
      <c r="X98" s="271"/>
      <c r="Y98" s="271"/>
      <c r="Z98" s="272"/>
      <c r="AA98" s="272"/>
      <c r="AB98" s="571"/>
      <c r="AC98" s="571"/>
      <c r="AD98" s="332"/>
      <c r="AE98" s="332"/>
      <c r="AF98" s="95">
        <f t="shared" si="63"/>
        <v>-103.5714285714289</v>
      </c>
      <c r="AG98" s="132">
        <f t="shared" si="64"/>
        <v>0.92521918514698276</v>
      </c>
      <c r="AH98" s="575"/>
    </row>
    <row r="99" spans="1:34" ht="19.2" customHeight="1">
      <c r="A99" s="598"/>
      <c r="B99" s="75" t="s">
        <v>243</v>
      </c>
      <c r="C99" s="124"/>
      <c r="D99" s="125" t="s">
        <v>102</v>
      </c>
      <c r="E99" s="126"/>
      <c r="F99" s="661">
        <v>59.54</v>
      </c>
      <c r="G99" s="98">
        <v>1442</v>
      </c>
      <c r="H99" s="265">
        <f t="shared" si="67"/>
        <v>85856.68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1272.3529411764721</v>
      </c>
      <c r="O99" s="86">
        <f t="shared" si="69"/>
        <v>70.686274509804008</v>
      </c>
      <c r="P99" s="88">
        <f t="shared" si="70"/>
        <v>0</v>
      </c>
      <c r="Q99" s="89">
        <f t="shared" si="66"/>
        <v>-6.2581699346404349</v>
      </c>
      <c r="R99" s="90">
        <f t="shared" si="71"/>
        <v>0.91866638352091856</v>
      </c>
      <c r="S99" s="590"/>
      <c r="T99" s="133">
        <v>0.52569444444444435</v>
      </c>
      <c r="U99" s="133">
        <v>0.57291666666666652</v>
      </c>
      <c r="V99" s="332">
        <v>7</v>
      </c>
      <c r="W99" s="134">
        <f t="shared" si="72"/>
        <v>67.999999999999915</v>
      </c>
      <c r="X99" s="233"/>
      <c r="Y99" s="233"/>
      <c r="Z99" s="170"/>
      <c r="AA99" s="170"/>
      <c r="AB99" s="571"/>
      <c r="AC99" s="571"/>
      <c r="AD99" s="332"/>
      <c r="AE99" s="332"/>
      <c r="AF99" s="268">
        <f t="shared" si="63"/>
        <v>-112.64705882352791</v>
      </c>
      <c r="AG99" s="269">
        <f t="shared" si="64"/>
        <v>0.91866638352091845</v>
      </c>
      <c r="AH99" s="575"/>
    </row>
    <row r="100" spans="1:34" s="274" customFormat="1" ht="19.2" customHeight="1">
      <c r="A100" s="598"/>
      <c r="B100" s="75" t="s">
        <v>243</v>
      </c>
      <c r="C100" s="96"/>
      <c r="D100" s="80" t="s">
        <v>122</v>
      </c>
      <c r="E100" s="126"/>
      <c r="F100" s="661">
        <v>53.36</v>
      </c>
      <c r="G100" s="98">
        <v>2325.84</v>
      </c>
      <c r="H100" s="265">
        <f t="shared" si="67"/>
        <v>124106.8224</v>
      </c>
      <c r="I100" s="332"/>
      <c r="J100" s="85">
        <v>19</v>
      </c>
      <c r="K100" s="82">
        <v>1440</v>
      </c>
      <c r="L100" s="86">
        <v>75.78947368421052</v>
      </c>
      <c r="M100" s="130">
        <v>19</v>
      </c>
      <c r="N100" s="82">
        <f t="shared" si="68"/>
        <v>1203.0206896551717</v>
      </c>
      <c r="O100" s="86">
        <f t="shared" si="69"/>
        <v>63.316878402903775</v>
      </c>
      <c r="P100" s="88">
        <f t="shared" si="70"/>
        <v>0</v>
      </c>
      <c r="Q100" s="89">
        <f t="shared" si="66"/>
        <v>-12.472595281306745</v>
      </c>
      <c r="R100" s="90">
        <f t="shared" si="71"/>
        <v>0.83543103448275824</v>
      </c>
      <c r="S100" s="590"/>
      <c r="T100" s="266">
        <v>0.58819444444444424</v>
      </c>
      <c r="U100" s="266">
        <v>0.66874999999999984</v>
      </c>
      <c r="V100" s="267">
        <v>22</v>
      </c>
      <c r="W100" s="134">
        <f t="shared" si="72"/>
        <v>116.00000000000007</v>
      </c>
      <c r="X100" s="275">
        <v>0.57638888888888895</v>
      </c>
      <c r="Y100" s="275">
        <v>0.5854166666666667</v>
      </c>
      <c r="Z100" s="272"/>
      <c r="AA100" s="272"/>
      <c r="AB100" s="571"/>
      <c r="AC100" s="571"/>
      <c r="AD100" s="332"/>
      <c r="AE100" s="332"/>
      <c r="AF100" s="95">
        <f t="shared" si="63"/>
        <v>-236.97931034482826</v>
      </c>
      <c r="AG100" s="132">
        <f t="shared" si="64"/>
        <v>0.83543103448275813</v>
      </c>
      <c r="AH100" s="575"/>
    </row>
    <row r="101" spans="1:34" s="274" customFormat="1" ht="19.2" customHeight="1">
      <c r="A101" s="598"/>
      <c r="B101" s="75" t="s">
        <v>247</v>
      </c>
      <c r="C101" s="96"/>
      <c r="D101" s="125" t="s">
        <v>135</v>
      </c>
      <c r="E101" s="126"/>
      <c r="F101" s="661">
        <v>54.29</v>
      </c>
      <c r="G101" s="98">
        <v>913</v>
      </c>
      <c r="H101" s="265">
        <f t="shared" si="67"/>
        <v>49566.77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1336.0975609756094</v>
      </c>
      <c r="O101" s="86">
        <f t="shared" si="69"/>
        <v>89.073170731707293</v>
      </c>
      <c r="P101" s="88">
        <f t="shared" si="70"/>
        <v>0</v>
      </c>
      <c r="Q101" s="89">
        <f t="shared" si="66"/>
        <v>-6.9268292682927068</v>
      </c>
      <c r="R101" s="90">
        <f t="shared" si="71"/>
        <v>0.92784552845528434</v>
      </c>
      <c r="S101" s="590"/>
      <c r="T101" s="266">
        <v>0.70833333333333337</v>
      </c>
      <c r="U101" s="133">
        <v>0.7368055555555556</v>
      </c>
      <c r="V101" s="267">
        <v>5</v>
      </c>
      <c r="W101" s="134">
        <f t="shared" si="72"/>
        <v>41.000000000000014</v>
      </c>
      <c r="X101" s="276"/>
      <c r="Y101" s="276"/>
      <c r="Z101" s="272"/>
      <c r="AA101" s="272"/>
      <c r="AB101" s="571"/>
      <c r="AC101" s="571"/>
      <c r="AD101" s="332"/>
      <c r="AE101" s="332"/>
      <c r="AF101" s="268">
        <f t="shared" si="63"/>
        <v>-103.90243902439056</v>
      </c>
      <c r="AG101" s="269">
        <f t="shared" si="64"/>
        <v>0.92784552845528434</v>
      </c>
      <c r="AH101" s="575"/>
    </row>
    <row r="102" spans="1:34" s="274" customFormat="1" ht="19.2" customHeight="1">
      <c r="A102" s="598"/>
      <c r="B102" s="75">
        <v>0</v>
      </c>
      <c r="C102" s="228"/>
      <c r="D102" s="229"/>
      <c r="E102" s="230"/>
      <c r="F102" s="661" t="s">
        <v>248</v>
      </c>
      <c r="G102" s="98"/>
      <c r="H102" s="265">
        <f t="shared" si="67"/>
        <v>0</v>
      </c>
      <c r="I102" s="75"/>
      <c r="J102" s="85"/>
      <c r="K102" s="82"/>
      <c r="L102" s="86"/>
      <c r="M102" s="130"/>
      <c r="N102" s="82"/>
      <c r="O102" s="86"/>
      <c r="P102" s="88"/>
      <c r="Q102" s="89"/>
      <c r="R102" s="90"/>
      <c r="S102" s="590"/>
      <c r="T102" s="266"/>
      <c r="U102" s="266"/>
      <c r="V102" s="267"/>
      <c r="W102" s="134"/>
      <c r="X102" s="276"/>
      <c r="Y102" s="276"/>
      <c r="Z102" s="272"/>
      <c r="AA102" s="272"/>
      <c r="AB102" s="571"/>
      <c r="AC102" s="571"/>
      <c r="AD102" s="332"/>
      <c r="AE102" s="332"/>
      <c r="AF102" s="95">
        <f t="shared" si="63"/>
        <v>0</v>
      </c>
      <c r="AG102" s="132" t="e">
        <f t="shared" si="64"/>
        <v>#DIV/0!</v>
      </c>
      <c r="AH102" s="575"/>
    </row>
    <row r="103" spans="1:34" s="274" customFormat="1" ht="19.2" customHeight="1">
      <c r="A103" s="598"/>
      <c r="B103" s="75">
        <v>0</v>
      </c>
      <c r="C103" s="277"/>
      <c r="D103" s="125"/>
      <c r="E103" s="126"/>
      <c r="F103" s="661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590"/>
      <c r="T103" s="266"/>
      <c r="U103" s="266"/>
      <c r="V103" s="267"/>
      <c r="W103" s="134"/>
      <c r="X103" s="276"/>
      <c r="Y103" s="276"/>
      <c r="Z103" s="272"/>
      <c r="AA103" s="272"/>
      <c r="AB103" s="571"/>
      <c r="AC103" s="571"/>
      <c r="AD103" s="332"/>
      <c r="AE103" s="332"/>
      <c r="AF103" s="268">
        <f t="shared" si="63"/>
        <v>0</v>
      </c>
      <c r="AG103" s="269" t="e">
        <f t="shared" si="64"/>
        <v>#DIV/0!</v>
      </c>
      <c r="AH103" s="575"/>
    </row>
    <row r="104" spans="1:34" s="274" customFormat="1" ht="19.2" customHeight="1">
      <c r="A104" s="598"/>
      <c r="B104" s="75">
        <v>0</v>
      </c>
      <c r="C104" s="279"/>
      <c r="D104" s="125"/>
      <c r="E104" s="126"/>
      <c r="F104" s="661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593"/>
      <c r="T104" s="266"/>
      <c r="U104" s="266"/>
      <c r="V104" s="267"/>
      <c r="W104" s="134"/>
      <c r="X104" s="276"/>
      <c r="Y104" s="276"/>
      <c r="Z104" s="272"/>
      <c r="AA104" s="272"/>
      <c r="AB104" s="571"/>
      <c r="AC104" s="571"/>
      <c r="AD104" s="332"/>
      <c r="AE104" s="332"/>
      <c r="AF104" s="95">
        <f t="shared" si="63"/>
        <v>0</v>
      </c>
      <c r="AG104" s="132" t="e">
        <f t="shared" si="64"/>
        <v>#DIV/0!</v>
      </c>
      <c r="AH104" s="575"/>
    </row>
    <row r="105" spans="1:34" s="274" customFormat="1" ht="19.2" customHeight="1">
      <c r="A105" s="598"/>
      <c r="B105" s="75">
        <v>0</v>
      </c>
      <c r="C105" s="279"/>
      <c r="D105" s="125"/>
      <c r="E105" s="126"/>
      <c r="F105" s="661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593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571"/>
      <c r="AC105" s="571"/>
      <c r="AD105" s="332"/>
      <c r="AE105" s="332"/>
      <c r="AF105" s="268">
        <f t="shared" si="63"/>
        <v>0</v>
      </c>
      <c r="AG105" s="269" t="e">
        <f t="shared" si="64"/>
        <v>#DIV/0!</v>
      </c>
      <c r="AH105" s="575"/>
    </row>
    <row r="106" spans="1:34" s="274" customFormat="1" ht="19.2" customHeight="1">
      <c r="A106" s="598"/>
      <c r="B106" s="75">
        <v>0</v>
      </c>
      <c r="C106" s="279"/>
      <c r="D106" s="125"/>
      <c r="E106" s="126"/>
      <c r="F106" s="650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599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571"/>
      <c r="AC106" s="571"/>
      <c r="AD106" s="332"/>
      <c r="AE106" s="332"/>
      <c r="AF106" s="272"/>
      <c r="AG106" s="132"/>
      <c r="AH106" s="575"/>
    </row>
    <row r="107" spans="1:34" s="274" customFormat="1" ht="19.2" customHeight="1">
      <c r="A107" s="598"/>
      <c r="B107" s="277">
        <v>0</v>
      </c>
      <c r="C107" s="279"/>
      <c r="D107" s="125"/>
      <c r="E107" s="126"/>
      <c r="F107" s="650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599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571"/>
      <c r="AC107" s="571"/>
      <c r="AD107" s="332"/>
      <c r="AE107" s="332"/>
      <c r="AF107" s="272"/>
      <c r="AG107" s="132"/>
      <c r="AH107" s="575"/>
    </row>
    <row r="108" spans="1:34" ht="19.2" customHeight="1">
      <c r="A108" s="598"/>
      <c r="B108" s="154">
        <v>0</v>
      </c>
      <c r="C108" s="144" t="s">
        <v>198</v>
      </c>
      <c r="D108" s="572" t="s">
        <v>191</v>
      </c>
      <c r="E108" s="572"/>
      <c r="F108" s="662"/>
      <c r="G108" s="145"/>
      <c r="H108" s="146"/>
      <c r="I108" s="147"/>
      <c r="J108" s="145">
        <v>15.666666666666666</v>
      </c>
      <c r="K108" s="145">
        <v>1487</v>
      </c>
      <c r="L108" s="148">
        <v>114.87231968810916</v>
      </c>
      <c r="M108" s="145">
        <f t="shared" ref="J108:O108" si="73">AVERAGE(M96:M107)</f>
        <v>15.666666666666666</v>
      </c>
      <c r="N108" s="145">
        <f t="shared" si="73"/>
        <v>1297.2297524560706</v>
      </c>
      <c r="O108" s="148">
        <f t="shared" si="73"/>
        <v>99.446503009252083</v>
      </c>
      <c r="P108" s="95">
        <f t="shared" ref="P108:P114" si="74">M108-J108</f>
        <v>0</v>
      </c>
      <c r="Q108" s="131">
        <f t="shared" ref="Q108:Q114" si="75">O108-L108</f>
        <v>-15.425816678857075</v>
      </c>
      <c r="R108" s="149">
        <f t="shared" ref="R108:R114" si="76">O108/L108</f>
        <v>0.86571337010743887</v>
      </c>
      <c r="S108" s="593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571"/>
      <c r="AC108" s="571"/>
      <c r="AD108" s="151">
        <f>SUM(AD96:AD107)</f>
        <v>0</v>
      </c>
      <c r="AE108" s="151">
        <f>SUM(AE96:AE107)</f>
        <v>0</v>
      </c>
      <c r="AF108" s="95">
        <f t="shared" si="63"/>
        <v>-189.77024754392937</v>
      </c>
      <c r="AG108" s="132">
        <f t="shared" si="64"/>
        <v>0.87238046567321492</v>
      </c>
      <c r="AH108" s="575"/>
    </row>
    <row r="109" spans="1:34" ht="19.2" customHeight="1">
      <c r="A109" s="594" t="s">
        <v>320</v>
      </c>
      <c r="B109" s="75" t="s">
        <v>243</v>
      </c>
      <c r="C109" s="218"/>
      <c r="D109" s="229" t="s">
        <v>101</v>
      </c>
      <c r="E109" s="81"/>
      <c r="F109" s="650">
        <v>77.34</v>
      </c>
      <c r="G109" s="82">
        <v>671</v>
      </c>
      <c r="H109" s="83">
        <f t="shared" ref="H109:H118" si="77">F109*G109</f>
        <v>51895.14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1341.9999999999977</v>
      </c>
      <c r="O109" s="86">
        <f t="shared" ref="O109:O114" si="79">N109/M109</f>
        <v>74.555555555555429</v>
      </c>
      <c r="P109" s="88">
        <f t="shared" si="74"/>
        <v>0</v>
      </c>
      <c r="Q109" s="89">
        <f t="shared" si="75"/>
        <v>-5.4444444444445708</v>
      </c>
      <c r="R109" s="90">
        <f t="shared" si="76"/>
        <v>0.93194444444444291</v>
      </c>
      <c r="S109" s="597">
        <f>R121</f>
        <v>0.87732806544329345</v>
      </c>
      <c r="T109" s="283">
        <v>0.5</v>
      </c>
      <c r="U109" s="283">
        <v>0.52083333333333337</v>
      </c>
      <c r="V109" s="284">
        <v>5</v>
      </c>
      <c r="W109" s="84">
        <f t="shared" si="72"/>
        <v>30.000000000000053</v>
      </c>
      <c r="X109" s="94"/>
      <c r="Y109" s="94"/>
      <c r="Z109" s="95"/>
      <c r="AA109" s="95"/>
      <c r="AB109" s="571"/>
      <c r="AC109" s="571"/>
      <c r="AD109" s="332"/>
      <c r="AE109" s="332"/>
      <c r="AF109" s="88">
        <f t="shared" si="63"/>
        <v>-98.000000000002274</v>
      </c>
      <c r="AG109" s="171">
        <f t="shared" si="64"/>
        <v>0.93194444444444291</v>
      </c>
      <c r="AH109" s="575">
        <f>AG121</f>
        <v>0.87729961219064523</v>
      </c>
    </row>
    <row r="110" spans="1:34" ht="19.2" customHeight="1">
      <c r="A110" s="595"/>
      <c r="B110" s="75" t="s">
        <v>247</v>
      </c>
      <c r="C110" s="228"/>
      <c r="D110" s="80" t="s">
        <v>131</v>
      </c>
      <c r="E110" s="230"/>
      <c r="F110" s="650">
        <v>53.68</v>
      </c>
      <c r="G110" s="227">
        <v>1069</v>
      </c>
      <c r="H110" s="83">
        <f t="shared" si="77"/>
        <v>57383.92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1364.68085106383</v>
      </c>
      <c r="O110" s="86">
        <f t="shared" si="79"/>
        <v>85.292553191489375</v>
      </c>
      <c r="P110" s="88">
        <f t="shared" si="74"/>
        <v>0</v>
      </c>
      <c r="Q110" s="89">
        <f t="shared" si="75"/>
        <v>-8.4574468085106247</v>
      </c>
      <c r="R110" s="90">
        <f t="shared" si="76"/>
        <v>0.90978723404255335</v>
      </c>
      <c r="S110" s="586"/>
      <c r="T110" s="283">
        <v>0.52569444444444446</v>
      </c>
      <c r="U110" s="283">
        <v>0.55833333333333335</v>
      </c>
      <c r="V110" s="284">
        <v>7</v>
      </c>
      <c r="W110" s="84">
        <f t="shared" si="72"/>
        <v>46.999999999999993</v>
      </c>
      <c r="X110" s="242"/>
      <c r="Y110" s="242"/>
      <c r="Z110" s="95"/>
      <c r="AA110" s="95"/>
      <c r="AB110" s="571"/>
      <c r="AC110" s="571"/>
      <c r="AD110" s="332"/>
      <c r="AE110" s="332"/>
      <c r="AF110" s="152">
        <f t="shared" si="63"/>
        <v>-135.31914893617</v>
      </c>
      <c r="AG110" s="171">
        <f t="shared" si="64"/>
        <v>0.90978723404255335</v>
      </c>
      <c r="AH110" s="575"/>
    </row>
    <row r="111" spans="1:34" ht="19.2" customHeight="1">
      <c r="A111" s="595"/>
      <c r="B111" s="75" t="s">
        <v>247</v>
      </c>
      <c r="C111" s="228"/>
      <c r="D111" s="80" t="s">
        <v>132</v>
      </c>
      <c r="E111" s="230"/>
      <c r="F111" s="650">
        <v>57.734999999999999</v>
      </c>
      <c r="G111" s="98">
        <v>1958</v>
      </c>
      <c r="H111" s="83">
        <f t="shared" si="77"/>
        <v>113045.13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1366.0465116279067</v>
      </c>
      <c r="O111" s="86">
        <f t="shared" si="79"/>
        <v>85.377906976744171</v>
      </c>
      <c r="P111" s="88">
        <f t="shared" si="74"/>
        <v>0</v>
      </c>
      <c r="Q111" s="89">
        <f t="shared" si="75"/>
        <v>-12.434593023255829</v>
      </c>
      <c r="R111" s="90">
        <f t="shared" si="76"/>
        <v>0.87287317036926948</v>
      </c>
      <c r="S111" s="586"/>
      <c r="T111" s="283">
        <v>0.57430555555555562</v>
      </c>
      <c r="U111" s="283">
        <v>0.63402777777777786</v>
      </c>
      <c r="V111" s="284">
        <v>23</v>
      </c>
      <c r="W111" s="84">
        <f t="shared" si="72"/>
        <v>86.000000000000014</v>
      </c>
      <c r="X111" s="94">
        <v>0.56180555555555556</v>
      </c>
      <c r="Y111" s="94">
        <v>0.57152777777777775</v>
      </c>
      <c r="Z111" s="95"/>
      <c r="AA111" s="95"/>
      <c r="AB111" s="571"/>
      <c r="AC111" s="571"/>
      <c r="AD111" s="332">
        <v>1</v>
      </c>
      <c r="AE111" s="332"/>
      <c r="AF111" s="88">
        <f t="shared" si="63"/>
        <v>-198.95348837209326</v>
      </c>
      <c r="AG111" s="171">
        <f t="shared" si="64"/>
        <v>0.87287317036926948</v>
      </c>
      <c r="AH111" s="575"/>
    </row>
    <row r="112" spans="1:34" ht="19.2" customHeight="1">
      <c r="A112" s="595"/>
      <c r="B112" s="75" t="s">
        <v>247</v>
      </c>
      <c r="C112" s="228"/>
      <c r="D112" s="229" t="s">
        <v>322</v>
      </c>
      <c r="E112" s="230"/>
      <c r="F112" s="650">
        <v>44.98</v>
      </c>
      <c r="G112" s="98">
        <v>2213.6</v>
      </c>
      <c r="H112" s="83">
        <f t="shared" si="77"/>
        <v>99567.727999999988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1241.271028037384</v>
      </c>
      <c r="O112" s="86">
        <f t="shared" si="79"/>
        <v>65.330054107230737</v>
      </c>
      <c r="P112" s="88">
        <f t="shared" si="74"/>
        <v>0</v>
      </c>
      <c r="Q112" s="89">
        <f t="shared" si="75"/>
        <v>-13.617314313821893</v>
      </c>
      <c r="R112" s="90">
        <f t="shared" si="76"/>
        <v>0.82751401869158936</v>
      </c>
      <c r="S112" s="586"/>
      <c r="T112" s="283">
        <v>0.70833333333333337</v>
      </c>
      <c r="U112" s="283">
        <v>0.78263888888888888</v>
      </c>
      <c r="V112" s="284">
        <v>5</v>
      </c>
      <c r="W112" s="84">
        <f t="shared" si="72"/>
        <v>106.99999999999994</v>
      </c>
      <c r="X112" s="94"/>
      <c r="Y112" s="94"/>
      <c r="Z112" s="95"/>
      <c r="AA112" s="95"/>
      <c r="AB112" s="571"/>
      <c r="AC112" s="571"/>
      <c r="AD112" s="332"/>
      <c r="AE112" s="332"/>
      <c r="AF112" s="88">
        <f t="shared" si="63"/>
        <v>-258.72897196261601</v>
      </c>
      <c r="AG112" s="171">
        <f t="shared" si="64"/>
        <v>0.82751401869158936</v>
      </c>
      <c r="AH112" s="575"/>
    </row>
    <row r="113" spans="1:34" s="274" customFormat="1" ht="19.2" customHeight="1">
      <c r="A113" s="595"/>
      <c r="B113" s="75" t="s">
        <v>247</v>
      </c>
      <c r="C113" s="228"/>
      <c r="D113" s="229" t="s">
        <v>138</v>
      </c>
      <c r="E113" s="230"/>
      <c r="F113" s="650">
        <v>57.73</v>
      </c>
      <c r="G113" s="98">
        <v>914</v>
      </c>
      <c r="H113" s="83">
        <f t="shared" si="77"/>
        <v>52765.219999999994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1192.1739130434783</v>
      </c>
      <c r="O113" s="86">
        <f t="shared" si="79"/>
        <v>70.127877237851663</v>
      </c>
      <c r="P113" s="88">
        <f t="shared" si="74"/>
        <v>1</v>
      </c>
      <c r="Q113" s="89">
        <f t="shared" si="75"/>
        <v>-19.872122762148337</v>
      </c>
      <c r="R113" s="90">
        <f t="shared" si="76"/>
        <v>0.77919863597612959</v>
      </c>
      <c r="S113" s="586"/>
      <c r="T113" s="283">
        <v>0.79722222222222217</v>
      </c>
      <c r="U113" s="283">
        <v>0.82916666666666661</v>
      </c>
      <c r="V113" s="284">
        <v>21</v>
      </c>
      <c r="W113" s="84">
        <f t="shared" si="72"/>
        <v>46</v>
      </c>
      <c r="X113" s="271">
        <v>0.78611111111111109</v>
      </c>
      <c r="Y113" s="271">
        <v>0.7944444444444444</v>
      </c>
      <c r="Z113" s="272"/>
      <c r="AA113" s="272"/>
      <c r="AB113" s="571"/>
      <c r="AC113" s="571"/>
      <c r="AD113" s="277"/>
      <c r="AE113" s="277"/>
      <c r="AF113" s="152">
        <f t="shared" si="63"/>
        <v>-247.82608695652175</v>
      </c>
      <c r="AG113" s="171">
        <f t="shared" si="64"/>
        <v>0.82789855072463769</v>
      </c>
      <c r="AH113" s="575"/>
    </row>
    <row r="114" spans="1:34" s="274" customFormat="1" ht="19.2" customHeight="1">
      <c r="A114" s="595"/>
      <c r="B114" s="75" t="s">
        <v>247</v>
      </c>
      <c r="C114" s="228"/>
      <c r="D114" s="229" t="s">
        <v>298</v>
      </c>
      <c r="E114" s="230"/>
      <c r="F114" s="650">
        <v>50.67</v>
      </c>
      <c r="G114" s="98">
        <v>737.69999999999993</v>
      </c>
      <c r="H114" s="83">
        <f t="shared" si="77"/>
        <v>37379.258999999998</v>
      </c>
      <c r="I114" s="332">
        <v>1</v>
      </c>
      <c r="J114" s="85">
        <v>18</v>
      </c>
      <c r="K114" s="82">
        <v>1500</v>
      </c>
      <c r="L114" s="86">
        <v>83.333333333333329</v>
      </c>
      <c r="M114" s="285">
        <v>17</v>
      </c>
      <c r="N114" s="82">
        <f t="shared" si="78"/>
        <v>1341.2727272727254</v>
      </c>
      <c r="O114" s="86">
        <f t="shared" si="79"/>
        <v>78.898395721925027</v>
      </c>
      <c r="P114" s="88">
        <f t="shared" si="74"/>
        <v>-1</v>
      </c>
      <c r="Q114" s="89">
        <f t="shared" si="75"/>
        <v>-4.4349376114083014</v>
      </c>
      <c r="R114" s="90">
        <f t="shared" si="76"/>
        <v>0.94678074866310036</v>
      </c>
      <c r="S114" s="586"/>
      <c r="T114" s="283">
        <v>0.83472222222222214</v>
      </c>
      <c r="U114" s="283">
        <v>0.85763888888888884</v>
      </c>
      <c r="V114" s="284">
        <v>8</v>
      </c>
      <c r="W114" s="84">
        <f t="shared" si="72"/>
        <v>33.000000000000043</v>
      </c>
      <c r="X114" s="271"/>
      <c r="Y114" s="271"/>
      <c r="Z114" s="272"/>
      <c r="AA114" s="272"/>
      <c r="AB114" s="571"/>
      <c r="AC114" s="571"/>
      <c r="AD114" s="277"/>
      <c r="AE114" s="277"/>
      <c r="AF114" s="88">
        <f t="shared" si="63"/>
        <v>-158.72727272727457</v>
      </c>
      <c r="AG114" s="171">
        <f t="shared" si="64"/>
        <v>0.89418181818181697</v>
      </c>
      <c r="AH114" s="575"/>
    </row>
    <row r="115" spans="1:34" s="274" customFormat="1" ht="19.2" customHeight="1">
      <c r="A115" s="595"/>
      <c r="B115" s="75">
        <v>0</v>
      </c>
      <c r="C115" s="228"/>
      <c r="D115" s="229"/>
      <c r="E115" s="230"/>
      <c r="F115" s="650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586"/>
      <c r="T115" s="283"/>
      <c r="U115" s="283"/>
      <c r="V115" s="284"/>
      <c r="W115" s="84"/>
      <c r="X115" s="271"/>
      <c r="Y115" s="271"/>
      <c r="Z115" s="272"/>
      <c r="AA115" s="272"/>
      <c r="AB115" s="571"/>
      <c r="AC115" s="571"/>
      <c r="AD115" s="277"/>
      <c r="AE115" s="277"/>
      <c r="AF115" s="88">
        <f t="shared" si="63"/>
        <v>0</v>
      </c>
      <c r="AG115" s="171" t="e">
        <f t="shared" si="64"/>
        <v>#DIV/0!</v>
      </c>
      <c r="AH115" s="575"/>
    </row>
    <row r="116" spans="1:34" s="274" customFormat="1" ht="19.2" customHeight="1">
      <c r="A116" s="595"/>
      <c r="B116" s="75">
        <v>0</v>
      </c>
      <c r="C116" s="96"/>
      <c r="D116" s="125"/>
      <c r="E116" s="126"/>
      <c r="F116" s="650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586"/>
      <c r="T116" s="283"/>
      <c r="U116" s="283"/>
      <c r="V116" s="284"/>
      <c r="W116" s="84"/>
      <c r="X116" s="271"/>
      <c r="Y116" s="271"/>
      <c r="Z116" s="272"/>
      <c r="AA116" s="272"/>
      <c r="AB116" s="571"/>
      <c r="AC116" s="571"/>
      <c r="AD116" s="277"/>
      <c r="AE116" s="277"/>
      <c r="AF116" s="152">
        <f t="shared" si="63"/>
        <v>0</v>
      </c>
      <c r="AG116" s="171" t="e">
        <f t="shared" si="64"/>
        <v>#DIV/0!</v>
      </c>
      <c r="AH116" s="575"/>
    </row>
    <row r="117" spans="1:34" s="274" customFormat="1" ht="19.2" customHeight="1">
      <c r="A117" s="595"/>
      <c r="B117" s="75">
        <v>0</v>
      </c>
      <c r="C117" s="96"/>
      <c r="D117" s="229"/>
      <c r="E117" s="126"/>
      <c r="F117" s="650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586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571"/>
      <c r="AC117" s="571"/>
      <c r="AD117" s="277"/>
      <c r="AE117" s="277"/>
      <c r="AF117" s="88">
        <f t="shared" si="63"/>
        <v>0</v>
      </c>
      <c r="AG117" s="171" t="e">
        <f t="shared" si="64"/>
        <v>#DIV/0!</v>
      </c>
      <c r="AH117" s="575"/>
    </row>
    <row r="118" spans="1:34" s="274" customFormat="1" ht="19.2" customHeight="1">
      <c r="A118" s="595"/>
      <c r="B118" s="75">
        <v>0</v>
      </c>
      <c r="C118" s="214"/>
      <c r="D118" s="229"/>
      <c r="E118" s="81"/>
      <c r="F118" s="650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586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571"/>
      <c r="AC118" s="571"/>
      <c r="AD118" s="277"/>
      <c r="AE118" s="277"/>
      <c r="AF118" s="273"/>
      <c r="AG118" s="171"/>
      <c r="AH118" s="575"/>
    </row>
    <row r="119" spans="1:34" s="274" customFormat="1" ht="19.2" customHeight="1">
      <c r="A119" s="595"/>
      <c r="B119" s="277">
        <v>0</v>
      </c>
      <c r="C119" s="279"/>
      <c r="D119" s="125"/>
      <c r="E119" s="126"/>
      <c r="F119" s="657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586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571"/>
      <c r="AC119" s="571"/>
      <c r="AD119" s="277"/>
      <c r="AE119" s="277"/>
      <c r="AF119" s="273"/>
      <c r="AG119" s="171"/>
      <c r="AH119" s="575"/>
    </row>
    <row r="120" spans="1:34" s="274" customFormat="1" ht="19.2" customHeight="1">
      <c r="A120" s="595"/>
      <c r="B120" s="277">
        <v>0</v>
      </c>
      <c r="C120" s="279"/>
      <c r="D120" s="125"/>
      <c r="E120" s="126"/>
      <c r="F120" s="657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586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571"/>
      <c r="AC120" s="571"/>
      <c r="AD120" s="277"/>
      <c r="AE120" s="277"/>
      <c r="AF120" s="273"/>
      <c r="AG120" s="171"/>
      <c r="AH120" s="575"/>
    </row>
    <row r="121" spans="1:34" ht="19.2" customHeight="1">
      <c r="A121" s="596"/>
      <c r="B121" s="167">
        <v>0</v>
      </c>
      <c r="C121" s="144" t="s">
        <v>199</v>
      </c>
      <c r="D121" s="289" t="s">
        <v>191</v>
      </c>
      <c r="E121" s="290"/>
      <c r="F121" s="659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80">AVERAGE(M109:M120)</f>
        <v>17.166666666666668</v>
      </c>
      <c r="N121" s="257">
        <f t="shared" si="80"/>
        <v>1307.9075051742202</v>
      </c>
      <c r="O121" s="258">
        <f t="shared" si="80"/>
        <v>76.597057131799389</v>
      </c>
      <c r="P121" s="88">
        <f t="shared" ref="P121:P129" si="81">M121-J121</f>
        <v>0</v>
      </c>
      <c r="Q121" s="89">
        <f t="shared" ref="Q121:Q129" si="82">O121-L121</f>
        <v>-10.710143160598278</v>
      </c>
      <c r="R121" s="225">
        <f t="shared" ref="R121:R129" si="83">O121/L121</f>
        <v>0.87732806544329345</v>
      </c>
      <c r="S121" s="592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571"/>
      <c r="AC121" s="571"/>
      <c r="AD121" s="151">
        <f>SUM(AD109:AD120)</f>
        <v>1</v>
      </c>
      <c r="AE121" s="151">
        <f>SUM(AE109:AE120)</f>
        <v>0</v>
      </c>
      <c r="AF121" s="88">
        <f>N121-K121</f>
        <v>-182.92582815911305</v>
      </c>
      <c r="AG121" s="171">
        <f>N121/K121</f>
        <v>0.87729961219064523</v>
      </c>
      <c r="AH121" s="575"/>
    </row>
    <row r="122" spans="1:34" ht="19.2" customHeight="1">
      <c r="A122" s="589" t="s">
        <v>348</v>
      </c>
      <c r="B122" s="177" t="s">
        <v>243</v>
      </c>
      <c r="C122" s="214"/>
      <c r="D122" s="229" t="s">
        <v>140</v>
      </c>
      <c r="E122" s="81"/>
      <c r="F122" s="650">
        <v>58.67</v>
      </c>
      <c r="G122" s="82">
        <v>1432</v>
      </c>
      <c r="H122" s="83">
        <f t="shared" ref="H122:H132" si="84">F122*G122</f>
        <v>84015.44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1342.5000000000016</v>
      </c>
      <c r="O122" s="294">
        <f t="shared" ref="O122:O129" si="86">N122/M122</f>
        <v>70.657894736842195</v>
      </c>
      <c r="P122" s="152">
        <f t="shared" si="81"/>
        <v>0</v>
      </c>
      <c r="Q122" s="235">
        <f t="shared" si="82"/>
        <v>-5.1315789473683253</v>
      </c>
      <c r="R122" s="153">
        <f t="shared" si="83"/>
        <v>0.93229166666666796</v>
      </c>
      <c r="S122" s="590">
        <f>R134</f>
        <v>0.90051871900915192</v>
      </c>
      <c r="T122" s="91">
        <v>0.5</v>
      </c>
      <c r="U122" s="91">
        <v>0.5444444444444444</v>
      </c>
      <c r="V122" s="284">
        <v>5</v>
      </c>
      <c r="W122" s="84">
        <f t="shared" si="72"/>
        <v>63.999999999999929</v>
      </c>
      <c r="X122" s="94"/>
      <c r="Y122" s="94"/>
      <c r="Z122" s="95"/>
      <c r="AA122" s="95"/>
      <c r="AB122" s="571"/>
      <c r="AC122" s="571"/>
      <c r="AD122" s="332"/>
      <c r="AE122" s="332"/>
      <c r="AF122" s="88">
        <f t="shared" si="63"/>
        <v>-97.499999999998408</v>
      </c>
      <c r="AG122" s="90">
        <f t="shared" si="64"/>
        <v>0.93229166666666774</v>
      </c>
      <c r="AH122" s="592">
        <f>AG134</f>
        <v>0.8991349560046964</v>
      </c>
    </row>
    <row r="123" spans="1:34" ht="19.2" customHeight="1">
      <c r="A123" s="589"/>
      <c r="B123" s="177" t="s">
        <v>243</v>
      </c>
      <c r="C123" s="141"/>
      <c r="D123" s="80" t="s">
        <v>139</v>
      </c>
      <c r="E123" s="230"/>
      <c r="F123" s="650">
        <v>59.52</v>
      </c>
      <c r="G123" s="82">
        <v>2295</v>
      </c>
      <c r="H123" s="83">
        <f t="shared" si="84"/>
        <v>136598.39999999999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1286.9158878504682</v>
      </c>
      <c r="O123" s="129">
        <f t="shared" si="86"/>
        <v>61.281708945260391</v>
      </c>
      <c r="P123" s="95">
        <f t="shared" si="81"/>
        <v>0</v>
      </c>
      <c r="Q123" s="131">
        <f t="shared" si="82"/>
        <v>-4.6706720071205581</v>
      </c>
      <c r="R123" s="132">
        <f t="shared" si="83"/>
        <v>0.92918114646243199</v>
      </c>
      <c r="S123" s="590"/>
      <c r="T123" s="91">
        <v>0.55972222222222212</v>
      </c>
      <c r="U123" s="91">
        <v>0.63402777777777763</v>
      </c>
      <c r="V123" s="284">
        <v>22</v>
      </c>
      <c r="W123" s="84">
        <f>(U123-T123)*24*60</f>
        <v>106.99999999999994</v>
      </c>
      <c r="X123" s="94">
        <v>0.54791666666666672</v>
      </c>
      <c r="Y123" s="94">
        <v>0.55694444444444446</v>
      </c>
      <c r="Z123" s="95"/>
      <c r="AA123" s="95"/>
      <c r="AB123" s="571"/>
      <c r="AC123" s="571"/>
      <c r="AD123" s="332"/>
      <c r="AE123" s="332"/>
      <c r="AF123" s="88">
        <f t="shared" si="63"/>
        <v>-98.084112149531848</v>
      </c>
      <c r="AG123" s="90">
        <f t="shared" si="64"/>
        <v>0.92918114646243188</v>
      </c>
      <c r="AH123" s="590"/>
    </row>
    <row r="124" spans="1:34" ht="19.2" customHeight="1">
      <c r="A124" s="589"/>
      <c r="B124" s="177" t="s">
        <v>247</v>
      </c>
      <c r="C124" s="228"/>
      <c r="D124" s="229" t="s">
        <v>141</v>
      </c>
      <c r="E124" s="230"/>
      <c r="F124" s="650">
        <v>56.79</v>
      </c>
      <c r="G124" s="227">
        <v>1395</v>
      </c>
      <c r="H124" s="83">
        <f t="shared" si="84"/>
        <v>79222.05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1521.8181818181829</v>
      </c>
      <c r="O124" s="294">
        <f t="shared" si="86"/>
        <v>84.545454545454604</v>
      </c>
      <c r="P124" s="152">
        <f t="shared" si="81"/>
        <v>0</v>
      </c>
      <c r="Q124" s="235">
        <f t="shared" si="82"/>
        <v>-6.3434343434342821</v>
      </c>
      <c r="R124" s="153">
        <f t="shared" si="83"/>
        <v>0.9302067126028013</v>
      </c>
      <c r="S124" s="591"/>
      <c r="T124" s="91">
        <v>0.70833333333333337</v>
      </c>
      <c r="U124" s="91">
        <v>0.74652777777777779</v>
      </c>
      <c r="V124" s="284">
        <v>5</v>
      </c>
      <c r="W124" s="297">
        <f>(U124-T124)*24*60</f>
        <v>54.999999999999964</v>
      </c>
      <c r="X124" s="242"/>
      <c r="Y124" s="242"/>
      <c r="Z124" s="95"/>
      <c r="AA124" s="95"/>
      <c r="AB124" s="571"/>
      <c r="AC124" s="571"/>
      <c r="AD124" s="332"/>
      <c r="AE124" s="332"/>
      <c r="AF124" s="152">
        <f t="shared" si="63"/>
        <v>-114.18181818181711</v>
      </c>
      <c r="AG124" s="153">
        <f t="shared" si="64"/>
        <v>0.9302067126028013</v>
      </c>
      <c r="AH124" s="590"/>
    </row>
    <row r="125" spans="1:34" ht="19.2" customHeight="1">
      <c r="A125" s="589"/>
      <c r="B125" s="177" t="s">
        <v>247</v>
      </c>
      <c r="C125" s="141"/>
      <c r="D125" s="80" t="s">
        <v>142</v>
      </c>
      <c r="E125" s="81"/>
      <c r="F125" s="650">
        <v>56.87</v>
      </c>
      <c r="G125" s="82">
        <v>1057</v>
      </c>
      <c r="H125" s="83">
        <f t="shared" si="84"/>
        <v>60111.59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1509.9999999999995</v>
      </c>
      <c r="O125" s="129">
        <f t="shared" si="86"/>
        <v>83.888888888888857</v>
      </c>
      <c r="P125" s="95">
        <f t="shared" si="81"/>
        <v>0</v>
      </c>
      <c r="Q125" s="131">
        <f t="shared" si="82"/>
        <v>-7.0000000000000284</v>
      </c>
      <c r="R125" s="132">
        <f t="shared" si="83"/>
        <v>0.92298288508557425</v>
      </c>
      <c r="S125" s="591"/>
      <c r="T125" s="91">
        <v>0.75138888888888888</v>
      </c>
      <c r="U125" s="91">
        <v>0.78055555555555556</v>
      </c>
      <c r="V125" s="284">
        <v>7</v>
      </c>
      <c r="W125" s="297">
        <f t="shared" ref="W125:W133" si="87">(U125-T125)*24*60</f>
        <v>42.000000000000014</v>
      </c>
      <c r="X125" s="106"/>
      <c r="Y125" s="106"/>
      <c r="Z125" s="95"/>
      <c r="AA125" s="95"/>
      <c r="AB125" s="571"/>
      <c r="AC125" s="571"/>
      <c r="AD125" s="332"/>
      <c r="AE125" s="332"/>
      <c r="AF125" s="88">
        <f t="shared" si="63"/>
        <v>-126.00000000000045</v>
      </c>
      <c r="AG125" s="90">
        <f t="shared" si="64"/>
        <v>0.92298288508557425</v>
      </c>
      <c r="AH125" s="593"/>
    </row>
    <row r="126" spans="1:34" ht="19.2" customHeight="1">
      <c r="A126" s="589"/>
      <c r="B126" s="177" t="s">
        <v>247</v>
      </c>
      <c r="C126" s="332"/>
      <c r="D126" s="80" t="s">
        <v>143</v>
      </c>
      <c r="E126" s="230"/>
      <c r="F126" s="650">
        <v>54.09</v>
      </c>
      <c r="G126" s="98">
        <v>1257</v>
      </c>
      <c r="H126" s="83">
        <f t="shared" si="84"/>
        <v>67991.13</v>
      </c>
      <c r="I126" s="332"/>
      <c r="J126" s="130">
        <v>17</v>
      </c>
      <c r="K126" s="98">
        <v>1565</v>
      </c>
      <c r="L126" s="129">
        <v>92.058823529411768</v>
      </c>
      <c r="M126" s="174">
        <v>17</v>
      </c>
      <c r="N126" s="98">
        <f t="shared" si="85"/>
        <v>1371.2727272727282</v>
      </c>
      <c r="O126" s="129">
        <f t="shared" si="86"/>
        <v>80.663101604278125</v>
      </c>
      <c r="P126" s="95">
        <f t="shared" si="81"/>
        <v>0</v>
      </c>
      <c r="Q126" s="131">
        <f t="shared" si="82"/>
        <v>-11.395721925133643</v>
      </c>
      <c r="R126" s="132">
        <f t="shared" si="83"/>
        <v>0.87621260528608824</v>
      </c>
      <c r="S126" s="591"/>
      <c r="T126" s="91">
        <v>0.78611111111111109</v>
      </c>
      <c r="U126" s="91">
        <v>0.82430555555555551</v>
      </c>
      <c r="V126" s="284">
        <v>8</v>
      </c>
      <c r="W126" s="297">
        <f t="shared" si="87"/>
        <v>54.999999999999964</v>
      </c>
      <c r="X126" s="106"/>
      <c r="Y126" s="106"/>
      <c r="Z126" s="95"/>
      <c r="AA126" s="95"/>
      <c r="AB126" s="571"/>
      <c r="AC126" s="571"/>
      <c r="AD126" s="332"/>
      <c r="AE126" s="332"/>
      <c r="AF126" s="152">
        <f t="shared" si="63"/>
        <v>-193.72727272727184</v>
      </c>
      <c r="AG126" s="153">
        <f t="shared" si="64"/>
        <v>0.87621260528608824</v>
      </c>
      <c r="AH126" s="593"/>
    </row>
    <row r="127" spans="1:34" ht="19.2" customHeight="1">
      <c r="A127" s="589"/>
      <c r="B127" s="177" t="s">
        <v>247</v>
      </c>
      <c r="C127" s="279"/>
      <c r="D127" s="125" t="s">
        <v>144</v>
      </c>
      <c r="E127" s="126"/>
      <c r="F127" s="650">
        <v>47.6</v>
      </c>
      <c r="G127" s="264">
        <v>1401</v>
      </c>
      <c r="H127" s="83">
        <f t="shared" si="84"/>
        <v>66687.600000000006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1313.4375000000016</v>
      </c>
      <c r="O127" s="294">
        <f t="shared" si="86"/>
        <v>69.128289473684291</v>
      </c>
      <c r="P127" s="152">
        <f t="shared" si="81"/>
        <v>0</v>
      </c>
      <c r="Q127" s="235">
        <f t="shared" si="82"/>
        <v>-6.6611842105262298</v>
      </c>
      <c r="R127" s="153">
        <f t="shared" si="83"/>
        <v>0.91210937500000111</v>
      </c>
      <c r="S127" s="591"/>
      <c r="T127" s="91">
        <v>0.83958333333333324</v>
      </c>
      <c r="U127" s="91">
        <v>0.88402777777777763</v>
      </c>
      <c r="V127" s="75">
        <v>22</v>
      </c>
      <c r="W127" s="297">
        <f t="shared" si="87"/>
        <v>63.999999999999929</v>
      </c>
      <c r="X127" s="106">
        <v>0.82777777777777783</v>
      </c>
      <c r="Y127" s="106">
        <v>0.83680555555555547</v>
      </c>
      <c r="Z127" s="95"/>
      <c r="AA127" s="95"/>
      <c r="AB127" s="571"/>
      <c r="AC127" s="571"/>
      <c r="AD127" s="332"/>
      <c r="AE127" s="332"/>
      <c r="AF127" s="152">
        <f t="shared" si="63"/>
        <v>-126.56249999999841</v>
      </c>
      <c r="AG127" s="153">
        <f t="shared" si="64"/>
        <v>0.91210937500000111</v>
      </c>
      <c r="AH127" s="593"/>
    </row>
    <row r="128" spans="1:34" ht="19.2" customHeight="1">
      <c r="A128" s="589"/>
      <c r="B128" s="177" t="s">
        <v>247</v>
      </c>
      <c r="C128" s="207"/>
      <c r="D128" s="100" t="s">
        <v>145</v>
      </c>
      <c r="E128" s="126"/>
      <c r="F128" s="650">
        <v>57.3</v>
      </c>
      <c r="G128" s="98">
        <v>930</v>
      </c>
      <c r="H128" s="83">
        <f t="shared" si="84"/>
        <v>53289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1268.1818181818182</v>
      </c>
      <c r="O128" s="129">
        <f t="shared" si="86"/>
        <v>74.598930481283432</v>
      </c>
      <c r="P128" s="95">
        <f t="shared" si="81"/>
        <v>0</v>
      </c>
      <c r="Q128" s="131">
        <f t="shared" si="82"/>
        <v>-6.871657754010684</v>
      </c>
      <c r="R128" s="132">
        <f t="shared" si="83"/>
        <v>0.91565474236954392</v>
      </c>
      <c r="S128" s="591"/>
      <c r="T128" s="91">
        <v>0.88958333333333317</v>
      </c>
      <c r="U128" s="91">
        <v>0.92013888888888873</v>
      </c>
      <c r="V128" s="75">
        <v>8</v>
      </c>
      <c r="W128" s="297">
        <f t="shared" si="87"/>
        <v>44</v>
      </c>
      <c r="X128" s="106"/>
      <c r="Y128" s="106"/>
      <c r="Z128" s="95"/>
      <c r="AA128" s="95"/>
      <c r="AB128" s="571"/>
      <c r="AC128" s="571"/>
      <c r="AD128" s="332"/>
      <c r="AE128" s="332"/>
      <c r="AF128" s="152">
        <f t="shared" si="63"/>
        <v>-116.81818181818176</v>
      </c>
      <c r="AG128" s="153">
        <f t="shared" si="64"/>
        <v>0.91565474236954381</v>
      </c>
      <c r="AH128" s="593"/>
    </row>
    <row r="129" spans="1:34" ht="19.2" customHeight="1">
      <c r="A129" s="589"/>
      <c r="B129" s="177" t="s">
        <v>247</v>
      </c>
      <c r="C129" s="207"/>
      <c r="D129" s="100" t="s">
        <v>146</v>
      </c>
      <c r="E129" s="101"/>
      <c r="F129" s="650">
        <v>50.67</v>
      </c>
      <c r="G129" s="98">
        <v>493</v>
      </c>
      <c r="H129" s="83">
        <f t="shared" si="84"/>
        <v>24980.31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1286.0869565217347</v>
      </c>
      <c r="O129" s="129">
        <f t="shared" si="86"/>
        <v>61.242236024844509</v>
      </c>
      <c r="P129" s="95">
        <f t="shared" si="81"/>
        <v>0</v>
      </c>
      <c r="Q129" s="131">
        <f t="shared" si="82"/>
        <v>-16.662525879917389</v>
      </c>
      <c r="R129" s="132">
        <f t="shared" si="83"/>
        <v>0.78611672159030244</v>
      </c>
      <c r="S129" s="591"/>
      <c r="T129" s="91">
        <v>0.92499999999999982</v>
      </c>
      <c r="U129" s="91">
        <v>0.9409722222222221</v>
      </c>
      <c r="V129" s="75">
        <v>7</v>
      </c>
      <c r="W129" s="297">
        <f t="shared" si="87"/>
        <v>23.000000000000078</v>
      </c>
      <c r="X129" s="106"/>
      <c r="Y129" s="106"/>
      <c r="Z129" s="95"/>
      <c r="AA129" s="95"/>
      <c r="AB129" s="571"/>
      <c r="AC129" s="571"/>
      <c r="AD129" s="332"/>
      <c r="AE129" s="332"/>
      <c r="AF129" s="152"/>
      <c r="AG129" s="153"/>
      <c r="AH129" s="593"/>
    </row>
    <row r="130" spans="1:34" ht="19.2" customHeight="1">
      <c r="A130" s="589"/>
      <c r="B130" s="255">
        <v>0</v>
      </c>
      <c r="C130" s="207"/>
      <c r="D130" s="100"/>
      <c r="E130" s="101"/>
      <c r="F130" s="650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591"/>
      <c r="T130" s="91"/>
      <c r="U130" s="91"/>
      <c r="V130" s="75"/>
      <c r="W130" s="297"/>
      <c r="X130" s="106"/>
      <c r="Y130" s="106"/>
      <c r="Z130" s="95"/>
      <c r="AA130" s="95"/>
      <c r="AB130" s="571"/>
      <c r="AC130" s="571"/>
      <c r="AD130" s="332"/>
      <c r="AE130" s="332"/>
      <c r="AF130" s="107"/>
      <c r="AG130" s="108"/>
      <c r="AH130" s="593"/>
    </row>
    <row r="131" spans="1:34" ht="19.2" customHeight="1">
      <c r="A131" s="589"/>
      <c r="B131" s="255">
        <v>0</v>
      </c>
      <c r="C131" s="207"/>
      <c r="D131" s="100"/>
      <c r="E131" s="126"/>
      <c r="F131" s="650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591"/>
      <c r="T131" s="91"/>
      <c r="U131" s="91"/>
      <c r="V131" s="75"/>
      <c r="W131" s="297"/>
      <c r="X131" s="106"/>
      <c r="Y131" s="106"/>
      <c r="Z131" s="95"/>
      <c r="AA131" s="95"/>
      <c r="AB131" s="571"/>
      <c r="AC131" s="571"/>
      <c r="AD131" s="332"/>
      <c r="AE131" s="332"/>
      <c r="AF131" s="107"/>
      <c r="AG131" s="108"/>
      <c r="AH131" s="593"/>
    </row>
    <row r="132" spans="1:34" ht="19.2" customHeight="1">
      <c r="A132" s="589"/>
      <c r="B132" s="255">
        <v>0</v>
      </c>
      <c r="C132" s="207"/>
      <c r="D132" s="100"/>
      <c r="E132" s="101"/>
      <c r="F132" s="650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591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571"/>
      <c r="AC132" s="571"/>
      <c r="AD132" s="332"/>
      <c r="AE132" s="332"/>
      <c r="AF132" s="107"/>
      <c r="AG132" s="108"/>
      <c r="AH132" s="593"/>
    </row>
    <row r="133" spans="1:34" ht="19.2" customHeight="1">
      <c r="A133" s="589"/>
      <c r="B133" s="255">
        <v>0</v>
      </c>
      <c r="C133" s="207"/>
      <c r="D133" s="100"/>
      <c r="E133" s="101"/>
      <c r="F133" s="663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591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571"/>
      <c r="AC133" s="571"/>
      <c r="AD133" s="332"/>
      <c r="AE133" s="332"/>
      <c r="AF133" s="107"/>
      <c r="AG133" s="108"/>
      <c r="AH133" s="593"/>
    </row>
    <row r="134" spans="1:34" ht="19.2" customHeight="1">
      <c r="A134" s="589"/>
      <c r="B134" s="221">
        <v>0</v>
      </c>
      <c r="C134" s="144" t="s">
        <v>200</v>
      </c>
      <c r="D134" s="572" t="s">
        <v>191</v>
      </c>
      <c r="E134" s="572"/>
      <c r="F134" s="660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18.75</v>
      </c>
      <c r="N134" s="300">
        <f t="shared" si="88"/>
        <v>1362.5266339556167</v>
      </c>
      <c r="O134" s="301">
        <f t="shared" si="88"/>
        <v>73.250813087567053</v>
      </c>
      <c r="P134" s="92">
        <f t="shared" ref="P134:P140" si="89">M134-J134</f>
        <v>0</v>
      </c>
      <c r="Q134" s="188">
        <f t="shared" ref="Q134:Q140" si="90">O134-L134</f>
        <v>-8.0920968834388987</v>
      </c>
      <c r="R134" s="302">
        <f t="shared" ref="R134:R140" si="91">O134/L134</f>
        <v>0.90051871900915192</v>
      </c>
      <c r="S134" s="590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571"/>
      <c r="AC134" s="571"/>
      <c r="AD134" s="151">
        <f>SUM(AD122:AD133)</f>
        <v>0</v>
      </c>
      <c r="AE134" s="151">
        <f>SUM(AE122:AE133)</f>
        <v>0</v>
      </c>
      <c r="AF134" s="88">
        <f t="shared" si="63"/>
        <v>-152.84836604438328</v>
      </c>
      <c r="AG134" s="90">
        <f t="shared" si="64"/>
        <v>0.8991349560046964</v>
      </c>
      <c r="AH134" s="593"/>
    </row>
    <row r="135" spans="1:34" ht="19.2" customHeight="1">
      <c r="A135" s="582" t="s">
        <v>204</v>
      </c>
      <c r="B135" s="75" t="s">
        <v>247</v>
      </c>
      <c r="C135" s="332"/>
      <c r="D135" s="125" t="s">
        <v>147</v>
      </c>
      <c r="E135" s="126"/>
      <c r="F135" s="650">
        <v>50.67</v>
      </c>
      <c r="G135" s="98">
        <v>891</v>
      </c>
      <c r="H135" s="303">
        <f t="shared" ref="H135:H146" si="92">F135*G135</f>
        <v>45146.97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1406.8421052631568</v>
      </c>
      <c r="O135" s="160">
        <f t="shared" ref="O135:O140" si="94">N135/M135</f>
        <v>82.755417956656288</v>
      </c>
      <c r="P135" s="95">
        <f t="shared" si="89"/>
        <v>0</v>
      </c>
      <c r="Q135" s="131">
        <f t="shared" si="90"/>
        <v>-5.47987616099077</v>
      </c>
      <c r="R135" s="132">
        <f t="shared" si="91"/>
        <v>0.93789473684210456</v>
      </c>
      <c r="S135" s="586">
        <f>R147</f>
        <v>0.91736884076549596</v>
      </c>
      <c r="T135" s="304">
        <v>0.70833333333333337</v>
      </c>
      <c r="U135" s="91">
        <v>0.73472222222222228</v>
      </c>
      <c r="V135" s="191">
        <v>5</v>
      </c>
      <c r="W135" s="305">
        <f t="shared" ref="W135:W147" si="95">(U135-T135)*24*60</f>
        <v>38.000000000000028</v>
      </c>
      <c r="X135" s="211"/>
      <c r="Y135" s="211"/>
      <c r="Z135" s="95"/>
      <c r="AA135" s="95"/>
      <c r="AB135" s="571"/>
      <c r="AC135" s="571"/>
      <c r="AD135" s="332"/>
      <c r="AE135" s="332"/>
      <c r="AF135" s="161">
        <f t="shared" si="63"/>
        <v>-93.157894736843218</v>
      </c>
      <c r="AG135" s="165">
        <f t="shared" si="64"/>
        <v>0.93789473684210456</v>
      </c>
      <c r="AH135" s="575">
        <f>AG147</f>
        <v>0.93027640922980359</v>
      </c>
    </row>
    <row r="136" spans="1:34" ht="19.2" customHeight="1">
      <c r="A136" s="583"/>
      <c r="B136" s="75" t="s">
        <v>247</v>
      </c>
      <c r="C136" s="332"/>
      <c r="D136" s="125" t="s">
        <v>148</v>
      </c>
      <c r="E136" s="306"/>
      <c r="F136" s="650">
        <v>50.98</v>
      </c>
      <c r="G136" s="98">
        <v>1703</v>
      </c>
      <c r="H136" s="127">
        <f t="shared" si="92"/>
        <v>86818.939999999988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1344.4736842105253</v>
      </c>
      <c r="O136" s="129">
        <f t="shared" si="94"/>
        <v>67.223684210526272</v>
      </c>
      <c r="P136" s="95">
        <f t="shared" si="89"/>
        <v>0</v>
      </c>
      <c r="Q136" s="131">
        <f t="shared" si="90"/>
        <v>-4.7763157894737276</v>
      </c>
      <c r="R136" s="132">
        <f t="shared" si="91"/>
        <v>0.93366228070175383</v>
      </c>
      <c r="S136" s="586"/>
      <c r="T136" s="304">
        <v>0.74027777777777781</v>
      </c>
      <c r="U136" s="91">
        <v>0.79305555555555562</v>
      </c>
      <c r="V136" s="191">
        <v>8</v>
      </c>
      <c r="W136" s="84">
        <f t="shared" si="95"/>
        <v>76.000000000000057</v>
      </c>
      <c r="X136" s="94"/>
      <c r="Y136" s="94"/>
      <c r="Z136" s="95"/>
      <c r="AA136" s="95"/>
      <c r="AB136" s="571"/>
      <c r="AC136" s="571"/>
      <c r="AD136" s="332"/>
      <c r="AE136" s="332"/>
      <c r="AF136" s="88">
        <f t="shared" si="63"/>
        <v>-95.526315789474666</v>
      </c>
      <c r="AG136" s="171">
        <f t="shared" si="64"/>
        <v>0.93366228070175372</v>
      </c>
      <c r="AH136" s="575"/>
    </row>
    <row r="137" spans="1:34" ht="19.2" customHeight="1">
      <c r="A137" s="583"/>
      <c r="B137" s="75" t="s">
        <v>247</v>
      </c>
      <c r="C137" s="332"/>
      <c r="D137" s="125" t="s">
        <v>149</v>
      </c>
      <c r="E137" s="126"/>
      <c r="F137" s="650">
        <v>54.09</v>
      </c>
      <c r="G137" s="264">
        <v>930</v>
      </c>
      <c r="H137" s="127">
        <f t="shared" si="92"/>
        <v>50303.700000000004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1394.9999999999995</v>
      </c>
      <c r="O137" s="129">
        <f t="shared" si="94"/>
        <v>73.421052631578917</v>
      </c>
      <c r="P137" s="95">
        <f t="shared" si="89"/>
        <v>0</v>
      </c>
      <c r="Q137" s="131">
        <f t="shared" si="90"/>
        <v>-5.5263157894737134</v>
      </c>
      <c r="R137" s="132">
        <f t="shared" si="91"/>
        <v>0.9299999999999996</v>
      </c>
      <c r="S137" s="586"/>
      <c r="T137" s="91">
        <v>0.79861111111111116</v>
      </c>
      <c r="U137" s="91">
        <v>0.82638888888888895</v>
      </c>
      <c r="V137" s="307">
        <v>8</v>
      </c>
      <c r="W137" s="84">
        <f t="shared" si="95"/>
        <v>40.000000000000014</v>
      </c>
      <c r="X137" s="94"/>
      <c r="Y137" s="94"/>
      <c r="Z137" s="95"/>
      <c r="AA137" s="95"/>
      <c r="AB137" s="571"/>
      <c r="AC137" s="571"/>
      <c r="AD137" s="332"/>
      <c r="AE137" s="332"/>
      <c r="AF137" s="88">
        <f t="shared" si="63"/>
        <v>-105.00000000000045</v>
      </c>
      <c r="AG137" s="171">
        <f t="shared" si="64"/>
        <v>0.92999999999999972</v>
      </c>
      <c r="AH137" s="575"/>
    </row>
    <row r="138" spans="1:34" ht="19.2" customHeight="1">
      <c r="A138" s="583"/>
      <c r="B138" s="75" t="s">
        <v>247</v>
      </c>
      <c r="C138" s="279"/>
      <c r="D138" s="125" t="s">
        <v>150</v>
      </c>
      <c r="E138" s="126"/>
      <c r="F138" s="650">
        <v>50.92</v>
      </c>
      <c r="G138" s="98">
        <v>1957</v>
      </c>
      <c r="H138" s="127">
        <f t="shared" si="92"/>
        <v>99650.44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1334.3181818181818</v>
      </c>
      <c r="O138" s="129">
        <f t="shared" si="94"/>
        <v>70.22727272727272</v>
      </c>
      <c r="P138" s="95">
        <f t="shared" si="89"/>
        <v>0</v>
      </c>
      <c r="Q138" s="131">
        <f t="shared" si="90"/>
        <v>-5.5622009569378008</v>
      </c>
      <c r="R138" s="296">
        <f t="shared" si="91"/>
        <v>0.92660984848484851</v>
      </c>
      <c r="S138" s="586"/>
      <c r="T138" s="91">
        <v>0.84166666666666667</v>
      </c>
      <c r="U138" s="91">
        <v>0.90277777777777779</v>
      </c>
      <c r="V138" s="307">
        <v>22</v>
      </c>
      <c r="W138" s="84">
        <f t="shared" si="95"/>
        <v>88</v>
      </c>
      <c r="X138" s="94">
        <v>0.82986111111111116</v>
      </c>
      <c r="Y138" s="94">
        <v>0.83888888888888891</v>
      </c>
      <c r="Z138" s="95"/>
      <c r="AA138" s="95"/>
      <c r="AB138" s="571"/>
      <c r="AC138" s="571"/>
      <c r="AD138" s="332"/>
      <c r="AE138" s="332"/>
      <c r="AF138" s="88">
        <f t="shared" si="63"/>
        <v>-105.68181818181824</v>
      </c>
      <c r="AG138" s="171">
        <f t="shared" si="64"/>
        <v>0.9266098484848484</v>
      </c>
      <c r="AH138" s="575"/>
    </row>
    <row r="139" spans="1:34" ht="19.2" customHeight="1">
      <c r="A139" s="583"/>
      <c r="B139" s="75" t="s">
        <v>247</v>
      </c>
      <c r="C139" s="218"/>
      <c r="D139" s="80" t="s">
        <v>152</v>
      </c>
      <c r="E139" s="81"/>
      <c r="F139" s="650">
        <v>50.67</v>
      </c>
      <c r="G139" s="98">
        <v>1051</v>
      </c>
      <c r="H139" s="127">
        <f t="shared" si="92"/>
        <v>53254.17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1341.7021276595747</v>
      </c>
      <c r="O139" s="129">
        <f t="shared" si="94"/>
        <v>78.923654568210281</v>
      </c>
      <c r="P139" s="95">
        <f t="shared" si="89"/>
        <v>0</v>
      </c>
      <c r="Q139" s="131">
        <f t="shared" si="90"/>
        <v>-5.7822277847308925</v>
      </c>
      <c r="R139" s="132">
        <f t="shared" si="91"/>
        <v>0.93173758865248246</v>
      </c>
      <c r="S139" s="586"/>
      <c r="T139" s="91">
        <v>0.90763888888888888</v>
      </c>
      <c r="U139" s="91">
        <v>0.94027777777777777</v>
      </c>
      <c r="V139" s="308">
        <v>7</v>
      </c>
      <c r="W139" s="84">
        <f t="shared" si="95"/>
        <v>46.999999999999993</v>
      </c>
      <c r="X139" s="94"/>
      <c r="Y139" s="94"/>
      <c r="Z139" s="95"/>
      <c r="AA139" s="95"/>
      <c r="AB139" s="571"/>
      <c r="AC139" s="571"/>
      <c r="AD139" s="332"/>
      <c r="AE139" s="332"/>
      <c r="AF139" s="88">
        <f t="shared" si="63"/>
        <v>-98.297872340425329</v>
      </c>
      <c r="AG139" s="171">
        <f t="shared" si="64"/>
        <v>0.93173758865248246</v>
      </c>
      <c r="AH139" s="575"/>
    </row>
    <row r="140" spans="1:34" ht="19.2" customHeight="1">
      <c r="A140" s="584"/>
      <c r="B140" s="75" t="s">
        <v>247</v>
      </c>
      <c r="C140" s="218"/>
      <c r="D140" s="309" t="s">
        <v>153</v>
      </c>
      <c r="E140" s="126"/>
      <c r="F140" s="650">
        <v>50.49</v>
      </c>
      <c r="G140" s="98">
        <v>1349</v>
      </c>
      <c r="H140" s="127">
        <f t="shared" si="92"/>
        <v>68111.010000000009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1326.8852459016407</v>
      </c>
      <c r="O140" s="129">
        <f t="shared" si="94"/>
        <v>88.45901639344271</v>
      </c>
      <c r="P140" s="95">
        <f t="shared" si="89"/>
        <v>1</v>
      </c>
      <c r="Q140" s="131">
        <f t="shared" si="90"/>
        <v>-14.398126463700152</v>
      </c>
      <c r="R140" s="132">
        <f t="shared" si="91"/>
        <v>0.86001821493624853</v>
      </c>
      <c r="S140" s="587"/>
      <c r="T140" s="105">
        <v>0.94513888888888886</v>
      </c>
      <c r="U140" s="310">
        <v>0.98749999999999993</v>
      </c>
      <c r="V140" s="311">
        <v>7</v>
      </c>
      <c r="W140" s="84">
        <f t="shared" si="95"/>
        <v>60.999999999999943</v>
      </c>
      <c r="X140" s="94"/>
      <c r="Y140" s="94"/>
      <c r="Z140" s="95"/>
      <c r="AA140" s="95"/>
      <c r="AB140" s="571"/>
      <c r="AC140" s="571"/>
      <c r="AD140" s="332"/>
      <c r="AE140" s="332"/>
      <c r="AF140" s="88">
        <f t="shared" si="63"/>
        <v>-113.1147540983593</v>
      </c>
      <c r="AG140" s="171">
        <f t="shared" si="64"/>
        <v>0.92144808743169493</v>
      </c>
      <c r="AH140" s="575"/>
    </row>
    <row r="141" spans="1:34" ht="19.2" customHeight="1">
      <c r="A141" s="584"/>
      <c r="B141" s="75">
        <v>0</v>
      </c>
      <c r="C141" s="218"/>
      <c r="D141" s="80"/>
      <c r="E141" s="312"/>
      <c r="F141" s="650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587"/>
      <c r="T141" s="105"/>
      <c r="U141" s="310"/>
      <c r="V141" s="96"/>
      <c r="W141" s="84"/>
      <c r="X141" s="94"/>
      <c r="Y141" s="94"/>
      <c r="Z141" s="95"/>
      <c r="AA141" s="95"/>
      <c r="AB141" s="571"/>
      <c r="AC141" s="571"/>
      <c r="AD141" s="332"/>
      <c r="AE141" s="332"/>
      <c r="AF141" s="88">
        <f t="shared" si="63"/>
        <v>0</v>
      </c>
      <c r="AG141" s="171" t="e">
        <f t="shared" si="64"/>
        <v>#DIV/0!</v>
      </c>
      <c r="AH141" s="575"/>
    </row>
    <row r="142" spans="1:34" ht="19.2" customHeight="1">
      <c r="A142" s="584"/>
      <c r="B142" s="75">
        <v>0</v>
      </c>
      <c r="C142" s="218"/>
      <c r="D142" s="80"/>
      <c r="E142" s="312"/>
      <c r="F142" s="650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587"/>
      <c r="T142" s="105"/>
      <c r="U142" s="310"/>
      <c r="V142" s="96"/>
      <c r="W142" s="84"/>
      <c r="X142" s="94"/>
      <c r="Y142" s="94"/>
      <c r="Z142" s="95"/>
      <c r="AA142" s="95"/>
      <c r="AB142" s="571"/>
      <c r="AC142" s="571"/>
      <c r="AD142" s="332"/>
      <c r="AE142" s="332"/>
      <c r="AF142" s="88">
        <f t="shared" si="63"/>
        <v>0</v>
      </c>
      <c r="AG142" s="171" t="e">
        <f t="shared" si="64"/>
        <v>#DIV/0!</v>
      </c>
      <c r="AH142" s="575"/>
    </row>
    <row r="143" spans="1:34" ht="19.2" customHeight="1">
      <c r="A143" s="584"/>
      <c r="B143" s="75">
        <v>0</v>
      </c>
      <c r="C143" s="313"/>
      <c r="D143" s="125"/>
      <c r="E143" s="126"/>
      <c r="F143" s="650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587"/>
      <c r="T143" s="105"/>
      <c r="U143" s="310"/>
      <c r="V143" s="96"/>
      <c r="W143" s="84"/>
      <c r="X143" s="94"/>
      <c r="Y143" s="94"/>
      <c r="Z143" s="95"/>
      <c r="AA143" s="95"/>
      <c r="AB143" s="571"/>
      <c r="AC143" s="571"/>
      <c r="AD143" s="332"/>
      <c r="AE143" s="332"/>
      <c r="AF143" s="88">
        <f t="shared" si="63"/>
        <v>0</v>
      </c>
      <c r="AG143" s="171" t="e">
        <f t="shared" si="64"/>
        <v>#DIV/0!</v>
      </c>
      <c r="AH143" s="575"/>
    </row>
    <row r="144" spans="1:34" ht="19.2" customHeight="1">
      <c r="A144" s="584"/>
      <c r="B144" s="75">
        <v>0</v>
      </c>
      <c r="C144" s="218"/>
      <c r="D144" s="80"/>
      <c r="E144" s="312"/>
      <c r="F144" s="650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587"/>
      <c r="T144" s="105"/>
      <c r="U144" s="310"/>
      <c r="V144" s="96"/>
      <c r="W144" s="84"/>
      <c r="X144" s="94"/>
      <c r="Y144" s="94"/>
      <c r="Z144" s="95"/>
      <c r="AA144" s="95"/>
      <c r="AB144" s="571"/>
      <c r="AC144" s="571"/>
      <c r="AD144" s="332"/>
      <c r="AE144" s="332"/>
      <c r="AF144" s="88">
        <f t="shared" si="63"/>
        <v>0</v>
      </c>
      <c r="AG144" s="171" t="e">
        <f t="shared" si="64"/>
        <v>#DIV/0!</v>
      </c>
      <c r="AH144" s="575"/>
    </row>
    <row r="145" spans="1:34" ht="19.2" customHeight="1">
      <c r="A145" s="584"/>
      <c r="B145" s="75">
        <v>0</v>
      </c>
      <c r="C145" s="218"/>
      <c r="D145" s="80"/>
      <c r="E145" s="312"/>
      <c r="F145" s="650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587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571"/>
      <c r="AC145" s="571"/>
      <c r="AD145" s="332"/>
      <c r="AE145" s="332"/>
      <c r="AF145" s="88">
        <f t="shared" si="63"/>
        <v>0</v>
      </c>
      <c r="AG145" s="171" t="e">
        <f t="shared" si="64"/>
        <v>#DIV/0!</v>
      </c>
      <c r="AH145" s="575"/>
    </row>
    <row r="146" spans="1:34" ht="19.2" customHeight="1">
      <c r="A146" s="584"/>
      <c r="B146" s="211">
        <v>0</v>
      </c>
      <c r="C146" s="313"/>
      <c r="D146" s="314"/>
      <c r="E146" s="312"/>
      <c r="F146" s="650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587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571"/>
      <c r="AC146" s="571"/>
      <c r="AD146" s="332"/>
      <c r="AE146" s="332"/>
      <c r="AF146" s="95"/>
      <c r="AG146" s="132"/>
      <c r="AH146" s="575"/>
    </row>
    <row r="147" spans="1:34" ht="19.2" customHeight="1">
      <c r="A147" s="585"/>
      <c r="B147" s="315">
        <v>0</v>
      </c>
      <c r="C147" s="144" t="s">
        <v>201</v>
      </c>
      <c r="D147" s="572" t="s">
        <v>191</v>
      </c>
      <c r="E147" s="572"/>
      <c r="F147" s="664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1358.2035574755132</v>
      </c>
      <c r="O147" s="301">
        <f t="shared" si="96"/>
        <v>76.835016414614543</v>
      </c>
      <c r="P147" s="92">
        <f t="shared" ref="P147:P151" si="97">M147-J147</f>
        <v>0.1666666666666643</v>
      </c>
      <c r="Q147" s="188">
        <f t="shared" ref="Q147:Q151" si="98">O147-L147</f>
        <v>-6.9208438242178261</v>
      </c>
      <c r="R147" s="316">
        <f t="shared" ref="R147:R151" si="99">O147/L147</f>
        <v>0.91736884076549596</v>
      </c>
      <c r="S147" s="588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571"/>
      <c r="AC147" s="571"/>
      <c r="AD147" s="151">
        <f>SUM(AD135:AD146)</f>
        <v>0</v>
      </c>
      <c r="AE147" s="151">
        <f>SUM(AE135:AE146)</f>
        <v>0</v>
      </c>
      <c r="AF147" s="259">
        <f t="shared" si="63"/>
        <v>-101.79644252448679</v>
      </c>
      <c r="AG147" s="317">
        <f t="shared" si="64"/>
        <v>0.93027640922980359</v>
      </c>
      <c r="AH147" s="575"/>
    </row>
    <row r="148" spans="1:34" ht="19.2" customHeight="1">
      <c r="A148" s="578" t="s">
        <v>154</v>
      </c>
      <c r="B148" s="332" t="s">
        <v>247</v>
      </c>
      <c r="C148" s="167"/>
      <c r="D148" s="226" t="s">
        <v>155</v>
      </c>
      <c r="E148" s="81"/>
      <c r="F148" s="657">
        <v>50.67</v>
      </c>
      <c r="G148" s="98">
        <v>625</v>
      </c>
      <c r="H148" s="127">
        <f t="shared" ref="H148:H172" si="100">F148*G148</f>
        <v>31668.75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1293.1034482758596</v>
      </c>
      <c r="O148" s="86">
        <f>N148/M148</f>
        <v>76.064908722109394</v>
      </c>
      <c r="P148" s="88">
        <f t="shared" si="97"/>
        <v>1</v>
      </c>
      <c r="Q148" s="89">
        <f t="shared" si="98"/>
        <v>-13.935091277890606</v>
      </c>
      <c r="R148" s="90">
        <f t="shared" si="99"/>
        <v>0.84516565246788211</v>
      </c>
      <c r="S148" s="579">
        <f>R160</f>
        <v>0.82657055046101635</v>
      </c>
      <c r="T148" s="304">
        <v>0.70833333333333337</v>
      </c>
      <c r="U148" s="91">
        <v>0.7284722222222223</v>
      </c>
      <c r="V148" s="75">
        <v>5</v>
      </c>
      <c r="W148" s="84">
        <f>(U148-T148)*24*60</f>
        <v>29.000000000000057</v>
      </c>
      <c r="X148" s="94"/>
      <c r="Y148" s="94"/>
      <c r="Z148" s="95"/>
      <c r="AA148" s="95"/>
      <c r="AB148" s="571"/>
      <c r="AC148" s="571"/>
      <c r="AD148" s="332"/>
      <c r="AE148" s="332"/>
      <c r="AF148" s="88">
        <f t="shared" si="63"/>
        <v>-146.89655172414041</v>
      </c>
      <c r="AG148" s="171">
        <f t="shared" si="64"/>
        <v>0.89798850574712474</v>
      </c>
      <c r="AH148" s="575">
        <f>AG160</f>
        <v>0.83845418216547596</v>
      </c>
    </row>
    <row r="149" spans="1:34" ht="19.2" customHeight="1">
      <c r="A149" s="578"/>
      <c r="B149" s="332" t="s">
        <v>247</v>
      </c>
      <c r="C149" s="277"/>
      <c r="D149" s="309" t="s">
        <v>156</v>
      </c>
      <c r="E149" s="101"/>
      <c r="F149" s="657">
        <v>57.3</v>
      </c>
      <c r="G149" s="98">
        <v>1460</v>
      </c>
      <c r="H149" s="127">
        <f t="shared" si="100"/>
        <v>83658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1368.7500000000016</v>
      </c>
      <c r="O149" s="86">
        <f>N149/M149</f>
        <v>76.041666666666757</v>
      </c>
      <c r="P149" s="88">
        <f t="shared" si="97"/>
        <v>0</v>
      </c>
      <c r="Q149" s="89">
        <f t="shared" si="98"/>
        <v>-7.2916666666665719</v>
      </c>
      <c r="R149" s="90">
        <f t="shared" si="99"/>
        <v>0.91250000000000109</v>
      </c>
      <c r="S149" s="580"/>
      <c r="T149" s="304">
        <v>0.73402777777777783</v>
      </c>
      <c r="U149" s="91">
        <v>0.77847222222222223</v>
      </c>
      <c r="V149" s="75">
        <v>8</v>
      </c>
      <c r="W149" s="84">
        <f t="shared" ref="W149:W159" si="101">(U149-T149)*24*60</f>
        <v>63.999999999999929</v>
      </c>
      <c r="X149" s="94"/>
      <c r="Y149" s="94"/>
      <c r="Z149" s="95"/>
      <c r="AA149" s="95"/>
      <c r="AB149" s="571"/>
      <c r="AC149" s="571"/>
      <c r="AD149" s="332"/>
      <c r="AE149" s="332"/>
      <c r="AF149" s="88">
        <f t="shared" si="63"/>
        <v>-131.24999999999841</v>
      </c>
      <c r="AG149" s="171">
        <f t="shared" si="64"/>
        <v>0.91250000000000109</v>
      </c>
      <c r="AH149" s="581"/>
    </row>
    <row r="150" spans="1:34" ht="19.2" customHeight="1">
      <c r="A150" s="578"/>
      <c r="B150" s="332" t="s">
        <v>247</v>
      </c>
      <c r="C150" s="277"/>
      <c r="D150" s="229" t="s">
        <v>151</v>
      </c>
      <c r="E150" s="101"/>
      <c r="F150" s="657">
        <v>50.29</v>
      </c>
      <c r="G150" s="98">
        <v>451</v>
      </c>
      <c r="H150" s="127">
        <f t="shared" si="100"/>
        <v>22680.79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1082.3999999999969</v>
      </c>
      <c r="O150" s="86">
        <f>N150/M150</f>
        <v>60.133333333333162</v>
      </c>
      <c r="P150" s="88">
        <f t="shared" si="97"/>
        <v>0</v>
      </c>
      <c r="Q150" s="89">
        <f t="shared" si="98"/>
        <v>-19.866666666666838</v>
      </c>
      <c r="R150" s="90">
        <f t="shared" si="99"/>
        <v>0.75166666666666448</v>
      </c>
      <c r="S150" s="580"/>
      <c r="T150" s="304">
        <v>0.79444444444444451</v>
      </c>
      <c r="U150" s="91">
        <v>0.81180555555555567</v>
      </c>
      <c r="V150" s="75">
        <v>23</v>
      </c>
      <c r="W150" s="84">
        <f t="shared" si="101"/>
        <v>25.000000000000071</v>
      </c>
      <c r="X150" s="271">
        <v>0.78194444444444444</v>
      </c>
      <c r="Y150" s="271">
        <v>0.79166666666666663</v>
      </c>
      <c r="Z150" s="272"/>
      <c r="AA150" s="272"/>
      <c r="AB150" s="571"/>
      <c r="AC150" s="571"/>
      <c r="AD150" s="332"/>
      <c r="AE150" s="332"/>
      <c r="AF150" s="88">
        <f t="shared" si="63"/>
        <v>-357.60000000000309</v>
      </c>
      <c r="AG150" s="171">
        <f t="shared" si="64"/>
        <v>0.75166666666666448</v>
      </c>
      <c r="AH150" s="581"/>
    </row>
    <row r="151" spans="1:34" s="274" customFormat="1" ht="19.2" customHeight="1">
      <c r="A151" s="578"/>
      <c r="B151" s="332" t="s">
        <v>247</v>
      </c>
      <c r="C151" s="277"/>
      <c r="D151" s="100" t="s">
        <v>356</v>
      </c>
      <c r="E151" s="101"/>
      <c r="F151" s="657">
        <v>44.98</v>
      </c>
      <c r="G151" s="98">
        <v>553.4</v>
      </c>
      <c r="H151" s="127">
        <f t="shared" si="100"/>
        <v>24891.931999999997</v>
      </c>
      <c r="I151" s="318">
        <v>2</v>
      </c>
      <c r="J151" s="130">
        <v>19</v>
      </c>
      <c r="K151" s="98">
        <v>1500</v>
      </c>
      <c r="L151" s="129">
        <v>78.94736842105263</v>
      </c>
      <c r="M151" s="285">
        <v>19</v>
      </c>
      <c r="N151" s="82">
        <f>G151/W151*60</f>
        <v>1185.8571428571402</v>
      </c>
      <c r="O151" s="86">
        <f>N151/M151</f>
        <v>62.413533834586325</v>
      </c>
      <c r="P151" s="88">
        <f t="shared" si="97"/>
        <v>0</v>
      </c>
      <c r="Q151" s="89">
        <f t="shared" si="98"/>
        <v>-16.533834586466305</v>
      </c>
      <c r="R151" s="90">
        <f t="shared" si="99"/>
        <v>0.79057142857142682</v>
      </c>
      <c r="S151" s="580"/>
      <c r="T151" s="304">
        <v>0.81666666666666676</v>
      </c>
      <c r="U151" s="91">
        <v>0.83611111111111125</v>
      </c>
      <c r="V151" s="75">
        <v>7</v>
      </c>
      <c r="W151" s="84">
        <f t="shared" si="101"/>
        <v>28.00000000000006</v>
      </c>
      <c r="X151" s="271"/>
      <c r="Y151" s="271"/>
      <c r="Z151" s="272"/>
      <c r="AA151" s="272"/>
      <c r="AB151" s="571"/>
      <c r="AC151" s="571"/>
      <c r="AD151" s="277"/>
      <c r="AE151" s="277">
        <v>2</v>
      </c>
      <c r="AF151" s="88">
        <f t="shared" si="63"/>
        <v>-314.14285714285984</v>
      </c>
      <c r="AG151" s="171">
        <f t="shared" si="64"/>
        <v>0.79057142857142682</v>
      </c>
      <c r="AH151" s="581"/>
    </row>
    <row r="152" spans="1:34" s="274" customFormat="1" ht="19.2" customHeight="1">
      <c r="A152" s="578"/>
      <c r="B152" s="332">
        <v>0</v>
      </c>
      <c r="C152" s="277"/>
      <c r="D152" s="309"/>
      <c r="E152" s="101"/>
      <c r="F152" s="657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580"/>
      <c r="T152" s="319"/>
      <c r="U152" s="105"/>
      <c r="V152" s="103"/>
      <c r="W152" s="84"/>
      <c r="X152" s="275"/>
      <c r="Y152" s="275"/>
      <c r="Z152" s="272"/>
      <c r="AA152" s="272"/>
      <c r="AB152" s="571"/>
      <c r="AC152" s="571"/>
      <c r="AD152" s="277"/>
      <c r="AE152" s="277"/>
      <c r="AF152" s="88">
        <f t="shared" si="63"/>
        <v>0</v>
      </c>
      <c r="AG152" s="171" t="e">
        <f t="shared" si="64"/>
        <v>#DIV/0!</v>
      </c>
      <c r="AH152" s="581"/>
    </row>
    <row r="153" spans="1:34" s="274" customFormat="1" ht="19.2" customHeight="1">
      <c r="A153" s="578"/>
      <c r="B153" s="332">
        <v>0</v>
      </c>
      <c r="C153" s="277"/>
      <c r="D153" s="309"/>
      <c r="E153" s="101"/>
      <c r="F153" s="657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580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571"/>
      <c r="AC153" s="571"/>
      <c r="AD153" s="277"/>
      <c r="AE153" s="277"/>
      <c r="AF153" s="88">
        <f t="shared" si="63"/>
        <v>0</v>
      </c>
      <c r="AG153" s="171" t="e">
        <f t="shared" si="64"/>
        <v>#DIV/0!</v>
      </c>
      <c r="AH153" s="581"/>
    </row>
    <row r="154" spans="1:34" s="274" customFormat="1" ht="19.2" customHeight="1">
      <c r="A154" s="578"/>
      <c r="B154" s="332">
        <v>0</v>
      </c>
      <c r="C154" s="277"/>
      <c r="D154" s="309"/>
      <c r="E154" s="101"/>
      <c r="F154" s="657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580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571"/>
      <c r="AC154" s="571"/>
      <c r="AD154" s="277"/>
      <c r="AE154" s="277"/>
      <c r="AF154" s="88">
        <f t="shared" si="63"/>
        <v>0</v>
      </c>
      <c r="AG154" s="171" t="e">
        <f t="shared" si="64"/>
        <v>#DIV/0!</v>
      </c>
      <c r="AH154" s="581"/>
    </row>
    <row r="155" spans="1:34" s="274" customFormat="1" ht="19.2" customHeight="1">
      <c r="A155" s="578"/>
      <c r="B155" s="332">
        <v>0</v>
      </c>
      <c r="C155" s="277"/>
      <c r="D155" s="309"/>
      <c r="E155" s="101"/>
      <c r="F155" s="657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580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571"/>
      <c r="AC155" s="571"/>
      <c r="AD155" s="277"/>
      <c r="AE155" s="277"/>
      <c r="AF155" s="322"/>
      <c r="AG155" s="176"/>
      <c r="AH155" s="581"/>
    </row>
    <row r="156" spans="1:34" s="274" customFormat="1" ht="19.2" customHeight="1">
      <c r="A156" s="578"/>
      <c r="B156" s="277">
        <v>0</v>
      </c>
      <c r="C156" s="277"/>
      <c r="D156" s="309"/>
      <c r="E156" s="101"/>
      <c r="F156" s="657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580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571"/>
      <c r="AC156" s="571"/>
      <c r="AD156" s="277"/>
      <c r="AE156" s="277"/>
      <c r="AF156" s="322"/>
      <c r="AG156" s="176"/>
      <c r="AH156" s="581"/>
    </row>
    <row r="157" spans="1:34" s="274" customFormat="1" ht="19.2" customHeight="1">
      <c r="A157" s="578"/>
      <c r="B157" s="277">
        <v>0</v>
      </c>
      <c r="C157" s="277"/>
      <c r="D157" s="309"/>
      <c r="E157" s="101"/>
      <c r="F157" s="663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580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571"/>
      <c r="AC157" s="571"/>
      <c r="AD157" s="277"/>
      <c r="AE157" s="277"/>
      <c r="AF157" s="322"/>
      <c r="AG157" s="176"/>
      <c r="AH157" s="581"/>
    </row>
    <row r="158" spans="1:34" s="274" customFormat="1" ht="19.2" customHeight="1">
      <c r="A158" s="578"/>
      <c r="B158" s="277">
        <v>0</v>
      </c>
      <c r="C158" s="277"/>
      <c r="D158" s="309"/>
      <c r="E158" s="101"/>
      <c r="F158" s="663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580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571"/>
      <c r="AC158" s="571"/>
      <c r="AD158" s="277"/>
      <c r="AE158" s="277"/>
      <c r="AF158" s="322"/>
      <c r="AG158" s="176"/>
      <c r="AH158" s="581"/>
    </row>
    <row r="159" spans="1:34" s="274" customFormat="1" ht="19.2" customHeight="1">
      <c r="A159" s="578"/>
      <c r="B159" s="277">
        <v>0</v>
      </c>
      <c r="C159" s="277"/>
      <c r="D159" s="309"/>
      <c r="E159" s="101"/>
      <c r="F159" s="663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580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571"/>
      <c r="AC159" s="571"/>
      <c r="AD159" s="277"/>
      <c r="AE159" s="277"/>
      <c r="AF159" s="322"/>
      <c r="AG159" s="176"/>
      <c r="AH159" s="581"/>
    </row>
    <row r="160" spans="1:34" ht="19.2" customHeight="1">
      <c r="A160" s="578"/>
      <c r="B160" s="325">
        <v>0</v>
      </c>
      <c r="C160" s="326" t="s">
        <v>202</v>
      </c>
      <c r="D160" s="576" t="s">
        <v>191</v>
      </c>
      <c r="E160" s="577"/>
      <c r="F160" s="651"/>
      <c r="G160" s="257"/>
      <c r="H160" s="256"/>
      <c r="I160" s="115"/>
      <c r="J160" s="327">
        <v>17.75</v>
      </c>
      <c r="K160" s="327">
        <v>1470</v>
      </c>
      <c r="L160" s="328">
        <v>83.070175438596493</v>
      </c>
      <c r="M160" s="327">
        <f t="shared" ref="J160:O160" si="102">AVERAGE(M148:M159)</f>
        <v>18</v>
      </c>
      <c r="N160" s="327">
        <f t="shared" si="102"/>
        <v>1232.5276477832497</v>
      </c>
      <c r="O160" s="328">
        <f t="shared" si="102"/>
        <v>68.663360639173902</v>
      </c>
      <c r="P160" s="107">
        <f t="shared" ref="P160:P165" si="103">M160-J160</f>
        <v>0.25</v>
      </c>
      <c r="Q160" s="117">
        <f t="shared" ref="Q160:Q165" si="104">O160-L160</f>
        <v>-14.406814799422591</v>
      </c>
      <c r="R160" s="329">
        <f>O160/L160</f>
        <v>0.82657055046101635</v>
      </c>
      <c r="S160" s="580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571"/>
      <c r="AC160" s="571"/>
      <c r="AD160" s="122">
        <f>SUM(AD148:AD159)</f>
        <v>0</v>
      </c>
      <c r="AE160" s="122">
        <f>SUM(AE148:AE159)</f>
        <v>2</v>
      </c>
      <c r="AF160" s="107">
        <f t="shared" si="63"/>
        <v>-237.47235221675032</v>
      </c>
      <c r="AG160" s="176">
        <f t="shared" si="64"/>
        <v>0.83845418216547596</v>
      </c>
      <c r="AH160" s="581"/>
    </row>
    <row r="161" spans="1:36" ht="19.2" customHeight="1">
      <c r="A161" s="574" t="s">
        <v>157</v>
      </c>
      <c r="B161" s="167" t="s">
        <v>246</v>
      </c>
      <c r="C161" s="167"/>
      <c r="D161" s="125" t="s">
        <v>158</v>
      </c>
      <c r="E161" s="126"/>
      <c r="F161" s="656">
        <v>34.229999999999997</v>
      </c>
      <c r="G161" s="98">
        <v>3291</v>
      </c>
      <c r="H161" s="127">
        <f t="shared" ref="H161:H170" si="105">F161*G161</f>
        <v>112650.93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2146.304347826087</v>
      </c>
      <c r="O161" s="129">
        <f t="shared" ref="O161:O165" si="107">N161/M161</f>
        <v>165.10033444816054</v>
      </c>
      <c r="P161" s="95">
        <f t="shared" si="103"/>
        <v>0</v>
      </c>
      <c r="Q161" s="131">
        <f t="shared" si="104"/>
        <v>-7.9765886287625278</v>
      </c>
      <c r="R161" s="132">
        <f t="shared" ref="R161:R165" si="108">O161/L161</f>
        <v>0.953913043478261</v>
      </c>
      <c r="S161" s="575">
        <f>R173</f>
        <v>0.92286318830828284</v>
      </c>
      <c r="T161" s="133">
        <v>0.16666666666666666</v>
      </c>
      <c r="U161" s="133">
        <v>0.23055555555555554</v>
      </c>
      <c r="V161" s="332">
        <v>5</v>
      </c>
      <c r="W161" s="134">
        <f t="shared" ref="W161:W165" si="109">(U161-T161)*24*60</f>
        <v>92</v>
      </c>
      <c r="X161" s="140"/>
      <c r="Y161" s="140"/>
      <c r="Z161" s="95"/>
      <c r="AA161" s="95"/>
      <c r="AB161" s="571"/>
      <c r="AC161" s="571"/>
      <c r="AD161" s="332"/>
      <c r="AE161" s="332"/>
      <c r="AF161" s="95">
        <f t="shared" si="63"/>
        <v>-103.695652173913</v>
      </c>
      <c r="AG161" s="132">
        <f t="shared" si="64"/>
        <v>0.95391304347826089</v>
      </c>
      <c r="AH161" s="575">
        <f>AG173</f>
        <v>0.92696900439555641</v>
      </c>
    </row>
    <row r="162" spans="1:36" ht="19.2" customHeight="1">
      <c r="A162" s="574"/>
      <c r="B162" s="167" t="s">
        <v>246</v>
      </c>
      <c r="C162" s="167"/>
      <c r="D162" s="125" t="s">
        <v>159</v>
      </c>
      <c r="E162" s="126"/>
      <c r="F162" s="656">
        <v>34.229999999999997</v>
      </c>
      <c r="G162" s="98">
        <v>4095</v>
      </c>
      <c r="H162" s="127">
        <f t="shared" si="105"/>
        <v>140171.84999999998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2136.521739130435</v>
      </c>
      <c r="O162" s="129">
        <f t="shared" si="107"/>
        <v>164.34782608695653</v>
      </c>
      <c r="P162" s="95">
        <f t="shared" si="103"/>
        <v>0</v>
      </c>
      <c r="Q162" s="131">
        <f t="shared" si="104"/>
        <v>-8.7290969899665356</v>
      </c>
      <c r="R162" s="132">
        <f t="shared" si="108"/>
        <v>0.94956521739130451</v>
      </c>
      <c r="S162" s="575"/>
      <c r="T162" s="133">
        <v>0.23541666666666666</v>
      </c>
      <c r="U162" s="133">
        <v>0.31527777777777777</v>
      </c>
      <c r="V162" s="332">
        <v>7</v>
      </c>
      <c r="W162" s="134">
        <f t="shared" si="109"/>
        <v>114.99999999999999</v>
      </c>
      <c r="X162" s="140"/>
      <c r="Y162" s="140"/>
      <c r="Z162" s="95"/>
      <c r="AA162" s="95"/>
      <c r="AB162" s="571"/>
      <c r="AC162" s="571"/>
      <c r="AD162" s="332"/>
      <c r="AE162" s="332"/>
      <c r="AF162" s="95">
        <f t="shared" si="63"/>
        <v>-113.47826086956502</v>
      </c>
      <c r="AG162" s="132">
        <f t="shared" si="64"/>
        <v>0.94956521739130439</v>
      </c>
      <c r="AH162" s="575"/>
    </row>
    <row r="163" spans="1:36" ht="19.2" customHeight="1">
      <c r="A163" s="574"/>
      <c r="B163" s="167" t="s">
        <v>246</v>
      </c>
      <c r="C163" s="167"/>
      <c r="D163" s="306" t="s">
        <v>160</v>
      </c>
      <c r="E163" s="306"/>
      <c r="F163" s="656">
        <v>34.229999999999997</v>
      </c>
      <c r="G163" s="98">
        <v>2617</v>
      </c>
      <c r="H163" s="127">
        <f t="shared" si="105"/>
        <v>89579.909999999989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2013.0769230769217</v>
      </c>
      <c r="O163" s="129">
        <f t="shared" si="107"/>
        <v>167.75641025641013</v>
      </c>
      <c r="P163" s="95">
        <f t="shared" si="103"/>
        <v>0</v>
      </c>
      <c r="Q163" s="131">
        <f t="shared" si="104"/>
        <v>-8.7435897435898653</v>
      </c>
      <c r="R163" s="132">
        <f t="shared" si="108"/>
        <v>0.95046124791167219</v>
      </c>
      <c r="S163" s="575"/>
      <c r="T163" s="133">
        <v>0.35555555555555551</v>
      </c>
      <c r="U163" s="133">
        <v>0.40972222222222221</v>
      </c>
      <c r="V163" s="332">
        <v>5</v>
      </c>
      <c r="W163" s="134">
        <f t="shared" si="109"/>
        <v>78.000000000000043</v>
      </c>
      <c r="X163" s="140"/>
      <c r="Y163" s="140"/>
      <c r="Z163" s="95"/>
      <c r="AA163" s="95"/>
      <c r="AB163" s="571"/>
      <c r="AC163" s="571"/>
      <c r="AD163" s="332"/>
      <c r="AE163" s="332"/>
      <c r="AF163" s="95">
        <f t="shared" si="63"/>
        <v>-104.92307692307827</v>
      </c>
      <c r="AG163" s="132">
        <f t="shared" si="64"/>
        <v>0.95046124791167219</v>
      </c>
      <c r="AH163" s="575"/>
    </row>
    <row r="164" spans="1:36" ht="19.2" customHeight="1">
      <c r="A164" s="574"/>
      <c r="B164" s="167" t="s">
        <v>246</v>
      </c>
      <c r="C164" s="167"/>
      <c r="D164" s="331" t="s">
        <v>161</v>
      </c>
      <c r="E164" s="331"/>
      <c r="F164" s="656">
        <v>35.83</v>
      </c>
      <c r="G164" s="98">
        <v>6062</v>
      </c>
      <c r="H164" s="127">
        <f t="shared" si="105"/>
        <v>217201.46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2165.0000000000005</v>
      </c>
      <c r="O164" s="129">
        <f t="shared" si="107"/>
        <v>196.81818181818187</v>
      </c>
      <c r="P164" s="95">
        <f t="shared" si="103"/>
        <v>0</v>
      </c>
      <c r="Q164" s="131">
        <f t="shared" si="104"/>
        <v>-7.7272727272726627</v>
      </c>
      <c r="R164" s="132">
        <f t="shared" si="108"/>
        <v>0.96222222222222253</v>
      </c>
      <c r="S164" s="575"/>
      <c r="T164" s="133">
        <v>0.42430555555555555</v>
      </c>
      <c r="U164" s="133">
        <v>0.54097222222222219</v>
      </c>
      <c r="V164" s="332">
        <v>21</v>
      </c>
      <c r="W164" s="134">
        <f t="shared" si="109"/>
        <v>167.99999999999997</v>
      </c>
      <c r="X164" s="140">
        <v>0.41319444444444442</v>
      </c>
      <c r="Y164" s="140">
        <v>0.42152777777777778</v>
      </c>
      <c r="Z164" s="95"/>
      <c r="AA164" s="95"/>
      <c r="AB164" s="571"/>
      <c r="AC164" s="571"/>
      <c r="AD164" s="332"/>
      <c r="AE164" s="332"/>
      <c r="AF164" s="95">
        <f t="shared" si="63"/>
        <v>-84.999999999999545</v>
      </c>
      <c r="AG164" s="132">
        <f t="shared" si="64"/>
        <v>0.96222222222222242</v>
      </c>
      <c r="AH164" s="575"/>
    </row>
    <row r="165" spans="1:36" ht="19.2" customHeight="1">
      <c r="A165" s="574"/>
      <c r="B165" s="167" t="s">
        <v>246</v>
      </c>
      <c r="C165" s="124"/>
      <c r="D165" s="125" t="s">
        <v>108</v>
      </c>
      <c r="E165" s="126"/>
      <c r="F165" s="653">
        <v>36.409999999999997</v>
      </c>
      <c r="G165" s="98">
        <v>5272.8</v>
      </c>
      <c r="H165" s="127">
        <f t="shared" si="105"/>
        <v>191982.64799999999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2326.2352941176473</v>
      </c>
      <c r="O165" s="129">
        <f t="shared" si="107"/>
        <v>232.62352941176474</v>
      </c>
      <c r="P165" s="95">
        <f t="shared" si="103"/>
        <v>0</v>
      </c>
      <c r="Q165" s="131">
        <f t="shared" si="104"/>
        <v>-44.276470588235242</v>
      </c>
      <c r="R165" s="132">
        <f t="shared" si="108"/>
        <v>0.84009942004971017</v>
      </c>
      <c r="S165" s="575"/>
      <c r="T165" s="133">
        <v>0.55624999999999991</v>
      </c>
      <c r="U165" s="133">
        <v>0.65069444444444435</v>
      </c>
      <c r="V165" s="332">
        <v>22</v>
      </c>
      <c r="W165" s="134">
        <f t="shared" si="109"/>
        <v>136</v>
      </c>
      <c r="X165" s="140">
        <v>0.5444444444444444</v>
      </c>
      <c r="Y165" s="140">
        <v>0.55347222222222225</v>
      </c>
      <c r="Z165" s="95"/>
      <c r="AA165" s="95"/>
      <c r="AB165" s="571"/>
      <c r="AC165" s="571"/>
      <c r="AD165" s="332"/>
      <c r="AE165" s="332"/>
      <c r="AF165" s="95">
        <f t="shared" si="63"/>
        <v>-442.7647058823527</v>
      </c>
      <c r="AG165" s="132">
        <f t="shared" si="64"/>
        <v>0.84009942004971017</v>
      </c>
      <c r="AH165" s="575"/>
    </row>
    <row r="166" spans="1:36" ht="19.2" customHeight="1">
      <c r="A166" s="574"/>
      <c r="B166" s="167">
        <v>0</v>
      </c>
      <c r="C166" s="167"/>
      <c r="D166" s="125"/>
      <c r="E166" s="126"/>
      <c r="F166" s="656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575"/>
      <c r="T166" s="133"/>
      <c r="U166" s="133"/>
      <c r="V166" s="332"/>
      <c r="W166" s="134"/>
      <c r="X166" s="140"/>
      <c r="Y166" s="140"/>
      <c r="Z166" s="95"/>
      <c r="AA166" s="95"/>
      <c r="AB166" s="571"/>
      <c r="AC166" s="571"/>
      <c r="AD166" s="332"/>
      <c r="AE166" s="332"/>
      <c r="AF166" s="95">
        <f t="shared" si="63"/>
        <v>0</v>
      </c>
      <c r="AG166" s="132" t="e">
        <f t="shared" si="64"/>
        <v>#DIV/0!</v>
      </c>
      <c r="AH166" s="575"/>
    </row>
    <row r="167" spans="1:36" ht="19.2" customHeight="1">
      <c r="A167" s="574"/>
      <c r="B167" s="167">
        <v>0</v>
      </c>
      <c r="C167" s="167"/>
      <c r="D167" s="309"/>
      <c r="E167" s="101"/>
      <c r="F167" s="656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575"/>
      <c r="T167" s="133"/>
      <c r="U167" s="133"/>
      <c r="V167" s="332"/>
      <c r="W167" s="134"/>
      <c r="X167" s="140"/>
      <c r="Y167" s="140"/>
      <c r="Z167" s="95"/>
      <c r="AA167" s="95"/>
      <c r="AB167" s="571"/>
      <c r="AC167" s="571"/>
      <c r="AD167" s="332"/>
      <c r="AE167" s="332"/>
      <c r="AF167" s="95">
        <f t="shared" si="63"/>
        <v>0</v>
      </c>
      <c r="AG167" s="132" t="e">
        <f t="shared" si="64"/>
        <v>#DIV/0!</v>
      </c>
      <c r="AH167" s="575"/>
    </row>
    <row r="168" spans="1:36" ht="19.2" customHeight="1">
      <c r="A168" s="574"/>
      <c r="B168" s="167">
        <v>0</v>
      </c>
      <c r="C168" s="167"/>
      <c r="D168" s="309"/>
      <c r="E168" s="101"/>
      <c r="F168" s="656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575"/>
      <c r="T168" s="133"/>
      <c r="U168" s="133"/>
      <c r="V168" s="332"/>
      <c r="W168" s="134"/>
      <c r="X168" s="140"/>
      <c r="Y168" s="140"/>
      <c r="Z168" s="95"/>
      <c r="AA168" s="95"/>
      <c r="AB168" s="571"/>
      <c r="AC168" s="571"/>
      <c r="AD168" s="332"/>
      <c r="AE168" s="332"/>
      <c r="AF168" s="95">
        <f t="shared" si="63"/>
        <v>0</v>
      </c>
      <c r="AG168" s="132" t="e">
        <f t="shared" si="64"/>
        <v>#DIV/0!</v>
      </c>
      <c r="AH168" s="575"/>
    </row>
    <row r="169" spans="1:36" ht="19.2" customHeight="1">
      <c r="A169" s="574"/>
      <c r="B169" s="167">
        <v>0</v>
      </c>
      <c r="C169" s="167"/>
      <c r="D169" s="309"/>
      <c r="E169" s="101"/>
      <c r="F169" s="656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575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571"/>
      <c r="AC169" s="571"/>
      <c r="AD169" s="332"/>
      <c r="AE169" s="332"/>
      <c r="AF169" s="95">
        <f t="shared" si="63"/>
        <v>0</v>
      </c>
      <c r="AG169" s="132" t="e">
        <f t="shared" si="64"/>
        <v>#DIV/0!</v>
      </c>
      <c r="AH169" s="575"/>
    </row>
    <row r="170" spans="1:36" ht="19.2" customHeight="1">
      <c r="A170" s="574"/>
      <c r="B170" s="167">
        <v>0</v>
      </c>
      <c r="C170" s="167"/>
      <c r="D170" s="309"/>
      <c r="E170" s="101"/>
      <c r="F170" s="656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575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571"/>
      <c r="AC170" s="571"/>
      <c r="AD170" s="332"/>
      <c r="AE170" s="332"/>
      <c r="AF170" s="95">
        <f t="shared" si="63"/>
        <v>0</v>
      </c>
      <c r="AG170" s="132" t="e">
        <f t="shared" si="64"/>
        <v>#DIV/0!</v>
      </c>
      <c r="AH170" s="575"/>
    </row>
    <row r="171" spans="1:36" ht="19.2" customHeight="1">
      <c r="A171" s="574"/>
      <c r="B171" s="167">
        <v>0</v>
      </c>
      <c r="C171" s="167"/>
      <c r="D171" s="309"/>
      <c r="E171" s="101"/>
      <c r="F171" s="656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575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571"/>
      <c r="AC171" s="571"/>
      <c r="AD171" s="332"/>
      <c r="AE171" s="332"/>
      <c r="AF171" s="95"/>
      <c r="AG171" s="132"/>
      <c r="AH171" s="575"/>
    </row>
    <row r="172" spans="1:36" ht="19.2" customHeight="1">
      <c r="A172" s="574"/>
      <c r="B172" s="167">
        <v>0</v>
      </c>
      <c r="C172" s="167"/>
      <c r="D172" s="309"/>
      <c r="E172" s="101"/>
      <c r="F172" s="656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575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571"/>
      <c r="AC172" s="571"/>
      <c r="AD172" s="332"/>
      <c r="AE172" s="332"/>
      <c r="AF172" s="95"/>
      <c r="AG172" s="132"/>
      <c r="AH172" s="575"/>
    </row>
    <row r="173" spans="1:36" ht="19.2" customHeight="1">
      <c r="A173" s="574"/>
      <c r="B173" s="167">
        <v>0</v>
      </c>
      <c r="C173" s="144" t="s">
        <v>203</v>
      </c>
      <c r="D173" s="572" t="s">
        <v>191</v>
      </c>
      <c r="E173" s="572"/>
      <c r="F173" s="654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10">AVERAGE(M161:M172)</f>
        <v>11.8</v>
      </c>
      <c r="N173" s="145">
        <f t="shared" si="110"/>
        <v>2157.427660830218</v>
      </c>
      <c r="O173" s="148">
        <f t="shared" si="110"/>
        <v>185.32925640429477</v>
      </c>
      <c r="P173" s="95">
        <f>M173-J173</f>
        <v>0</v>
      </c>
      <c r="Q173" s="131">
        <f>O173-L173</f>
        <v>-15.490603735565372</v>
      </c>
      <c r="R173" s="149">
        <f>O173/L173</f>
        <v>0.92286318830828284</v>
      </c>
      <c r="S173" s="575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573"/>
      <c r="AC173" s="573"/>
      <c r="AD173" s="151">
        <f>SUM(AD161:AD172)</f>
        <v>0</v>
      </c>
      <c r="AE173" s="151">
        <f>SUM(AE161:AE172)</f>
        <v>0</v>
      </c>
      <c r="AF173" s="95">
        <f t="shared" si="63"/>
        <v>-169.97233916978212</v>
      </c>
      <c r="AG173" s="132">
        <f t="shared" si="64"/>
        <v>0.92696900439555641</v>
      </c>
      <c r="AH173" s="575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3345" priority="3346" operator="lessThan">
      <formula>0</formula>
    </cfRule>
  </conditionalFormatting>
  <conditionalFormatting sqref="AH57 AH70 S43 S123 S95 AH95 S5:S9 AH5:AH9 S134 AH17:AH18 S17:S18 S32 S82 AH82 S57:S70">
    <cfRule type="cellIs" dxfId="3344" priority="3345" operator="lessThan">
      <formula>0.8</formula>
    </cfRule>
  </conditionalFormatting>
  <conditionalFormatting sqref="R147 R173 R30 R121 R95 R43 R134 R82 R154:R159 R17:R18 R57:R70">
    <cfRule type="cellIs" dxfId="3343" priority="3343" operator="lessThan">
      <formula>0.8</formula>
    </cfRule>
    <cfRule type="cellIs" dxfId="3342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3341" priority="3341" operator="greaterThan">
      <formula>1</formula>
    </cfRule>
    <cfRule type="cellIs" dxfId="3340" priority="3342" operator="lessThan">
      <formula>0.8</formula>
    </cfRule>
  </conditionalFormatting>
  <conditionalFormatting sqref="P147 P30 P121 P95 P43 P134 P82 P154:P159 P17:P18 P57:P70">
    <cfRule type="cellIs" dxfId="3339" priority="3340" operator="greaterThan">
      <formula>0</formula>
    </cfRule>
  </conditionalFormatting>
  <conditionalFormatting sqref="S161">
    <cfRule type="cellIs" dxfId="3338" priority="3339" operator="lessThan">
      <formula>0.8</formula>
    </cfRule>
  </conditionalFormatting>
  <conditionalFormatting sqref="Q161:Q166">
    <cfRule type="cellIs" dxfId="3337" priority="3338" operator="lessThan">
      <formula>0</formula>
    </cfRule>
  </conditionalFormatting>
  <conditionalFormatting sqref="R161:R166">
    <cfRule type="cellIs" dxfId="3336" priority="3336" operator="lessThan">
      <formula>0.8</formula>
    </cfRule>
    <cfRule type="cellIs" dxfId="3335" priority="3337" operator="greaterThan">
      <formula>1</formula>
    </cfRule>
  </conditionalFormatting>
  <conditionalFormatting sqref="R161:R166">
    <cfRule type="cellIs" dxfId="3334" priority="3334" operator="greaterThan">
      <formula>1</formula>
    </cfRule>
    <cfRule type="cellIs" dxfId="3333" priority="3335" operator="lessThan">
      <formula>0.8</formula>
    </cfRule>
  </conditionalFormatting>
  <conditionalFormatting sqref="P161:P166">
    <cfRule type="cellIs" dxfId="3332" priority="3333" operator="greaterThan">
      <formula>0</formula>
    </cfRule>
  </conditionalFormatting>
  <conditionalFormatting sqref="Q169:Q172 AF161:AF172">
    <cfRule type="cellIs" dxfId="3331" priority="3332" operator="lessThan">
      <formula>0</formula>
    </cfRule>
  </conditionalFormatting>
  <conditionalFormatting sqref="R169:R172">
    <cfRule type="cellIs" dxfId="3330" priority="3330" operator="lessThan">
      <formula>0.8</formula>
    </cfRule>
    <cfRule type="cellIs" dxfId="3329" priority="3331" operator="greaterThan">
      <formula>1</formula>
    </cfRule>
  </conditionalFormatting>
  <conditionalFormatting sqref="R169:R172 AG161:AG172">
    <cfRule type="cellIs" dxfId="3328" priority="3328" operator="greaterThan">
      <formula>1</formula>
    </cfRule>
    <cfRule type="cellIs" dxfId="3327" priority="3329" operator="lessThan">
      <formula>0.8</formula>
    </cfRule>
  </conditionalFormatting>
  <conditionalFormatting sqref="P169:P172">
    <cfRule type="cellIs" dxfId="3326" priority="3327" operator="greaterThan">
      <formula>0</formula>
    </cfRule>
  </conditionalFormatting>
  <conditionalFormatting sqref="AF145">
    <cfRule type="cellIs" dxfId="3325" priority="3326" operator="lessThan">
      <formula>0</formula>
    </cfRule>
  </conditionalFormatting>
  <conditionalFormatting sqref="AG145">
    <cfRule type="cellIs" dxfId="3324" priority="3324" operator="greaterThan">
      <formula>1</formula>
    </cfRule>
    <cfRule type="cellIs" dxfId="3323" priority="3325" operator="lessThan">
      <formula>0.8</formula>
    </cfRule>
  </conditionalFormatting>
  <conditionalFormatting sqref="AF44:AF54">
    <cfRule type="cellIs" dxfId="3322" priority="3323" operator="lessThan">
      <formula>0</formula>
    </cfRule>
  </conditionalFormatting>
  <conditionalFormatting sqref="AG44:AG54">
    <cfRule type="cellIs" dxfId="3321" priority="3321" operator="greaterThan">
      <formula>1</formula>
    </cfRule>
    <cfRule type="cellIs" dxfId="3320" priority="3322" operator="lessThan">
      <formula>0.8</formula>
    </cfRule>
  </conditionalFormatting>
  <conditionalFormatting sqref="AF83:AF94">
    <cfRule type="cellIs" dxfId="3319" priority="3320" operator="lessThan">
      <formula>0</formula>
    </cfRule>
  </conditionalFormatting>
  <conditionalFormatting sqref="AH83">
    <cfRule type="cellIs" dxfId="3318" priority="3319" operator="lessThan">
      <formula>0.8</formula>
    </cfRule>
  </conditionalFormatting>
  <conditionalFormatting sqref="AG83:AG94">
    <cfRule type="cellIs" dxfId="3317" priority="3317" operator="greaterThan">
      <formula>1</formula>
    </cfRule>
    <cfRule type="cellIs" dxfId="3316" priority="3318" operator="lessThan">
      <formula>0.8</formula>
    </cfRule>
  </conditionalFormatting>
  <conditionalFormatting sqref="S83">
    <cfRule type="cellIs" dxfId="3315" priority="3316" operator="lessThan">
      <formula>0.8</formula>
    </cfRule>
  </conditionalFormatting>
  <conditionalFormatting sqref="AH84">
    <cfRule type="cellIs" dxfId="3314" priority="3315" operator="lessThan">
      <formula>0.8</formula>
    </cfRule>
  </conditionalFormatting>
  <conditionalFormatting sqref="S84">
    <cfRule type="cellIs" dxfId="3313" priority="3314" operator="lessThan">
      <formula>0.8</formula>
    </cfRule>
  </conditionalFormatting>
  <conditionalFormatting sqref="S90">
    <cfRule type="cellIs" dxfId="3312" priority="3313" operator="lessThan">
      <formula>0.8</formula>
    </cfRule>
  </conditionalFormatting>
  <conditionalFormatting sqref="AH90">
    <cfRule type="cellIs" dxfId="3311" priority="3312" operator="lessThan">
      <formula>0.8</formula>
    </cfRule>
  </conditionalFormatting>
  <conditionalFormatting sqref="AF122">
    <cfRule type="cellIs" dxfId="3310" priority="3311" operator="lessThan">
      <formula>0</formula>
    </cfRule>
  </conditionalFormatting>
  <conditionalFormatting sqref="S122">
    <cfRule type="cellIs" dxfId="3309" priority="3310" operator="lessThan">
      <formula>0.8</formula>
    </cfRule>
  </conditionalFormatting>
  <conditionalFormatting sqref="AG122">
    <cfRule type="cellIs" dxfId="3308" priority="3308" operator="greaterThan">
      <formula>1</formula>
    </cfRule>
    <cfRule type="cellIs" dxfId="3307" priority="3309" operator="lessThan">
      <formula>0.8</formula>
    </cfRule>
  </conditionalFormatting>
  <conditionalFormatting sqref="P162:P168">
    <cfRule type="cellIs" dxfId="3306" priority="3302" operator="greaterThan">
      <formula>0</formula>
    </cfRule>
  </conditionalFormatting>
  <conditionalFormatting sqref="R162:R168">
    <cfRule type="cellIs" dxfId="3305" priority="3305" operator="lessThan">
      <formula>0.8</formula>
    </cfRule>
    <cfRule type="cellIs" dxfId="3304" priority="3306" operator="greaterThan">
      <formula>1</formula>
    </cfRule>
  </conditionalFormatting>
  <conditionalFormatting sqref="R162:R168">
    <cfRule type="cellIs" dxfId="3303" priority="3303" operator="greaterThan">
      <formula>1</formula>
    </cfRule>
    <cfRule type="cellIs" dxfId="3302" priority="3304" operator="lessThan">
      <formula>0.8</formula>
    </cfRule>
  </conditionalFormatting>
  <conditionalFormatting sqref="Q162:Q168">
    <cfRule type="cellIs" dxfId="3301" priority="3307" operator="lessThan">
      <formula>0</formula>
    </cfRule>
  </conditionalFormatting>
  <conditionalFormatting sqref="P132:P133">
    <cfRule type="cellIs" dxfId="3300" priority="3295" operator="greaterThan">
      <formula>0</formula>
    </cfRule>
  </conditionalFormatting>
  <conditionalFormatting sqref="AF124 Q132:Q133 AF126:AF133">
    <cfRule type="cellIs" dxfId="3299" priority="3301" operator="lessThan">
      <formula>0</formula>
    </cfRule>
  </conditionalFormatting>
  <conditionalFormatting sqref="S124:S133">
    <cfRule type="cellIs" dxfId="3298" priority="3300" operator="lessThan">
      <formula>0.8</formula>
    </cfRule>
  </conditionalFormatting>
  <conditionalFormatting sqref="R132:R133">
    <cfRule type="cellIs" dxfId="3297" priority="3298" operator="lessThan">
      <formula>0.8</formula>
    </cfRule>
    <cfRule type="cellIs" dxfId="3296" priority="3299" operator="greaterThan">
      <formula>1</formula>
    </cfRule>
  </conditionalFormatting>
  <conditionalFormatting sqref="AG124 R132:R133 AG126:AG133">
    <cfRule type="cellIs" dxfId="3295" priority="3296" operator="greaterThan">
      <formula>1</formula>
    </cfRule>
    <cfRule type="cellIs" dxfId="3294" priority="3297" operator="lessThan">
      <formula>0.8</formula>
    </cfRule>
  </conditionalFormatting>
  <conditionalFormatting sqref="AF112 AF115">
    <cfRule type="cellIs" dxfId="3293" priority="3294" operator="lessThan">
      <formula>0</formula>
    </cfRule>
  </conditionalFormatting>
  <conditionalFormatting sqref="AG112 AG115">
    <cfRule type="cellIs" dxfId="3292" priority="3292" operator="greaterThan">
      <formula>1</formula>
    </cfRule>
    <cfRule type="cellIs" dxfId="3291" priority="3293" operator="lessThan">
      <formula>0.8</formula>
    </cfRule>
  </conditionalFormatting>
  <conditionalFormatting sqref="AF111 AF114 AF117">
    <cfRule type="cellIs" dxfId="3290" priority="3291" operator="lessThan">
      <formula>0</formula>
    </cfRule>
  </conditionalFormatting>
  <conditionalFormatting sqref="AH109">
    <cfRule type="cellIs" dxfId="3289" priority="3290" operator="lessThan">
      <formula>0.8</formula>
    </cfRule>
  </conditionalFormatting>
  <conditionalFormatting sqref="AG111 AG114 AG117">
    <cfRule type="cellIs" dxfId="3288" priority="3288" operator="greaterThan">
      <formula>1</formula>
    </cfRule>
    <cfRule type="cellIs" dxfId="3287" priority="3289" operator="lessThan">
      <formula>0.8</formula>
    </cfRule>
  </conditionalFormatting>
  <conditionalFormatting sqref="R160 AG160">
    <cfRule type="cellIs" dxfId="3286" priority="3283" operator="greaterThan">
      <formula>1</formula>
    </cfRule>
    <cfRule type="cellIs" dxfId="3285" priority="3284" operator="lessThan">
      <formula>0.8</formula>
    </cfRule>
  </conditionalFormatting>
  <conditionalFormatting sqref="R160">
    <cfRule type="cellIs" dxfId="3284" priority="3285" operator="lessThan">
      <formula>0.8</formula>
    </cfRule>
    <cfRule type="cellIs" dxfId="3283" priority="3286" operator="greaterThan">
      <formula>1</formula>
    </cfRule>
  </conditionalFormatting>
  <conditionalFormatting sqref="P160">
    <cfRule type="cellIs" dxfId="3282" priority="3282" operator="greaterThan">
      <formula>0</formula>
    </cfRule>
  </conditionalFormatting>
  <conditionalFormatting sqref="AH148">
    <cfRule type="cellIs" dxfId="3281" priority="3281" operator="lessThan">
      <formula>0.8</formula>
    </cfRule>
  </conditionalFormatting>
  <conditionalFormatting sqref="Q160 AF160">
    <cfRule type="cellIs" dxfId="3280" priority="3287" operator="lessThan">
      <formula>0</formula>
    </cfRule>
  </conditionalFormatting>
  <conditionalFormatting sqref="AF148:AF154">
    <cfRule type="cellIs" dxfId="3279" priority="3280" operator="lessThan">
      <formula>0</formula>
    </cfRule>
  </conditionalFormatting>
  <conditionalFormatting sqref="S148">
    <cfRule type="cellIs" dxfId="3278" priority="3279" operator="lessThan">
      <formula>0.8</formula>
    </cfRule>
  </conditionalFormatting>
  <conditionalFormatting sqref="AG148:AG154">
    <cfRule type="cellIs" dxfId="3277" priority="3277" operator="greaterThan">
      <formula>1</formula>
    </cfRule>
    <cfRule type="cellIs" dxfId="3276" priority="3278" operator="lessThan">
      <formula>0.8</formula>
    </cfRule>
  </conditionalFormatting>
  <conditionalFormatting sqref="S86">
    <cfRule type="cellIs" dxfId="3275" priority="3276" operator="lessThan">
      <formula>0.8</formula>
    </cfRule>
  </conditionalFormatting>
  <conditionalFormatting sqref="S88 AH88">
    <cfRule type="cellIs" dxfId="3274" priority="3271" operator="lessThan">
      <formula>0.8</formula>
    </cfRule>
  </conditionalFormatting>
  <conditionalFormatting sqref="AH86">
    <cfRule type="cellIs" dxfId="3273" priority="3275" operator="lessThan">
      <formula>0.8</formula>
    </cfRule>
  </conditionalFormatting>
  <conditionalFormatting sqref="S87">
    <cfRule type="cellIs" dxfId="3272" priority="3274" operator="lessThan">
      <formula>0.8</formula>
    </cfRule>
  </conditionalFormatting>
  <conditionalFormatting sqref="AH87">
    <cfRule type="cellIs" dxfId="3271" priority="3273" operator="lessThan">
      <formula>0.8</formula>
    </cfRule>
  </conditionalFormatting>
  <conditionalFormatting sqref="S89 AH89">
    <cfRule type="cellIs" dxfId="3270" priority="3272" operator="lessThan">
      <formula>0.8</formula>
    </cfRule>
  </conditionalFormatting>
  <conditionalFormatting sqref="AF31 AF35 AF39">
    <cfRule type="cellIs" dxfId="3269" priority="3270" operator="lessThan">
      <formula>0</formula>
    </cfRule>
  </conditionalFormatting>
  <conditionalFormatting sqref="AH31 S31">
    <cfRule type="cellIs" dxfId="3268" priority="3269" operator="lessThan">
      <formula>0.8</formula>
    </cfRule>
  </conditionalFormatting>
  <conditionalFormatting sqref="AG31 AG35 AG39">
    <cfRule type="cellIs" dxfId="3267" priority="3267" operator="greaterThan">
      <formula>1</formula>
    </cfRule>
    <cfRule type="cellIs" dxfId="3266" priority="3268" operator="lessThan">
      <formula>0.8</formula>
    </cfRule>
  </conditionalFormatting>
  <conditionalFormatting sqref="AF135">
    <cfRule type="cellIs" dxfId="3265" priority="3266" operator="lessThan">
      <formula>0</formula>
    </cfRule>
  </conditionalFormatting>
  <conditionalFormatting sqref="AH135 S135">
    <cfRule type="cellIs" dxfId="3264" priority="3265" operator="lessThan">
      <formula>0.8</formula>
    </cfRule>
  </conditionalFormatting>
  <conditionalFormatting sqref="AG135">
    <cfRule type="cellIs" dxfId="3263" priority="3263" operator="greaterThan">
      <formula>1</formula>
    </cfRule>
    <cfRule type="cellIs" dxfId="3262" priority="3264" operator="lessThan">
      <formula>0.8</formula>
    </cfRule>
  </conditionalFormatting>
  <conditionalFormatting sqref="AF110 AF113 AF116">
    <cfRule type="cellIs" dxfId="3261" priority="3262" operator="lessThan">
      <formula>0</formula>
    </cfRule>
  </conditionalFormatting>
  <conditionalFormatting sqref="AG110 AG113 AG116">
    <cfRule type="cellIs" dxfId="3260" priority="3260" operator="greaterThan">
      <formula>1</formula>
    </cfRule>
    <cfRule type="cellIs" dxfId="3259" priority="3261" operator="lessThan">
      <formula>0.8</formula>
    </cfRule>
  </conditionalFormatting>
  <conditionalFormatting sqref="AF108 Q108">
    <cfRule type="cellIs" dxfId="3258" priority="3259" operator="lessThan">
      <formula>0</formula>
    </cfRule>
  </conditionalFormatting>
  <conditionalFormatting sqref="R108">
    <cfRule type="cellIs" dxfId="3257" priority="3257" operator="lessThan">
      <formula>0.8</formula>
    </cfRule>
    <cfRule type="cellIs" dxfId="3256" priority="3258" operator="greaterThan">
      <formula>1</formula>
    </cfRule>
  </conditionalFormatting>
  <conditionalFormatting sqref="AG108 R108">
    <cfRule type="cellIs" dxfId="3255" priority="3255" operator="greaterThan">
      <formula>1</formula>
    </cfRule>
    <cfRule type="cellIs" dxfId="3254" priority="3256" operator="lessThan">
      <formula>0.8</formula>
    </cfRule>
  </conditionalFormatting>
  <conditionalFormatting sqref="P108">
    <cfRule type="cellIs" dxfId="3253" priority="3254" operator="greaterThan">
      <formula>0</formula>
    </cfRule>
  </conditionalFormatting>
  <conditionalFormatting sqref="AH97">
    <cfRule type="cellIs" dxfId="3252" priority="3249" operator="lessThan">
      <formula>0.8</formula>
    </cfRule>
  </conditionalFormatting>
  <conditionalFormatting sqref="AG96 AG98 AG100 AG102 AG104">
    <cfRule type="cellIs" dxfId="3251" priority="3251" operator="greaterThan">
      <formula>1</formula>
    </cfRule>
    <cfRule type="cellIs" dxfId="3250" priority="3252" operator="lessThan">
      <formula>0.8</formula>
    </cfRule>
  </conditionalFormatting>
  <conditionalFormatting sqref="AF96 AF98 AF100 AF102 AF104">
    <cfRule type="cellIs" dxfId="3249" priority="3253" operator="lessThan">
      <formula>0</formula>
    </cfRule>
  </conditionalFormatting>
  <conditionalFormatting sqref="AG97 AG99 AG101 AG103 AG105">
    <cfRule type="cellIs" dxfId="3248" priority="3247" operator="greaterThan">
      <formula>1</formula>
    </cfRule>
    <cfRule type="cellIs" dxfId="3247" priority="3248" operator="lessThan">
      <formula>0.8</formula>
    </cfRule>
  </conditionalFormatting>
  <conditionalFormatting sqref="AF97 AF99 AF101 AF103 AF105">
    <cfRule type="cellIs" dxfId="3246" priority="3250" operator="lessThan">
      <formula>0</formula>
    </cfRule>
  </conditionalFormatting>
  <conditionalFormatting sqref="AF71 AF73 AF75 AF79 AF77">
    <cfRule type="cellIs" dxfId="3245" priority="3244" operator="lessThan">
      <formula>0</formula>
    </cfRule>
  </conditionalFormatting>
  <conditionalFormatting sqref="S71 AH71">
    <cfRule type="cellIs" dxfId="3244" priority="3243" operator="lessThan">
      <formula>0.8</formula>
    </cfRule>
  </conditionalFormatting>
  <conditionalFormatting sqref="AG71 AG73 AG75 AG79 AG77">
    <cfRule type="cellIs" dxfId="3243" priority="3241" operator="greaterThan">
      <formula>1</formula>
    </cfRule>
    <cfRule type="cellIs" dxfId="3242" priority="3242" operator="lessThan">
      <formula>0.8</formula>
    </cfRule>
  </conditionalFormatting>
  <conditionalFormatting sqref="AF72 AF76 AF80">
    <cfRule type="cellIs" dxfId="3241" priority="3240" operator="lessThan">
      <formula>0</formula>
    </cfRule>
  </conditionalFormatting>
  <conditionalFormatting sqref="S72 AH72">
    <cfRule type="cellIs" dxfId="3240" priority="3239" operator="lessThan">
      <formula>0.8</formula>
    </cfRule>
  </conditionalFormatting>
  <conditionalFormatting sqref="S11">
    <cfRule type="cellIs" dxfId="3239" priority="3246" operator="lessThan">
      <formula>0.8</formula>
    </cfRule>
  </conditionalFormatting>
  <conditionalFormatting sqref="S10">
    <cfRule type="cellIs" dxfId="3238" priority="3245" operator="lessThan">
      <formula>0.8</formula>
    </cfRule>
  </conditionalFormatting>
  <conditionalFormatting sqref="AG72 AG76 AG80">
    <cfRule type="cellIs" dxfId="3237" priority="3237" operator="greaterThan">
      <formula>1</formula>
    </cfRule>
    <cfRule type="cellIs" dxfId="3236" priority="3238" operator="lessThan">
      <formula>0.8</formula>
    </cfRule>
  </conditionalFormatting>
  <conditionalFormatting sqref="AF14:AF16 Q15:Q16">
    <cfRule type="cellIs" dxfId="3235" priority="3236" operator="lessThan">
      <formula>0</formula>
    </cfRule>
  </conditionalFormatting>
  <conditionalFormatting sqref="R15:R16">
    <cfRule type="cellIs" dxfId="3234" priority="3234" operator="lessThan">
      <formula>0.8</formula>
    </cfRule>
    <cfRule type="cellIs" dxfId="3233" priority="3235" operator="greaterThan">
      <formula>1</formula>
    </cfRule>
  </conditionalFormatting>
  <conditionalFormatting sqref="AG14:AG16 R15:R16">
    <cfRule type="cellIs" dxfId="3232" priority="3232" operator="greaterThan">
      <formula>1</formula>
    </cfRule>
    <cfRule type="cellIs" dxfId="3231" priority="3233" operator="lessThan">
      <formula>0.8</formula>
    </cfRule>
  </conditionalFormatting>
  <conditionalFormatting sqref="P15:P16">
    <cfRule type="cellIs" dxfId="3230" priority="3231" operator="greaterThan">
      <formula>0</formula>
    </cfRule>
  </conditionalFormatting>
  <conditionalFormatting sqref="AH98">
    <cfRule type="cellIs" dxfId="3229" priority="3230" operator="lessThan">
      <formula>0.8</formula>
    </cfRule>
  </conditionalFormatting>
  <conditionalFormatting sqref="AF33 AF37">
    <cfRule type="cellIs" dxfId="3228" priority="3229" operator="lessThan">
      <formula>0</formula>
    </cfRule>
  </conditionalFormatting>
  <conditionalFormatting sqref="AG33 AG37">
    <cfRule type="cellIs" dxfId="3227" priority="3227" operator="greaterThan">
      <formula>1</formula>
    </cfRule>
    <cfRule type="cellIs" dxfId="3226" priority="3228" operator="lessThan">
      <formula>0.8</formula>
    </cfRule>
  </conditionalFormatting>
  <conditionalFormatting sqref="P41:P42">
    <cfRule type="cellIs" dxfId="3225" priority="3221" operator="greaterThan">
      <formula>0</formula>
    </cfRule>
  </conditionalFormatting>
  <conditionalFormatting sqref="Q41:Q42 AF34 AF41:AF42 AF38">
    <cfRule type="cellIs" dxfId="3224" priority="3226" operator="lessThan">
      <formula>0</formula>
    </cfRule>
  </conditionalFormatting>
  <conditionalFormatting sqref="R41:R42">
    <cfRule type="cellIs" dxfId="3223" priority="3224" operator="lessThan">
      <formula>0.8</formula>
    </cfRule>
    <cfRule type="cellIs" dxfId="3222" priority="3225" operator="greaterThan">
      <formula>1</formula>
    </cfRule>
  </conditionalFormatting>
  <conditionalFormatting sqref="R41:R42 AG34 AG41:AG42 AG38">
    <cfRule type="cellIs" dxfId="3221" priority="3222" operator="greaterThan">
      <formula>1</formula>
    </cfRule>
    <cfRule type="cellIs" dxfId="3220" priority="3223" operator="lessThan">
      <formula>0.8</formula>
    </cfRule>
  </conditionalFormatting>
  <conditionalFormatting sqref="AF137:AF144">
    <cfRule type="cellIs" dxfId="3219" priority="3220" operator="lessThan">
      <formula>0</formula>
    </cfRule>
  </conditionalFormatting>
  <conditionalFormatting sqref="AH137 S137">
    <cfRule type="cellIs" dxfId="3218" priority="3219" operator="lessThan">
      <formula>0.8</formula>
    </cfRule>
  </conditionalFormatting>
  <conditionalFormatting sqref="AG137:AG144">
    <cfRule type="cellIs" dxfId="3217" priority="3217" operator="greaterThan">
      <formula>1</formula>
    </cfRule>
    <cfRule type="cellIs" dxfId="3216" priority="3218" operator="lessThan">
      <formula>0.8</formula>
    </cfRule>
  </conditionalFormatting>
  <conditionalFormatting sqref="AF55">
    <cfRule type="cellIs" dxfId="3215" priority="3216" operator="lessThan">
      <formula>0</formula>
    </cfRule>
  </conditionalFormatting>
  <conditionalFormatting sqref="AG55">
    <cfRule type="cellIs" dxfId="3214" priority="3214" operator="greaterThan">
      <formula>1</formula>
    </cfRule>
    <cfRule type="cellIs" dxfId="3213" priority="3215" operator="lessThan">
      <formula>0.8</formula>
    </cfRule>
  </conditionalFormatting>
  <conditionalFormatting sqref="AF56 Q56">
    <cfRule type="cellIs" dxfId="3212" priority="3213" operator="lessThan">
      <formula>0</formula>
    </cfRule>
  </conditionalFormatting>
  <conditionalFormatting sqref="R56">
    <cfRule type="cellIs" dxfId="3211" priority="3211" operator="lessThan">
      <formula>0.8</formula>
    </cfRule>
    <cfRule type="cellIs" dxfId="3210" priority="3212" operator="greaterThan">
      <formula>1</formula>
    </cfRule>
  </conditionalFormatting>
  <conditionalFormatting sqref="AG56 R56">
    <cfRule type="cellIs" dxfId="3209" priority="3209" operator="greaterThan">
      <formula>1</formula>
    </cfRule>
    <cfRule type="cellIs" dxfId="3208" priority="3210" operator="lessThan">
      <formula>0.8</formula>
    </cfRule>
  </conditionalFormatting>
  <conditionalFormatting sqref="P56">
    <cfRule type="cellIs" dxfId="3207" priority="3208" operator="greaterThan">
      <formula>0</formula>
    </cfRule>
  </conditionalFormatting>
  <conditionalFormatting sqref="P52:P55">
    <cfRule type="cellIs" dxfId="3206" priority="3202" operator="greaterThan">
      <formula>0</formula>
    </cfRule>
  </conditionalFormatting>
  <conditionalFormatting sqref="Q52:Q55">
    <cfRule type="cellIs" dxfId="3205" priority="3207" operator="lessThan">
      <formula>0</formula>
    </cfRule>
  </conditionalFormatting>
  <conditionalFormatting sqref="R52:R55">
    <cfRule type="cellIs" dxfId="3204" priority="3205" operator="lessThan">
      <formula>0.8</formula>
    </cfRule>
    <cfRule type="cellIs" dxfId="3203" priority="3206" operator="greaterThan">
      <formula>1</formula>
    </cfRule>
  </conditionalFormatting>
  <conditionalFormatting sqref="R52:R55">
    <cfRule type="cellIs" dxfId="3202" priority="3203" operator="greaterThan">
      <formula>1</formula>
    </cfRule>
    <cfRule type="cellIs" dxfId="3201" priority="3204" operator="lessThan">
      <formula>0.8</formula>
    </cfRule>
  </conditionalFormatting>
  <conditionalFormatting sqref="P80:P81">
    <cfRule type="cellIs" dxfId="3200" priority="3196" operator="greaterThan">
      <formula>0</formula>
    </cfRule>
  </conditionalFormatting>
  <conditionalFormatting sqref="AF81 Q80:Q81">
    <cfRule type="cellIs" dxfId="3199" priority="3201" operator="lessThan">
      <formula>0</formula>
    </cfRule>
  </conditionalFormatting>
  <conditionalFormatting sqref="R80:R81">
    <cfRule type="cellIs" dxfId="3198" priority="3199" operator="lessThan">
      <formula>0.8</formula>
    </cfRule>
    <cfRule type="cellIs" dxfId="3197" priority="3200" operator="greaterThan">
      <formula>1</formula>
    </cfRule>
  </conditionalFormatting>
  <conditionalFormatting sqref="AG81 R80:R81">
    <cfRule type="cellIs" dxfId="3196" priority="3197" operator="greaterThan">
      <formula>1</formula>
    </cfRule>
    <cfRule type="cellIs" dxfId="3195" priority="3198" operator="lessThan">
      <formula>0.8</formula>
    </cfRule>
  </conditionalFormatting>
  <conditionalFormatting sqref="AH85">
    <cfRule type="cellIs" dxfId="3194" priority="3195" operator="lessThan">
      <formula>0.8</formula>
    </cfRule>
  </conditionalFormatting>
  <conditionalFormatting sqref="S85">
    <cfRule type="cellIs" dxfId="3193" priority="3194" operator="lessThan">
      <formula>0.8</formula>
    </cfRule>
  </conditionalFormatting>
  <conditionalFormatting sqref="AF106:AF107">
    <cfRule type="cellIs" dxfId="3192" priority="3193" operator="lessThan">
      <formula>0</formula>
    </cfRule>
  </conditionalFormatting>
  <conditionalFormatting sqref="AH100:AH107">
    <cfRule type="cellIs" dxfId="3191" priority="3192" operator="lessThan">
      <formula>0.8</formula>
    </cfRule>
  </conditionalFormatting>
  <conditionalFormatting sqref="AG106:AG107">
    <cfRule type="cellIs" dxfId="3190" priority="3190" operator="greaterThan">
      <formula>1</formula>
    </cfRule>
    <cfRule type="cellIs" dxfId="3189" priority="3191" operator="lessThan">
      <formula>0.8</formula>
    </cfRule>
  </conditionalFormatting>
  <conditionalFormatting sqref="P106:P107">
    <cfRule type="cellIs" dxfId="3188" priority="3184" operator="greaterThan">
      <formula>0</formula>
    </cfRule>
  </conditionalFormatting>
  <conditionalFormatting sqref="Q106:Q107">
    <cfRule type="cellIs" dxfId="3187" priority="3189" operator="lessThan">
      <formula>0</formula>
    </cfRule>
  </conditionalFormatting>
  <conditionalFormatting sqref="R106:R107">
    <cfRule type="cellIs" dxfId="3186" priority="3187" operator="lessThan">
      <formula>0.8</formula>
    </cfRule>
    <cfRule type="cellIs" dxfId="3185" priority="3188" operator="greaterThan">
      <formula>1</formula>
    </cfRule>
  </conditionalFormatting>
  <conditionalFormatting sqref="R106:R107">
    <cfRule type="cellIs" dxfId="3184" priority="3185" operator="greaterThan">
      <formula>1</formula>
    </cfRule>
    <cfRule type="cellIs" dxfId="3183" priority="3186" operator="lessThan">
      <formula>0.8</formula>
    </cfRule>
  </conditionalFormatting>
  <conditionalFormatting sqref="AF109">
    <cfRule type="cellIs" dxfId="3182" priority="3183" operator="lessThan">
      <formula>0</formula>
    </cfRule>
  </conditionalFormatting>
  <conditionalFormatting sqref="S109">
    <cfRule type="cellIs" dxfId="3181" priority="3182" operator="lessThan">
      <formula>0.8</formula>
    </cfRule>
  </conditionalFormatting>
  <conditionalFormatting sqref="AG109">
    <cfRule type="cellIs" dxfId="3180" priority="3180" operator="greaterThan">
      <formula>1</formula>
    </cfRule>
    <cfRule type="cellIs" dxfId="3179" priority="3181" operator="lessThan">
      <formula>0.8</formula>
    </cfRule>
  </conditionalFormatting>
  <conditionalFormatting sqref="S150">
    <cfRule type="cellIs" dxfId="3178" priority="3179" operator="lessThan">
      <formula>0.8</formula>
    </cfRule>
  </conditionalFormatting>
  <conditionalFormatting sqref="AH150">
    <cfRule type="cellIs" dxfId="3177" priority="3178" operator="lessThan">
      <formula>0.8</formula>
    </cfRule>
  </conditionalFormatting>
  <conditionalFormatting sqref="S149">
    <cfRule type="cellIs" dxfId="3176" priority="3177" operator="lessThan">
      <formula>0.8</formula>
    </cfRule>
  </conditionalFormatting>
  <conditionalFormatting sqref="Q26:Q29">
    <cfRule type="cellIs" dxfId="3175" priority="3176" operator="lessThan">
      <formula>0</formula>
    </cfRule>
  </conditionalFormatting>
  <conditionalFormatting sqref="S21:S29 AH21:AH29">
    <cfRule type="cellIs" dxfId="3174" priority="3175" operator="lessThan">
      <formula>0.8</formula>
    </cfRule>
  </conditionalFormatting>
  <conditionalFormatting sqref="R26:R29">
    <cfRule type="cellIs" dxfId="3173" priority="3173" operator="lessThan">
      <formula>0.8</formula>
    </cfRule>
    <cfRule type="cellIs" dxfId="3172" priority="3174" operator="greaterThan">
      <formula>1</formula>
    </cfRule>
  </conditionalFormatting>
  <conditionalFormatting sqref="R26:R29">
    <cfRule type="cellIs" dxfId="3171" priority="3171" operator="greaterThan">
      <formula>1</formula>
    </cfRule>
    <cfRule type="cellIs" dxfId="3170" priority="3172" operator="lessThan">
      <formula>0.8</formula>
    </cfRule>
  </conditionalFormatting>
  <conditionalFormatting sqref="P26:P29">
    <cfRule type="cellIs" dxfId="3169" priority="3170" operator="greaterThan">
      <formula>0</formula>
    </cfRule>
  </conditionalFormatting>
  <conditionalFormatting sqref="AH91 S91">
    <cfRule type="cellIs" dxfId="3168" priority="3169" operator="lessThan">
      <formula>0.8</formula>
    </cfRule>
  </conditionalFormatting>
  <conditionalFormatting sqref="P92:P94">
    <cfRule type="cellIs" dxfId="3167" priority="3163" operator="greaterThan">
      <formula>0</formula>
    </cfRule>
  </conditionalFormatting>
  <conditionalFormatting sqref="Q92:Q94">
    <cfRule type="cellIs" dxfId="3166" priority="3168" operator="lessThan">
      <formula>0</formula>
    </cfRule>
  </conditionalFormatting>
  <conditionalFormatting sqref="R92:R94">
    <cfRule type="cellIs" dxfId="3165" priority="3166" operator="lessThan">
      <formula>0.8</formula>
    </cfRule>
    <cfRule type="cellIs" dxfId="3164" priority="3167" operator="greaterThan">
      <formula>1</formula>
    </cfRule>
  </conditionalFormatting>
  <conditionalFormatting sqref="R92:R94">
    <cfRule type="cellIs" dxfId="3163" priority="3164" operator="greaterThan">
      <formula>1</formula>
    </cfRule>
    <cfRule type="cellIs" dxfId="3162" priority="3165" operator="lessThan">
      <formula>0.8</formula>
    </cfRule>
  </conditionalFormatting>
  <conditionalFormatting sqref="AF146 Q145:Q146">
    <cfRule type="cellIs" dxfId="3161" priority="3162" operator="lessThan">
      <formula>0</formula>
    </cfRule>
  </conditionalFormatting>
  <conditionalFormatting sqref="AH139:AH146 S139:S146">
    <cfRule type="cellIs" dxfId="3160" priority="3161" operator="lessThan">
      <formula>0.8</formula>
    </cfRule>
  </conditionalFormatting>
  <conditionalFormatting sqref="R145:R146">
    <cfRule type="cellIs" dxfId="3159" priority="3159" operator="lessThan">
      <formula>0.8</formula>
    </cfRule>
    <cfRule type="cellIs" dxfId="3158" priority="3160" operator="greaterThan">
      <formula>1</formula>
    </cfRule>
  </conditionalFormatting>
  <conditionalFormatting sqref="AG146 R145:R146">
    <cfRule type="cellIs" dxfId="3157" priority="3157" operator="greaterThan">
      <formula>1</formula>
    </cfRule>
    <cfRule type="cellIs" dxfId="3156" priority="3158" operator="lessThan">
      <formula>0.8</formula>
    </cfRule>
  </conditionalFormatting>
  <conditionalFormatting sqref="P145:P146">
    <cfRule type="cellIs" dxfId="3155" priority="3156" operator="greaterThan">
      <formula>0</formula>
    </cfRule>
  </conditionalFormatting>
  <conditionalFormatting sqref="Q119:Q120">
    <cfRule type="cellIs" dxfId="3154" priority="3155" operator="lessThan">
      <formula>0</formula>
    </cfRule>
  </conditionalFormatting>
  <conditionalFormatting sqref="R119:R120">
    <cfRule type="cellIs" dxfId="3153" priority="3153" operator="lessThan">
      <formula>0.8</formula>
    </cfRule>
    <cfRule type="cellIs" dxfId="3152" priority="3154" operator="greaterThan">
      <formula>1</formula>
    </cfRule>
  </conditionalFormatting>
  <conditionalFormatting sqref="R119:R120">
    <cfRule type="cellIs" dxfId="3151" priority="3151" operator="greaterThan">
      <formula>1</formula>
    </cfRule>
    <cfRule type="cellIs" dxfId="3150" priority="3152" operator="lessThan">
      <formula>0.8</formula>
    </cfRule>
  </conditionalFormatting>
  <conditionalFormatting sqref="P119:P120">
    <cfRule type="cellIs" dxfId="3149" priority="3150" operator="greaterThan">
      <formula>0</formula>
    </cfRule>
  </conditionalFormatting>
  <conditionalFormatting sqref="AF118:AF120">
    <cfRule type="cellIs" dxfId="3148" priority="3149" operator="lessThan">
      <formula>0</formula>
    </cfRule>
  </conditionalFormatting>
  <conditionalFormatting sqref="AG118:AG120">
    <cfRule type="cellIs" dxfId="3147" priority="3147" operator="greaterThan">
      <formula>1</formula>
    </cfRule>
    <cfRule type="cellIs" dxfId="3146" priority="3148" operator="lessThan">
      <formula>0.8</formula>
    </cfRule>
  </conditionalFormatting>
  <conditionalFormatting sqref="S44:S56">
    <cfRule type="cellIs" dxfId="3145" priority="3146" operator="lessThan">
      <formula>0.8</formula>
    </cfRule>
  </conditionalFormatting>
  <conditionalFormatting sqref="S108">
    <cfRule type="cellIs" dxfId="3144" priority="3145" operator="lessThan">
      <formula>0.8</formula>
    </cfRule>
  </conditionalFormatting>
  <conditionalFormatting sqref="S96">
    <cfRule type="cellIs" dxfId="3143" priority="3144" operator="lessThan">
      <formula>0.8</formula>
    </cfRule>
  </conditionalFormatting>
  <conditionalFormatting sqref="S97">
    <cfRule type="cellIs" dxfId="3142" priority="3143" operator="lessThan">
      <formula>0.8</formula>
    </cfRule>
  </conditionalFormatting>
  <conditionalFormatting sqref="S103">
    <cfRule type="cellIs" dxfId="3141" priority="3142" operator="lessThan">
      <formula>0.8</formula>
    </cfRule>
  </conditionalFormatting>
  <conditionalFormatting sqref="S99">
    <cfRule type="cellIs" dxfId="3140" priority="3141" operator="lessThan">
      <formula>0.8</formula>
    </cfRule>
  </conditionalFormatting>
  <conditionalFormatting sqref="S101">
    <cfRule type="cellIs" dxfId="3139" priority="3138" operator="lessThan">
      <formula>0.8</formula>
    </cfRule>
  </conditionalFormatting>
  <conditionalFormatting sqref="S100">
    <cfRule type="cellIs" dxfId="3138" priority="3140" operator="lessThan">
      <formula>0.8</formula>
    </cfRule>
  </conditionalFormatting>
  <conditionalFormatting sqref="S102">
    <cfRule type="cellIs" dxfId="3137" priority="3139" operator="lessThan">
      <formula>0.8</formula>
    </cfRule>
  </conditionalFormatting>
  <conditionalFormatting sqref="S98">
    <cfRule type="cellIs" dxfId="3136" priority="3137" operator="lessThan">
      <formula>0.8</formula>
    </cfRule>
  </conditionalFormatting>
  <conditionalFormatting sqref="S104">
    <cfRule type="cellIs" dxfId="3135" priority="3136" operator="lessThan">
      <formula>0.8</formula>
    </cfRule>
  </conditionalFormatting>
  <conditionalFormatting sqref="P118">
    <cfRule type="cellIs" dxfId="3134" priority="3130" operator="greaterThan">
      <formula>0</formula>
    </cfRule>
  </conditionalFormatting>
  <conditionalFormatting sqref="Q118">
    <cfRule type="cellIs" dxfId="3133" priority="3135" operator="lessThan">
      <formula>0</formula>
    </cfRule>
  </conditionalFormatting>
  <conditionalFormatting sqref="R118">
    <cfRule type="cellIs" dxfId="3132" priority="3133" operator="lessThan">
      <formula>0.8</formula>
    </cfRule>
    <cfRule type="cellIs" dxfId="3131" priority="3134" operator="greaterThan">
      <formula>1</formula>
    </cfRule>
  </conditionalFormatting>
  <conditionalFormatting sqref="R118">
    <cfRule type="cellIs" dxfId="3130" priority="3131" operator="greaterThan">
      <formula>1</formula>
    </cfRule>
    <cfRule type="cellIs" dxfId="3129" priority="3132" operator="lessThan">
      <formula>0.8</formula>
    </cfRule>
  </conditionalFormatting>
  <conditionalFormatting sqref="Q162:Q166">
    <cfRule type="cellIs" dxfId="3128" priority="3129" operator="lessThan">
      <formula>0</formula>
    </cfRule>
  </conditionalFormatting>
  <conditionalFormatting sqref="R162:R166">
    <cfRule type="cellIs" dxfId="3127" priority="3127" operator="lessThan">
      <formula>0.8</formula>
    </cfRule>
    <cfRule type="cellIs" dxfId="3126" priority="3128" operator="greaterThan">
      <formula>1</formula>
    </cfRule>
  </conditionalFormatting>
  <conditionalFormatting sqref="R162:R166">
    <cfRule type="cellIs" dxfId="3125" priority="3125" operator="greaterThan">
      <formula>1</formula>
    </cfRule>
    <cfRule type="cellIs" dxfId="3124" priority="3126" operator="lessThan">
      <formula>0.8</formula>
    </cfRule>
  </conditionalFormatting>
  <conditionalFormatting sqref="P162:P166">
    <cfRule type="cellIs" dxfId="3123" priority="3124" operator="greaterThan">
      <formula>0</formula>
    </cfRule>
  </conditionalFormatting>
  <conditionalFormatting sqref="P167:P168">
    <cfRule type="cellIs" dxfId="3122" priority="3118" operator="greaterThan">
      <formula>0</formula>
    </cfRule>
  </conditionalFormatting>
  <conditionalFormatting sqref="R167:R168">
    <cfRule type="cellIs" dxfId="3121" priority="3121" operator="lessThan">
      <formula>0.8</formula>
    </cfRule>
    <cfRule type="cellIs" dxfId="3120" priority="3122" operator="greaterThan">
      <formula>1</formula>
    </cfRule>
  </conditionalFormatting>
  <conditionalFormatting sqref="R167:R168">
    <cfRule type="cellIs" dxfId="3119" priority="3119" operator="greaterThan">
      <formula>1</formula>
    </cfRule>
    <cfRule type="cellIs" dxfId="3118" priority="3120" operator="lessThan">
      <formula>0.8</formula>
    </cfRule>
  </conditionalFormatting>
  <conditionalFormatting sqref="Q167:Q168">
    <cfRule type="cellIs" dxfId="3117" priority="3123" operator="lessThan">
      <formula>0</formula>
    </cfRule>
  </conditionalFormatting>
  <conditionalFormatting sqref="Q117">
    <cfRule type="cellIs" dxfId="3116" priority="3117" operator="lessThan">
      <formula>0</formula>
    </cfRule>
  </conditionalFormatting>
  <conditionalFormatting sqref="R117">
    <cfRule type="cellIs" dxfId="3115" priority="3115" operator="lessThan">
      <formula>0.8</formula>
    </cfRule>
    <cfRule type="cellIs" dxfId="3114" priority="3116" operator="greaterThan">
      <formula>1</formula>
    </cfRule>
  </conditionalFormatting>
  <conditionalFormatting sqref="R117">
    <cfRule type="cellIs" dxfId="3113" priority="3113" operator="greaterThan">
      <formula>1</formula>
    </cfRule>
    <cfRule type="cellIs" dxfId="3112" priority="3114" operator="lessThan">
      <formula>0.8</formula>
    </cfRule>
  </conditionalFormatting>
  <conditionalFormatting sqref="P117">
    <cfRule type="cellIs" dxfId="3111" priority="3112" operator="greaterThan">
      <formula>0</formula>
    </cfRule>
  </conditionalFormatting>
  <conditionalFormatting sqref="Q117">
    <cfRule type="cellIs" dxfId="3110" priority="3111" operator="lessThan">
      <formula>0</formula>
    </cfRule>
  </conditionalFormatting>
  <conditionalFormatting sqref="R117">
    <cfRule type="cellIs" dxfId="3109" priority="3109" operator="lessThan">
      <formula>0.8</formula>
    </cfRule>
    <cfRule type="cellIs" dxfId="3108" priority="3110" operator="greaterThan">
      <formula>1</formula>
    </cfRule>
  </conditionalFormatting>
  <conditionalFormatting sqref="R117">
    <cfRule type="cellIs" dxfId="3107" priority="3107" operator="greaterThan">
      <formula>1</formula>
    </cfRule>
    <cfRule type="cellIs" dxfId="3106" priority="3108" operator="lessThan">
      <formula>0.8</formula>
    </cfRule>
  </conditionalFormatting>
  <conditionalFormatting sqref="P117">
    <cfRule type="cellIs" dxfId="3105" priority="3106" operator="greaterThan">
      <formula>0</formula>
    </cfRule>
  </conditionalFormatting>
  <conditionalFormatting sqref="P117">
    <cfRule type="cellIs" dxfId="3104" priority="3100" operator="greaterThan">
      <formula>0</formula>
    </cfRule>
  </conditionalFormatting>
  <conditionalFormatting sqref="Q117">
    <cfRule type="cellIs" dxfId="3103" priority="3105" operator="lessThan">
      <formula>0</formula>
    </cfRule>
  </conditionalFormatting>
  <conditionalFormatting sqref="R117">
    <cfRule type="cellIs" dxfId="3102" priority="3103" operator="lessThan">
      <formula>0.8</formula>
    </cfRule>
    <cfRule type="cellIs" dxfId="3101" priority="3104" operator="greaterThan">
      <formula>1</formula>
    </cfRule>
  </conditionalFormatting>
  <conditionalFormatting sqref="R117">
    <cfRule type="cellIs" dxfId="3100" priority="3101" operator="greaterThan">
      <formula>1</formula>
    </cfRule>
    <cfRule type="cellIs" dxfId="3099" priority="3102" operator="lessThan">
      <formula>0.8</formula>
    </cfRule>
  </conditionalFormatting>
  <conditionalFormatting sqref="P117">
    <cfRule type="cellIs" dxfId="3098" priority="3094" operator="greaterThan">
      <formula>0</formula>
    </cfRule>
  </conditionalFormatting>
  <conditionalFormatting sqref="Q117">
    <cfRule type="cellIs" dxfId="3097" priority="3099" operator="lessThan">
      <formula>0</formula>
    </cfRule>
  </conditionalFormatting>
  <conditionalFormatting sqref="R117">
    <cfRule type="cellIs" dxfId="3096" priority="3097" operator="lessThan">
      <formula>0.8</formula>
    </cfRule>
    <cfRule type="cellIs" dxfId="3095" priority="3098" operator="greaterThan">
      <formula>1</formula>
    </cfRule>
  </conditionalFormatting>
  <conditionalFormatting sqref="R117">
    <cfRule type="cellIs" dxfId="3094" priority="3095" operator="greaterThan">
      <formula>1</formula>
    </cfRule>
    <cfRule type="cellIs" dxfId="3093" priority="3096" operator="lessThan">
      <formula>0.8</formula>
    </cfRule>
  </conditionalFormatting>
  <conditionalFormatting sqref="P117">
    <cfRule type="cellIs" dxfId="3092" priority="3088" operator="greaterThan">
      <formula>0</formula>
    </cfRule>
  </conditionalFormatting>
  <conditionalFormatting sqref="Q117">
    <cfRule type="cellIs" dxfId="3091" priority="3093" operator="lessThan">
      <formula>0</formula>
    </cfRule>
  </conditionalFormatting>
  <conditionalFormatting sqref="R117">
    <cfRule type="cellIs" dxfId="3090" priority="3091" operator="lessThan">
      <formula>0.8</formula>
    </cfRule>
    <cfRule type="cellIs" dxfId="3089" priority="3092" operator="greaterThan">
      <formula>1</formula>
    </cfRule>
  </conditionalFormatting>
  <conditionalFormatting sqref="R117">
    <cfRule type="cellIs" dxfId="3088" priority="3089" operator="greaterThan">
      <formula>1</formula>
    </cfRule>
    <cfRule type="cellIs" dxfId="3087" priority="3090" operator="lessThan">
      <formula>0.8</formula>
    </cfRule>
  </conditionalFormatting>
  <conditionalFormatting sqref="Q117">
    <cfRule type="cellIs" dxfId="3086" priority="3087" operator="lessThan">
      <formula>0</formula>
    </cfRule>
  </conditionalFormatting>
  <conditionalFormatting sqref="R117">
    <cfRule type="cellIs" dxfId="3085" priority="3085" operator="lessThan">
      <formula>0.8</formula>
    </cfRule>
    <cfRule type="cellIs" dxfId="3084" priority="3086" operator="greaterThan">
      <formula>1</formula>
    </cfRule>
  </conditionalFormatting>
  <conditionalFormatting sqref="R117">
    <cfRule type="cellIs" dxfId="3083" priority="3083" operator="greaterThan">
      <formula>1</formula>
    </cfRule>
    <cfRule type="cellIs" dxfId="3082" priority="3084" operator="lessThan">
      <formula>0.8</formula>
    </cfRule>
  </conditionalFormatting>
  <conditionalFormatting sqref="P117">
    <cfRule type="cellIs" dxfId="3081" priority="3082" operator="greaterThan">
      <formula>0</formula>
    </cfRule>
  </conditionalFormatting>
  <conditionalFormatting sqref="P117">
    <cfRule type="cellIs" dxfId="3080" priority="3076" operator="greaterThan">
      <formula>0</formula>
    </cfRule>
  </conditionalFormatting>
  <conditionalFormatting sqref="Q117">
    <cfRule type="cellIs" dxfId="3079" priority="3081" operator="lessThan">
      <formula>0</formula>
    </cfRule>
  </conditionalFormatting>
  <conditionalFormatting sqref="R117">
    <cfRule type="cellIs" dxfId="3078" priority="3079" operator="lessThan">
      <formula>0.8</formula>
    </cfRule>
    <cfRule type="cellIs" dxfId="3077" priority="3080" operator="greaterThan">
      <formula>1</formula>
    </cfRule>
  </conditionalFormatting>
  <conditionalFormatting sqref="R117">
    <cfRule type="cellIs" dxfId="3076" priority="3077" operator="greaterThan">
      <formula>1</formula>
    </cfRule>
    <cfRule type="cellIs" dxfId="3075" priority="3078" operator="lessThan">
      <formula>0.8</formula>
    </cfRule>
  </conditionalFormatting>
  <conditionalFormatting sqref="P117">
    <cfRule type="cellIs" dxfId="3074" priority="3070" operator="greaterThan">
      <formula>0</formula>
    </cfRule>
  </conditionalFormatting>
  <conditionalFormatting sqref="Q117">
    <cfRule type="cellIs" dxfId="3073" priority="3075" operator="lessThan">
      <formula>0</formula>
    </cfRule>
  </conditionalFormatting>
  <conditionalFormatting sqref="R117">
    <cfRule type="cellIs" dxfId="3072" priority="3073" operator="lessThan">
      <formula>0.8</formula>
    </cfRule>
    <cfRule type="cellIs" dxfId="3071" priority="3074" operator="greaterThan">
      <formula>1</formula>
    </cfRule>
  </conditionalFormatting>
  <conditionalFormatting sqref="R117">
    <cfRule type="cellIs" dxfId="3070" priority="3071" operator="greaterThan">
      <formula>1</formula>
    </cfRule>
    <cfRule type="cellIs" dxfId="3069" priority="3072" operator="lessThan">
      <formula>0.8</formula>
    </cfRule>
  </conditionalFormatting>
  <conditionalFormatting sqref="Q117">
    <cfRule type="cellIs" dxfId="3068" priority="3069" operator="lessThan">
      <formula>0</formula>
    </cfRule>
  </conditionalFormatting>
  <conditionalFormatting sqref="R117">
    <cfRule type="cellIs" dxfId="3067" priority="3067" operator="lessThan">
      <formula>0.8</formula>
    </cfRule>
    <cfRule type="cellIs" dxfId="3066" priority="3068" operator="greaterThan">
      <formula>1</formula>
    </cfRule>
  </conditionalFormatting>
  <conditionalFormatting sqref="R117">
    <cfRule type="cellIs" dxfId="3065" priority="3065" operator="greaterThan">
      <formula>1</formula>
    </cfRule>
    <cfRule type="cellIs" dxfId="3064" priority="3066" operator="lessThan">
      <formula>0.8</formula>
    </cfRule>
  </conditionalFormatting>
  <conditionalFormatting sqref="P117">
    <cfRule type="cellIs" dxfId="3063" priority="3064" operator="greaterThan">
      <formula>0</formula>
    </cfRule>
  </conditionalFormatting>
  <conditionalFormatting sqref="P117">
    <cfRule type="cellIs" dxfId="3062" priority="3058" operator="greaterThan">
      <formula>0</formula>
    </cfRule>
  </conditionalFormatting>
  <conditionalFormatting sqref="Q117">
    <cfRule type="cellIs" dxfId="3061" priority="3063" operator="lessThan">
      <formula>0</formula>
    </cfRule>
  </conditionalFormatting>
  <conditionalFormatting sqref="R117">
    <cfRule type="cellIs" dxfId="3060" priority="3061" operator="lessThan">
      <formula>0.8</formula>
    </cfRule>
    <cfRule type="cellIs" dxfId="3059" priority="3062" operator="greaterThan">
      <formula>1</formula>
    </cfRule>
  </conditionalFormatting>
  <conditionalFormatting sqref="R117">
    <cfRule type="cellIs" dxfId="3058" priority="3059" operator="greaterThan">
      <formula>1</formula>
    </cfRule>
    <cfRule type="cellIs" dxfId="3057" priority="3060" operator="lessThan">
      <formula>0.8</formula>
    </cfRule>
  </conditionalFormatting>
  <conditionalFormatting sqref="Q117">
    <cfRule type="cellIs" dxfId="3056" priority="3057" operator="lessThan">
      <formula>0</formula>
    </cfRule>
  </conditionalFormatting>
  <conditionalFormatting sqref="R117">
    <cfRule type="cellIs" dxfId="3055" priority="3055" operator="lessThan">
      <formula>0.8</formula>
    </cfRule>
    <cfRule type="cellIs" dxfId="3054" priority="3056" operator="greaterThan">
      <formula>1</formula>
    </cfRule>
  </conditionalFormatting>
  <conditionalFormatting sqref="R117">
    <cfRule type="cellIs" dxfId="3053" priority="3053" operator="greaterThan">
      <formula>1</formula>
    </cfRule>
    <cfRule type="cellIs" dxfId="3052" priority="3054" operator="lessThan">
      <formula>0.8</formula>
    </cfRule>
  </conditionalFormatting>
  <conditionalFormatting sqref="P117">
    <cfRule type="cellIs" dxfId="3051" priority="3052" operator="greaterThan">
      <formula>0</formula>
    </cfRule>
  </conditionalFormatting>
  <conditionalFormatting sqref="Q117">
    <cfRule type="cellIs" dxfId="3050" priority="3051" operator="lessThan">
      <formula>0</formula>
    </cfRule>
  </conditionalFormatting>
  <conditionalFormatting sqref="R117">
    <cfRule type="cellIs" dxfId="3049" priority="3049" operator="lessThan">
      <formula>0.8</formula>
    </cfRule>
    <cfRule type="cellIs" dxfId="3048" priority="3050" operator="greaterThan">
      <formula>1</formula>
    </cfRule>
  </conditionalFormatting>
  <conditionalFormatting sqref="R117">
    <cfRule type="cellIs" dxfId="3047" priority="3047" operator="greaterThan">
      <formula>1</formula>
    </cfRule>
    <cfRule type="cellIs" dxfId="3046" priority="3048" operator="lessThan">
      <formula>0.8</formula>
    </cfRule>
  </conditionalFormatting>
  <conditionalFormatting sqref="P117">
    <cfRule type="cellIs" dxfId="3045" priority="3046" operator="greaterThan">
      <formula>0</formula>
    </cfRule>
  </conditionalFormatting>
  <conditionalFormatting sqref="Q83">
    <cfRule type="cellIs" dxfId="3044" priority="3045" operator="lessThan">
      <formula>0</formula>
    </cfRule>
  </conditionalFormatting>
  <conditionalFormatting sqref="R83">
    <cfRule type="cellIs" dxfId="3043" priority="3043" operator="lessThan">
      <formula>0.8</formula>
    </cfRule>
    <cfRule type="cellIs" dxfId="3042" priority="3044" operator="greaterThan">
      <formula>1</formula>
    </cfRule>
  </conditionalFormatting>
  <conditionalFormatting sqref="R83">
    <cfRule type="cellIs" dxfId="3041" priority="3041" operator="greaterThan">
      <formula>1</formula>
    </cfRule>
    <cfRule type="cellIs" dxfId="3040" priority="3042" operator="lessThan">
      <formula>0.8</formula>
    </cfRule>
  </conditionalFormatting>
  <conditionalFormatting sqref="P83">
    <cfRule type="cellIs" dxfId="3039" priority="3040" operator="greaterThan">
      <formula>0</formula>
    </cfRule>
  </conditionalFormatting>
  <conditionalFormatting sqref="Q83">
    <cfRule type="cellIs" dxfId="3038" priority="3039" operator="lessThan">
      <formula>0</formula>
    </cfRule>
  </conditionalFormatting>
  <conditionalFormatting sqref="R83">
    <cfRule type="cellIs" dxfId="3037" priority="3037" operator="lessThan">
      <formula>0.8</formula>
    </cfRule>
    <cfRule type="cellIs" dxfId="3036" priority="3038" operator="greaterThan">
      <formula>1</formula>
    </cfRule>
  </conditionalFormatting>
  <conditionalFormatting sqref="R83">
    <cfRule type="cellIs" dxfId="3035" priority="3035" operator="greaterThan">
      <formula>1</formula>
    </cfRule>
    <cfRule type="cellIs" dxfId="3034" priority="3036" operator="lessThan">
      <formula>0.8</formula>
    </cfRule>
  </conditionalFormatting>
  <conditionalFormatting sqref="P83">
    <cfRule type="cellIs" dxfId="3033" priority="3034" operator="greaterThan">
      <formula>0</formula>
    </cfRule>
  </conditionalFormatting>
  <conditionalFormatting sqref="Q83">
    <cfRule type="cellIs" dxfId="3032" priority="3033" operator="lessThan">
      <formula>0</formula>
    </cfRule>
  </conditionalFormatting>
  <conditionalFormatting sqref="R83">
    <cfRule type="cellIs" dxfId="3031" priority="3031" operator="lessThan">
      <formula>0.8</formula>
    </cfRule>
    <cfRule type="cellIs" dxfId="3030" priority="3032" operator="greaterThan">
      <formula>1</formula>
    </cfRule>
  </conditionalFormatting>
  <conditionalFormatting sqref="R83">
    <cfRule type="cellIs" dxfId="3029" priority="3029" operator="greaterThan">
      <formula>1</formula>
    </cfRule>
    <cfRule type="cellIs" dxfId="3028" priority="3030" operator="lessThan">
      <formula>0.8</formula>
    </cfRule>
  </conditionalFormatting>
  <conditionalFormatting sqref="P83">
    <cfRule type="cellIs" dxfId="3027" priority="3028" operator="greaterThan">
      <formula>0</formula>
    </cfRule>
  </conditionalFormatting>
  <conditionalFormatting sqref="Q83">
    <cfRule type="cellIs" dxfId="3026" priority="3027" operator="lessThan">
      <formula>0</formula>
    </cfRule>
  </conditionalFormatting>
  <conditionalFormatting sqref="R83">
    <cfRule type="cellIs" dxfId="3025" priority="3025" operator="lessThan">
      <formula>0.8</formula>
    </cfRule>
    <cfRule type="cellIs" dxfId="3024" priority="3026" operator="greaterThan">
      <formula>1</formula>
    </cfRule>
  </conditionalFormatting>
  <conditionalFormatting sqref="R83">
    <cfRule type="cellIs" dxfId="3023" priority="3023" operator="greaterThan">
      <formula>1</formula>
    </cfRule>
    <cfRule type="cellIs" dxfId="3022" priority="3024" operator="lessThan">
      <formula>0.8</formula>
    </cfRule>
  </conditionalFormatting>
  <conditionalFormatting sqref="P83">
    <cfRule type="cellIs" dxfId="3021" priority="3022" operator="greaterThan">
      <formula>0</formula>
    </cfRule>
  </conditionalFormatting>
  <conditionalFormatting sqref="P83">
    <cfRule type="cellIs" dxfId="3020" priority="3016" operator="greaterThan">
      <formula>0</formula>
    </cfRule>
  </conditionalFormatting>
  <conditionalFormatting sqref="Q83">
    <cfRule type="cellIs" dxfId="3019" priority="3021" operator="lessThan">
      <formula>0</formula>
    </cfRule>
  </conditionalFormatting>
  <conditionalFormatting sqref="R83">
    <cfRule type="cellIs" dxfId="3018" priority="3019" operator="lessThan">
      <formula>0.8</formula>
    </cfRule>
    <cfRule type="cellIs" dxfId="3017" priority="3020" operator="greaterThan">
      <formula>1</formula>
    </cfRule>
  </conditionalFormatting>
  <conditionalFormatting sqref="R83">
    <cfRule type="cellIs" dxfId="3016" priority="3017" operator="greaterThan">
      <formula>1</formula>
    </cfRule>
    <cfRule type="cellIs" dxfId="3015" priority="3018" operator="lessThan">
      <formula>0.8</formula>
    </cfRule>
  </conditionalFormatting>
  <conditionalFormatting sqref="P83">
    <cfRule type="cellIs" dxfId="3014" priority="3010" operator="greaterThan">
      <formula>0</formula>
    </cfRule>
  </conditionalFormatting>
  <conditionalFormatting sqref="Q83">
    <cfRule type="cellIs" dxfId="3013" priority="3015" operator="lessThan">
      <formula>0</formula>
    </cfRule>
  </conditionalFormatting>
  <conditionalFormatting sqref="R83">
    <cfRule type="cellIs" dxfId="3012" priority="3013" operator="lessThan">
      <formula>0.8</formula>
    </cfRule>
    <cfRule type="cellIs" dxfId="3011" priority="3014" operator="greaterThan">
      <formula>1</formula>
    </cfRule>
  </conditionalFormatting>
  <conditionalFormatting sqref="R83">
    <cfRule type="cellIs" dxfId="3010" priority="3011" operator="greaterThan">
      <formula>1</formula>
    </cfRule>
    <cfRule type="cellIs" dxfId="3009" priority="3012" operator="lessThan">
      <formula>0.8</formula>
    </cfRule>
  </conditionalFormatting>
  <conditionalFormatting sqref="R83">
    <cfRule type="cellIs" dxfId="3008" priority="3007" operator="lessThan">
      <formula>0.8</formula>
    </cfRule>
    <cfRule type="cellIs" dxfId="3007" priority="3008" operator="greaterThan">
      <formula>1</formula>
    </cfRule>
  </conditionalFormatting>
  <conditionalFormatting sqref="R83">
    <cfRule type="cellIs" dxfId="3006" priority="3005" operator="greaterThan">
      <formula>1</formula>
    </cfRule>
    <cfRule type="cellIs" dxfId="3005" priority="3006" operator="lessThan">
      <formula>0.8</formula>
    </cfRule>
  </conditionalFormatting>
  <conditionalFormatting sqref="P83">
    <cfRule type="cellIs" dxfId="3004" priority="3004" operator="greaterThan">
      <formula>0</formula>
    </cfRule>
  </conditionalFormatting>
  <conditionalFormatting sqref="Q83">
    <cfRule type="cellIs" dxfId="3003" priority="3009" operator="lessThan">
      <formula>0</formula>
    </cfRule>
  </conditionalFormatting>
  <conditionalFormatting sqref="Q83">
    <cfRule type="cellIs" dxfId="3002" priority="3003" operator="lessThan">
      <formula>0</formula>
    </cfRule>
  </conditionalFormatting>
  <conditionalFormatting sqref="R83">
    <cfRule type="cellIs" dxfId="3001" priority="3001" operator="lessThan">
      <formula>0.8</formula>
    </cfRule>
    <cfRule type="cellIs" dxfId="3000" priority="3002" operator="greaterThan">
      <formula>1</formula>
    </cfRule>
  </conditionalFormatting>
  <conditionalFormatting sqref="R83">
    <cfRule type="cellIs" dxfId="2999" priority="2999" operator="greaterThan">
      <formula>1</formula>
    </cfRule>
    <cfRule type="cellIs" dxfId="2998" priority="3000" operator="lessThan">
      <formula>0.8</formula>
    </cfRule>
  </conditionalFormatting>
  <conditionalFormatting sqref="P83">
    <cfRule type="cellIs" dxfId="2997" priority="2998" operator="greaterThan">
      <formula>0</formula>
    </cfRule>
  </conditionalFormatting>
  <conditionalFormatting sqref="P83">
    <cfRule type="cellIs" dxfId="2996" priority="2992" operator="greaterThan">
      <formula>0</formula>
    </cfRule>
  </conditionalFormatting>
  <conditionalFormatting sqref="Q83">
    <cfRule type="cellIs" dxfId="2995" priority="2997" operator="lessThan">
      <formula>0</formula>
    </cfRule>
  </conditionalFormatting>
  <conditionalFormatting sqref="R83">
    <cfRule type="cellIs" dxfId="2994" priority="2995" operator="lessThan">
      <formula>0.8</formula>
    </cfRule>
    <cfRule type="cellIs" dxfId="2993" priority="2996" operator="greaterThan">
      <formula>1</formula>
    </cfRule>
  </conditionalFormatting>
  <conditionalFormatting sqref="R83">
    <cfRule type="cellIs" dxfId="2992" priority="2993" operator="greaterThan">
      <formula>1</formula>
    </cfRule>
    <cfRule type="cellIs" dxfId="2991" priority="2994" operator="lessThan">
      <formula>0.8</formula>
    </cfRule>
  </conditionalFormatting>
  <conditionalFormatting sqref="P83">
    <cfRule type="cellIs" dxfId="2990" priority="2986" operator="greaterThan">
      <formula>0</formula>
    </cfRule>
  </conditionalFormatting>
  <conditionalFormatting sqref="Q83">
    <cfRule type="cellIs" dxfId="2989" priority="2991" operator="lessThan">
      <formula>0</formula>
    </cfRule>
  </conditionalFormatting>
  <conditionalFormatting sqref="R83">
    <cfRule type="cellIs" dxfId="2988" priority="2989" operator="lessThan">
      <formula>0.8</formula>
    </cfRule>
    <cfRule type="cellIs" dxfId="2987" priority="2990" operator="greaterThan">
      <formula>1</formula>
    </cfRule>
  </conditionalFormatting>
  <conditionalFormatting sqref="R83">
    <cfRule type="cellIs" dxfId="2986" priority="2987" operator="greaterThan">
      <formula>1</formula>
    </cfRule>
    <cfRule type="cellIs" dxfId="2985" priority="2988" operator="lessThan">
      <formula>0.8</formula>
    </cfRule>
  </conditionalFormatting>
  <conditionalFormatting sqref="R83">
    <cfRule type="cellIs" dxfId="2984" priority="2983" operator="lessThan">
      <formula>0.8</formula>
    </cfRule>
    <cfRule type="cellIs" dxfId="2983" priority="2984" operator="greaterThan">
      <formula>1</formula>
    </cfRule>
  </conditionalFormatting>
  <conditionalFormatting sqref="R83">
    <cfRule type="cellIs" dxfId="2982" priority="2981" operator="greaterThan">
      <formula>1</formula>
    </cfRule>
    <cfRule type="cellIs" dxfId="2981" priority="2982" operator="lessThan">
      <formula>0.8</formula>
    </cfRule>
  </conditionalFormatting>
  <conditionalFormatting sqref="P83">
    <cfRule type="cellIs" dxfId="2980" priority="2980" operator="greaterThan">
      <formula>0</formula>
    </cfRule>
  </conditionalFormatting>
  <conditionalFormatting sqref="Q83">
    <cfRule type="cellIs" dxfId="2979" priority="2985" operator="lessThan">
      <formula>0</formula>
    </cfRule>
  </conditionalFormatting>
  <conditionalFormatting sqref="P83">
    <cfRule type="cellIs" dxfId="2978" priority="2974" operator="greaterThan">
      <formula>0</formula>
    </cfRule>
  </conditionalFormatting>
  <conditionalFormatting sqref="Q83">
    <cfRule type="cellIs" dxfId="2977" priority="2979" operator="lessThan">
      <formula>0</formula>
    </cfRule>
  </conditionalFormatting>
  <conditionalFormatting sqref="R83">
    <cfRule type="cellIs" dxfId="2976" priority="2977" operator="lessThan">
      <formula>0.8</formula>
    </cfRule>
    <cfRule type="cellIs" dxfId="2975" priority="2978" operator="greaterThan">
      <formula>1</formula>
    </cfRule>
  </conditionalFormatting>
  <conditionalFormatting sqref="R83">
    <cfRule type="cellIs" dxfId="2974" priority="2975" operator="greaterThan">
      <formula>1</formula>
    </cfRule>
    <cfRule type="cellIs" dxfId="2973" priority="2976" operator="lessThan">
      <formula>0.8</formula>
    </cfRule>
  </conditionalFormatting>
  <conditionalFormatting sqref="R83">
    <cfRule type="cellIs" dxfId="2972" priority="2971" operator="lessThan">
      <formula>0.8</formula>
    </cfRule>
    <cfRule type="cellIs" dxfId="2971" priority="2972" operator="greaterThan">
      <formula>1</formula>
    </cfRule>
  </conditionalFormatting>
  <conditionalFormatting sqref="R83">
    <cfRule type="cellIs" dxfId="2970" priority="2969" operator="greaterThan">
      <formula>1</formula>
    </cfRule>
    <cfRule type="cellIs" dxfId="2969" priority="2970" operator="lessThan">
      <formula>0.8</formula>
    </cfRule>
  </conditionalFormatting>
  <conditionalFormatting sqref="P83">
    <cfRule type="cellIs" dxfId="2968" priority="2968" operator="greaterThan">
      <formula>0</formula>
    </cfRule>
  </conditionalFormatting>
  <conditionalFormatting sqref="Q83">
    <cfRule type="cellIs" dxfId="2967" priority="2973" operator="lessThan">
      <formula>0</formula>
    </cfRule>
  </conditionalFormatting>
  <conditionalFormatting sqref="R83">
    <cfRule type="cellIs" dxfId="2966" priority="2965" operator="lessThan">
      <formula>0.8</formula>
    </cfRule>
    <cfRule type="cellIs" dxfId="2965" priority="2966" operator="greaterThan">
      <formula>1</formula>
    </cfRule>
  </conditionalFormatting>
  <conditionalFormatting sqref="R83">
    <cfRule type="cellIs" dxfId="2964" priority="2963" operator="greaterThan">
      <formula>1</formula>
    </cfRule>
    <cfRule type="cellIs" dxfId="2963" priority="2964" operator="lessThan">
      <formula>0.8</formula>
    </cfRule>
  </conditionalFormatting>
  <conditionalFormatting sqref="P83">
    <cfRule type="cellIs" dxfId="2962" priority="2962" operator="greaterThan">
      <formula>0</formula>
    </cfRule>
  </conditionalFormatting>
  <conditionalFormatting sqref="Q83">
    <cfRule type="cellIs" dxfId="2961" priority="2967" operator="lessThan">
      <formula>0</formula>
    </cfRule>
  </conditionalFormatting>
  <conditionalFormatting sqref="Q83">
    <cfRule type="cellIs" dxfId="2960" priority="2961" operator="lessThan">
      <formula>0</formula>
    </cfRule>
  </conditionalFormatting>
  <conditionalFormatting sqref="R83">
    <cfRule type="cellIs" dxfId="2959" priority="2959" operator="lessThan">
      <formula>0.8</formula>
    </cfRule>
    <cfRule type="cellIs" dxfId="2958" priority="2960" operator="greaterThan">
      <formula>1</formula>
    </cfRule>
  </conditionalFormatting>
  <conditionalFormatting sqref="R83">
    <cfRule type="cellIs" dxfId="2957" priority="2957" operator="greaterThan">
      <formula>1</formula>
    </cfRule>
    <cfRule type="cellIs" dxfId="2956" priority="2958" operator="lessThan">
      <formula>0.8</formula>
    </cfRule>
  </conditionalFormatting>
  <conditionalFormatting sqref="P83">
    <cfRule type="cellIs" dxfId="2955" priority="2956" operator="greaterThan">
      <formula>0</formula>
    </cfRule>
  </conditionalFormatting>
  <conditionalFormatting sqref="Q83">
    <cfRule type="cellIs" dxfId="2954" priority="2950" operator="lessThan">
      <formula>0</formula>
    </cfRule>
  </conditionalFormatting>
  <conditionalFormatting sqref="R83">
    <cfRule type="cellIs" dxfId="2953" priority="2954" operator="lessThan">
      <formula>0.8</formula>
    </cfRule>
    <cfRule type="cellIs" dxfId="2952" priority="2955" operator="greaterThan">
      <formula>1</formula>
    </cfRule>
  </conditionalFormatting>
  <conditionalFormatting sqref="R83">
    <cfRule type="cellIs" dxfId="2951" priority="2952" operator="greaterThan">
      <formula>1</formula>
    </cfRule>
    <cfRule type="cellIs" dxfId="2950" priority="2953" operator="lessThan">
      <formula>0.8</formula>
    </cfRule>
  </conditionalFormatting>
  <conditionalFormatting sqref="P83">
    <cfRule type="cellIs" dxfId="2949" priority="2951" operator="greaterThan">
      <formula>0</formula>
    </cfRule>
  </conditionalFormatting>
  <conditionalFormatting sqref="Q83">
    <cfRule type="cellIs" dxfId="2948" priority="2949" operator="lessThan">
      <formula>0</formula>
    </cfRule>
  </conditionalFormatting>
  <conditionalFormatting sqref="R83">
    <cfRule type="cellIs" dxfId="2947" priority="2947" operator="lessThan">
      <formula>0.8</formula>
    </cfRule>
    <cfRule type="cellIs" dxfId="2946" priority="2948" operator="greaterThan">
      <formula>1</formula>
    </cfRule>
  </conditionalFormatting>
  <conditionalFormatting sqref="R83">
    <cfRule type="cellIs" dxfId="2945" priority="2945" operator="greaterThan">
      <formula>1</formula>
    </cfRule>
    <cfRule type="cellIs" dxfId="2944" priority="2946" operator="lessThan">
      <formula>0.8</formula>
    </cfRule>
  </conditionalFormatting>
  <conditionalFormatting sqref="P83">
    <cfRule type="cellIs" dxfId="2943" priority="2944" operator="greaterThan">
      <formula>0</formula>
    </cfRule>
  </conditionalFormatting>
  <conditionalFormatting sqref="Q83">
    <cfRule type="cellIs" dxfId="2942" priority="2943" operator="lessThan">
      <formula>0</formula>
    </cfRule>
  </conditionalFormatting>
  <conditionalFormatting sqref="R83">
    <cfRule type="cellIs" dxfId="2941" priority="2941" operator="lessThan">
      <formula>0.8</formula>
    </cfRule>
    <cfRule type="cellIs" dxfId="2940" priority="2942" operator="greaterThan">
      <formula>1</formula>
    </cfRule>
  </conditionalFormatting>
  <conditionalFormatting sqref="R83">
    <cfRule type="cellIs" dxfId="2939" priority="2939" operator="greaterThan">
      <formula>1</formula>
    </cfRule>
    <cfRule type="cellIs" dxfId="2938" priority="2940" operator="lessThan">
      <formula>0.8</formula>
    </cfRule>
  </conditionalFormatting>
  <conditionalFormatting sqref="P83">
    <cfRule type="cellIs" dxfId="2937" priority="2938" operator="greaterThan">
      <formula>0</formula>
    </cfRule>
  </conditionalFormatting>
  <conditionalFormatting sqref="Q83">
    <cfRule type="cellIs" dxfId="2936" priority="2937" operator="lessThan">
      <formula>0</formula>
    </cfRule>
  </conditionalFormatting>
  <conditionalFormatting sqref="R83">
    <cfRule type="cellIs" dxfId="2935" priority="2935" operator="lessThan">
      <formula>0.8</formula>
    </cfRule>
    <cfRule type="cellIs" dxfId="2934" priority="2936" operator="greaterThan">
      <formula>1</formula>
    </cfRule>
  </conditionalFormatting>
  <conditionalFormatting sqref="R83">
    <cfRule type="cellIs" dxfId="2933" priority="2933" operator="greaterThan">
      <formula>1</formula>
    </cfRule>
    <cfRule type="cellIs" dxfId="2932" priority="2934" operator="lessThan">
      <formula>0.8</formula>
    </cfRule>
  </conditionalFormatting>
  <conditionalFormatting sqref="P83">
    <cfRule type="cellIs" dxfId="2931" priority="2932" operator="greaterThan">
      <formula>0</formula>
    </cfRule>
  </conditionalFormatting>
  <conditionalFormatting sqref="Q83">
    <cfRule type="cellIs" dxfId="2930" priority="2931" operator="lessThan">
      <formula>0</formula>
    </cfRule>
  </conditionalFormatting>
  <conditionalFormatting sqref="R83">
    <cfRule type="cellIs" dxfId="2929" priority="2929" operator="lessThan">
      <formula>0.8</formula>
    </cfRule>
    <cfRule type="cellIs" dxfId="2928" priority="2930" operator="greaterThan">
      <formula>1</formula>
    </cfRule>
  </conditionalFormatting>
  <conditionalFormatting sqref="R83">
    <cfRule type="cellIs" dxfId="2927" priority="2927" operator="greaterThan">
      <formula>1</formula>
    </cfRule>
    <cfRule type="cellIs" dxfId="2926" priority="2928" operator="lessThan">
      <formula>0.8</formula>
    </cfRule>
  </conditionalFormatting>
  <conditionalFormatting sqref="P83">
    <cfRule type="cellIs" dxfId="2925" priority="2926" operator="greaterThan">
      <formula>0</formula>
    </cfRule>
  </conditionalFormatting>
  <conditionalFormatting sqref="Q83">
    <cfRule type="cellIs" dxfId="2924" priority="2925" operator="lessThan">
      <formula>0</formula>
    </cfRule>
  </conditionalFormatting>
  <conditionalFormatting sqref="R83">
    <cfRule type="cellIs" dxfId="2923" priority="2923" operator="lessThan">
      <formula>0.8</formula>
    </cfRule>
    <cfRule type="cellIs" dxfId="2922" priority="2924" operator="greaterThan">
      <formula>1</formula>
    </cfRule>
  </conditionalFormatting>
  <conditionalFormatting sqref="R83">
    <cfRule type="cellIs" dxfId="2921" priority="2921" operator="greaterThan">
      <formula>1</formula>
    </cfRule>
    <cfRule type="cellIs" dxfId="2920" priority="2922" operator="lessThan">
      <formula>0.8</formula>
    </cfRule>
  </conditionalFormatting>
  <conditionalFormatting sqref="P83">
    <cfRule type="cellIs" dxfId="2919" priority="2920" operator="greaterThan">
      <formula>0</formula>
    </cfRule>
  </conditionalFormatting>
  <conditionalFormatting sqref="P83">
    <cfRule type="cellIs" dxfId="2918" priority="2914" operator="greaterThan">
      <formula>0</formula>
    </cfRule>
  </conditionalFormatting>
  <conditionalFormatting sqref="Q83">
    <cfRule type="cellIs" dxfId="2917" priority="2919" operator="lessThan">
      <formula>0</formula>
    </cfRule>
  </conditionalFormatting>
  <conditionalFormatting sqref="R83">
    <cfRule type="cellIs" dxfId="2916" priority="2917" operator="lessThan">
      <formula>0.8</formula>
    </cfRule>
    <cfRule type="cellIs" dxfId="2915" priority="2918" operator="greaterThan">
      <formula>1</formula>
    </cfRule>
  </conditionalFormatting>
  <conditionalFormatting sqref="R83">
    <cfRule type="cellIs" dxfId="2914" priority="2915" operator="greaterThan">
      <formula>1</formula>
    </cfRule>
    <cfRule type="cellIs" dxfId="2913" priority="2916" operator="lessThan">
      <formula>0.8</formula>
    </cfRule>
  </conditionalFormatting>
  <conditionalFormatting sqref="P83">
    <cfRule type="cellIs" dxfId="2912" priority="2908" operator="greaterThan">
      <formula>0</formula>
    </cfRule>
  </conditionalFormatting>
  <conditionalFormatting sqref="Q83">
    <cfRule type="cellIs" dxfId="2911" priority="2913" operator="lessThan">
      <formula>0</formula>
    </cfRule>
  </conditionalFormatting>
  <conditionalFormatting sqref="R83">
    <cfRule type="cellIs" dxfId="2910" priority="2911" operator="lessThan">
      <formula>0.8</formula>
    </cfRule>
    <cfRule type="cellIs" dxfId="2909" priority="2912" operator="greaterThan">
      <formula>1</formula>
    </cfRule>
  </conditionalFormatting>
  <conditionalFormatting sqref="R83">
    <cfRule type="cellIs" dxfId="2908" priority="2909" operator="greaterThan">
      <formula>1</formula>
    </cfRule>
    <cfRule type="cellIs" dxfId="2907" priority="2910" operator="lessThan">
      <formula>0.8</formula>
    </cfRule>
  </conditionalFormatting>
  <conditionalFormatting sqref="R83">
    <cfRule type="cellIs" dxfId="2906" priority="2905" operator="lessThan">
      <formula>0.8</formula>
    </cfRule>
    <cfRule type="cellIs" dxfId="2905" priority="2906" operator="greaterThan">
      <formula>1</formula>
    </cfRule>
  </conditionalFormatting>
  <conditionalFormatting sqref="R83">
    <cfRule type="cellIs" dxfId="2904" priority="2903" operator="greaterThan">
      <formula>1</formula>
    </cfRule>
    <cfRule type="cellIs" dxfId="2903" priority="2904" operator="lessThan">
      <formula>0.8</formula>
    </cfRule>
  </conditionalFormatting>
  <conditionalFormatting sqref="P83">
    <cfRule type="cellIs" dxfId="2902" priority="2902" operator="greaterThan">
      <formula>0</formula>
    </cfRule>
  </conditionalFormatting>
  <conditionalFormatting sqref="Q83">
    <cfRule type="cellIs" dxfId="2901" priority="2907" operator="lessThan">
      <formula>0</formula>
    </cfRule>
  </conditionalFormatting>
  <conditionalFormatting sqref="Q83">
    <cfRule type="cellIs" dxfId="2900" priority="2901" operator="lessThan">
      <formula>0</formula>
    </cfRule>
  </conditionalFormatting>
  <conditionalFormatting sqref="R83">
    <cfRule type="cellIs" dxfId="2899" priority="2899" operator="lessThan">
      <formula>0.8</formula>
    </cfRule>
    <cfRule type="cellIs" dxfId="2898" priority="2900" operator="greaterThan">
      <formula>1</formula>
    </cfRule>
  </conditionalFormatting>
  <conditionalFormatting sqref="R83">
    <cfRule type="cellIs" dxfId="2897" priority="2897" operator="greaterThan">
      <formula>1</formula>
    </cfRule>
    <cfRule type="cellIs" dxfId="2896" priority="2898" operator="lessThan">
      <formula>0.8</formula>
    </cfRule>
  </conditionalFormatting>
  <conditionalFormatting sqref="P83">
    <cfRule type="cellIs" dxfId="2895" priority="2896" operator="greaterThan">
      <formula>0</formula>
    </cfRule>
  </conditionalFormatting>
  <conditionalFormatting sqref="Q83">
    <cfRule type="cellIs" dxfId="2894" priority="2895" operator="lessThan">
      <formula>0</formula>
    </cfRule>
  </conditionalFormatting>
  <conditionalFormatting sqref="R83">
    <cfRule type="cellIs" dxfId="2893" priority="2893" operator="lessThan">
      <formula>0.8</formula>
    </cfRule>
    <cfRule type="cellIs" dxfId="2892" priority="2894" operator="greaterThan">
      <formula>1</formula>
    </cfRule>
  </conditionalFormatting>
  <conditionalFormatting sqref="R83">
    <cfRule type="cellIs" dxfId="2891" priority="2891" operator="greaterThan">
      <formula>1</formula>
    </cfRule>
    <cfRule type="cellIs" dxfId="2890" priority="2892" operator="lessThan">
      <formula>0.8</formula>
    </cfRule>
  </conditionalFormatting>
  <conditionalFormatting sqref="P83">
    <cfRule type="cellIs" dxfId="2889" priority="2890" operator="greaterThan">
      <formula>0</formula>
    </cfRule>
  </conditionalFormatting>
  <conditionalFormatting sqref="Q83">
    <cfRule type="cellIs" dxfId="2888" priority="2889" operator="lessThan">
      <formula>0</formula>
    </cfRule>
  </conditionalFormatting>
  <conditionalFormatting sqref="R83">
    <cfRule type="cellIs" dxfId="2887" priority="2887" operator="lessThan">
      <formula>0.8</formula>
    </cfRule>
    <cfRule type="cellIs" dxfId="2886" priority="2888" operator="greaterThan">
      <formula>1</formula>
    </cfRule>
  </conditionalFormatting>
  <conditionalFormatting sqref="R83">
    <cfRule type="cellIs" dxfId="2885" priority="2885" operator="greaterThan">
      <formula>1</formula>
    </cfRule>
    <cfRule type="cellIs" dxfId="2884" priority="2886" operator="lessThan">
      <formula>0.8</formula>
    </cfRule>
  </conditionalFormatting>
  <conditionalFormatting sqref="P83">
    <cfRule type="cellIs" dxfId="2883" priority="2884" operator="greaterThan">
      <formula>0</formula>
    </cfRule>
  </conditionalFormatting>
  <conditionalFormatting sqref="Q83">
    <cfRule type="cellIs" dxfId="2882" priority="2883" operator="lessThan">
      <formula>0</formula>
    </cfRule>
  </conditionalFormatting>
  <conditionalFormatting sqref="R83">
    <cfRule type="cellIs" dxfId="2881" priority="2881" operator="lessThan">
      <formula>0.8</formula>
    </cfRule>
    <cfRule type="cellIs" dxfId="2880" priority="2882" operator="greaterThan">
      <formula>1</formula>
    </cfRule>
  </conditionalFormatting>
  <conditionalFormatting sqref="R83">
    <cfRule type="cellIs" dxfId="2879" priority="2879" operator="greaterThan">
      <formula>1</formula>
    </cfRule>
    <cfRule type="cellIs" dxfId="2878" priority="2880" operator="lessThan">
      <formula>0.8</formula>
    </cfRule>
  </conditionalFormatting>
  <conditionalFormatting sqref="P83">
    <cfRule type="cellIs" dxfId="2877" priority="2878" operator="greaterThan">
      <formula>0</formula>
    </cfRule>
  </conditionalFormatting>
  <conditionalFormatting sqref="P83">
    <cfRule type="cellIs" dxfId="2876" priority="2872" operator="greaterThan">
      <formula>0</formula>
    </cfRule>
  </conditionalFormatting>
  <conditionalFormatting sqref="Q83">
    <cfRule type="cellIs" dxfId="2875" priority="2877" operator="lessThan">
      <formula>0</formula>
    </cfRule>
  </conditionalFormatting>
  <conditionalFormatting sqref="R83">
    <cfRule type="cellIs" dxfId="2874" priority="2875" operator="lessThan">
      <formula>0.8</formula>
    </cfRule>
    <cfRule type="cellIs" dxfId="2873" priority="2876" operator="greaterThan">
      <formula>1</formula>
    </cfRule>
  </conditionalFormatting>
  <conditionalFormatting sqref="R83">
    <cfRule type="cellIs" dxfId="2872" priority="2873" operator="greaterThan">
      <formula>1</formula>
    </cfRule>
    <cfRule type="cellIs" dxfId="2871" priority="2874" operator="lessThan">
      <formula>0.8</formula>
    </cfRule>
  </conditionalFormatting>
  <conditionalFormatting sqref="P83">
    <cfRule type="cellIs" dxfId="2870" priority="2866" operator="greaterThan">
      <formula>0</formula>
    </cfRule>
  </conditionalFormatting>
  <conditionalFormatting sqref="Q83">
    <cfRule type="cellIs" dxfId="2869" priority="2871" operator="lessThan">
      <formula>0</formula>
    </cfRule>
  </conditionalFormatting>
  <conditionalFormatting sqref="R83">
    <cfRule type="cellIs" dxfId="2868" priority="2869" operator="lessThan">
      <formula>0.8</formula>
    </cfRule>
    <cfRule type="cellIs" dxfId="2867" priority="2870" operator="greaterThan">
      <formula>1</formula>
    </cfRule>
  </conditionalFormatting>
  <conditionalFormatting sqref="R83">
    <cfRule type="cellIs" dxfId="2866" priority="2867" operator="greaterThan">
      <formula>1</formula>
    </cfRule>
    <cfRule type="cellIs" dxfId="2865" priority="2868" operator="lessThan">
      <formula>0.8</formula>
    </cfRule>
  </conditionalFormatting>
  <conditionalFormatting sqref="R83">
    <cfRule type="cellIs" dxfId="2864" priority="2863" operator="lessThan">
      <formula>0.8</formula>
    </cfRule>
    <cfRule type="cellIs" dxfId="2863" priority="2864" operator="greaterThan">
      <formula>1</formula>
    </cfRule>
  </conditionalFormatting>
  <conditionalFormatting sqref="R83">
    <cfRule type="cellIs" dxfId="2862" priority="2861" operator="greaterThan">
      <formula>1</formula>
    </cfRule>
    <cfRule type="cellIs" dxfId="2861" priority="2862" operator="lessThan">
      <formula>0.8</formula>
    </cfRule>
  </conditionalFormatting>
  <conditionalFormatting sqref="P83">
    <cfRule type="cellIs" dxfId="2860" priority="2860" operator="greaterThan">
      <formula>0</formula>
    </cfRule>
  </conditionalFormatting>
  <conditionalFormatting sqref="Q83">
    <cfRule type="cellIs" dxfId="2859" priority="2865" operator="lessThan">
      <formula>0</formula>
    </cfRule>
  </conditionalFormatting>
  <conditionalFormatting sqref="Q83">
    <cfRule type="cellIs" dxfId="2858" priority="2859" operator="lessThan">
      <formula>0</formula>
    </cfRule>
  </conditionalFormatting>
  <conditionalFormatting sqref="R83">
    <cfRule type="cellIs" dxfId="2857" priority="2857" operator="lessThan">
      <formula>0.8</formula>
    </cfRule>
    <cfRule type="cellIs" dxfId="2856" priority="2858" operator="greaterThan">
      <formula>1</formula>
    </cfRule>
  </conditionalFormatting>
  <conditionalFormatting sqref="R83">
    <cfRule type="cellIs" dxfId="2855" priority="2855" operator="greaterThan">
      <formula>1</formula>
    </cfRule>
    <cfRule type="cellIs" dxfId="2854" priority="2856" operator="lessThan">
      <formula>0.8</formula>
    </cfRule>
  </conditionalFormatting>
  <conditionalFormatting sqref="P83">
    <cfRule type="cellIs" dxfId="2853" priority="2854" operator="greaterThan">
      <formula>0</formula>
    </cfRule>
  </conditionalFormatting>
  <conditionalFormatting sqref="P83">
    <cfRule type="cellIs" dxfId="2852" priority="2848" operator="greaterThan">
      <formula>0</formula>
    </cfRule>
  </conditionalFormatting>
  <conditionalFormatting sqref="Q83">
    <cfRule type="cellIs" dxfId="2851" priority="2853" operator="lessThan">
      <formula>0</formula>
    </cfRule>
  </conditionalFormatting>
  <conditionalFormatting sqref="R83">
    <cfRule type="cellIs" dxfId="2850" priority="2851" operator="lessThan">
      <formula>0.8</formula>
    </cfRule>
    <cfRule type="cellIs" dxfId="2849" priority="2852" operator="greaterThan">
      <formula>1</formula>
    </cfRule>
  </conditionalFormatting>
  <conditionalFormatting sqref="R83">
    <cfRule type="cellIs" dxfId="2848" priority="2849" operator="greaterThan">
      <formula>1</formula>
    </cfRule>
    <cfRule type="cellIs" dxfId="2847" priority="2850" operator="lessThan">
      <formula>0.8</formula>
    </cfRule>
  </conditionalFormatting>
  <conditionalFormatting sqref="P83">
    <cfRule type="cellIs" dxfId="2846" priority="2842" operator="greaterThan">
      <formula>0</formula>
    </cfRule>
  </conditionalFormatting>
  <conditionalFormatting sqref="Q83">
    <cfRule type="cellIs" dxfId="2845" priority="2847" operator="lessThan">
      <formula>0</formula>
    </cfRule>
  </conditionalFormatting>
  <conditionalFormatting sqref="R83">
    <cfRule type="cellIs" dxfId="2844" priority="2845" operator="lessThan">
      <formula>0.8</formula>
    </cfRule>
    <cfRule type="cellIs" dxfId="2843" priority="2846" operator="greaterThan">
      <formula>1</formula>
    </cfRule>
  </conditionalFormatting>
  <conditionalFormatting sqref="R83">
    <cfRule type="cellIs" dxfId="2842" priority="2843" operator="greaterThan">
      <formula>1</formula>
    </cfRule>
    <cfRule type="cellIs" dxfId="2841" priority="2844" operator="lessThan">
      <formula>0.8</formula>
    </cfRule>
  </conditionalFormatting>
  <conditionalFormatting sqref="R83">
    <cfRule type="cellIs" dxfId="2840" priority="2839" operator="lessThan">
      <formula>0.8</formula>
    </cfRule>
    <cfRule type="cellIs" dxfId="2839" priority="2840" operator="greaterThan">
      <formula>1</formula>
    </cfRule>
  </conditionalFormatting>
  <conditionalFormatting sqref="R83">
    <cfRule type="cellIs" dxfId="2838" priority="2837" operator="greaterThan">
      <formula>1</formula>
    </cfRule>
    <cfRule type="cellIs" dxfId="2837" priority="2838" operator="lessThan">
      <formula>0.8</formula>
    </cfRule>
  </conditionalFormatting>
  <conditionalFormatting sqref="P83">
    <cfRule type="cellIs" dxfId="2836" priority="2836" operator="greaterThan">
      <formula>0</formula>
    </cfRule>
  </conditionalFormatting>
  <conditionalFormatting sqref="Q83">
    <cfRule type="cellIs" dxfId="2835" priority="2841" operator="lessThan">
      <formula>0</formula>
    </cfRule>
  </conditionalFormatting>
  <conditionalFormatting sqref="P83">
    <cfRule type="cellIs" dxfId="2834" priority="2830" operator="greaterThan">
      <formula>0</formula>
    </cfRule>
  </conditionalFormatting>
  <conditionalFormatting sqref="Q83">
    <cfRule type="cellIs" dxfId="2833" priority="2835" operator="lessThan">
      <formula>0</formula>
    </cfRule>
  </conditionalFormatting>
  <conditionalFormatting sqref="R83">
    <cfRule type="cellIs" dxfId="2832" priority="2833" operator="lessThan">
      <formula>0.8</formula>
    </cfRule>
    <cfRule type="cellIs" dxfId="2831" priority="2834" operator="greaterThan">
      <formula>1</formula>
    </cfRule>
  </conditionalFormatting>
  <conditionalFormatting sqref="R83">
    <cfRule type="cellIs" dxfId="2830" priority="2831" operator="greaterThan">
      <formula>1</formula>
    </cfRule>
    <cfRule type="cellIs" dxfId="2829" priority="2832" operator="lessThan">
      <formula>0.8</formula>
    </cfRule>
  </conditionalFormatting>
  <conditionalFormatting sqref="R83">
    <cfRule type="cellIs" dxfId="2828" priority="2827" operator="lessThan">
      <formula>0.8</formula>
    </cfRule>
    <cfRule type="cellIs" dxfId="2827" priority="2828" operator="greaterThan">
      <formula>1</formula>
    </cfRule>
  </conditionalFormatting>
  <conditionalFormatting sqref="R83">
    <cfRule type="cellIs" dxfId="2826" priority="2825" operator="greaterThan">
      <formula>1</formula>
    </cfRule>
    <cfRule type="cellIs" dxfId="2825" priority="2826" operator="lessThan">
      <formula>0.8</formula>
    </cfRule>
  </conditionalFormatting>
  <conditionalFormatting sqref="P83">
    <cfRule type="cellIs" dxfId="2824" priority="2824" operator="greaterThan">
      <formula>0</formula>
    </cfRule>
  </conditionalFormatting>
  <conditionalFormatting sqref="Q83">
    <cfRule type="cellIs" dxfId="2823" priority="2829" operator="lessThan">
      <formula>0</formula>
    </cfRule>
  </conditionalFormatting>
  <conditionalFormatting sqref="R83">
    <cfRule type="cellIs" dxfId="2822" priority="2821" operator="lessThan">
      <formula>0.8</formula>
    </cfRule>
    <cfRule type="cellIs" dxfId="2821" priority="2822" operator="greaterThan">
      <formula>1</formula>
    </cfRule>
  </conditionalFormatting>
  <conditionalFormatting sqref="R83">
    <cfRule type="cellIs" dxfId="2820" priority="2819" operator="greaterThan">
      <formula>1</formula>
    </cfRule>
    <cfRule type="cellIs" dxfId="2819" priority="2820" operator="lessThan">
      <formula>0.8</formula>
    </cfRule>
  </conditionalFormatting>
  <conditionalFormatting sqref="P83">
    <cfRule type="cellIs" dxfId="2818" priority="2818" operator="greaterThan">
      <formula>0</formula>
    </cfRule>
  </conditionalFormatting>
  <conditionalFormatting sqref="Q83">
    <cfRule type="cellIs" dxfId="2817" priority="2823" operator="lessThan">
      <formula>0</formula>
    </cfRule>
  </conditionalFormatting>
  <conditionalFormatting sqref="Q83">
    <cfRule type="cellIs" dxfId="2816" priority="2817" operator="lessThan">
      <formula>0</formula>
    </cfRule>
  </conditionalFormatting>
  <conditionalFormatting sqref="R83">
    <cfRule type="cellIs" dxfId="2815" priority="2815" operator="lessThan">
      <formula>0.8</formula>
    </cfRule>
    <cfRule type="cellIs" dxfId="2814" priority="2816" operator="greaterThan">
      <formula>1</formula>
    </cfRule>
  </conditionalFormatting>
  <conditionalFormatting sqref="R83">
    <cfRule type="cellIs" dxfId="2813" priority="2813" operator="greaterThan">
      <formula>1</formula>
    </cfRule>
    <cfRule type="cellIs" dxfId="2812" priority="2814" operator="lessThan">
      <formula>0.8</formula>
    </cfRule>
  </conditionalFormatting>
  <conditionalFormatting sqref="P83">
    <cfRule type="cellIs" dxfId="2811" priority="2812" operator="greaterThan">
      <formula>0</formula>
    </cfRule>
  </conditionalFormatting>
  <conditionalFormatting sqref="Q83">
    <cfRule type="cellIs" dxfId="2810" priority="2806" operator="lessThan">
      <formula>0</formula>
    </cfRule>
  </conditionalFormatting>
  <conditionalFormatting sqref="R83">
    <cfRule type="cellIs" dxfId="2809" priority="2810" operator="lessThan">
      <formula>0.8</formula>
    </cfRule>
    <cfRule type="cellIs" dxfId="2808" priority="2811" operator="greaterThan">
      <formula>1</formula>
    </cfRule>
  </conditionalFormatting>
  <conditionalFormatting sqref="R83">
    <cfRule type="cellIs" dxfId="2807" priority="2808" operator="greaterThan">
      <formula>1</formula>
    </cfRule>
    <cfRule type="cellIs" dxfId="2806" priority="2809" operator="lessThan">
      <formula>0.8</formula>
    </cfRule>
  </conditionalFormatting>
  <conditionalFormatting sqref="P83">
    <cfRule type="cellIs" dxfId="2805" priority="2807" operator="greaterThan">
      <formula>0</formula>
    </cfRule>
  </conditionalFormatting>
  <conditionalFormatting sqref="Q83">
    <cfRule type="cellIs" dxfId="2804" priority="2805" operator="lessThan">
      <formula>0</formula>
    </cfRule>
  </conditionalFormatting>
  <conditionalFormatting sqref="R83">
    <cfRule type="cellIs" dxfId="2803" priority="2803" operator="lessThan">
      <formula>0.8</formula>
    </cfRule>
    <cfRule type="cellIs" dxfId="2802" priority="2804" operator="greaterThan">
      <formula>1</formula>
    </cfRule>
  </conditionalFormatting>
  <conditionalFormatting sqref="R83">
    <cfRule type="cellIs" dxfId="2801" priority="2801" operator="greaterThan">
      <formula>1</formula>
    </cfRule>
    <cfRule type="cellIs" dxfId="2800" priority="2802" operator="lessThan">
      <formula>0.8</formula>
    </cfRule>
  </conditionalFormatting>
  <conditionalFormatting sqref="P83">
    <cfRule type="cellIs" dxfId="2799" priority="2800" operator="greaterThan">
      <formula>0</formula>
    </cfRule>
  </conditionalFormatting>
  <conditionalFormatting sqref="Q83">
    <cfRule type="cellIs" dxfId="2798" priority="2799" operator="lessThan">
      <formula>0</formula>
    </cfRule>
  </conditionalFormatting>
  <conditionalFormatting sqref="R83">
    <cfRule type="cellIs" dxfId="2797" priority="2797" operator="lessThan">
      <formula>0.8</formula>
    </cfRule>
    <cfRule type="cellIs" dxfId="2796" priority="2798" operator="greaterThan">
      <formula>1</formula>
    </cfRule>
  </conditionalFormatting>
  <conditionalFormatting sqref="R83">
    <cfRule type="cellIs" dxfId="2795" priority="2795" operator="greaterThan">
      <formula>1</formula>
    </cfRule>
    <cfRule type="cellIs" dxfId="2794" priority="2796" operator="lessThan">
      <formula>0.8</formula>
    </cfRule>
  </conditionalFormatting>
  <conditionalFormatting sqref="P83">
    <cfRule type="cellIs" dxfId="2793" priority="2794" operator="greaterThan">
      <formula>0</formula>
    </cfRule>
  </conditionalFormatting>
  <conditionalFormatting sqref="Q83">
    <cfRule type="cellIs" dxfId="2792" priority="2793" operator="lessThan">
      <formula>0</formula>
    </cfRule>
  </conditionalFormatting>
  <conditionalFormatting sqref="R83">
    <cfRule type="cellIs" dxfId="2791" priority="2791" operator="lessThan">
      <formula>0.8</formula>
    </cfRule>
    <cfRule type="cellIs" dxfId="2790" priority="2792" operator="greaterThan">
      <formula>1</formula>
    </cfRule>
  </conditionalFormatting>
  <conditionalFormatting sqref="R83">
    <cfRule type="cellIs" dxfId="2789" priority="2789" operator="greaterThan">
      <formula>1</formula>
    </cfRule>
    <cfRule type="cellIs" dxfId="2788" priority="2790" operator="lessThan">
      <formula>0.8</formula>
    </cfRule>
  </conditionalFormatting>
  <conditionalFormatting sqref="P83">
    <cfRule type="cellIs" dxfId="2787" priority="2788" operator="greaterThan">
      <formula>0</formula>
    </cfRule>
  </conditionalFormatting>
  <conditionalFormatting sqref="Q83">
    <cfRule type="cellIs" dxfId="2786" priority="2787" operator="lessThan">
      <formula>0</formula>
    </cfRule>
  </conditionalFormatting>
  <conditionalFormatting sqref="R83">
    <cfRule type="cellIs" dxfId="2785" priority="2785" operator="lessThan">
      <formula>0.8</formula>
    </cfRule>
    <cfRule type="cellIs" dxfId="2784" priority="2786" operator="greaterThan">
      <formula>1</formula>
    </cfRule>
  </conditionalFormatting>
  <conditionalFormatting sqref="R83">
    <cfRule type="cellIs" dxfId="2783" priority="2783" operator="greaterThan">
      <formula>1</formula>
    </cfRule>
    <cfRule type="cellIs" dxfId="2782" priority="2784" operator="lessThan">
      <formula>0.8</formula>
    </cfRule>
  </conditionalFormatting>
  <conditionalFormatting sqref="P83">
    <cfRule type="cellIs" dxfId="2781" priority="2782" operator="greaterThan">
      <formula>0</formula>
    </cfRule>
  </conditionalFormatting>
  <conditionalFormatting sqref="Q83">
    <cfRule type="cellIs" dxfId="2780" priority="2781" operator="lessThan">
      <formula>0</formula>
    </cfRule>
  </conditionalFormatting>
  <conditionalFormatting sqref="R83">
    <cfRule type="cellIs" dxfId="2779" priority="2779" operator="lessThan">
      <formula>0.8</formula>
    </cfRule>
    <cfRule type="cellIs" dxfId="2778" priority="2780" operator="greaterThan">
      <formula>1</formula>
    </cfRule>
  </conditionalFormatting>
  <conditionalFormatting sqref="R83">
    <cfRule type="cellIs" dxfId="2777" priority="2777" operator="greaterThan">
      <formula>1</formula>
    </cfRule>
    <cfRule type="cellIs" dxfId="2776" priority="2778" operator="lessThan">
      <formula>0.8</formula>
    </cfRule>
  </conditionalFormatting>
  <conditionalFormatting sqref="P83">
    <cfRule type="cellIs" dxfId="2775" priority="2776" operator="greaterThan">
      <formula>0</formula>
    </cfRule>
  </conditionalFormatting>
  <conditionalFormatting sqref="P83">
    <cfRule type="cellIs" dxfId="2774" priority="2770" operator="greaterThan">
      <formula>0</formula>
    </cfRule>
  </conditionalFormatting>
  <conditionalFormatting sqref="Q83">
    <cfRule type="cellIs" dxfId="2773" priority="2775" operator="lessThan">
      <formula>0</formula>
    </cfRule>
  </conditionalFormatting>
  <conditionalFormatting sqref="R83">
    <cfRule type="cellIs" dxfId="2772" priority="2773" operator="lessThan">
      <formula>0.8</formula>
    </cfRule>
    <cfRule type="cellIs" dxfId="2771" priority="2774" operator="greaterThan">
      <formula>1</formula>
    </cfRule>
  </conditionalFormatting>
  <conditionalFormatting sqref="R83">
    <cfRule type="cellIs" dxfId="2770" priority="2771" operator="greaterThan">
      <formula>1</formula>
    </cfRule>
    <cfRule type="cellIs" dxfId="2769" priority="2772" operator="lessThan">
      <formula>0.8</formula>
    </cfRule>
  </conditionalFormatting>
  <conditionalFormatting sqref="P83">
    <cfRule type="cellIs" dxfId="2768" priority="2764" operator="greaterThan">
      <formula>0</formula>
    </cfRule>
  </conditionalFormatting>
  <conditionalFormatting sqref="Q83">
    <cfRule type="cellIs" dxfId="2767" priority="2769" operator="lessThan">
      <formula>0</formula>
    </cfRule>
  </conditionalFormatting>
  <conditionalFormatting sqref="R83">
    <cfRule type="cellIs" dxfId="2766" priority="2767" operator="lessThan">
      <formula>0.8</formula>
    </cfRule>
    <cfRule type="cellIs" dxfId="2765" priority="2768" operator="greaterThan">
      <formula>1</formula>
    </cfRule>
  </conditionalFormatting>
  <conditionalFormatting sqref="R83">
    <cfRule type="cellIs" dxfId="2764" priority="2765" operator="greaterThan">
      <formula>1</formula>
    </cfRule>
    <cfRule type="cellIs" dxfId="2763" priority="2766" operator="lessThan">
      <formula>0.8</formula>
    </cfRule>
  </conditionalFormatting>
  <conditionalFormatting sqref="R83">
    <cfRule type="cellIs" dxfId="2762" priority="2761" operator="lessThan">
      <formula>0.8</formula>
    </cfRule>
    <cfRule type="cellIs" dxfId="2761" priority="2762" operator="greaterThan">
      <formula>1</formula>
    </cfRule>
  </conditionalFormatting>
  <conditionalFormatting sqref="R83">
    <cfRule type="cellIs" dxfId="2760" priority="2759" operator="greaterThan">
      <formula>1</formula>
    </cfRule>
    <cfRule type="cellIs" dxfId="2759" priority="2760" operator="lessThan">
      <formula>0.8</formula>
    </cfRule>
  </conditionalFormatting>
  <conditionalFormatting sqref="P83">
    <cfRule type="cellIs" dxfId="2758" priority="2758" operator="greaterThan">
      <formula>0</formula>
    </cfRule>
  </conditionalFormatting>
  <conditionalFormatting sqref="Q83">
    <cfRule type="cellIs" dxfId="2757" priority="2763" operator="lessThan">
      <formula>0</formula>
    </cfRule>
  </conditionalFormatting>
  <conditionalFormatting sqref="Q83">
    <cfRule type="cellIs" dxfId="2756" priority="2752" operator="lessThan">
      <formula>0</formula>
    </cfRule>
  </conditionalFormatting>
  <conditionalFormatting sqref="P83">
    <cfRule type="cellIs" dxfId="2755" priority="2753" operator="greaterThan">
      <formula>0</formula>
    </cfRule>
  </conditionalFormatting>
  <conditionalFormatting sqref="R83">
    <cfRule type="cellIs" dxfId="2754" priority="2756" operator="lessThan">
      <formula>0.8</formula>
    </cfRule>
    <cfRule type="cellIs" dxfId="2753" priority="2757" operator="greaterThan">
      <formula>1</formula>
    </cfRule>
  </conditionalFormatting>
  <conditionalFormatting sqref="R83">
    <cfRule type="cellIs" dxfId="2752" priority="2754" operator="greaterThan">
      <formula>1</formula>
    </cfRule>
    <cfRule type="cellIs" dxfId="2751" priority="2755" operator="lessThan">
      <formula>0.8</formula>
    </cfRule>
  </conditionalFormatting>
  <conditionalFormatting sqref="Q83">
    <cfRule type="cellIs" dxfId="2750" priority="2746" operator="lessThan">
      <formula>0</formula>
    </cfRule>
  </conditionalFormatting>
  <conditionalFormatting sqref="R83">
    <cfRule type="cellIs" dxfId="2749" priority="2750" operator="lessThan">
      <formula>0.8</formula>
    </cfRule>
    <cfRule type="cellIs" dxfId="2748" priority="2751" operator="greaterThan">
      <formula>1</formula>
    </cfRule>
  </conditionalFormatting>
  <conditionalFormatting sqref="R83">
    <cfRule type="cellIs" dxfId="2747" priority="2748" operator="greaterThan">
      <formula>1</formula>
    </cfRule>
    <cfRule type="cellIs" dxfId="2746" priority="2749" operator="lessThan">
      <formula>0.8</formula>
    </cfRule>
  </conditionalFormatting>
  <conditionalFormatting sqref="P83">
    <cfRule type="cellIs" dxfId="2745" priority="2747" operator="greaterThan">
      <formula>0</formula>
    </cfRule>
  </conditionalFormatting>
  <conditionalFormatting sqref="Q83">
    <cfRule type="cellIs" dxfId="2744" priority="2745" operator="lessThan">
      <formula>0</formula>
    </cfRule>
  </conditionalFormatting>
  <conditionalFormatting sqref="R83">
    <cfRule type="cellIs" dxfId="2743" priority="2743" operator="lessThan">
      <formula>0.8</formula>
    </cfRule>
    <cfRule type="cellIs" dxfId="2742" priority="2744" operator="greaterThan">
      <formula>1</formula>
    </cfRule>
  </conditionalFormatting>
  <conditionalFormatting sqref="R83">
    <cfRule type="cellIs" dxfId="2741" priority="2741" operator="greaterThan">
      <formula>1</formula>
    </cfRule>
    <cfRule type="cellIs" dxfId="2740" priority="2742" operator="lessThan">
      <formula>0.8</formula>
    </cfRule>
  </conditionalFormatting>
  <conditionalFormatting sqref="P83">
    <cfRule type="cellIs" dxfId="2739" priority="2740" operator="greaterThan">
      <formula>0</formula>
    </cfRule>
  </conditionalFormatting>
  <conditionalFormatting sqref="Q83">
    <cfRule type="cellIs" dxfId="2738" priority="2739" operator="lessThan">
      <formula>0</formula>
    </cfRule>
  </conditionalFormatting>
  <conditionalFormatting sqref="R83">
    <cfRule type="cellIs" dxfId="2737" priority="2737" operator="lessThan">
      <formula>0.8</formula>
    </cfRule>
    <cfRule type="cellIs" dxfId="2736" priority="2738" operator="greaterThan">
      <formula>1</formula>
    </cfRule>
  </conditionalFormatting>
  <conditionalFormatting sqref="R83">
    <cfRule type="cellIs" dxfId="2735" priority="2735" operator="greaterThan">
      <formula>1</formula>
    </cfRule>
    <cfRule type="cellIs" dxfId="2734" priority="2736" operator="lessThan">
      <formula>0.8</formula>
    </cfRule>
  </conditionalFormatting>
  <conditionalFormatting sqref="P83">
    <cfRule type="cellIs" dxfId="2733" priority="2734" operator="greaterThan">
      <formula>0</formula>
    </cfRule>
  </conditionalFormatting>
  <conditionalFormatting sqref="Q83">
    <cfRule type="cellIs" dxfId="2732" priority="2733" operator="lessThan">
      <formula>0</formula>
    </cfRule>
  </conditionalFormatting>
  <conditionalFormatting sqref="R83">
    <cfRule type="cellIs" dxfId="2731" priority="2731" operator="lessThan">
      <formula>0.8</formula>
    </cfRule>
    <cfRule type="cellIs" dxfId="2730" priority="2732" operator="greaterThan">
      <formula>1</formula>
    </cfRule>
  </conditionalFormatting>
  <conditionalFormatting sqref="R83">
    <cfRule type="cellIs" dxfId="2729" priority="2729" operator="greaterThan">
      <formula>1</formula>
    </cfRule>
    <cfRule type="cellIs" dxfId="2728" priority="2730" operator="lessThan">
      <formula>0.8</formula>
    </cfRule>
  </conditionalFormatting>
  <conditionalFormatting sqref="P83">
    <cfRule type="cellIs" dxfId="2727" priority="2728" operator="greaterThan">
      <formula>0</formula>
    </cfRule>
  </conditionalFormatting>
  <conditionalFormatting sqref="Q83">
    <cfRule type="cellIs" dxfId="2726" priority="2727" operator="lessThan">
      <formula>0</formula>
    </cfRule>
  </conditionalFormatting>
  <conditionalFormatting sqref="R83">
    <cfRule type="cellIs" dxfId="2725" priority="2725" operator="lessThan">
      <formula>0.8</formula>
    </cfRule>
    <cfRule type="cellIs" dxfId="2724" priority="2726" operator="greaterThan">
      <formula>1</formula>
    </cfRule>
  </conditionalFormatting>
  <conditionalFormatting sqref="R83">
    <cfRule type="cellIs" dxfId="2723" priority="2723" operator="greaterThan">
      <formula>1</formula>
    </cfRule>
    <cfRule type="cellIs" dxfId="2722" priority="2724" operator="lessThan">
      <formula>0.8</formula>
    </cfRule>
  </conditionalFormatting>
  <conditionalFormatting sqref="P83">
    <cfRule type="cellIs" dxfId="2721" priority="2722" operator="greaterThan">
      <formula>0</formula>
    </cfRule>
  </conditionalFormatting>
  <conditionalFormatting sqref="Q83">
    <cfRule type="cellIs" dxfId="2720" priority="2721" operator="lessThan">
      <formula>0</formula>
    </cfRule>
  </conditionalFormatting>
  <conditionalFormatting sqref="R83">
    <cfRule type="cellIs" dxfId="2719" priority="2719" operator="lessThan">
      <formula>0.8</formula>
    </cfRule>
    <cfRule type="cellIs" dxfId="2718" priority="2720" operator="greaterThan">
      <formula>1</formula>
    </cfRule>
  </conditionalFormatting>
  <conditionalFormatting sqref="R83">
    <cfRule type="cellIs" dxfId="2717" priority="2717" operator="greaterThan">
      <formula>1</formula>
    </cfRule>
    <cfRule type="cellIs" dxfId="2716" priority="2718" operator="lessThan">
      <formula>0.8</formula>
    </cfRule>
  </conditionalFormatting>
  <conditionalFormatting sqref="P83">
    <cfRule type="cellIs" dxfId="2715" priority="2716" operator="greaterThan">
      <formula>0</formula>
    </cfRule>
  </conditionalFormatting>
  <conditionalFormatting sqref="Q83">
    <cfRule type="cellIs" dxfId="2714" priority="2715" operator="lessThan">
      <formula>0</formula>
    </cfRule>
  </conditionalFormatting>
  <conditionalFormatting sqref="R83">
    <cfRule type="cellIs" dxfId="2713" priority="2713" operator="lessThan">
      <formula>0.8</formula>
    </cfRule>
    <cfRule type="cellIs" dxfId="2712" priority="2714" operator="greaterThan">
      <formula>1</formula>
    </cfRule>
  </conditionalFormatting>
  <conditionalFormatting sqref="R83">
    <cfRule type="cellIs" dxfId="2711" priority="2711" operator="greaterThan">
      <formula>1</formula>
    </cfRule>
    <cfRule type="cellIs" dxfId="2710" priority="2712" operator="lessThan">
      <formula>0.8</formula>
    </cfRule>
  </conditionalFormatting>
  <conditionalFormatting sqref="P83">
    <cfRule type="cellIs" dxfId="2709" priority="2710" operator="greaterThan">
      <formula>0</formula>
    </cfRule>
  </conditionalFormatting>
  <conditionalFormatting sqref="Q83">
    <cfRule type="cellIs" dxfId="2708" priority="2709" operator="lessThan">
      <formula>0</formula>
    </cfRule>
  </conditionalFormatting>
  <conditionalFormatting sqref="R83">
    <cfRule type="cellIs" dxfId="2707" priority="2707" operator="lessThan">
      <formula>0.8</formula>
    </cfRule>
    <cfRule type="cellIs" dxfId="2706" priority="2708" operator="greaterThan">
      <formula>1</formula>
    </cfRule>
  </conditionalFormatting>
  <conditionalFormatting sqref="R83">
    <cfRule type="cellIs" dxfId="2705" priority="2705" operator="greaterThan">
      <formula>1</formula>
    </cfRule>
    <cfRule type="cellIs" dxfId="2704" priority="2706" operator="lessThan">
      <formula>0.8</formula>
    </cfRule>
  </conditionalFormatting>
  <conditionalFormatting sqref="P83">
    <cfRule type="cellIs" dxfId="2703" priority="2704" operator="greaterThan">
      <formula>0</formula>
    </cfRule>
  </conditionalFormatting>
  <conditionalFormatting sqref="P83">
    <cfRule type="cellIs" dxfId="2702" priority="2698" operator="greaterThan">
      <formula>0</formula>
    </cfRule>
  </conditionalFormatting>
  <conditionalFormatting sqref="Q83">
    <cfRule type="cellIs" dxfId="2701" priority="2703" operator="lessThan">
      <formula>0</formula>
    </cfRule>
  </conditionalFormatting>
  <conditionalFormatting sqref="R83">
    <cfRule type="cellIs" dxfId="2700" priority="2701" operator="lessThan">
      <formula>0.8</formula>
    </cfRule>
    <cfRule type="cellIs" dxfId="2699" priority="2702" operator="greaterThan">
      <formula>1</formula>
    </cfRule>
  </conditionalFormatting>
  <conditionalFormatting sqref="R83">
    <cfRule type="cellIs" dxfId="2698" priority="2699" operator="greaterThan">
      <formula>1</formula>
    </cfRule>
    <cfRule type="cellIs" dxfId="2697" priority="2700" operator="lessThan">
      <formula>0.8</formula>
    </cfRule>
  </conditionalFormatting>
  <conditionalFormatting sqref="P83">
    <cfRule type="cellIs" dxfId="2696" priority="2692" operator="greaterThan">
      <formula>0</formula>
    </cfRule>
  </conditionalFormatting>
  <conditionalFormatting sqref="Q83">
    <cfRule type="cellIs" dxfId="2695" priority="2697" operator="lessThan">
      <formula>0</formula>
    </cfRule>
  </conditionalFormatting>
  <conditionalFormatting sqref="R83">
    <cfRule type="cellIs" dxfId="2694" priority="2695" operator="lessThan">
      <formula>0.8</formula>
    </cfRule>
    <cfRule type="cellIs" dxfId="2693" priority="2696" operator="greaterThan">
      <formula>1</formula>
    </cfRule>
  </conditionalFormatting>
  <conditionalFormatting sqref="R83">
    <cfRule type="cellIs" dxfId="2692" priority="2693" operator="greaterThan">
      <formula>1</formula>
    </cfRule>
    <cfRule type="cellIs" dxfId="2691" priority="2694" operator="lessThan">
      <formula>0.8</formula>
    </cfRule>
  </conditionalFormatting>
  <conditionalFormatting sqref="R83">
    <cfRule type="cellIs" dxfId="2690" priority="2689" operator="lessThan">
      <formula>0.8</formula>
    </cfRule>
    <cfRule type="cellIs" dxfId="2689" priority="2690" operator="greaterThan">
      <formula>1</formula>
    </cfRule>
  </conditionalFormatting>
  <conditionalFormatting sqref="R83">
    <cfRule type="cellIs" dxfId="2688" priority="2687" operator="greaterThan">
      <formula>1</formula>
    </cfRule>
    <cfRule type="cellIs" dxfId="2687" priority="2688" operator="lessThan">
      <formula>0.8</formula>
    </cfRule>
  </conditionalFormatting>
  <conditionalFormatting sqref="P83">
    <cfRule type="cellIs" dxfId="2686" priority="2686" operator="greaterThan">
      <formula>0</formula>
    </cfRule>
  </conditionalFormatting>
  <conditionalFormatting sqref="Q83">
    <cfRule type="cellIs" dxfId="2685" priority="2691" operator="lessThan">
      <formula>0</formula>
    </cfRule>
  </conditionalFormatting>
  <conditionalFormatting sqref="Q83">
    <cfRule type="cellIs" dxfId="2684" priority="2685" operator="lessThan">
      <formula>0</formula>
    </cfRule>
  </conditionalFormatting>
  <conditionalFormatting sqref="R83">
    <cfRule type="cellIs" dxfId="2683" priority="2683" operator="lessThan">
      <formula>0.8</formula>
    </cfRule>
    <cfRule type="cellIs" dxfId="2682" priority="2684" operator="greaterThan">
      <formula>1</formula>
    </cfRule>
  </conditionalFormatting>
  <conditionalFormatting sqref="R83">
    <cfRule type="cellIs" dxfId="2681" priority="2681" operator="greaterThan">
      <formula>1</formula>
    </cfRule>
    <cfRule type="cellIs" dxfId="2680" priority="2682" operator="lessThan">
      <formula>0.8</formula>
    </cfRule>
  </conditionalFormatting>
  <conditionalFormatting sqref="P83">
    <cfRule type="cellIs" dxfId="2679" priority="2680" operator="greaterThan">
      <formula>0</formula>
    </cfRule>
  </conditionalFormatting>
  <conditionalFormatting sqref="P83">
    <cfRule type="cellIs" dxfId="2678" priority="2674" operator="greaterThan">
      <formula>0</formula>
    </cfRule>
  </conditionalFormatting>
  <conditionalFormatting sqref="Q83">
    <cfRule type="cellIs" dxfId="2677" priority="2679" operator="lessThan">
      <formula>0</formula>
    </cfRule>
  </conditionalFormatting>
  <conditionalFormatting sqref="R83">
    <cfRule type="cellIs" dxfId="2676" priority="2677" operator="lessThan">
      <formula>0.8</formula>
    </cfRule>
    <cfRule type="cellIs" dxfId="2675" priority="2678" operator="greaterThan">
      <formula>1</formula>
    </cfRule>
  </conditionalFormatting>
  <conditionalFormatting sqref="R83">
    <cfRule type="cellIs" dxfId="2674" priority="2675" operator="greaterThan">
      <formula>1</formula>
    </cfRule>
    <cfRule type="cellIs" dxfId="2673" priority="2676" operator="lessThan">
      <formula>0.8</formula>
    </cfRule>
  </conditionalFormatting>
  <conditionalFormatting sqref="P83">
    <cfRule type="cellIs" dxfId="2672" priority="2668" operator="greaterThan">
      <formula>0</formula>
    </cfRule>
  </conditionalFormatting>
  <conditionalFormatting sqref="Q83">
    <cfRule type="cellIs" dxfId="2671" priority="2673" operator="lessThan">
      <formula>0</formula>
    </cfRule>
  </conditionalFormatting>
  <conditionalFormatting sqref="R83">
    <cfRule type="cellIs" dxfId="2670" priority="2671" operator="lessThan">
      <formula>0.8</formula>
    </cfRule>
    <cfRule type="cellIs" dxfId="2669" priority="2672" operator="greaterThan">
      <formula>1</formula>
    </cfRule>
  </conditionalFormatting>
  <conditionalFormatting sqref="R83">
    <cfRule type="cellIs" dxfId="2668" priority="2669" operator="greaterThan">
      <formula>1</formula>
    </cfRule>
    <cfRule type="cellIs" dxfId="2667" priority="2670" operator="lessThan">
      <formula>0.8</formula>
    </cfRule>
  </conditionalFormatting>
  <conditionalFormatting sqref="R83">
    <cfRule type="cellIs" dxfId="2666" priority="2665" operator="lessThan">
      <formula>0.8</formula>
    </cfRule>
    <cfRule type="cellIs" dxfId="2665" priority="2666" operator="greaterThan">
      <formula>1</formula>
    </cfRule>
  </conditionalFormatting>
  <conditionalFormatting sqref="R83">
    <cfRule type="cellIs" dxfId="2664" priority="2663" operator="greaterThan">
      <formula>1</formula>
    </cfRule>
    <cfRule type="cellIs" dxfId="2663" priority="2664" operator="lessThan">
      <formula>0.8</formula>
    </cfRule>
  </conditionalFormatting>
  <conditionalFormatting sqref="P83">
    <cfRule type="cellIs" dxfId="2662" priority="2662" operator="greaterThan">
      <formula>0</formula>
    </cfRule>
  </conditionalFormatting>
  <conditionalFormatting sqref="Q83">
    <cfRule type="cellIs" dxfId="2661" priority="2667" operator="lessThan">
      <formula>0</formula>
    </cfRule>
  </conditionalFormatting>
  <conditionalFormatting sqref="P83">
    <cfRule type="cellIs" dxfId="2660" priority="2656" operator="greaterThan">
      <formula>0</formula>
    </cfRule>
  </conditionalFormatting>
  <conditionalFormatting sqref="Q83">
    <cfRule type="cellIs" dxfId="2659" priority="2661" operator="lessThan">
      <formula>0</formula>
    </cfRule>
  </conditionalFormatting>
  <conditionalFormatting sqref="R83">
    <cfRule type="cellIs" dxfId="2658" priority="2659" operator="lessThan">
      <formula>0.8</formula>
    </cfRule>
    <cfRule type="cellIs" dxfId="2657" priority="2660" operator="greaterThan">
      <formula>1</formula>
    </cfRule>
  </conditionalFormatting>
  <conditionalFormatting sqref="R83">
    <cfRule type="cellIs" dxfId="2656" priority="2657" operator="greaterThan">
      <formula>1</formula>
    </cfRule>
    <cfRule type="cellIs" dxfId="2655" priority="2658" operator="lessThan">
      <formula>0.8</formula>
    </cfRule>
  </conditionalFormatting>
  <conditionalFormatting sqref="R83">
    <cfRule type="cellIs" dxfId="2654" priority="2653" operator="lessThan">
      <formula>0.8</formula>
    </cfRule>
    <cfRule type="cellIs" dxfId="2653" priority="2654" operator="greaterThan">
      <formula>1</formula>
    </cfRule>
  </conditionalFormatting>
  <conditionalFormatting sqref="R83">
    <cfRule type="cellIs" dxfId="2652" priority="2651" operator="greaterThan">
      <formula>1</formula>
    </cfRule>
    <cfRule type="cellIs" dxfId="2651" priority="2652" operator="lessThan">
      <formula>0.8</formula>
    </cfRule>
  </conditionalFormatting>
  <conditionalFormatting sqref="P83">
    <cfRule type="cellIs" dxfId="2650" priority="2650" operator="greaterThan">
      <formula>0</formula>
    </cfRule>
  </conditionalFormatting>
  <conditionalFormatting sqref="Q83">
    <cfRule type="cellIs" dxfId="2649" priority="2655" operator="lessThan">
      <formula>0</formula>
    </cfRule>
  </conditionalFormatting>
  <conditionalFormatting sqref="R83">
    <cfRule type="cellIs" dxfId="2648" priority="2647" operator="lessThan">
      <formula>0.8</formula>
    </cfRule>
    <cfRule type="cellIs" dxfId="2647" priority="2648" operator="greaterThan">
      <formula>1</formula>
    </cfRule>
  </conditionalFormatting>
  <conditionalFormatting sqref="R83">
    <cfRule type="cellIs" dxfId="2646" priority="2645" operator="greaterThan">
      <formula>1</formula>
    </cfRule>
    <cfRule type="cellIs" dxfId="2645" priority="2646" operator="lessThan">
      <formula>0.8</formula>
    </cfRule>
  </conditionalFormatting>
  <conditionalFormatting sqref="P83">
    <cfRule type="cellIs" dxfId="2644" priority="2644" operator="greaterThan">
      <formula>0</formula>
    </cfRule>
  </conditionalFormatting>
  <conditionalFormatting sqref="Q83">
    <cfRule type="cellIs" dxfId="2643" priority="2649" operator="lessThan">
      <formula>0</formula>
    </cfRule>
  </conditionalFormatting>
  <conditionalFormatting sqref="Q83">
    <cfRule type="cellIs" dxfId="2642" priority="2643" operator="lessThan">
      <formula>0</formula>
    </cfRule>
  </conditionalFormatting>
  <conditionalFormatting sqref="R83">
    <cfRule type="cellIs" dxfId="2641" priority="2641" operator="lessThan">
      <formula>0.8</formula>
    </cfRule>
    <cfRule type="cellIs" dxfId="2640" priority="2642" operator="greaterThan">
      <formula>1</formula>
    </cfRule>
  </conditionalFormatting>
  <conditionalFormatting sqref="R83">
    <cfRule type="cellIs" dxfId="2639" priority="2639" operator="greaterThan">
      <formula>1</formula>
    </cfRule>
    <cfRule type="cellIs" dxfId="2638" priority="2640" operator="lessThan">
      <formula>0.8</formula>
    </cfRule>
  </conditionalFormatting>
  <conditionalFormatting sqref="P83">
    <cfRule type="cellIs" dxfId="2637" priority="2638" operator="greaterThan">
      <formula>0</formula>
    </cfRule>
  </conditionalFormatting>
  <conditionalFormatting sqref="Q83">
    <cfRule type="cellIs" dxfId="2636" priority="2632" operator="lessThan">
      <formula>0</formula>
    </cfRule>
  </conditionalFormatting>
  <conditionalFormatting sqref="R83">
    <cfRule type="cellIs" dxfId="2635" priority="2636" operator="lessThan">
      <formula>0.8</formula>
    </cfRule>
    <cfRule type="cellIs" dxfId="2634" priority="2637" operator="greaterThan">
      <formula>1</formula>
    </cfRule>
  </conditionalFormatting>
  <conditionalFormatting sqref="R83">
    <cfRule type="cellIs" dxfId="2633" priority="2634" operator="greaterThan">
      <formula>1</formula>
    </cfRule>
    <cfRule type="cellIs" dxfId="2632" priority="2635" operator="lessThan">
      <formula>0.8</formula>
    </cfRule>
  </conditionalFormatting>
  <conditionalFormatting sqref="P83">
    <cfRule type="cellIs" dxfId="2631" priority="2633" operator="greaterThan">
      <formula>0</formula>
    </cfRule>
  </conditionalFormatting>
  <conditionalFormatting sqref="Q83">
    <cfRule type="cellIs" dxfId="2630" priority="2631" operator="lessThan">
      <formula>0</formula>
    </cfRule>
  </conditionalFormatting>
  <conditionalFormatting sqref="R83">
    <cfRule type="cellIs" dxfId="2629" priority="2629" operator="lessThan">
      <formula>0.8</formula>
    </cfRule>
    <cfRule type="cellIs" dxfId="2628" priority="2630" operator="greaterThan">
      <formula>1</formula>
    </cfRule>
  </conditionalFormatting>
  <conditionalFormatting sqref="R83">
    <cfRule type="cellIs" dxfId="2627" priority="2627" operator="greaterThan">
      <formula>1</formula>
    </cfRule>
    <cfRule type="cellIs" dxfId="2626" priority="2628" operator="lessThan">
      <formula>0.8</formula>
    </cfRule>
  </conditionalFormatting>
  <conditionalFormatting sqref="P83">
    <cfRule type="cellIs" dxfId="2625" priority="2626" operator="greaterThan">
      <formula>0</formula>
    </cfRule>
  </conditionalFormatting>
  <conditionalFormatting sqref="Q83">
    <cfRule type="cellIs" dxfId="2624" priority="2625" operator="lessThan">
      <formula>0</formula>
    </cfRule>
  </conditionalFormatting>
  <conditionalFormatting sqref="R83">
    <cfRule type="cellIs" dxfId="2623" priority="2623" operator="lessThan">
      <formula>0.8</formula>
    </cfRule>
    <cfRule type="cellIs" dxfId="2622" priority="2624" operator="greaterThan">
      <formula>1</formula>
    </cfRule>
  </conditionalFormatting>
  <conditionalFormatting sqref="R83">
    <cfRule type="cellIs" dxfId="2621" priority="2621" operator="greaterThan">
      <formula>1</formula>
    </cfRule>
    <cfRule type="cellIs" dxfId="2620" priority="2622" operator="lessThan">
      <formula>0.8</formula>
    </cfRule>
  </conditionalFormatting>
  <conditionalFormatting sqref="P83">
    <cfRule type="cellIs" dxfId="2619" priority="2620" operator="greaterThan">
      <formula>0</formula>
    </cfRule>
  </conditionalFormatting>
  <conditionalFormatting sqref="Q83">
    <cfRule type="cellIs" dxfId="2618" priority="2619" operator="lessThan">
      <formula>0</formula>
    </cfRule>
  </conditionalFormatting>
  <conditionalFormatting sqref="R83">
    <cfRule type="cellIs" dxfId="2617" priority="2617" operator="lessThan">
      <formula>0.8</formula>
    </cfRule>
    <cfRule type="cellIs" dxfId="2616" priority="2618" operator="greaterThan">
      <formula>1</formula>
    </cfRule>
  </conditionalFormatting>
  <conditionalFormatting sqref="R83">
    <cfRule type="cellIs" dxfId="2615" priority="2615" operator="greaterThan">
      <formula>1</formula>
    </cfRule>
    <cfRule type="cellIs" dxfId="2614" priority="2616" operator="lessThan">
      <formula>0.8</formula>
    </cfRule>
  </conditionalFormatting>
  <conditionalFormatting sqref="P83">
    <cfRule type="cellIs" dxfId="2613" priority="2614" operator="greaterThan">
      <formula>0</formula>
    </cfRule>
  </conditionalFormatting>
  <conditionalFormatting sqref="Q83">
    <cfRule type="cellIs" dxfId="2612" priority="2613" operator="lessThan">
      <formula>0</formula>
    </cfRule>
  </conditionalFormatting>
  <conditionalFormatting sqref="R83">
    <cfRule type="cellIs" dxfId="2611" priority="2611" operator="lessThan">
      <formula>0.8</formula>
    </cfRule>
    <cfRule type="cellIs" dxfId="2610" priority="2612" operator="greaterThan">
      <formula>1</formula>
    </cfRule>
  </conditionalFormatting>
  <conditionalFormatting sqref="R83">
    <cfRule type="cellIs" dxfId="2609" priority="2609" operator="greaterThan">
      <formula>1</formula>
    </cfRule>
    <cfRule type="cellIs" dxfId="2608" priority="2610" operator="lessThan">
      <formula>0.8</formula>
    </cfRule>
  </conditionalFormatting>
  <conditionalFormatting sqref="P83">
    <cfRule type="cellIs" dxfId="2607" priority="2608" operator="greaterThan">
      <formula>0</formula>
    </cfRule>
  </conditionalFormatting>
  <conditionalFormatting sqref="Q83">
    <cfRule type="cellIs" dxfId="2606" priority="2607" operator="lessThan">
      <formula>0</formula>
    </cfRule>
  </conditionalFormatting>
  <conditionalFormatting sqref="R83">
    <cfRule type="cellIs" dxfId="2605" priority="2605" operator="lessThan">
      <formula>0.8</formula>
    </cfRule>
    <cfRule type="cellIs" dxfId="2604" priority="2606" operator="greaterThan">
      <formula>1</formula>
    </cfRule>
  </conditionalFormatting>
  <conditionalFormatting sqref="R83">
    <cfRule type="cellIs" dxfId="2603" priority="2603" operator="greaterThan">
      <formula>1</formula>
    </cfRule>
    <cfRule type="cellIs" dxfId="2602" priority="2604" operator="lessThan">
      <formula>0.8</formula>
    </cfRule>
  </conditionalFormatting>
  <conditionalFormatting sqref="P83">
    <cfRule type="cellIs" dxfId="2601" priority="2602" operator="greaterThan">
      <formula>0</formula>
    </cfRule>
  </conditionalFormatting>
  <conditionalFormatting sqref="P83">
    <cfRule type="cellIs" dxfId="2600" priority="2596" operator="greaterThan">
      <formula>0</formula>
    </cfRule>
  </conditionalFormatting>
  <conditionalFormatting sqref="Q83">
    <cfRule type="cellIs" dxfId="2599" priority="2601" operator="lessThan">
      <formula>0</formula>
    </cfRule>
  </conditionalFormatting>
  <conditionalFormatting sqref="R83">
    <cfRule type="cellIs" dxfId="2598" priority="2599" operator="lessThan">
      <formula>0.8</formula>
    </cfRule>
    <cfRule type="cellIs" dxfId="2597" priority="2600" operator="greaterThan">
      <formula>1</formula>
    </cfRule>
  </conditionalFormatting>
  <conditionalFormatting sqref="R83">
    <cfRule type="cellIs" dxfId="2596" priority="2597" operator="greaterThan">
      <formula>1</formula>
    </cfRule>
    <cfRule type="cellIs" dxfId="2595" priority="2598" operator="lessThan">
      <formula>0.8</formula>
    </cfRule>
  </conditionalFormatting>
  <conditionalFormatting sqref="P83">
    <cfRule type="cellIs" dxfId="2594" priority="2590" operator="greaterThan">
      <formula>0</formula>
    </cfRule>
  </conditionalFormatting>
  <conditionalFormatting sqref="Q83">
    <cfRule type="cellIs" dxfId="2593" priority="2595" operator="lessThan">
      <formula>0</formula>
    </cfRule>
  </conditionalFormatting>
  <conditionalFormatting sqref="R83">
    <cfRule type="cellIs" dxfId="2592" priority="2593" operator="lessThan">
      <formula>0.8</formula>
    </cfRule>
    <cfRule type="cellIs" dxfId="2591" priority="2594" operator="greaterThan">
      <formula>1</formula>
    </cfRule>
  </conditionalFormatting>
  <conditionalFormatting sqref="R83">
    <cfRule type="cellIs" dxfId="2590" priority="2591" operator="greaterThan">
      <formula>1</formula>
    </cfRule>
    <cfRule type="cellIs" dxfId="2589" priority="2592" operator="lessThan">
      <formula>0.8</formula>
    </cfRule>
  </conditionalFormatting>
  <conditionalFormatting sqref="R83">
    <cfRule type="cellIs" dxfId="2588" priority="2587" operator="lessThan">
      <formula>0.8</formula>
    </cfRule>
    <cfRule type="cellIs" dxfId="2587" priority="2588" operator="greaterThan">
      <formula>1</formula>
    </cfRule>
  </conditionalFormatting>
  <conditionalFormatting sqref="R83">
    <cfRule type="cellIs" dxfId="2586" priority="2585" operator="greaterThan">
      <formula>1</formula>
    </cfRule>
    <cfRule type="cellIs" dxfId="2585" priority="2586" operator="lessThan">
      <formula>0.8</formula>
    </cfRule>
  </conditionalFormatting>
  <conditionalFormatting sqref="P83">
    <cfRule type="cellIs" dxfId="2584" priority="2584" operator="greaterThan">
      <formula>0</formula>
    </cfRule>
  </conditionalFormatting>
  <conditionalFormatting sqref="Q83">
    <cfRule type="cellIs" dxfId="2583" priority="2589" operator="lessThan">
      <formula>0</formula>
    </cfRule>
  </conditionalFormatting>
  <conditionalFormatting sqref="P123 P125:P126 P128:P130">
    <cfRule type="cellIs" dxfId="2582" priority="2578" operator="greaterThan">
      <formula>0</formula>
    </cfRule>
  </conditionalFormatting>
  <conditionalFormatting sqref="Q123 Q125:Q126 Q128:Q130">
    <cfRule type="cellIs" dxfId="2581" priority="2583" operator="lessThan">
      <formula>0</formula>
    </cfRule>
  </conditionalFormatting>
  <conditionalFormatting sqref="R123 R125:R126 R128:R130">
    <cfRule type="cellIs" dxfId="2580" priority="2581" operator="lessThan">
      <formula>0.8</formula>
    </cfRule>
    <cfRule type="cellIs" dxfId="2579" priority="2582" operator="greaterThan">
      <formula>1</formula>
    </cfRule>
  </conditionalFormatting>
  <conditionalFormatting sqref="R123 R125:R126 R128:R130">
    <cfRule type="cellIs" dxfId="2578" priority="2579" operator="greaterThan">
      <formula>1</formula>
    </cfRule>
    <cfRule type="cellIs" dxfId="2577" priority="2580" operator="lessThan">
      <formula>0.8</formula>
    </cfRule>
  </conditionalFormatting>
  <conditionalFormatting sqref="Q123 Q125:Q126 Q128:Q130">
    <cfRule type="cellIs" dxfId="2576" priority="2577" operator="lessThan">
      <formula>0</formula>
    </cfRule>
  </conditionalFormatting>
  <conditionalFormatting sqref="R123 R125:R126 R128:R130">
    <cfRule type="cellIs" dxfId="2575" priority="2575" operator="lessThan">
      <formula>0.8</formula>
    </cfRule>
    <cfRule type="cellIs" dxfId="2574" priority="2576" operator="greaterThan">
      <formula>1</formula>
    </cfRule>
  </conditionalFormatting>
  <conditionalFormatting sqref="R123 R125:R126 R128:R130">
    <cfRule type="cellIs" dxfId="2573" priority="2573" operator="greaterThan">
      <formula>1</formula>
    </cfRule>
    <cfRule type="cellIs" dxfId="2572" priority="2574" operator="lessThan">
      <formula>0.8</formula>
    </cfRule>
  </conditionalFormatting>
  <conditionalFormatting sqref="P123 P125:P126 P128:P130">
    <cfRule type="cellIs" dxfId="2571" priority="2572" operator="greaterThan">
      <formula>0</formula>
    </cfRule>
  </conditionalFormatting>
  <conditionalFormatting sqref="Q31">
    <cfRule type="cellIs" dxfId="2570" priority="2571" operator="lessThan">
      <formula>0</formula>
    </cfRule>
  </conditionalFormatting>
  <conditionalFormatting sqref="R31">
    <cfRule type="cellIs" dxfId="2569" priority="2569" operator="lessThan">
      <formula>0.8</formula>
    </cfRule>
    <cfRule type="cellIs" dxfId="2568" priority="2570" operator="greaterThan">
      <formula>1</formula>
    </cfRule>
  </conditionalFormatting>
  <conditionalFormatting sqref="R31">
    <cfRule type="cellIs" dxfId="2567" priority="2567" operator="greaterThan">
      <formula>1</formula>
    </cfRule>
    <cfRule type="cellIs" dxfId="2566" priority="2568" operator="lessThan">
      <formula>0.8</formula>
    </cfRule>
  </conditionalFormatting>
  <conditionalFormatting sqref="P31">
    <cfRule type="cellIs" dxfId="2565" priority="2566" operator="greaterThan">
      <formula>0</formula>
    </cfRule>
  </conditionalFormatting>
  <conditionalFormatting sqref="Q31">
    <cfRule type="cellIs" dxfId="2564" priority="2565" operator="lessThan">
      <formula>0</formula>
    </cfRule>
  </conditionalFormatting>
  <conditionalFormatting sqref="R31">
    <cfRule type="cellIs" dxfId="2563" priority="2563" operator="lessThan">
      <formula>0.8</formula>
    </cfRule>
    <cfRule type="cellIs" dxfId="2562" priority="2564" operator="greaterThan">
      <formula>1</formula>
    </cfRule>
  </conditionalFormatting>
  <conditionalFormatting sqref="R31">
    <cfRule type="cellIs" dxfId="2561" priority="2561" operator="greaterThan">
      <formula>1</formula>
    </cfRule>
    <cfRule type="cellIs" dxfId="2560" priority="2562" operator="lessThan">
      <formula>0.8</formula>
    </cfRule>
  </conditionalFormatting>
  <conditionalFormatting sqref="P31">
    <cfRule type="cellIs" dxfId="2559" priority="2560" operator="greaterThan">
      <formula>0</formula>
    </cfRule>
  </conditionalFormatting>
  <conditionalFormatting sqref="Q31">
    <cfRule type="cellIs" dxfId="2558" priority="2559" operator="lessThan">
      <formula>0</formula>
    </cfRule>
  </conditionalFormatting>
  <conditionalFormatting sqref="R31">
    <cfRule type="cellIs" dxfId="2557" priority="2557" operator="lessThan">
      <formula>0.8</formula>
    </cfRule>
    <cfRule type="cellIs" dxfId="2556" priority="2558" operator="greaterThan">
      <formula>1</formula>
    </cfRule>
  </conditionalFormatting>
  <conditionalFormatting sqref="R31">
    <cfRule type="cellIs" dxfId="2555" priority="2555" operator="greaterThan">
      <formula>1</formula>
    </cfRule>
    <cfRule type="cellIs" dxfId="2554" priority="2556" operator="lessThan">
      <formula>0.8</formula>
    </cfRule>
  </conditionalFormatting>
  <conditionalFormatting sqref="P31">
    <cfRule type="cellIs" dxfId="2553" priority="2554" operator="greaterThan">
      <formula>0</formula>
    </cfRule>
  </conditionalFormatting>
  <conditionalFormatting sqref="Q31">
    <cfRule type="cellIs" dxfId="2552" priority="2553" operator="lessThan">
      <formula>0</formula>
    </cfRule>
  </conditionalFormatting>
  <conditionalFormatting sqref="R31">
    <cfRule type="cellIs" dxfId="2551" priority="2551" operator="lessThan">
      <formula>0.8</formula>
    </cfRule>
    <cfRule type="cellIs" dxfId="2550" priority="2552" operator="greaterThan">
      <formula>1</formula>
    </cfRule>
  </conditionalFormatting>
  <conditionalFormatting sqref="R31">
    <cfRule type="cellIs" dxfId="2549" priority="2549" operator="greaterThan">
      <formula>1</formula>
    </cfRule>
    <cfRule type="cellIs" dxfId="2548" priority="2550" operator="lessThan">
      <formula>0.8</formula>
    </cfRule>
  </conditionalFormatting>
  <conditionalFormatting sqref="P31">
    <cfRule type="cellIs" dxfId="2547" priority="2548" operator="greaterThan">
      <formula>0</formula>
    </cfRule>
  </conditionalFormatting>
  <conditionalFormatting sqref="P31">
    <cfRule type="cellIs" dxfId="2546" priority="2542" operator="greaterThan">
      <formula>0</formula>
    </cfRule>
  </conditionalFormatting>
  <conditionalFormatting sqref="Q31">
    <cfRule type="cellIs" dxfId="2545" priority="2547" operator="lessThan">
      <formula>0</formula>
    </cfRule>
  </conditionalFormatting>
  <conditionalFormatting sqref="R31">
    <cfRule type="cellIs" dxfId="2544" priority="2545" operator="lessThan">
      <formula>0.8</formula>
    </cfRule>
    <cfRule type="cellIs" dxfId="2543" priority="2546" operator="greaterThan">
      <formula>1</formula>
    </cfRule>
  </conditionalFormatting>
  <conditionalFormatting sqref="R31">
    <cfRule type="cellIs" dxfId="2542" priority="2543" operator="greaterThan">
      <formula>1</formula>
    </cfRule>
    <cfRule type="cellIs" dxfId="2541" priority="2544" operator="lessThan">
      <formula>0.8</formula>
    </cfRule>
  </conditionalFormatting>
  <conditionalFormatting sqref="P31">
    <cfRule type="cellIs" dxfId="2540" priority="2536" operator="greaterThan">
      <formula>0</formula>
    </cfRule>
  </conditionalFormatting>
  <conditionalFormatting sqref="Q31">
    <cfRule type="cellIs" dxfId="2539" priority="2541" operator="lessThan">
      <formula>0</formula>
    </cfRule>
  </conditionalFormatting>
  <conditionalFormatting sqref="R31">
    <cfRule type="cellIs" dxfId="2538" priority="2539" operator="lessThan">
      <formula>0.8</formula>
    </cfRule>
    <cfRule type="cellIs" dxfId="2537" priority="2540" operator="greaterThan">
      <formula>1</formula>
    </cfRule>
  </conditionalFormatting>
  <conditionalFormatting sqref="R31">
    <cfRule type="cellIs" dxfId="2536" priority="2537" operator="greaterThan">
      <formula>1</formula>
    </cfRule>
    <cfRule type="cellIs" dxfId="2535" priority="2538" operator="lessThan">
      <formula>0.8</formula>
    </cfRule>
  </conditionalFormatting>
  <conditionalFormatting sqref="R31">
    <cfRule type="cellIs" dxfId="2534" priority="2533" operator="lessThan">
      <formula>0.8</formula>
    </cfRule>
    <cfRule type="cellIs" dxfId="2533" priority="2534" operator="greaterThan">
      <formula>1</formula>
    </cfRule>
  </conditionalFormatting>
  <conditionalFormatting sqref="R31">
    <cfRule type="cellIs" dxfId="2532" priority="2531" operator="greaterThan">
      <formula>1</formula>
    </cfRule>
    <cfRule type="cellIs" dxfId="2531" priority="2532" operator="lessThan">
      <formula>0.8</formula>
    </cfRule>
  </conditionalFormatting>
  <conditionalFormatting sqref="P31">
    <cfRule type="cellIs" dxfId="2530" priority="2530" operator="greaterThan">
      <formula>0</formula>
    </cfRule>
  </conditionalFormatting>
  <conditionalFormatting sqref="Q31">
    <cfRule type="cellIs" dxfId="2529" priority="2535" operator="lessThan">
      <formula>0</formula>
    </cfRule>
  </conditionalFormatting>
  <conditionalFormatting sqref="Q31">
    <cfRule type="cellIs" dxfId="2528" priority="2529" operator="lessThan">
      <formula>0</formula>
    </cfRule>
  </conditionalFormatting>
  <conditionalFormatting sqref="R31">
    <cfRule type="cellIs" dxfId="2527" priority="2527" operator="lessThan">
      <formula>0.8</formula>
    </cfRule>
    <cfRule type="cellIs" dxfId="2526" priority="2528" operator="greaterThan">
      <formula>1</formula>
    </cfRule>
  </conditionalFormatting>
  <conditionalFormatting sqref="R31">
    <cfRule type="cellIs" dxfId="2525" priority="2525" operator="greaterThan">
      <formula>1</formula>
    </cfRule>
    <cfRule type="cellIs" dxfId="2524" priority="2526" operator="lessThan">
      <formula>0.8</formula>
    </cfRule>
  </conditionalFormatting>
  <conditionalFormatting sqref="P31">
    <cfRule type="cellIs" dxfId="2523" priority="2524" operator="greaterThan">
      <formula>0</formula>
    </cfRule>
  </conditionalFormatting>
  <conditionalFormatting sqref="P31">
    <cfRule type="cellIs" dxfId="2522" priority="2518" operator="greaterThan">
      <formula>0</formula>
    </cfRule>
  </conditionalFormatting>
  <conditionalFormatting sqref="Q31">
    <cfRule type="cellIs" dxfId="2521" priority="2523" operator="lessThan">
      <formula>0</formula>
    </cfRule>
  </conditionalFormatting>
  <conditionalFormatting sqref="R31">
    <cfRule type="cellIs" dxfId="2520" priority="2521" operator="lessThan">
      <formula>0.8</formula>
    </cfRule>
    <cfRule type="cellIs" dxfId="2519" priority="2522" operator="greaterThan">
      <formula>1</formula>
    </cfRule>
  </conditionalFormatting>
  <conditionalFormatting sqref="R31">
    <cfRule type="cellIs" dxfId="2518" priority="2519" operator="greaterThan">
      <formula>1</formula>
    </cfRule>
    <cfRule type="cellIs" dxfId="2517" priority="2520" operator="lessThan">
      <formula>0.8</formula>
    </cfRule>
  </conditionalFormatting>
  <conditionalFormatting sqref="P31">
    <cfRule type="cellIs" dxfId="2516" priority="2512" operator="greaterThan">
      <formula>0</formula>
    </cfRule>
  </conditionalFormatting>
  <conditionalFormatting sqref="Q31">
    <cfRule type="cellIs" dxfId="2515" priority="2517" operator="lessThan">
      <formula>0</formula>
    </cfRule>
  </conditionalFormatting>
  <conditionalFormatting sqref="R31">
    <cfRule type="cellIs" dxfId="2514" priority="2515" operator="lessThan">
      <formula>0.8</formula>
    </cfRule>
    <cfRule type="cellIs" dxfId="2513" priority="2516" operator="greaterThan">
      <formula>1</formula>
    </cfRule>
  </conditionalFormatting>
  <conditionalFormatting sqref="R31">
    <cfRule type="cellIs" dxfId="2512" priority="2513" operator="greaterThan">
      <formula>1</formula>
    </cfRule>
    <cfRule type="cellIs" dxfId="2511" priority="2514" operator="lessThan">
      <formula>0.8</formula>
    </cfRule>
  </conditionalFormatting>
  <conditionalFormatting sqref="R31">
    <cfRule type="cellIs" dxfId="2510" priority="2509" operator="lessThan">
      <formula>0.8</formula>
    </cfRule>
    <cfRule type="cellIs" dxfId="2509" priority="2510" operator="greaterThan">
      <formula>1</formula>
    </cfRule>
  </conditionalFormatting>
  <conditionalFormatting sqref="R31">
    <cfRule type="cellIs" dxfId="2508" priority="2507" operator="greaterThan">
      <formula>1</formula>
    </cfRule>
    <cfRule type="cellIs" dxfId="2507" priority="2508" operator="lessThan">
      <formula>0.8</formula>
    </cfRule>
  </conditionalFormatting>
  <conditionalFormatting sqref="P31">
    <cfRule type="cellIs" dxfId="2506" priority="2506" operator="greaterThan">
      <formula>0</formula>
    </cfRule>
  </conditionalFormatting>
  <conditionalFormatting sqref="Q31">
    <cfRule type="cellIs" dxfId="2505" priority="2511" operator="lessThan">
      <formula>0</formula>
    </cfRule>
  </conditionalFormatting>
  <conditionalFormatting sqref="P31">
    <cfRule type="cellIs" dxfId="2504" priority="2500" operator="greaterThan">
      <formula>0</formula>
    </cfRule>
  </conditionalFormatting>
  <conditionalFormatting sqref="Q31">
    <cfRule type="cellIs" dxfId="2503" priority="2505" operator="lessThan">
      <formula>0</formula>
    </cfRule>
  </conditionalFormatting>
  <conditionalFormatting sqref="R31">
    <cfRule type="cellIs" dxfId="2502" priority="2503" operator="lessThan">
      <formula>0.8</formula>
    </cfRule>
    <cfRule type="cellIs" dxfId="2501" priority="2504" operator="greaterThan">
      <formula>1</formula>
    </cfRule>
  </conditionalFormatting>
  <conditionalFormatting sqref="R31">
    <cfRule type="cellIs" dxfId="2500" priority="2501" operator="greaterThan">
      <formula>1</formula>
    </cfRule>
    <cfRule type="cellIs" dxfId="2499" priority="2502" operator="lessThan">
      <formula>0.8</formula>
    </cfRule>
  </conditionalFormatting>
  <conditionalFormatting sqref="R31">
    <cfRule type="cellIs" dxfId="2498" priority="2497" operator="lessThan">
      <formula>0.8</formula>
    </cfRule>
    <cfRule type="cellIs" dxfId="2497" priority="2498" operator="greaterThan">
      <formula>1</formula>
    </cfRule>
  </conditionalFormatting>
  <conditionalFormatting sqref="R31">
    <cfRule type="cellIs" dxfId="2496" priority="2495" operator="greaterThan">
      <formula>1</formula>
    </cfRule>
    <cfRule type="cellIs" dxfId="2495" priority="2496" operator="lessThan">
      <formula>0.8</formula>
    </cfRule>
  </conditionalFormatting>
  <conditionalFormatting sqref="P31">
    <cfRule type="cellIs" dxfId="2494" priority="2494" operator="greaterThan">
      <formula>0</formula>
    </cfRule>
  </conditionalFormatting>
  <conditionalFormatting sqref="Q31">
    <cfRule type="cellIs" dxfId="2493" priority="2499" operator="lessThan">
      <formula>0</formula>
    </cfRule>
  </conditionalFormatting>
  <conditionalFormatting sqref="R31">
    <cfRule type="cellIs" dxfId="2492" priority="2491" operator="lessThan">
      <formula>0.8</formula>
    </cfRule>
    <cfRule type="cellIs" dxfId="2491" priority="2492" operator="greaterThan">
      <formula>1</formula>
    </cfRule>
  </conditionalFormatting>
  <conditionalFormatting sqref="R31">
    <cfRule type="cellIs" dxfId="2490" priority="2489" operator="greaterThan">
      <formula>1</formula>
    </cfRule>
    <cfRule type="cellIs" dxfId="2489" priority="2490" operator="lessThan">
      <formula>0.8</formula>
    </cfRule>
  </conditionalFormatting>
  <conditionalFormatting sqref="P31">
    <cfRule type="cellIs" dxfId="2488" priority="2488" operator="greaterThan">
      <formula>0</formula>
    </cfRule>
  </conditionalFormatting>
  <conditionalFormatting sqref="Q31">
    <cfRule type="cellIs" dxfId="2487" priority="2493" operator="lessThan">
      <formula>0</formula>
    </cfRule>
  </conditionalFormatting>
  <conditionalFormatting sqref="Q31">
    <cfRule type="cellIs" dxfId="2486" priority="2487" operator="lessThan">
      <formula>0</formula>
    </cfRule>
  </conditionalFormatting>
  <conditionalFormatting sqref="R31">
    <cfRule type="cellIs" dxfId="2485" priority="2485" operator="lessThan">
      <formula>0.8</formula>
    </cfRule>
    <cfRule type="cellIs" dxfId="2484" priority="2486" operator="greaterThan">
      <formula>1</formula>
    </cfRule>
  </conditionalFormatting>
  <conditionalFormatting sqref="R31">
    <cfRule type="cellIs" dxfId="2483" priority="2483" operator="greaterThan">
      <formula>1</formula>
    </cfRule>
    <cfRule type="cellIs" dxfId="2482" priority="2484" operator="lessThan">
      <formula>0.8</formula>
    </cfRule>
  </conditionalFormatting>
  <conditionalFormatting sqref="P31">
    <cfRule type="cellIs" dxfId="2481" priority="2482" operator="greaterThan">
      <formula>0</formula>
    </cfRule>
  </conditionalFormatting>
  <conditionalFormatting sqref="Q31">
    <cfRule type="cellIs" dxfId="2480" priority="2476" operator="lessThan">
      <formula>0</formula>
    </cfRule>
  </conditionalFormatting>
  <conditionalFormatting sqref="R31">
    <cfRule type="cellIs" dxfId="2479" priority="2480" operator="lessThan">
      <formula>0.8</formula>
    </cfRule>
    <cfRule type="cellIs" dxfId="2478" priority="2481" operator="greaterThan">
      <formula>1</formula>
    </cfRule>
  </conditionalFormatting>
  <conditionalFormatting sqref="R31">
    <cfRule type="cellIs" dxfId="2477" priority="2478" operator="greaterThan">
      <formula>1</formula>
    </cfRule>
    <cfRule type="cellIs" dxfId="2476" priority="2479" operator="lessThan">
      <formula>0.8</formula>
    </cfRule>
  </conditionalFormatting>
  <conditionalFormatting sqref="P31">
    <cfRule type="cellIs" dxfId="2475" priority="2477" operator="greaterThan">
      <formula>0</formula>
    </cfRule>
  </conditionalFormatting>
  <conditionalFormatting sqref="Q31">
    <cfRule type="cellIs" dxfId="2474" priority="2475" operator="lessThan">
      <formula>0</formula>
    </cfRule>
  </conditionalFormatting>
  <conditionalFormatting sqref="R31">
    <cfRule type="cellIs" dxfId="2473" priority="2473" operator="lessThan">
      <formula>0.8</formula>
    </cfRule>
    <cfRule type="cellIs" dxfId="2472" priority="2474" operator="greaterThan">
      <formula>1</formula>
    </cfRule>
  </conditionalFormatting>
  <conditionalFormatting sqref="R31">
    <cfRule type="cellIs" dxfId="2471" priority="2471" operator="greaterThan">
      <formula>1</formula>
    </cfRule>
    <cfRule type="cellIs" dxfId="2470" priority="2472" operator="lessThan">
      <formula>0.8</formula>
    </cfRule>
  </conditionalFormatting>
  <conditionalFormatting sqref="P31">
    <cfRule type="cellIs" dxfId="2469" priority="2470" operator="greaterThan">
      <formula>0</formula>
    </cfRule>
  </conditionalFormatting>
  <conditionalFormatting sqref="Q31">
    <cfRule type="cellIs" dxfId="2468" priority="2469" operator="lessThan">
      <formula>0</formula>
    </cfRule>
  </conditionalFormatting>
  <conditionalFormatting sqref="R31">
    <cfRule type="cellIs" dxfId="2467" priority="2467" operator="lessThan">
      <formula>0.8</formula>
    </cfRule>
    <cfRule type="cellIs" dxfId="2466" priority="2468" operator="greaterThan">
      <formula>1</formula>
    </cfRule>
  </conditionalFormatting>
  <conditionalFormatting sqref="R31">
    <cfRule type="cellIs" dxfId="2465" priority="2465" operator="greaterThan">
      <formula>1</formula>
    </cfRule>
    <cfRule type="cellIs" dxfId="2464" priority="2466" operator="lessThan">
      <formula>0.8</formula>
    </cfRule>
  </conditionalFormatting>
  <conditionalFormatting sqref="P31">
    <cfRule type="cellIs" dxfId="2463" priority="2464" operator="greaterThan">
      <formula>0</formula>
    </cfRule>
  </conditionalFormatting>
  <conditionalFormatting sqref="Q31">
    <cfRule type="cellIs" dxfId="2462" priority="2463" operator="lessThan">
      <formula>0</formula>
    </cfRule>
  </conditionalFormatting>
  <conditionalFormatting sqref="R31">
    <cfRule type="cellIs" dxfId="2461" priority="2461" operator="lessThan">
      <formula>0.8</formula>
    </cfRule>
    <cfRule type="cellIs" dxfId="2460" priority="2462" operator="greaterThan">
      <formula>1</formula>
    </cfRule>
  </conditionalFormatting>
  <conditionalFormatting sqref="R31">
    <cfRule type="cellIs" dxfId="2459" priority="2459" operator="greaterThan">
      <formula>1</formula>
    </cfRule>
    <cfRule type="cellIs" dxfId="2458" priority="2460" operator="lessThan">
      <formula>0.8</formula>
    </cfRule>
  </conditionalFormatting>
  <conditionalFormatting sqref="P31">
    <cfRule type="cellIs" dxfId="2457" priority="2458" operator="greaterThan">
      <formula>0</formula>
    </cfRule>
  </conditionalFormatting>
  <conditionalFormatting sqref="Q31">
    <cfRule type="cellIs" dxfId="2456" priority="2457" operator="lessThan">
      <formula>0</formula>
    </cfRule>
  </conditionalFormatting>
  <conditionalFormatting sqref="R31">
    <cfRule type="cellIs" dxfId="2455" priority="2455" operator="lessThan">
      <formula>0.8</formula>
    </cfRule>
    <cfRule type="cellIs" dxfId="2454" priority="2456" operator="greaterThan">
      <formula>1</formula>
    </cfRule>
  </conditionalFormatting>
  <conditionalFormatting sqref="R31">
    <cfRule type="cellIs" dxfId="2453" priority="2453" operator="greaterThan">
      <formula>1</formula>
    </cfRule>
    <cfRule type="cellIs" dxfId="2452" priority="2454" operator="lessThan">
      <formula>0.8</formula>
    </cfRule>
  </conditionalFormatting>
  <conditionalFormatting sqref="P31">
    <cfRule type="cellIs" dxfId="2451" priority="2452" operator="greaterThan">
      <formula>0</formula>
    </cfRule>
  </conditionalFormatting>
  <conditionalFormatting sqref="Q31">
    <cfRule type="cellIs" dxfId="2450" priority="2451" operator="lessThan">
      <formula>0</formula>
    </cfRule>
  </conditionalFormatting>
  <conditionalFormatting sqref="R31">
    <cfRule type="cellIs" dxfId="2449" priority="2449" operator="lessThan">
      <formula>0.8</formula>
    </cfRule>
    <cfRule type="cellIs" dxfId="2448" priority="2450" operator="greaterThan">
      <formula>1</formula>
    </cfRule>
  </conditionalFormatting>
  <conditionalFormatting sqref="R31">
    <cfRule type="cellIs" dxfId="2447" priority="2447" operator="greaterThan">
      <formula>1</formula>
    </cfRule>
    <cfRule type="cellIs" dxfId="2446" priority="2448" operator="lessThan">
      <formula>0.8</formula>
    </cfRule>
  </conditionalFormatting>
  <conditionalFormatting sqref="P31">
    <cfRule type="cellIs" dxfId="2445" priority="2446" operator="greaterThan">
      <formula>0</formula>
    </cfRule>
  </conditionalFormatting>
  <conditionalFormatting sqref="P31">
    <cfRule type="cellIs" dxfId="2444" priority="2440" operator="greaterThan">
      <formula>0</formula>
    </cfRule>
  </conditionalFormatting>
  <conditionalFormatting sqref="Q31">
    <cfRule type="cellIs" dxfId="2443" priority="2445" operator="lessThan">
      <formula>0</formula>
    </cfRule>
  </conditionalFormatting>
  <conditionalFormatting sqref="R31">
    <cfRule type="cellIs" dxfId="2442" priority="2443" operator="lessThan">
      <formula>0.8</formula>
    </cfRule>
    <cfRule type="cellIs" dxfId="2441" priority="2444" operator="greaterThan">
      <formula>1</formula>
    </cfRule>
  </conditionalFormatting>
  <conditionalFormatting sqref="R31">
    <cfRule type="cellIs" dxfId="2440" priority="2441" operator="greaterThan">
      <formula>1</formula>
    </cfRule>
    <cfRule type="cellIs" dxfId="2439" priority="2442" operator="lessThan">
      <formula>0.8</formula>
    </cfRule>
  </conditionalFormatting>
  <conditionalFormatting sqref="P31">
    <cfRule type="cellIs" dxfId="2438" priority="2434" operator="greaterThan">
      <formula>0</formula>
    </cfRule>
  </conditionalFormatting>
  <conditionalFormatting sqref="Q31">
    <cfRule type="cellIs" dxfId="2437" priority="2439" operator="lessThan">
      <formula>0</formula>
    </cfRule>
  </conditionalFormatting>
  <conditionalFormatting sqref="R31">
    <cfRule type="cellIs" dxfId="2436" priority="2437" operator="lessThan">
      <formula>0.8</formula>
    </cfRule>
    <cfRule type="cellIs" dxfId="2435" priority="2438" operator="greaterThan">
      <formula>1</formula>
    </cfRule>
  </conditionalFormatting>
  <conditionalFormatting sqref="R31">
    <cfRule type="cellIs" dxfId="2434" priority="2435" operator="greaterThan">
      <formula>1</formula>
    </cfRule>
    <cfRule type="cellIs" dxfId="2433" priority="2436" operator="lessThan">
      <formula>0.8</formula>
    </cfRule>
  </conditionalFormatting>
  <conditionalFormatting sqref="R31">
    <cfRule type="cellIs" dxfId="2432" priority="2431" operator="lessThan">
      <formula>0.8</formula>
    </cfRule>
    <cfRule type="cellIs" dxfId="2431" priority="2432" operator="greaterThan">
      <formula>1</formula>
    </cfRule>
  </conditionalFormatting>
  <conditionalFormatting sqref="R31">
    <cfRule type="cellIs" dxfId="2430" priority="2429" operator="greaterThan">
      <formula>1</formula>
    </cfRule>
    <cfRule type="cellIs" dxfId="2429" priority="2430" operator="lessThan">
      <formula>0.8</formula>
    </cfRule>
  </conditionalFormatting>
  <conditionalFormatting sqref="P31">
    <cfRule type="cellIs" dxfId="2428" priority="2428" operator="greaterThan">
      <formula>0</formula>
    </cfRule>
  </conditionalFormatting>
  <conditionalFormatting sqref="Q31">
    <cfRule type="cellIs" dxfId="2427" priority="2433" operator="lessThan">
      <formula>0</formula>
    </cfRule>
  </conditionalFormatting>
  <conditionalFormatting sqref="Q31">
    <cfRule type="cellIs" dxfId="2426" priority="2427" operator="lessThan">
      <formula>0</formula>
    </cfRule>
  </conditionalFormatting>
  <conditionalFormatting sqref="R31">
    <cfRule type="cellIs" dxfId="2425" priority="2425" operator="lessThan">
      <formula>0.8</formula>
    </cfRule>
    <cfRule type="cellIs" dxfId="2424" priority="2426" operator="greaterThan">
      <formula>1</formula>
    </cfRule>
  </conditionalFormatting>
  <conditionalFormatting sqref="R31">
    <cfRule type="cellIs" dxfId="2423" priority="2423" operator="greaterThan">
      <formula>1</formula>
    </cfRule>
    <cfRule type="cellIs" dxfId="2422" priority="2424" operator="lessThan">
      <formula>0.8</formula>
    </cfRule>
  </conditionalFormatting>
  <conditionalFormatting sqref="P31">
    <cfRule type="cellIs" dxfId="2421" priority="2422" operator="greaterThan">
      <formula>0</formula>
    </cfRule>
  </conditionalFormatting>
  <conditionalFormatting sqref="Q31">
    <cfRule type="cellIs" dxfId="2420" priority="2421" operator="lessThan">
      <formula>0</formula>
    </cfRule>
  </conditionalFormatting>
  <conditionalFormatting sqref="R31">
    <cfRule type="cellIs" dxfId="2419" priority="2419" operator="lessThan">
      <formula>0.8</formula>
    </cfRule>
    <cfRule type="cellIs" dxfId="2418" priority="2420" operator="greaterThan">
      <formula>1</formula>
    </cfRule>
  </conditionalFormatting>
  <conditionalFormatting sqref="R31">
    <cfRule type="cellIs" dxfId="2417" priority="2417" operator="greaterThan">
      <formula>1</formula>
    </cfRule>
    <cfRule type="cellIs" dxfId="2416" priority="2418" operator="lessThan">
      <formula>0.8</formula>
    </cfRule>
  </conditionalFormatting>
  <conditionalFormatting sqref="P31">
    <cfRule type="cellIs" dxfId="2415" priority="2416" operator="greaterThan">
      <formula>0</formula>
    </cfRule>
  </conditionalFormatting>
  <conditionalFormatting sqref="Q31">
    <cfRule type="cellIs" dxfId="2414" priority="2415" operator="lessThan">
      <formula>0</formula>
    </cfRule>
  </conditionalFormatting>
  <conditionalFormatting sqref="R31">
    <cfRule type="cellIs" dxfId="2413" priority="2413" operator="lessThan">
      <formula>0.8</formula>
    </cfRule>
    <cfRule type="cellIs" dxfId="2412" priority="2414" operator="greaterThan">
      <formula>1</formula>
    </cfRule>
  </conditionalFormatting>
  <conditionalFormatting sqref="R31">
    <cfRule type="cellIs" dxfId="2411" priority="2411" operator="greaterThan">
      <formula>1</formula>
    </cfRule>
    <cfRule type="cellIs" dxfId="2410" priority="2412" operator="lessThan">
      <formula>0.8</formula>
    </cfRule>
  </conditionalFormatting>
  <conditionalFormatting sqref="P31">
    <cfRule type="cellIs" dxfId="2409" priority="2410" operator="greaterThan">
      <formula>0</formula>
    </cfRule>
  </conditionalFormatting>
  <conditionalFormatting sqref="Q31">
    <cfRule type="cellIs" dxfId="2408" priority="2409" operator="lessThan">
      <formula>0</formula>
    </cfRule>
  </conditionalFormatting>
  <conditionalFormatting sqref="R31">
    <cfRule type="cellIs" dxfId="2407" priority="2407" operator="lessThan">
      <formula>0.8</formula>
    </cfRule>
    <cfRule type="cellIs" dxfId="2406" priority="2408" operator="greaterThan">
      <formula>1</formula>
    </cfRule>
  </conditionalFormatting>
  <conditionalFormatting sqref="R31">
    <cfRule type="cellIs" dxfId="2405" priority="2405" operator="greaterThan">
      <formula>1</formula>
    </cfRule>
    <cfRule type="cellIs" dxfId="2404" priority="2406" operator="lessThan">
      <formula>0.8</formula>
    </cfRule>
  </conditionalFormatting>
  <conditionalFormatting sqref="P31">
    <cfRule type="cellIs" dxfId="2403" priority="2404" operator="greaterThan">
      <formula>0</formula>
    </cfRule>
  </conditionalFormatting>
  <conditionalFormatting sqref="P31">
    <cfRule type="cellIs" dxfId="2402" priority="2398" operator="greaterThan">
      <formula>0</formula>
    </cfRule>
  </conditionalFormatting>
  <conditionalFormatting sqref="Q31">
    <cfRule type="cellIs" dxfId="2401" priority="2403" operator="lessThan">
      <formula>0</formula>
    </cfRule>
  </conditionalFormatting>
  <conditionalFormatting sqref="R31">
    <cfRule type="cellIs" dxfId="2400" priority="2401" operator="lessThan">
      <formula>0.8</formula>
    </cfRule>
    <cfRule type="cellIs" dxfId="2399" priority="2402" operator="greaterThan">
      <formula>1</formula>
    </cfRule>
  </conditionalFormatting>
  <conditionalFormatting sqref="R31">
    <cfRule type="cellIs" dxfId="2398" priority="2399" operator="greaterThan">
      <formula>1</formula>
    </cfRule>
    <cfRule type="cellIs" dxfId="2397" priority="2400" operator="lessThan">
      <formula>0.8</formula>
    </cfRule>
  </conditionalFormatting>
  <conditionalFormatting sqref="P31">
    <cfRule type="cellIs" dxfId="2396" priority="2392" operator="greaterThan">
      <formula>0</formula>
    </cfRule>
  </conditionalFormatting>
  <conditionalFormatting sqref="Q31">
    <cfRule type="cellIs" dxfId="2395" priority="2397" operator="lessThan">
      <formula>0</formula>
    </cfRule>
  </conditionalFormatting>
  <conditionalFormatting sqref="R31">
    <cfRule type="cellIs" dxfId="2394" priority="2395" operator="lessThan">
      <formula>0.8</formula>
    </cfRule>
    <cfRule type="cellIs" dxfId="2393" priority="2396" operator="greaterThan">
      <formula>1</formula>
    </cfRule>
  </conditionalFormatting>
  <conditionalFormatting sqref="R31">
    <cfRule type="cellIs" dxfId="2392" priority="2393" operator="greaterThan">
      <formula>1</formula>
    </cfRule>
    <cfRule type="cellIs" dxfId="2391" priority="2394" operator="lessThan">
      <formula>0.8</formula>
    </cfRule>
  </conditionalFormatting>
  <conditionalFormatting sqref="R31">
    <cfRule type="cellIs" dxfId="2390" priority="2389" operator="lessThan">
      <formula>0.8</formula>
    </cfRule>
    <cfRule type="cellIs" dxfId="2389" priority="2390" operator="greaterThan">
      <formula>1</formula>
    </cfRule>
  </conditionalFormatting>
  <conditionalFormatting sqref="R31">
    <cfRule type="cellIs" dxfId="2388" priority="2387" operator="greaterThan">
      <formula>1</formula>
    </cfRule>
    <cfRule type="cellIs" dxfId="2387" priority="2388" operator="lessThan">
      <formula>0.8</formula>
    </cfRule>
  </conditionalFormatting>
  <conditionalFormatting sqref="P31">
    <cfRule type="cellIs" dxfId="2386" priority="2386" operator="greaterThan">
      <formula>0</formula>
    </cfRule>
  </conditionalFormatting>
  <conditionalFormatting sqref="Q31">
    <cfRule type="cellIs" dxfId="2385" priority="2391" operator="lessThan">
      <formula>0</formula>
    </cfRule>
  </conditionalFormatting>
  <conditionalFormatting sqref="Q31">
    <cfRule type="cellIs" dxfId="2384" priority="2385" operator="lessThan">
      <formula>0</formula>
    </cfRule>
  </conditionalFormatting>
  <conditionalFormatting sqref="R31">
    <cfRule type="cellIs" dxfId="2383" priority="2383" operator="lessThan">
      <formula>0.8</formula>
    </cfRule>
    <cfRule type="cellIs" dxfId="2382" priority="2384" operator="greaterThan">
      <formula>1</formula>
    </cfRule>
  </conditionalFormatting>
  <conditionalFormatting sqref="R31">
    <cfRule type="cellIs" dxfId="2381" priority="2381" operator="greaterThan">
      <formula>1</formula>
    </cfRule>
    <cfRule type="cellIs" dxfId="2380" priority="2382" operator="lessThan">
      <formula>0.8</formula>
    </cfRule>
  </conditionalFormatting>
  <conditionalFormatting sqref="P31">
    <cfRule type="cellIs" dxfId="2379" priority="2380" operator="greaterThan">
      <formula>0</formula>
    </cfRule>
  </conditionalFormatting>
  <conditionalFormatting sqref="P31">
    <cfRule type="cellIs" dxfId="2378" priority="2374" operator="greaterThan">
      <formula>0</formula>
    </cfRule>
  </conditionalFormatting>
  <conditionalFormatting sqref="Q31">
    <cfRule type="cellIs" dxfId="2377" priority="2379" operator="lessThan">
      <formula>0</formula>
    </cfRule>
  </conditionalFormatting>
  <conditionalFormatting sqref="R31">
    <cfRule type="cellIs" dxfId="2376" priority="2377" operator="lessThan">
      <formula>0.8</formula>
    </cfRule>
    <cfRule type="cellIs" dxfId="2375" priority="2378" operator="greaterThan">
      <formula>1</formula>
    </cfRule>
  </conditionalFormatting>
  <conditionalFormatting sqref="R31">
    <cfRule type="cellIs" dxfId="2374" priority="2375" operator="greaterThan">
      <formula>1</formula>
    </cfRule>
    <cfRule type="cellIs" dxfId="2373" priority="2376" operator="lessThan">
      <formula>0.8</formula>
    </cfRule>
  </conditionalFormatting>
  <conditionalFormatting sqref="P31">
    <cfRule type="cellIs" dxfId="2372" priority="2368" operator="greaterThan">
      <formula>0</formula>
    </cfRule>
  </conditionalFormatting>
  <conditionalFormatting sqref="Q31">
    <cfRule type="cellIs" dxfId="2371" priority="2373" operator="lessThan">
      <formula>0</formula>
    </cfRule>
  </conditionalFormatting>
  <conditionalFormatting sqref="R31">
    <cfRule type="cellIs" dxfId="2370" priority="2371" operator="lessThan">
      <formula>0.8</formula>
    </cfRule>
    <cfRule type="cellIs" dxfId="2369" priority="2372" operator="greaterThan">
      <formula>1</formula>
    </cfRule>
  </conditionalFormatting>
  <conditionalFormatting sqref="R31">
    <cfRule type="cellIs" dxfId="2368" priority="2369" operator="greaterThan">
      <formula>1</formula>
    </cfRule>
    <cfRule type="cellIs" dxfId="2367" priority="2370" operator="lessThan">
      <formula>0.8</formula>
    </cfRule>
  </conditionalFormatting>
  <conditionalFormatting sqref="R31">
    <cfRule type="cellIs" dxfId="2366" priority="2365" operator="lessThan">
      <formula>0.8</formula>
    </cfRule>
    <cfRule type="cellIs" dxfId="2365" priority="2366" operator="greaterThan">
      <formula>1</formula>
    </cfRule>
  </conditionalFormatting>
  <conditionalFormatting sqref="R31">
    <cfRule type="cellIs" dxfId="2364" priority="2363" operator="greaterThan">
      <formula>1</formula>
    </cfRule>
    <cfRule type="cellIs" dxfId="2363" priority="2364" operator="lessThan">
      <formula>0.8</formula>
    </cfRule>
  </conditionalFormatting>
  <conditionalFormatting sqref="P31">
    <cfRule type="cellIs" dxfId="2362" priority="2362" operator="greaterThan">
      <formula>0</formula>
    </cfRule>
  </conditionalFormatting>
  <conditionalFormatting sqref="Q31">
    <cfRule type="cellIs" dxfId="2361" priority="2367" operator="lessThan">
      <formula>0</formula>
    </cfRule>
  </conditionalFormatting>
  <conditionalFormatting sqref="P31">
    <cfRule type="cellIs" dxfId="2360" priority="2356" operator="greaterThan">
      <formula>0</formula>
    </cfRule>
  </conditionalFormatting>
  <conditionalFormatting sqref="Q31">
    <cfRule type="cellIs" dxfId="2359" priority="2361" operator="lessThan">
      <formula>0</formula>
    </cfRule>
  </conditionalFormatting>
  <conditionalFormatting sqref="R31">
    <cfRule type="cellIs" dxfId="2358" priority="2359" operator="lessThan">
      <formula>0.8</formula>
    </cfRule>
    <cfRule type="cellIs" dxfId="2357" priority="2360" operator="greaterThan">
      <formula>1</formula>
    </cfRule>
  </conditionalFormatting>
  <conditionalFormatting sqref="R31">
    <cfRule type="cellIs" dxfId="2356" priority="2357" operator="greaterThan">
      <formula>1</formula>
    </cfRule>
    <cfRule type="cellIs" dxfId="2355" priority="2358" operator="lessThan">
      <formula>0.8</formula>
    </cfRule>
  </conditionalFormatting>
  <conditionalFormatting sqref="R31">
    <cfRule type="cellIs" dxfId="2354" priority="2353" operator="lessThan">
      <formula>0.8</formula>
    </cfRule>
    <cfRule type="cellIs" dxfId="2353" priority="2354" operator="greaterThan">
      <formula>1</formula>
    </cfRule>
  </conditionalFormatting>
  <conditionalFormatting sqref="R31">
    <cfRule type="cellIs" dxfId="2352" priority="2351" operator="greaterThan">
      <formula>1</formula>
    </cfRule>
    <cfRule type="cellIs" dxfId="2351" priority="2352" operator="lessThan">
      <formula>0.8</formula>
    </cfRule>
  </conditionalFormatting>
  <conditionalFormatting sqref="P31">
    <cfRule type="cellIs" dxfId="2350" priority="2350" operator="greaterThan">
      <formula>0</formula>
    </cfRule>
  </conditionalFormatting>
  <conditionalFormatting sqref="Q31">
    <cfRule type="cellIs" dxfId="2349" priority="2355" operator="lessThan">
      <formula>0</formula>
    </cfRule>
  </conditionalFormatting>
  <conditionalFormatting sqref="R31">
    <cfRule type="cellIs" dxfId="2348" priority="2347" operator="lessThan">
      <formula>0.8</formula>
    </cfRule>
    <cfRule type="cellIs" dxfId="2347" priority="2348" operator="greaterThan">
      <formula>1</formula>
    </cfRule>
  </conditionalFormatting>
  <conditionalFormatting sqref="R31">
    <cfRule type="cellIs" dxfId="2346" priority="2345" operator="greaterThan">
      <formula>1</formula>
    </cfRule>
    <cfRule type="cellIs" dxfId="2345" priority="2346" operator="lessThan">
      <formula>0.8</formula>
    </cfRule>
  </conditionalFormatting>
  <conditionalFormatting sqref="P31">
    <cfRule type="cellIs" dxfId="2344" priority="2344" operator="greaterThan">
      <formula>0</formula>
    </cfRule>
  </conditionalFormatting>
  <conditionalFormatting sqref="Q31">
    <cfRule type="cellIs" dxfId="2343" priority="2349" operator="lessThan">
      <formula>0</formula>
    </cfRule>
  </conditionalFormatting>
  <conditionalFormatting sqref="Q31">
    <cfRule type="cellIs" dxfId="2342" priority="2343" operator="lessThan">
      <formula>0</formula>
    </cfRule>
  </conditionalFormatting>
  <conditionalFormatting sqref="R31">
    <cfRule type="cellIs" dxfId="2341" priority="2341" operator="lessThan">
      <formula>0.8</formula>
    </cfRule>
    <cfRule type="cellIs" dxfId="2340" priority="2342" operator="greaterThan">
      <formula>1</formula>
    </cfRule>
  </conditionalFormatting>
  <conditionalFormatting sqref="R31">
    <cfRule type="cellIs" dxfId="2339" priority="2339" operator="greaterThan">
      <formula>1</formula>
    </cfRule>
    <cfRule type="cellIs" dxfId="2338" priority="2340" operator="lessThan">
      <formula>0.8</formula>
    </cfRule>
  </conditionalFormatting>
  <conditionalFormatting sqref="P31">
    <cfRule type="cellIs" dxfId="2337" priority="2338" operator="greaterThan">
      <formula>0</formula>
    </cfRule>
  </conditionalFormatting>
  <conditionalFormatting sqref="Q31">
    <cfRule type="cellIs" dxfId="2336" priority="2332" operator="lessThan">
      <formula>0</formula>
    </cfRule>
  </conditionalFormatting>
  <conditionalFormatting sqref="R31">
    <cfRule type="cellIs" dxfId="2335" priority="2336" operator="lessThan">
      <formula>0.8</formula>
    </cfRule>
    <cfRule type="cellIs" dxfId="2334" priority="2337" operator="greaterThan">
      <formula>1</formula>
    </cfRule>
  </conditionalFormatting>
  <conditionalFormatting sqref="R31">
    <cfRule type="cellIs" dxfId="2333" priority="2334" operator="greaterThan">
      <formula>1</formula>
    </cfRule>
    <cfRule type="cellIs" dxfId="2332" priority="2335" operator="lessThan">
      <formula>0.8</formula>
    </cfRule>
  </conditionalFormatting>
  <conditionalFormatting sqref="P31">
    <cfRule type="cellIs" dxfId="2331" priority="2333" operator="greaterThan">
      <formula>0</formula>
    </cfRule>
  </conditionalFormatting>
  <conditionalFormatting sqref="Q31">
    <cfRule type="cellIs" dxfId="2330" priority="2331" operator="lessThan">
      <formula>0</formula>
    </cfRule>
  </conditionalFormatting>
  <conditionalFormatting sqref="R31">
    <cfRule type="cellIs" dxfId="2329" priority="2329" operator="lessThan">
      <formula>0.8</formula>
    </cfRule>
    <cfRule type="cellIs" dxfId="2328" priority="2330" operator="greaterThan">
      <formula>1</formula>
    </cfRule>
  </conditionalFormatting>
  <conditionalFormatting sqref="R31">
    <cfRule type="cellIs" dxfId="2327" priority="2327" operator="greaterThan">
      <formula>1</formula>
    </cfRule>
    <cfRule type="cellIs" dxfId="2326" priority="2328" operator="lessThan">
      <formula>0.8</formula>
    </cfRule>
  </conditionalFormatting>
  <conditionalFormatting sqref="P31">
    <cfRule type="cellIs" dxfId="2325" priority="2326" operator="greaterThan">
      <formula>0</formula>
    </cfRule>
  </conditionalFormatting>
  <conditionalFormatting sqref="Q31">
    <cfRule type="cellIs" dxfId="2324" priority="2325" operator="lessThan">
      <formula>0</formula>
    </cfRule>
  </conditionalFormatting>
  <conditionalFormatting sqref="R31">
    <cfRule type="cellIs" dxfId="2323" priority="2323" operator="lessThan">
      <formula>0.8</formula>
    </cfRule>
    <cfRule type="cellIs" dxfId="2322" priority="2324" operator="greaterThan">
      <formula>1</formula>
    </cfRule>
  </conditionalFormatting>
  <conditionalFormatting sqref="R31">
    <cfRule type="cellIs" dxfId="2321" priority="2321" operator="greaterThan">
      <formula>1</formula>
    </cfRule>
    <cfRule type="cellIs" dxfId="2320" priority="2322" operator="lessThan">
      <formula>0.8</formula>
    </cfRule>
  </conditionalFormatting>
  <conditionalFormatting sqref="P31">
    <cfRule type="cellIs" dxfId="2319" priority="2320" operator="greaterThan">
      <formula>0</formula>
    </cfRule>
  </conditionalFormatting>
  <conditionalFormatting sqref="Q31">
    <cfRule type="cellIs" dxfId="2318" priority="2319" operator="lessThan">
      <formula>0</formula>
    </cfRule>
  </conditionalFormatting>
  <conditionalFormatting sqref="R31">
    <cfRule type="cellIs" dxfId="2317" priority="2317" operator="lessThan">
      <formula>0.8</formula>
    </cfRule>
    <cfRule type="cellIs" dxfId="2316" priority="2318" operator="greaterThan">
      <formula>1</formula>
    </cfRule>
  </conditionalFormatting>
  <conditionalFormatting sqref="R31">
    <cfRule type="cellIs" dxfId="2315" priority="2315" operator="greaterThan">
      <formula>1</formula>
    </cfRule>
    <cfRule type="cellIs" dxfId="2314" priority="2316" operator="lessThan">
      <formula>0.8</formula>
    </cfRule>
  </conditionalFormatting>
  <conditionalFormatting sqref="P31">
    <cfRule type="cellIs" dxfId="2313" priority="2314" operator="greaterThan">
      <formula>0</formula>
    </cfRule>
  </conditionalFormatting>
  <conditionalFormatting sqref="Q31">
    <cfRule type="cellIs" dxfId="2312" priority="2313" operator="lessThan">
      <formula>0</formula>
    </cfRule>
  </conditionalFormatting>
  <conditionalFormatting sqref="R31">
    <cfRule type="cellIs" dxfId="2311" priority="2311" operator="lessThan">
      <formula>0.8</formula>
    </cfRule>
    <cfRule type="cellIs" dxfId="2310" priority="2312" operator="greaterThan">
      <formula>1</formula>
    </cfRule>
  </conditionalFormatting>
  <conditionalFormatting sqref="R31">
    <cfRule type="cellIs" dxfId="2309" priority="2309" operator="greaterThan">
      <formula>1</formula>
    </cfRule>
    <cfRule type="cellIs" dxfId="2308" priority="2310" operator="lessThan">
      <formula>0.8</formula>
    </cfRule>
  </conditionalFormatting>
  <conditionalFormatting sqref="P31">
    <cfRule type="cellIs" dxfId="2307" priority="2308" operator="greaterThan">
      <formula>0</formula>
    </cfRule>
  </conditionalFormatting>
  <conditionalFormatting sqref="Q31">
    <cfRule type="cellIs" dxfId="2306" priority="2307" operator="lessThan">
      <formula>0</formula>
    </cfRule>
  </conditionalFormatting>
  <conditionalFormatting sqref="R31">
    <cfRule type="cellIs" dxfId="2305" priority="2305" operator="lessThan">
      <formula>0.8</formula>
    </cfRule>
    <cfRule type="cellIs" dxfId="2304" priority="2306" operator="greaterThan">
      <formula>1</formula>
    </cfRule>
  </conditionalFormatting>
  <conditionalFormatting sqref="R31">
    <cfRule type="cellIs" dxfId="2303" priority="2303" operator="greaterThan">
      <formula>1</formula>
    </cfRule>
    <cfRule type="cellIs" dxfId="2302" priority="2304" operator="lessThan">
      <formula>0.8</formula>
    </cfRule>
  </conditionalFormatting>
  <conditionalFormatting sqref="P31">
    <cfRule type="cellIs" dxfId="2301" priority="2302" operator="greaterThan">
      <formula>0</formula>
    </cfRule>
  </conditionalFormatting>
  <conditionalFormatting sqref="P31">
    <cfRule type="cellIs" dxfId="2300" priority="2296" operator="greaterThan">
      <formula>0</formula>
    </cfRule>
  </conditionalFormatting>
  <conditionalFormatting sqref="Q31">
    <cfRule type="cellIs" dxfId="2299" priority="2301" operator="lessThan">
      <formula>0</formula>
    </cfRule>
  </conditionalFormatting>
  <conditionalFormatting sqref="R31">
    <cfRule type="cellIs" dxfId="2298" priority="2299" operator="lessThan">
      <formula>0.8</formula>
    </cfRule>
    <cfRule type="cellIs" dxfId="2297" priority="2300" operator="greaterThan">
      <formula>1</formula>
    </cfRule>
  </conditionalFormatting>
  <conditionalFormatting sqref="R31">
    <cfRule type="cellIs" dxfId="2296" priority="2297" operator="greaterThan">
      <formula>1</formula>
    </cfRule>
    <cfRule type="cellIs" dxfId="2295" priority="2298" operator="lessThan">
      <formula>0.8</formula>
    </cfRule>
  </conditionalFormatting>
  <conditionalFormatting sqref="P31">
    <cfRule type="cellIs" dxfId="2294" priority="2290" operator="greaterThan">
      <formula>0</formula>
    </cfRule>
  </conditionalFormatting>
  <conditionalFormatting sqref="Q31">
    <cfRule type="cellIs" dxfId="2293" priority="2295" operator="lessThan">
      <formula>0</formula>
    </cfRule>
  </conditionalFormatting>
  <conditionalFormatting sqref="R31">
    <cfRule type="cellIs" dxfId="2292" priority="2293" operator="lessThan">
      <formula>0.8</formula>
    </cfRule>
    <cfRule type="cellIs" dxfId="2291" priority="2294" operator="greaterThan">
      <formula>1</formula>
    </cfRule>
  </conditionalFormatting>
  <conditionalFormatting sqref="R31">
    <cfRule type="cellIs" dxfId="2290" priority="2291" operator="greaterThan">
      <formula>1</formula>
    </cfRule>
    <cfRule type="cellIs" dxfId="2289" priority="2292" operator="lessThan">
      <formula>0.8</formula>
    </cfRule>
  </conditionalFormatting>
  <conditionalFormatting sqref="R31">
    <cfRule type="cellIs" dxfId="2288" priority="2287" operator="lessThan">
      <formula>0.8</formula>
    </cfRule>
    <cfRule type="cellIs" dxfId="2287" priority="2288" operator="greaterThan">
      <formula>1</formula>
    </cfRule>
  </conditionalFormatting>
  <conditionalFormatting sqref="R31">
    <cfRule type="cellIs" dxfId="2286" priority="2285" operator="greaterThan">
      <formula>1</formula>
    </cfRule>
    <cfRule type="cellIs" dxfId="2285" priority="2286" operator="lessThan">
      <formula>0.8</formula>
    </cfRule>
  </conditionalFormatting>
  <conditionalFormatting sqref="P31">
    <cfRule type="cellIs" dxfId="2284" priority="2284" operator="greaterThan">
      <formula>0</formula>
    </cfRule>
  </conditionalFormatting>
  <conditionalFormatting sqref="Q31">
    <cfRule type="cellIs" dxfId="2283" priority="2289" operator="lessThan">
      <formula>0</formula>
    </cfRule>
  </conditionalFormatting>
  <conditionalFormatting sqref="P79">
    <cfRule type="cellIs" dxfId="2282" priority="2278" operator="greaterThan">
      <formula>0</formula>
    </cfRule>
  </conditionalFormatting>
  <conditionalFormatting sqref="Q79">
    <cfRule type="cellIs" dxfId="2281" priority="2283" operator="lessThan">
      <formula>0</formula>
    </cfRule>
  </conditionalFormatting>
  <conditionalFormatting sqref="R79">
    <cfRule type="cellIs" dxfId="2280" priority="2281" operator="lessThan">
      <formula>0.8</formula>
    </cfRule>
    <cfRule type="cellIs" dxfId="2279" priority="2282" operator="greaterThan">
      <formula>1</formula>
    </cfRule>
  </conditionalFormatting>
  <conditionalFormatting sqref="R79">
    <cfRule type="cellIs" dxfId="2278" priority="2279" operator="greaterThan">
      <formula>1</formula>
    </cfRule>
    <cfRule type="cellIs" dxfId="2277" priority="2280" operator="lessThan">
      <formula>0.8</formula>
    </cfRule>
  </conditionalFormatting>
  <conditionalFormatting sqref="Q79">
    <cfRule type="cellIs" dxfId="2276" priority="2277" operator="lessThan">
      <formula>0</formula>
    </cfRule>
  </conditionalFormatting>
  <conditionalFormatting sqref="R79">
    <cfRule type="cellIs" dxfId="2275" priority="2275" operator="lessThan">
      <formula>0.8</formula>
    </cfRule>
    <cfRule type="cellIs" dxfId="2274" priority="2276" operator="greaterThan">
      <formula>1</formula>
    </cfRule>
  </conditionalFormatting>
  <conditionalFormatting sqref="R79">
    <cfRule type="cellIs" dxfId="2273" priority="2273" operator="greaterThan">
      <formula>1</formula>
    </cfRule>
    <cfRule type="cellIs" dxfId="2272" priority="2274" operator="lessThan">
      <formula>0.8</formula>
    </cfRule>
  </conditionalFormatting>
  <conditionalFormatting sqref="P79">
    <cfRule type="cellIs" dxfId="2271" priority="2272" operator="greaterThan">
      <formula>0</formula>
    </cfRule>
  </conditionalFormatting>
  <conditionalFormatting sqref="P79">
    <cfRule type="cellIs" dxfId="2270" priority="2266" operator="greaterThan">
      <formula>0</formula>
    </cfRule>
  </conditionalFormatting>
  <conditionalFormatting sqref="Q79">
    <cfRule type="cellIs" dxfId="2269" priority="2271" operator="lessThan">
      <formula>0</formula>
    </cfRule>
  </conditionalFormatting>
  <conditionalFormatting sqref="R79">
    <cfRule type="cellIs" dxfId="2268" priority="2269" operator="lessThan">
      <formula>0.8</formula>
    </cfRule>
    <cfRule type="cellIs" dxfId="2267" priority="2270" operator="greaterThan">
      <formula>1</formula>
    </cfRule>
  </conditionalFormatting>
  <conditionalFormatting sqref="R79">
    <cfRule type="cellIs" dxfId="2266" priority="2267" operator="greaterThan">
      <formula>1</formula>
    </cfRule>
    <cfRule type="cellIs" dxfId="2265" priority="2268" operator="lessThan">
      <formula>0.8</formula>
    </cfRule>
  </conditionalFormatting>
  <conditionalFormatting sqref="Q79">
    <cfRule type="cellIs" dxfId="2264" priority="2260" operator="lessThan">
      <formula>0</formula>
    </cfRule>
  </conditionalFormatting>
  <conditionalFormatting sqref="P79">
    <cfRule type="cellIs" dxfId="2263" priority="2261" operator="greaterThan">
      <formula>0</formula>
    </cfRule>
  </conditionalFormatting>
  <conditionalFormatting sqref="R79">
    <cfRule type="cellIs" dxfId="2262" priority="2264" operator="lessThan">
      <formula>0.8</formula>
    </cfRule>
    <cfRule type="cellIs" dxfId="2261" priority="2265" operator="greaterThan">
      <formula>1</formula>
    </cfRule>
  </conditionalFormatting>
  <conditionalFormatting sqref="R79">
    <cfRule type="cellIs" dxfId="2260" priority="2262" operator="greaterThan">
      <formula>1</formula>
    </cfRule>
    <cfRule type="cellIs" dxfId="2259" priority="2263" operator="lessThan">
      <formula>0.8</formula>
    </cfRule>
  </conditionalFormatting>
  <conditionalFormatting sqref="Q79">
    <cfRule type="cellIs" dxfId="2258" priority="2254" operator="lessThan">
      <formula>0</formula>
    </cfRule>
  </conditionalFormatting>
  <conditionalFormatting sqref="R79">
    <cfRule type="cellIs" dxfId="2257" priority="2258" operator="lessThan">
      <formula>0.8</formula>
    </cfRule>
    <cfRule type="cellIs" dxfId="2256" priority="2259" operator="greaterThan">
      <formula>1</formula>
    </cfRule>
  </conditionalFormatting>
  <conditionalFormatting sqref="R79">
    <cfRule type="cellIs" dxfId="2255" priority="2256" operator="greaterThan">
      <formula>1</formula>
    </cfRule>
    <cfRule type="cellIs" dxfId="2254" priority="2257" operator="lessThan">
      <formula>0.8</formula>
    </cfRule>
  </conditionalFormatting>
  <conditionalFormatting sqref="P79">
    <cfRule type="cellIs" dxfId="2253" priority="2255" operator="greaterThan">
      <formula>0</formula>
    </cfRule>
  </conditionalFormatting>
  <conditionalFormatting sqref="Q79">
    <cfRule type="cellIs" dxfId="2252" priority="2253" operator="lessThan">
      <formula>0</formula>
    </cfRule>
  </conditionalFormatting>
  <conditionalFormatting sqref="R79">
    <cfRule type="cellIs" dxfId="2251" priority="2251" operator="lessThan">
      <formula>0.8</formula>
    </cfRule>
    <cfRule type="cellIs" dxfId="2250" priority="2252" operator="greaterThan">
      <formula>1</formula>
    </cfRule>
  </conditionalFormatting>
  <conditionalFormatting sqref="R79">
    <cfRule type="cellIs" dxfId="2249" priority="2249" operator="greaterThan">
      <formula>1</formula>
    </cfRule>
    <cfRule type="cellIs" dxfId="2248" priority="2250" operator="lessThan">
      <formula>0.8</formula>
    </cfRule>
  </conditionalFormatting>
  <conditionalFormatting sqref="P79">
    <cfRule type="cellIs" dxfId="2247" priority="2248" operator="greaterThan">
      <formula>0</formula>
    </cfRule>
  </conditionalFormatting>
  <conditionalFormatting sqref="Q79">
    <cfRule type="cellIs" dxfId="2246" priority="2247" operator="lessThan">
      <formula>0</formula>
    </cfRule>
  </conditionalFormatting>
  <conditionalFormatting sqref="R79">
    <cfRule type="cellIs" dxfId="2245" priority="2245" operator="lessThan">
      <formula>0.8</formula>
    </cfRule>
    <cfRule type="cellIs" dxfId="2244" priority="2246" operator="greaterThan">
      <formula>1</formula>
    </cfRule>
  </conditionalFormatting>
  <conditionalFormatting sqref="R79">
    <cfRule type="cellIs" dxfId="2243" priority="2243" operator="greaterThan">
      <formula>1</formula>
    </cfRule>
    <cfRule type="cellIs" dxfId="2242" priority="2244" operator="lessThan">
      <formula>0.8</formula>
    </cfRule>
  </conditionalFormatting>
  <conditionalFormatting sqref="P79">
    <cfRule type="cellIs" dxfId="2241" priority="2242" operator="greaterThan">
      <formula>0</formula>
    </cfRule>
  </conditionalFormatting>
  <conditionalFormatting sqref="P79">
    <cfRule type="cellIs" dxfId="2240" priority="2236" operator="greaterThan">
      <formula>0</formula>
    </cfRule>
  </conditionalFormatting>
  <conditionalFormatting sqref="Q79">
    <cfRule type="cellIs" dxfId="2239" priority="2241" operator="lessThan">
      <formula>0</formula>
    </cfRule>
  </conditionalFormatting>
  <conditionalFormatting sqref="R79">
    <cfRule type="cellIs" dxfId="2238" priority="2239" operator="lessThan">
      <formula>0.8</formula>
    </cfRule>
    <cfRule type="cellIs" dxfId="2237" priority="2240" operator="greaterThan">
      <formula>1</formula>
    </cfRule>
  </conditionalFormatting>
  <conditionalFormatting sqref="R79">
    <cfRule type="cellIs" dxfId="2236" priority="2237" operator="greaterThan">
      <formula>1</formula>
    </cfRule>
    <cfRule type="cellIs" dxfId="2235" priority="2238" operator="lessThan">
      <formula>0.8</formula>
    </cfRule>
  </conditionalFormatting>
  <conditionalFormatting sqref="P71:P78">
    <cfRule type="cellIs" dxfId="2234" priority="2230" operator="greaterThan">
      <formula>0</formula>
    </cfRule>
  </conditionalFormatting>
  <conditionalFormatting sqref="Q71:Q78">
    <cfRule type="cellIs" dxfId="2233" priority="2235" operator="lessThan">
      <formula>0</formula>
    </cfRule>
  </conditionalFormatting>
  <conditionalFormatting sqref="R71:R78">
    <cfRule type="cellIs" dxfId="2232" priority="2233" operator="lessThan">
      <formula>0.8</formula>
    </cfRule>
    <cfRule type="cellIs" dxfId="2231" priority="2234" operator="greaterThan">
      <formula>1</formula>
    </cfRule>
  </conditionalFormatting>
  <conditionalFormatting sqref="R71:R78">
    <cfRule type="cellIs" dxfId="2230" priority="2231" operator="greaterThan">
      <formula>1</formula>
    </cfRule>
    <cfRule type="cellIs" dxfId="2229" priority="2232" operator="lessThan">
      <formula>0.8</formula>
    </cfRule>
  </conditionalFormatting>
  <conditionalFormatting sqref="Q148:Q153">
    <cfRule type="cellIs" dxfId="2228" priority="2229" operator="lessThan">
      <formula>0</formula>
    </cfRule>
  </conditionalFormatting>
  <conditionalFormatting sqref="R148:R153">
    <cfRule type="cellIs" dxfId="2227" priority="2227" operator="lessThan">
      <formula>0.8</formula>
    </cfRule>
    <cfRule type="cellIs" dxfId="2226" priority="2228" operator="greaterThan">
      <formula>1</formula>
    </cfRule>
  </conditionalFormatting>
  <conditionalFormatting sqref="R148:R153">
    <cfRule type="cellIs" dxfId="2225" priority="2225" operator="greaterThan">
      <formula>1</formula>
    </cfRule>
    <cfRule type="cellIs" dxfId="2224" priority="2226" operator="lessThan">
      <formula>0.8</formula>
    </cfRule>
  </conditionalFormatting>
  <conditionalFormatting sqref="P148:P153">
    <cfRule type="cellIs" dxfId="2223" priority="2224" operator="greaterThan">
      <formula>0</formula>
    </cfRule>
  </conditionalFormatting>
  <conditionalFormatting sqref="Q148:Q153">
    <cfRule type="cellIs" dxfId="2222" priority="2223" operator="lessThan">
      <formula>0</formula>
    </cfRule>
  </conditionalFormatting>
  <conditionalFormatting sqref="R148:R153">
    <cfRule type="cellIs" dxfId="2221" priority="2221" operator="lessThan">
      <formula>0.8</formula>
    </cfRule>
    <cfRule type="cellIs" dxfId="2220" priority="2222" operator="greaterThan">
      <formula>1</formula>
    </cfRule>
  </conditionalFormatting>
  <conditionalFormatting sqref="R148:R153">
    <cfRule type="cellIs" dxfId="2219" priority="2219" operator="greaterThan">
      <formula>1</formula>
    </cfRule>
    <cfRule type="cellIs" dxfId="2218" priority="2220" operator="lessThan">
      <formula>0.8</formula>
    </cfRule>
  </conditionalFormatting>
  <conditionalFormatting sqref="P148:P153">
    <cfRule type="cellIs" dxfId="2217" priority="2218" operator="greaterThan">
      <formula>0</formula>
    </cfRule>
  </conditionalFormatting>
  <conditionalFormatting sqref="Q148:Q153">
    <cfRule type="cellIs" dxfId="2216" priority="2217" operator="lessThan">
      <formula>0</formula>
    </cfRule>
  </conditionalFormatting>
  <conditionalFormatting sqref="R148:R153">
    <cfRule type="cellIs" dxfId="2215" priority="2215" operator="lessThan">
      <formula>0.8</formula>
    </cfRule>
    <cfRule type="cellIs" dxfId="2214" priority="2216" operator="greaterThan">
      <formula>1</formula>
    </cfRule>
  </conditionalFormatting>
  <conditionalFormatting sqref="R148:R153">
    <cfRule type="cellIs" dxfId="2213" priority="2213" operator="greaterThan">
      <formula>1</formula>
    </cfRule>
    <cfRule type="cellIs" dxfId="2212" priority="2214" operator="lessThan">
      <formula>0.8</formula>
    </cfRule>
  </conditionalFormatting>
  <conditionalFormatting sqref="P148:P153">
    <cfRule type="cellIs" dxfId="2211" priority="2212" operator="greaterThan">
      <formula>0</formula>
    </cfRule>
  </conditionalFormatting>
  <conditionalFormatting sqref="Q148:Q153">
    <cfRule type="cellIs" dxfId="2210" priority="2211" operator="lessThan">
      <formula>0</formula>
    </cfRule>
  </conditionalFormatting>
  <conditionalFormatting sqref="R148:R153">
    <cfRule type="cellIs" dxfId="2209" priority="2209" operator="lessThan">
      <formula>0.8</formula>
    </cfRule>
    <cfRule type="cellIs" dxfId="2208" priority="2210" operator="greaterThan">
      <formula>1</formula>
    </cfRule>
  </conditionalFormatting>
  <conditionalFormatting sqref="R148:R153">
    <cfRule type="cellIs" dxfId="2207" priority="2207" operator="greaterThan">
      <formula>1</formula>
    </cfRule>
    <cfRule type="cellIs" dxfId="2206" priority="2208" operator="lessThan">
      <formula>0.8</formula>
    </cfRule>
  </conditionalFormatting>
  <conditionalFormatting sqref="P148:P153">
    <cfRule type="cellIs" dxfId="2205" priority="2206" operator="greaterThan">
      <formula>0</formula>
    </cfRule>
  </conditionalFormatting>
  <conditionalFormatting sqref="P148:P153">
    <cfRule type="cellIs" dxfId="2204" priority="2200" operator="greaterThan">
      <formula>0</formula>
    </cfRule>
  </conditionalFormatting>
  <conditionalFormatting sqref="Q148:Q153">
    <cfRule type="cellIs" dxfId="2203" priority="2205" operator="lessThan">
      <formula>0</formula>
    </cfRule>
  </conditionalFormatting>
  <conditionalFormatting sqref="R148:R153">
    <cfRule type="cellIs" dxfId="2202" priority="2203" operator="lessThan">
      <formula>0.8</formula>
    </cfRule>
    <cfRule type="cellIs" dxfId="2201" priority="2204" operator="greaterThan">
      <formula>1</formula>
    </cfRule>
  </conditionalFormatting>
  <conditionalFormatting sqref="R148:R153">
    <cfRule type="cellIs" dxfId="2200" priority="2201" operator="greaterThan">
      <formula>1</formula>
    </cfRule>
    <cfRule type="cellIs" dxfId="2199" priority="2202" operator="lessThan">
      <formula>0.8</formula>
    </cfRule>
  </conditionalFormatting>
  <conditionalFormatting sqref="P148:P153">
    <cfRule type="cellIs" dxfId="2198" priority="2194" operator="greaterThan">
      <formula>0</formula>
    </cfRule>
  </conditionalFormatting>
  <conditionalFormatting sqref="Q148:Q153">
    <cfRule type="cellIs" dxfId="2197" priority="2199" operator="lessThan">
      <formula>0</formula>
    </cfRule>
  </conditionalFormatting>
  <conditionalFormatting sqref="R148:R153">
    <cfRule type="cellIs" dxfId="2196" priority="2197" operator="lessThan">
      <formula>0.8</formula>
    </cfRule>
    <cfRule type="cellIs" dxfId="2195" priority="2198" operator="greaterThan">
      <formula>1</formula>
    </cfRule>
  </conditionalFormatting>
  <conditionalFormatting sqref="R148:R153">
    <cfRule type="cellIs" dxfId="2194" priority="2195" operator="greaterThan">
      <formula>1</formula>
    </cfRule>
    <cfRule type="cellIs" dxfId="2193" priority="2196" operator="lessThan">
      <formula>0.8</formula>
    </cfRule>
  </conditionalFormatting>
  <conditionalFormatting sqref="R148:R153">
    <cfRule type="cellIs" dxfId="2192" priority="2191" operator="lessThan">
      <formula>0.8</formula>
    </cfRule>
    <cfRule type="cellIs" dxfId="2191" priority="2192" operator="greaterThan">
      <formula>1</formula>
    </cfRule>
  </conditionalFormatting>
  <conditionalFormatting sqref="R148:R153">
    <cfRule type="cellIs" dxfId="2190" priority="2189" operator="greaterThan">
      <formula>1</formula>
    </cfRule>
    <cfRule type="cellIs" dxfId="2189" priority="2190" operator="lessThan">
      <formula>0.8</formula>
    </cfRule>
  </conditionalFormatting>
  <conditionalFormatting sqref="P148:P153">
    <cfRule type="cellIs" dxfId="2188" priority="2188" operator="greaterThan">
      <formula>0</formula>
    </cfRule>
  </conditionalFormatting>
  <conditionalFormatting sqref="Q148:Q153">
    <cfRule type="cellIs" dxfId="2187" priority="2193" operator="lessThan">
      <formula>0</formula>
    </cfRule>
  </conditionalFormatting>
  <conditionalFormatting sqref="Q148:Q153">
    <cfRule type="cellIs" dxfId="2186" priority="2187" operator="lessThan">
      <formula>0</formula>
    </cfRule>
  </conditionalFormatting>
  <conditionalFormatting sqref="R148:R153">
    <cfRule type="cellIs" dxfId="2185" priority="2185" operator="lessThan">
      <formula>0.8</formula>
    </cfRule>
    <cfRule type="cellIs" dxfId="2184" priority="2186" operator="greaterThan">
      <formula>1</formula>
    </cfRule>
  </conditionalFormatting>
  <conditionalFormatting sqref="R148:R153">
    <cfRule type="cellIs" dxfId="2183" priority="2183" operator="greaterThan">
      <formula>1</formula>
    </cfRule>
    <cfRule type="cellIs" dxfId="2182" priority="2184" operator="lessThan">
      <formula>0.8</formula>
    </cfRule>
  </conditionalFormatting>
  <conditionalFormatting sqref="P148:P153">
    <cfRule type="cellIs" dxfId="2181" priority="2182" operator="greaterThan">
      <formula>0</formula>
    </cfRule>
  </conditionalFormatting>
  <conditionalFormatting sqref="P148:P153">
    <cfRule type="cellIs" dxfId="2180" priority="2176" operator="greaterThan">
      <formula>0</formula>
    </cfRule>
  </conditionalFormatting>
  <conditionalFormatting sqref="Q148:Q153">
    <cfRule type="cellIs" dxfId="2179" priority="2181" operator="lessThan">
      <formula>0</formula>
    </cfRule>
  </conditionalFormatting>
  <conditionalFormatting sqref="R148:R153">
    <cfRule type="cellIs" dxfId="2178" priority="2179" operator="lessThan">
      <formula>0.8</formula>
    </cfRule>
    <cfRule type="cellIs" dxfId="2177" priority="2180" operator="greaterThan">
      <formula>1</formula>
    </cfRule>
  </conditionalFormatting>
  <conditionalFormatting sqref="R148:R153">
    <cfRule type="cellIs" dxfId="2176" priority="2177" operator="greaterThan">
      <formula>1</formula>
    </cfRule>
    <cfRule type="cellIs" dxfId="2175" priority="2178" operator="lessThan">
      <formula>0.8</formula>
    </cfRule>
  </conditionalFormatting>
  <conditionalFormatting sqref="P148:P153">
    <cfRule type="cellIs" dxfId="2174" priority="2170" operator="greaterThan">
      <formula>0</formula>
    </cfRule>
  </conditionalFormatting>
  <conditionalFormatting sqref="Q148:Q153">
    <cfRule type="cellIs" dxfId="2173" priority="2175" operator="lessThan">
      <formula>0</formula>
    </cfRule>
  </conditionalFormatting>
  <conditionalFormatting sqref="R148:R153">
    <cfRule type="cellIs" dxfId="2172" priority="2173" operator="lessThan">
      <formula>0.8</formula>
    </cfRule>
    <cfRule type="cellIs" dxfId="2171" priority="2174" operator="greaterThan">
      <formula>1</formula>
    </cfRule>
  </conditionalFormatting>
  <conditionalFormatting sqref="R148:R153">
    <cfRule type="cellIs" dxfId="2170" priority="2171" operator="greaterThan">
      <formula>1</formula>
    </cfRule>
    <cfRule type="cellIs" dxfId="2169" priority="2172" operator="lessThan">
      <formula>0.8</formula>
    </cfRule>
  </conditionalFormatting>
  <conditionalFormatting sqref="R148:R153">
    <cfRule type="cellIs" dxfId="2168" priority="2167" operator="lessThan">
      <formula>0.8</formula>
    </cfRule>
    <cfRule type="cellIs" dxfId="2167" priority="2168" operator="greaterThan">
      <formula>1</formula>
    </cfRule>
  </conditionalFormatting>
  <conditionalFormatting sqref="R148:R153">
    <cfRule type="cellIs" dxfId="2166" priority="2165" operator="greaterThan">
      <formula>1</formula>
    </cfRule>
    <cfRule type="cellIs" dxfId="2165" priority="2166" operator="lessThan">
      <formula>0.8</formula>
    </cfRule>
  </conditionalFormatting>
  <conditionalFormatting sqref="P148:P153">
    <cfRule type="cellIs" dxfId="2164" priority="2164" operator="greaterThan">
      <formula>0</formula>
    </cfRule>
  </conditionalFormatting>
  <conditionalFormatting sqref="Q148:Q153">
    <cfRule type="cellIs" dxfId="2163" priority="2169" operator="lessThan">
      <formula>0</formula>
    </cfRule>
  </conditionalFormatting>
  <conditionalFormatting sqref="P148:P153">
    <cfRule type="cellIs" dxfId="2162" priority="2158" operator="greaterThan">
      <formula>0</formula>
    </cfRule>
  </conditionalFormatting>
  <conditionalFormatting sqref="Q148:Q153">
    <cfRule type="cellIs" dxfId="2161" priority="2163" operator="lessThan">
      <formula>0</formula>
    </cfRule>
  </conditionalFormatting>
  <conditionalFormatting sqref="R148:R153">
    <cfRule type="cellIs" dxfId="2160" priority="2161" operator="lessThan">
      <formula>0.8</formula>
    </cfRule>
    <cfRule type="cellIs" dxfId="2159" priority="2162" operator="greaterThan">
      <formula>1</formula>
    </cfRule>
  </conditionalFormatting>
  <conditionalFormatting sqref="R148:R153">
    <cfRule type="cellIs" dxfId="2158" priority="2159" operator="greaterThan">
      <formula>1</formula>
    </cfRule>
    <cfRule type="cellIs" dxfId="2157" priority="2160" operator="lessThan">
      <formula>0.8</formula>
    </cfRule>
  </conditionalFormatting>
  <conditionalFormatting sqref="R148:R153">
    <cfRule type="cellIs" dxfId="2156" priority="2155" operator="lessThan">
      <formula>0.8</formula>
    </cfRule>
    <cfRule type="cellIs" dxfId="2155" priority="2156" operator="greaterThan">
      <formula>1</formula>
    </cfRule>
  </conditionalFormatting>
  <conditionalFormatting sqref="R148:R153">
    <cfRule type="cellIs" dxfId="2154" priority="2153" operator="greaterThan">
      <formula>1</formula>
    </cfRule>
    <cfRule type="cellIs" dxfId="2153" priority="2154" operator="lessThan">
      <formula>0.8</formula>
    </cfRule>
  </conditionalFormatting>
  <conditionalFormatting sqref="P148:P153">
    <cfRule type="cellIs" dxfId="2152" priority="2152" operator="greaterThan">
      <formula>0</formula>
    </cfRule>
  </conditionalFormatting>
  <conditionalFormatting sqref="Q148:Q153">
    <cfRule type="cellIs" dxfId="2151" priority="2157" operator="lessThan">
      <formula>0</formula>
    </cfRule>
  </conditionalFormatting>
  <conditionalFormatting sqref="R148:R153">
    <cfRule type="cellIs" dxfId="2150" priority="2149" operator="lessThan">
      <formula>0.8</formula>
    </cfRule>
    <cfRule type="cellIs" dxfId="2149" priority="2150" operator="greaterThan">
      <formula>1</formula>
    </cfRule>
  </conditionalFormatting>
  <conditionalFormatting sqref="R148:R153">
    <cfRule type="cellIs" dxfId="2148" priority="2147" operator="greaterThan">
      <formula>1</formula>
    </cfRule>
    <cfRule type="cellIs" dxfId="2147" priority="2148" operator="lessThan">
      <formula>0.8</formula>
    </cfRule>
  </conditionalFormatting>
  <conditionalFormatting sqref="P148:P153">
    <cfRule type="cellIs" dxfId="2146" priority="2146" operator="greaterThan">
      <formula>0</formula>
    </cfRule>
  </conditionalFormatting>
  <conditionalFormatting sqref="Q148:Q153">
    <cfRule type="cellIs" dxfId="2145" priority="2151" operator="lessThan">
      <formula>0</formula>
    </cfRule>
  </conditionalFormatting>
  <conditionalFormatting sqref="Q148:Q153">
    <cfRule type="cellIs" dxfId="2144" priority="2145" operator="lessThan">
      <formula>0</formula>
    </cfRule>
  </conditionalFormatting>
  <conditionalFormatting sqref="R148:R153">
    <cfRule type="cellIs" dxfId="2143" priority="2143" operator="lessThan">
      <formula>0.8</formula>
    </cfRule>
    <cfRule type="cellIs" dxfId="2142" priority="2144" operator="greaterThan">
      <formula>1</formula>
    </cfRule>
  </conditionalFormatting>
  <conditionalFormatting sqref="R148:R153">
    <cfRule type="cellIs" dxfId="2141" priority="2141" operator="greaterThan">
      <formula>1</formula>
    </cfRule>
    <cfRule type="cellIs" dxfId="2140" priority="2142" operator="lessThan">
      <formula>0.8</formula>
    </cfRule>
  </conditionalFormatting>
  <conditionalFormatting sqref="P148:P153">
    <cfRule type="cellIs" dxfId="2139" priority="2140" operator="greaterThan">
      <formula>0</formula>
    </cfRule>
  </conditionalFormatting>
  <conditionalFormatting sqref="Q148:Q153">
    <cfRule type="cellIs" dxfId="2138" priority="2134" operator="lessThan">
      <formula>0</formula>
    </cfRule>
  </conditionalFormatting>
  <conditionalFormatting sqref="R148:R153">
    <cfRule type="cellIs" dxfId="2137" priority="2138" operator="lessThan">
      <formula>0.8</formula>
    </cfRule>
    <cfRule type="cellIs" dxfId="2136" priority="2139" operator="greaterThan">
      <formula>1</formula>
    </cfRule>
  </conditionalFormatting>
  <conditionalFormatting sqref="R148:R153">
    <cfRule type="cellIs" dxfId="2135" priority="2136" operator="greaterThan">
      <formula>1</formula>
    </cfRule>
    <cfRule type="cellIs" dxfId="2134" priority="2137" operator="lessThan">
      <formula>0.8</formula>
    </cfRule>
  </conditionalFormatting>
  <conditionalFormatting sqref="P148:P153">
    <cfRule type="cellIs" dxfId="2133" priority="2135" operator="greaterThan">
      <formula>0</formula>
    </cfRule>
  </conditionalFormatting>
  <conditionalFormatting sqref="Q148:Q153">
    <cfRule type="cellIs" dxfId="2132" priority="2133" operator="lessThan">
      <formula>0</formula>
    </cfRule>
  </conditionalFormatting>
  <conditionalFormatting sqref="R148:R153">
    <cfRule type="cellIs" dxfId="2131" priority="2131" operator="lessThan">
      <formula>0.8</formula>
    </cfRule>
    <cfRule type="cellIs" dxfId="2130" priority="2132" operator="greaterThan">
      <formula>1</formula>
    </cfRule>
  </conditionalFormatting>
  <conditionalFormatting sqref="R148:R153">
    <cfRule type="cellIs" dxfId="2129" priority="2129" operator="greaterThan">
      <formula>1</formula>
    </cfRule>
    <cfRule type="cellIs" dxfId="2128" priority="2130" operator="lessThan">
      <formula>0.8</formula>
    </cfRule>
  </conditionalFormatting>
  <conditionalFormatting sqref="P148:P153">
    <cfRule type="cellIs" dxfId="2127" priority="2128" operator="greaterThan">
      <formula>0</formula>
    </cfRule>
  </conditionalFormatting>
  <conditionalFormatting sqref="Q148:Q153">
    <cfRule type="cellIs" dxfId="2126" priority="2127" operator="lessThan">
      <formula>0</formula>
    </cfRule>
  </conditionalFormatting>
  <conditionalFormatting sqref="R148:R153">
    <cfRule type="cellIs" dxfId="2125" priority="2125" operator="lessThan">
      <formula>0.8</formula>
    </cfRule>
    <cfRule type="cellIs" dxfId="2124" priority="2126" operator="greaterThan">
      <formula>1</formula>
    </cfRule>
  </conditionalFormatting>
  <conditionalFormatting sqref="R148:R153">
    <cfRule type="cellIs" dxfId="2123" priority="2123" operator="greaterThan">
      <formula>1</formula>
    </cfRule>
    <cfRule type="cellIs" dxfId="2122" priority="2124" operator="lessThan">
      <formula>0.8</formula>
    </cfRule>
  </conditionalFormatting>
  <conditionalFormatting sqref="P148:P153">
    <cfRule type="cellIs" dxfId="2121" priority="2122" operator="greaterThan">
      <formula>0</formula>
    </cfRule>
  </conditionalFormatting>
  <conditionalFormatting sqref="Q148:Q153">
    <cfRule type="cellIs" dxfId="2120" priority="2121" operator="lessThan">
      <formula>0</formula>
    </cfRule>
  </conditionalFormatting>
  <conditionalFormatting sqref="R148:R153">
    <cfRule type="cellIs" dxfId="2119" priority="2119" operator="lessThan">
      <formula>0.8</formula>
    </cfRule>
    <cfRule type="cellIs" dxfId="2118" priority="2120" operator="greaterThan">
      <formula>1</formula>
    </cfRule>
  </conditionalFormatting>
  <conditionalFormatting sqref="R148:R153">
    <cfRule type="cellIs" dxfId="2117" priority="2117" operator="greaterThan">
      <formula>1</formula>
    </cfRule>
    <cfRule type="cellIs" dxfId="2116" priority="2118" operator="lessThan">
      <formula>0.8</formula>
    </cfRule>
  </conditionalFormatting>
  <conditionalFormatting sqref="P148:P153">
    <cfRule type="cellIs" dxfId="2115" priority="2116" operator="greaterThan">
      <formula>0</formula>
    </cfRule>
  </conditionalFormatting>
  <conditionalFormatting sqref="Q148:Q153">
    <cfRule type="cellIs" dxfId="2114" priority="2115" operator="lessThan">
      <formula>0</formula>
    </cfRule>
  </conditionalFormatting>
  <conditionalFormatting sqref="R148:R153">
    <cfRule type="cellIs" dxfId="2113" priority="2113" operator="lessThan">
      <formula>0.8</formula>
    </cfRule>
    <cfRule type="cellIs" dxfId="2112" priority="2114" operator="greaterThan">
      <formula>1</formula>
    </cfRule>
  </conditionalFormatting>
  <conditionalFormatting sqref="R148:R153">
    <cfRule type="cellIs" dxfId="2111" priority="2111" operator="greaterThan">
      <formula>1</formula>
    </cfRule>
    <cfRule type="cellIs" dxfId="2110" priority="2112" operator="lessThan">
      <formula>0.8</formula>
    </cfRule>
  </conditionalFormatting>
  <conditionalFormatting sqref="P148:P153">
    <cfRule type="cellIs" dxfId="2109" priority="2110" operator="greaterThan">
      <formula>0</formula>
    </cfRule>
  </conditionalFormatting>
  <conditionalFormatting sqref="Q148:Q153">
    <cfRule type="cellIs" dxfId="2108" priority="2109" operator="lessThan">
      <formula>0</formula>
    </cfRule>
  </conditionalFormatting>
  <conditionalFormatting sqref="R148:R153">
    <cfRule type="cellIs" dxfId="2107" priority="2107" operator="lessThan">
      <formula>0.8</formula>
    </cfRule>
    <cfRule type="cellIs" dxfId="2106" priority="2108" operator="greaterThan">
      <formula>1</formula>
    </cfRule>
  </conditionalFormatting>
  <conditionalFormatting sqref="R148:R153">
    <cfRule type="cellIs" dxfId="2105" priority="2105" operator="greaterThan">
      <formula>1</formula>
    </cfRule>
    <cfRule type="cellIs" dxfId="2104" priority="2106" operator="lessThan">
      <formula>0.8</formula>
    </cfRule>
  </conditionalFormatting>
  <conditionalFormatting sqref="P148:P153">
    <cfRule type="cellIs" dxfId="2103" priority="2104" operator="greaterThan">
      <formula>0</formula>
    </cfRule>
  </conditionalFormatting>
  <conditionalFormatting sqref="P148:P153">
    <cfRule type="cellIs" dxfId="2102" priority="2098" operator="greaterThan">
      <formula>0</formula>
    </cfRule>
  </conditionalFormatting>
  <conditionalFormatting sqref="Q148:Q153">
    <cfRule type="cellIs" dxfId="2101" priority="2103" operator="lessThan">
      <formula>0</formula>
    </cfRule>
  </conditionalFormatting>
  <conditionalFormatting sqref="R148:R153">
    <cfRule type="cellIs" dxfId="2100" priority="2101" operator="lessThan">
      <formula>0.8</formula>
    </cfRule>
    <cfRule type="cellIs" dxfId="2099" priority="2102" operator="greaterThan">
      <formula>1</formula>
    </cfRule>
  </conditionalFormatting>
  <conditionalFormatting sqref="R148:R153">
    <cfRule type="cellIs" dxfId="2098" priority="2099" operator="greaterThan">
      <formula>1</formula>
    </cfRule>
    <cfRule type="cellIs" dxfId="2097" priority="2100" operator="lessThan">
      <formula>0.8</formula>
    </cfRule>
  </conditionalFormatting>
  <conditionalFormatting sqref="P148:P153">
    <cfRule type="cellIs" dxfId="2096" priority="2092" operator="greaterThan">
      <formula>0</formula>
    </cfRule>
  </conditionalFormatting>
  <conditionalFormatting sqref="Q148:Q153">
    <cfRule type="cellIs" dxfId="2095" priority="2097" operator="lessThan">
      <formula>0</formula>
    </cfRule>
  </conditionalFormatting>
  <conditionalFormatting sqref="R148:R153">
    <cfRule type="cellIs" dxfId="2094" priority="2095" operator="lessThan">
      <formula>0.8</formula>
    </cfRule>
    <cfRule type="cellIs" dxfId="2093" priority="2096" operator="greaterThan">
      <formula>1</formula>
    </cfRule>
  </conditionalFormatting>
  <conditionalFormatting sqref="R148:R153">
    <cfRule type="cellIs" dxfId="2092" priority="2093" operator="greaterThan">
      <formula>1</formula>
    </cfRule>
    <cfRule type="cellIs" dxfId="2091" priority="2094" operator="lessThan">
      <formula>0.8</formula>
    </cfRule>
  </conditionalFormatting>
  <conditionalFormatting sqref="R148:R153">
    <cfRule type="cellIs" dxfId="2090" priority="2089" operator="lessThan">
      <formula>0.8</formula>
    </cfRule>
    <cfRule type="cellIs" dxfId="2089" priority="2090" operator="greaterThan">
      <formula>1</formula>
    </cfRule>
  </conditionalFormatting>
  <conditionalFormatting sqref="R148:R153">
    <cfRule type="cellIs" dxfId="2088" priority="2087" operator="greaterThan">
      <formula>1</formula>
    </cfRule>
    <cfRule type="cellIs" dxfId="2087" priority="2088" operator="lessThan">
      <formula>0.8</formula>
    </cfRule>
  </conditionalFormatting>
  <conditionalFormatting sqref="P148:P153">
    <cfRule type="cellIs" dxfId="2086" priority="2086" operator="greaterThan">
      <formula>0</formula>
    </cfRule>
  </conditionalFormatting>
  <conditionalFormatting sqref="Q148:Q153">
    <cfRule type="cellIs" dxfId="2085" priority="2091" operator="lessThan">
      <formula>0</formula>
    </cfRule>
  </conditionalFormatting>
  <conditionalFormatting sqref="Q148:Q153">
    <cfRule type="cellIs" dxfId="2084" priority="2080" operator="lessThan">
      <formula>0</formula>
    </cfRule>
  </conditionalFormatting>
  <conditionalFormatting sqref="P148:P153">
    <cfRule type="cellIs" dxfId="2083" priority="2081" operator="greaterThan">
      <formula>0</formula>
    </cfRule>
  </conditionalFormatting>
  <conditionalFormatting sqref="R148:R153">
    <cfRule type="cellIs" dxfId="2082" priority="2084" operator="lessThan">
      <formula>0.8</formula>
    </cfRule>
    <cfRule type="cellIs" dxfId="2081" priority="2085" operator="greaterThan">
      <formula>1</formula>
    </cfRule>
  </conditionalFormatting>
  <conditionalFormatting sqref="R148:R153">
    <cfRule type="cellIs" dxfId="2080" priority="2082" operator="greaterThan">
      <formula>1</formula>
    </cfRule>
    <cfRule type="cellIs" dxfId="2079" priority="2083" operator="lessThan">
      <formula>0.8</formula>
    </cfRule>
  </conditionalFormatting>
  <conditionalFormatting sqref="Q148:Q153">
    <cfRule type="cellIs" dxfId="2078" priority="2074" operator="lessThan">
      <formula>0</formula>
    </cfRule>
  </conditionalFormatting>
  <conditionalFormatting sqref="R148:R153">
    <cfRule type="cellIs" dxfId="2077" priority="2078" operator="lessThan">
      <formula>0.8</formula>
    </cfRule>
    <cfRule type="cellIs" dxfId="2076" priority="2079" operator="greaterThan">
      <formula>1</formula>
    </cfRule>
  </conditionalFormatting>
  <conditionalFormatting sqref="R148:R153">
    <cfRule type="cellIs" dxfId="2075" priority="2076" operator="greaterThan">
      <formula>1</formula>
    </cfRule>
    <cfRule type="cellIs" dxfId="2074" priority="2077" operator="lessThan">
      <formula>0.8</formula>
    </cfRule>
  </conditionalFormatting>
  <conditionalFormatting sqref="P148:P153">
    <cfRule type="cellIs" dxfId="2073" priority="2075" operator="greaterThan">
      <formula>0</formula>
    </cfRule>
  </conditionalFormatting>
  <conditionalFormatting sqref="Q148:Q153">
    <cfRule type="cellIs" dxfId="2072" priority="2073" operator="lessThan">
      <formula>0</formula>
    </cfRule>
  </conditionalFormatting>
  <conditionalFormatting sqref="R148:R153">
    <cfRule type="cellIs" dxfId="2071" priority="2071" operator="lessThan">
      <formula>0.8</formula>
    </cfRule>
    <cfRule type="cellIs" dxfId="2070" priority="2072" operator="greaterThan">
      <formula>1</formula>
    </cfRule>
  </conditionalFormatting>
  <conditionalFormatting sqref="R148:R153">
    <cfRule type="cellIs" dxfId="2069" priority="2069" operator="greaterThan">
      <formula>1</formula>
    </cfRule>
    <cfRule type="cellIs" dxfId="2068" priority="2070" operator="lessThan">
      <formula>0.8</formula>
    </cfRule>
  </conditionalFormatting>
  <conditionalFormatting sqref="P148:P153">
    <cfRule type="cellIs" dxfId="2067" priority="2068" operator="greaterThan">
      <formula>0</formula>
    </cfRule>
  </conditionalFormatting>
  <conditionalFormatting sqref="Q148:Q153">
    <cfRule type="cellIs" dxfId="2066" priority="2067" operator="lessThan">
      <formula>0</formula>
    </cfRule>
  </conditionalFormatting>
  <conditionalFormatting sqref="R148:R153">
    <cfRule type="cellIs" dxfId="2065" priority="2065" operator="lessThan">
      <formula>0.8</formula>
    </cfRule>
    <cfRule type="cellIs" dxfId="2064" priority="2066" operator="greaterThan">
      <formula>1</formula>
    </cfRule>
  </conditionalFormatting>
  <conditionalFormatting sqref="R148:R153">
    <cfRule type="cellIs" dxfId="2063" priority="2063" operator="greaterThan">
      <formula>1</formula>
    </cfRule>
    <cfRule type="cellIs" dxfId="2062" priority="2064" operator="lessThan">
      <formula>0.8</formula>
    </cfRule>
  </conditionalFormatting>
  <conditionalFormatting sqref="P148:P153">
    <cfRule type="cellIs" dxfId="2061" priority="2062" operator="greaterThan">
      <formula>0</formula>
    </cfRule>
  </conditionalFormatting>
  <conditionalFormatting sqref="Q148:Q153">
    <cfRule type="cellIs" dxfId="2060" priority="2061" operator="lessThan">
      <formula>0</formula>
    </cfRule>
  </conditionalFormatting>
  <conditionalFormatting sqref="R148:R153">
    <cfRule type="cellIs" dxfId="2059" priority="2059" operator="lessThan">
      <formula>0.8</formula>
    </cfRule>
    <cfRule type="cellIs" dxfId="2058" priority="2060" operator="greaterThan">
      <formula>1</formula>
    </cfRule>
  </conditionalFormatting>
  <conditionalFormatting sqref="R148:R153">
    <cfRule type="cellIs" dxfId="2057" priority="2057" operator="greaterThan">
      <formula>1</formula>
    </cfRule>
    <cfRule type="cellIs" dxfId="2056" priority="2058" operator="lessThan">
      <formula>0.8</formula>
    </cfRule>
  </conditionalFormatting>
  <conditionalFormatting sqref="P148:P153">
    <cfRule type="cellIs" dxfId="2055" priority="2056" operator="greaterThan">
      <formula>0</formula>
    </cfRule>
  </conditionalFormatting>
  <conditionalFormatting sqref="Q148:Q153">
    <cfRule type="cellIs" dxfId="2054" priority="2055" operator="lessThan">
      <formula>0</formula>
    </cfRule>
  </conditionalFormatting>
  <conditionalFormatting sqref="R148:R153">
    <cfRule type="cellIs" dxfId="2053" priority="2053" operator="lessThan">
      <formula>0.8</formula>
    </cfRule>
    <cfRule type="cellIs" dxfId="2052" priority="2054" operator="greaterThan">
      <formula>1</formula>
    </cfRule>
  </conditionalFormatting>
  <conditionalFormatting sqref="R148:R153">
    <cfRule type="cellIs" dxfId="2051" priority="2051" operator="greaterThan">
      <formula>1</formula>
    </cfRule>
    <cfRule type="cellIs" dxfId="2050" priority="2052" operator="lessThan">
      <formula>0.8</formula>
    </cfRule>
  </conditionalFormatting>
  <conditionalFormatting sqref="P148:P153">
    <cfRule type="cellIs" dxfId="2049" priority="2050" operator="greaterThan">
      <formula>0</formula>
    </cfRule>
  </conditionalFormatting>
  <conditionalFormatting sqref="Q124 Q131 Q127">
    <cfRule type="cellIs" dxfId="2048" priority="2044" operator="lessThan">
      <formula>0</formula>
    </cfRule>
  </conditionalFormatting>
  <conditionalFormatting sqref="P124 P131 P127">
    <cfRule type="cellIs" dxfId="2047" priority="2045" operator="greaterThan">
      <formula>0</formula>
    </cfRule>
  </conditionalFormatting>
  <conditionalFormatting sqref="R124 R131 R127">
    <cfRule type="cellIs" dxfId="2046" priority="2048" operator="lessThan">
      <formula>0.8</formula>
    </cfRule>
    <cfRule type="cellIs" dxfId="2045" priority="2049" operator="greaterThan">
      <formula>1</formula>
    </cfRule>
  </conditionalFormatting>
  <conditionalFormatting sqref="R124 R131 R127">
    <cfRule type="cellIs" dxfId="2044" priority="2046" operator="greaterThan">
      <formula>1</formula>
    </cfRule>
    <cfRule type="cellIs" dxfId="2043" priority="2047" operator="lessThan">
      <formula>0.8</formula>
    </cfRule>
  </conditionalFormatting>
  <conditionalFormatting sqref="Q124 Q131 Q127">
    <cfRule type="cellIs" dxfId="2042" priority="2038" operator="lessThan">
      <formula>0</formula>
    </cfRule>
  </conditionalFormatting>
  <conditionalFormatting sqref="R124 R131 R127">
    <cfRule type="cellIs" dxfId="2041" priority="2042" operator="lessThan">
      <formula>0.8</formula>
    </cfRule>
    <cfRule type="cellIs" dxfId="2040" priority="2043" operator="greaterThan">
      <formula>1</formula>
    </cfRule>
  </conditionalFormatting>
  <conditionalFormatting sqref="R124 R131 R127">
    <cfRule type="cellIs" dxfId="2039" priority="2040" operator="greaterThan">
      <formula>1</formula>
    </cfRule>
    <cfRule type="cellIs" dxfId="2038" priority="2041" operator="lessThan">
      <formula>0.8</formula>
    </cfRule>
  </conditionalFormatting>
  <conditionalFormatting sqref="P124 P131 P127">
    <cfRule type="cellIs" dxfId="2037" priority="2039" operator="greaterThan">
      <formula>0</formula>
    </cfRule>
  </conditionalFormatting>
  <conditionalFormatting sqref="Q124 Q131 Q127">
    <cfRule type="cellIs" dxfId="2036" priority="2037" operator="lessThan">
      <formula>0</formula>
    </cfRule>
  </conditionalFormatting>
  <conditionalFormatting sqref="R124 R131 R127">
    <cfRule type="cellIs" dxfId="2035" priority="2035" operator="lessThan">
      <formula>0.8</formula>
    </cfRule>
    <cfRule type="cellIs" dxfId="2034" priority="2036" operator="greaterThan">
      <formula>1</formula>
    </cfRule>
  </conditionalFormatting>
  <conditionalFormatting sqref="R124 R131 R127">
    <cfRule type="cellIs" dxfId="2033" priority="2033" operator="greaterThan">
      <formula>1</formula>
    </cfRule>
    <cfRule type="cellIs" dxfId="2032" priority="2034" operator="lessThan">
      <formula>0.8</formula>
    </cfRule>
  </conditionalFormatting>
  <conditionalFormatting sqref="P124 P131 P127">
    <cfRule type="cellIs" dxfId="2031" priority="2032" operator="greaterThan">
      <formula>0</formula>
    </cfRule>
  </conditionalFormatting>
  <conditionalFormatting sqref="Q124 Q131 Q127">
    <cfRule type="cellIs" dxfId="2030" priority="2031" operator="lessThan">
      <formula>0</formula>
    </cfRule>
  </conditionalFormatting>
  <conditionalFormatting sqref="R124 R131 R127">
    <cfRule type="cellIs" dxfId="2029" priority="2029" operator="lessThan">
      <formula>0.8</formula>
    </cfRule>
    <cfRule type="cellIs" dxfId="2028" priority="2030" operator="greaterThan">
      <formula>1</formula>
    </cfRule>
  </conditionalFormatting>
  <conditionalFormatting sqref="R124 R131 R127">
    <cfRule type="cellIs" dxfId="2027" priority="2027" operator="greaterThan">
      <formula>1</formula>
    </cfRule>
    <cfRule type="cellIs" dxfId="2026" priority="2028" operator="lessThan">
      <formula>0.8</formula>
    </cfRule>
  </conditionalFormatting>
  <conditionalFormatting sqref="P124 P131 P127">
    <cfRule type="cellIs" dxfId="2025" priority="2026" operator="greaterThan">
      <formula>0</formula>
    </cfRule>
  </conditionalFormatting>
  <conditionalFormatting sqref="Q124 Q131 Q127">
    <cfRule type="cellIs" dxfId="2024" priority="2025" operator="lessThan">
      <formula>0</formula>
    </cfRule>
  </conditionalFormatting>
  <conditionalFormatting sqref="R124 R131 R127">
    <cfRule type="cellIs" dxfId="2023" priority="2023" operator="lessThan">
      <formula>0.8</formula>
    </cfRule>
    <cfRule type="cellIs" dxfId="2022" priority="2024" operator="greaterThan">
      <formula>1</formula>
    </cfRule>
  </conditionalFormatting>
  <conditionalFormatting sqref="R124 R131 R127">
    <cfRule type="cellIs" dxfId="2021" priority="2021" operator="greaterThan">
      <formula>1</formula>
    </cfRule>
    <cfRule type="cellIs" dxfId="2020" priority="2022" operator="lessThan">
      <formula>0.8</formula>
    </cfRule>
  </conditionalFormatting>
  <conditionalFormatting sqref="P124 P131 P127">
    <cfRule type="cellIs" dxfId="2019" priority="2020" operator="greaterThan">
      <formula>0</formula>
    </cfRule>
  </conditionalFormatting>
  <conditionalFormatting sqref="Q124 Q131 Q127">
    <cfRule type="cellIs" dxfId="2018" priority="2019" operator="lessThan">
      <formula>0</formula>
    </cfRule>
  </conditionalFormatting>
  <conditionalFormatting sqref="R124 R131 R127">
    <cfRule type="cellIs" dxfId="2017" priority="2017" operator="lessThan">
      <formula>0.8</formula>
    </cfRule>
    <cfRule type="cellIs" dxfId="2016" priority="2018" operator="greaterThan">
      <formula>1</formula>
    </cfRule>
  </conditionalFormatting>
  <conditionalFormatting sqref="R124 R131 R127">
    <cfRule type="cellIs" dxfId="2015" priority="2015" operator="greaterThan">
      <formula>1</formula>
    </cfRule>
    <cfRule type="cellIs" dxfId="2014" priority="2016" operator="lessThan">
      <formula>0.8</formula>
    </cfRule>
  </conditionalFormatting>
  <conditionalFormatting sqref="P124 P131 P127">
    <cfRule type="cellIs" dxfId="2013" priority="2014" operator="greaterThan">
      <formula>0</formula>
    </cfRule>
  </conditionalFormatting>
  <conditionalFormatting sqref="Q124 Q131 Q127">
    <cfRule type="cellIs" dxfId="2012" priority="2013" operator="lessThan">
      <formula>0</formula>
    </cfRule>
  </conditionalFormatting>
  <conditionalFormatting sqref="R124 R131 R127">
    <cfRule type="cellIs" dxfId="2011" priority="2011" operator="lessThan">
      <formula>0.8</formula>
    </cfRule>
    <cfRule type="cellIs" dxfId="2010" priority="2012" operator="greaterThan">
      <formula>1</formula>
    </cfRule>
  </conditionalFormatting>
  <conditionalFormatting sqref="R124 R131 R127">
    <cfRule type="cellIs" dxfId="2009" priority="2009" operator="greaterThan">
      <formula>1</formula>
    </cfRule>
    <cfRule type="cellIs" dxfId="2008" priority="2010" operator="lessThan">
      <formula>0.8</formula>
    </cfRule>
  </conditionalFormatting>
  <conditionalFormatting sqref="P124 P131 P127">
    <cfRule type="cellIs" dxfId="2007" priority="2008" operator="greaterThan">
      <formula>0</formula>
    </cfRule>
  </conditionalFormatting>
  <conditionalFormatting sqref="Q124 Q131 Q127">
    <cfRule type="cellIs" dxfId="2006" priority="2007" operator="lessThan">
      <formula>0</formula>
    </cfRule>
  </conditionalFormatting>
  <conditionalFormatting sqref="R124 R131 R127">
    <cfRule type="cellIs" dxfId="2005" priority="2005" operator="lessThan">
      <formula>0.8</formula>
    </cfRule>
    <cfRule type="cellIs" dxfId="2004" priority="2006" operator="greaterThan">
      <formula>1</formula>
    </cfRule>
  </conditionalFormatting>
  <conditionalFormatting sqref="R124 R131 R127">
    <cfRule type="cellIs" dxfId="2003" priority="2003" operator="greaterThan">
      <formula>1</formula>
    </cfRule>
    <cfRule type="cellIs" dxfId="2002" priority="2004" operator="lessThan">
      <formula>0.8</formula>
    </cfRule>
  </conditionalFormatting>
  <conditionalFormatting sqref="P124 P131 P127">
    <cfRule type="cellIs" dxfId="2001" priority="2002" operator="greaterThan">
      <formula>0</formula>
    </cfRule>
  </conditionalFormatting>
  <conditionalFormatting sqref="Q124 Q131 Q127">
    <cfRule type="cellIs" dxfId="2000" priority="2001" operator="lessThan">
      <formula>0</formula>
    </cfRule>
  </conditionalFormatting>
  <conditionalFormatting sqref="R124 R131 R127">
    <cfRule type="cellIs" dxfId="1999" priority="1999" operator="lessThan">
      <formula>0.8</formula>
    </cfRule>
    <cfRule type="cellIs" dxfId="1998" priority="2000" operator="greaterThan">
      <formula>1</formula>
    </cfRule>
  </conditionalFormatting>
  <conditionalFormatting sqref="R124 R131 R127">
    <cfRule type="cellIs" dxfId="1997" priority="1997" operator="greaterThan">
      <formula>1</formula>
    </cfRule>
    <cfRule type="cellIs" dxfId="1996" priority="1998" operator="lessThan">
      <formula>0.8</formula>
    </cfRule>
  </conditionalFormatting>
  <conditionalFormatting sqref="P124 P131 P127">
    <cfRule type="cellIs" dxfId="1995" priority="1996" operator="greaterThan">
      <formula>0</formula>
    </cfRule>
  </conditionalFormatting>
  <conditionalFormatting sqref="P124 P131 P127">
    <cfRule type="cellIs" dxfId="1994" priority="1990" operator="greaterThan">
      <formula>0</formula>
    </cfRule>
  </conditionalFormatting>
  <conditionalFormatting sqref="Q124 Q131 Q127">
    <cfRule type="cellIs" dxfId="1993" priority="1995" operator="lessThan">
      <formula>0</formula>
    </cfRule>
  </conditionalFormatting>
  <conditionalFormatting sqref="R124 R131 R127">
    <cfRule type="cellIs" dxfId="1992" priority="1993" operator="lessThan">
      <formula>0.8</formula>
    </cfRule>
    <cfRule type="cellIs" dxfId="1991" priority="1994" operator="greaterThan">
      <formula>1</formula>
    </cfRule>
  </conditionalFormatting>
  <conditionalFormatting sqref="R124 R131 R127">
    <cfRule type="cellIs" dxfId="1990" priority="1991" operator="greaterThan">
      <formula>1</formula>
    </cfRule>
    <cfRule type="cellIs" dxfId="1989" priority="1992" operator="lessThan">
      <formula>0.8</formula>
    </cfRule>
  </conditionalFormatting>
  <conditionalFormatting sqref="P124 P131 P127">
    <cfRule type="cellIs" dxfId="1988" priority="1984" operator="greaterThan">
      <formula>0</formula>
    </cfRule>
  </conditionalFormatting>
  <conditionalFormatting sqref="Q124 Q131 Q127">
    <cfRule type="cellIs" dxfId="1987" priority="1989" operator="lessThan">
      <formula>0</formula>
    </cfRule>
  </conditionalFormatting>
  <conditionalFormatting sqref="R124 R131 R127">
    <cfRule type="cellIs" dxfId="1986" priority="1987" operator="lessThan">
      <formula>0.8</formula>
    </cfRule>
    <cfRule type="cellIs" dxfId="1985" priority="1988" operator="greaterThan">
      <formula>1</formula>
    </cfRule>
  </conditionalFormatting>
  <conditionalFormatting sqref="R124 R131 R127">
    <cfRule type="cellIs" dxfId="1984" priority="1985" operator="greaterThan">
      <formula>1</formula>
    </cfRule>
    <cfRule type="cellIs" dxfId="1983" priority="1986" operator="lessThan">
      <formula>0.8</formula>
    </cfRule>
  </conditionalFormatting>
  <conditionalFormatting sqref="R124 R131 R127">
    <cfRule type="cellIs" dxfId="1982" priority="1981" operator="lessThan">
      <formula>0.8</formula>
    </cfRule>
    <cfRule type="cellIs" dxfId="1981" priority="1982" operator="greaterThan">
      <formula>1</formula>
    </cfRule>
  </conditionalFormatting>
  <conditionalFormatting sqref="R124 R131 R127">
    <cfRule type="cellIs" dxfId="1980" priority="1979" operator="greaterThan">
      <formula>1</formula>
    </cfRule>
    <cfRule type="cellIs" dxfId="1979" priority="1980" operator="lessThan">
      <formula>0.8</formula>
    </cfRule>
  </conditionalFormatting>
  <conditionalFormatting sqref="P124 P131 P127">
    <cfRule type="cellIs" dxfId="1978" priority="1978" operator="greaterThan">
      <formula>0</formula>
    </cfRule>
  </conditionalFormatting>
  <conditionalFormatting sqref="Q124 Q131 Q127">
    <cfRule type="cellIs" dxfId="1977" priority="1983" operator="lessThan">
      <formula>0</formula>
    </cfRule>
  </conditionalFormatting>
  <conditionalFormatting sqref="Q124 Q131 Q127">
    <cfRule type="cellIs" dxfId="1976" priority="1977" operator="lessThan">
      <formula>0</formula>
    </cfRule>
  </conditionalFormatting>
  <conditionalFormatting sqref="R124 R131 R127">
    <cfRule type="cellIs" dxfId="1975" priority="1975" operator="lessThan">
      <formula>0.8</formula>
    </cfRule>
    <cfRule type="cellIs" dxfId="1974" priority="1976" operator="greaterThan">
      <formula>1</formula>
    </cfRule>
  </conditionalFormatting>
  <conditionalFormatting sqref="R124 R131 R127">
    <cfRule type="cellIs" dxfId="1973" priority="1973" operator="greaterThan">
      <formula>1</formula>
    </cfRule>
    <cfRule type="cellIs" dxfId="1972" priority="1974" operator="lessThan">
      <formula>0.8</formula>
    </cfRule>
  </conditionalFormatting>
  <conditionalFormatting sqref="P124 P131 P127">
    <cfRule type="cellIs" dxfId="1971" priority="1972" operator="greaterThan">
      <formula>0</formula>
    </cfRule>
  </conditionalFormatting>
  <conditionalFormatting sqref="P124 P131 P127">
    <cfRule type="cellIs" dxfId="1970" priority="1966" operator="greaterThan">
      <formula>0</formula>
    </cfRule>
  </conditionalFormatting>
  <conditionalFormatting sqref="Q124 Q131 Q127">
    <cfRule type="cellIs" dxfId="1969" priority="1971" operator="lessThan">
      <formula>0</formula>
    </cfRule>
  </conditionalFormatting>
  <conditionalFormatting sqref="R124 R131 R127">
    <cfRule type="cellIs" dxfId="1968" priority="1969" operator="lessThan">
      <formula>0.8</formula>
    </cfRule>
    <cfRule type="cellIs" dxfId="1967" priority="1970" operator="greaterThan">
      <formula>1</formula>
    </cfRule>
  </conditionalFormatting>
  <conditionalFormatting sqref="R124 R131 R127">
    <cfRule type="cellIs" dxfId="1966" priority="1967" operator="greaterThan">
      <formula>1</formula>
    </cfRule>
    <cfRule type="cellIs" dxfId="1965" priority="1968" operator="lessThan">
      <formula>0.8</formula>
    </cfRule>
  </conditionalFormatting>
  <conditionalFormatting sqref="P124 P131 P127">
    <cfRule type="cellIs" dxfId="1964" priority="1960" operator="greaterThan">
      <formula>0</formula>
    </cfRule>
  </conditionalFormatting>
  <conditionalFormatting sqref="Q124 Q131 Q127">
    <cfRule type="cellIs" dxfId="1963" priority="1965" operator="lessThan">
      <formula>0</formula>
    </cfRule>
  </conditionalFormatting>
  <conditionalFormatting sqref="R124 R131 R127">
    <cfRule type="cellIs" dxfId="1962" priority="1963" operator="lessThan">
      <formula>0.8</formula>
    </cfRule>
    <cfRule type="cellIs" dxfId="1961" priority="1964" operator="greaterThan">
      <formula>1</formula>
    </cfRule>
  </conditionalFormatting>
  <conditionalFormatting sqref="R124 R131 R127">
    <cfRule type="cellIs" dxfId="1960" priority="1961" operator="greaterThan">
      <formula>1</formula>
    </cfRule>
    <cfRule type="cellIs" dxfId="1959" priority="1962" operator="lessThan">
      <formula>0.8</formula>
    </cfRule>
  </conditionalFormatting>
  <conditionalFormatting sqref="R124 R131 R127">
    <cfRule type="cellIs" dxfId="1958" priority="1957" operator="lessThan">
      <formula>0.8</formula>
    </cfRule>
    <cfRule type="cellIs" dxfId="1957" priority="1958" operator="greaterThan">
      <formula>1</formula>
    </cfRule>
  </conditionalFormatting>
  <conditionalFormatting sqref="R124 R131 R127">
    <cfRule type="cellIs" dxfId="1956" priority="1955" operator="greaterThan">
      <formula>1</formula>
    </cfRule>
    <cfRule type="cellIs" dxfId="1955" priority="1956" operator="lessThan">
      <formula>0.8</formula>
    </cfRule>
  </conditionalFormatting>
  <conditionalFormatting sqref="P124 P131 P127">
    <cfRule type="cellIs" dxfId="1954" priority="1954" operator="greaterThan">
      <formula>0</formula>
    </cfRule>
  </conditionalFormatting>
  <conditionalFormatting sqref="Q124 Q131 Q127">
    <cfRule type="cellIs" dxfId="1953" priority="1959" operator="lessThan">
      <formula>0</formula>
    </cfRule>
  </conditionalFormatting>
  <conditionalFormatting sqref="P124 P131 P127">
    <cfRule type="cellIs" dxfId="1952" priority="1948" operator="greaterThan">
      <formula>0</formula>
    </cfRule>
  </conditionalFormatting>
  <conditionalFormatting sqref="Q124 Q131 Q127">
    <cfRule type="cellIs" dxfId="1951" priority="1953" operator="lessThan">
      <formula>0</formula>
    </cfRule>
  </conditionalFormatting>
  <conditionalFormatting sqref="R124 R131 R127">
    <cfRule type="cellIs" dxfId="1950" priority="1951" operator="lessThan">
      <formula>0.8</formula>
    </cfRule>
    <cfRule type="cellIs" dxfId="1949" priority="1952" operator="greaterThan">
      <formula>1</formula>
    </cfRule>
  </conditionalFormatting>
  <conditionalFormatting sqref="R124 R131 R127">
    <cfRule type="cellIs" dxfId="1948" priority="1949" operator="greaterThan">
      <formula>1</formula>
    </cfRule>
    <cfRule type="cellIs" dxfId="1947" priority="1950" operator="lessThan">
      <formula>0.8</formula>
    </cfRule>
  </conditionalFormatting>
  <conditionalFormatting sqref="R124 R131 R127">
    <cfRule type="cellIs" dxfId="1946" priority="1945" operator="lessThan">
      <formula>0.8</formula>
    </cfRule>
    <cfRule type="cellIs" dxfId="1945" priority="1946" operator="greaterThan">
      <formula>1</formula>
    </cfRule>
  </conditionalFormatting>
  <conditionalFormatting sqref="R124 R131 R127">
    <cfRule type="cellIs" dxfId="1944" priority="1943" operator="greaterThan">
      <formula>1</formula>
    </cfRule>
    <cfRule type="cellIs" dxfId="1943" priority="1944" operator="lessThan">
      <formula>0.8</formula>
    </cfRule>
  </conditionalFormatting>
  <conditionalFormatting sqref="P124 P131 P127">
    <cfRule type="cellIs" dxfId="1942" priority="1942" operator="greaterThan">
      <formula>0</formula>
    </cfRule>
  </conditionalFormatting>
  <conditionalFormatting sqref="Q124 Q131 Q127">
    <cfRule type="cellIs" dxfId="1941" priority="1947" operator="lessThan">
      <formula>0</formula>
    </cfRule>
  </conditionalFormatting>
  <conditionalFormatting sqref="R124 R131 R127">
    <cfRule type="cellIs" dxfId="1940" priority="1939" operator="lessThan">
      <formula>0.8</formula>
    </cfRule>
    <cfRule type="cellIs" dxfId="1939" priority="1940" operator="greaterThan">
      <formula>1</formula>
    </cfRule>
  </conditionalFormatting>
  <conditionalFormatting sqref="R124 R131 R127">
    <cfRule type="cellIs" dxfId="1938" priority="1937" operator="greaterThan">
      <formula>1</formula>
    </cfRule>
    <cfRule type="cellIs" dxfId="1937" priority="1938" operator="lessThan">
      <formula>0.8</formula>
    </cfRule>
  </conditionalFormatting>
  <conditionalFormatting sqref="P124 P131 P127">
    <cfRule type="cellIs" dxfId="1936" priority="1936" operator="greaterThan">
      <formula>0</formula>
    </cfRule>
  </conditionalFormatting>
  <conditionalFormatting sqref="Q124 Q131 Q127">
    <cfRule type="cellIs" dxfId="1935" priority="1941" operator="lessThan">
      <formula>0</formula>
    </cfRule>
  </conditionalFormatting>
  <conditionalFormatting sqref="Q124 Q131 Q127">
    <cfRule type="cellIs" dxfId="1934" priority="1935" operator="lessThan">
      <formula>0</formula>
    </cfRule>
  </conditionalFormatting>
  <conditionalFormatting sqref="R124 R131 R127">
    <cfRule type="cellIs" dxfId="1933" priority="1933" operator="lessThan">
      <formula>0.8</formula>
    </cfRule>
    <cfRule type="cellIs" dxfId="1932" priority="1934" operator="greaterThan">
      <formula>1</formula>
    </cfRule>
  </conditionalFormatting>
  <conditionalFormatting sqref="R124 R131 R127">
    <cfRule type="cellIs" dxfId="1931" priority="1931" operator="greaterThan">
      <formula>1</formula>
    </cfRule>
    <cfRule type="cellIs" dxfId="1930" priority="1932" operator="lessThan">
      <formula>0.8</formula>
    </cfRule>
  </conditionalFormatting>
  <conditionalFormatting sqref="P124 P131 P127">
    <cfRule type="cellIs" dxfId="1929" priority="1930" operator="greaterThan">
      <formula>0</formula>
    </cfRule>
  </conditionalFormatting>
  <conditionalFormatting sqref="Q124 Q131 Q127">
    <cfRule type="cellIs" dxfId="1928" priority="1924" operator="lessThan">
      <formula>0</formula>
    </cfRule>
  </conditionalFormatting>
  <conditionalFormatting sqref="R124 R131 R127">
    <cfRule type="cellIs" dxfId="1927" priority="1928" operator="lessThan">
      <formula>0.8</formula>
    </cfRule>
    <cfRule type="cellIs" dxfId="1926" priority="1929" operator="greaterThan">
      <formula>1</formula>
    </cfRule>
  </conditionalFormatting>
  <conditionalFormatting sqref="R124 R131 R127">
    <cfRule type="cellIs" dxfId="1925" priority="1926" operator="greaterThan">
      <formula>1</formula>
    </cfRule>
    <cfRule type="cellIs" dxfId="1924" priority="1927" operator="lessThan">
      <formula>0.8</formula>
    </cfRule>
  </conditionalFormatting>
  <conditionalFormatting sqref="P124 P131 P127">
    <cfRule type="cellIs" dxfId="1923" priority="1925" operator="greaterThan">
      <formula>0</formula>
    </cfRule>
  </conditionalFormatting>
  <conditionalFormatting sqref="Q124 Q131 Q127">
    <cfRule type="cellIs" dxfId="1922" priority="1923" operator="lessThan">
      <formula>0</formula>
    </cfRule>
  </conditionalFormatting>
  <conditionalFormatting sqref="R124 R131 R127">
    <cfRule type="cellIs" dxfId="1921" priority="1921" operator="lessThan">
      <formula>0.8</formula>
    </cfRule>
    <cfRule type="cellIs" dxfId="1920" priority="1922" operator="greaterThan">
      <formula>1</formula>
    </cfRule>
  </conditionalFormatting>
  <conditionalFormatting sqref="R124 R131 R127">
    <cfRule type="cellIs" dxfId="1919" priority="1919" operator="greaterThan">
      <formula>1</formula>
    </cfRule>
    <cfRule type="cellIs" dxfId="1918" priority="1920" operator="lessThan">
      <formula>0.8</formula>
    </cfRule>
  </conditionalFormatting>
  <conditionalFormatting sqref="P124 P131 P127">
    <cfRule type="cellIs" dxfId="1917" priority="1918" operator="greaterThan">
      <formula>0</formula>
    </cfRule>
  </conditionalFormatting>
  <conditionalFormatting sqref="Q124 Q131 Q127">
    <cfRule type="cellIs" dxfId="1916" priority="1917" operator="lessThan">
      <formula>0</formula>
    </cfRule>
  </conditionalFormatting>
  <conditionalFormatting sqref="R124 R131 R127">
    <cfRule type="cellIs" dxfId="1915" priority="1915" operator="lessThan">
      <formula>0.8</formula>
    </cfRule>
    <cfRule type="cellIs" dxfId="1914" priority="1916" operator="greaterThan">
      <formula>1</formula>
    </cfRule>
  </conditionalFormatting>
  <conditionalFormatting sqref="R124 R131 R127">
    <cfRule type="cellIs" dxfId="1913" priority="1913" operator="greaterThan">
      <formula>1</formula>
    </cfRule>
    <cfRule type="cellIs" dxfId="1912" priority="1914" operator="lessThan">
      <formula>0.8</formula>
    </cfRule>
  </conditionalFormatting>
  <conditionalFormatting sqref="P124 P131 P127">
    <cfRule type="cellIs" dxfId="1911" priority="1912" operator="greaterThan">
      <formula>0</formula>
    </cfRule>
  </conditionalFormatting>
  <conditionalFormatting sqref="Q124 Q131 Q127">
    <cfRule type="cellIs" dxfId="1910" priority="1911" operator="lessThan">
      <formula>0</formula>
    </cfRule>
  </conditionalFormatting>
  <conditionalFormatting sqref="R124 R131 R127">
    <cfRule type="cellIs" dxfId="1909" priority="1909" operator="lessThan">
      <formula>0.8</formula>
    </cfRule>
    <cfRule type="cellIs" dxfId="1908" priority="1910" operator="greaterThan">
      <formula>1</formula>
    </cfRule>
  </conditionalFormatting>
  <conditionalFormatting sqref="R124 R131 R127">
    <cfRule type="cellIs" dxfId="1907" priority="1907" operator="greaterThan">
      <formula>1</formula>
    </cfRule>
    <cfRule type="cellIs" dxfId="1906" priority="1908" operator="lessThan">
      <formula>0.8</formula>
    </cfRule>
  </conditionalFormatting>
  <conditionalFormatting sqref="P124 P131 P127">
    <cfRule type="cellIs" dxfId="1905" priority="1906" operator="greaterThan">
      <formula>0</formula>
    </cfRule>
  </conditionalFormatting>
  <conditionalFormatting sqref="Q124 Q131 Q127">
    <cfRule type="cellIs" dxfId="1904" priority="1905" operator="lessThan">
      <formula>0</formula>
    </cfRule>
  </conditionalFormatting>
  <conditionalFormatting sqref="R124 R131 R127">
    <cfRule type="cellIs" dxfId="1903" priority="1903" operator="lessThan">
      <formula>0.8</formula>
    </cfRule>
    <cfRule type="cellIs" dxfId="1902" priority="1904" operator="greaterThan">
      <formula>1</formula>
    </cfRule>
  </conditionalFormatting>
  <conditionalFormatting sqref="R124 R131 R127">
    <cfRule type="cellIs" dxfId="1901" priority="1901" operator="greaterThan">
      <formula>1</formula>
    </cfRule>
    <cfRule type="cellIs" dxfId="1900" priority="1902" operator="lessThan">
      <formula>0.8</formula>
    </cfRule>
  </conditionalFormatting>
  <conditionalFormatting sqref="P124 P131 P127">
    <cfRule type="cellIs" dxfId="1899" priority="1900" operator="greaterThan">
      <formula>0</formula>
    </cfRule>
  </conditionalFormatting>
  <conditionalFormatting sqref="Q124 Q131 Q127">
    <cfRule type="cellIs" dxfId="1898" priority="1899" operator="lessThan">
      <formula>0</formula>
    </cfRule>
  </conditionalFormatting>
  <conditionalFormatting sqref="R124 R131 R127">
    <cfRule type="cellIs" dxfId="1897" priority="1897" operator="lessThan">
      <formula>0.8</formula>
    </cfRule>
    <cfRule type="cellIs" dxfId="1896" priority="1898" operator="greaterThan">
      <formula>1</formula>
    </cfRule>
  </conditionalFormatting>
  <conditionalFormatting sqref="R124 R131 R127">
    <cfRule type="cellIs" dxfId="1895" priority="1895" operator="greaterThan">
      <formula>1</formula>
    </cfRule>
    <cfRule type="cellIs" dxfId="1894" priority="1896" operator="lessThan">
      <formula>0.8</formula>
    </cfRule>
  </conditionalFormatting>
  <conditionalFormatting sqref="P124 P131 P127">
    <cfRule type="cellIs" dxfId="1893" priority="1894" operator="greaterThan">
      <formula>0</formula>
    </cfRule>
  </conditionalFormatting>
  <conditionalFormatting sqref="P124 P131 P127">
    <cfRule type="cellIs" dxfId="1892" priority="1888" operator="greaterThan">
      <formula>0</formula>
    </cfRule>
  </conditionalFormatting>
  <conditionalFormatting sqref="Q124 Q131 Q127">
    <cfRule type="cellIs" dxfId="1891" priority="1893" operator="lessThan">
      <formula>0</formula>
    </cfRule>
  </conditionalFormatting>
  <conditionalFormatting sqref="R124 R131 R127">
    <cfRule type="cellIs" dxfId="1890" priority="1891" operator="lessThan">
      <formula>0.8</formula>
    </cfRule>
    <cfRule type="cellIs" dxfId="1889" priority="1892" operator="greaterThan">
      <formula>1</formula>
    </cfRule>
  </conditionalFormatting>
  <conditionalFormatting sqref="R124 R131 R127">
    <cfRule type="cellIs" dxfId="1888" priority="1889" operator="greaterThan">
      <formula>1</formula>
    </cfRule>
    <cfRule type="cellIs" dxfId="1887" priority="1890" operator="lessThan">
      <formula>0.8</formula>
    </cfRule>
  </conditionalFormatting>
  <conditionalFormatting sqref="P124 P131 P127">
    <cfRule type="cellIs" dxfId="1886" priority="1882" operator="greaterThan">
      <formula>0</formula>
    </cfRule>
  </conditionalFormatting>
  <conditionalFormatting sqref="Q124 Q131 Q127">
    <cfRule type="cellIs" dxfId="1885" priority="1887" operator="lessThan">
      <formula>0</formula>
    </cfRule>
  </conditionalFormatting>
  <conditionalFormatting sqref="R124 R131 R127">
    <cfRule type="cellIs" dxfId="1884" priority="1885" operator="lessThan">
      <formula>0.8</formula>
    </cfRule>
    <cfRule type="cellIs" dxfId="1883" priority="1886" operator="greaterThan">
      <formula>1</formula>
    </cfRule>
  </conditionalFormatting>
  <conditionalFormatting sqref="R124 R131 R127">
    <cfRule type="cellIs" dxfId="1882" priority="1883" operator="greaterThan">
      <formula>1</formula>
    </cfRule>
    <cfRule type="cellIs" dxfId="1881" priority="1884" operator="lessThan">
      <formula>0.8</formula>
    </cfRule>
  </conditionalFormatting>
  <conditionalFormatting sqref="R124 R131 R127">
    <cfRule type="cellIs" dxfId="1880" priority="1879" operator="lessThan">
      <formula>0.8</formula>
    </cfRule>
    <cfRule type="cellIs" dxfId="1879" priority="1880" operator="greaterThan">
      <formula>1</formula>
    </cfRule>
  </conditionalFormatting>
  <conditionalFormatting sqref="R124 R131 R127">
    <cfRule type="cellIs" dxfId="1878" priority="1877" operator="greaterThan">
      <formula>1</formula>
    </cfRule>
    <cfRule type="cellIs" dxfId="1877" priority="1878" operator="lessThan">
      <formula>0.8</formula>
    </cfRule>
  </conditionalFormatting>
  <conditionalFormatting sqref="P124 P131 P127">
    <cfRule type="cellIs" dxfId="1876" priority="1876" operator="greaterThan">
      <formula>0</formula>
    </cfRule>
  </conditionalFormatting>
  <conditionalFormatting sqref="Q124 Q131 Q127">
    <cfRule type="cellIs" dxfId="1875" priority="1881" operator="lessThan">
      <formula>0</formula>
    </cfRule>
  </conditionalFormatting>
  <conditionalFormatting sqref="Q5:Q14">
    <cfRule type="cellIs" dxfId="1874" priority="1875" operator="lessThan">
      <formula>0</formula>
    </cfRule>
  </conditionalFormatting>
  <conditionalFormatting sqref="R5:R14">
    <cfRule type="cellIs" dxfId="1873" priority="1873" operator="lessThan">
      <formula>0.8</formula>
    </cfRule>
    <cfRule type="cellIs" dxfId="1872" priority="1874" operator="greaterThan">
      <formula>1</formula>
    </cfRule>
  </conditionalFormatting>
  <conditionalFormatting sqref="R5:R14">
    <cfRule type="cellIs" dxfId="1871" priority="1871" operator="greaterThan">
      <formula>1</formula>
    </cfRule>
    <cfRule type="cellIs" dxfId="1870" priority="1872" operator="lessThan">
      <formula>0.8</formula>
    </cfRule>
  </conditionalFormatting>
  <conditionalFormatting sqref="P5:P14">
    <cfRule type="cellIs" dxfId="1869" priority="1870" operator="greaterThan">
      <formula>0</formula>
    </cfRule>
  </conditionalFormatting>
  <conditionalFormatting sqref="Q83">
    <cfRule type="cellIs" dxfId="1868" priority="1869" operator="lessThan">
      <formula>0</formula>
    </cfRule>
  </conditionalFormatting>
  <conditionalFormatting sqref="R83">
    <cfRule type="cellIs" dxfId="1867" priority="1867" operator="lessThan">
      <formula>0.8</formula>
    </cfRule>
    <cfRule type="cellIs" dxfId="1866" priority="1868" operator="greaterThan">
      <formula>1</formula>
    </cfRule>
  </conditionalFormatting>
  <conditionalFormatting sqref="R83">
    <cfRule type="cellIs" dxfId="1865" priority="1865" operator="greaterThan">
      <formula>1</formula>
    </cfRule>
    <cfRule type="cellIs" dxfId="1864" priority="1866" operator="lessThan">
      <formula>0.8</formula>
    </cfRule>
  </conditionalFormatting>
  <conditionalFormatting sqref="P83">
    <cfRule type="cellIs" dxfId="1863" priority="1864" operator="greaterThan">
      <formula>0</formula>
    </cfRule>
  </conditionalFormatting>
  <conditionalFormatting sqref="Q83">
    <cfRule type="cellIs" dxfId="1862" priority="1863" operator="lessThan">
      <formula>0</formula>
    </cfRule>
  </conditionalFormatting>
  <conditionalFormatting sqref="R83">
    <cfRule type="cellIs" dxfId="1861" priority="1861" operator="lessThan">
      <formula>0.8</formula>
    </cfRule>
    <cfRule type="cellIs" dxfId="1860" priority="1862" operator="greaterThan">
      <formula>1</formula>
    </cfRule>
  </conditionalFormatting>
  <conditionalFormatting sqref="R83">
    <cfRule type="cellIs" dxfId="1859" priority="1859" operator="greaterThan">
      <formula>1</formula>
    </cfRule>
    <cfRule type="cellIs" dxfId="1858" priority="1860" operator="lessThan">
      <formula>0.8</formula>
    </cfRule>
  </conditionalFormatting>
  <conditionalFormatting sqref="P83">
    <cfRule type="cellIs" dxfId="1857" priority="1858" operator="greaterThan">
      <formula>0</formula>
    </cfRule>
  </conditionalFormatting>
  <conditionalFormatting sqref="Q83">
    <cfRule type="cellIs" dxfId="1856" priority="1857" operator="lessThan">
      <formula>0</formula>
    </cfRule>
  </conditionalFormatting>
  <conditionalFormatting sqref="R83">
    <cfRule type="cellIs" dxfId="1855" priority="1855" operator="lessThan">
      <formula>0.8</formula>
    </cfRule>
    <cfRule type="cellIs" dxfId="1854" priority="1856" operator="greaterThan">
      <formula>1</formula>
    </cfRule>
  </conditionalFormatting>
  <conditionalFormatting sqref="R83">
    <cfRule type="cellIs" dxfId="1853" priority="1853" operator="greaterThan">
      <formula>1</formula>
    </cfRule>
    <cfRule type="cellIs" dxfId="1852" priority="1854" operator="lessThan">
      <formula>0.8</formula>
    </cfRule>
  </conditionalFormatting>
  <conditionalFormatting sqref="P83">
    <cfRule type="cellIs" dxfId="1851" priority="1852" operator="greaterThan">
      <formula>0</formula>
    </cfRule>
  </conditionalFormatting>
  <conditionalFormatting sqref="Q83">
    <cfRule type="cellIs" dxfId="1850" priority="1851" operator="lessThan">
      <formula>0</formula>
    </cfRule>
  </conditionalFormatting>
  <conditionalFormatting sqref="R83">
    <cfRule type="cellIs" dxfId="1849" priority="1849" operator="lessThan">
      <formula>0.8</formula>
    </cfRule>
    <cfRule type="cellIs" dxfId="1848" priority="1850" operator="greaterThan">
      <formula>1</formula>
    </cfRule>
  </conditionalFormatting>
  <conditionalFormatting sqref="R83">
    <cfRule type="cellIs" dxfId="1847" priority="1847" operator="greaterThan">
      <formula>1</formula>
    </cfRule>
    <cfRule type="cellIs" dxfId="1846" priority="1848" operator="lessThan">
      <formula>0.8</formula>
    </cfRule>
  </conditionalFormatting>
  <conditionalFormatting sqref="P83">
    <cfRule type="cellIs" dxfId="1845" priority="1846" operator="greaterThan">
      <formula>0</formula>
    </cfRule>
  </conditionalFormatting>
  <conditionalFormatting sqref="P83">
    <cfRule type="cellIs" dxfId="1844" priority="1840" operator="greaterThan">
      <formula>0</formula>
    </cfRule>
  </conditionalFormatting>
  <conditionalFormatting sqref="Q83">
    <cfRule type="cellIs" dxfId="1843" priority="1845" operator="lessThan">
      <formula>0</formula>
    </cfRule>
  </conditionalFormatting>
  <conditionalFormatting sqref="R83">
    <cfRule type="cellIs" dxfId="1842" priority="1843" operator="lessThan">
      <formula>0.8</formula>
    </cfRule>
    <cfRule type="cellIs" dxfId="1841" priority="1844" operator="greaterThan">
      <formula>1</formula>
    </cfRule>
  </conditionalFormatting>
  <conditionalFormatting sqref="R83">
    <cfRule type="cellIs" dxfId="1840" priority="1841" operator="greaterThan">
      <formula>1</formula>
    </cfRule>
    <cfRule type="cellIs" dxfId="1839" priority="1842" operator="lessThan">
      <formula>0.8</formula>
    </cfRule>
  </conditionalFormatting>
  <conditionalFormatting sqref="P83">
    <cfRule type="cellIs" dxfId="1838" priority="1834" operator="greaterThan">
      <formula>0</formula>
    </cfRule>
  </conditionalFormatting>
  <conditionalFormatting sqref="Q83">
    <cfRule type="cellIs" dxfId="1837" priority="1839" operator="lessThan">
      <formula>0</formula>
    </cfRule>
  </conditionalFormatting>
  <conditionalFormatting sqref="R83">
    <cfRule type="cellIs" dxfId="1836" priority="1837" operator="lessThan">
      <formula>0.8</formula>
    </cfRule>
    <cfRule type="cellIs" dxfId="1835" priority="1838" operator="greaterThan">
      <formula>1</formula>
    </cfRule>
  </conditionalFormatting>
  <conditionalFormatting sqref="R83">
    <cfRule type="cellIs" dxfId="1834" priority="1835" operator="greaterThan">
      <formula>1</formula>
    </cfRule>
    <cfRule type="cellIs" dxfId="1833" priority="1836" operator="lessThan">
      <formula>0.8</formula>
    </cfRule>
  </conditionalFormatting>
  <conditionalFormatting sqref="R83">
    <cfRule type="cellIs" dxfId="1832" priority="1831" operator="lessThan">
      <formula>0.8</formula>
    </cfRule>
    <cfRule type="cellIs" dxfId="1831" priority="1832" operator="greaterThan">
      <formula>1</formula>
    </cfRule>
  </conditionalFormatting>
  <conditionalFormatting sqref="R83">
    <cfRule type="cellIs" dxfId="1830" priority="1829" operator="greaterThan">
      <formula>1</formula>
    </cfRule>
    <cfRule type="cellIs" dxfId="1829" priority="1830" operator="lessThan">
      <formula>0.8</formula>
    </cfRule>
  </conditionalFormatting>
  <conditionalFormatting sqref="P83">
    <cfRule type="cellIs" dxfId="1828" priority="1828" operator="greaterThan">
      <formula>0</formula>
    </cfRule>
  </conditionalFormatting>
  <conditionalFormatting sqref="Q83">
    <cfRule type="cellIs" dxfId="1827" priority="1833" operator="lessThan">
      <formula>0</formula>
    </cfRule>
  </conditionalFormatting>
  <conditionalFormatting sqref="Q83">
    <cfRule type="cellIs" dxfId="1826" priority="1827" operator="lessThan">
      <formula>0</formula>
    </cfRule>
  </conditionalFormatting>
  <conditionalFormatting sqref="R83">
    <cfRule type="cellIs" dxfId="1825" priority="1825" operator="lessThan">
      <formula>0.8</formula>
    </cfRule>
    <cfRule type="cellIs" dxfId="1824" priority="1826" operator="greaterThan">
      <formula>1</formula>
    </cfRule>
  </conditionalFormatting>
  <conditionalFormatting sqref="R83">
    <cfRule type="cellIs" dxfId="1823" priority="1823" operator="greaterThan">
      <formula>1</formula>
    </cfRule>
    <cfRule type="cellIs" dxfId="1822" priority="1824" operator="lessThan">
      <formula>0.8</formula>
    </cfRule>
  </conditionalFormatting>
  <conditionalFormatting sqref="P83">
    <cfRule type="cellIs" dxfId="1821" priority="1822" operator="greaterThan">
      <formula>0</formula>
    </cfRule>
  </conditionalFormatting>
  <conditionalFormatting sqref="P83">
    <cfRule type="cellIs" dxfId="1820" priority="1816" operator="greaterThan">
      <formula>0</formula>
    </cfRule>
  </conditionalFormatting>
  <conditionalFormatting sqref="Q83">
    <cfRule type="cellIs" dxfId="1819" priority="1821" operator="lessThan">
      <formula>0</formula>
    </cfRule>
  </conditionalFormatting>
  <conditionalFormatting sqref="R83">
    <cfRule type="cellIs" dxfId="1818" priority="1819" operator="lessThan">
      <formula>0.8</formula>
    </cfRule>
    <cfRule type="cellIs" dxfId="1817" priority="1820" operator="greaterThan">
      <formula>1</formula>
    </cfRule>
  </conditionalFormatting>
  <conditionalFormatting sqref="R83">
    <cfRule type="cellIs" dxfId="1816" priority="1817" operator="greaterThan">
      <formula>1</formula>
    </cfRule>
    <cfRule type="cellIs" dxfId="1815" priority="1818" operator="lessThan">
      <formula>0.8</formula>
    </cfRule>
  </conditionalFormatting>
  <conditionalFormatting sqref="P83">
    <cfRule type="cellIs" dxfId="1814" priority="1810" operator="greaterThan">
      <formula>0</formula>
    </cfRule>
  </conditionalFormatting>
  <conditionalFormatting sqref="Q83">
    <cfRule type="cellIs" dxfId="1813" priority="1815" operator="lessThan">
      <formula>0</formula>
    </cfRule>
  </conditionalFormatting>
  <conditionalFormatting sqref="R83">
    <cfRule type="cellIs" dxfId="1812" priority="1813" operator="lessThan">
      <formula>0.8</formula>
    </cfRule>
    <cfRule type="cellIs" dxfId="1811" priority="1814" operator="greaterThan">
      <formula>1</formula>
    </cfRule>
  </conditionalFormatting>
  <conditionalFormatting sqref="R83">
    <cfRule type="cellIs" dxfId="1810" priority="1811" operator="greaterThan">
      <formula>1</formula>
    </cfRule>
    <cfRule type="cellIs" dxfId="1809" priority="1812" operator="lessThan">
      <formula>0.8</formula>
    </cfRule>
  </conditionalFormatting>
  <conditionalFormatting sqref="R83">
    <cfRule type="cellIs" dxfId="1808" priority="1807" operator="lessThan">
      <formula>0.8</formula>
    </cfRule>
    <cfRule type="cellIs" dxfId="1807" priority="1808" operator="greaterThan">
      <formula>1</formula>
    </cfRule>
  </conditionalFormatting>
  <conditionalFormatting sqref="R83">
    <cfRule type="cellIs" dxfId="1806" priority="1805" operator="greaterThan">
      <formula>1</formula>
    </cfRule>
    <cfRule type="cellIs" dxfId="1805" priority="1806" operator="lessThan">
      <formula>0.8</formula>
    </cfRule>
  </conditionalFormatting>
  <conditionalFormatting sqref="P83">
    <cfRule type="cellIs" dxfId="1804" priority="1804" operator="greaterThan">
      <formula>0</formula>
    </cfRule>
  </conditionalFormatting>
  <conditionalFormatting sqref="Q83">
    <cfRule type="cellIs" dxfId="1803" priority="1809" operator="lessThan">
      <formula>0</formula>
    </cfRule>
  </conditionalFormatting>
  <conditionalFormatting sqref="P83">
    <cfRule type="cellIs" dxfId="1802" priority="1798" operator="greaterThan">
      <formula>0</formula>
    </cfRule>
  </conditionalFormatting>
  <conditionalFormatting sqref="Q83">
    <cfRule type="cellIs" dxfId="1801" priority="1803" operator="lessThan">
      <formula>0</formula>
    </cfRule>
  </conditionalFormatting>
  <conditionalFormatting sqref="R83">
    <cfRule type="cellIs" dxfId="1800" priority="1801" operator="lessThan">
      <formula>0.8</formula>
    </cfRule>
    <cfRule type="cellIs" dxfId="1799" priority="1802" operator="greaterThan">
      <formula>1</formula>
    </cfRule>
  </conditionalFormatting>
  <conditionalFormatting sqref="R83">
    <cfRule type="cellIs" dxfId="1798" priority="1799" operator="greaterThan">
      <formula>1</formula>
    </cfRule>
    <cfRule type="cellIs" dxfId="1797" priority="1800" operator="lessThan">
      <formula>0.8</formula>
    </cfRule>
  </conditionalFormatting>
  <conditionalFormatting sqref="R83">
    <cfRule type="cellIs" dxfId="1796" priority="1795" operator="lessThan">
      <formula>0.8</formula>
    </cfRule>
    <cfRule type="cellIs" dxfId="1795" priority="1796" operator="greaterThan">
      <formula>1</formula>
    </cfRule>
  </conditionalFormatting>
  <conditionalFormatting sqref="R83">
    <cfRule type="cellIs" dxfId="1794" priority="1793" operator="greaterThan">
      <formula>1</formula>
    </cfRule>
    <cfRule type="cellIs" dxfId="1793" priority="1794" operator="lessThan">
      <formula>0.8</formula>
    </cfRule>
  </conditionalFormatting>
  <conditionalFormatting sqref="P83">
    <cfRule type="cellIs" dxfId="1792" priority="1792" operator="greaterThan">
      <formula>0</formula>
    </cfRule>
  </conditionalFormatting>
  <conditionalFormatting sqref="Q83">
    <cfRule type="cellIs" dxfId="1791" priority="1797" operator="lessThan">
      <formula>0</formula>
    </cfRule>
  </conditionalFormatting>
  <conditionalFormatting sqref="R83">
    <cfRule type="cellIs" dxfId="1790" priority="1789" operator="lessThan">
      <formula>0.8</formula>
    </cfRule>
    <cfRule type="cellIs" dxfId="1789" priority="1790" operator="greaterThan">
      <formula>1</formula>
    </cfRule>
  </conditionalFormatting>
  <conditionalFormatting sqref="R83">
    <cfRule type="cellIs" dxfId="1788" priority="1787" operator="greaterThan">
      <formula>1</formula>
    </cfRule>
    <cfRule type="cellIs" dxfId="1787" priority="1788" operator="lessThan">
      <formula>0.8</formula>
    </cfRule>
  </conditionalFormatting>
  <conditionalFormatting sqref="P83">
    <cfRule type="cellIs" dxfId="1786" priority="1786" operator="greaterThan">
      <formula>0</formula>
    </cfRule>
  </conditionalFormatting>
  <conditionalFormatting sqref="Q83">
    <cfRule type="cellIs" dxfId="1785" priority="1791" operator="lessThan">
      <formula>0</formula>
    </cfRule>
  </conditionalFormatting>
  <conditionalFormatting sqref="Q83">
    <cfRule type="cellIs" dxfId="1784" priority="1785" operator="lessThan">
      <formula>0</formula>
    </cfRule>
  </conditionalFormatting>
  <conditionalFormatting sqref="R83">
    <cfRule type="cellIs" dxfId="1783" priority="1783" operator="lessThan">
      <formula>0.8</formula>
    </cfRule>
    <cfRule type="cellIs" dxfId="1782" priority="1784" operator="greaterThan">
      <formula>1</formula>
    </cfRule>
  </conditionalFormatting>
  <conditionalFormatting sqref="R83">
    <cfRule type="cellIs" dxfId="1781" priority="1781" operator="greaterThan">
      <formula>1</formula>
    </cfRule>
    <cfRule type="cellIs" dxfId="1780" priority="1782" operator="lessThan">
      <formula>0.8</formula>
    </cfRule>
  </conditionalFormatting>
  <conditionalFormatting sqref="P83">
    <cfRule type="cellIs" dxfId="1779" priority="1780" operator="greaterThan">
      <formula>0</formula>
    </cfRule>
  </conditionalFormatting>
  <conditionalFormatting sqref="Q83">
    <cfRule type="cellIs" dxfId="1778" priority="1774" operator="lessThan">
      <formula>0</formula>
    </cfRule>
  </conditionalFormatting>
  <conditionalFormatting sqref="R83">
    <cfRule type="cellIs" dxfId="1777" priority="1778" operator="lessThan">
      <formula>0.8</formula>
    </cfRule>
    <cfRule type="cellIs" dxfId="1776" priority="1779" operator="greaterThan">
      <formula>1</formula>
    </cfRule>
  </conditionalFormatting>
  <conditionalFormatting sqref="R83">
    <cfRule type="cellIs" dxfId="1775" priority="1776" operator="greaterThan">
      <formula>1</formula>
    </cfRule>
    <cfRule type="cellIs" dxfId="1774" priority="1777" operator="lessThan">
      <formula>0.8</formula>
    </cfRule>
  </conditionalFormatting>
  <conditionalFormatting sqref="P83">
    <cfRule type="cellIs" dxfId="1773" priority="1775" operator="greaterThan">
      <formula>0</formula>
    </cfRule>
  </conditionalFormatting>
  <conditionalFormatting sqref="Q83">
    <cfRule type="cellIs" dxfId="1772" priority="1773" operator="lessThan">
      <formula>0</formula>
    </cfRule>
  </conditionalFormatting>
  <conditionalFormatting sqref="R83">
    <cfRule type="cellIs" dxfId="1771" priority="1771" operator="lessThan">
      <formula>0.8</formula>
    </cfRule>
    <cfRule type="cellIs" dxfId="1770" priority="1772" operator="greaterThan">
      <formula>1</formula>
    </cfRule>
  </conditionalFormatting>
  <conditionalFormatting sqref="R83">
    <cfRule type="cellIs" dxfId="1769" priority="1769" operator="greaterThan">
      <formula>1</formula>
    </cfRule>
    <cfRule type="cellIs" dxfId="1768" priority="1770" operator="lessThan">
      <formula>0.8</formula>
    </cfRule>
  </conditionalFormatting>
  <conditionalFormatting sqref="P83">
    <cfRule type="cellIs" dxfId="1767" priority="1768" operator="greaterThan">
      <formula>0</formula>
    </cfRule>
  </conditionalFormatting>
  <conditionalFormatting sqref="Q83">
    <cfRule type="cellIs" dxfId="1766" priority="1767" operator="lessThan">
      <formula>0</formula>
    </cfRule>
  </conditionalFormatting>
  <conditionalFormatting sqref="R83">
    <cfRule type="cellIs" dxfId="1765" priority="1765" operator="lessThan">
      <formula>0.8</formula>
    </cfRule>
    <cfRule type="cellIs" dxfId="1764" priority="1766" operator="greaterThan">
      <formula>1</formula>
    </cfRule>
  </conditionalFormatting>
  <conditionalFormatting sqref="R83">
    <cfRule type="cellIs" dxfId="1763" priority="1763" operator="greaterThan">
      <formula>1</formula>
    </cfRule>
    <cfRule type="cellIs" dxfId="1762" priority="1764" operator="lessThan">
      <formula>0.8</formula>
    </cfRule>
  </conditionalFormatting>
  <conditionalFormatting sqref="P83">
    <cfRule type="cellIs" dxfId="1761" priority="1762" operator="greaterThan">
      <formula>0</formula>
    </cfRule>
  </conditionalFormatting>
  <conditionalFormatting sqref="Q83">
    <cfRule type="cellIs" dxfId="1760" priority="1761" operator="lessThan">
      <formula>0</formula>
    </cfRule>
  </conditionalFormatting>
  <conditionalFormatting sqref="R83">
    <cfRule type="cellIs" dxfId="1759" priority="1759" operator="lessThan">
      <formula>0.8</formula>
    </cfRule>
    <cfRule type="cellIs" dxfId="1758" priority="1760" operator="greaterThan">
      <formula>1</formula>
    </cfRule>
  </conditionalFormatting>
  <conditionalFormatting sqref="R83">
    <cfRule type="cellIs" dxfId="1757" priority="1757" operator="greaterThan">
      <formula>1</formula>
    </cfRule>
    <cfRule type="cellIs" dxfId="1756" priority="1758" operator="lessThan">
      <formula>0.8</formula>
    </cfRule>
  </conditionalFormatting>
  <conditionalFormatting sqref="P83">
    <cfRule type="cellIs" dxfId="1755" priority="1756" operator="greaterThan">
      <formula>0</formula>
    </cfRule>
  </conditionalFormatting>
  <conditionalFormatting sqref="Q83">
    <cfRule type="cellIs" dxfId="1754" priority="1755" operator="lessThan">
      <formula>0</formula>
    </cfRule>
  </conditionalFormatting>
  <conditionalFormatting sqref="R83">
    <cfRule type="cellIs" dxfId="1753" priority="1753" operator="lessThan">
      <formula>0.8</formula>
    </cfRule>
    <cfRule type="cellIs" dxfId="1752" priority="1754" operator="greaterThan">
      <formula>1</formula>
    </cfRule>
  </conditionalFormatting>
  <conditionalFormatting sqref="R83">
    <cfRule type="cellIs" dxfId="1751" priority="1751" operator="greaterThan">
      <formula>1</formula>
    </cfRule>
    <cfRule type="cellIs" dxfId="1750" priority="1752" operator="lessThan">
      <formula>0.8</formula>
    </cfRule>
  </conditionalFormatting>
  <conditionalFormatting sqref="P83">
    <cfRule type="cellIs" dxfId="1749" priority="1750" operator="greaterThan">
      <formula>0</formula>
    </cfRule>
  </conditionalFormatting>
  <conditionalFormatting sqref="Q83">
    <cfRule type="cellIs" dxfId="1748" priority="1749" operator="lessThan">
      <formula>0</formula>
    </cfRule>
  </conditionalFormatting>
  <conditionalFormatting sqref="R83">
    <cfRule type="cellIs" dxfId="1747" priority="1747" operator="lessThan">
      <formula>0.8</formula>
    </cfRule>
    <cfRule type="cellIs" dxfId="1746" priority="1748" operator="greaterThan">
      <formula>1</formula>
    </cfRule>
  </conditionalFormatting>
  <conditionalFormatting sqref="R83">
    <cfRule type="cellIs" dxfId="1745" priority="1745" operator="greaterThan">
      <formula>1</formula>
    </cfRule>
    <cfRule type="cellIs" dxfId="1744" priority="1746" operator="lessThan">
      <formula>0.8</formula>
    </cfRule>
  </conditionalFormatting>
  <conditionalFormatting sqref="P83">
    <cfRule type="cellIs" dxfId="1743" priority="1744" operator="greaterThan">
      <formula>0</formula>
    </cfRule>
  </conditionalFormatting>
  <conditionalFormatting sqref="P83">
    <cfRule type="cellIs" dxfId="1742" priority="1738" operator="greaterThan">
      <formula>0</formula>
    </cfRule>
  </conditionalFormatting>
  <conditionalFormatting sqref="Q83">
    <cfRule type="cellIs" dxfId="1741" priority="1743" operator="lessThan">
      <formula>0</formula>
    </cfRule>
  </conditionalFormatting>
  <conditionalFormatting sqref="R83">
    <cfRule type="cellIs" dxfId="1740" priority="1741" operator="lessThan">
      <formula>0.8</formula>
    </cfRule>
    <cfRule type="cellIs" dxfId="1739" priority="1742" operator="greaterThan">
      <formula>1</formula>
    </cfRule>
  </conditionalFormatting>
  <conditionalFormatting sqref="R83">
    <cfRule type="cellIs" dxfId="1738" priority="1739" operator="greaterThan">
      <formula>1</formula>
    </cfRule>
    <cfRule type="cellIs" dxfId="1737" priority="1740" operator="lessThan">
      <formula>0.8</formula>
    </cfRule>
  </conditionalFormatting>
  <conditionalFormatting sqref="P83">
    <cfRule type="cellIs" dxfId="1736" priority="1732" operator="greaterThan">
      <formula>0</formula>
    </cfRule>
  </conditionalFormatting>
  <conditionalFormatting sqref="Q83">
    <cfRule type="cellIs" dxfId="1735" priority="1737" operator="lessThan">
      <formula>0</formula>
    </cfRule>
  </conditionalFormatting>
  <conditionalFormatting sqref="R83">
    <cfRule type="cellIs" dxfId="1734" priority="1735" operator="lessThan">
      <formula>0.8</formula>
    </cfRule>
    <cfRule type="cellIs" dxfId="1733" priority="1736" operator="greaterThan">
      <formula>1</formula>
    </cfRule>
  </conditionalFormatting>
  <conditionalFormatting sqref="R83">
    <cfRule type="cellIs" dxfId="1732" priority="1733" operator="greaterThan">
      <formula>1</formula>
    </cfRule>
    <cfRule type="cellIs" dxfId="1731" priority="1734" operator="lessThan">
      <formula>0.8</formula>
    </cfRule>
  </conditionalFormatting>
  <conditionalFormatting sqref="R83">
    <cfRule type="cellIs" dxfId="1730" priority="1729" operator="lessThan">
      <formula>0.8</formula>
    </cfRule>
    <cfRule type="cellIs" dxfId="1729" priority="1730" operator="greaterThan">
      <formula>1</formula>
    </cfRule>
  </conditionalFormatting>
  <conditionalFormatting sqref="R83">
    <cfRule type="cellIs" dxfId="1728" priority="1727" operator="greaterThan">
      <formula>1</formula>
    </cfRule>
    <cfRule type="cellIs" dxfId="1727" priority="1728" operator="lessThan">
      <formula>0.8</formula>
    </cfRule>
  </conditionalFormatting>
  <conditionalFormatting sqref="P83">
    <cfRule type="cellIs" dxfId="1726" priority="1726" operator="greaterThan">
      <formula>0</formula>
    </cfRule>
  </conditionalFormatting>
  <conditionalFormatting sqref="Q83">
    <cfRule type="cellIs" dxfId="1725" priority="1731" operator="lessThan">
      <formula>0</formula>
    </cfRule>
  </conditionalFormatting>
  <conditionalFormatting sqref="Q83">
    <cfRule type="cellIs" dxfId="1724" priority="1720" operator="lessThan">
      <formula>0</formula>
    </cfRule>
  </conditionalFormatting>
  <conditionalFormatting sqref="P83">
    <cfRule type="cellIs" dxfId="1723" priority="1721" operator="greaterThan">
      <formula>0</formula>
    </cfRule>
  </conditionalFormatting>
  <conditionalFormatting sqref="R83">
    <cfRule type="cellIs" dxfId="1722" priority="1724" operator="lessThan">
      <formula>0.8</formula>
    </cfRule>
    <cfRule type="cellIs" dxfId="1721" priority="1725" operator="greaterThan">
      <formula>1</formula>
    </cfRule>
  </conditionalFormatting>
  <conditionalFormatting sqref="R83">
    <cfRule type="cellIs" dxfId="1720" priority="1722" operator="greaterThan">
      <formula>1</formula>
    </cfRule>
    <cfRule type="cellIs" dxfId="1719" priority="1723" operator="lessThan">
      <formula>0.8</formula>
    </cfRule>
  </conditionalFormatting>
  <conditionalFormatting sqref="Q83">
    <cfRule type="cellIs" dxfId="1718" priority="1714" operator="lessThan">
      <formula>0</formula>
    </cfRule>
  </conditionalFormatting>
  <conditionalFormatting sqref="R83">
    <cfRule type="cellIs" dxfId="1717" priority="1718" operator="lessThan">
      <formula>0.8</formula>
    </cfRule>
    <cfRule type="cellIs" dxfId="1716" priority="1719" operator="greaterThan">
      <formula>1</formula>
    </cfRule>
  </conditionalFormatting>
  <conditionalFormatting sqref="R83">
    <cfRule type="cellIs" dxfId="1715" priority="1716" operator="greaterThan">
      <formula>1</formula>
    </cfRule>
    <cfRule type="cellIs" dxfId="1714" priority="1717" operator="lessThan">
      <formula>0.8</formula>
    </cfRule>
  </conditionalFormatting>
  <conditionalFormatting sqref="P83">
    <cfRule type="cellIs" dxfId="1713" priority="1715" operator="greaterThan">
      <formula>0</formula>
    </cfRule>
  </conditionalFormatting>
  <conditionalFormatting sqref="Q83">
    <cfRule type="cellIs" dxfId="1712" priority="1713" operator="lessThan">
      <formula>0</formula>
    </cfRule>
  </conditionalFormatting>
  <conditionalFormatting sqref="R83">
    <cfRule type="cellIs" dxfId="1711" priority="1711" operator="lessThan">
      <formula>0.8</formula>
    </cfRule>
    <cfRule type="cellIs" dxfId="1710" priority="1712" operator="greaterThan">
      <formula>1</formula>
    </cfRule>
  </conditionalFormatting>
  <conditionalFormatting sqref="R83">
    <cfRule type="cellIs" dxfId="1709" priority="1709" operator="greaterThan">
      <formula>1</formula>
    </cfRule>
    <cfRule type="cellIs" dxfId="1708" priority="1710" operator="lessThan">
      <formula>0.8</formula>
    </cfRule>
  </conditionalFormatting>
  <conditionalFormatting sqref="P83">
    <cfRule type="cellIs" dxfId="1707" priority="1708" operator="greaterThan">
      <formula>0</formula>
    </cfRule>
  </conditionalFormatting>
  <conditionalFormatting sqref="Q83">
    <cfRule type="cellIs" dxfId="1706" priority="1707" operator="lessThan">
      <formula>0</formula>
    </cfRule>
  </conditionalFormatting>
  <conditionalFormatting sqref="R83">
    <cfRule type="cellIs" dxfId="1705" priority="1705" operator="lessThan">
      <formula>0.8</formula>
    </cfRule>
    <cfRule type="cellIs" dxfId="1704" priority="1706" operator="greaterThan">
      <formula>1</formula>
    </cfRule>
  </conditionalFormatting>
  <conditionalFormatting sqref="R83">
    <cfRule type="cellIs" dxfId="1703" priority="1703" operator="greaterThan">
      <formula>1</formula>
    </cfRule>
    <cfRule type="cellIs" dxfId="1702" priority="1704" operator="lessThan">
      <formula>0.8</formula>
    </cfRule>
  </conditionalFormatting>
  <conditionalFormatting sqref="P83">
    <cfRule type="cellIs" dxfId="1701" priority="1702" operator="greaterThan">
      <formula>0</formula>
    </cfRule>
  </conditionalFormatting>
  <conditionalFormatting sqref="Q83">
    <cfRule type="cellIs" dxfId="1700" priority="1701" operator="lessThan">
      <formula>0</formula>
    </cfRule>
  </conditionalFormatting>
  <conditionalFormatting sqref="R83">
    <cfRule type="cellIs" dxfId="1699" priority="1699" operator="lessThan">
      <formula>0.8</formula>
    </cfRule>
    <cfRule type="cellIs" dxfId="1698" priority="1700" operator="greaterThan">
      <formula>1</formula>
    </cfRule>
  </conditionalFormatting>
  <conditionalFormatting sqref="R83">
    <cfRule type="cellIs" dxfId="1697" priority="1697" operator="greaterThan">
      <formula>1</formula>
    </cfRule>
    <cfRule type="cellIs" dxfId="1696" priority="1698" operator="lessThan">
      <formula>0.8</formula>
    </cfRule>
  </conditionalFormatting>
  <conditionalFormatting sqref="P83">
    <cfRule type="cellIs" dxfId="1695" priority="1696" operator="greaterThan">
      <formula>0</formula>
    </cfRule>
  </conditionalFormatting>
  <conditionalFormatting sqref="Q32:Q39">
    <cfRule type="cellIs" dxfId="1694" priority="1690" operator="lessThan">
      <formula>0</formula>
    </cfRule>
  </conditionalFormatting>
  <conditionalFormatting sqref="P32:P39">
    <cfRule type="cellIs" dxfId="1693" priority="1691" operator="greaterThan">
      <formula>0</formula>
    </cfRule>
  </conditionalFormatting>
  <conditionalFormatting sqref="R32:R39">
    <cfRule type="cellIs" dxfId="1692" priority="1694" operator="lessThan">
      <formula>0.8</formula>
    </cfRule>
    <cfRule type="cellIs" dxfId="1691" priority="1695" operator="greaterThan">
      <formula>1</formula>
    </cfRule>
  </conditionalFormatting>
  <conditionalFormatting sqref="R32:R39">
    <cfRule type="cellIs" dxfId="1690" priority="1692" operator="greaterThan">
      <formula>1</formula>
    </cfRule>
    <cfRule type="cellIs" dxfId="1689" priority="1693" operator="lessThan">
      <formula>0.8</formula>
    </cfRule>
  </conditionalFormatting>
  <conditionalFormatting sqref="Q32:Q39">
    <cfRule type="cellIs" dxfId="1688" priority="1684" operator="lessThan">
      <formula>0</formula>
    </cfRule>
  </conditionalFormatting>
  <conditionalFormatting sqref="R32:R39">
    <cfRule type="cellIs" dxfId="1687" priority="1688" operator="lessThan">
      <formula>0.8</formula>
    </cfRule>
    <cfRule type="cellIs" dxfId="1686" priority="1689" operator="greaterThan">
      <formula>1</formula>
    </cfRule>
  </conditionalFormatting>
  <conditionalFormatting sqref="R32:R39">
    <cfRule type="cellIs" dxfId="1685" priority="1686" operator="greaterThan">
      <formula>1</formula>
    </cfRule>
    <cfRule type="cellIs" dxfId="1684" priority="1687" operator="lessThan">
      <formula>0.8</formula>
    </cfRule>
  </conditionalFormatting>
  <conditionalFormatting sqref="P32:P39">
    <cfRule type="cellIs" dxfId="1683" priority="1685" operator="greaterThan">
      <formula>0</formula>
    </cfRule>
  </conditionalFormatting>
  <conditionalFormatting sqref="Q32:Q39">
    <cfRule type="cellIs" dxfId="1682" priority="1683" operator="lessThan">
      <formula>0</formula>
    </cfRule>
  </conditionalFormatting>
  <conditionalFormatting sqref="R32:R39">
    <cfRule type="cellIs" dxfId="1681" priority="1681" operator="lessThan">
      <formula>0.8</formula>
    </cfRule>
    <cfRule type="cellIs" dxfId="1680" priority="1682" operator="greaterThan">
      <formula>1</formula>
    </cfRule>
  </conditionalFormatting>
  <conditionalFormatting sqref="R32:R39">
    <cfRule type="cellIs" dxfId="1679" priority="1679" operator="greaterThan">
      <formula>1</formula>
    </cfRule>
    <cfRule type="cellIs" dxfId="1678" priority="1680" operator="lessThan">
      <formula>0.8</formula>
    </cfRule>
  </conditionalFormatting>
  <conditionalFormatting sqref="P32:P39">
    <cfRule type="cellIs" dxfId="1677" priority="1678" operator="greaterThan">
      <formula>0</formula>
    </cfRule>
  </conditionalFormatting>
  <conditionalFormatting sqref="Q32:Q39">
    <cfRule type="cellIs" dxfId="1676" priority="1677" operator="lessThan">
      <formula>0</formula>
    </cfRule>
  </conditionalFormatting>
  <conditionalFormatting sqref="R32:R39">
    <cfRule type="cellIs" dxfId="1675" priority="1675" operator="lessThan">
      <formula>0.8</formula>
    </cfRule>
    <cfRule type="cellIs" dxfId="1674" priority="1676" operator="greaterThan">
      <formula>1</formula>
    </cfRule>
  </conditionalFormatting>
  <conditionalFormatting sqref="R32:R39">
    <cfRule type="cellIs" dxfId="1673" priority="1673" operator="greaterThan">
      <formula>1</formula>
    </cfRule>
    <cfRule type="cellIs" dxfId="1672" priority="1674" operator="lessThan">
      <formula>0.8</formula>
    </cfRule>
  </conditionalFormatting>
  <conditionalFormatting sqref="P32:P39">
    <cfRule type="cellIs" dxfId="1671" priority="1672" operator="greaterThan">
      <formula>0</formula>
    </cfRule>
  </conditionalFormatting>
  <conditionalFormatting sqref="Q32:Q39">
    <cfRule type="cellIs" dxfId="1670" priority="1666" operator="lessThan">
      <formula>0</formula>
    </cfRule>
  </conditionalFormatting>
  <conditionalFormatting sqref="R32:R39">
    <cfRule type="cellIs" dxfId="1669" priority="1670" operator="lessThan">
      <formula>0.8</formula>
    </cfRule>
    <cfRule type="cellIs" dxfId="1668" priority="1671" operator="greaterThan">
      <formula>1</formula>
    </cfRule>
  </conditionalFormatting>
  <conditionalFormatting sqref="R32:R39">
    <cfRule type="cellIs" dxfId="1667" priority="1668" operator="greaterThan">
      <formula>1</formula>
    </cfRule>
    <cfRule type="cellIs" dxfId="1666" priority="1669" operator="lessThan">
      <formula>0.8</formula>
    </cfRule>
  </conditionalFormatting>
  <conditionalFormatting sqref="P32:P39">
    <cfRule type="cellIs" dxfId="1665" priority="1667" operator="greaterThan">
      <formula>0</formula>
    </cfRule>
  </conditionalFormatting>
  <conditionalFormatting sqref="Q32:Q39">
    <cfRule type="cellIs" dxfId="1664" priority="1665" operator="lessThan">
      <formula>0</formula>
    </cfRule>
  </conditionalFormatting>
  <conditionalFormatting sqref="R32:R39">
    <cfRule type="cellIs" dxfId="1663" priority="1663" operator="lessThan">
      <formula>0.8</formula>
    </cfRule>
    <cfRule type="cellIs" dxfId="1662" priority="1664" operator="greaterThan">
      <formula>1</formula>
    </cfRule>
  </conditionalFormatting>
  <conditionalFormatting sqref="R32:R39">
    <cfRule type="cellIs" dxfId="1661" priority="1661" operator="greaterThan">
      <formula>1</formula>
    </cfRule>
    <cfRule type="cellIs" dxfId="1660" priority="1662" operator="lessThan">
      <formula>0.8</formula>
    </cfRule>
  </conditionalFormatting>
  <conditionalFormatting sqref="P32:P39">
    <cfRule type="cellIs" dxfId="1659" priority="1660" operator="greaterThan">
      <formula>0</formula>
    </cfRule>
  </conditionalFormatting>
  <conditionalFormatting sqref="Q32:Q39">
    <cfRule type="cellIs" dxfId="1658" priority="1659" operator="lessThan">
      <formula>0</formula>
    </cfRule>
  </conditionalFormatting>
  <conditionalFormatting sqref="R32:R39">
    <cfRule type="cellIs" dxfId="1657" priority="1657" operator="lessThan">
      <formula>0.8</formula>
    </cfRule>
    <cfRule type="cellIs" dxfId="1656" priority="1658" operator="greaterThan">
      <formula>1</formula>
    </cfRule>
  </conditionalFormatting>
  <conditionalFormatting sqref="R32:R39">
    <cfRule type="cellIs" dxfId="1655" priority="1655" operator="greaterThan">
      <formula>1</formula>
    </cfRule>
    <cfRule type="cellIs" dxfId="1654" priority="1656" operator="lessThan">
      <formula>0.8</formula>
    </cfRule>
  </conditionalFormatting>
  <conditionalFormatting sqref="P32:P39">
    <cfRule type="cellIs" dxfId="1653" priority="1654" operator="greaterThan">
      <formula>0</formula>
    </cfRule>
  </conditionalFormatting>
  <conditionalFormatting sqref="Q32:Q39">
    <cfRule type="cellIs" dxfId="1652" priority="1653" operator="lessThan">
      <formula>0</formula>
    </cfRule>
  </conditionalFormatting>
  <conditionalFormatting sqref="R32:R39">
    <cfRule type="cellIs" dxfId="1651" priority="1651" operator="lessThan">
      <formula>0.8</formula>
    </cfRule>
    <cfRule type="cellIs" dxfId="1650" priority="1652" operator="greaterThan">
      <formula>1</formula>
    </cfRule>
  </conditionalFormatting>
  <conditionalFormatting sqref="R32:R39">
    <cfRule type="cellIs" dxfId="1649" priority="1649" operator="greaterThan">
      <formula>1</formula>
    </cfRule>
    <cfRule type="cellIs" dxfId="1648" priority="1650" operator="lessThan">
      <formula>0.8</formula>
    </cfRule>
  </conditionalFormatting>
  <conditionalFormatting sqref="P32:P39">
    <cfRule type="cellIs" dxfId="1647" priority="1648" operator="greaterThan">
      <formula>0</formula>
    </cfRule>
  </conditionalFormatting>
  <conditionalFormatting sqref="Q32:Q39">
    <cfRule type="cellIs" dxfId="1646" priority="1647" operator="lessThan">
      <formula>0</formula>
    </cfRule>
  </conditionalFormatting>
  <conditionalFormatting sqref="R32:R39">
    <cfRule type="cellIs" dxfId="1645" priority="1645" operator="lessThan">
      <formula>0.8</formula>
    </cfRule>
    <cfRule type="cellIs" dxfId="1644" priority="1646" operator="greaterThan">
      <formula>1</formula>
    </cfRule>
  </conditionalFormatting>
  <conditionalFormatting sqref="R32:R39">
    <cfRule type="cellIs" dxfId="1643" priority="1643" operator="greaterThan">
      <formula>1</formula>
    </cfRule>
    <cfRule type="cellIs" dxfId="1642" priority="1644" operator="lessThan">
      <formula>0.8</formula>
    </cfRule>
  </conditionalFormatting>
  <conditionalFormatting sqref="P32:P39">
    <cfRule type="cellIs" dxfId="1641" priority="1642" operator="greaterThan">
      <formula>0</formula>
    </cfRule>
  </conditionalFormatting>
  <conditionalFormatting sqref="Q32:Q39">
    <cfRule type="cellIs" dxfId="1640" priority="1641" operator="lessThan">
      <formula>0</formula>
    </cfRule>
  </conditionalFormatting>
  <conditionalFormatting sqref="R32:R39">
    <cfRule type="cellIs" dxfId="1639" priority="1639" operator="lessThan">
      <formula>0.8</formula>
    </cfRule>
    <cfRule type="cellIs" dxfId="1638" priority="1640" operator="greaterThan">
      <formula>1</formula>
    </cfRule>
  </conditionalFormatting>
  <conditionalFormatting sqref="R32:R39">
    <cfRule type="cellIs" dxfId="1637" priority="1637" operator="greaterThan">
      <formula>1</formula>
    </cfRule>
    <cfRule type="cellIs" dxfId="1636" priority="1638" operator="lessThan">
      <formula>0.8</formula>
    </cfRule>
  </conditionalFormatting>
  <conditionalFormatting sqref="P32:P39">
    <cfRule type="cellIs" dxfId="1635" priority="1636" operator="greaterThan">
      <formula>0</formula>
    </cfRule>
  </conditionalFormatting>
  <conditionalFormatting sqref="P32:P39">
    <cfRule type="cellIs" dxfId="1634" priority="1630" operator="greaterThan">
      <formula>0</formula>
    </cfRule>
  </conditionalFormatting>
  <conditionalFormatting sqref="Q32:Q39">
    <cfRule type="cellIs" dxfId="1633" priority="1635" operator="lessThan">
      <formula>0</formula>
    </cfRule>
  </conditionalFormatting>
  <conditionalFormatting sqref="R32:R39">
    <cfRule type="cellIs" dxfId="1632" priority="1633" operator="lessThan">
      <formula>0.8</formula>
    </cfRule>
    <cfRule type="cellIs" dxfId="1631" priority="1634" operator="greaterThan">
      <formula>1</formula>
    </cfRule>
  </conditionalFormatting>
  <conditionalFormatting sqref="R32:R39">
    <cfRule type="cellIs" dxfId="1630" priority="1631" operator="greaterThan">
      <formula>1</formula>
    </cfRule>
    <cfRule type="cellIs" dxfId="1629" priority="1632" operator="lessThan">
      <formula>0.8</formula>
    </cfRule>
  </conditionalFormatting>
  <conditionalFormatting sqref="P32:P39">
    <cfRule type="cellIs" dxfId="1628" priority="1624" operator="greaterThan">
      <formula>0</formula>
    </cfRule>
  </conditionalFormatting>
  <conditionalFormatting sqref="Q32:Q39">
    <cfRule type="cellIs" dxfId="1627" priority="1629" operator="lessThan">
      <formula>0</formula>
    </cfRule>
  </conditionalFormatting>
  <conditionalFormatting sqref="R32:R39">
    <cfRule type="cellIs" dxfId="1626" priority="1627" operator="lessThan">
      <formula>0.8</formula>
    </cfRule>
    <cfRule type="cellIs" dxfId="1625" priority="1628" operator="greaterThan">
      <formula>1</formula>
    </cfRule>
  </conditionalFormatting>
  <conditionalFormatting sqref="R32:R39">
    <cfRule type="cellIs" dxfId="1624" priority="1625" operator="greaterThan">
      <formula>1</formula>
    </cfRule>
    <cfRule type="cellIs" dxfId="1623" priority="1626" operator="lessThan">
      <formula>0.8</formula>
    </cfRule>
  </conditionalFormatting>
  <conditionalFormatting sqref="R32:R39">
    <cfRule type="cellIs" dxfId="1622" priority="1621" operator="lessThan">
      <formula>0.8</formula>
    </cfRule>
    <cfRule type="cellIs" dxfId="1621" priority="1622" operator="greaterThan">
      <formula>1</formula>
    </cfRule>
  </conditionalFormatting>
  <conditionalFormatting sqref="R32:R39">
    <cfRule type="cellIs" dxfId="1620" priority="1619" operator="greaterThan">
      <formula>1</formula>
    </cfRule>
    <cfRule type="cellIs" dxfId="1619" priority="1620" operator="lessThan">
      <formula>0.8</formula>
    </cfRule>
  </conditionalFormatting>
  <conditionalFormatting sqref="P32:P39">
    <cfRule type="cellIs" dxfId="1618" priority="1618" operator="greaterThan">
      <formula>0</formula>
    </cfRule>
  </conditionalFormatting>
  <conditionalFormatting sqref="Q32:Q39">
    <cfRule type="cellIs" dxfId="1617" priority="1623" operator="lessThan">
      <formula>0</formula>
    </cfRule>
  </conditionalFormatting>
  <conditionalFormatting sqref="Q32:Q39">
    <cfRule type="cellIs" dxfId="1616" priority="1612" operator="lessThan">
      <formula>0</formula>
    </cfRule>
  </conditionalFormatting>
  <conditionalFormatting sqref="P32:P39">
    <cfRule type="cellIs" dxfId="1615" priority="1613" operator="greaterThan">
      <formula>0</formula>
    </cfRule>
  </conditionalFormatting>
  <conditionalFormatting sqref="R32:R39">
    <cfRule type="cellIs" dxfId="1614" priority="1616" operator="lessThan">
      <formula>0.8</formula>
    </cfRule>
    <cfRule type="cellIs" dxfId="1613" priority="1617" operator="greaterThan">
      <formula>1</formula>
    </cfRule>
  </conditionalFormatting>
  <conditionalFormatting sqref="R32:R39">
    <cfRule type="cellIs" dxfId="1612" priority="1614" operator="greaterThan">
      <formula>1</formula>
    </cfRule>
    <cfRule type="cellIs" dxfId="1611" priority="1615" operator="lessThan">
      <formula>0.8</formula>
    </cfRule>
  </conditionalFormatting>
  <conditionalFormatting sqref="Q32:Q39">
    <cfRule type="cellIs" dxfId="1610" priority="1606" operator="lessThan">
      <formula>0</formula>
    </cfRule>
  </conditionalFormatting>
  <conditionalFormatting sqref="R32:R39">
    <cfRule type="cellIs" dxfId="1609" priority="1610" operator="lessThan">
      <formula>0.8</formula>
    </cfRule>
    <cfRule type="cellIs" dxfId="1608" priority="1611" operator="greaterThan">
      <formula>1</formula>
    </cfRule>
  </conditionalFormatting>
  <conditionalFormatting sqref="R32:R39">
    <cfRule type="cellIs" dxfId="1607" priority="1608" operator="greaterThan">
      <formula>1</formula>
    </cfRule>
    <cfRule type="cellIs" dxfId="1606" priority="1609" operator="lessThan">
      <formula>0.8</formula>
    </cfRule>
  </conditionalFormatting>
  <conditionalFormatting sqref="P32:P39">
    <cfRule type="cellIs" dxfId="1605" priority="1607" operator="greaterThan">
      <formula>0</formula>
    </cfRule>
  </conditionalFormatting>
  <conditionalFormatting sqref="Q32:Q39">
    <cfRule type="cellIs" dxfId="1604" priority="1605" operator="lessThan">
      <formula>0</formula>
    </cfRule>
  </conditionalFormatting>
  <conditionalFormatting sqref="R32:R39">
    <cfRule type="cellIs" dxfId="1603" priority="1603" operator="lessThan">
      <formula>0.8</formula>
    </cfRule>
    <cfRule type="cellIs" dxfId="1602" priority="1604" operator="greaterThan">
      <formula>1</formula>
    </cfRule>
  </conditionalFormatting>
  <conditionalFormatting sqref="R32:R39">
    <cfRule type="cellIs" dxfId="1601" priority="1601" operator="greaterThan">
      <formula>1</formula>
    </cfRule>
    <cfRule type="cellIs" dxfId="1600" priority="1602" operator="lessThan">
      <formula>0.8</formula>
    </cfRule>
  </conditionalFormatting>
  <conditionalFormatting sqref="P32:P39">
    <cfRule type="cellIs" dxfId="1599" priority="1600" operator="greaterThan">
      <formula>0</formula>
    </cfRule>
  </conditionalFormatting>
  <conditionalFormatting sqref="Q32:Q39">
    <cfRule type="cellIs" dxfId="1598" priority="1599" operator="lessThan">
      <formula>0</formula>
    </cfRule>
  </conditionalFormatting>
  <conditionalFormatting sqref="R32:R39">
    <cfRule type="cellIs" dxfId="1597" priority="1597" operator="lessThan">
      <formula>0.8</formula>
    </cfRule>
    <cfRule type="cellIs" dxfId="1596" priority="1598" operator="greaterThan">
      <formula>1</formula>
    </cfRule>
  </conditionalFormatting>
  <conditionalFormatting sqref="R32:R39">
    <cfRule type="cellIs" dxfId="1595" priority="1595" operator="greaterThan">
      <formula>1</formula>
    </cfRule>
    <cfRule type="cellIs" dxfId="1594" priority="1596" operator="lessThan">
      <formula>0.8</formula>
    </cfRule>
  </conditionalFormatting>
  <conditionalFormatting sqref="P32:P39">
    <cfRule type="cellIs" dxfId="1593" priority="1594" operator="greaterThan">
      <formula>0</formula>
    </cfRule>
  </conditionalFormatting>
  <conditionalFormatting sqref="Q32:Q39">
    <cfRule type="cellIs" dxfId="1592" priority="1588" operator="lessThan">
      <formula>0</formula>
    </cfRule>
  </conditionalFormatting>
  <conditionalFormatting sqref="P32:P39">
    <cfRule type="cellIs" dxfId="1591" priority="1589" operator="greaterThan">
      <formula>0</formula>
    </cfRule>
  </conditionalFormatting>
  <conditionalFormatting sqref="R32:R39">
    <cfRule type="cellIs" dxfId="1590" priority="1592" operator="lessThan">
      <formula>0.8</formula>
    </cfRule>
    <cfRule type="cellIs" dxfId="1589" priority="1593" operator="greaterThan">
      <formula>1</formula>
    </cfRule>
  </conditionalFormatting>
  <conditionalFormatting sqref="R32:R39">
    <cfRule type="cellIs" dxfId="1588" priority="1590" operator="greaterThan">
      <formula>1</formula>
    </cfRule>
    <cfRule type="cellIs" dxfId="1587" priority="1591" operator="lessThan">
      <formula>0.8</formula>
    </cfRule>
  </conditionalFormatting>
  <conditionalFormatting sqref="Q32:Q39">
    <cfRule type="cellIs" dxfId="1586" priority="1582" operator="lessThan">
      <formula>0</formula>
    </cfRule>
  </conditionalFormatting>
  <conditionalFormatting sqref="R32:R39">
    <cfRule type="cellIs" dxfId="1585" priority="1586" operator="lessThan">
      <formula>0.8</formula>
    </cfRule>
    <cfRule type="cellIs" dxfId="1584" priority="1587" operator="greaterThan">
      <formula>1</formula>
    </cfRule>
  </conditionalFormatting>
  <conditionalFormatting sqref="R32:R39">
    <cfRule type="cellIs" dxfId="1583" priority="1584" operator="greaterThan">
      <formula>1</formula>
    </cfRule>
    <cfRule type="cellIs" dxfId="1582" priority="1585" operator="lessThan">
      <formula>0.8</formula>
    </cfRule>
  </conditionalFormatting>
  <conditionalFormatting sqref="P32:P39">
    <cfRule type="cellIs" dxfId="1581" priority="1583" operator="greaterThan">
      <formula>0</formula>
    </cfRule>
  </conditionalFormatting>
  <conditionalFormatting sqref="Q32:Q39">
    <cfRule type="cellIs" dxfId="1580" priority="1581" operator="lessThan">
      <formula>0</formula>
    </cfRule>
  </conditionalFormatting>
  <conditionalFormatting sqref="R32:R39">
    <cfRule type="cellIs" dxfId="1579" priority="1579" operator="lessThan">
      <formula>0.8</formula>
    </cfRule>
    <cfRule type="cellIs" dxfId="1578" priority="1580" operator="greaterThan">
      <formula>1</formula>
    </cfRule>
  </conditionalFormatting>
  <conditionalFormatting sqref="R32:R39">
    <cfRule type="cellIs" dxfId="1577" priority="1577" operator="greaterThan">
      <formula>1</formula>
    </cfRule>
    <cfRule type="cellIs" dxfId="1576" priority="1578" operator="lessThan">
      <formula>0.8</formula>
    </cfRule>
  </conditionalFormatting>
  <conditionalFormatting sqref="P32:P39">
    <cfRule type="cellIs" dxfId="1575" priority="1576" operator="greaterThan">
      <formula>0</formula>
    </cfRule>
  </conditionalFormatting>
  <conditionalFormatting sqref="Q32:Q39">
    <cfRule type="cellIs" dxfId="1574" priority="1575" operator="lessThan">
      <formula>0</formula>
    </cfRule>
  </conditionalFormatting>
  <conditionalFormatting sqref="R32:R39">
    <cfRule type="cellIs" dxfId="1573" priority="1573" operator="lessThan">
      <formula>0.8</formula>
    </cfRule>
    <cfRule type="cellIs" dxfId="1572" priority="1574" operator="greaterThan">
      <formula>1</formula>
    </cfRule>
  </conditionalFormatting>
  <conditionalFormatting sqref="R32:R39">
    <cfRule type="cellIs" dxfId="1571" priority="1571" operator="greaterThan">
      <formula>1</formula>
    </cfRule>
    <cfRule type="cellIs" dxfId="1570" priority="1572" operator="lessThan">
      <formula>0.8</formula>
    </cfRule>
  </conditionalFormatting>
  <conditionalFormatting sqref="P32:P39">
    <cfRule type="cellIs" dxfId="1569" priority="1570" operator="greaterThan">
      <formula>0</formula>
    </cfRule>
  </conditionalFormatting>
  <conditionalFormatting sqref="Q19:Q25">
    <cfRule type="cellIs" dxfId="1568" priority="1569" operator="lessThan">
      <formula>0</formula>
    </cfRule>
  </conditionalFormatting>
  <conditionalFormatting sqref="R19:R25">
    <cfRule type="cellIs" dxfId="1567" priority="1567" operator="lessThan">
      <formula>0.8</formula>
    </cfRule>
    <cfRule type="cellIs" dxfId="1566" priority="1568" operator="greaterThan">
      <formula>1</formula>
    </cfRule>
  </conditionalFormatting>
  <conditionalFormatting sqref="R19:R25">
    <cfRule type="cellIs" dxfId="1565" priority="1565" operator="greaterThan">
      <formula>1</formula>
    </cfRule>
    <cfRule type="cellIs" dxfId="1564" priority="1566" operator="lessThan">
      <formula>0.8</formula>
    </cfRule>
  </conditionalFormatting>
  <conditionalFormatting sqref="P19:P25">
    <cfRule type="cellIs" dxfId="1563" priority="1564" operator="greaterThan">
      <formula>0</formula>
    </cfRule>
  </conditionalFormatting>
  <conditionalFormatting sqref="R19:R25">
    <cfRule type="cellIs" dxfId="1562" priority="1561" operator="lessThan">
      <formula>0.8</formula>
    </cfRule>
    <cfRule type="cellIs" dxfId="1561" priority="1562" operator="greaterThan">
      <formula>1</formula>
    </cfRule>
  </conditionalFormatting>
  <conditionalFormatting sqref="R19:R25">
    <cfRule type="cellIs" dxfId="1560" priority="1559" operator="greaterThan">
      <formula>1</formula>
    </cfRule>
    <cfRule type="cellIs" dxfId="1559" priority="1560" operator="lessThan">
      <formula>0.8</formula>
    </cfRule>
  </conditionalFormatting>
  <conditionalFormatting sqref="P19:P25">
    <cfRule type="cellIs" dxfId="1558" priority="1558" operator="greaterThan">
      <formula>0</formula>
    </cfRule>
  </conditionalFormatting>
  <conditionalFormatting sqref="Q19:Q25">
    <cfRule type="cellIs" dxfId="1557" priority="1563" operator="lessThan">
      <formula>0</formula>
    </cfRule>
  </conditionalFormatting>
  <conditionalFormatting sqref="R19:R25">
    <cfRule type="cellIs" dxfId="1556" priority="1555" operator="lessThan">
      <formula>0.8</formula>
    </cfRule>
    <cfRule type="cellIs" dxfId="1555" priority="1556" operator="greaterThan">
      <formula>1</formula>
    </cfRule>
  </conditionalFormatting>
  <conditionalFormatting sqref="R19:R25">
    <cfRule type="cellIs" dxfId="1554" priority="1553" operator="greaterThan">
      <formula>1</formula>
    </cfRule>
    <cfRule type="cellIs" dxfId="1553" priority="1554" operator="lessThan">
      <formula>0.8</formula>
    </cfRule>
  </conditionalFormatting>
  <conditionalFormatting sqref="P19:P25">
    <cfRule type="cellIs" dxfId="1552" priority="1552" operator="greaterThan">
      <formula>0</formula>
    </cfRule>
  </conditionalFormatting>
  <conditionalFormatting sqref="Q19:Q25">
    <cfRule type="cellIs" dxfId="1551" priority="1557" operator="lessThan">
      <formula>0</formula>
    </cfRule>
  </conditionalFormatting>
  <conditionalFormatting sqref="Q19:Q25">
    <cfRule type="cellIs" dxfId="1550" priority="1551" operator="lessThan">
      <formula>0</formula>
    </cfRule>
  </conditionalFormatting>
  <conditionalFormatting sqref="R19:R25">
    <cfRule type="cellIs" dxfId="1549" priority="1549" operator="lessThan">
      <formula>0.8</formula>
    </cfRule>
    <cfRule type="cellIs" dxfId="1548" priority="1550" operator="greaterThan">
      <formula>1</formula>
    </cfRule>
  </conditionalFormatting>
  <conditionalFormatting sqref="R19:R25">
    <cfRule type="cellIs" dxfId="1547" priority="1547" operator="greaterThan">
      <formula>1</formula>
    </cfRule>
    <cfRule type="cellIs" dxfId="1546" priority="1548" operator="lessThan">
      <formula>0.8</formula>
    </cfRule>
  </conditionalFormatting>
  <conditionalFormatting sqref="P19:P25">
    <cfRule type="cellIs" dxfId="1545" priority="1546" operator="greaterThan">
      <formula>0</formula>
    </cfRule>
  </conditionalFormatting>
  <conditionalFormatting sqref="Q135:Q136 Q139 Q142">
    <cfRule type="cellIs" dxfId="1544" priority="1545" operator="lessThan">
      <formula>0</formula>
    </cfRule>
  </conditionalFormatting>
  <conditionalFormatting sqref="R135:R136 R139 R142">
    <cfRule type="cellIs" dxfId="1543" priority="1543" operator="lessThan">
      <formula>0.8</formula>
    </cfRule>
    <cfRule type="cellIs" dxfId="1542" priority="1544" operator="greaterThan">
      <formula>1</formula>
    </cfRule>
  </conditionalFormatting>
  <conditionalFormatting sqref="R135:R136 R139 R142">
    <cfRule type="cellIs" dxfId="1541" priority="1541" operator="greaterThan">
      <formula>1</formula>
    </cfRule>
    <cfRule type="cellIs" dxfId="1540" priority="1542" operator="lessThan">
      <formula>0.8</formula>
    </cfRule>
  </conditionalFormatting>
  <conditionalFormatting sqref="P135:P136 P139 P142">
    <cfRule type="cellIs" dxfId="1539" priority="1540" operator="greaterThan">
      <formula>0</formula>
    </cfRule>
  </conditionalFormatting>
  <conditionalFormatting sqref="P135:P136 P139 P142">
    <cfRule type="cellIs" dxfId="1538" priority="1534" operator="greaterThan">
      <formula>0</formula>
    </cfRule>
  </conditionalFormatting>
  <conditionalFormatting sqref="Q135:Q136 Q139 Q142">
    <cfRule type="cellIs" dxfId="1537" priority="1539" operator="lessThan">
      <formula>0</formula>
    </cfRule>
  </conditionalFormatting>
  <conditionalFormatting sqref="R135:R136 R139 R142">
    <cfRule type="cellIs" dxfId="1536" priority="1537" operator="lessThan">
      <formula>0.8</formula>
    </cfRule>
    <cfRule type="cellIs" dxfId="1535" priority="1538" operator="greaterThan">
      <formula>1</formula>
    </cfRule>
  </conditionalFormatting>
  <conditionalFormatting sqref="R135:R136 R139 R142">
    <cfRule type="cellIs" dxfId="1534" priority="1535" operator="greaterThan">
      <formula>1</formula>
    </cfRule>
    <cfRule type="cellIs" dxfId="1533" priority="1536" operator="lessThan">
      <formula>0.8</formula>
    </cfRule>
  </conditionalFormatting>
  <conditionalFormatting sqref="P19:P25">
    <cfRule type="cellIs" dxfId="1532" priority="1528" operator="greaterThan">
      <formula>0</formula>
    </cfRule>
  </conditionalFormatting>
  <conditionalFormatting sqref="Q19:Q25">
    <cfRule type="cellIs" dxfId="1531" priority="1533" operator="lessThan">
      <formula>0</formula>
    </cfRule>
  </conditionalFormatting>
  <conditionalFormatting sqref="R19:R25">
    <cfRule type="cellIs" dxfId="1530" priority="1531" operator="lessThan">
      <formula>0.8</formula>
    </cfRule>
    <cfRule type="cellIs" dxfId="1529" priority="1532" operator="greaterThan">
      <formula>1</formula>
    </cfRule>
  </conditionalFormatting>
  <conditionalFormatting sqref="R19:R25">
    <cfRule type="cellIs" dxfId="1528" priority="1529" operator="greaterThan">
      <formula>1</formula>
    </cfRule>
    <cfRule type="cellIs" dxfId="1527" priority="1530" operator="lessThan">
      <formula>0.8</formula>
    </cfRule>
  </conditionalFormatting>
  <conditionalFormatting sqref="Q19:Q25">
    <cfRule type="cellIs" dxfId="1526" priority="1527" operator="lessThan">
      <formula>0</formula>
    </cfRule>
  </conditionalFormatting>
  <conditionalFormatting sqref="R19:R25">
    <cfRule type="cellIs" dxfId="1525" priority="1525" operator="lessThan">
      <formula>0.8</formula>
    </cfRule>
    <cfRule type="cellIs" dxfId="1524" priority="1526" operator="greaterThan">
      <formula>1</formula>
    </cfRule>
  </conditionalFormatting>
  <conditionalFormatting sqref="R19:R25">
    <cfRule type="cellIs" dxfId="1523" priority="1523" operator="greaterThan">
      <formula>1</formula>
    </cfRule>
    <cfRule type="cellIs" dxfId="1522" priority="1524" operator="lessThan">
      <formula>0.8</formula>
    </cfRule>
  </conditionalFormatting>
  <conditionalFormatting sqref="P19:P25">
    <cfRule type="cellIs" dxfId="1521" priority="1522" operator="greaterThan">
      <formula>0</formula>
    </cfRule>
  </conditionalFormatting>
  <conditionalFormatting sqref="Q19:Q25">
    <cfRule type="cellIs" dxfId="1520" priority="1521" operator="lessThan">
      <formula>0</formula>
    </cfRule>
  </conditionalFormatting>
  <conditionalFormatting sqref="R19:R25">
    <cfRule type="cellIs" dxfId="1519" priority="1519" operator="lessThan">
      <formula>0.8</formula>
    </cfRule>
    <cfRule type="cellIs" dxfId="1518" priority="1520" operator="greaterThan">
      <formula>1</formula>
    </cfRule>
  </conditionalFormatting>
  <conditionalFormatting sqref="R19:R25">
    <cfRule type="cellIs" dxfId="1517" priority="1517" operator="greaterThan">
      <formula>1</formula>
    </cfRule>
    <cfRule type="cellIs" dxfId="1516" priority="1518" operator="lessThan">
      <formula>0.8</formula>
    </cfRule>
  </conditionalFormatting>
  <conditionalFormatting sqref="P19:P25">
    <cfRule type="cellIs" dxfId="1515" priority="1516" operator="greaterThan">
      <formula>0</formula>
    </cfRule>
  </conditionalFormatting>
  <conditionalFormatting sqref="Q19:Q25">
    <cfRule type="cellIs" dxfId="1514" priority="1515" operator="lessThan">
      <formula>0</formula>
    </cfRule>
  </conditionalFormatting>
  <conditionalFormatting sqref="R19:R25">
    <cfRule type="cellIs" dxfId="1513" priority="1513" operator="lessThan">
      <formula>0.8</formula>
    </cfRule>
    <cfRule type="cellIs" dxfId="1512" priority="1514" operator="greaterThan">
      <formula>1</formula>
    </cfRule>
  </conditionalFormatting>
  <conditionalFormatting sqref="R19:R25">
    <cfRule type="cellIs" dxfId="1511" priority="1511" operator="greaterThan">
      <formula>1</formula>
    </cfRule>
    <cfRule type="cellIs" dxfId="1510" priority="1512" operator="lessThan">
      <formula>0.8</formula>
    </cfRule>
  </conditionalFormatting>
  <conditionalFormatting sqref="P19:P25">
    <cfRule type="cellIs" dxfId="1509" priority="1510" operator="greaterThan">
      <formula>0</formula>
    </cfRule>
  </conditionalFormatting>
  <conditionalFormatting sqref="R19:R25">
    <cfRule type="cellIs" dxfId="1508" priority="1507" operator="lessThan">
      <formula>0.8</formula>
    </cfRule>
    <cfRule type="cellIs" dxfId="1507" priority="1508" operator="greaterThan">
      <formula>1</formula>
    </cfRule>
  </conditionalFormatting>
  <conditionalFormatting sqref="R19:R25">
    <cfRule type="cellIs" dxfId="1506" priority="1505" operator="greaterThan">
      <formula>1</formula>
    </cfRule>
    <cfRule type="cellIs" dxfId="1505" priority="1506" operator="lessThan">
      <formula>0.8</formula>
    </cfRule>
  </conditionalFormatting>
  <conditionalFormatting sqref="P19:P25">
    <cfRule type="cellIs" dxfId="1504" priority="1504" operator="greaterThan">
      <formula>0</formula>
    </cfRule>
  </conditionalFormatting>
  <conditionalFormatting sqref="Q19:Q25">
    <cfRule type="cellIs" dxfId="1503" priority="1509" operator="lessThan">
      <formula>0</formula>
    </cfRule>
  </conditionalFormatting>
  <conditionalFormatting sqref="Q19:Q25">
    <cfRule type="cellIs" dxfId="1502" priority="1503" operator="lessThan">
      <formula>0</formula>
    </cfRule>
  </conditionalFormatting>
  <conditionalFormatting sqref="R19:R25">
    <cfRule type="cellIs" dxfId="1501" priority="1501" operator="lessThan">
      <formula>0.8</formula>
    </cfRule>
    <cfRule type="cellIs" dxfId="1500" priority="1502" operator="greaterThan">
      <formula>1</formula>
    </cfRule>
  </conditionalFormatting>
  <conditionalFormatting sqref="R19:R25">
    <cfRule type="cellIs" dxfId="1499" priority="1499" operator="greaterThan">
      <formula>1</formula>
    </cfRule>
    <cfRule type="cellIs" dxfId="1498" priority="1500" operator="lessThan">
      <formula>0.8</formula>
    </cfRule>
  </conditionalFormatting>
  <conditionalFormatting sqref="P19:P25">
    <cfRule type="cellIs" dxfId="1497" priority="1498" operator="greaterThan">
      <formula>0</formula>
    </cfRule>
  </conditionalFormatting>
  <conditionalFormatting sqref="P19:P25">
    <cfRule type="cellIs" dxfId="1496" priority="1492" operator="greaterThan">
      <formula>0</formula>
    </cfRule>
  </conditionalFormatting>
  <conditionalFormatting sqref="Q19:Q25">
    <cfRule type="cellIs" dxfId="1495" priority="1497" operator="lessThan">
      <formula>0</formula>
    </cfRule>
  </conditionalFormatting>
  <conditionalFormatting sqref="R19:R25">
    <cfRule type="cellIs" dxfId="1494" priority="1495" operator="lessThan">
      <formula>0.8</formula>
    </cfRule>
    <cfRule type="cellIs" dxfId="1493" priority="1496" operator="greaterThan">
      <formula>1</formula>
    </cfRule>
  </conditionalFormatting>
  <conditionalFormatting sqref="R19:R25">
    <cfRule type="cellIs" dxfId="1492" priority="1493" operator="greaterThan">
      <formula>1</formula>
    </cfRule>
    <cfRule type="cellIs" dxfId="1491" priority="1494" operator="lessThan">
      <formula>0.8</formula>
    </cfRule>
  </conditionalFormatting>
  <conditionalFormatting sqref="P19:P25">
    <cfRule type="cellIs" dxfId="1490" priority="1486" operator="greaterThan">
      <formula>0</formula>
    </cfRule>
  </conditionalFormatting>
  <conditionalFormatting sqref="Q19:Q25">
    <cfRule type="cellIs" dxfId="1489" priority="1491" operator="lessThan">
      <formula>0</formula>
    </cfRule>
  </conditionalFormatting>
  <conditionalFormatting sqref="R19:R25">
    <cfRule type="cellIs" dxfId="1488" priority="1489" operator="lessThan">
      <formula>0.8</formula>
    </cfRule>
    <cfRule type="cellIs" dxfId="1487" priority="1490" operator="greaterThan">
      <formula>1</formula>
    </cfRule>
  </conditionalFormatting>
  <conditionalFormatting sqref="R19:R25">
    <cfRule type="cellIs" dxfId="1486" priority="1487" operator="greaterThan">
      <formula>1</formula>
    </cfRule>
    <cfRule type="cellIs" dxfId="1485" priority="1488" operator="lessThan">
      <formula>0.8</formula>
    </cfRule>
  </conditionalFormatting>
  <conditionalFormatting sqref="Q19:Q25">
    <cfRule type="cellIs" dxfId="1484" priority="1485" operator="lessThan">
      <formula>0</formula>
    </cfRule>
  </conditionalFormatting>
  <conditionalFormatting sqref="R19:R25">
    <cfRule type="cellIs" dxfId="1483" priority="1483" operator="lessThan">
      <formula>0.8</formula>
    </cfRule>
    <cfRule type="cellIs" dxfId="1482" priority="1484" operator="greaterThan">
      <formula>1</formula>
    </cfRule>
  </conditionalFormatting>
  <conditionalFormatting sqref="R19:R25">
    <cfRule type="cellIs" dxfId="1481" priority="1481" operator="greaterThan">
      <formula>1</formula>
    </cfRule>
    <cfRule type="cellIs" dxfId="1480" priority="1482" operator="lessThan">
      <formula>0.8</formula>
    </cfRule>
  </conditionalFormatting>
  <conditionalFormatting sqref="P19:P25">
    <cfRule type="cellIs" dxfId="1479" priority="1480" operator="greaterThan">
      <formula>0</formula>
    </cfRule>
  </conditionalFormatting>
  <conditionalFormatting sqref="Q19:Q25">
    <cfRule type="cellIs" dxfId="1478" priority="1479" operator="lessThan">
      <formula>0</formula>
    </cfRule>
  </conditionalFormatting>
  <conditionalFormatting sqref="R19:R25">
    <cfRule type="cellIs" dxfId="1477" priority="1477" operator="lessThan">
      <formula>0.8</formula>
    </cfRule>
    <cfRule type="cellIs" dxfId="1476" priority="1478" operator="greaterThan">
      <formula>1</formula>
    </cfRule>
  </conditionalFormatting>
  <conditionalFormatting sqref="R19:R25">
    <cfRule type="cellIs" dxfId="1475" priority="1475" operator="greaterThan">
      <formula>1</formula>
    </cfRule>
    <cfRule type="cellIs" dxfId="1474" priority="1476" operator="lessThan">
      <formula>0.8</formula>
    </cfRule>
  </conditionalFormatting>
  <conditionalFormatting sqref="P19:P25">
    <cfRule type="cellIs" dxfId="1473" priority="1474" operator="greaterThan">
      <formula>0</formula>
    </cfRule>
  </conditionalFormatting>
  <conditionalFormatting sqref="P19:P25">
    <cfRule type="cellIs" dxfId="1472" priority="1468" operator="greaterThan">
      <formula>0</formula>
    </cfRule>
  </conditionalFormatting>
  <conditionalFormatting sqref="Q19:Q25">
    <cfRule type="cellIs" dxfId="1471" priority="1473" operator="lessThan">
      <formula>0</formula>
    </cfRule>
  </conditionalFormatting>
  <conditionalFormatting sqref="R19:R25">
    <cfRule type="cellIs" dxfId="1470" priority="1471" operator="lessThan">
      <formula>0.8</formula>
    </cfRule>
    <cfRule type="cellIs" dxfId="1469" priority="1472" operator="greaterThan">
      <formula>1</formula>
    </cfRule>
  </conditionalFormatting>
  <conditionalFormatting sqref="R19:R25">
    <cfRule type="cellIs" dxfId="1468" priority="1469" operator="greaterThan">
      <formula>1</formula>
    </cfRule>
    <cfRule type="cellIs" dxfId="1467" priority="1470" operator="lessThan">
      <formula>0.8</formula>
    </cfRule>
  </conditionalFormatting>
  <conditionalFormatting sqref="Q19:Q25">
    <cfRule type="cellIs" dxfId="1466" priority="1467" operator="lessThan">
      <formula>0</formula>
    </cfRule>
  </conditionalFormatting>
  <conditionalFormatting sqref="R19:R25">
    <cfRule type="cellIs" dxfId="1465" priority="1465" operator="lessThan">
      <formula>0.8</formula>
    </cfRule>
    <cfRule type="cellIs" dxfId="1464" priority="1466" operator="greaterThan">
      <formula>1</formula>
    </cfRule>
  </conditionalFormatting>
  <conditionalFormatting sqref="R19:R25">
    <cfRule type="cellIs" dxfId="1463" priority="1463" operator="greaterThan">
      <formula>1</formula>
    </cfRule>
    <cfRule type="cellIs" dxfId="1462" priority="1464" operator="lessThan">
      <formula>0.8</formula>
    </cfRule>
  </conditionalFormatting>
  <conditionalFormatting sqref="P19:P25">
    <cfRule type="cellIs" dxfId="1461" priority="1462" operator="greaterThan">
      <formula>0</formula>
    </cfRule>
  </conditionalFormatting>
  <conditionalFormatting sqref="Q19:Q25">
    <cfRule type="cellIs" dxfId="1460" priority="1461" operator="lessThan">
      <formula>0</formula>
    </cfRule>
  </conditionalFormatting>
  <conditionalFormatting sqref="R19:R25">
    <cfRule type="cellIs" dxfId="1459" priority="1459" operator="lessThan">
      <formula>0.8</formula>
    </cfRule>
    <cfRule type="cellIs" dxfId="1458" priority="1460" operator="greaterThan">
      <formula>1</formula>
    </cfRule>
  </conditionalFormatting>
  <conditionalFormatting sqref="R19:R25">
    <cfRule type="cellIs" dxfId="1457" priority="1457" operator="greaterThan">
      <formula>1</formula>
    </cfRule>
    <cfRule type="cellIs" dxfId="1456" priority="1458" operator="lessThan">
      <formula>0.8</formula>
    </cfRule>
  </conditionalFormatting>
  <conditionalFormatting sqref="P19:P25">
    <cfRule type="cellIs" dxfId="1455" priority="1456" operator="greaterThan">
      <formula>0</formula>
    </cfRule>
  </conditionalFormatting>
  <conditionalFormatting sqref="Q19:Q25">
    <cfRule type="cellIs" dxfId="1454" priority="1455" operator="lessThan">
      <formula>0</formula>
    </cfRule>
  </conditionalFormatting>
  <conditionalFormatting sqref="R19:R25">
    <cfRule type="cellIs" dxfId="1453" priority="1453" operator="lessThan">
      <formula>0.8</formula>
    </cfRule>
    <cfRule type="cellIs" dxfId="1452" priority="1454" operator="greaterThan">
      <formula>1</formula>
    </cfRule>
  </conditionalFormatting>
  <conditionalFormatting sqref="R19:R25">
    <cfRule type="cellIs" dxfId="1451" priority="1451" operator="greaterThan">
      <formula>1</formula>
    </cfRule>
    <cfRule type="cellIs" dxfId="1450" priority="1452" operator="lessThan">
      <formula>0.8</formula>
    </cfRule>
  </conditionalFormatting>
  <conditionalFormatting sqref="P19:P25">
    <cfRule type="cellIs" dxfId="1449" priority="1450" operator="greaterThan">
      <formula>0</formula>
    </cfRule>
  </conditionalFormatting>
  <conditionalFormatting sqref="R19:R25">
    <cfRule type="cellIs" dxfId="1448" priority="1447" operator="lessThan">
      <formula>0.8</formula>
    </cfRule>
    <cfRule type="cellIs" dxfId="1447" priority="1448" operator="greaterThan">
      <formula>1</formula>
    </cfRule>
  </conditionalFormatting>
  <conditionalFormatting sqref="R19:R25">
    <cfRule type="cellIs" dxfId="1446" priority="1445" operator="greaterThan">
      <formula>1</formula>
    </cfRule>
    <cfRule type="cellIs" dxfId="1445" priority="1446" operator="lessThan">
      <formula>0.8</formula>
    </cfRule>
  </conditionalFormatting>
  <conditionalFormatting sqref="P19:P25">
    <cfRule type="cellIs" dxfId="1444" priority="1444" operator="greaterThan">
      <formula>0</formula>
    </cfRule>
  </conditionalFormatting>
  <conditionalFormatting sqref="Q19:Q25">
    <cfRule type="cellIs" dxfId="1443" priority="1449" operator="lessThan">
      <formula>0</formula>
    </cfRule>
  </conditionalFormatting>
  <conditionalFormatting sqref="Q40">
    <cfRule type="cellIs" dxfId="1442" priority="1443" operator="lessThan">
      <formula>0</formula>
    </cfRule>
  </conditionalFormatting>
  <conditionalFormatting sqref="R40">
    <cfRule type="cellIs" dxfId="1441" priority="1441" operator="lessThan">
      <formula>0.8</formula>
    </cfRule>
    <cfRule type="cellIs" dxfId="1440" priority="1442" operator="greaterThan">
      <formula>1</formula>
    </cfRule>
  </conditionalFormatting>
  <conditionalFormatting sqref="R40">
    <cfRule type="cellIs" dxfId="1439" priority="1439" operator="greaterThan">
      <formula>1</formula>
    </cfRule>
    <cfRule type="cellIs" dxfId="1438" priority="1440" operator="lessThan">
      <formula>0.8</formula>
    </cfRule>
  </conditionalFormatting>
  <conditionalFormatting sqref="P40">
    <cfRule type="cellIs" dxfId="1437" priority="1438" operator="greaterThan">
      <formula>0</formula>
    </cfRule>
  </conditionalFormatting>
  <conditionalFormatting sqref="P40">
    <cfRule type="cellIs" dxfId="1436" priority="1432" operator="greaterThan">
      <formula>0</formula>
    </cfRule>
  </conditionalFormatting>
  <conditionalFormatting sqref="Q40">
    <cfRule type="cellIs" dxfId="1435" priority="1437" operator="lessThan">
      <formula>0</formula>
    </cfRule>
  </conditionalFormatting>
  <conditionalFormatting sqref="R40">
    <cfRule type="cellIs" dxfId="1434" priority="1435" operator="lessThan">
      <formula>0.8</formula>
    </cfRule>
    <cfRule type="cellIs" dxfId="1433" priority="1436" operator="greaterThan">
      <formula>1</formula>
    </cfRule>
  </conditionalFormatting>
  <conditionalFormatting sqref="R40">
    <cfRule type="cellIs" dxfId="1432" priority="1433" operator="greaterThan">
      <formula>1</formula>
    </cfRule>
    <cfRule type="cellIs" dxfId="1431" priority="1434" operator="lessThan">
      <formula>0.8</formula>
    </cfRule>
  </conditionalFormatting>
  <conditionalFormatting sqref="P40">
    <cfRule type="cellIs" dxfId="1430" priority="1426" operator="greaterThan">
      <formula>0</formula>
    </cfRule>
  </conditionalFormatting>
  <conditionalFormatting sqref="Q40">
    <cfRule type="cellIs" dxfId="1429" priority="1431" operator="lessThan">
      <formula>0</formula>
    </cfRule>
  </conditionalFormatting>
  <conditionalFormatting sqref="R40">
    <cfRule type="cellIs" dxfId="1428" priority="1429" operator="lessThan">
      <formula>0.8</formula>
    </cfRule>
    <cfRule type="cellIs" dxfId="1427" priority="1430" operator="greaterThan">
      <formula>1</formula>
    </cfRule>
  </conditionalFormatting>
  <conditionalFormatting sqref="R40">
    <cfRule type="cellIs" dxfId="1426" priority="1427" operator="greaterThan">
      <formula>1</formula>
    </cfRule>
    <cfRule type="cellIs" dxfId="1425" priority="1428" operator="lessThan">
      <formula>0.8</formula>
    </cfRule>
  </conditionalFormatting>
  <conditionalFormatting sqref="Q40">
    <cfRule type="cellIs" dxfId="1424" priority="1425" operator="lessThan">
      <formula>0</formula>
    </cfRule>
  </conditionalFormatting>
  <conditionalFormatting sqref="R40">
    <cfRule type="cellIs" dxfId="1423" priority="1423" operator="lessThan">
      <formula>0.8</formula>
    </cfRule>
    <cfRule type="cellIs" dxfId="1422" priority="1424" operator="greaterThan">
      <formula>1</formula>
    </cfRule>
  </conditionalFormatting>
  <conditionalFormatting sqref="R40">
    <cfRule type="cellIs" dxfId="1421" priority="1421" operator="greaterThan">
      <formula>1</formula>
    </cfRule>
    <cfRule type="cellIs" dxfId="1420" priority="1422" operator="lessThan">
      <formula>0.8</formula>
    </cfRule>
  </conditionalFormatting>
  <conditionalFormatting sqref="P40">
    <cfRule type="cellIs" dxfId="1419" priority="1420" operator="greaterThan">
      <formula>0</formula>
    </cfRule>
  </conditionalFormatting>
  <conditionalFormatting sqref="P40">
    <cfRule type="cellIs" dxfId="1418" priority="1414" operator="greaterThan">
      <formula>0</formula>
    </cfRule>
  </conditionalFormatting>
  <conditionalFormatting sqref="Q40">
    <cfRule type="cellIs" dxfId="1417" priority="1419" operator="lessThan">
      <formula>0</formula>
    </cfRule>
  </conditionalFormatting>
  <conditionalFormatting sqref="R40">
    <cfRule type="cellIs" dxfId="1416" priority="1417" operator="lessThan">
      <formula>0.8</formula>
    </cfRule>
    <cfRule type="cellIs" dxfId="1415" priority="1418" operator="greaterThan">
      <formula>1</formula>
    </cfRule>
  </conditionalFormatting>
  <conditionalFormatting sqref="R40">
    <cfRule type="cellIs" dxfId="1414" priority="1415" operator="greaterThan">
      <formula>1</formula>
    </cfRule>
    <cfRule type="cellIs" dxfId="1413" priority="1416" operator="lessThan">
      <formula>0.8</formula>
    </cfRule>
  </conditionalFormatting>
  <conditionalFormatting sqref="P40">
    <cfRule type="cellIs" dxfId="1412" priority="1408" operator="greaterThan">
      <formula>0</formula>
    </cfRule>
  </conditionalFormatting>
  <conditionalFormatting sqref="Q40">
    <cfRule type="cellIs" dxfId="1411" priority="1413" operator="lessThan">
      <formula>0</formula>
    </cfRule>
  </conditionalFormatting>
  <conditionalFormatting sqref="R40">
    <cfRule type="cellIs" dxfId="1410" priority="1411" operator="lessThan">
      <formula>0.8</formula>
    </cfRule>
    <cfRule type="cellIs" dxfId="1409" priority="1412" operator="greaterThan">
      <formula>1</formula>
    </cfRule>
  </conditionalFormatting>
  <conditionalFormatting sqref="R40">
    <cfRule type="cellIs" dxfId="1408" priority="1409" operator="greaterThan">
      <formula>1</formula>
    </cfRule>
    <cfRule type="cellIs" dxfId="1407" priority="1410" operator="lessThan">
      <formula>0.8</formula>
    </cfRule>
  </conditionalFormatting>
  <conditionalFormatting sqref="P40">
    <cfRule type="cellIs" dxfId="1406" priority="1402" operator="greaterThan">
      <formula>0</formula>
    </cfRule>
  </conditionalFormatting>
  <conditionalFormatting sqref="Q40">
    <cfRule type="cellIs" dxfId="1405" priority="1407" operator="lessThan">
      <formula>0</formula>
    </cfRule>
  </conditionalFormatting>
  <conditionalFormatting sqref="R40">
    <cfRule type="cellIs" dxfId="1404" priority="1405" operator="lessThan">
      <formula>0.8</formula>
    </cfRule>
    <cfRule type="cellIs" dxfId="1403" priority="1406" operator="greaterThan">
      <formula>1</formula>
    </cfRule>
  </conditionalFormatting>
  <conditionalFormatting sqref="R40">
    <cfRule type="cellIs" dxfId="1402" priority="1403" operator="greaterThan">
      <formula>1</formula>
    </cfRule>
    <cfRule type="cellIs" dxfId="1401" priority="1404" operator="lessThan">
      <formula>0.8</formula>
    </cfRule>
  </conditionalFormatting>
  <conditionalFormatting sqref="Q40">
    <cfRule type="cellIs" dxfId="1400" priority="1396" operator="lessThan">
      <formula>0</formula>
    </cfRule>
  </conditionalFormatting>
  <conditionalFormatting sqref="P40">
    <cfRule type="cellIs" dxfId="1399" priority="1397" operator="greaterThan">
      <formula>0</formula>
    </cfRule>
  </conditionalFormatting>
  <conditionalFormatting sqref="R40">
    <cfRule type="cellIs" dxfId="1398" priority="1400" operator="lessThan">
      <formula>0.8</formula>
    </cfRule>
    <cfRule type="cellIs" dxfId="1397" priority="1401" operator="greaterThan">
      <formula>1</formula>
    </cfRule>
  </conditionalFormatting>
  <conditionalFormatting sqref="R40">
    <cfRule type="cellIs" dxfId="1396" priority="1398" operator="greaterThan">
      <formula>1</formula>
    </cfRule>
    <cfRule type="cellIs" dxfId="1395" priority="1399" operator="lessThan">
      <formula>0.8</formula>
    </cfRule>
  </conditionalFormatting>
  <conditionalFormatting sqref="Q40">
    <cfRule type="cellIs" dxfId="1394" priority="1390" operator="lessThan">
      <formula>0</formula>
    </cfRule>
  </conditionalFormatting>
  <conditionalFormatting sqref="R40">
    <cfRule type="cellIs" dxfId="1393" priority="1394" operator="lessThan">
      <formula>0.8</formula>
    </cfRule>
    <cfRule type="cellIs" dxfId="1392" priority="1395" operator="greaterThan">
      <formula>1</formula>
    </cfRule>
  </conditionalFormatting>
  <conditionalFormatting sqref="R40">
    <cfRule type="cellIs" dxfId="1391" priority="1392" operator="greaterThan">
      <formula>1</formula>
    </cfRule>
    <cfRule type="cellIs" dxfId="1390" priority="1393" operator="lessThan">
      <formula>0.8</formula>
    </cfRule>
  </conditionalFormatting>
  <conditionalFormatting sqref="P40">
    <cfRule type="cellIs" dxfId="1389" priority="1391" operator="greaterThan">
      <formula>0</formula>
    </cfRule>
  </conditionalFormatting>
  <conditionalFormatting sqref="Q40">
    <cfRule type="cellIs" dxfId="1388" priority="1389" operator="lessThan">
      <formula>0</formula>
    </cfRule>
  </conditionalFormatting>
  <conditionalFormatting sqref="R40">
    <cfRule type="cellIs" dxfId="1387" priority="1387" operator="lessThan">
      <formula>0.8</formula>
    </cfRule>
    <cfRule type="cellIs" dxfId="1386" priority="1388" operator="greaterThan">
      <formula>1</formula>
    </cfRule>
  </conditionalFormatting>
  <conditionalFormatting sqref="R40">
    <cfRule type="cellIs" dxfId="1385" priority="1385" operator="greaterThan">
      <formula>1</formula>
    </cfRule>
    <cfRule type="cellIs" dxfId="1384" priority="1386" operator="lessThan">
      <formula>0.8</formula>
    </cfRule>
  </conditionalFormatting>
  <conditionalFormatting sqref="P40">
    <cfRule type="cellIs" dxfId="1383" priority="1384" operator="greaterThan">
      <formula>0</formula>
    </cfRule>
  </conditionalFormatting>
  <conditionalFormatting sqref="Q40">
    <cfRule type="cellIs" dxfId="1382" priority="1383" operator="lessThan">
      <formula>0</formula>
    </cfRule>
  </conditionalFormatting>
  <conditionalFormatting sqref="R40">
    <cfRule type="cellIs" dxfId="1381" priority="1381" operator="lessThan">
      <formula>0.8</formula>
    </cfRule>
    <cfRule type="cellIs" dxfId="1380" priority="1382" operator="greaterThan">
      <formula>1</formula>
    </cfRule>
  </conditionalFormatting>
  <conditionalFormatting sqref="R40">
    <cfRule type="cellIs" dxfId="1379" priority="1379" operator="greaterThan">
      <formula>1</formula>
    </cfRule>
    <cfRule type="cellIs" dxfId="1378" priority="1380" operator="lessThan">
      <formula>0.8</formula>
    </cfRule>
  </conditionalFormatting>
  <conditionalFormatting sqref="P40">
    <cfRule type="cellIs" dxfId="1377" priority="1378" operator="greaterThan">
      <formula>0</formula>
    </cfRule>
  </conditionalFormatting>
  <conditionalFormatting sqref="Q32:Q39">
    <cfRule type="cellIs" dxfId="1376" priority="1377" operator="lessThan">
      <formula>0</formula>
    </cfRule>
  </conditionalFormatting>
  <conditionalFormatting sqref="R32:R39">
    <cfRule type="cellIs" dxfId="1375" priority="1375" operator="lessThan">
      <formula>0.8</formula>
    </cfRule>
    <cfRule type="cellIs" dxfId="1374" priority="1376" operator="greaterThan">
      <formula>1</formula>
    </cfRule>
  </conditionalFormatting>
  <conditionalFormatting sqref="R32:R39">
    <cfRule type="cellIs" dxfId="1373" priority="1373" operator="greaterThan">
      <formula>1</formula>
    </cfRule>
    <cfRule type="cellIs" dxfId="1372" priority="1374" operator="lessThan">
      <formula>0.8</formula>
    </cfRule>
  </conditionalFormatting>
  <conditionalFormatting sqref="P32:P39">
    <cfRule type="cellIs" dxfId="1371" priority="1372" operator="greaterThan">
      <formula>0</formula>
    </cfRule>
  </conditionalFormatting>
  <conditionalFormatting sqref="Q32:Q39">
    <cfRule type="cellIs" dxfId="1370" priority="1371" operator="lessThan">
      <formula>0</formula>
    </cfRule>
  </conditionalFormatting>
  <conditionalFormatting sqref="R32:R39">
    <cfRule type="cellIs" dxfId="1369" priority="1369" operator="lessThan">
      <formula>0.8</formula>
    </cfRule>
    <cfRule type="cellIs" dxfId="1368" priority="1370" operator="greaterThan">
      <formula>1</formula>
    </cfRule>
  </conditionalFormatting>
  <conditionalFormatting sqref="R32:R39">
    <cfRule type="cellIs" dxfId="1367" priority="1367" operator="greaterThan">
      <formula>1</formula>
    </cfRule>
    <cfRule type="cellIs" dxfId="1366" priority="1368" operator="lessThan">
      <formula>0.8</formula>
    </cfRule>
  </conditionalFormatting>
  <conditionalFormatting sqref="P32:P39">
    <cfRule type="cellIs" dxfId="1365" priority="1366" operator="greaterThan">
      <formula>0</formula>
    </cfRule>
  </conditionalFormatting>
  <conditionalFormatting sqref="Q32:Q39">
    <cfRule type="cellIs" dxfId="1364" priority="1365" operator="lessThan">
      <formula>0</formula>
    </cfRule>
  </conditionalFormatting>
  <conditionalFormatting sqref="R32:R39">
    <cfRule type="cellIs" dxfId="1363" priority="1363" operator="lessThan">
      <formula>0.8</formula>
    </cfRule>
    <cfRule type="cellIs" dxfId="1362" priority="1364" operator="greaterThan">
      <formula>1</formula>
    </cfRule>
  </conditionalFormatting>
  <conditionalFormatting sqref="R32:R39">
    <cfRule type="cellIs" dxfId="1361" priority="1361" operator="greaterThan">
      <formula>1</formula>
    </cfRule>
    <cfRule type="cellIs" dxfId="1360" priority="1362" operator="lessThan">
      <formula>0.8</formula>
    </cfRule>
  </conditionalFormatting>
  <conditionalFormatting sqref="P32:P39">
    <cfRule type="cellIs" dxfId="1359" priority="1360" operator="greaterThan">
      <formula>0</formula>
    </cfRule>
  </conditionalFormatting>
  <conditionalFormatting sqref="Q32:Q39">
    <cfRule type="cellIs" dxfId="1358" priority="1359" operator="lessThan">
      <formula>0</formula>
    </cfRule>
  </conditionalFormatting>
  <conditionalFormatting sqref="R32:R39">
    <cfRule type="cellIs" dxfId="1357" priority="1357" operator="lessThan">
      <formula>0.8</formula>
    </cfRule>
    <cfRule type="cellIs" dxfId="1356" priority="1358" operator="greaterThan">
      <formula>1</formula>
    </cfRule>
  </conditionalFormatting>
  <conditionalFormatting sqref="R32:R39">
    <cfRule type="cellIs" dxfId="1355" priority="1355" operator="greaterThan">
      <formula>1</formula>
    </cfRule>
    <cfRule type="cellIs" dxfId="1354" priority="1356" operator="lessThan">
      <formula>0.8</formula>
    </cfRule>
  </conditionalFormatting>
  <conditionalFormatting sqref="P32:P39">
    <cfRule type="cellIs" dxfId="1353" priority="1354" operator="greaterThan">
      <formula>0</formula>
    </cfRule>
  </conditionalFormatting>
  <conditionalFormatting sqref="P32:P39">
    <cfRule type="cellIs" dxfId="1352" priority="1348" operator="greaterThan">
      <formula>0</formula>
    </cfRule>
  </conditionalFormatting>
  <conditionalFormatting sqref="Q32:Q39">
    <cfRule type="cellIs" dxfId="1351" priority="1353" operator="lessThan">
      <formula>0</formula>
    </cfRule>
  </conditionalFormatting>
  <conditionalFormatting sqref="R32:R39">
    <cfRule type="cellIs" dxfId="1350" priority="1351" operator="lessThan">
      <formula>0.8</formula>
    </cfRule>
    <cfRule type="cellIs" dxfId="1349" priority="1352" operator="greaterThan">
      <formula>1</formula>
    </cfRule>
  </conditionalFormatting>
  <conditionalFormatting sqref="R32:R39">
    <cfRule type="cellIs" dxfId="1348" priority="1349" operator="greaterThan">
      <formula>1</formula>
    </cfRule>
    <cfRule type="cellIs" dxfId="1347" priority="1350" operator="lessThan">
      <formula>0.8</formula>
    </cfRule>
  </conditionalFormatting>
  <conditionalFormatting sqref="P32:P39">
    <cfRule type="cellIs" dxfId="1346" priority="1342" operator="greaterThan">
      <formula>0</formula>
    </cfRule>
  </conditionalFormatting>
  <conditionalFormatting sqref="Q32:Q39">
    <cfRule type="cellIs" dxfId="1345" priority="1347" operator="lessThan">
      <formula>0</formula>
    </cfRule>
  </conditionalFormatting>
  <conditionalFormatting sqref="R32:R39">
    <cfRule type="cellIs" dxfId="1344" priority="1345" operator="lessThan">
      <formula>0.8</formula>
    </cfRule>
    <cfRule type="cellIs" dxfId="1343" priority="1346" operator="greaterThan">
      <formula>1</formula>
    </cfRule>
  </conditionalFormatting>
  <conditionalFormatting sqref="R32:R39">
    <cfRule type="cellIs" dxfId="1342" priority="1343" operator="greaterThan">
      <formula>1</formula>
    </cfRule>
    <cfRule type="cellIs" dxfId="1341" priority="1344" operator="lessThan">
      <formula>0.8</formula>
    </cfRule>
  </conditionalFormatting>
  <conditionalFormatting sqref="R32:R39">
    <cfRule type="cellIs" dxfId="1340" priority="1339" operator="lessThan">
      <formula>0.8</formula>
    </cfRule>
    <cfRule type="cellIs" dxfId="1339" priority="1340" operator="greaterThan">
      <formula>1</formula>
    </cfRule>
  </conditionalFormatting>
  <conditionalFormatting sqref="R32:R39">
    <cfRule type="cellIs" dxfId="1338" priority="1337" operator="greaterThan">
      <formula>1</formula>
    </cfRule>
    <cfRule type="cellIs" dxfId="1337" priority="1338" operator="lessThan">
      <formula>0.8</formula>
    </cfRule>
  </conditionalFormatting>
  <conditionalFormatting sqref="P32:P39">
    <cfRule type="cellIs" dxfId="1336" priority="1336" operator="greaterThan">
      <formula>0</formula>
    </cfRule>
  </conditionalFormatting>
  <conditionalFormatting sqref="Q32:Q39">
    <cfRule type="cellIs" dxfId="1335" priority="1341" operator="lessThan">
      <formula>0</formula>
    </cfRule>
  </conditionalFormatting>
  <conditionalFormatting sqref="Q32:Q39">
    <cfRule type="cellIs" dxfId="1334" priority="1335" operator="lessThan">
      <formula>0</formula>
    </cfRule>
  </conditionalFormatting>
  <conditionalFormatting sqref="R32:R39">
    <cfRule type="cellIs" dxfId="1333" priority="1333" operator="lessThan">
      <formula>0.8</formula>
    </cfRule>
    <cfRule type="cellIs" dxfId="1332" priority="1334" operator="greaterThan">
      <formula>1</formula>
    </cfRule>
  </conditionalFormatting>
  <conditionalFormatting sqref="R32:R39">
    <cfRule type="cellIs" dxfId="1331" priority="1331" operator="greaterThan">
      <formula>1</formula>
    </cfRule>
    <cfRule type="cellIs" dxfId="1330" priority="1332" operator="lessThan">
      <formula>0.8</formula>
    </cfRule>
  </conditionalFormatting>
  <conditionalFormatting sqref="P32:P39">
    <cfRule type="cellIs" dxfId="1329" priority="1330" operator="greaterThan">
      <formula>0</formula>
    </cfRule>
  </conditionalFormatting>
  <conditionalFormatting sqref="P32:P39">
    <cfRule type="cellIs" dxfId="1328" priority="1324" operator="greaterThan">
      <formula>0</formula>
    </cfRule>
  </conditionalFormatting>
  <conditionalFormatting sqref="Q32:Q39">
    <cfRule type="cellIs" dxfId="1327" priority="1329" operator="lessThan">
      <formula>0</formula>
    </cfRule>
  </conditionalFormatting>
  <conditionalFormatting sqref="R32:R39">
    <cfRule type="cellIs" dxfId="1326" priority="1327" operator="lessThan">
      <formula>0.8</formula>
    </cfRule>
    <cfRule type="cellIs" dxfId="1325" priority="1328" operator="greaterThan">
      <formula>1</formula>
    </cfRule>
  </conditionalFormatting>
  <conditionalFormatting sqref="R32:R39">
    <cfRule type="cellIs" dxfId="1324" priority="1325" operator="greaterThan">
      <formula>1</formula>
    </cfRule>
    <cfRule type="cellIs" dxfId="1323" priority="1326" operator="lessThan">
      <formula>0.8</formula>
    </cfRule>
  </conditionalFormatting>
  <conditionalFormatting sqref="P32:P39">
    <cfRule type="cellIs" dxfId="1322" priority="1318" operator="greaterThan">
      <formula>0</formula>
    </cfRule>
  </conditionalFormatting>
  <conditionalFormatting sqref="Q32:Q39">
    <cfRule type="cellIs" dxfId="1321" priority="1323" operator="lessThan">
      <formula>0</formula>
    </cfRule>
  </conditionalFormatting>
  <conditionalFormatting sqref="R32:R39">
    <cfRule type="cellIs" dxfId="1320" priority="1321" operator="lessThan">
      <formula>0.8</formula>
    </cfRule>
    <cfRule type="cellIs" dxfId="1319" priority="1322" operator="greaterThan">
      <formula>1</formula>
    </cfRule>
  </conditionalFormatting>
  <conditionalFormatting sqref="R32:R39">
    <cfRule type="cellIs" dxfId="1318" priority="1319" operator="greaterThan">
      <formula>1</formula>
    </cfRule>
    <cfRule type="cellIs" dxfId="1317" priority="1320" operator="lessThan">
      <formula>0.8</formula>
    </cfRule>
  </conditionalFormatting>
  <conditionalFormatting sqref="R32:R39">
    <cfRule type="cellIs" dxfId="1316" priority="1315" operator="lessThan">
      <formula>0.8</formula>
    </cfRule>
    <cfRule type="cellIs" dxfId="1315" priority="1316" operator="greaterThan">
      <formula>1</formula>
    </cfRule>
  </conditionalFormatting>
  <conditionalFormatting sqref="R32:R39">
    <cfRule type="cellIs" dxfId="1314" priority="1313" operator="greaterThan">
      <formula>1</formula>
    </cfRule>
    <cfRule type="cellIs" dxfId="1313" priority="1314" operator="lessThan">
      <formula>0.8</formula>
    </cfRule>
  </conditionalFormatting>
  <conditionalFormatting sqref="P32:P39">
    <cfRule type="cellIs" dxfId="1312" priority="1312" operator="greaterThan">
      <formula>0</formula>
    </cfRule>
  </conditionalFormatting>
  <conditionalFormatting sqref="Q32:Q39">
    <cfRule type="cellIs" dxfId="1311" priority="1317" operator="lessThan">
      <formula>0</formula>
    </cfRule>
  </conditionalFormatting>
  <conditionalFormatting sqref="P32:P39">
    <cfRule type="cellIs" dxfId="1310" priority="1306" operator="greaterThan">
      <formula>0</formula>
    </cfRule>
  </conditionalFormatting>
  <conditionalFormatting sqref="Q32:Q39">
    <cfRule type="cellIs" dxfId="1309" priority="1311" operator="lessThan">
      <formula>0</formula>
    </cfRule>
  </conditionalFormatting>
  <conditionalFormatting sqref="R32:R39">
    <cfRule type="cellIs" dxfId="1308" priority="1309" operator="lessThan">
      <formula>0.8</formula>
    </cfRule>
    <cfRule type="cellIs" dxfId="1307" priority="1310" operator="greaterThan">
      <formula>1</formula>
    </cfRule>
  </conditionalFormatting>
  <conditionalFormatting sqref="R32:R39">
    <cfRule type="cellIs" dxfId="1306" priority="1307" operator="greaterThan">
      <formula>1</formula>
    </cfRule>
    <cfRule type="cellIs" dxfId="1305" priority="1308" operator="lessThan">
      <formula>0.8</formula>
    </cfRule>
  </conditionalFormatting>
  <conditionalFormatting sqref="R32:R39">
    <cfRule type="cellIs" dxfId="1304" priority="1303" operator="lessThan">
      <formula>0.8</formula>
    </cfRule>
    <cfRule type="cellIs" dxfId="1303" priority="1304" operator="greaterThan">
      <formula>1</formula>
    </cfRule>
  </conditionalFormatting>
  <conditionalFormatting sqref="R32:R39">
    <cfRule type="cellIs" dxfId="1302" priority="1301" operator="greaterThan">
      <formula>1</formula>
    </cfRule>
    <cfRule type="cellIs" dxfId="1301" priority="1302" operator="lessThan">
      <formula>0.8</formula>
    </cfRule>
  </conditionalFormatting>
  <conditionalFormatting sqref="P32:P39">
    <cfRule type="cellIs" dxfId="1300" priority="1300" operator="greaterThan">
      <formula>0</formula>
    </cfRule>
  </conditionalFormatting>
  <conditionalFormatting sqref="Q32:Q39">
    <cfRule type="cellIs" dxfId="1299" priority="1305" operator="lessThan">
      <formula>0</formula>
    </cfRule>
  </conditionalFormatting>
  <conditionalFormatting sqref="R32:R39">
    <cfRule type="cellIs" dxfId="1298" priority="1297" operator="lessThan">
      <formula>0.8</formula>
    </cfRule>
    <cfRule type="cellIs" dxfId="1297" priority="1298" operator="greaterThan">
      <formula>1</formula>
    </cfRule>
  </conditionalFormatting>
  <conditionalFormatting sqref="R32:R39">
    <cfRule type="cellIs" dxfId="1296" priority="1295" operator="greaterThan">
      <formula>1</formula>
    </cfRule>
    <cfRule type="cellIs" dxfId="1295" priority="1296" operator="lessThan">
      <formula>0.8</formula>
    </cfRule>
  </conditionalFormatting>
  <conditionalFormatting sqref="P32:P39">
    <cfRule type="cellIs" dxfId="1294" priority="1294" operator="greaterThan">
      <formula>0</formula>
    </cfRule>
  </conditionalFormatting>
  <conditionalFormatting sqref="Q32:Q39">
    <cfRule type="cellIs" dxfId="1293" priority="1299" operator="lessThan">
      <formula>0</formula>
    </cfRule>
  </conditionalFormatting>
  <conditionalFormatting sqref="Q32:Q39">
    <cfRule type="cellIs" dxfId="1292" priority="1293" operator="lessThan">
      <formula>0</formula>
    </cfRule>
  </conditionalFormatting>
  <conditionalFormatting sqref="R32:R39">
    <cfRule type="cellIs" dxfId="1291" priority="1291" operator="lessThan">
      <formula>0.8</formula>
    </cfRule>
    <cfRule type="cellIs" dxfId="1290" priority="1292" operator="greaterThan">
      <formula>1</formula>
    </cfRule>
  </conditionalFormatting>
  <conditionalFormatting sqref="R32:R39">
    <cfRule type="cellIs" dxfId="1289" priority="1289" operator="greaterThan">
      <formula>1</formula>
    </cfRule>
    <cfRule type="cellIs" dxfId="1288" priority="1290" operator="lessThan">
      <formula>0.8</formula>
    </cfRule>
  </conditionalFormatting>
  <conditionalFormatting sqref="P32:P39">
    <cfRule type="cellIs" dxfId="1287" priority="1288" operator="greaterThan">
      <formula>0</formula>
    </cfRule>
  </conditionalFormatting>
  <conditionalFormatting sqref="Q32:Q39">
    <cfRule type="cellIs" dxfId="1286" priority="1282" operator="lessThan">
      <formula>0</formula>
    </cfRule>
  </conditionalFormatting>
  <conditionalFormatting sqref="R32:R39">
    <cfRule type="cellIs" dxfId="1285" priority="1286" operator="lessThan">
      <formula>0.8</formula>
    </cfRule>
    <cfRule type="cellIs" dxfId="1284" priority="1287" operator="greaterThan">
      <formula>1</formula>
    </cfRule>
  </conditionalFormatting>
  <conditionalFormatting sqref="R32:R39">
    <cfRule type="cellIs" dxfId="1283" priority="1284" operator="greaterThan">
      <formula>1</formula>
    </cfRule>
    <cfRule type="cellIs" dxfId="1282" priority="1285" operator="lessThan">
      <formula>0.8</formula>
    </cfRule>
  </conditionalFormatting>
  <conditionalFormatting sqref="P32:P39">
    <cfRule type="cellIs" dxfId="1281" priority="1283" operator="greaterThan">
      <formula>0</formula>
    </cfRule>
  </conditionalFormatting>
  <conditionalFormatting sqref="Q32:Q39">
    <cfRule type="cellIs" dxfId="1280" priority="1281" operator="lessThan">
      <formula>0</formula>
    </cfRule>
  </conditionalFormatting>
  <conditionalFormatting sqref="R32:R39">
    <cfRule type="cellIs" dxfId="1279" priority="1279" operator="lessThan">
      <formula>0.8</formula>
    </cfRule>
    <cfRule type="cellIs" dxfId="1278" priority="1280" operator="greaterThan">
      <formula>1</formula>
    </cfRule>
  </conditionalFormatting>
  <conditionalFormatting sqref="R32:R39">
    <cfRule type="cellIs" dxfId="1277" priority="1277" operator="greaterThan">
      <formula>1</formula>
    </cfRule>
    <cfRule type="cellIs" dxfId="1276" priority="1278" operator="lessThan">
      <formula>0.8</formula>
    </cfRule>
  </conditionalFormatting>
  <conditionalFormatting sqref="P32:P39">
    <cfRule type="cellIs" dxfId="1275" priority="1276" operator="greaterThan">
      <formula>0</formula>
    </cfRule>
  </conditionalFormatting>
  <conditionalFormatting sqref="Q32:Q39">
    <cfRule type="cellIs" dxfId="1274" priority="1275" operator="lessThan">
      <formula>0</formula>
    </cfRule>
  </conditionalFormatting>
  <conditionalFormatting sqref="R32:R39">
    <cfRule type="cellIs" dxfId="1273" priority="1273" operator="lessThan">
      <formula>0.8</formula>
    </cfRule>
    <cfRule type="cellIs" dxfId="1272" priority="1274" operator="greaterThan">
      <formula>1</formula>
    </cfRule>
  </conditionalFormatting>
  <conditionalFormatting sqref="R32:R39">
    <cfRule type="cellIs" dxfId="1271" priority="1271" operator="greaterThan">
      <formula>1</formula>
    </cfRule>
    <cfRule type="cellIs" dxfId="1270" priority="1272" operator="lessThan">
      <formula>0.8</formula>
    </cfRule>
  </conditionalFormatting>
  <conditionalFormatting sqref="P32:P39">
    <cfRule type="cellIs" dxfId="1269" priority="1270" operator="greaterThan">
      <formula>0</formula>
    </cfRule>
  </conditionalFormatting>
  <conditionalFormatting sqref="Q32:Q39">
    <cfRule type="cellIs" dxfId="1268" priority="1269" operator="lessThan">
      <formula>0</formula>
    </cfRule>
  </conditionalFormatting>
  <conditionalFormatting sqref="R32:R39">
    <cfRule type="cellIs" dxfId="1267" priority="1267" operator="lessThan">
      <formula>0.8</formula>
    </cfRule>
    <cfRule type="cellIs" dxfId="1266" priority="1268" operator="greaterThan">
      <formula>1</formula>
    </cfRule>
  </conditionalFormatting>
  <conditionalFormatting sqref="R32:R39">
    <cfRule type="cellIs" dxfId="1265" priority="1265" operator="greaterThan">
      <formula>1</formula>
    </cfRule>
    <cfRule type="cellIs" dxfId="1264" priority="1266" operator="lessThan">
      <formula>0.8</formula>
    </cfRule>
  </conditionalFormatting>
  <conditionalFormatting sqref="P32:P39">
    <cfRule type="cellIs" dxfId="1263" priority="1264" operator="greaterThan">
      <formula>0</formula>
    </cfRule>
  </conditionalFormatting>
  <conditionalFormatting sqref="Q32:Q39">
    <cfRule type="cellIs" dxfId="1262" priority="1263" operator="lessThan">
      <formula>0</formula>
    </cfRule>
  </conditionalFormatting>
  <conditionalFormatting sqref="R32:R39">
    <cfRule type="cellIs" dxfId="1261" priority="1261" operator="lessThan">
      <formula>0.8</formula>
    </cfRule>
    <cfRule type="cellIs" dxfId="1260" priority="1262" operator="greaterThan">
      <formula>1</formula>
    </cfRule>
  </conditionalFormatting>
  <conditionalFormatting sqref="R32:R39">
    <cfRule type="cellIs" dxfId="1259" priority="1259" operator="greaterThan">
      <formula>1</formula>
    </cfRule>
    <cfRule type="cellIs" dxfId="1258" priority="1260" operator="lessThan">
      <formula>0.8</formula>
    </cfRule>
  </conditionalFormatting>
  <conditionalFormatting sqref="P32:P39">
    <cfRule type="cellIs" dxfId="1257" priority="1258" operator="greaterThan">
      <formula>0</formula>
    </cfRule>
  </conditionalFormatting>
  <conditionalFormatting sqref="Q32:Q39">
    <cfRule type="cellIs" dxfId="1256" priority="1257" operator="lessThan">
      <formula>0</formula>
    </cfRule>
  </conditionalFormatting>
  <conditionalFormatting sqref="R32:R39">
    <cfRule type="cellIs" dxfId="1255" priority="1255" operator="lessThan">
      <formula>0.8</formula>
    </cfRule>
    <cfRule type="cellIs" dxfId="1254" priority="1256" operator="greaterThan">
      <formula>1</formula>
    </cfRule>
  </conditionalFormatting>
  <conditionalFormatting sqref="R32:R39">
    <cfRule type="cellIs" dxfId="1253" priority="1253" operator="greaterThan">
      <formula>1</formula>
    </cfRule>
    <cfRule type="cellIs" dxfId="1252" priority="1254" operator="lessThan">
      <formula>0.8</formula>
    </cfRule>
  </conditionalFormatting>
  <conditionalFormatting sqref="P32:P39">
    <cfRule type="cellIs" dxfId="1251" priority="1252" operator="greaterThan">
      <formula>0</formula>
    </cfRule>
  </conditionalFormatting>
  <conditionalFormatting sqref="P32:P39">
    <cfRule type="cellIs" dxfId="1250" priority="1246" operator="greaterThan">
      <formula>0</formula>
    </cfRule>
  </conditionalFormatting>
  <conditionalFormatting sqref="Q32:Q39">
    <cfRule type="cellIs" dxfId="1249" priority="1251" operator="lessThan">
      <formula>0</formula>
    </cfRule>
  </conditionalFormatting>
  <conditionalFormatting sqref="R32:R39">
    <cfRule type="cellIs" dxfId="1248" priority="1249" operator="lessThan">
      <formula>0.8</formula>
    </cfRule>
    <cfRule type="cellIs" dxfId="1247" priority="1250" operator="greaterThan">
      <formula>1</formula>
    </cfRule>
  </conditionalFormatting>
  <conditionalFormatting sqref="R32:R39">
    <cfRule type="cellIs" dxfId="1246" priority="1247" operator="greaterThan">
      <formula>1</formula>
    </cfRule>
    <cfRule type="cellIs" dxfId="1245" priority="1248" operator="lessThan">
      <formula>0.8</formula>
    </cfRule>
  </conditionalFormatting>
  <conditionalFormatting sqref="P32:P39">
    <cfRule type="cellIs" dxfId="1244" priority="1240" operator="greaterThan">
      <formula>0</formula>
    </cfRule>
  </conditionalFormatting>
  <conditionalFormatting sqref="Q32:Q39">
    <cfRule type="cellIs" dxfId="1243" priority="1245" operator="lessThan">
      <formula>0</formula>
    </cfRule>
  </conditionalFormatting>
  <conditionalFormatting sqref="R32:R39">
    <cfRule type="cellIs" dxfId="1242" priority="1243" operator="lessThan">
      <formula>0.8</formula>
    </cfRule>
    <cfRule type="cellIs" dxfId="1241" priority="1244" operator="greaterThan">
      <formula>1</formula>
    </cfRule>
  </conditionalFormatting>
  <conditionalFormatting sqref="R32:R39">
    <cfRule type="cellIs" dxfId="1240" priority="1241" operator="greaterThan">
      <formula>1</formula>
    </cfRule>
    <cfRule type="cellIs" dxfId="1239" priority="1242" operator="lessThan">
      <formula>0.8</formula>
    </cfRule>
  </conditionalFormatting>
  <conditionalFormatting sqref="R32:R39">
    <cfRule type="cellIs" dxfId="1238" priority="1237" operator="lessThan">
      <formula>0.8</formula>
    </cfRule>
    <cfRule type="cellIs" dxfId="1237" priority="1238" operator="greaterThan">
      <formula>1</formula>
    </cfRule>
  </conditionalFormatting>
  <conditionalFormatting sqref="R32:R39">
    <cfRule type="cellIs" dxfId="1236" priority="1235" operator="greaterThan">
      <formula>1</formula>
    </cfRule>
    <cfRule type="cellIs" dxfId="1235" priority="1236" operator="lessThan">
      <formula>0.8</formula>
    </cfRule>
  </conditionalFormatting>
  <conditionalFormatting sqref="P32:P39">
    <cfRule type="cellIs" dxfId="1234" priority="1234" operator="greaterThan">
      <formula>0</formula>
    </cfRule>
  </conditionalFormatting>
  <conditionalFormatting sqref="Q32:Q39">
    <cfRule type="cellIs" dxfId="1233" priority="1239" operator="lessThan">
      <formula>0</formula>
    </cfRule>
  </conditionalFormatting>
  <conditionalFormatting sqref="Q32:Q39">
    <cfRule type="cellIs" dxfId="1232" priority="1228" operator="lessThan">
      <formula>0</formula>
    </cfRule>
  </conditionalFormatting>
  <conditionalFormatting sqref="P32:P39">
    <cfRule type="cellIs" dxfId="1231" priority="1229" operator="greaterThan">
      <formula>0</formula>
    </cfRule>
  </conditionalFormatting>
  <conditionalFormatting sqref="R32:R39">
    <cfRule type="cellIs" dxfId="1230" priority="1232" operator="lessThan">
      <formula>0.8</formula>
    </cfRule>
    <cfRule type="cellIs" dxfId="1229" priority="1233" operator="greaterThan">
      <formula>1</formula>
    </cfRule>
  </conditionalFormatting>
  <conditionalFormatting sqref="R32:R39">
    <cfRule type="cellIs" dxfId="1228" priority="1230" operator="greaterThan">
      <formula>1</formula>
    </cfRule>
    <cfRule type="cellIs" dxfId="1227" priority="1231" operator="lessThan">
      <formula>0.8</formula>
    </cfRule>
  </conditionalFormatting>
  <conditionalFormatting sqref="Q32:Q39">
    <cfRule type="cellIs" dxfId="1226" priority="1222" operator="lessThan">
      <formula>0</formula>
    </cfRule>
  </conditionalFormatting>
  <conditionalFormatting sqref="R32:R39">
    <cfRule type="cellIs" dxfId="1225" priority="1226" operator="lessThan">
      <formula>0.8</formula>
    </cfRule>
    <cfRule type="cellIs" dxfId="1224" priority="1227" operator="greaterThan">
      <formula>1</formula>
    </cfRule>
  </conditionalFormatting>
  <conditionalFormatting sqref="R32:R39">
    <cfRule type="cellIs" dxfId="1223" priority="1224" operator="greaterThan">
      <formula>1</formula>
    </cfRule>
    <cfRule type="cellIs" dxfId="1222" priority="1225" operator="lessThan">
      <formula>0.8</formula>
    </cfRule>
  </conditionalFormatting>
  <conditionalFormatting sqref="P32:P39">
    <cfRule type="cellIs" dxfId="1221" priority="1223" operator="greaterThan">
      <formula>0</formula>
    </cfRule>
  </conditionalFormatting>
  <conditionalFormatting sqref="Q32:Q39">
    <cfRule type="cellIs" dxfId="1220" priority="1221" operator="lessThan">
      <formula>0</formula>
    </cfRule>
  </conditionalFormatting>
  <conditionalFormatting sqref="R32:R39">
    <cfRule type="cellIs" dxfId="1219" priority="1219" operator="lessThan">
      <formula>0.8</formula>
    </cfRule>
    <cfRule type="cellIs" dxfId="1218" priority="1220" operator="greaterThan">
      <formula>1</formula>
    </cfRule>
  </conditionalFormatting>
  <conditionalFormatting sqref="R32:R39">
    <cfRule type="cellIs" dxfId="1217" priority="1217" operator="greaterThan">
      <formula>1</formula>
    </cfRule>
    <cfRule type="cellIs" dxfId="1216" priority="1218" operator="lessThan">
      <formula>0.8</formula>
    </cfRule>
  </conditionalFormatting>
  <conditionalFormatting sqref="P32:P39">
    <cfRule type="cellIs" dxfId="1215" priority="1216" operator="greaterThan">
      <formula>0</formula>
    </cfRule>
  </conditionalFormatting>
  <conditionalFormatting sqref="Q32:Q39">
    <cfRule type="cellIs" dxfId="1214" priority="1215" operator="lessThan">
      <formula>0</formula>
    </cfRule>
  </conditionalFormatting>
  <conditionalFormatting sqref="R32:R39">
    <cfRule type="cellIs" dxfId="1213" priority="1213" operator="lessThan">
      <formula>0.8</formula>
    </cfRule>
    <cfRule type="cellIs" dxfId="1212" priority="1214" operator="greaterThan">
      <formula>1</formula>
    </cfRule>
  </conditionalFormatting>
  <conditionalFormatting sqref="R32:R39">
    <cfRule type="cellIs" dxfId="1211" priority="1211" operator="greaterThan">
      <formula>1</formula>
    </cfRule>
    <cfRule type="cellIs" dxfId="1210" priority="1212" operator="lessThan">
      <formula>0.8</formula>
    </cfRule>
  </conditionalFormatting>
  <conditionalFormatting sqref="P32:P39">
    <cfRule type="cellIs" dxfId="1209" priority="1210" operator="greaterThan">
      <formula>0</formula>
    </cfRule>
  </conditionalFormatting>
  <conditionalFormatting sqref="Q32:Q39">
    <cfRule type="cellIs" dxfId="1208" priority="1209" operator="lessThan">
      <formula>0</formula>
    </cfRule>
  </conditionalFormatting>
  <conditionalFormatting sqref="R32:R39">
    <cfRule type="cellIs" dxfId="1207" priority="1207" operator="lessThan">
      <formula>0.8</formula>
    </cfRule>
    <cfRule type="cellIs" dxfId="1206" priority="1208" operator="greaterThan">
      <formula>1</formula>
    </cfRule>
  </conditionalFormatting>
  <conditionalFormatting sqref="R32:R39">
    <cfRule type="cellIs" dxfId="1205" priority="1205" operator="greaterThan">
      <formula>1</formula>
    </cfRule>
    <cfRule type="cellIs" dxfId="1204" priority="1206" operator="lessThan">
      <formula>0.8</formula>
    </cfRule>
  </conditionalFormatting>
  <conditionalFormatting sqref="P32:P39">
    <cfRule type="cellIs" dxfId="1203" priority="1204" operator="greaterThan">
      <formula>0</formula>
    </cfRule>
  </conditionalFormatting>
  <conditionalFormatting sqref="Q32:Q39">
    <cfRule type="cellIs" dxfId="1202" priority="1203" operator="lessThan">
      <formula>0</formula>
    </cfRule>
  </conditionalFormatting>
  <conditionalFormatting sqref="R32:R39">
    <cfRule type="cellIs" dxfId="1201" priority="1201" operator="lessThan">
      <formula>0.8</formula>
    </cfRule>
    <cfRule type="cellIs" dxfId="1200" priority="1202" operator="greaterThan">
      <formula>1</formula>
    </cfRule>
  </conditionalFormatting>
  <conditionalFormatting sqref="R32:R39">
    <cfRule type="cellIs" dxfId="1199" priority="1199" operator="greaterThan">
      <formula>1</formula>
    </cfRule>
    <cfRule type="cellIs" dxfId="1198" priority="1200" operator="lessThan">
      <formula>0.8</formula>
    </cfRule>
  </conditionalFormatting>
  <conditionalFormatting sqref="P32:P39">
    <cfRule type="cellIs" dxfId="1197" priority="1198" operator="greaterThan">
      <formula>0</formula>
    </cfRule>
  </conditionalFormatting>
  <conditionalFormatting sqref="Q96:Q105">
    <cfRule type="cellIs" dxfId="1196" priority="1192" operator="lessThan">
      <formula>0</formula>
    </cfRule>
  </conditionalFormatting>
  <conditionalFormatting sqref="P96:P105">
    <cfRule type="cellIs" dxfId="1195" priority="1193" operator="greaterThan">
      <formula>0</formula>
    </cfRule>
  </conditionalFormatting>
  <conditionalFormatting sqref="R96:R105">
    <cfRule type="cellIs" dxfId="1194" priority="1196" operator="lessThan">
      <formula>0.8</formula>
    </cfRule>
    <cfRule type="cellIs" dxfId="1193" priority="1197" operator="greaterThan">
      <formula>1</formula>
    </cfRule>
  </conditionalFormatting>
  <conditionalFormatting sqref="R96:R105">
    <cfRule type="cellIs" dxfId="1192" priority="1194" operator="greaterThan">
      <formula>1</formula>
    </cfRule>
    <cfRule type="cellIs" dxfId="1191" priority="1195" operator="lessThan">
      <formula>0.8</formula>
    </cfRule>
  </conditionalFormatting>
  <conditionalFormatting sqref="Q96:Q105">
    <cfRule type="cellIs" dxfId="1190" priority="1186" operator="lessThan">
      <formula>0</formula>
    </cfRule>
  </conditionalFormatting>
  <conditionalFormatting sqref="R96:R105">
    <cfRule type="cellIs" dxfId="1189" priority="1190" operator="lessThan">
      <formula>0.8</formula>
    </cfRule>
    <cfRule type="cellIs" dxfId="1188" priority="1191" operator="greaterThan">
      <formula>1</formula>
    </cfRule>
  </conditionalFormatting>
  <conditionalFormatting sqref="R96:R105">
    <cfRule type="cellIs" dxfId="1187" priority="1188" operator="greaterThan">
      <formula>1</formula>
    </cfRule>
    <cfRule type="cellIs" dxfId="1186" priority="1189" operator="lessThan">
      <formula>0.8</formula>
    </cfRule>
  </conditionalFormatting>
  <conditionalFormatting sqref="P96:P105">
    <cfRule type="cellIs" dxfId="1185" priority="1187" operator="greaterThan">
      <formula>0</formula>
    </cfRule>
  </conditionalFormatting>
  <conditionalFormatting sqref="Q96:Q105">
    <cfRule type="cellIs" dxfId="1184" priority="1185" operator="lessThan">
      <formula>0</formula>
    </cfRule>
  </conditionalFormatting>
  <conditionalFormatting sqref="R96:R105">
    <cfRule type="cellIs" dxfId="1183" priority="1183" operator="lessThan">
      <formula>0.8</formula>
    </cfRule>
    <cfRule type="cellIs" dxfId="1182" priority="1184" operator="greaterThan">
      <formula>1</formula>
    </cfRule>
  </conditionalFormatting>
  <conditionalFormatting sqref="R96:R105">
    <cfRule type="cellIs" dxfId="1181" priority="1181" operator="greaterThan">
      <formula>1</formula>
    </cfRule>
    <cfRule type="cellIs" dxfId="1180" priority="1182" operator="lessThan">
      <formula>0.8</formula>
    </cfRule>
  </conditionalFormatting>
  <conditionalFormatting sqref="P96:P105">
    <cfRule type="cellIs" dxfId="1179" priority="1180" operator="greaterThan">
      <formula>0</formula>
    </cfRule>
  </conditionalFormatting>
  <conditionalFormatting sqref="Q96:Q105">
    <cfRule type="cellIs" dxfId="1178" priority="1179" operator="lessThan">
      <formula>0</formula>
    </cfRule>
  </conditionalFormatting>
  <conditionalFormatting sqref="R96:R105">
    <cfRule type="cellIs" dxfId="1177" priority="1177" operator="lessThan">
      <formula>0.8</formula>
    </cfRule>
    <cfRule type="cellIs" dxfId="1176" priority="1178" operator="greaterThan">
      <formula>1</formula>
    </cfRule>
  </conditionalFormatting>
  <conditionalFormatting sqref="R96:R105">
    <cfRule type="cellIs" dxfId="1175" priority="1175" operator="greaterThan">
      <formula>1</formula>
    </cfRule>
    <cfRule type="cellIs" dxfId="1174" priority="1176" operator="lessThan">
      <formula>0.8</formula>
    </cfRule>
  </conditionalFormatting>
  <conditionalFormatting sqref="P96:P105">
    <cfRule type="cellIs" dxfId="1173" priority="1174" operator="greaterThan">
      <formula>0</formula>
    </cfRule>
  </conditionalFormatting>
  <conditionalFormatting sqref="Q96:Q105">
    <cfRule type="cellIs" dxfId="1172" priority="1168" operator="lessThan">
      <formula>0</formula>
    </cfRule>
  </conditionalFormatting>
  <conditionalFormatting sqref="R96:R105">
    <cfRule type="cellIs" dxfId="1171" priority="1172" operator="lessThan">
      <formula>0.8</formula>
    </cfRule>
    <cfRule type="cellIs" dxfId="1170" priority="1173" operator="greaterThan">
      <formula>1</formula>
    </cfRule>
  </conditionalFormatting>
  <conditionalFormatting sqref="R96:R105">
    <cfRule type="cellIs" dxfId="1169" priority="1170" operator="greaterThan">
      <formula>1</formula>
    </cfRule>
    <cfRule type="cellIs" dxfId="1168" priority="1171" operator="lessThan">
      <formula>0.8</formula>
    </cfRule>
  </conditionalFormatting>
  <conditionalFormatting sqref="P96:P105">
    <cfRule type="cellIs" dxfId="1167" priority="1169" operator="greaterThan">
      <formula>0</formula>
    </cfRule>
  </conditionalFormatting>
  <conditionalFormatting sqref="Q96:Q105">
    <cfRule type="cellIs" dxfId="1166" priority="1167" operator="lessThan">
      <formula>0</formula>
    </cfRule>
  </conditionalFormatting>
  <conditionalFormatting sqref="R96:R105">
    <cfRule type="cellIs" dxfId="1165" priority="1165" operator="lessThan">
      <formula>0.8</formula>
    </cfRule>
    <cfRule type="cellIs" dxfId="1164" priority="1166" operator="greaterThan">
      <formula>1</formula>
    </cfRule>
  </conditionalFormatting>
  <conditionalFormatting sqref="R96:R105">
    <cfRule type="cellIs" dxfId="1163" priority="1163" operator="greaterThan">
      <formula>1</formula>
    </cfRule>
    <cfRule type="cellIs" dxfId="1162" priority="1164" operator="lessThan">
      <formula>0.8</formula>
    </cfRule>
  </conditionalFormatting>
  <conditionalFormatting sqref="P96:P105">
    <cfRule type="cellIs" dxfId="1161" priority="1162" operator="greaterThan">
      <formula>0</formula>
    </cfRule>
  </conditionalFormatting>
  <conditionalFormatting sqref="Q96:Q105">
    <cfRule type="cellIs" dxfId="1160" priority="1161" operator="lessThan">
      <formula>0</formula>
    </cfRule>
  </conditionalFormatting>
  <conditionalFormatting sqref="R96:R105">
    <cfRule type="cellIs" dxfId="1159" priority="1159" operator="lessThan">
      <formula>0.8</formula>
    </cfRule>
    <cfRule type="cellIs" dxfId="1158" priority="1160" operator="greaterThan">
      <formula>1</formula>
    </cfRule>
  </conditionalFormatting>
  <conditionalFormatting sqref="R96:R105">
    <cfRule type="cellIs" dxfId="1157" priority="1157" operator="greaterThan">
      <formula>1</formula>
    </cfRule>
    <cfRule type="cellIs" dxfId="1156" priority="1158" operator="lessThan">
      <formula>0.8</formula>
    </cfRule>
  </conditionalFormatting>
  <conditionalFormatting sqref="P96:P105">
    <cfRule type="cellIs" dxfId="1155" priority="1156" operator="greaterThan">
      <formula>0</formula>
    </cfRule>
  </conditionalFormatting>
  <conditionalFormatting sqref="Q96:Q105">
    <cfRule type="cellIs" dxfId="1154" priority="1155" operator="lessThan">
      <formula>0</formula>
    </cfRule>
  </conditionalFormatting>
  <conditionalFormatting sqref="R96:R105">
    <cfRule type="cellIs" dxfId="1153" priority="1153" operator="lessThan">
      <formula>0.8</formula>
    </cfRule>
    <cfRule type="cellIs" dxfId="1152" priority="1154" operator="greaterThan">
      <formula>1</formula>
    </cfRule>
  </conditionalFormatting>
  <conditionalFormatting sqref="R96:R105">
    <cfRule type="cellIs" dxfId="1151" priority="1151" operator="greaterThan">
      <formula>1</formula>
    </cfRule>
    <cfRule type="cellIs" dxfId="1150" priority="1152" operator="lessThan">
      <formula>0.8</formula>
    </cfRule>
  </conditionalFormatting>
  <conditionalFormatting sqref="P96:P105">
    <cfRule type="cellIs" dxfId="1149" priority="1150" operator="greaterThan">
      <formula>0</formula>
    </cfRule>
  </conditionalFormatting>
  <conditionalFormatting sqref="Q96:Q105">
    <cfRule type="cellIs" dxfId="1148" priority="1149" operator="lessThan">
      <formula>0</formula>
    </cfRule>
  </conditionalFormatting>
  <conditionalFormatting sqref="R96:R105">
    <cfRule type="cellIs" dxfId="1147" priority="1147" operator="lessThan">
      <formula>0.8</formula>
    </cfRule>
    <cfRule type="cellIs" dxfId="1146" priority="1148" operator="greaterThan">
      <formula>1</formula>
    </cfRule>
  </conditionalFormatting>
  <conditionalFormatting sqref="R96:R105">
    <cfRule type="cellIs" dxfId="1145" priority="1145" operator="greaterThan">
      <formula>1</formula>
    </cfRule>
    <cfRule type="cellIs" dxfId="1144" priority="1146" operator="lessThan">
      <formula>0.8</formula>
    </cfRule>
  </conditionalFormatting>
  <conditionalFormatting sqref="P96:P105">
    <cfRule type="cellIs" dxfId="1143" priority="1144" operator="greaterThan">
      <formula>0</formula>
    </cfRule>
  </conditionalFormatting>
  <conditionalFormatting sqref="Q96:Q105">
    <cfRule type="cellIs" dxfId="1142" priority="1143" operator="lessThan">
      <formula>0</formula>
    </cfRule>
  </conditionalFormatting>
  <conditionalFormatting sqref="R96:R105">
    <cfRule type="cellIs" dxfId="1141" priority="1141" operator="lessThan">
      <formula>0.8</formula>
    </cfRule>
    <cfRule type="cellIs" dxfId="1140" priority="1142" operator="greaterThan">
      <formula>1</formula>
    </cfRule>
  </conditionalFormatting>
  <conditionalFormatting sqref="R96:R105">
    <cfRule type="cellIs" dxfId="1139" priority="1139" operator="greaterThan">
      <formula>1</formula>
    </cfRule>
    <cfRule type="cellIs" dxfId="1138" priority="1140" operator="lessThan">
      <formula>0.8</formula>
    </cfRule>
  </conditionalFormatting>
  <conditionalFormatting sqref="P96:P105">
    <cfRule type="cellIs" dxfId="1137" priority="1138" operator="greaterThan">
      <formula>0</formula>
    </cfRule>
  </conditionalFormatting>
  <conditionalFormatting sqref="P96:P105">
    <cfRule type="cellIs" dxfId="1136" priority="1132" operator="greaterThan">
      <formula>0</formula>
    </cfRule>
  </conditionalFormatting>
  <conditionalFormatting sqref="Q96:Q105">
    <cfRule type="cellIs" dxfId="1135" priority="1137" operator="lessThan">
      <formula>0</formula>
    </cfRule>
  </conditionalFormatting>
  <conditionalFormatting sqref="R96:R105">
    <cfRule type="cellIs" dxfId="1134" priority="1135" operator="lessThan">
      <formula>0.8</formula>
    </cfRule>
    <cfRule type="cellIs" dxfId="1133" priority="1136" operator="greaterThan">
      <formula>1</formula>
    </cfRule>
  </conditionalFormatting>
  <conditionalFormatting sqref="R96:R105">
    <cfRule type="cellIs" dxfId="1132" priority="1133" operator="greaterThan">
      <formula>1</formula>
    </cfRule>
    <cfRule type="cellIs" dxfId="1131" priority="1134" operator="lessThan">
      <formula>0.8</formula>
    </cfRule>
  </conditionalFormatting>
  <conditionalFormatting sqref="P96:P105">
    <cfRule type="cellIs" dxfId="1130" priority="1126" operator="greaterThan">
      <formula>0</formula>
    </cfRule>
  </conditionalFormatting>
  <conditionalFormatting sqref="Q96:Q105">
    <cfRule type="cellIs" dxfId="1129" priority="1131" operator="lessThan">
      <formula>0</formula>
    </cfRule>
  </conditionalFormatting>
  <conditionalFormatting sqref="R96:R105">
    <cfRule type="cellIs" dxfId="1128" priority="1129" operator="lessThan">
      <formula>0.8</formula>
    </cfRule>
    <cfRule type="cellIs" dxfId="1127" priority="1130" operator="greaterThan">
      <formula>1</formula>
    </cfRule>
  </conditionalFormatting>
  <conditionalFormatting sqref="R96:R105">
    <cfRule type="cellIs" dxfId="1126" priority="1127" operator="greaterThan">
      <formula>1</formula>
    </cfRule>
    <cfRule type="cellIs" dxfId="1125" priority="1128" operator="lessThan">
      <formula>0.8</formula>
    </cfRule>
  </conditionalFormatting>
  <conditionalFormatting sqref="R96:R105">
    <cfRule type="cellIs" dxfId="1124" priority="1123" operator="lessThan">
      <formula>0.8</formula>
    </cfRule>
    <cfRule type="cellIs" dxfId="1123" priority="1124" operator="greaterThan">
      <formula>1</formula>
    </cfRule>
  </conditionalFormatting>
  <conditionalFormatting sqref="R96:R105">
    <cfRule type="cellIs" dxfId="1122" priority="1121" operator="greaterThan">
      <formula>1</formula>
    </cfRule>
    <cfRule type="cellIs" dxfId="1121" priority="1122" operator="lessThan">
      <formula>0.8</formula>
    </cfRule>
  </conditionalFormatting>
  <conditionalFormatting sqref="P96:P105">
    <cfRule type="cellIs" dxfId="1120" priority="1120" operator="greaterThan">
      <formula>0</formula>
    </cfRule>
  </conditionalFormatting>
  <conditionalFormatting sqref="Q96:Q105">
    <cfRule type="cellIs" dxfId="1119" priority="1125" operator="lessThan">
      <formula>0</formula>
    </cfRule>
  </conditionalFormatting>
  <conditionalFormatting sqref="Q96:Q105">
    <cfRule type="cellIs" dxfId="1118" priority="1114" operator="lessThan">
      <formula>0</formula>
    </cfRule>
  </conditionalFormatting>
  <conditionalFormatting sqref="P96:P105">
    <cfRule type="cellIs" dxfId="1117" priority="1115" operator="greaterThan">
      <formula>0</formula>
    </cfRule>
  </conditionalFormatting>
  <conditionalFormatting sqref="R96:R105">
    <cfRule type="cellIs" dxfId="1116" priority="1118" operator="lessThan">
      <formula>0.8</formula>
    </cfRule>
    <cfRule type="cellIs" dxfId="1115" priority="1119" operator="greaterThan">
      <formula>1</formula>
    </cfRule>
  </conditionalFormatting>
  <conditionalFormatting sqref="R96:R105">
    <cfRule type="cellIs" dxfId="1114" priority="1116" operator="greaterThan">
      <formula>1</formula>
    </cfRule>
    <cfRule type="cellIs" dxfId="1113" priority="1117" operator="lessThan">
      <formula>0.8</formula>
    </cfRule>
  </conditionalFormatting>
  <conditionalFormatting sqref="Q96:Q105">
    <cfRule type="cellIs" dxfId="1112" priority="1108" operator="lessThan">
      <formula>0</formula>
    </cfRule>
  </conditionalFormatting>
  <conditionalFormatting sqref="R96:R105">
    <cfRule type="cellIs" dxfId="1111" priority="1112" operator="lessThan">
      <formula>0.8</formula>
    </cfRule>
    <cfRule type="cellIs" dxfId="1110" priority="1113" operator="greaterThan">
      <formula>1</formula>
    </cfRule>
  </conditionalFormatting>
  <conditionalFormatting sqref="R96:R105">
    <cfRule type="cellIs" dxfId="1109" priority="1110" operator="greaterThan">
      <formula>1</formula>
    </cfRule>
    <cfRule type="cellIs" dxfId="1108" priority="1111" operator="lessThan">
      <formula>0.8</formula>
    </cfRule>
  </conditionalFormatting>
  <conditionalFormatting sqref="P96:P105">
    <cfRule type="cellIs" dxfId="1107" priority="1109" operator="greaterThan">
      <formula>0</formula>
    </cfRule>
  </conditionalFormatting>
  <conditionalFormatting sqref="Q96:Q105">
    <cfRule type="cellIs" dxfId="1106" priority="1107" operator="lessThan">
      <formula>0</formula>
    </cfRule>
  </conditionalFormatting>
  <conditionalFormatting sqref="R96:R105">
    <cfRule type="cellIs" dxfId="1105" priority="1105" operator="lessThan">
      <formula>0.8</formula>
    </cfRule>
    <cfRule type="cellIs" dxfId="1104" priority="1106" operator="greaterThan">
      <formula>1</formula>
    </cfRule>
  </conditionalFormatting>
  <conditionalFormatting sqref="R96:R105">
    <cfRule type="cellIs" dxfId="1103" priority="1103" operator="greaterThan">
      <formula>1</formula>
    </cfRule>
    <cfRule type="cellIs" dxfId="1102" priority="1104" operator="lessThan">
      <formula>0.8</formula>
    </cfRule>
  </conditionalFormatting>
  <conditionalFormatting sqref="P96:P105">
    <cfRule type="cellIs" dxfId="1101" priority="1102" operator="greaterThan">
      <formula>0</formula>
    </cfRule>
  </conditionalFormatting>
  <conditionalFormatting sqref="Q96:Q105">
    <cfRule type="cellIs" dxfId="1100" priority="1101" operator="lessThan">
      <formula>0</formula>
    </cfRule>
  </conditionalFormatting>
  <conditionalFormatting sqref="R96:R105">
    <cfRule type="cellIs" dxfId="1099" priority="1099" operator="lessThan">
      <formula>0.8</formula>
    </cfRule>
    <cfRule type="cellIs" dxfId="1098" priority="1100" operator="greaterThan">
      <formula>1</formula>
    </cfRule>
  </conditionalFormatting>
  <conditionalFormatting sqref="R96:R105">
    <cfRule type="cellIs" dxfId="1097" priority="1097" operator="greaterThan">
      <formula>1</formula>
    </cfRule>
    <cfRule type="cellIs" dxfId="1096" priority="1098" operator="lessThan">
      <formula>0.8</formula>
    </cfRule>
  </conditionalFormatting>
  <conditionalFormatting sqref="P96:P105">
    <cfRule type="cellIs" dxfId="1095" priority="1096" operator="greaterThan">
      <formula>0</formula>
    </cfRule>
  </conditionalFormatting>
  <conditionalFormatting sqref="Q96:Q105">
    <cfRule type="cellIs" dxfId="1094" priority="1090" operator="lessThan">
      <formula>0</formula>
    </cfRule>
  </conditionalFormatting>
  <conditionalFormatting sqref="P96:P105">
    <cfRule type="cellIs" dxfId="1093" priority="1091" operator="greaterThan">
      <formula>0</formula>
    </cfRule>
  </conditionalFormatting>
  <conditionalFormatting sqref="R96:R105">
    <cfRule type="cellIs" dxfId="1092" priority="1094" operator="lessThan">
      <formula>0.8</formula>
    </cfRule>
    <cfRule type="cellIs" dxfId="1091" priority="1095" operator="greaterThan">
      <formula>1</formula>
    </cfRule>
  </conditionalFormatting>
  <conditionalFormatting sqref="R96:R105">
    <cfRule type="cellIs" dxfId="1090" priority="1092" operator="greaterThan">
      <formula>1</formula>
    </cfRule>
    <cfRule type="cellIs" dxfId="1089" priority="1093" operator="lessThan">
      <formula>0.8</formula>
    </cfRule>
  </conditionalFormatting>
  <conditionalFormatting sqref="Q96:Q105">
    <cfRule type="cellIs" dxfId="1088" priority="1084" operator="lessThan">
      <formula>0</formula>
    </cfRule>
  </conditionalFormatting>
  <conditionalFormatting sqref="R96:R105">
    <cfRule type="cellIs" dxfId="1087" priority="1088" operator="lessThan">
      <formula>0.8</formula>
    </cfRule>
    <cfRule type="cellIs" dxfId="1086" priority="1089" operator="greaterThan">
      <formula>1</formula>
    </cfRule>
  </conditionalFormatting>
  <conditionalFormatting sqref="R96:R105">
    <cfRule type="cellIs" dxfId="1085" priority="1086" operator="greaterThan">
      <formula>1</formula>
    </cfRule>
    <cfRule type="cellIs" dxfId="1084" priority="1087" operator="lessThan">
      <formula>0.8</formula>
    </cfRule>
  </conditionalFormatting>
  <conditionalFormatting sqref="P96:P105">
    <cfRule type="cellIs" dxfId="1083" priority="1085" operator="greaterThan">
      <formula>0</formula>
    </cfRule>
  </conditionalFormatting>
  <conditionalFormatting sqref="Q96:Q105">
    <cfRule type="cellIs" dxfId="1082" priority="1083" operator="lessThan">
      <formula>0</formula>
    </cfRule>
  </conditionalFormatting>
  <conditionalFormatting sqref="R96:R105">
    <cfRule type="cellIs" dxfId="1081" priority="1081" operator="lessThan">
      <formula>0.8</formula>
    </cfRule>
    <cfRule type="cellIs" dxfId="1080" priority="1082" operator="greaterThan">
      <formula>1</formula>
    </cfRule>
  </conditionalFormatting>
  <conditionalFormatting sqref="R96:R105">
    <cfRule type="cellIs" dxfId="1079" priority="1079" operator="greaterThan">
      <formula>1</formula>
    </cfRule>
    <cfRule type="cellIs" dxfId="1078" priority="1080" operator="lessThan">
      <formula>0.8</formula>
    </cfRule>
  </conditionalFormatting>
  <conditionalFormatting sqref="P96:P105">
    <cfRule type="cellIs" dxfId="1077" priority="1078" operator="greaterThan">
      <formula>0</formula>
    </cfRule>
  </conditionalFormatting>
  <conditionalFormatting sqref="Q96:Q105">
    <cfRule type="cellIs" dxfId="1076" priority="1077" operator="lessThan">
      <formula>0</formula>
    </cfRule>
  </conditionalFormatting>
  <conditionalFormatting sqref="R96:R105">
    <cfRule type="cellIs" dxfId="1075" priority="1075" operator="lessThan">
      <formula>0.8</formula>
    </cfRule>
    <cfRule type="cellIs" dxfId="1074" priority="1076" operator="greaterThan">
      <formula>1</formula>
    </cfRule>
  </conditionalFormatting>
  <conditionalFormatting sqref="R96:R105">
    <cfRule type="cellIs" dxfId="1073" priority="1073" operator="greaterThan">
      <formula>1</formula>
    </cfRule>
    <cfRule type="cellIs" dxfId="1072" priority="1074" operator="lessThan">
      <formula>0.8</formula>
    </cfRule>
  </conditionalFormatting>
  <conditionalFormatting sqref="P96:P105">
    <cfRule type="cellIs" dxfId="1071" priority="1072" operator="greaterThan">
      <formula>0</formula>
    </cfRule>
  </conditionalFormatting>
  <conditionalFormatting sqref="P124 P131 P127">
    <cfRule type="cellIs" dxfId="1070" priority="1066" operator="greaterThan">
      <formula>0</formula>
    </cfRule>
  </conditionalFormatting>
  <conditionalFormatting sqref="Q124 Q131 Q127">
    <cfRule type="cellIs" dxfId="1069" priority="1071" operator="lessThan">
      <formula>0</formula>
    </cfRule>
  </conditionalFormatting>
  <conditionalFormatting sqref="R124 R131 R127">
    <cfRule type="cellIs" dxfId="1068" priority="1069" operator="lessThan">
      <formula>0.8</formula>
    </cfRule>
    <cfRule type="cellIs" dxfId="1067" priority="1070" operator="greaterThan">
      <formula>1</formula>
    </cfRule>
  </conditionalFormatting>
  <conditionalFormatting sqref="R124 R131 R127">
    <cfRule type="cellIs" dxfId="1066" priority="1067" operator="greaterThan">
      <formula>1</formula>
    </cfRule>
    <cfRule type="cellIs" dxfId="1065" priority="1068" operator="lessThan">
      <formula>0.8</formula>
    </cfRule>
  </conditionalFormatting>
  <conditionalFormatting sqref="Q124 Q131 Q127">
    <cfRule type="cellIs" dxfId="1064" priority="1065" operator="lessThan">
      <formula>0</formula>
    </cfRule>
  </conditionalFormatting>
  <conditionalFormatting sqref="R124 R131 R127">
    <cfRule type="cellIs" dxfId="1063" priority="1063" operator="lessThan">
      <formula>0.8</formula>
    </cfRule>
    <cfRule type="cellIs" dxfId="1062" priority="1064" operator="greaterThan">
      <formula>1</formula>
    </cfRule>
  </conditionalFormatting>
  <conditionalFormatting sqref="R124 R131 R127">
    <cfRule type="cellIs" dxfId="1061" priority="1061" operator="greaterThan">
      <formula>1</formula>
    </cfRule>
    <cfRule type="cellIs" dxfId="1060" priority="1062" operator="lessThan">
      <formula>0.8</formula>
    </cfRule>
  </conditionalFormatting>
  <conditionalFormatting sqref="P124 P131 P127">
    <cfRule type="cellIs" dxfId="1059" priority="1060" operator="greaterThan">
      <formula>0</formula>
    </cfRule>
  </conditionalFormatting>
  <conditionalFormatting sqref="Q123 Q125:Q126 Q128:Q130">
    <cfRule type="cellIs" dxfId="1058" priority="1059" operator="lessThan">
      <formula>0</formula>
    </cfRule>
  </conditionalFormatting>
  <conditionalFormatting sqref="R123 R125:R126 R128:R130">
    <cfRule type="cellIs" dxfId="1057" priority="1057" operator="lessThan">
      <formula>0.8</formula>
    </cfRule>
    <cfRule type="cellIs" dxfId="1056" priority="1058" operator="greaterThan">
      <formula>1</formula>
    </cfRule>
  </conditionalFormatting>
  <conditionalFormatting sqref="R123 R125:R126 R128:R130">
    <cfRule type="cellIs" dxfId="1055" priority="1055" operator="greaterThan">
      <formula>1</formula>
    </cfRule>
    <cfRule type="cellIs" dxfId="1054" priority="1056" operator="lessThan">
      <formula>0.8</formula>
    </cfRule>
  </conditionalFormatting>
  <conditionalFormatting sqref="P123 P125:P126 P128:P130">
    <cfRule type="cellIs" dxfId="1053" priority="1054" operator="greaterThan">
      <formula>0</formula>
    </cfRule>
  </conditionalFormatting>
  <conditionalFormatting sqref="P123 P125:P126 P128:P130">
    <cfRule type="cellIs" dxfId="1052" priority="1048" operator="greaterThan">
      <formula>0</formula>
    </cfRule>
  </conditionalFormatting>
  <conditionalFormatting sqref="Q123 Q125:Q126 Q128:Q130">
    <cfRule type="cellIs" dxfId="1051" priority="1053" operator="lessThan">
      <formula>0</formula>
    </cfRule>
  </conditionalFormatting>
  <conditionalFormatting sqref="R123 R125:R126 R128:R130">
    <cfRule type="cellIs" dxfId="1050" priority="1051" operator="lessThan">
      <formula>0.8</formula>
    </cfRule>
    <cfRule type="cellIs" dxfId="1049" priority="1052" operator="greaterThan">
      <formula>1</formula>
    </cfRule>
  </conditionalFormatting>
  <conditionalFormatting sqref="R123 R125:R126 R128:R130">
    <cfRule type="cellIs" dxfId="1048" priority="1049" operator="greaterThan">
      <formula>1</formula>
    </cfRule>
    <cfRule type="cellIs" dxfId="1047" priority="1050" operator="lessThan">
      <formula>0.8</formula>
    </cfRule>
  </conditionalFormatting>
  <conditionalFormatting sqref="P122">
    <cfRule type="cellIs" dxfId="1046" priority="1042" operator="greaterThan">
      <formula>0</formula>
    </cfRule>
  </conditionalFormatting>
  <conditionalFormatting sqref="Q122">
    <cfRule type="cellIs" dxfId="1045" priority="1047" operator="lessThan">
      <formula>0</formula>
    </cfRule>
  </conditionalFormatting>
  <conditionalFormatting sqref="R122">
    <cfRule type="cellIs" dxfId="1044" priority="1045" operator="lessThan">
      <formula>0.8</formula>
    </cfRule>
    <cfRule type="cellIs" dxfId="1043" priority="1046" operator="greaterThan">
      <formula>1</formula>
    </cfRule>
  </conditionalFormatting>
  <conditionalFormatting sqref="R122">
    <cfRule type="cellIs" dxfId="1042" priority="1043" operator="greaterThan">
      <formula>1</formula>
    </cfRule>
    <cfRule type="cellIs" dxfId="1041" priority="1044" operator="lessThan">
      <formula>0.8</formula>
    </cfRule>
  </conditionalFormatting>
  <conditionalFormatting sqref="Q109:Q116">
    <cfRule type="cellIs" dxfId="1040" priority="1041" operator="lessThan">
      <formula>0</formula>
    </cfRule>
  </conditionalFormatting>
  <conditionalFormatting sqref="R109:R116">
    <cfRule type="cellIs" dxfId="1039" priority="1039" operator="lessThan">
      <formula>0.8</formula>
    </cfRule>
    <cfRule type="cellIs" dxfId="1038" priority="1040" operator="greaterThan">
      <formula>1</formula>
    </cfRule>
  </conditionalFormatting>
  <conditionalFormatting sqref="R109:R116">
    <cfRule type="cellIs" dxfId="1037" priority="1037" operator="greaterThan">
      <formula>1</formula>
    </cfRule>
    <cfRule type="cellIs" dxfId="1036" priority="1038" operator="lessThan">
      <formula>0.8</formula>
    </cfRule>
  </conditionalFormatting>
  <conditionalFormatting sqref="P109:P116">
    <cfRule type="cellIs" dxfId="1035" priority="1036" operator="greaterThan">
      <formula>0</formula>
    </cfRule>
  </conditionalFormatting>
  <conditionalFormatting sqref="P137 P140 P143">
    <cfRule type="cellIs" dxfId="1034" priority="1035" operator="greaterThan">
      <formula>0</formula>
    </cfRule>
  </conditionalFormatting>
  <conditionalFormatting sqref="Q137 Q140 Q143">
    <cfRule type="cellIs" dxfId="1033" priority="1034" operator="lessThan">
      <formula>0</formula>
    </cfRule>
  </conditionalFormatting>
  <conditionalFormatting sqref="R137 R140 R143">
    <cfRule type="cellIs" dxfId="1032" priority="1032" operator="lessThan">
      <formula>0.8</formula>
    </cfRule>
    <cfRule type="cellIs" dxfId="1031" priority="1033" operator="greaterThan">
      <formula>1</formula>
    </cfRule>
  </conditionalFormatting>
  <conditionalFormatting sqref="R137 R140 R143">
    <cfRule type="cellIs" dxfId="1030" priority="1030" operator="greaterThan">
      <formula>1</formula>
    </cfRule>
    <cfRule type="cellIs" dxfId="1029" priority="1031" operator="lessThan">
      <formula>0.8</formula>
    </cfRule>
  </conditionalFormatting>
  <conditionalFormatting sqref="P137 P140 P143">
    <cfRule type="cellIs" dxfId="1028" priority="1029" operator="greaterThan">
      <formula>0</formula>
    </cfRule>
  </conditionalFormatting>
  <conditionalFormatting sqref="Q137 Q140 Q143">
    <cfRule type="cellIs" dxfId="1027" priority="1028" operator="lessThan">
      <formula>0</formula>
    </cfRule>
  </conditionalFormatting>
  <conditionalFormatting sqref="R137 R140 R143">
    <cfRule type="cellIs" dxfId="1026" priority="1026" operator="lessThan">
      <formula>0.8</formula>
    </cfRule>
    <cfRule type="cellIs" dxfId="1025" priority="1027" operator="greaterThan">
      <formula>1</formula>
    </cfRule>
  </conditionalFormatting>
  <conditionalFormatting sqref="R137 R140 R143">
    <cfRule type="cellIs" dxfId="1024" priority="1024" operator="greaterThan">
      <formula>1</formula>
    </cfRule>
    <cfRule type="cellIs" dxfId="1023" priority="1025" operator="lessThan">
      <formula>0.8</formula>
    </cfRule>
  </conditionalFormatting>
  <conditionalFormatting sqref="P137 P140 P143">
    <cfRule type="cellIs" dxfId="1022" priority="1023" operator="greaterThan">
      <formula>0</formula>
    </cfRule>
  </conditionalFormatting>
  <conditionalFormatting sqref="P137 P140 P143">
    <cfRule type="cellIs" dxfId="1021" priority="1017" operator="greaterThan">
      <formula>0</formula>
    </cfRule>
  </conditionalFormatting>
  <conditionalFormatting sqref="Q137 Q140 Q143">
    <cfRule type="cellIs" dxfId="1020" priority="1022" operator="lessThan">
      <formula>0</formula>
    </cfRule>
  </conditionalFormatting>
  <conditionalFormatting sqref="R137 R140 R143">
    <cfRule type="cellIs" dxfId="1019" priority="1020" operator="lessThan">
      <formula>0.8</formula>
    </cfRule>
    <cfRule type="cellIs" dxfId="1018" priority="1021" operator="greaterThan">
      <formula>1</formula>
    </cfRule>
  </conditionalFormatting>
  <conditionalFormatting sqref="R137 R140 R143">
    <cfRule type="cellIs" dxfId="1017" priority="1018" operator="greaterThan">
      <formula>1</formula>
    </cfRule>
    <cfRule type="cellIs" dxfId="1016" priority="1019" operator="lessThan">
      <formula>0.8</formula>
    </cfRule>
  </conditionalFormatting>
  <conditionalFormatting sqref="Q137 Q140 Q143">
    <cfRule type="cellIs" dxfId="1015" priority="1016" operator="lessThan">
      <formula>0</formula>
    </cfRule>
  </conditionalFormatting>
  <conditionalFormatting sqref="R137 R140 R143">
    <cfRule type="cellIs" dxfId="1014" priority="1014" operator="lessThan">
      <formula>0.8</formula>
    </cfRule>
    <cfRule type="cellIs" dxfId="1013" priority="1015" operator="greaterThan">
      <formula>1</formula>
    </cfRule>
  </conditionalFormatting>
  <conditionalFormatting sqref="R137 R140 R143">
    <cfRule type="cellIs" dxfId="1012" priority="1012" operator="greaterThan">
      <formula>1</formula>
    </cfRule>
    <cfRule type="cellIs" dxfId="1011" priority="1013" operator="lessThan">
      <formula>0.8</formula>
    </cfRule>
  </conditionalFormatting>
  <conditionalFormatting sqref="P137 P140 P143">
    <cfRule type="cellIs" dxfId="1010" priority="1011" operator="greaterThan">
      <formula>0</formula>
    </cfRule>
  </conditionalFormatting>
  <conditionalFormatting sqref="Q137 Q140 Q143">
    <cfRule type="cellIs" dxfId="1009" priority="1010" operator="lessThan">
      <formula>0</formula>
    </cfRule>
  </conditionalFormatting>
  <conditionalFormatting sqref="R137 R140 R143">
    <cfRule type="cellIs" dxfId="1008" priority="1008" operator="lessThan">
      <formula>0.8</formula>
    </cfRule>
    <cfRule type="cellIs" dxfId="1007" priority="1009" operator="greaterThan">
      <formula>1</formula>
    </cfRule>
  </conditionalFormatting>
  <conditionalFormatting sqref="R137 R140 R143">
    <cfRule type="cellIs" dxfId="1006" priority="1006" operator="greaterThan">
      <formula>1</formula>
    </cfRule>
    <cfRule type="cellIs" dxfId="1005" priority="1007" operator="lessThan">
      <formula>0.8</formula>
    </cfRule>
  </conditionalFormatting>
  <conditionalFormatting sqref="P137 P140 P143">
    <cfRule type="cellIs" dxfId="1004" priority="1005" operator="greaterThan">
      <formula>0</formula>
    </cfRule>
  </conditionalFormatting>
  <conditionalFormatting sqref="P137 P140 P143">
    <cfRule type="cellIs" dxfId="1003" priority="999" operator="greaterThan">
      <formula>0</formula>
    </cfRule>
  </conditionalFormatting>
  <conditionalFormatting sqref="Q137 Q140 Q143">
    <cfRule type="cellIs" dxfId="1002" priority="1004" operator="lessThan">
      <formula>0</formula>
    </cfRule>
  </conditionalFormatting>
  <conditionalFormatting sqref="R137 R140 R143">
    <cfRule type="cellIs" dxfId="1001" priority="1002" operator="lessThan">
      <formula>0.8</formula>
    </cfRule>
    <cfRule type="cellIs" dxfId="1000" priority="1003" operator="greaterThan">
      <formula>1</formula>
    </cfRule>
  </conditionalFormatting>
  <conditionalFormatting sqref="R137 R140 R143">
    <cfRule type="cellIs" dxfId="999" priority="1000" operator="greaterThan">
      <formula>1</formula>
    </cfRule>
    <cfRule type="cellIs" dxfId="998" priority="1001" operator="lessThan">
      <formula>0.8</formula>
    </cfRule>
  </conditionalFormatting>
  <conditionalFormatting sqref="Q137 Q140 Q143">
    <cfRule type="cellIs" dxfId="997" priority="998" operator="lessThan">
      <formula>0</formula>
    </cfRule>
  </conditionalFormatting>
  <conditionalFormatting sqref="R137 R140 R143">
    <cfRule type="cellIs" dxfId="996" priority="996" operator="lessThan">
      <formula>0.8</formula>
    </cfRule>
    <cfRule type="cellIs" dxfId="995" priority="997" operator="greaterThan">
      <formula>1</formula>
    </cfRule>
  </conditionalFormatting>
  <conditionalFormatting sqref="R137 R140 R143">
    <cfRule type="cellIs" dxfId="994" priority="994" operator="greaterThan">
      <formula>1</formula>
    </cfRule>
    <cfRule type="cellIs" dxfId="993" priority="995" operator="lessThan">
      <formula>0.8</formula>
    </cfRule>
  </conditionalFormatting>
  <conditionalFormatting sqref="P137 P140 P143">
    <cfRule type="cellIs" dxfId="992" priority="993" operator="greaterThan">
      <formula>0</formula>
    </cfRule>
  </conditionalFormatting>
  <conditionalFormatting sqref="Q137 Q140 Q143">
    <cfRule type="cellIs" dxfId="991" priority="992" operator="lessThan">
      <formula>0</formula>
    </cfRule>
  </conditionalFormatting>
  <conditionalFormatting sqref="R137 R140 R143">
    <cfRule type="cellIs" dxfId="990" priority="990" operator="lessThan">
      <formula>0.8</formula>
    </cfRule>
    <cfRule type="cellIs" dxfId="989" priority="991" operator="greaterThan">
      <formula>1</formula>
    </cfRule>
  </conditionalFormatting>
  <conditionalFormatting sqref="R137 R140 R143">
    <cfRule type="cellIs" dxfId="988" priority="988" operator="greaterThan">
      <formula>1</formula>
    </cfRule>
    <cfRule type="cellIs" dxfId="987" priority="989" operator="lessThan">
      <formula>0.8</formula>
    </cfRule>
  </conditionalFormatting>
  <conditionalFormatting sqref="P137 P140 P143">
    <cfRule type="cellIs" dxfId="986" priority="987" operator="greaterThan">
      <formula>0</formula>
    </cfRule>
  </conditionalFormatting>
  <conditionalFormatting sqref="P137 P140 P143">
    <cfRule type="cellIs" dxfId="985" priority="981" operator="greaterThan">
      <formula>0</formula>
    </cfRule>
  </conditionalFormatting>
  <conditionalFormatting sqref="Q137 Q140 Q143">
    <cfRule type="cellIs" dxfId="984" priority="986" operator="lessThan">
      <formula>0</formula>
    </cfRule>
  </conditionalFormatting>
  <conditionalFormatting sqref="R137 R140 R143">
    <cfRule type="cellIs" dxfId="983" priority="984" operator="lessThan">
      <formula>0.8</formula>
    </cfRule>
    <cfRule type="cellIs" dxfId="982" priority="985" operator="greaterThan">
      <formula>1</formula>
    </cfRule>
  </conditionalFormatting>
  <conditionalFormatting sqref="R137 R140 R143">
    <cfRule type="cellIs" dxfId="981" priority="982" operator="greaterThan">
      <formula>1</formula>
    </cfRule>
    <cfRule type="cellIs" dxfId="980" priority="983" operator="lessThan">
      <formula>0.8</formula>
    </cfRule>
  </conditionalFormatting>
  <conditionalFormatting sqref="Q137 Q140 Q143">
    <cfRule type="cellIs" dxfId="979" priority="980" operator="lessThan">
      <formula>0</formula>
    </cfRule>
  </conditionalFormatting>
  <conditionalFormatting sqref="R137 R140 R143">
    <cfRule type="cellIs" dxfId="978" priority="978" operator="lessThan">
      <formula>0.8</formula>
    </cfRule>
    <cfRule type="cellIs" dxfId="977" priority="979" operator="greaterThan">
      <formula>1</formula>
    </cfRule>
  </conditionalFormatting>
  <conditionalFormatting sqref="R137 R140 R143">
    <cfRule type="cellIs" dxfId="976" priority="976" operator="greaterThan">
      <formula>1</formula>
    </cfRule>
    <cfRule type="cellIs" dxfId="975" priority="977" operator="lessThan">
      <formula>0.8</formula>
    </cfRule>
  </conditionalFormatting>
  <conditionalFormatting sqref="P137 P140 P143">
    <cfRule type="cellIs" dxfId="974" priority="975" operator="greaterThan">
      <formula>0</formula>
    </cfRule>
  </conditionalFormatting>
  <conditionalFormatting sqref="P138 P144 P141">
    <cfRule type="cellIs" dxfId="973" priority="969" operator="greaterThan">
      <formula>0</formula>
    </cfRule>
  </conditionalFormatting>
  <conditionalFormatting sqref="Q138 Q144 Q141">
    <cfRule type="cellIs" dxfId="972" priority="974" operator="lessThan">
      <formula>0</formula>
    </cfRule>
  </conditionalFormatting>
  <conditionalFormatting sqref="R138 R144 R141">
    <cfRule type="cellIs" dxfId="971" priority="972" operator="lessThan">
      <formula>0.8</formula>
    </cfRule>
    <cfRule type="cellIs" dxfId="970" priority="973" operator="greaterThan">
      <formula>1</formula>
    </cfRule>
  </conditionalFormatting>
  <conditionalFormatting sqref="R138 R144 R141">
    <cfRule type="cellIs" dxfId="969" priority="970" operator="greaterThan">
      <formula>1</formula>
    </cfRule>
    <cfRule type="cellIs" dxfId="968" priority="971" operator="lessThan">
      <formula>0.8</formula>
    </cfRule>
  </conditionalFormatting>
  <conditionalFormatting sqref="Q138 Q144 Q141">
    <cfRule type="cellIs" dxfId="967" priority="968" operator="lessThan">
      <formula>0</formula>
    </cfRule>
  </conditionalFormatting>
  <conditionalFormatting sqref="R138 R144 R141">
    <cfRule type="cellIs" dxfId="966" priority="966" operator="lessThan">
      <formula>0.8</formula>
    </cfRule>
    <cfRule type="cellIs" dxfId="965" priority="967" operator="greaterThan">
      <formula>1</formula>
    </cfRule>
  </conditionalFormatting>
  <conditionalFormatting sqref="R138 R144 R141">
    <cfRule type="cellIs" dxfId="964" priority="964" operator="greaterThan">
      <formula>1</formula>
    </cfRule>
    <cfRule type="cellIs" dxfId="963" priority="965" operator="lessThan">
      <formula>0.8</formula>
    </cfRule>
  </conditionalFormatting>
  <conditionalFormatting sqref="P138 P144 P141">
    <cfRule type="cellIs" dxfId="962" priority="963" operator="greaterThan">
      <formula>0</formula>
    </cfRule>
  </conditionalFormatting>
  <conditionalFormatting sqref="Q138 Q144 Q141">
    <cfRule type="cellIs" dxfId="961" priority="962" operator="lessThan">
      <formula>0</formula>
    </cfRule>
  </conditionalFormatting>
  <conditionalFormatting sqref="R138 R144 R141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 R144 R141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4 P141">
    <cfRule type="cellIs" dxfId="956" priority="957" operator="greaterThan">
      <formula>0</formula>
    </cfRule>
  </conditionalFormatting>
  <conditionalFormatting sqref="Q138 Q144 Q141">
    <cfRule type="cellIs" dxfId="955" priority="956" operator="lessThan">
      <formula>0</formula>
    </cfRule>
  </conditionalFormatting>
  <conditionalFormatting sqref="R138 R144 R141">
    <cfRule type="cellIs" dxfId="954" priority="954" operator="lessThan">
      <formula>0.8</formula>
    </cfRule>
    <cfRule type="cellIs" dxfId="953" priority="955" operator="greaterThan">
      <formula>1</formula>
    </cfRule>
  </conditionalFormatting>
  <conditionalFormatting sqref="R138 R144 R141">
    <cfRule type="cellIs" dxfId="952" priority="952" operator="greaterThan">
      <formula>1</formula>
    </cfRule>
    <cfRule type="cellIs" dxfId="951" priority="953" operator="lessThan">
      <formula>0.8</formula>
    </cfRule>
  </conditionalFormatting>
  <conditionalFormatting sqref="P138 P144 P141">
    <cfRule type="cellIs" dxfId="950" priority="951" operator="greaterThan">
      <formula>0</formula>
    </cfRule>
  </conditionalFormatting>
  <conditionalFormatting sqref="Q138 Q144 Q141">
    <cfRule type="cellIs" dxfId="949" priority="950" operator="lessThan">
      <formula>0</formula>
    </cfRule>
  </conditionalFormatting>
  <conditionalFormatting sqref="R138 R144 R141">
    <cfRule type="cellIs" dxfId="948" priority="948" operator="lessThan">
      <formula>0.8</formula>
    </cfRule>
    <cfRule type="cellIs" dxfId="947" priority="949" operator="greaterThan">
      <formula>1</formula>
    </cfRule>
  </conditionalFormatting>
  <conditionalFormatting sqref="R138 R144 R141">
    <cfRule type="cellIs" dxfId="946" priority="946" operator="greaterThan">
      <formula>1</formula>
    </cfRule>
    <cfRule type="cellIs" dxfId="945" priority="947" operator="lessThan">
      <formula>0.8</formula>
    </cfRule>
  </conditionalFormatting>
  <conditionalFormatting sqref="Q138 Q144 Q141">
    <cfRule type="cellIs" dxfId="944" priority="945" operator="lessThan">
      <formula>0</formula>
    </cfRule>
  </conditionalFormatting>
  <conditionalFormatting sqref="R138 R144 R141">
    <cfRule type="cellIs" dxfId="943" priority="943" operator="lessThan">
      <formula>0.8</formula>
    </cfRule>
    <cfRule type="cellIs" dxfId="942" priority="944" operator="greaterThan">
      <formula>1</formula>
    </cfRule>
  </conditionalFormatting>
  <conditionalFormatting sqref="R138 R144 R141">
    <cfRule type="cellIs" dxfId="941" priority="941" operator="greaterThan">
      <formula>1</formula>
    </cfRule>
    <cfRule type="cellIs" dxfId="940" priority="942" operator="lessThan">
      <formula>0.8</formula>
    </cfRule>
  </conditionalFormatting>
  <conditionalFormatting sqref="P138 P144 P141">
    <cfRule type="cellIs" dxfId="939" priority="940" operator="greaterThan">
      <formula>0</formula>
    </cfRule>
  </conditionalFormatting>
  <conditionalFormatting sqref="P138 P144 P141">
    <cfRule type="cellIs" dxfId="938" priority="934" operator="greaterThan">
      <formula>0</formula>
    </cfRule>
  </conditionalFormatting>
  <conditionalFormatting sqref="Q138 Q144 Q141">
    <cfRule type="cellIs" dxfId="937" priority="939" operator="lessThan">
      <formula>0</formula>
    </cfRule>
  </conditionalFormatting>
  <conditionalFormatting sqref="R138 R144 R141">
    <cfRule type="cellIs" dxfId="936" priority="937" operator="lessThan">
      <formula>0.8</formula>
    </cfRule>
    <cfRule type="cellIs" dxfId="935" priority="938" operator="greaterThan">
      <formula>1</formula>
    </cfRule>
  </conditionalFormatting>
  <conditionalFormatting sqref="R138 R144 R141">
    <cfRule type="cellIs" dxfId="934" priority="935" operator="greaterThan">
      <formula>1</formula>
    </cfRule>
    <cfRule type="cellIs" dxfId="933" priority="936" operator="lessThan">
      <formula>0.8</formula>
    </cfRule>
  </conditionalFormatting>
  <conditionalFormatting sqref="Q138 Q144 Q141">
    <cfRule type="cellIs" dxfId="932" priority="933" operator="lessThan">
      <formula>0</formula>
    </cfRule>
  </conditionalFormatting>
  <conditionalFormatting sqref="R138 R144 R141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 R144 R141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4 P141">
    <cfRule type="cellIs" dxfId="927" priority="928" operator="greaterThan">
      <formula>0</formula>
    </cfRule>
  </conditionalFormatting>
  <conditionalFormatting sqref="Q148:Q153">
    <cfRule type="cellIs" dxfId="926" priority="927" operator="lessThan">
      <formula>0</formula>
    </cfRule>
  </conditionalFormatting>
  <conditionalFormatting sqref="R148:R153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3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3">
    <cfRule type="cellIs" dxfId="921" priority="922" operator="greaterThan">
      <formula>0</formula>
    </cfRule>
  </conditionalFormatting>
  <conditionalFormatting sqref="P148:P153">
    <cfRule type="cellIs" dxfId="920" priority="916" operator="greaterThan">
      <formula>0</formula>
    </cfRule>
  </conditionalFormatting>
  <conditionalFormatting sqref="Q148:Q153">
    <cfRule type="cellIs" dxfId="919" priority="921" operator="lessThan">
      <formula>0</formula>
    </cfRule>
  </conditionalFormatting>
  <conditionalFormatting sqref="R148:R153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3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3">
    <cfRule type="cellIs" dxfId="914" priority="915" operator="lessThan">
      <formula>0</formula>
    </cfRule>
  </conditionalFormatting>
  <conditionalFormatting sqref="R148:R153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3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3">
    <cfRule type="cellIs" dxfId="909" priority="910" operator="greaterThan">
      <formula>0</formula>
    </cfRule>
  </conditionalFormatting>
  <conditionalFormatting sqref="Q148:Q153">
    <cfRule type="cellIs" dxfId="908" priority="909" operator="lessThan">
      <formula>0</formula>
    </cfRule>
  </conditionalFormatting>
  <conditionalFormatting sqref="R148:R153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3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3">
    <cfRule type="cellIs" dxfId="903" priority="904" operator="greaterThan">
      <formula>0</formula>
    </cfRule>
  </conditionalFormatting>
  <conditionalFormatting sqref="P148:P153">
    <cfRule type="cellIs" dxfId="902" priority="898" operator="greaterThan">
      <formula>0</formula>
    </cfRule>
  </conditionalFormatting>
  <conditionalFormatting sqref="Q148:Q153">
    <cfRule type="cellIs" dxfId="901" priority="903" operator="lessThan">
      <formula>0</formula>
    </cfRule>
  </conditionalFormatting>
  <conditionalFormatting sqref="R148:R153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3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3">
    <cfRule type="cellIs" dxfId="896" priority="897" operator="lessThan">
      <formula>0</formula>
    </cfRule>
  </conditionalFormatting>
  <conditionalFormatting sqref="R148:R153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3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3">
    <cfRule type="cellIs" dxfId="891" priority="892" operator="greaterThan">
      <formula>0</formula>
    </cfRule>
  </conditionalFormatting>
  <conditionalFormatting sqref="Q148:Q153">
    <cfRule type="cellIs" dxfId="890" priority="886" operator="lessThan">
      <formula>0</formula>
    </cfRule>
  </conditionalFormatting>
  <conditionalFormatting sqref="P148:P153">
    <cfRule type="cellIs" dxfId="889" priority="887" operator="greaterThan">
      <formula>0</formula>
    </cfRule>
  </conditionalFormatting>
  <conditionalFormatting sqref="R148:R153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3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3">
    <cfRule type="cellIs" dxfId="884" priority="880" operator="lessThan">
      <formula>0</formula>
    </cfRule>
  </conditionalFormatting>
  <conditionalFormatting sqref="R148:R153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3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3">
    <cfRule type="cellIs" dxfId="879" priority="881" operator="greaterThan">
      <formula>0</formula>
    </cfRule>
  </conditionalFormatting>
  <conditionalFormatting sqref="Q148:Q153">
    <cfRule type="cellIs" dxfId="878" priority="879" operator="lessThan">
      <formula>0</formula>
    </cfRule>
  </conditionalFormatting>
  <conditionalFormatting sqref="R148:R153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3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3">
    <cfRule type="cellIs" dxfId="873" priority="874" operator="greaterThan">
      <formula>0</formula>
    </cfRule>
  </conditionalFormatting>
  <conditionalFormatting sqref="Q148:Q153">
    <cfRule type="cellIs" dxfId="872" priority="873" operator="lessThan">
      <formula>0</formula>
    </cfRule>
  </conditionalFormatting>
  <conditionalFormatting sqref="R148:R153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3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3">
    <cfRule type="cellIs" dxfId="867" priority="868" operator="greaterThan">
      <formula>0</formula>
    </cfRule>
  </conditionalFormatting>
  <conditionalFormatting sqref="Q148:Q153">
    <cfRule type="cellIs" dxfId="866" priority="867" operator="lessThan">
      <formula>0</formula>
    </cfRule>
  </conditionalFormatting>
  <conditionalFormatting sqref="R148:R153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3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3">
    <cfRule type="cellIs" dxfId="861" priority="862" operator="greaterThan">
      <formula>0</formula>
    </cfRule>
  </conditionalFormatting>
  <conditionalFormatting sqref="Q148:Q153">
    <cfRule type="cellIs" dxfId="860" priority="861" operator="lessThan">
      <formula>0</formula>
    </cfRule>
  </conditionalFormatting>
  <conditionalFormatting sqref="R148:R153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3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3">
    <cfRule type="cellIs" dxfId="855" priority="856" operator="greaterThan">
      <formula>0</formula>
    </cfRule>
  </conditionalFormatting>
  <conditionalFormatting sqref="Q148:Q153">
    <cfRule type="cellIs" dxfId="854" priority="855" operator="lessThan">
      <formula>0</formula>
    </cfRule>
  </conditionalFormatting>
  <conditionalFormatting sqref="R148:R153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3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3">
    <cfRule type="cellIs" dxfId="849" priority="850" operator="greaterThan">
      <formula>0</formula>
    </cfRule>
  </conditionalFormatting>
  <conditionalFormatting sqref="Q148:Q153">
    <cfRule type="cellIs" dxfId="848" priority="849" operator="lessThan">
      <formula>0</formula>
    </cfRule>
  </conditionalFormatting>
  <conditionalFormatting sqref="R148:R153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3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3">
    <cfRule type="cellIs" dxfId="843" priority="844" operator="greaterThan">
      <formula>0</formula>
    </cfRule>
  </conditionalFormatting>
  <conditionalFormatting sqref="Q148:Q153">
    <cfRule type="cellIs" dxfId="842" priority="843" operator="lessThan">
      <formula>0</formula>
    </cfRule>
  </conditionalFormatting>
  <conditionalFormatting sqref="R148:R153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3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3">
    <cfRule type="cellIs" dxfId="837" priority="838" operator="greaterThan">
      <formula>0</formula>
    </cfRule>
  </conditionalFormatting>
  <conditionalFormatting sqref="P148:P153">
    <cfRule type="cellIs" dxfId="836" priority="832" operator="greaterThan">
      <formula>0</formula>
    </cfRule>
  </conditionalFormatting>
  <conditionalFormatting sqref="Q148:Q153">
    <cfRule type="cellIs" dxfId="835" priority="837" operator="lessThan">
      <formula>0</formula>
    </cfRule>
  </conditionalFormatting>
  <conditionalFormatting sqref="R148:R153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3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3">
    <cfRule type="cellIs" dxfId="830" priority="826" operator="greaterThan">
      <formula>0</formula>
    </cfRule>
  </conditionalFormatting>
  <conditionalFormatting sqref="Q148:Q153">
    <cfRule type="cellIs" dxfId="829" priority="831" operator="lessThan">
      <formula>0</formula>
    </cfRule>
  </conditionalFormatting>
  <conditionalFormatting sqref="R148:R153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3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3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3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3">
    <cfRule type="cellIs" dxfId="820" priority="820" operator="greaterThan">
      <formula>0</formula>
    </cfRule>
  </conditionalFormatting>
  <conditionalFormatting sqref="Q148:Q153">
    <cfRule type="cellIs" dxfId="819" priority="825" operator="lessThan">
      <formula>0</formula>
    </cfRule>
  </conditionalFormatting>
  <conditionalFormatting sqref="Q148:Q153">
    <cfRule type="cellIs" dxfId="818" priority="819" operator="lessThan">
      <formula>0</formula>
    </cfRule>
  </conditionalFormatting>
  <conditionalFormatting sqref="R148:R153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3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3">
    <cfRule type="cellIs" dxfId="813" priority="814" operator="greaterThan">
      <formula>0</formula>
    </cfRule>
  </conditionalFormatting>
  <conditionalFormatting sqref="P148:P153">
    <cfRule type="cellIs" dxfId="812" priority="808" operator="greaterThan">
      <formula>0</formula>
    </cfRule>
  </conditionalFormatting>
  <conditionalFormatting sqref="Q148:Q153">
    <cfRule type="cellIs" dxfId="811" priority="813" operator="lessThan">
      <formula>0</formula>
    </cfRule>
  </conditionalFormatting>
  <conditionalFormatting sqref="R148:R153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3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3">
    <cfRule type="cellIs" dxfId="806" priority="802" operator="greaterThan">
      <formula>0</formula>
    </cfRule>
  </conditionalFormatting>
  <conditionalFormatting sqref="Q148:Q153">
    <cfRule type="cellIs" dxfId="805" priority="807" operator="lessThan">
      <formula>0</formula>
    </cfRule>
  </conditionalFormatting>
  <conditionalFormatting sqref="R148:R153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3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3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3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3">
    <cfRule type="cellIs" dxfId="796" priority="796" operator="greaterThan">
      <formula>0</formula>
    </cfRule>
  </conditionalFormatting>
  <conditionalFormatting sqref="Q148:Q153">
    <cfRule type="cellIs" dxfId="795" priority="801" operator="lessThan">
      <formula>0</formula>
    </cfRule>
  </conditionalFormatting>
  <conditionalFormatting sqref="P148:P153">
    <cfRule type="cellIs" dxfId="794" priority="790" operator="greaterThan">
      <formula>0</formula>
    </cfRule>
  </conditionalFormatting>
  <conditionalFormatting sqref="Q148:Q153">
    <cfRule type="cellIs" dxfId="793" priority="795" operator="lessThan">
      <formula>0</formula>
    </cfRule>
  </conditionalFormatting>
  <conditionalFormatting sqref="R148:R153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3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3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3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3">
    <cfRule type="cellIs" dxfId="784" priority="784" operator="greaterThan">
      <formula>0</formula>
    </cfRule>
  </conditionalFormatting>
  <conditionalFormatting sqref="Q148:Q153">
    <cfRule type="cellIs" dxfId="783" priority="789" operator="lessThan">
      <formula>0</formula>
    </cfRule>
  </conditionalFormatting>
  <conditionalFormatting sqref="R148:R153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3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3">
    <cfRule type="cellIs" dxfId="778" priority="778" operator="greaterThan">
      <formula>0</formula>
    </cfRule>
  </conditionalFormatting>
  <conditionalFormatting sqref="Q148:Q153">
    <cfRule type="cellIs" dxfId="777" priority="783" operator="lessThan">
      <formula>0</formula>
    </cfRule>
  </conditionalFormatting>
  <conditionalFormatting sqref="Q148:Q153">
    <cfRule type="cellIs" dxfId="776" priority="777" operator="lessThan">
      <formula>0</formula>
    </cfRule>
  </conditionalFormatting>
  <conditionalFormatting sqref="R148:R153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3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3">
    <cfRule type="cellIs" dxfId="771" priority="772" operator="greaterThan">
      <formula>0</formula>
    </cfRule>
  </conditionalFormatting>
  <conditionalFormatting sqref="Q148:Q153">
    <cfRule type="cellIs" dxfId="770" priority="766" operator="lessThan">
      <formula>0</formula>
    </cfRule>
  </conditionalFormatting>
  <conditionalFormatting sqref="R148:R153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3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3">
    <cfRule type="cellIs" dxfId="765" priority="767" operator="greaterThan">
      <formula>0</formula>
    </cfRule>
  </conditionalFormatting>
  <conditionalFormatting sqref="Q148:Q153">
    <cfRule type="cellIs" dxfId="764" priority="765" operator="lessThan">
      <formula>0</formula>
    </cfRule>
  </conditionalFormatting>
  <conditionalFormatting sqref="R148:R153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3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3">
    <cfRule type="cellIs" dxfId="759" priority="760" operator="greaterThan">
      <formula>0</formula>
    </cfRule>
  </conditionalFormatting>
  <conditionalFormatting sqref="Q148:Q153">
    <cfRule type="cellIs" dxfId="758" priority="759" operator="lessThan">
      <formula>0</formula>
    </cfRule>
  </conditionalFormatting>
  <conditionalFormatting sqref="R148:R153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3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3">
    <cfRule type="cellIs" dxfId="753" priority="754" operator="greaterThan">
      <formula>0</formula>
    </cfRule>
  </conditionalFormatting>
  <conditionalFormatting sqref="Q148:Q153">
    <cfRule type="cellIs" dxfId="752" priority="753" operator="lessThan">
      <formula>0</formula>
    </cfRule>
  </conditionalFormatting>
  <conditionalFormatting sqref="R148:R153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3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3">
    <cfRule type="cellIs" dxfId="747" priority="748" operator="greaterThan">
      <formula>0</formula>
    </cfRule>
  </conditionalFormatting>
  <conditionalFormatting sqref="Q148:Q153">
    <cfRule type="cellIs" dxfId="746" priority="747" operator="lessThan">
      <formula>0</formula>
    </cfRule>
  </conditionalFormatting>
  <conditionalFormatting sqref="R148:R153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3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3">
    <cfRule type="cellIs" dxfId="741" priority="742" operator="greaterThan">
      <formula>0</formula>
    </cfRule>
  </conditionalFormatting>
  <conditionalFormatting sqref="Q148:Q153">
    <cfRule type="cellIs" dxfId="740" priority="741" operator="lessThan">
      <formula>0</formula>
    </cfRule>
  </conditionalFormatting>
  <conditionalFormatting sqref="R148:R153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3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3">
    <cfRule type="cellIs" dxfId="735" priority="736" operator="greaterThan">
      <formula>0</formula>
    </cfRule>
  </conditionalFormatting>
  <conditionalFormatting sqref="P148:P153">
    <cfRule type="cellIs" dxfId="734" priority="730" operator="greaterThan">
      <formula>0</formula>
    </cfRule>
  </conditionalFormatting>
  <conditionalFormatting sqref="Q148:Q153">
    <cfRule type="cellIs" dxfId="733" priority="735" operator="lessThan">
      <formula>0</formula>
    </cfRule>
  </conditionalFormatting>
  <conditionalFormatting sqref="R148:R153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3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3">
    <cfRule type="cellIs" dxfId="728" priority="724" operator="greaterThan">
      <formula>0</formula>
    </cfRule>
  </conditionalFormatting>
  <conditionalFormatting sqref="Q148:Q153">
    <cfRule type="cellIs" dxfId="727" priority="729" operator="lessThan">
      <formula>0</formula>
    </cfRule>
  </conditionalFormatting>
  <conditionalFormatting sqref="R148:R153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3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3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3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3">
    <cfRule type="cellIs" dxfId="718" priority="718" operator="greaterThan">
      <formula>0</formula>
    </cfRule>
  </conditionalFormatting>
  <conditionalFormatting sqref="Q148:Q153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6">
    <cfRule type="cellIs" dxfId="74" priority="75" operator="lessThan">
      <formula>0</formula>
    </cfRule>
  </conditionalFormatting>
  <conditionalFormatting sqref="R162:R166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6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6">
    <cfRule type="cellIs" dxfId="69" priority="70" operator="greaterThan">
      <formula>0</formula>
    </cfRule>
  </conditionalFormatting>
  <conditionalFormatting sqref="P167:P168">
    <cfRule type="cellIs" dxfId="68" priority="64" operator="greaterThan">
      <formula>0</formula>
    </cfRule>
  </conditionalFormatting>
  <conditionalFormatting sqref="R167: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7: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7: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6">
    <cfRule type="cellIs" dxfId="56" priority="57" operator="lessThan">
      <formula>0</formula>
    </cfRule>
  </conditionalFormatting>
  <conditionalFormatting sqref="R162:R166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6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6">
    <cfRule type="cellIs" dxfId="51" priority="52" operator="greaterThan">
      <formula>0</formula>
    </cfRule>
  </conditionalFormatting>
  <conditionalFormatting sqref="Q162:Q166">
    <cfRule type="cellIs" dxfId="50" priority="51" operator="lessThan">
      <formula>0</formula>
    </cfRule>
  </conditionalFormatting>
  <conditionalFormatting sqref="R162:R166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6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6">
    <cfRule type="cellIs" dxfId="45" priority="46" operator="greaterThan">
      <formula>0</formula>
    </cfRule>
  </conditionalFormatting>
  <conditionalFormatting sqref="Q167:Q168">
    <cfRule type="cellIs" dxfId="44" priority="45" operator="lessThan">
      <formula>0</formula>
    </cfRule>
  </conditionalFormatting>
  <conditionalFormatting sqref="R167: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7: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7: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6">
    <cfRule type="cellIs" dxfId="32" priority="33" operator="lessThan">
      <formula>0</formula>
    </cfRule>
  </conditionalFormatting>
  <conditionalFormatting sqref="R162:R166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6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6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6">
    <cfRule type="cellIs" dxfId="20" priority="21" operator="lessThan">
      <formula>0</formula>
    </cfRule>
  </conditionalFormatting>
  <conditionalFormatting sqref="R162:R166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6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6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7:P168">
    <cfRule type="cellIs" dxfId="8" priority="4" operator="greaterThan">
      <formula>0</formula>
    </cfRule>
  </conditionalFormatting>
  <conditionalFormatting sqref="R167: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7: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7: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8CB10-215D-456F-849D-232CCAD212E9}"/>
</file>

<file path=customXml/itemProps2.xml><?xml version="1.0" encoding="utf-8"?>
<ds:datastoreItem xmlns:ds="http://schemas.openxmlformats.org/officeDocument/2006/customXml" ds:itemID="{FBEF60C9-DDB4-4DBE-8F15-335781D9AE96}"/>
</file>

<file path=customXml/itemProps3.xml><?xml version="1.0" encoding="utf-8"?>
<ds:datastoreItem xmlns:ds="http://schemas.openxmlformats.org/officeDocument/2006/customXml" ds:itemID="{737CE7B8-D618-46FF-A16A-17A301A69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0303</vt:lpstr>
      <vt:lpstr>晉欣18度C0303</vt:lpstr>
      <vt:lpstr>晉欣4度C0303</vt:lpstr>
      <vt:lpstr>0304</vt:lpstr>
      <vt:lpstr>晉欣18度C0304</vt:lpstr>
      <vt:lpstr>晉欣4度C0304</vt:lpstr>
      <vt:lpstr>0305</vt:lpstr>
      <vt:lpstr>晉欣18度C0305</vt:lpstr>
      <vt:lpstr>晉欣4度C0305</vt:lpstr>
      <vt:lpstr>0306</vt:lpstr>
      <vt:lpstr>晉欣18度C0306</vt:lpstr>
      <vt:lpstr>晉欣4度C0306</vt:lpstr>
      <vt:lpstr>0307</vt:lpstr>
      <vt:lpstr>晉欣18度C0307</vt:lpstr>
      <vt:lpstr>晉欣4度C0307</vt:lpstr>
      <vt:lpstr>0308</vt:lpstr>
      <vt:lpstr>晉欣18度C0308</vt:lpstr>
      <vt:lpstr>晉欣4度C0308</vt:lpstr>
      <vt:lpstr>0309</vt:lpstr>
      <vt:lpstr>晉欣18度C0309</vt:lpstr>
      <vt:lpstr>晉欣4度C0309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2026-03-11T09:32:05Z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