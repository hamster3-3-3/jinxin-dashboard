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1520" windowHeight="9216" tabRatio="881" activeTab="11"/>
  </bookViews>
  <sheets>
    <sheet name="0501" sheetId="200" r:id="rId1"/>
    <sheet name="晉欣18度C0501" sheetId="208" r:id="rId2"/>
    <sheet name="晉欣4度C0501" sheetId="203" r:id="rId3"/>
    <sheet name="0502" sheetId="206" r:id="rId4"/>
    <sheet name="晉欣18度C0502" sheetId="209" r:id="rId5"/>
    <sheet name="晉欣4度C0502" sheetId="204" r:id="rId6"/>
    <sheet name="0503" sheetId="207" r:id="rId7"/>
    <sheet name="晉欣18度C0503" sheetId="210" r:id="rId8"/>
    <sheet name="晉欣4度C0503" sheetId="205" r:id="rId9"/>
    <sheet name="0504" sheetId="211" r:id="rId10"/>
    <sheet name="晉欣18度C0504" sheetId="213" r:id="rId11"/>
    <sheet name="晉欣4度C0504" sheetId="212" r:id="rId12"/>
  </sheets>
  <definedNames>
    <definedName name="_xlnm._FilterDatabase" localSheetId="0" hidden="1">'0501'!$B$10:$Q$25</definedName>
    <definedName name="_xlnm._FilterDatabase" localSheetId="3" hidden="1">'0502'!$B$10:$Q$25</definedName>
    <definedName name="_xlnm._FilterDatabase" localSheetId="6" hidden="1">'0503'!$B$10:$Q$25</definedName>
    <definedName name="_xlnm._FilterDatabase" localSheetId="9" hidden="1">'0504'!$B$10:$Q$25</definedName>
    <definedName name="_xlnm._FilterDatabase" localSheetId="1" hidden="1">晉欣18度C0501!$A$4:$R$124</definedName>
    <definedName name="_xlnm._FilterDatabase" localSheetId="4" hidden="1">晉欣18度C0502!$A$4:$R$124</definedName>
    <definedName name="_xlnm._FilterDatabase" localSheetId="7" hidden="1">晉欣18度C0503!$A$4:$R$124</definedName>
    <definedName name="_xlnm._FilterDatabase" localSheetId="10" hidden="1">晉欣18度C0504!$A$4:$R$124</definedName>
    <definedName name="_xlnm._FilterDatabase" localSheetId="2" hidden="1">晉欣4度C0501!$A$4:$AJ$173</definedName>
    <definedName name="_xlnm._FilterDatabase" localSheetId="5" hidden="1">晉欣4度C0502!$A$4:$AJ$173</definedName>
    <definedName name="_xlnm._FilterDatabase" localSheetId="8" hidden="1">晉欣4度C0503!$A$4:$AJ$173</definedName>
    <definedName name="_xlnm._FilterDatabase" localSheetId="11" hidden="1">晉欣4度C0504!$A$4:$AJ$173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213" l="1"/>
  <c r="H123" i="213"/>
  <c r="H122" i="213"/>
  <c r="H121" i="213"/>
  <c r="H120" i="213"/>
  <c r="H119" i="213"/>
  <c r="P118" i="213"/>
  <c r="K118" i="213" s="1"/>
  <c r="L118" i="213" s="1"/>
  <c r="H118" i="213"/>
  <c r="P117" i="213"/>
  <c r="K117" i="213"/>
  <c r="L117" i="213" s="1"/>
  <c r="H117" i="213"/>
  <c r="P116" i="213"/>
  <c r="K116" i="213" s="1"/>
  <c r="L116" i="213" s="1"/>
  <c r="H116" i="213"/>
  <c r="P115" i="213"/>
  <c r="K115" i="213"/>
  <c r="L115" i="213" s="1"/>
  <c r="H115" i="213"/>
  <c r="P114" i="213"/>
  <c r="K114" i="213" s="1"/>
  <c r="L114" i="213" s="1"/>
  <c r="H114" i="213"/>
  <c r="P113" i="213"/>
  <c r="K113" i="213"/>
  <c r="L113" i="213" s="1"/>
  <c r="H113" i="213"/>
  <c r="P112" i="213"/>
  <c r="K112" i="213" s="1"/>
  <c r="H112" i="213"/>
  <c r="J111" i="213"/>
  <c r="H110" i="213"/>
  <c r="H109" i="213"/>
  <c r="H108" i="213"/>
  <c r="H107" i="213"/>
  <c r="H106" i="213"/>
  <c r="P105" i="213"/>
  <c r="K105" i="213" s="1"/>
  <c r="L105" i="213" s="1"/>
  <c r="H105" i="213"/>
  <c r="P104" i="213"/>
  <c r="K104" i="213"/>
  <c r="L104" i="213" s="1"/>
  <c r="H104" i="213"/>
  <c r="P103" i="213"/>
  <c r="K103" i="213" s="1"/>
  <c r="L103" i="213" s="1"/>
  <c r="H103" i="213"/>
  <c r="P102" i="213"/>
  <c r="K102" i="213"/>
  <c r="L102" i="213" s="1"/>
  <c r="H102" i="213"/>
  <c r="P101" i="213"/>
  <c r="K101" i="213" s="1"/>
  <c r="H101" i="213"/>
  <c r="J100" i="213"/>
  <c r="H99" i="213"/>
  <c r="H98" i="213"/>
  <c r="H97" i="213"/>
  <c r="H96" i="213"/>
  <c r="H95" i="213"/>
  <c r="H94" i="213"/>
  <c r="P93" i="213"/>
  <c r="K93" i="213" s="1"/>
  <c r="L93" i="213" s="1"/>
  <c r="H93" i="213"/>
  <c r="P92" i="213"/>
  <c r="K92" i="213"/>
  <c r="K100" i="213" s="1"/>
  <c r="H92" i="213"/>
  <c r="J91" i="213"/>
  <c r="H90" i="213"/>
  <c r="H89" i="213"/>
  <c r="H88" i="213"/>
  <c r="H87" i="213"/>
  <c r="H86" i="213"/>
  <c r="H85" i="213"/>
  <c r="H84" i="213"/>
  <c r="H83" i="213"/>
  <c r="P82" i="213"/>
  <c r="K82" i="213" s="1"/>
  <c r="H82" i="213"/>
  <c r="L81" i="213"/>
  <c r="K81" i="213"/>
  <c r="J81" i="213"/>
  <c r="H80" i="213"/>
  <c r="H79" i="213"/>
  <c r="H78" i="213"/>
  <c r="H77" i="213"/>
  <c r="H76" i="213"/>
  <c r="J75" i="213"/>
  <c r="H74" i="213"/>
  <c r="H73" i="213"/>
  <c r="H72" i="213"/>
  <c r="P71" i="213"/>
  <c r="K71" i="213"/>
  <c r="L71" i="213" s="1"/>
  <c r="H71" i="213"/>
  <c r="P70" i="213"/>
  <c r="K70" i="213" s="1"/>
  <c r="L70" i="213" s="1"/>
  <c r="H70" i="213"/>
  <c r="P69" i="213"/>
  <c r="K69" i="213"/>
  <c r="L69" i="213" s="1"/>
  <c r="H69" i="213"/>
  <c r="P68" i="213"/>
  <c r="K68" i="213" s="1"/>
  <c r="L68" i="213" s="1"/>
  <c r="H68" i="213"/>
  <c r="P67" i="213"/>
  <c r="K67" i="213"/>
  <c r="L67" i="213" s="1"/>
  <c r="H67" i="213"/>
  <c r="P66" i="213"/>
  <c r="K66" i="213" s="1"/>
  <c r="L66" i="213" s="1"/>
  <c r="H66" i="213"/>
  <c r="P65" i="213"/>
  <c r="K65" i="213"/>
  <c r="K75" i="213" s="1"/>
  <c r="H65" i="213"/>
  <c r="J64" i="213"/>
  <c r="H63" i="213"/>
  <c r="H62" i="213"/>
  <c r="H61" i="213"/>
  <c r="H60" i="213"/>
  <c r="H59" i="213"/>
  <c r="H58" i="213"/>
  <c r="P57" i="213"/>
  <c r="L57" i="213"/>
  <c r="K57" i="213"/>
  <c r="H57" i="213"/>
  <c r="P56" i="213"/>
  <c r="K56" i="213" s="1"/>
  <c r="L56" i="213" s="1"/>
  <c r="H56" i="213"/>
  <c r="P55" i="213"/>
  <c r="L55" i="213"/>
  <c r="K55" i="213"/>
  <c r="H55" i="213"/>
  <c r="P54" i="213"/>
  <c r="K54" i="213" s="1"/>
  <c r="L54" i="213" s="1"/>
  <c r="H54" i="213"/>
  <c r="P53" i="213"/>
  <c r="L53" i="213"/>
  <c r="K53" i="213"/>
  <c r="H53" i="213"/>
  <c r="P52" i="213"/>
  <c r="K52" i="213" s="1"/>
  <c r="H52" i="213"/>
  <c r="H50" i="213"/>
  <c r="H49" i="213"/>
  <c r="H47" i="213"/>
  <c r="H46" i="213"/>
  <c r="H45" i="213"/>
  <c r="H44" i="213"/>
  <c r="H43" i="213"/>
  <c r="H42" i="213"/>
  <c r="H41" i="213"/>
  <c r="H40" i="213"/>
  <c r="H39" i="213"/>
  <c r="J38" i="213"/>
  <c r="H37" i="213"/>
  <c r="H36" i="213"/>
  <c r="H35" i="213"/>
  <c r="H34" i="213"/>
  <c r="H33" i="213"/>
  <c r="H32" i="213"/>
  <c r="H31" i="213"/>
  <c r="H30" i="213"/>
  <c r="H29" i="213"/>
  <c r="H28" i="213"/>
  <c r="P27" i="213"/>
  <c r="K27" i="213" s="1"/>
  <c r="L27" i="213" s="1"/>
  <c r="H27" i="213"/>
  <c r="P26" i="213"/>
  <c r="K26" i="213"/>
  <c r="L26" i="213" s="1"/>
  <c r="H26" i="213"/>
  <c r="P25" i="213"/>
  <c r="K25" i="213" s="1"/>
  <c r="H25" i="213"/>
  <c r="J24" i="213"/>
  <c r="H23" i="213"/>
  <c r="H22" i="213"/>
  <c r="H21" i="213"/>
  <c r="H20" i="213"/>
  <c r="H19" i="213"/>
  <c r="P18" i="213"/>
  <c r="K18" i="213" s="1"/>
  <c r="L18" i="213" s="1"/>
  <c r="H18" i="213"/>
  <c r="P17" i="213"/>
  <c r="K17" i="213"/>
  <c r="K24" i="213" s="1"/>
  <c r="H17" i="213"/>
  <c r="J16" i="213"/>
  <c r="H15" i="213"/>
  <c r="H14" i="213"/>
  <c r="H13" i="213"/>
  <c r="H12" i="213"/>
  <c r="P11" i="213"/>
  <c r="K11" i="213" s="1"/>
  <c r="L11" i="213" s="1"/>
  <c r="H11" i="213"/>
  <c r="P10" i="213"/>
  <c r="K10" i="213"/>
  <c r="L10" i="213" s="1"/>
  <c r="H10" i="213"/>
  <c r="P9" i="213"/>
  <c r="K9" i="213" s="1"/>
  <c r="L9" i="213" s="1"/>
  <c r="H9" i="213"/>
  <c r="P8" i="213"/>
  <c r="K8" i="213"/>
  <c r="L8" i="213" s="1"/>
  <c r="H8" i="213"/>
  <c r="P7" i="213"/>
  <c r="K7" i="213" s="1"/>
  <c r="L7" i="213" s="1"/>
  <c r="H7" i="213"/>
  <c r="P6" i="213"/>
  <c r="K6" i="213"/>
  <c r="L6" i="213" s="1"/>
  <c r="H6" i="213"/>
  <c r="P5" i="213"/>
  <c r="K5" i="213" s="1"/>
  <c r="H5" i="213"/>
  <c r="I2" i="213"/>
  <c r="I1" i="213"/>
  <c r="E1" i="213"/>
  <c r="K16" i="213" l="1"/>
  <c r="L5" i="213"/>
  <c r="L16" i="213" s="1"/>
  <c r="L112" i="213"/>
  <c r="L124" i="213" s="1"/>
  <c r="K124" i="213"/>
  <c r="L25" i="213"/>
  <c r="L38" i="213" s="1"/>
  <c r="K38" i="213"/>
  <c r="G1" i="213"/>
  <c r="G2" i="213" s="1"/>
  <c r="K64" i="213"/>
  <c r="L52" i="213"/>
  <c r="L64" i="213" s="1"/>
  <c r="L82" i="213"/>
  <c r="L91" i="213" s="1"/>
  <c r="K91" i="213"/>
  <c r="L101" i="213"/>
  <c r="L111" i="213" s="1"/>
  <c r="K111" i="213"/>
  <c r="L17" i="213"/>
  <c r="L24" i="213" s="1"/>
  <c r="L92" i="213"/>
  <c r="L100" i="213" s="1"/>
  <c r="L65" i="213"/>
  <c r="L75" i="213" s="1"/>
  <c r="E2" i="213" l="1"/>
  <c r="AE173" i="212" l="1"/>
  <c r="AD173" i="212"/>
  <c r="AA173" i="212"/>
  <c r="Z173" i="212"/>
  <c r="M173" i="212"/>
  <c r="W172" i="212"/>
  <c r="H172" i="212"/>
  <c r="W171" i="212"/>
  <c r="H171" i="212"/>
  <c r="AG170" i="212"/>
  <c r="AF170" i="212"/>
  <c r="W170" i="212"/>
  <c r="H170" i="212"/>
  <c r="AG169" i="212"/>
  <c r="AF169" i="212"/>
  <c r="W169" i="212"/>
  <c r="H169" i="212"/>
  <c r="AG168" i="212"/>
  <c r="AF168" i="212"/>
  <c r="W168" i="212"/>
  <c r="H168" i="212"/>
  <c r="AG167" i="212"/>
  <c r="AF167" i="212"/>
  <c r="W167" i="212"/>
  <c r="AG166" i="212"/>
  <c r="W166" i="212"/>
  <c r="N166" i="212"/>
  <c r="AF166" i="212" s="1"/>
  <c r="P166" i="212"/>
  <c r="H166" i="212"/>
  <c r="W165" i="212"/>
  <c r="N165" i="212" s="1"/>
  <c r="H165" i="212"/>
  <c r="AG164" i="212"/>
  <c r="W164" i="212"/>
  <c r="N164" i="212"/>
  <c r="O164" i="212" s="1"/>
  <c r="AF164" i="212"/>
  <c r="P164" i="212"/>
  <c r="H164" i="212"/>
  <c r="W163" i="212"/>
  <c r="N163" i="212" s="1"/>
  <c r="P163" i="212"/>
  <c r="H163" i="212"/>
  <c r="AG162" i="212"/>
  <c r="W162" i="212"/>
  <c r="N162" i="212"/>
  <c r="AF162" i="212" s="1"/>
  <c r="P162" i="212"/>
  <c r="H162" i="212"/>
  <c r="W161" i="212"/>
  <c r="N161" i="212" s="1"/>
  <c r="P161" i="212"/>
  <c r="H161" i="212"/>
  <c r="AE160" i="212"/>
  <c r="AD160" i="212"/>
  <c r="AA160" i="212"/>
  <c r="Z160" i="212"/>
  <c r="M160" i="212"/>
  <c r="W159" i="212"/>
  <c r="H159" i="212"/>
  <c r="W158" i="212"/>
  <c r="H158" i="212"/>
  <c r="W157" i="212"/>
  <c r="H157" i="212"/>
  <c r="W156" i="212"/>
  <c r="H156" i="212"/>
  <c r="W155" i="212"/>
  <c r="H155" i="212"/>
  <c r="AG154" i="212"/>
  <c r="AF154" i="212"/>
  <c r="W154" i="212"/>
  <c r="H154" i="212"/>
  <c r="W153" i="212"/>
  <c r="N153" i="212" s="1"/>
  <c r="P153" i="212"/>
  <c r="H153" i="212"/>
  <c r="W152" i="212"/>
  <c r="N152" i="212"/>
  <c r="AG152" i="212" s="1"/>
  <c r="H152" i="212"/>
  <c r="W151" i="212"/>
  <c r="P151" i="212"/>
  <c r="N151" i="212"/>
  <c r="O151" i="212" s="1"/>
  <c r="AF151" i="212"/>
  <c r="H151" i="212"/>
  <c r="W150" i="212"/>
  <c r="N150" i="212"/>
  <c r="AG150" i="212" s="1"/>
  <c r="P150" i="212"/>
  <c r="H150" i="212"/>
  <c r="W149" i="212"/>
  <c r="P149" i="212"/>
  <c r="N149" i="212"/>
  <c r="O149" i="212" s="1"/>
  <c r="AF149" i="212"/>
  <c r="H149" i="212"/>
  <c r="W148" i="212"/>
  <c r="N148" i="212" s="1"/>
  <c r="P148" i="212"/>
  <c r="H148" i="212"/>
  <c r="AE147" i="212"/>
  <c r="AD147" i="212"/>
  <c r="AA147" i="212"/>
  <c r="Z147" i="212"/>
  <c r="W147" i="212"/>
  <c r="M147" i="212"/>
  <c r="P147" i="212" s="1"/>
  <c r="W146" i="212"/>
  <c r="H146" i="212"/>
  <c r="AG145" i="212"/>
  <c r="AF145" i="212"/>
  <c r="W145" i="212"/>
  <c r="H145" i="212"/>
  <c r="AG144" i="212"/>
  <c r="W144" i="212"/>
  <c r="P144" i="212"/>
  <c r="N144" i="212"/>
  <c r="AF144" i="212" s="1"/>
  <c r="H144" i="212"/>
  <c r="W143" i="212"/>
  <c r="N143" i="212" s="1"/>
  <c r="P143" i="212"/>
  <c r="H143" i="212"/>
  <c r="AG142" i="212"/>
  <c r="W142" i="212"/>
  <c r="P142" i="212"/>
  <c r="N142" i="212"/>
  <c r="AF142" i="212" s="1"/>
  <c r="H142" i="212"/>
  <c r="W141" i="212"/>
  <c r="N141" i="212" s="1"/>
  <c r="P141" i="212"/>
  <c r="H141" i="212"/>
  <c r="W140" i="212"/>
  <c r="P140" i="212"/>
  <c r="N140" i="212"/>
  <c r="AG140" i="212" s="1"/>
  <c r="H140" i="212"/>
  <c r="W139" i="212"/>
  <c r="N139" i="212" s="1"/>
  <c r="P139" i="212"/>
  <c r="H139" i="212"/>
  <c r="W138" i="212"/>
  <c r="P138" i="212"/>
  <c r="N138" i="212"/>
  <c r="AG138" i="212" s="1"/>
  <c r="H138" i="212"/>
  <c r="W137" i="212"/>
  <c r="N137" i="212" s="1"/>
  <c r="P137" i="212"/>
  <c r="H137" i="212"/>
  <c r="W136" i="212"/>
  <c r="P136" i="212"/>
  <c r="N136" i="212"/>
  <c r="AG136" i="212" s="1"/>
  <c r="H136" i="212"/>
  <c r="W135" i="212"/>
  <c r="P135" i="212"/>
  <c r="N135" i="212"/>
  <c r="N147" i="212" s="1"/>
  <c r="H135" i="212"/>
  <c r="AE134" i="212"/>
  <c r="AD134" i="212"/>
  <c r="AA134" i="212"/>
  <c r="Z134" i="212"/>
  <c r="M134" i="212"/>
  <c r="W133" i="212"/>
  <c r="H133" i="212"/>
  <c r="W132" i="212"/>
  <c r="H132" i="212"/>
  <c r="AG131" i="212"/>
  <c r="AF131" i="212"/>
  <c r="W131" i="212"/>
  <c r="H131" i="212"/>
  <c r="AG130" i="212"/>
  <c r="AF130" i="212"/>
  <c r="W130" i="212"/>
  <c r="H130" i="212"/>
  <c r="W129" i="212"/>
  <c r="N129" i="212"/>
  <c r="O129" i="212" s="1"/>
  <c r="P129" i="212"/>
  <c r="H129" i="212"/>
  <c r="W128" i="212"/>
  <c r="P128" i="212"/>
  <c r="N128" i="212"/>
  <c r="O128" i="212" s="1"/>
  <c r="AG128" i="212"/>
  <c r="H128" i="212"/>
  <c r="W127" i="212"/>
  <c r="N127" i="212"/>
  <c r="P127" i="212"/>
  <c r="H127" i="212"/>
  <c r="AF126" i="212"/>
  <c r="W126" i="212"/>
  <c r="P126" i="212"/>
  <c r="N126" i="212"/>
  <c r="O126" i="212" s="1"/>
  <c r="Q126" i="212" s="1"/>
  <c r="R126" i="212"/>
  <c r="H126" i="212"/>
  <c r="AF125" i="212"/>
  <c r="W125" i="212"/>
  <c r="O125" i="212"/>
  <c r="Q125" i="212" s="1"/>
  <c r="N125" i="212"/>
  <c r="P125" i="212"/>
  <c r="H125" i="212"/>
  <c r="AF124" i="212"/>
  <c r="W124" i="212"/>
  <c r="P124" i="212"/>
  <c r="N124" i="212"/>
  <c r="O124" i="212" s="1"/>
  <c r="R124" i="212"/>
  <c r="AG124" i="212"/>
  <c r="H124" i="212"/>
  <c r="W123" i="212"/>
  <c r="O123" i="212"/>
  <c r="N123" i="212"/>
  <c r="R123" i="212"/>
  <c r="P123" i="212"/>
  <c r="H123" i="212"/>
  <c r="W122" i="212"/>
  <c r="N122" i="212"/>
  <c r="AG122" i="212" s="1"/>
  <c r="H122" i="212"/>
  <c r="AE121" i="212"/>
  <c r="AD121" i="212"/>
  <c r="AA121" i="212"/>
  <c r="Z121" i="212"/>
  <c r="W121" i="212"/>
  <c r="M121" i="212"/>
  <c r="AG120" i="212"/>
  <c r="AF120" i="212"/>
  <c r="W120" i="212"/>
  <c r="H120" i="212"/>
  <c r="AG119" i="212"/>
  <c r="AF119" i="212"/>
  <c r="H119" i="212"/>
  <c r="AG118" i="212"/>
  <c r="AF118" i="212"/>
  <c r="W118" i="212"/>
  <c r="H118" i="212"/>
  <c r="AG117" i="212"/>
  <c r="AF117" i="212"/>
  <c r="W117" i="212"/>
  <c r="H117" i="212"/>
  <c r="AG116" i="212"/>
  <c r="W116" i="212"/>
  <c r="P116" i="212"/>
  <c r="N116" i="212"/>
  <c r="AF116" i="212" s="1"/>
  <c r="H116" i="212"/>
  <c r="W115" i="212"/>
  <c r="N115" i="212" s="1"/>
  <c r="P115" i="212"/>
  <c r="H115" i="212"/>
  <c r="AG114" i="212"/>
  <c r="W114" i="212"/>
  <c r="P114" i="212"/>
  <c r="N114" i="212"/>
  <c r="AF114" i="212" s="1"/>
  <c r="H114" i="212"/>
  <c r="W113" i="212"/>
  <c r="N113" i="212" s="1"/>
  <c r="P113" i="212"/>
  <c r="H113" i="212"/>
  <c r="AG112" i="212"/>
  <c r="W112" i="212"/>
  <c r="P112" i="212"/>
  <c r="N112" i="212"/>
  <c r="AF112" i="212" s="1"/>
  <c r="H112" i="212"/>
  <c r="W111" i="212"/>
  <c r="N111" i="212" s="1"/>
  <c r="P111" i="212"/>
  <c r="H111" i="212"/>
  <c r="AG110" i="212"/>
  <c r="W110" i="212"/>
  <c r="P110" i="212"/>
  <c r="N110" i="212"/>
  <c r="AF110" i="212" s="1"/>
  <c r="H110" i="212"/>
  <c r="W109" i="212"/>
  <c r="N109" i="212" s="1"/>
  <c r="P109" i="212"/>
  <c r="H109" i="212"/>
  <c r="AE108" i="212"/>
  <c r="AD108" i="212"/>
  <c r="AA108" i="212"/>
  <c r="Z108" i="212"/>
  <c r="W108" i="212"/>
  <c r="M108" i="212"/>
  <c r="W107" i="212"/>
  <c r="H107" i="212"/>
  <c r="AG106" i="212"/>
  <c r="AF106" i="212"/>
  <c r="W106" i="212"/>
  <c r="H106" i="212"/>
  <c r="AG105" i="212"/>
  <c r="AF105" i="212"/>
  <c r="W105" i="212"/>
  <c r="H105" i="212"/>
  <c r="AG104" i="212"/>
  <c r="AF104" i="212"/>
  <c r="W104" i="212"/>
  <c r="H104" i="212"/>
  <c r="AG103" i="212"/>
  <c r="AF103" i="212"/>
  <c r="W103" i="212"/>
  <c r="H103" i="212"/>
  <c r="W102" i="212"/>
  <c r="N102" i="212" s="1"/>
  <c r="P102" i="212"/>
  <c r="H102" i="212"/>
  <c r="W101" i="212"/>
  <c r="N101" i="212"/>
  <c r="O101" i="212" s="1"/>
  <c r="H101" i="212"/>
  <c r="W100" i="212"/>
  <c r="N100" i="212" s="1"/>
  <c r="P100" i="212"/>
  <c r="H100" i="212"/>
  <c r="W99" i="212"/>
  <c r="N99" i="212"/>
  <c r="O99" i="212" s="1"/>
  <c r="H99" i="212"/>
  <c r="W98" i="212"/>
  <c r="N98" i="212" s="1"/>
  <c r="P98" i="212"/>
  <c r="H98" i="212"/>
  <c r="W97" i="212"/>
  <c r="N97" i="212"/>
  <c r="O97" i="212" s="1"/>
  <c r="H97" i="212"/>
  <c r="W96" i="212"/>
  <c r="N96" i="212"/>
  <c r="O96" i="212" s="1"/>
  <c r="P108" i="212"/>
  <c r="H96" i="212"/>
  <c r="AE95" i="212"/>
  <c r="AD95" i="212"/>
  <c r="AA95" i="212"/>
  <c r="Z95" i="212"/>
  <c r="M95" i="212"/>
  <c r="AG94" i="212"/>
  <c r="AF94" i="212"/>
  <c r="W94" i="212"/>
  <c r="H94" i="212"/>
  <c r="AG93" i="212"/>
  <c r="AF93" i="212"/>
  <c r="W93" i="212"/>
  <c r="H93" i="212"/>
  <c r="AG92" i="212"/>
  <c r="AF92" i="212"/>
  <c r="W92" i="212"/>
  <c r="H92" i="212"/>
  <c r="AG91" i="212"/>
  <c r="AF91" i="212"/>
  <c r="W91" i="212"/>
  <c r="H91" i="212"/>
  <c r="AG90" i="212"/>
  <c r="AF90" i="212"/>
  <c r="W90" i="212"/>
  <c r="H90" i="212"/>
  <c r="W89" i="212"/>
  <c r="P89" i="212"/>
  <c r="N89" i="212"/>
  <c r="O89" i="212" s="1"/>
  <c r="AG89" i="212"/>
  <c r="H89" i="212"/>
  <c r="W88" i="212"/>
  <c r="N88" i="212"/>
  <c r="AG88" i="212" s="1"/>
  <c r="P88" i="212"/>
  <c r="H88" i="212"/>
  <c r="AG87" i="212"/>
  <c r="W87" i="212"/>
  <c r="P87" i="212"/>
  <c r="N87" i="212"/>
  <c r="O87" i="212" s="1"/>
  <c r="AF87" i="212"/>
  <c r="H87" i="212"/>
  <c r="W86" i="212"/>
  <c r="N86" i="212" s="1"/>
  <c r="P86" i="212"/>
  <c r="H86" i="212"/>
  <c r="W85" i="212"/>
  <c r="P85" i="212"/>
  <c r="N85" i="212"/>
  <c r="O85" i="212" s="1"/>
  <c r="AG85" i="212"/>
  <c r="H85" i="212"/>
  <c r="W84" i="212"/>
  <c r="N84" i="212"/>
  <c r="AG84" i="212" s="1"/>
  <c r="P84" i="212"/>
  <c r="H84" i="212"/>
  <c r="W83" i="212"/>
  <c r="N83" i="212" s="1"/>
  <c r="P83" i="212"/>
  <c r="H83" i="212"/>
  <c r="AE82" i="212"/>
  <c r="AD82" i="212"/>
  <c r="AA82" i="212"/>
  <c r="Z82" i="212"/>
  <c r="M82" i="212"/>
  <c r="W81" i="212"/>
  <c r="AG80" i="212"/>
  <c r="AF80" i="212"/>
  <c r="W80" i="212"/>
  <c r="H80" i="212"/>
  <c r="AG79" i="212"/>
  <c r="AF79" i="212"/>
  <c r="W79" i="212"/>
  <c r="H79" i="212"/>
  <c r="AG78" i="212"/>
  <c r="AF78" i="212"/>
  <c r="W78" i="212"/>
  <c r="H78" i="212"/>
  <c r="AG77" i="212"/>
  <c r="AF77" i="212"/>
  <c r="W77" i="212"/>
  <c r="H77" i="212"/>
  <c r="W76" i="212"/>
  <c r="N76" i="212" s="1"/>
  <c r="O76" i="212" s="1"/>
  <c r="H76" i="212"/>
  <c r="W75" i="212"/>
  <c r="N75" i="212" s="1"/>
  <c r="P75" i="212"/>
  <c r="H75" i="212"/>
  <c r="W74" i="212"/>
  <c r="N74" i="212" s="1"/>
  <c r="O74" i="212"/>
  <c r="H74" i="212"/>
  <c r="AG73" i="212"/>
  <c r="W73" i="212"/>
  <c r="N73" i="212" s="1"/>
  <c r="P73" i="212"/>
  <c r="H73" i="212"/>
  <c r="AG72" i="212"/>
  <c r="W72" i="212"/>
  <c r="O72" i="212"/>
  <c r="N72" i="212"/>
  <c r="AF72" i="212" s="1"/>
  <c r="P72" i="212"/>
  <c r="H72" i="212"/>
  <c r="W71" i="212"/>
  <c r="P71" i="212"/>
  <c r="N71" i="212"/>
  <c r="AG71" i="212" s="1"/>
  <c r="H71" i="212"/>
  <c r="W70" i="212"/>
  <c r="N70" i="212" s="1"/>
  <c r="P70" i="212"/>
  <c r="H70" i="212"/>
  <c r="AE69" i="212"/>
  <c r="AD69" i="212"/>
  <c r="AA69" i="212"/>
  <c r="Z69" i="212"/>
  <c r="W69" i="212"/>
  <c r="M69" i="212"/>
  <c r="W68" i="212"/>
  <c r="H68" i="212"/>
  <c r="AG67" i="212"/>
  <c r="AF67" i="212"/>
  <c r="W67" i="212"/>
  <c r="H67" i="212"/>
  <c r="AG66" i="212"/>
  <c r="AF66" i="212"/>
  <c r="W66" i="212"/>
  <c r="H66" i="212"/>
  <c r="AG65" i="212"/>
  <c r="AF65" i="212"/>
  <c r="W65" i="212"/>
  <c r="H65" i="212"/>
  <c r="AG64" i="212"/>
  <c r="AF64" i="212"/>
  <c r="W64" i="212"/>
  <c r="H64" i="212"/>
  <c r="AG63" i="212"/>
  <c r="AF63" i="212"/>
  <c r="W63" i="212"/>
  <c r="H63" i="212"/>
  <c r="AG62" i="212"/>
  <c r="AF62" i="212"/>
  <c r="W62" i="212"/>
  <c r="H62" i="212"/>
  <c r="W61" i="212"/>
  <c r="N61" i="212" s="1"/>
  <c r="P61" i="212"/>
  <c r="H61" i="212"/>
  <c r="AG60" i="212"/>
  <c r="W60" i="212"/>
  <c r="N60" i="212"/>
  <c r="AF60" i="212" s="1"/>
  <c r="P60" i="212"/>
  <c r="H60" i="212"/>
  <c r="W59" i="212"/>
  <c r="N59" i="212" s="1"/>
  <c r="H59" i="212"/>
  <c r="W58" i="212"/>
  <c r="N58" i="212" s="1"/>
  <c r="H58" i="212"/>
  <c r="W57" i="212"/>
  <c r="N57" i="212" s="1"/>
  <c r="P69" i="212"/>
  <c r="H57" i="212"/>
  <c r="AE56" i="212"/>
  <c r="AD56" i="212"/>
  <c r="AA56" i="212"/>
  <c r="Z56" i="212"/>
  <c r="W56" i="212"/>
  <c r="M56" i="212"/>
  <c r="W55" i="212"/>
  <c r="H55" i="212"/>
  <c r="AG54" i="212"/>
  <c r="AF54" i="212"/>
  <c r="W54" i="212"/>
  <c r="H54" i="212"/>
  <c r="AG53" i="212"/>
  <c r="AF53" i="212"/>
  <c r="W53" i="212"/>
  <c r="H53" i="212"/>
  <c r="AG52" i="212"/>
  <c r="AF52" i="212"/>
  <c r="W52" i="212"/>
  <c r="H52" i="212"/>
  <c r="AG51" i="212"/>
  <c r="AF51" i="212"/>
  <c r="W51" i="212"/>
  <c r="W50" i="212"/>
  <c r="N50" i="212" s="1"/>
  <c r="H50" i="212"/>
  <c r="W49" i="212"/>
  <c r="N49" i="212" s="1"/>
  <c r="H49" i="212"/>
  <c r="W48" i="212"/>
  <c r="N48" i="212" s="1"/>
  <c r="H48" i="212"/>
  <c r="W47" i="212"/>
  <c r="N47" i="212" s="1"/>
  <c r="H47" i="212"/>
  <c r="W46" i="212"/>
  <c r="N46" i="212" s="1"/>
  <c r="H46" i="212"/>
  <c r="W45" i="212"/>
  <c r="N45" i="212" s="1"/>
  <c r="P45" i="212"/>
  <c r="H45" i="212"/>
  <c r="W44" i="212"/>
  <c r="N44" i="212" s="1"/>
  <c r="H44" i="212"/>
  <c r="AE43" i="212"/>
  <c r="AD43" i="212"/>
  <c r="AA43" i="212"/>
  <c r="Z43" i="212"/>
  <c r="M43" i="212"/>
  <c r="W42" i="212"/>
  <c r="H42" i="212"/>
  <c r="W41" i="212"/>
  <c r="AG40" i="212"/>
  <c r="AF40" i="212"/>
  <c r="W40" i="212"/>
  <c r="H40" i="212"/>
  <c r="AG39" i="212"/>
  <c r="AF39" i="212"/>
  <c r="W39" i="212"/>
  <c r="H39" i="212"/>
  <c r="AG38" i="212"/>
  <c r="AF38" i="212"/>
  <c r="W38" i="212"/>
  <c r="P38" i="212"/>
  <c r="H38" i="212"/>
  <c r="W37" i="212"/>
  <c r="N37" i="212" s="1"/>
  <c r="P37" i="212"/>
  <c r="H37" i="212"/>
  <c r="W36" i="212"/>
  <c r="N36" i="212"/>
  <c r="O36" i="212" s="1"/>
  <c r="H36" i="212"/>
  <c r="W35" i="212"/>
  <c r="N35" i="212" s="1"/>
  <c r="P35" i="212"/>
  <c r="H35" i="212"/>
  <c r="W34" i="212"/>
  <c r="N34" i="212"/>
  <c r="O34" i="212" s="1"/>
  <c r="H34" i="212"/>
  <c r="W33" i="212"/>
  <c r="N33" i="212" s="1"/>
  <c r="P33" i="212"/>
  <c r="H33" i="212"/>
  <c r="W32" i="212"/>
  <c r="N32" i="212"/>
  <c r="O32" i="212" s="1"/>
  <c r="H32" i="212"/>
  <c r="W31" i="212"/>
  <c r="N31" i="212"/>
  <c r="P43" i="212"/>
  <c r="H31" i="212"/>
  <c r="AE30" i="212"/>
  <c r="AD30" i="212"/>
  <c r="AA30" i="212"/>
  <c r="Z30" i="212"/>
  <c r="M30" i="212"/>
  <c r="AF29" i="212"/>
  <c r="W29" i="212"/>
  <c r="H29" i="212"/>
  <c r="AG28" i="212"/>
  <c r="AF28" i="212"/>
  <c r="W28" i="212"/>
  <c r="H28" i="212"/>
  <c r="AG27" i="212"/>
  <c r="AF27" i="212"/>
  <c r="W27" i="212"/>
  <c r="H27" i="212"/>
  <c r="AG26" i="212"/>
  <c r="AF26" i="212"/>
  <c r="W26" i="212"/>
  <c r="H26" i="212"/>
  <c r="AG25" i="212"/>
  <c r="AF25" i="212"/>
  <c r="W25" i="212"/>
  <c r="H25" i="212"/>
  <c r="AG24" i="212"/>
  <c r="AF24" i="212"/>
  <c r="W24" i="212"/>
  <c r="H24" i="212"/>
  <c r="W23" i="212"/>
  <c r="N23" i="212" s="1"/>
  <c r="O23" i="212"/>
  <c r="P23" i="212"/>
  <c r="H23" i="212"/>
  <c r="W22" i="212"/>
  <c r="N22" i="212"/>
  <c r="P22" i="212"/>
  <c r="H22" i="212"/>
  <c r="W21" i="212"/>
  <c r="N21" i="212" s="1"/>
  <c r="O21" i="212" s="1"/>
  <c r="P21" i="212"/>
  <c r="H21" i="212"/>
  <c r="W20" i="212"/>
  <c r="N20" i="212"/>
  <c r="P20" i="212"/>
  <c r="H20" i="212"/>
  <c r="W19" i="212"/>
  <c r="N19" i="212"/>
  <c r="AG19" i="212" s="1"/>
  <c r="P19" i="212"/>
  <c r="H19" i="212"/>
  <c r="W18" i="212"/>
  <c r="N18" i="212" s="1"/>
  <c r="P30" i="212"/>
  <c r="H18" i="212"/>
  <c r="AE17" i="212"/>
  <c r="AD17" i="212"/>
  <c r="AD2" i="212" s="1"/>
  <c r="AA17" i="212"/>
  <c r="Z17" i="212"/>
  <c r="W17" i="212"/>
  <c r="M17" i="212"/>
  <c r="AG16" i="212"/>
  <c r="W16" i="212"/>
  <c r="H16" i="212"/>
  <c r="AG15" i="212"/>
  <c r="W15" i="212"/>
  <c r="H15" i="212"/>
  <c r="AG14" i="212"/>
  <c r="W14" i="212"/>
  <c r="H14" i="212"/>
  <c r="AG13" i="212"/>
  <c r="AF13" i="212"/>
  <c r="W13" i="212"/>
  <c r="H13" i="212"/>
  <c r="AG12" i="212"/>
  <c r="AF12" i="212"/>
  <c r="W12" i="212"/>
  <c r="H12" i="212"/>
  <c r="AG11" i="212"/>
  <c r="AF11" i="212"/>
  <c r="W11" i="212"/>
  <c r="H11" i="212"/>
  <c r="W10" i="212"/>
  <c r="N10" i="212" s="1"/>
  <c r="P10" i="212"/>
  <c r="H10" i="212"/>
  <c r="AG9" i="212"/>
  <c r="W9" i="212"/>
  <c r="N9" i="212"/>
  <c r="O9" i="212" s="1"/>
  <c r="P9" i="212"/>
  <c r="H9" i="212"/>
  <c r="W8" i="212"/>
  <c r="N8" i="212" s="1"/>
  <c r="P8" i="212"/>
  <c r="H8" i="212"/>
  <c r="AG7" i="212"/>
  <c r="W7" i="212"/>
  <c r="N7" i="212"/>
  <c r="AF7" i="212" s="1"/>
  <c r="P7" i="212"/>
  <c r="H7" i="212"/>
  <c r="W6" i="212"/>
  <c r="N6" i="212" s="1"/>
  <c r="P6" i="212"/>
  <c r="H6" i="212"/>
  <c r="W5" i="212"/>
  <c r="N5" i="212" s="1"/>
  <c r="P5" i="212"/>
  <c r="H5" i="212"/>
  <c r="G1" i="212" s="1"/>
  <c r="G2" i="212" s="1"/>
  <c r="AE2" i="212"/>
  <c r="AA2" i="212"/>
  <c r="Z2" i="212"/>
  <c r="I2" i="212"/>
  <c r="I1" i="212"/>
  <c r="E1" i="212"/>
  <c r="O6" i="212" l="1"/>
  <c r="AG6" i="212"/>
  <c r="AF6" i="212"/>
  <c r="AF5" i="212"/>
  <c r="O5" i="212"/>
  <c r="N17" i="212"/>
  <c r="AG5" i="212"/>
  <c r="R9" i="212"/>
  <c r="Q9" i="212"/>
  <c r="AG8" i="212"/>
  <c r="AF8" i="212"/>
  <c r="O8" i="212"/>
  <c r="AF10" i="212"/>
  <c r="O10" i="212"/>
  <c r="AG10" i="212"/>
  <c r="N30" i="212"/>
  <c r="AF18" i="212"/>
  <c r="O18" i="212"/>
  <c r="AG18" i="212"/>
  <c r="R21" i="212"/>
  <c r="Q21" i="212"/>
  <c r="O7" i="212"/>
  <c r="AF9" i="212"/>
  <c r="O19" i="212"/>
  <c r="AF19" i="212"/>
  <c r="AF23" i="212"/>
  <c r="AG23" i="212"/>
  <c r="N43" i="212"/>
  <c r="R34" i="212"/>
  <c r="Q34" i="212"/>
  <c r="AG37" i="212"/>
  <c r="AF37" i="212"/>
  <c r="O37" i="212"/>
  <c r="O48" i="212"/>
  <c r="AG48" i="212"/>
  <c r="AF48" i="212"/>
  <c r="O59" i="212"/>
  <c r="AG59" i="212"/>
  <c r="AF59" i="212"/>
  <c r="R36" i="212"/>
  <c r="Q36" i="212"/>
  <c r="AG45" i="212"/>
  <c r="AF45" i="212"/>
  <c r="O45" i="212"/>
  <c r="AG49" i="212"/>
  <c r="AF49" i="212"/>
  <c r="O49" i="212"/>
  <c r="O61" i="212"/>
  <c r="AG61" i="212"/>
  <c r="AF61" i="212"/>
  <c r="P17" i="212"/>
  <c r="P18" i="212"/>
  <c r="AG21" i="212"/>
  <c r="AF22" i="212"/>
  <c r="O22" i="212"/>
  <c r="AG22" i="212"/>
  <c r="AG33" i="212"/>
  <c r="AF33" i="212"/>
  <c r="O33" i="212"/>
  <c r="O46" i="212"/>
  <c r="AG46" i="212"/>
  <c r="AF46" i="212"/>
  <c r="O50" i="212"/>
  <c r="AG50" i="212"/>
  <c r="AF50" i="212"/>
  <c r="N69" i="212"/>
  <c r="AF57" i="212"/>
  <c r="O57" i="212"/>
  <c r="AG57" i="212"/>
  <c r="AF20" i="212"/>
  <c r="O20" i="212"/>
  <c r="AG20" i="212"/>
  <c r="AF21" i="212"/>
  <c r="R23" i="212"/>
  <c r="Q23" i="212"/>
  <c r="R32" i="212"/>
  <c r="Q32" i="212"/>
  <c r="AG35" i="212"/>
  <c r="AF35" i="212"/>
  <c r="O35" i="212"/>
  <c r="AF44" i="212"/>
  <c r="N56" i="212"/>
  <c r="O44" i="212"/>
  <c r="AG44" i="212"/>
  <c r="AG47" i="212"/>
  <c r="AF47" i="212"/>
  <c r="O47" i="212"/>
  <c r="P56" i="212"/>
  <c r="AG58" i="212"/>
  <c r="AF58" i="212"/>
  <c r="O58" i="212"/>
  <c r="N82" i="212"/>
  <c r="O70" i="212"/>
  <c r="AG70" i="212"/>
  <c r="AF70" i="212"/>
  <c r="P31" i="212"/>
  <c r="P32" i="212"/>
  <c r="AF32" i="212"/>
  <c r="P34" i="212"/>
  <c r="AF34" i="212"/>
  <c r="P36" i="212"/>
  <c r="AF36" i="212"/>
  <c r="P46" i="212"/>
  <c r="P48" i="212"/>
  <c r="P50" i="212"/>
  <c r="P59" i="212"/>
  <c r="Q72" i="212"/>
  <c r="AF83" i="212"/>
  <c r="N95" i="212"/>
  <c r="O83" i="212"/>
  <c r="AG83" i="212"/>
  <c r="AG86" i="212"/>
  <c r="AF86" i="212"/>
  <c r="O86" i="212"/>
  <c r="R101" i="212"/>
  <c r="Q101" i="212"/>
  <c r="AF113" i="212"/>
  <c r="O113" i="212"/>
  <c r="AG113" i="212"/>
  <c r="P121" i="212"/>
  <c r="AF31" i="212"/>
  <c r="AG32" i="212"/>
  <c r="AG34" i="212"/>
  <c r="AG36" i="212"/>
  <c r="O60" i="212"/>
  <c r="R72" i="212"/>
  <c r="R74" i="212"/>
  <c r="AF75" i="212"/>
  <c r="O75" i="212"/>
  <c r="AF76" i="212"/>
  <c r="AG76" i="212"/>
  <c r="P95" i="212"/>
  <c r="AG98" i="212"/>
  <c r="AF98" i="212"/>
  <c r="O98" i="212"/>
  <c r="AF111" i="212"/>
  <c r="O111" i="212"/>
  <c r="AG111" i="212"/>
  <c r="AG31" i="212"/>
  <c r="P44" i="212"/>
  <c r="P47" i="212"/>
  <c r="P49" i="212"/>
  <c r="P57" i="212"/>
  <c r="P58" i="212"/>
  <c r="O71" i="212"/>
  <c r="AF71" i="212"/>
  <c r="AF73" i="212"/>
  <c r="O73" i="212"/>
  <c r="AF74" i="212"/>
  <c r="AG74" i="212"/>
  <c r="AG75" i="212"/>
  <c r="P76" i="212"/>
  <c r="R76" i="212"/>
  <c r="P82" i="212"/>
  <c r="R87" i="212"/>
  <c r="Q87" i="212"/>
  <c r="R97" i="212"/>
  <c r="Q97" i="212"/>
  <c r="AG100" i="212"/>
  <c r="AF100" i="212"/>
  <c r="O100" i="212"/>
  <c r="AG102" i="212"/>
  <c r="AF102" i="212"/>
  <c r="O102" i="212"/>
  <c r="N121" i="212"/>
  <c r="AG109" i="212"/>
  <c r="AF109" i="212"/>
  <c r="O109" i="212"/>
  <c r="O31" i="212"/>
  <c r="P74" i="212"/>
  <c r="Q74" i="212"/>
  <c r="O108" i="212"/>
  <c r="R96" i="212"/>
  <c r="Q96" i="212"/>
  <c r="R99" i="212"/>
  <c r="Q99" i="212"/>
  <c r="AF115" i="212"/>
  <c r="O115" i="212"/>
  <c r="AG115" i="212"/>
  <c r="AF85" i="212"/>
  <c r="AF89" i="212"/>
  <c r="P96" i="212"/>
  <c r="P97" i="212"/>
  <c r="AF97" i="212"/>
  <c r="P99" i="212"/>
  <c r="AF99" i="212"/>
  <c r="P101" i="212"/>
  <c r="AF101" i="212"/>
  <c r="O110" i="212"/>
  <c r="O112" i="212"/>
  <c r="O114" i="212"/>
  <c r="O116" i="212"/>
  <c r="O122" i="212"/>
  <c r="AG123" i="212"/>
  <c r="AG125" i="212"/>
  <c r="O127" i="212"/>
  <c r="AG127" i="212"/>
  <c r="AF127" i="212"/>
  <c r="O141" i="212"/>
  <c r="AG141" i="212"/>
  <c r="AF141" i="212"/>
  <c r="AF153" i="212"/>
  <c r="O153" i="212"/>
  <c r="AG153" i="212"/>
  <c r="O84" i="212"/>
  <c r="R85" i="212"/>
  <c r="O88" i="212"/>
  <c r="R89" i="212"/>
  <c r="AF96" i="212"/>
  <c r="AG97" i="212"/>
  <c r="AG99" i="212"/>
  <c r="AG101" i="212"/>
  <c r="N108" i="212"/>
  <c r="P122" i="212"/>
  <c r="Q123" i="212"/>
  <c r="AF123" i="212"/>
  <c r="AG147" i="212"/>
  <c r="AH135" i="212" s="1"/>
  <c r="AF147" i="212"/>
  <c r="O139" i="212"/>
  <c r="AG139" i="212"/>
  <c r="AF139" i="212"/>
  <c r="O161" i="212"/>
  <c r="N173" i="212"/>
  <c r="AG161" i="212"/>
  <c r="AF161" i="212"/>
  <c r="R164" i="212"/>
  <c r="Q164" i="212"/>
  <c r="AG165" i="212"/>
  <c r="AF165" i="212"/>
  <c r="O165" i="212"/>
  <c r="AF84" i="212"/>
  <c r="AF88" i="212"/>
  <c r="AG96" i="212"/>
  <c r="Q124" i="212"/>
  <c r="AG126" i="212"/>
  <c r="O137" i="212"/>
  <c r="AG137" i="212"/>
  <c r="AF137" i="212"/>
  <c r="O148" i="212"/>
  <c r="AG148" i="212"/>
  <c r="N160" i="212"/>
  <c r="AF148" i="212"/>
  <c r="N134" i="212"/>
  <c r="AF122" i="212"/>
  <c r="R125" i="212"/>
  <c r="R128" i="212"/>
  <c r="R129" i="212"/>
  <c r="Q129" i="212"/>
  <c r="P134" i="212"/>
  <c r="O143" i="212"/>
  <c r="AG143" i="212"/>
  <c r="AF143" i="212"/>
  <c r="Q149" i="212"/>
  <c r="P160" i="212"/>
  <c r="AG163" i="212"/>
  <c r="AF163" i="212"/>
  <c r="O163" i="212"/>
  <c r="AF129" i="212"/>
  <c r="AG135" i="212"/>
  <c r="R149" i="212"/>
  <c r="AG149" i="212"/>
  <c r="O150" i="212"/>
  <c r="R151" i="212"/>
  <c r="AG151" i="212"/>
  <c r="O152" i="212"/>
  <c r="AG129" i="212"/>
  <c r="O135" i="212"/>
  <c r="O136" i="212"/>
  <c r="O138" i="212"/>
  <c r="O140" i="212"/>
  <c r="O142" i="212"/>
  <c r="O144" i="212"/>
  <c r="AF150" i="212"/>
  <c r="P152" i="212"/>
  <c r="AF152" i="212"/>
  <c r="P165" i="212"/>
  <c r="P173" i="212"/>
  <c r="AF128" i="212"/>
  <c r="AF136" i="212"/>
  <c r="AF138" i="212"/>
  <c r="AF140" i="212"/>
  <c r="O162" i="212"/>
  <c r="O166" i="212"/>
  <c r="Q128" i="212"/>
  <c r="AF135" i="212"/>
  <c r="Q135" i="212" l="1"/>
  <c r="O147" i="212"/>
  <c r="R135" i="212"/>
  <c r="R163" i="212"/>
  <c r="Q163" i="212"/>
  <c r="R143" i="212"/>
  <c r="Q143" i="212"/>
  <c r="O160" i="212"/>
  <c r="R148" i="212"/>
  <c r="Q148" i="212"/>
  <c r="R165" i="212"/>
  <c r="Q165" i="212"/>
  <c r="O173" i="212"/>
  <c r="R161" i="212"/>
  <c r="Q161" i="212"/>
  <c r="R141" i="212"/>
  <c r="Q141" i="212"/>
  <c r="R116" i="212"/>
  <c r="Q116" i="212"/>
  <c r="R162" i="212"/>
  <c r="Q162" i="212"/>
  <c r="Q140" i="212"/>
  <c r="R140" i="212"/>
  <c r="R150" i="212"/>
  <c r="Q150" i="212"/>
  <c r="Q151" i="212"/>
  <c r="R139" i="212"/>
  <c r="Q139" i="212"/>
  <c r="Q84" i="212"/>
  <c r="R84" i="212"/>
  <c r="R114" i="212"/>
  <c r="Q114" i="212"/>
  <c r="O121" i="212"/>
  <c r="R109" i="212"/>
  <c r="Q109" i="212"/>
  <c r="Q102" i="212"/>
  <c r="R102" i="212"/>
  <c r="R71" i="212"/>
  <c r="Q71" i="212"/>
  <c r="Q98" i="212"/>
  <c r="R98" i="212"/>
  <c r="Q89" i="212"/>
  <c r="R75" i="212"/>
  <c r="Q75" i="212"/>
  <c r="Q83" i="212"/>
  <c r="O95" i="212"/>
  <c r="R83" i="212"/>
  <c r="Q58" i="212"/>
  <c r="R58" i="212"/>
  <c r="Q47" i="212"/>
  <c r="R47" i="212"/>
  <c r="O56" i="212"/>
  <c r="R56" i="212" s="1"/>
  <c r="S44" i="212" s="1"/>
  <c r="Q44" i="212"/>
  <c r="R44" i="212"/>
  <c r="R20" i="212"/>
  <c r="Q20" i="212"/>
  <c r="Q57" i="212"/>
  <c r="O69" i="212"/>
  <c r="R69" i="212" s="1"/>
  <c r="S57" i="212" s="1"/>
  <c r="R57" i="212"/>
  <c r="R46" i="212"/>
  <c r="Q46" i="212"/>
  <c r="Q76" i="212"/>
  <c r="R59" i="212"/>
  <c r="Q59" i="212"/>
  <c r="Q37" i="212"/>
  <c r="R37" i="212"/>
  <c r="Q7" i="212"/>
  <c r="R7" i="212"/>
  <c r="O30" i="212"/>
  <c r="Q18" i="212"/>
  <c r="R18" i="212"/>
  <c r="R10" i="212"/>
  <c r="Q10" i="212"/>
  <c r="AG134" i="212"/>
  <c r="AH122" i="212" s="1"/>
  <c r="AF134" i="212"/>
  <c r="R152" i="212"/>
  <c r="Q152" i="212"/>
  <c r="AG160" i="212"/>
  <c r="AH148" i="212" s="1"/>
  <c r="AF160" i="212"/>
  <c r="R112" i="212"/>
  <c r="Q112" i="212"/>
  <c r="R115" i="212"/>
  <c r="Q115" i="212"/>
  <c r="R73" i="212"/>
  <c r="Q73" i="212"/>
  <c r="Q60" i="212"/>
  <c r="R60" i="212"/>
  <c r="R113" i="212"/>
  <c r="Q113" i="212"/>
  <c r="Q85" i="212"/>
  <c r="AG95" i="212"/>
  <c r="AH83" i="212" s="1"/>
  <c r="AF95" i="212"/>
  <c r="AG56" i="212"/>
  <c r="AH44" i="212" s="1"/>
  <c r="Q56" i="212"/>
  <c r="AF56" i="212"/>
  <c r="R50" i="212"/>
  <c r="Q50" i="212"/>
  <c r="Q33" i="212"/>
  <c r="R33" i="212"/>
  <c r="R61" i="212"/>
  <c r="Q61" i="212"/>
  <c r="Q45" i="212"/>
  <c r="R45" i="212"/>
  <c r="Q43" i="212"/>
  <c r="AG43" i="212"/>
  <c r="AH31" i="212" s="1"/>
  <c r="AF43" i="212"/>
  <c r="Q19" i="212"/>
  <c r="R19" i="212"/>
  <c r="R166" i="212"/>
  <c r="Q166" i="212"/>
  <c r="Q142" i="212"/>
  <c r="R142" i="212"/>
  <c r="AF108" i="212"/>
  <c r="AG108" i="212"/>
  <c r="AH96" i="212" s="1"/>
  <c r="Q138" i="212"/>
  <c r="R138" i="212"/>
  <c r="Q144" i="212"/>
  <c r="R144" i="212"/>
  <c r="Q136" i="212"/>
  <c r="R136" i="212"/>
  <c r="R137" i="212"/>
  <c r="Q137" i="212"/>
  <c r="AG173" i="212"/>
  <c r="AH161" i="212" s="1"/>
  <c r="AF173" i="212"/>
  <c r="Q88" i="212"/>
  <c r="R88" i="212"/>
  <c r="Q122" i="212"/>
  <c r="O134" i="212"/>
  <c r="R122" i="212"/>
  <c r="R110" i="212"/>
  <c r="Q110" i="212"/>
  <c r="R111" i="212"/>
  <c r="Q111" i="212"/>
  <c r="Q86" i="212"/>
  <c r="R86" i="212"/>
  <c r="O82" i="212"/>
  <c r="R82" i="212" s="1"/>
  <c r="S70" i="212" s="1"/>
  <c r="R70" i="212"/>
  <c r="Q70" i="212"/>
  <c r="AG69" i="212"/>
  <c r="AH57" i="212" s="1"/>
  <c r="Q69" i="212"/>
  <c r="AF69" i="212"/>
  <c r="Q22" i="212"/>
  <c r="R22" i="212"/>
  <c r="Q49" i="212"/>
  <c r="R49" i="212"/>
  <c r="AG30" i="212"/>
  <c r="AH18" i="212" s="1"/>
  <c r="AF30" i="212"/>
  <c r="AG17" i="212"/>
  <c r="AH5" i="212" s="1"/>
  <c r="AF17" i="212"/>
  <c r="R153" i="212"/>
  <c r="Q153" i="212"/>
  <c r="Q127" i="212"/>
  <c r="R127" i="212"/>
  <c r="R108" i="212"/>
  <c r="S96" i="212" s="1"/>
  <c r="Q108" i="212"/>
  <c r="R31" i="212"/>
  <c r="Q31" i="212"/>
  <c r="O43" i="212"/>
  <c r="R43" i="212" s="1"/>
  <c r="S31" i="212" s="1"/>
  <c r="AG121" i="212"/>
  <c r="AH109" i="212" s="1"/>
  <c r="AF121" i="212"/>
  <c r="Q100" i="212"/>
  <c r="R100" i="212"/>
  <c r="Q82" i="212"/>
  <c r="AG82" i="212"/>
  <c r="AH70" i="212" s="1"/>
  <c r="AF82" i="212"/>
  <c r="Q35" i="212"/>
  <c r="R35" i="212"/>
  <c r="R48" i="212"/>
  <c r="Q48" i="212"/>
  <c r="Q8" i="212"/>
  <c r="R8" i="212"/>
  <c r="Q5" i="212"/>
  <c r="R5" i="212"/>
  <c r="O17" i="212"/>
  <c r="R6" i="212"/>
  <c r="Q6" i="212"/>
  <c r="R173" i="212" l="1"/>
  <c r="S161" i="212" s="1"/>
  <c r="Q173" i="212"/>
  <c r="Q160" i="212"/>
  <c r="R160" i="212"/>
  <c r="S148" i="212" s="1"/>
  <c r="R95" i="212"/>
  <c r="S83" i="212" s="1"/>
  <c r="Q95" i="212"/>
  <c r="R134" i="212"/>
  <c r="S122" i="212" s="1"/>
  <c r="Q134" i="212"/>
  <c r="R30" i="212"/>
  <c r="S18" i="212" s="1"/>
  <c r="Q30" i="212"/>
  <c r="E2" i="212"/>
  <c r="R17" i="212"/>
  <c r="S5" i="212" s="1"/>
  <c r="Q17" i="212"/>
  <c r="R121" i="212"/>
  <c r="S109" i="212" s="1"/>
  <c r="Q121" i="212"/>
  <c r="R147" i="212"/>
  <c r="S135" i="212" s="1"/>
  <c r="Q147" i="212"/>
  <c r="M32" i="211" l="1"/>
  <c r="L32" i="211"/>
  <c r="K32" i="211"/>
  <c r="L8" i="211" s="1"/>
  <c r="J32" i="211"/>
  <c r="I32" i="211"/>
  <c r="H32" i="211"/>
  <c r="G32" i="211"/>
  <c r="J8" i="211" s="1"/>
  <c r="F32" i="211"/>
  <c r="E32" i="211"/>
  <c r="D32" i="211"/>
  <c r="Q15" i="211"/>
  <c r="P15" i="211"/>
  <c r="O15" i="211"/>
  <c r="N15" i="211"/>
  <c r="M15" i="211"/>
  <c r="L15" i="211"/>
  <c r="K15" i="211"/>
  <c r="J15" i="211"/>
  <c r="I15" i="211"/>
  <c r="H15" i="211"/>
  <c r="G15" i="211"/>
  <c r="F15" i="211"/>
  <c r="E15" i="211"/>
  <c r="D15" i="211"/>
  <c r="L7" i="211"/>
  <c r="J7" i="211"/>
  <c r="H7" i="211"/>
  <c r="F7" i="211"/>
  <c r="L6" i="211"/>
  <c r="J6" i="211"/>
  <c r="H6" i="211"/>
  <c r="F6" i="211"/>
  <c r="H8" i="211" l="1"/>
  <c r="F8" i="211"/>
  <c r="J124" i="210"/>
  <c r="H123" i="210"/>
  <c r="H122" i="210"/>
  <c r="H121" i="210"/>
  <c r="H120" i="210"/>
  <c r="H119" i="210"/>
  <c r="P118" i="210"/>
  <c r="K118" i="210" s="1"/>
  <c r="L118" i="210" s="1"/>
  <c r="H118" i="210"/>
  <c r="P117" i="210"/>
  <c r="K117" i="210"/>
  <c r="L117" i="210" s="1"/>
  <c r="H117" i="210"/>
  <c r="P116" i="210"/>
  <c r="K116" i="210" s="1"/>
  <c r="L116" i="210" s="1"/>
  <c r="H116" i="210"/>
  <c r="P115" i="210"/>
  <c r="K115" i="210"/>
  <c r="L115" i="210" s="1"/>
  <c r="H115" i="210"/>
  <c r="P114" i="210"/>
  <c r="K114" i="210" s="1"/>
  <c r="L114" i="210" s="1"/>
  <c r="H114" i="210"/>
  <c r="P113" i="210"/>
  <c r="K113" i="210"/>
  <c r="L113" i="210" s="1"/>
  <c r="H113" i="210"/>
  <c r="P112" i="210"/>
  <c r="K112" i="210" s="1"/>
  <c r="H112" i="210"/>
  <c r="J111" i="210"/>
  <c r="H110" i="210"/>
  <c r="H109" i="210"/>
  <c r="H108" i="210"/>
  <c r="H107" i="210"/>
  <c r="H106" i="210"/>
  <c r="P105" i="210"/>
  <c r="K105" i="210" s="1"/>
  <c r="L105" i="210" s="1"/>
  <c r="H105" i="210"/>
  <c r="P104" i="210"/>
  <c r="K104" i="210"/>
  <c r="L104" i="210" s="1"/>
  <c r="H104" i="210"/>
  <c r="P103" i="210"/>
  <c r="K103" i="210" s="1"/>
  <c r="L103" i="210" s="1"/>
  <c r="H103" i="210"/>
  <c r="P102" i="210"/>
  <c r="K102" i="210"/>
  <c r="L102" i="210" s="1"/>
  <c r="H102" i="210"/>
  <c r="P101" i="210"/>
  <c r="K101" i="210" s="1"/>
  <c r="H101" i="210"/>
  <c r="J100" i="210"/>
  <c r="H99" i="210"/>
  <c r="H98" i="210"/>
  <c r="H97" i="210"/>
  <c r="H96" i="210"/>
  <c r="H95" i="210"/>
  <c r="H94" i="210"/>
  <c r="P93" i="210"/>
  <c r="K93" i="210" s="1"/>
  <c r="L93" i="210" s="1"/>
  <c r="H93" i="210"/>
  <c r="P92" i="210"/>
  <c r="K92" i="210"/>
  <c r="K100" i="210" s="1"/>
  <c r="H92" i="210"/>
  <c r="J91" i="210"/>
  <c r="H90" i="210"/>
  <c r="H89" i="210"/>
  <c r="H88" i="210"/>
  <c r="H87" i="210"/>
  <c r="H86" i="210"/>
  <c r="H85" i="210"/>
  <c r="H84" i="210"/>
  <c r="H83" i="210"/>
  <c r="P82" i="210"/>
  <c r="K82" i="210" s="1"/>
  <c r="H82" i="210"/>
  <c r="L81" i="210"/>
  <c r="K81" i="210"/>
  <c r="J81" i="210"/>
  <c r="H80" i="210"/>
  <c r="H79" i="210"/>
  <c r="H78" i="210"/>
  <c r="H77" i="210"/>
  <c r="H76" i="210"/>
  <c r="J75" i="210"/>
  <c r="H74" i="210"/>
  <c r="H73" i="210"/>
  <c r="H72" i="210"/>
  <c r="P71" i="210"/>
  <c r="K71" i="210"/>
  <c r="L71" i="210" s="1"/>
  <c r="H71" i="210"/>
  <c r="P70" i="210"/>
  <c r="K70" i="210" s="1"/>
  <c r="L70" i="210" s="1"/>
  <c r="H70" i="210"/>
  <c r="P69" i="210"/>
  <c r="K69" i="210"/>
  <c r="L69" i="210" s="1"/>
  <c r="H69" i="210"/>
  <c r="P68" i="210"/>
  <c r="K68" i="210" s="1"/>
  <c r="L68" i="210" s="1"/>
  <c r="H68" i="210"/>
  <c r="P67" i="210"/>
  <c r="K67" i="210"/>
  <c r="L67" i="210" s="1"/>
  <c r="H67" i="210"/>
  <c r="P66" i="210"/>
  <c r="K66" i="210" s="1"/>
  <c r="L66" i="210" s="1"/>
  <c r="H66" i="210"/>
  <c r="P65" i="210"/>
  <c r="K65" i="210"/>
  <c r="K75" i="210" s="1"/>
  <c r="H65" i="210"/>
  <c r="J64" i="210"/>
  <c r="H63" i="210"/>
  <c r="H62" i="210"/>
  <c r="H61" i="210"/>
  <c r="H60" i="210"/>
  <c r="H59" i="210"/>
  <c r="H58" i="210"/>
  <c r="P57" i="210"/>
  <c r="K57" i="210"/>
  <c r="L57" i="210" s="1"/>
  <c r="H57" i="210"/>
  <c r="P56" i="210"/>
  <c r="K56" i="210" s="1"/>
  <c r="L56" i="210" s="1"/>
  <c r="H56" i="210"/>
  <c r="P55" i="210"/>
  <c r="K55" i="210"/>
  <c r="L55" i="210" s="1"/>
  <c r="H55" i="210"/>
  <c r="P54" i="210"/>
  <c r="K54" i="210" s="1"/>
  <c r="L54" i="210" s="1"/>
  <c r="H54" i="210"/>
  <c r="P53" i="210"/>
  <c r="K53" i="210"/>
  <c r="L53" i="210" s="1"/>
  <c r="H53" i="210"/>
  <c r="P52" i="210"/>
  <c r="K52" i="210" s="1"/>
  <c r="H52" i="210"/>
  <c r="H50" i="210"/>
  <c r="H49" i="210"/>
  <c r="H47" i="210"/>
  <c r="H46" i="210"/>
  <c r="H45" i="210"/>
  <c r="H44" i="210"/>
  <c r="H43" i="210"/>
  <c r="H42" i="210"/>
  <c r="H41" i="210"/>
  <c r="H40" i="210"/>
  <c r="H39" i="210"/>
  <c r="J38" i="210"/>
  <c r="H37" i="210"/>
  <c r="H36" i="210"/>
  <c r="H35" i="210"/>
  <c r="H34" i="210"/>
  <c r="H33" i="210"/>
  <c r="H32" i="210"/>
  <c r="H31" i="210"/>
  <c r="H30" i="210"/>
  <c r="H29" i="210"/>
  <c r="H28" i="210"/>
  <c r="P27" i="210"/>
  <c r="K27" i="210" s="1"/>
  <c r="L27" i="210" s="1"/>
  <c r="H27" i="210"/>
  <c r="P26" i="210"/>
  <c r="K26" i="210"/>
  <c r="L26" i="210" s="1"/>
  <c r="H26" i="210"/>
  <c r="P25" i="210"/>
  <c r="K25" i="210" s="1"/>
  <c r="H25" i="210"/>
  <c r="J24" i="210"/>
  <c r="H23" i="210"/>
  <c r="H22" i="210"/>
  <c r="H21" i="210"/>
  <c r="H20" i="210"/>
  <c r="H19" i="210"/>
  <c r="P18" i="210"/>
  <c r="K18" i="210" s="1"/>
  <c r="L18" i="210" s="1"/>
  <c r="H18" i="210"/>
  <c r="P17" i="210"/>
  <c r="K17" i="210"/>
  <c r="K24" i="210" s="1"/>
  <c r="H17" i="210"/>
  <c r="J16" i="210"/>
  <c r="H15" i="210"/>
  <c r="H14" i="210"/>
  <c r="H13" i="210"/>
  <c r="H12" i="210"/>
  <c r="P11" i="210"/>
  <c r="K11" i="210" s="1"/>
  <c r="L11" i="210" s="1"/>
  <c r="H11" i="210"/>
  <c r="P10" i="210"/>
  <c r="K10" i="210"/>
  <c r="L10" i="210" s="1"/>
  <c r="H10" i="210"/>
  <c r="P9" i="210"/>
  <c r="K9" i="210" s="1"/>
  <c r="L9" i="210" s="1"/>
  <c r="H9" i="210"/>
  <c r="P8" i="210"/>
  <c r="K8" i="210"/>
  <c r="L8" i="210" s="1"/>
  <c r="H8" i="210"/>
  <c r="P7" i="210"/>
  <c r="K7" i="210" s="1"/>
  <c r="L7" i="210" s="1"/>
  <c r="H7" i="210"/>
  <c r="P6" i="210"/>
  <c r="K6" i="210"/>
  <c r="L6" i="210" s="1"/>
  <c r="H6" i="210"/>
  <c r="P5" i="210"/>
  <c r="K5" i="210" s="1"/>
  <c r="H5" i="210"/>
  <c r="I2" i="210"/>
  <c r="I1" i="210"/>
  <c r="E1" i="210"/>
  <c r="J124" i="209"/>
  <c r="H123" i="209"/>
  <c r="H122" i="209"/>
  <c r="H121" i="209"/>
  <c r="H120" i="209"/>
  <c r="H119" i="209"/>
  <c r="P118" i="209"/>
  <c r="K118" i="209" s="1"/>
  <c r="L118" i="209"/>
  <c r="H118" i="209"/>
  <c r="P117" i="209"/>
  <c r="K117" i="209"/>
  <c r="L117" i="209" s="1"/>
  <c r="H117" i="209"/>
  <c r="P116" i="209"/>
  <c r="K116" i="209" s="1"/>
  <c r="L116" i="209"/>
  <c r="H116" i="209"/>
  <c r="P115" i="209"/>
  <c r="K115" i="209"/>
  <c r="L115" i="209" s="1"/>
  <c r="H115" i="209"/>
  <c r="P114" i="209"/>
  <c r="K114" i="209" s="1"/>
  <c r="L114" i="209" s="1"/>
  <c r="H114" i="209"/>
  <c r="P113" i="209"/>
  <c r="K113" i="209"/>
  <c r="L113" i="209" s="1"/>
  <c r="H113" i="209"/>
  <c r="P112" i="209"/>
  <c r="K112" i="209" s="1"/>
  <c r="K124" i="209" s="1"/>
  <c r="H112" i="209"/>
  <c r="J111" i="209"/>
  <c r="H110" i="209"/>
  <c r="H109" i="209"/>
  <c r="H108" i="209"/>
  <c r="H107" i="209"/>
  <c r="H106" i="209"/>
  <c r="P105" i="209"/>
  <c r="K105" i="209" s="1"/>
  <c r="L105" i="209" s="1"/>
  <c r="H105" i="209"/>
  <c r="P104" i="209"/>
  <c r="L104" i="209"/>
  <c r="K104" i="209"/>
  <c r="H104" i="209"/>
  <c r="P103" i="209"/>
  <c r="K103" i="209" s="1"/>
  <c r="L103" i="209" s="1"/>
  <c r="H103" i="209"/>
  <c r="P102" i="209"/>
  <c r="K102" i="209"/>
  <c r="L102" i="209" s="1"/>
  <c r="H102" i="209"/>
  <c r="P101" i="209"/>
  <c r="K101" i="209" s="1"/>
  <c r="K111" i="209" s="1"/>
  <c r="H101" i="209"/>
  <c r="J100" i="209"/>
  <c r="H99" i="209"/>
  <c r="H98" i="209"/>
  <c r="H97" i="209"/>
  <c r="H96" i="209"/>
  <c r="H95" i="209"/>
  <c r="H94" i="209"/>
  <c r="P93" i="209"/>
  <c r="K93" i="209" s="1"/>
  <c r="L93" i="209" s="1"/>
  <c r="H93" i="209"/>
  <c r="P92" i="209"/>
  <c r="K92" i="209"/>
  <c r="L92" i="209" s="1"/>
  <c r="L100" i="209" s="1"/>
  <c r="H92" i="209"/>
  <c r="J91" i="209"/>
  <c r="H90" i="209"/>
  <c r="H89" i="209"/>
  <c r="H88" i="209"/>
  <c r="H87" i="209"/>
  <c r="H86" i="209"/>
  <c r="H85" i="209"/>
  <c r="H84" i="209"/>
  <c r="H83" i="209"/>
  <c r="P82" i="209"/>
  <c r="K82" i="209"/>
  <c r="K91" i="209" s="1"/>
  <c r="H82" i="209"/>
  <c r="L81" i="209"/>
  <c r="K81" i="209"/>
  <c r="J81" i="209"/>
  <c r="H80" i="209"/>
  <c r="H79" i="209"/>
  <c r="H78" i="209"/>
  <c r="H77" i="209"/>
  <c r="H76" i="209"/>
  <c r="J75" i="209"/>
  <c r="H74" i="209"/>
  <c r="H73" i="209"/>
  <c r="H72" i="209"/>
  <c r="P71" i="209"/>
  <c r="K71" i="209"/>
  <c r="L71" i="209" s="1"/>
  <c r="H71" i="209"/>
  <c r="P70" i="209"/>
  <c r="K70" i="209"/>
  <c r="L70" i="209" s="1"/>
  <c r="H70" i="209"/>
  <c r="P69" i="209"/>
  <c r="K69" i="209"/>
  <c r="L69" i="209" s="1"/>
  <c r="H69" i="209"/>
  <c r="P68" i="209"/>
  <c r="K68" i="209" s="1"/>
  <c r="L68" i="209" s="1"/>
  <c r="H68" i="209"/>
  <c r="P67" i="209"/>
  <c r="K67" i="209"/>
  <c r="L67" i="209" s="1"/>
  <c r="H67" i="209"/>
  <c r="P66" i="209"/>
  <c r="K66" i="209"/>
  <c r="L66" i="209" s="1"/>
  <c r="H66" i="209"/>
  <c r="P65" i="209"/>
  <c r="K65" i="209"/>
  <c r="L65" i="209" s="1"/>
  <c r="L75" i="209" s="1"/>
  <c r="H65" i="209"/>
  <c r="J64" i="209"/>
  <c r="H63" i="209"/>
  <c r="H62" i="209"/>
  <c r="H61" i="209"/>
  <c r="H60" i="209"/>
  <c r="H59" i="209"/>
  <c r="H58" i="209"/>
  <c r="P57" i="209"/>
  <c r="K57" i="209"/>
  <c r="L57" i="209" s="1"/>
  <c r="H57" i="209"/>
  <c r="P56" i="209"/>
  <c r="K56" i="209"/>
  <c r="L56" i="209" s="1"/>
  <c r="H56" i="209"/>
  <c r="P55" i="209"/>
  <c r="K55" i="209"/>
  <c r="L55" i="209" s="1"/>
  <c r="H55" i="209"/>
  <c r="P54" i="209"/>
  <c r="K54" i="209" s="1"/>
  <c r="L54" i="209" s="1"/>
  <c r="H54" i="209"/>
  <c r="P53" i="209"/>
  <c r="K53" i="209"/>
  <c r="L53" i="209" s="1"/>
  <c r="H53" i="209"/>
  <c r="P52" i="209"/>
  <c r="K52" i="209" s="1"/>
  <c r="H52" i="209"/>
  <c r="H50" i="209"/>
  <c r="H49" i="209"/>
  <c r="H47" i="209"/>
  <c r="H46" i="209"/>
  <c r="H45" i="209"/>
  <c r="H44" i="209"/>
  <c r="H43" i="209"/>
  <c r="H42" i="209"/>
  <c r="H41" i="209"/>
  <c r="H40" i="209"/>
  <c r="H39" i="209"/>
  <c r="J38" i="209"/>
  <c r="H37" i="209"/>
  <c r="H36" i="209"/>
  <c r="H35" i="209"/>
  <c r="H34" i="209"/>
  <c r="H33" i="209"/>
  <c r="H32" i="209"/>
  <c r="H31" i="209"/>
  <c r="H30" i="209"/>
  <c r="H29" i="209"/>
  <c r="H28" i="209"/>
  <c r="P27" i="209"/>
  <c r="K27" i="209"/>
  <c r="L27" i="209" s="1"/>
  <c r="H27" i="209"/>
  <c r="P26" i="209"/>
  <c r="K26" i="209" s="1"/>
  <c r="L26" i="209" s="1"/>
  <c r="H26" i="209"/>
  <c r="P25" i="209"/>
  <c r="K25" i="209"/>
  <c r="L25" i="209" s="1"/>
  <c r="L38" i="209" s="1"/>
  <c r="H25" i="209"/>
  <c r="J24" i="209"/>
  <c r="H23" i="209"/>
  <c r="H22" i="209"/>
  <c r="H21" i="209"/>
  <c r="H20" i="209"/>
  <c r="H19" i="209"/>
  <c r="P18" i="209"/>
  <c r="K18" i="209" s="1"/>
  <c r="L18" i="209" s="1"/>
  <c r="H18" i="209"/>
  <c r="P17" i="209"/>
  <c r="K17" i="209"/>
  <c r="L17" i="209" s="1"/>
  <c r="L24" i="209" s="1"/>
  <c r="H17" i="209"/>
  <c r="J16" i="209"/>
  <c r="H15" i="209"/>
  <c r="H14" i="209"/>
  <c r="H13" i="209"/>
  <c r="H12" i="209"/>
  <c r="P11" i="209"/>
  <c r="K11" i="209" s="1"/>
  <c r="L11" i="209" s="1"/>
  <c r="H11" i="209"/>
  <c r="P10" i="209"/>
  <c r="K10" i="209"/>
  <c r="L10" i="209" s="1"/>
  <c r="H10" i="209"/>
  <c r="P9" i="209"/>
  <c r="K9" i="209" s="1"/>
  <c r="L9" i="209" s="1"/>
  <c r="H9" i="209"/>
  <c r="P8" i="209"/>
  <c r="K8" i="209"/>
  <c r="L8" i="209" s="1"/>
  <c r="H8" i="209"/>
  <c r="P7" i="209"/>
  <c r="K7" i="209" s="1"/>
  <c r="L7" i="209" s="1"/>
  <c r="H7" i="209"/>
  <c r="P6" i="209"/>
  <c r="K6" i="209"/>
  <c r="L6" i="209" s="1"/>
  <c r="H6" i="209"/>
  <c r="P5" i="209"/>
  <c r="K5" i="209" s="1"/>
  <c r="H5" i="209"/>
  <c r="I2" i="209"/>
  <c r="I1" i="209"/>
  <c r="E1" i="209"/>
  <c r="J124" i="208"/>
  <c r="H123" i="208"/>
  <c r="H122" i="208"/>
  <c r="H121" i="208"/>
  <c r="H120" i="208"/>
  <c r="H119" i="208"/>
  <c r="P118" i="208"/>
  <c r="K118" i="208" s="1"/>
  <c r="L118" i="208" s="1"/>
  <c r="H118" i="208"/>
  <c r="P117" i="208"/>
  <c r="K117" i="208"/>
  <c r="L117" i="208" s="1"/>
  <c r="H117" i="208"/>
  <c r="P116" i="208"/>
  <c r="K116" i="208" s="1"/>
  <c r="L116" i="208" s="1"/>
  <c r="H116" i="208"/>
  <c r="P115" i="208"/>
  <c r="K115" i="208"/>
  <c r="L115" i="208" s="1"/>
  <c r="H115" i="208"/>
  <c r="P114" i="208"/>
  <c r="K114" i="208" s="1"/>
  <c r="L114" i="208" s="1"/>
  <c r="H114" i="208"/>
  <c r="P113" i="208"/>
  <c r="K113" i="208"/>
  <c r="L113" i="208" s="1"/>
  <c r="H113" i="208"/>
  <c r="P112" i="208"/>
  <c r="K112" i="208" s="1"/>
  <c r="H112" i="208"/>
  <c r="J111" i="208"/>
  <c r="H110" i="208"/>
  <c r="H109" i="208"/>
  <c r="H108" i="208"/>
  <c r="H107" i="208"/>
  <c r="H106" i="208"/>
  <c r="P105" i="208"/>
  <c r="K105" i="208" s="1"/>
  <c r="L105" i="208" s="1"/>
  <c r="H105" i="208"/>
  <c r="P104" i="208"/>
  <c r="K104" i="208"/>
  <c r="L104" i="208" s="1"/>
  <c r="H104" i="208"/>
  <c r="P103" i="208"/>
  <c r="K103" i="208" s="1"/>
  <c r="L103" i="208" s="1"/>
  <c r="H103" i="208"/>
  <c r="P102" i="208"/>
  <c r="K102" i="208"/>
  <c r="L102" i="208" s="1"/>
  <c r="H102" i="208"/>
  <c r="P101" i="208"/>
  <c r="K101" i="208" s="1"/>
  <c r="H101" i="208"/>
  <c r="J100" i="208"/>
  <c r="H99" i="208"/>
  <c r="H98" i="208"/>
  <c r="H97" i="208"/>
  <c r="H96" i="208"/>
  <c r="H95" i="208"/>
  <c r="H94" i="208"/>
  <c r="P93" i="208"/>
  <c r="K93" i="208" s="1"/>
  <c r="L93" i="208" s="1"/>
  <c r="H93" i="208"/>
  <c r="P92" i="208"/>
  <c r="K92" i="208"/>
  <c r="H92" i="208"/>
  <c r="J91" i="208"/>
  <c r="H90" i="208"/>
  <c r="H89" i="208"/>
  <c r="H88" i="208"/>
  <c r="H87" i="208"/>
  <c r="H86" i="208"/>
  <c r="H85" i="208"/>
  <c r="H84" i="208"/>
  <c r="H83" i="208"/>
  <c r="P82" i="208"/>
  <c r="K82" i="208" s="1"/>
  <c r="K91" i="208" s="1"/>
  <c r="L82" i="208"/>
  <c r="L91" i="208" s="1"/>
  <c r="H82" i="208"/>
  <c r="L81" i="208"/>
  <c r="K81" i="208"/>
  <c r="J81" i="208"/>
  <c r="H80" i="208"/>
  <c r="H79" i="208"/>
  <c r="H78" i="208"/>
  <c r="H77" i="208"/>
  <c r="H76" i="208"/>
  <c r="J75" i="208"/>
  <c r="H74" i="208"/>
  <c r="H73" i="208"/>
  <c r="H72" i="208"/>
  <c r="P71" i="208"/>
  <c r="K71" i="208" s="1"/>
  <c r="L71" i="208" s="1"/>
  <c r="H71" i="208"/>
  <c r="P70" i="208"/>
  <c r="K70" i="208"/>
  <c r="L70" i="208" s="1"/>
  <c r="H70" i="208"/>
  <c r="P69" i="208"/>
  <c r="K69" i="208"/>
  <c r="L69" i="208" s="1"/>
  <c r="H69" i="208"/>
  <c r="P68" i="208"/>
  <c r="K68" i="208" s="1"/>
  <c r="L68" i="208" s="1"/>
  <c r="H68" i="208"/>
  <c r="P67" i="208"/>
  <c r="K67" i="208" s="1"/>
  <c r="L67" i="208" s="1"/>
  <c r="H67" i="208"/>
  <c r="P66" i="208"/>
  <c r="K66" i="208"/>
  <c r="L66" i="208" s="1"/>
  <c r="H66" i="208"/>
  <c r="P65" i="208"/>
  <c r="K65" i="208"/>
  <c r="L65" i="208" s="1"/>
  <c r="L75" i="208" s="1"/>
  <c r="H65" i="208"/>
  <c r="J64" i="208"/>
  <c r="H63" i="208"/>
  <c r="H62" i="208"/>
  <c r="H61" i="208"/>
  <c r="H60" i="208"/>
  <c r="H59" i="208"/>
  <c r="H58" i="208"/>
  <c r="P57" i="208"/>
  <c r="K57" i="208" s="1"/>
  <c r="L57" i="208" s="1"/>
  <c r="H57" i="208"/>
  <c r="P56" i="208"/>
  <c r="K56" i="208" s="1"/>
  <c r="L56" i="208" s="1"/>
  <c r="H56" i="208"/>
  <c r="P55" i="208"/>
  <c r="K55" i="208" s="1"/>
  <c r="L55" i="208" s="1"/>
  <c r="H55" i="208"/>
  <c r="P54" i="208"/>
  <c r="L54" i="208"/>
  <c r="K54" i="208"/>
  <c r="H54" i="208"/>
  <c r="P53" i="208"/>
  <c r="K53" i="208" s="1"/>
  <c r="L53" i="208" s="1"/>
  <c r="H53" i="208"/>
  <c r="P52" i="208"/>
  <c r="K52" i="208" s="1"/>
  <c r="H52" i="208"/>
  <c r="H50" i="208"/>
  <c r="H49" i="208"/>
  <c r="H47" i="208"/>
  <c r="H46" i="208"/>
  <c r="H45" i="208"/>
  <c r="H44" i="208"/>
  <c r="H43" i="208"/>
  <c r="H42" i="208"/>
  <c r="H41" i="208"/>
  <c r="H40" i="208"/>
  <c r="H39" i="208"/>
  <c r="J38" i="208"/>
  <c r="H37" i="208"/>
  <c r="H36" i="208"/>
  <c r="H35" i="208"/>
  <c r="H34" i="208"/>
  <c r="H33" i="208"/>
  <c r="H32" i="208"/>
  <c r="H31" i="208"/>
  <c r="H30" i="208"/>
  <c r="H29" i="208"/>
  <c r="H28" i="208"/>
  <c r="P27" i="208"/>
  <c r="K27" i="208" s="1"/>
  <c r="L27" i="208" s="1"/>
  <c r="H27" i="208"/>
  <c r="P26" i="208"/>
  <c r="K26" i="208"/>
  <c r="L26" i="208" s="1"/>
  <c r="H26" i="208"/>
  <c r="P25" i="208"/>
  <c r="K25" i="208" s="1"/>
  <c r="H25" i="208"/>
  <c r="J24" i="208"/>
  <c r="H23" i="208"/>
  <c r="H22" i="208"/>
  <c r="H21" i="208"/>
  <c r="H20" i="208"/>
  <c r="H19" i="208"/>
  <c r="P18" i="208"/>
  <c r="K18" i="208" s="1"/>
  <c r="L18" i="208" s="1"/>
  <c r="H18" i="208"/>
  <c r="P17" i="208"/>
  <c r="L17" i="208"/>
  <c r="L24" i="208" s="1"/>
  <c r="K17" i="208"/>
  <c r="H17" i="208"/>
  <c r="J16" i="208"/>
  <c r="H15" i="208"/>
  <c r="H14" i="208"/>
  <c r="H13" i="208"/>
  <c r="H12" i="208"/>
  <c r="P11" i="208"/>
  <c r="K11" i="208" s="1"/>
  <c r="L11" i="208" s="1"/>
  <c r="H11" i="208"/>
  <c r="P10" i="208"/>
  <c r="L10" i="208"/>
  <c r="K10" i="208"/>
  <c r="H10" i="208"/>
  <c r="P9" i="208"/>
  <c r="K9" i="208" s="1"/>
  <c r="L9" i="208" s="1"/>
  <c r="H9" i="208"/>
  <c r="P8" i="208"/>
  <c r="L8" i="208"/>
  <c r="K8" i="208"/>
  <c r="H8" i="208"/>
  <c r="P7" i="208"/>
  <c r="K7" i="208" s="1"/>
  <c r="L7" i="208" s="1"/>
  <c r="H7" i="208"/>
  <c r="P6" i="208"/>
  <c r="L6" i="208"/>
  <c r="K6" i="208"/>
  <c r="H6" i="208"/>
  <c r="P5" i="208"/>
  <c r="K5" i="208" s="1"/>
  <c r="H5" i="208"/>
  <c r="I2" i="208"/>
  <c r="I1" i="208"/>
  <c r="E1" i="208"/>
  <c r="M32" i="207"/>
  <c r="L32" i="207"/>
  <c r="K32" i="207"/>
  <c r="L8" i="207" s="1"/>
  <c r="J32" i="207"/>
  <c r="I32" i="207"/>
  <c r="H32" i="207"/>
  <c r="G32" i="207"/>
  <c r="J8" i="207" s="1"/>
  <c r="F32" i="207"/>
  <c r="E32" i="207"/>
  <c r="D32" i="207"/>
  <c r="Q15" i="207"/>
  <c r="P15" i="207"/>
  <c r="O15" i="207"/>
  <c r="N15" i="207"/>
  <c r="M15" i="207"/>
  <c r="L15" i="207"/>
  <c r="K15" i="207"/>
  <c r="J15" i="207"/>
  <c r="I15" i="207"/>
  <c r="H15" i="207"/>
  <c r="G15" i="207"/>
  <c r="F15" i="207"/>
  <c r="E15" i="207"/>
  <c r="F8" i="207" s="1"/>
  <c r="D15" i="207"/>
  <c r="H8" i="207"/>
  <c r="L7" i="207"/>
  <c r="J7" i="207"/>
  <c r="H7" i="207"/>
  <c r="F7" i="207"/>
  <c r="L6" i="207"/>
  <c r="J6" i="207"/>
  <c r="H6" i="207"/>
  <c r="F6" i="207"/>
  <c r="M32" i="206"/>
  <c r="L32" i="206"/>
  <c r="K32" i="206"/>
  <c r="L8" i="206" s="1"/>
  <c r="J32" i="206"/>
  <c r="I32" i="206"/>
  <c r="H32" i="206"/>
  <c r="G32" i="206"/>
  <c r="J8" i="206" s="1"/>
  <c r="F32" i="206"/>
  <c r="E32" i="206"/>
  <c r="D32" i="206"/>
  <c r="Q15" i="206"/>
  <c r="P15" i="206"/>
  <c r="O15" i="206"/>
  <c r="N15" i="206"/>
  <c r="M15" i="206"/>
  <c r="L15" i="206"/>
  <c r="K15" i="206"/>
  <c r="J15" i="206"/>
  <c r="I15" i="206"/>
  <c r="H15" i="206"/>
  <c r="G15" i="206"/>
  <c r="F15" i="206"/>
  <c r="E15" i="206"/>
  <c r="F8" i="206" s="1"/>
  <c r="D15" i="206"/>
  <c r="H8" i="206"/>
  <c r="L7" i="206"/>
  <c r="J7" i="206"/>
  <c r="H7" i="206"/>
  <c r="F7" i="206"/>
  <c r="L6" i="206"/>
  <c r="J6" i="206"/>
  <c r="H6" i="206"/>
  <c r="F6" i="206"/>
  <c r="AE173" i="205"/>
  <c r="AD173" i="205"/>
  <c r="AA173" i="205"/>
  <c r="Z173" i="205"/>
  <c r="M173" i="205"/>
  <c r="W172" i="205"/>
  <c r="H172" i="205"/>
  <c r="W171" i="205"/>
  <c r="H171" i="205"/>
  <c r="AG170" i="205"/>
  <c r="AF170" i="205"/>
  <c r="W170" i="205"/>
  <c r="H170" i="205"/>
  <c r="AG169" i="205"/>
  <c r="AF169" i="205"/>
  <c r="W169" i="205"/>
  <c r="H169" i="205"/>
  <c r="AG168" i="205"/>
  <c r="AF168" i="205"/>
  <c r="W168" i="205"/>
  <c r="H168" i="205"/>
  <c r="AG167" i="205"/>
  <c r="AF167" i="205"/>
  <c r="W167" i="205"/>
  <c r="AG166" i="205"/>
  <c r="W166" i="205"/>
  <c r="N166" i="205"/>
  <c r="AF166" i="205" s="1"/>
  <c r="P166" i="205"/>
  <c r="H166" i="205"/>
  <c r="W165" i="205"/>
  <c r="N165" i="205" s="1"/>
  <c r="P165" i="205"/>
  <c r="H165" i="205"/>
  <c r="AG164" i="205"/>
  <c r="W164" i="205"/>
  <c r="N164" i="205"/>
  <c r="AF164" i="205" s="1"/>
  <c r="P164" i="205"/>
  <c r="H164" i="205"/>
  <c r="W163" i="205"/>
  <c r="N163" i="205" s="1"/>
  <c r="P163" i="205"/>
  <c r="H163" i="205"/>
  <c r="AG162" i="205"/>
  <c r="W162" i="205"/>
  <c r="N162" i="205"/>
  <c r="AF162" i="205" s="1"/>
  <c r="P162" i="205"/>
  <c r="H162" i="205"/>
  <c r="W161" i="205"/>
  <c r="N161" i="205" s="1"/>
  <c r="P161" i="205"/>
  <c r="H161" i="205"/>
  <c r="AE160" i="205"/>
  <c r="AD160" i="205"/>
  <c r="AA160" i="205"/>
  <c r="Z160" i="205"/>
  <c r="M160" i="205"/>
  <c r="W159" i="205"/>
  <c r="H159" i="205"/>
  <c r="W158" i="205"/>
  <c r="H158" i="205"/>
  <c r="W157" i="205"/>
  <c r="H157" i="205"/>
  <c r="W156" i="205"/>
  <c r="H156" i="205"/>
  <c r="W155" i="205"/>
  <c r="H155" i="205"/>
  <c r="AG154" i="205"/>
  <c r="AF154" i="205"/>
  <c r="W154" i="205"/>
  <c r="H154" i="205"/>
  <c r="W153" i="205"/>
  <c r="N153" i="205" s="1"/>
  <c r="P153" i="205"/>
  <c r="H153" i="205"/>
  <c r="W152" i="205"/>
  <c r="N152" i="205"/>
  <c r="AG152" i="205" s="1"/>
  <c r="P152" i="205"/>
  <c r="H152" i="205"/>
  <c r="W151" i="205"/>
  <c r="P151" i="205"/>
  <c r="N151" i="205"/>
  <c r="O151" i="205" s="1"/>
  <c r="AF151" i="205"/>
  <c r="H151" i="205"/>
  <c r="W150" i="205"/>
  <c r="N150" i="205"/>
  <c r="AG150" i="205" s="1"/>
  <c r="P150" i="205"/>
  <c r="H150" i="205"/>
  <c r="W149" i="205"/>
  <c r="P149" i="205"/>
  <c r="N149" i="205"/>
  <c r="O149" i="205" s="1"/>
  <c r="AF149" i="205"/>
  <c r="H149" i="205"/>
  <c r="W148" i="205"/>
  <c r="N148" i="205" s="1"/>
  <c r="P148" i="205"/>
  <c r="H148" i="205"/>
  <c r="AE147" i="205"/>
  <c r="AD147" i="205"/>
  <c r="AA147" i="205"/>
  <c r="Z147" i="205"/>
  <c r="W147" i="205"/>
  <c r="M147" i="205"/>
  <c r="W146" i="205"/>
  <c r="H146" i="205"/>
  <c r="AG145" i="205"/>
  <c r="AF145" i="205"/>
  <c r="W145" i="205"/>
  <c r="H145" i="205"/>
  <c r="AG144" i="205"/>
  <c r="W144" i="205"/>
  <c r="P144" i="205"/>
  <c r="N144" i="205"/>
  <c r="AF144" i="205" s="1"/>
  <c r="H144" i="205"/>
  <c r="W143" i="205"/>
  <c r="N143" i="205" s="1"/>
  <c r="P143" i="205"/>
  <c r="H143" i="205"/>
  <c r="AG142" i="205"/>
  <c r="W142" i="205"/>
  <c r="P142" i="205"/>
  <c r="N142" i="205"/>
  <c r="AF142" i="205" s="1"/>
  <c r="H142" i="205"/>
  <c r="W141" i="205"/>
  <c r="N141" i="205" s="1"/>
  <c r="P141" i="205"/>
  <c r="H141" i="205"/>
  <c r="W140" i="205"/>
  <c r="P140" i="205"/>
  <c r="N140" i="205"/>
  <c r="AG140" i="205" s="1"/>
  <c r="H140" i="205"/>
  <c r="W139" i="205"/>
  <c r="N139" i="205" s="1"/>
  <c r="P139" i="205"/>
  <c r="H139" i="205"/>
  <c r="W138" i="205"/>
  <c r="P138" i="205"/>
  <c r="N138" i="205"/>
  <c r="AG138" i="205" s="1"/>
  <c r="H138" i="205"/>
  <c r="W137" i="205"/>
  <c r="N137" i="205" s="1"/>
  <c r="P137" i="205"/>
  <c r="H137" i="205"/>
  <c r="W136" i="205"/>
  <c r="P136" i="205"/>
  <c r="N136" i="205"/>
  <c r="AG136" i="205" s="1"/>
  <c r="H136" i="205"/>
  <c r="AF135" i="205"/>
  <c r="W135" i="205"/>
  <c r="P135" i="205"/>
  <c r="N135" i="205"/>
  <c r="H135" i="205"/>
  <c r="AE134" i="205"/>
  <c r="AD134" i="205"/>
  <c r="AA134" i="205"/>
  <c r="Z134" i="205"/>
  <c r="M134" i="205"/>
  <c r="W133" i="205"/>
  <c r="H133" i="205"/>
  <c r="W132" i="205"/>
  <c r="H132" i="205"/>
  <c r="AG131" i="205"/>
  <c r="AF131" i="205"/>
  <c r="W131" i="205"/>
  <c r="H131" i="205"/>
  <c r="AG130" i="205"/>
  <c r="AF130" i="205"/>
  <c r="W130" i="205"/>
  <c r="H130" i="205"/>
  <c r="W129" i="205"/>
  <c r="N129" i="205"/>
  <c r="O129" i="205" s="1"/>
  <c r="P129" i="205"/>
  <c r="H129" i="205"/>
  <c r="W128" i="205"/>
  <c r="P128" i="205"/>
  <c r="N128" i="205"/>
  <c r="O128" i="205" s="1"/>
  <c r="AG128" i="205"/>
  <c r="H128" i="205"/>
  <c r="W127" i="205"/>
  <c r="N127" i="205"/>
  <c r="P127" i="205"/>
  <c r="H127" i="205"/>
  <c r="AG126" i="205"/>
  <c r="W126" i="205"/>
  <c r="P126" i="205"/>
  <c r="N126" i="205"/>
  <c r="O126" i="205" s="1"/>
  <c r="AF126" i="205"/>
  <c r="H126" i="205"/>
  <c r="W125" i="205"/>
  <c r="N125" i="205"/>
  <c r="P125" i="205"/>
  <c r="H125" i="205"/>
  <c r="W124" i="205"/>
  <c r="P124" i="205"/>
  <c r="N124" i="205"/>
  <c r="O124" i="205" s="1"/>
  <c r="R124" i="205"/>
  <c r="H124" i="205"/>
  <c r="W123" i="205"/>
  <c r="N123" i="205"/>
  <c r="P123" i="205"/>
  <c r="H123" i="205"/>
  <c r="W122" i="205"/>
  <c r="N122" i="205"/>
  <c r="H122" i="205"/>
  <c r="AE121" i="205"/>
  <c r="AD121" i="205"/>
  <c r="AA121" i="205"/>
  <c r="Z121" i="205"/>
  <c r="W121" i="205"/>
  <c r="M121" i="205"/>
  <c r="AG120" i="205"/>
  <c r="AF120" i="205"/>
  <c r="W120" i="205"/>
  <c r="H120" i="205"/>
  <c r="AG119" i="205"/>
  <c r="AF119" i="205"/>
  <c r="H119" i="205"/>
  <c r="AG118" i="205"/>
  <c r="AF118" i="205"/>
  <c r="W118" i="205"/>
  <c r="H118" i="205"/>
  <c r="AG117" i="205"/>
  <c r="AF117" i="205"/>
  <c r="W117" i="205"/>
  <c r="H117" i="205"/>
  <c r="AG116" i="205"/>
  <c r="W116" i="205"/>
  <c r="N116" i="205"/>
  <c r="AF116" i="205" s="1"/>
  <c r="P116" i="205"/>
  <c r="H116" i="205"/>
  <c r="W115" i="205"/>
  <c r="N115" i="205" s="1"/>
  <c r="P115" i="205"/>
  <c r="H115" i="205"/>
  <c r="AG114" i="205"/>
  <c r="W114" i="205"/>
  <c r="N114" i="205"/>
  <c r="AF114" i="205" s="1"/>
  <c r="P114" i="205"/>
  <c r="H114" i="205"/>
  <c r="W113" i="205"/>
  <c r="N113" i="205" s="1"/>
  <c r="P113" i="205"/>
  <c r="H113" i="205"/>
  <c r="AG112" i="205"/>
  <c r="W112" i="205"/>
  <c r="N112" i="205"/>
  <c r="AF112" i="205" s="1"/>
  <c r="P112" i="205"/>
  <c r="H112" i="205"/>
  <c r="W111" i="205"/>
  <c r="N111" i="205" s="1"/>
  <c r="P111" i="205"/>
  <c r="H111" i="205"/>
  <c r="AG110" i="205"/>
  <c r="W110" i="205"/>
  <c r="N110" i="205"/>
  <c r="AF110" i="205" s="1"/>
  <c r="P110" i="205"/>
  <c r="H110" i="205"/>
  <c r="AF109" i="205"/>
  <c r="W109" i="205"/>
  <c r="N109" i="205"/>
  <c r="O109" i="205" s="1"/>
  <c r="P109" i="205"/>
  <c r="H109" i="205"/>
  <c r="AE108" i="205"/>
  <c r="AD108" i="205"/>
  <c r="AA108" i="205"/>
  <c r="Z108" i="205"/>
  <c r="W108" i="205"/>
  <c r="M108" i="205"/>
  <c r="W107" i="205"/>
  <c r="H107" i="205"/>
  <c r="AG106" i="205"/>
  <c r="AF106" i="205"/>
  <c r="W106" i="205"/>
  <c r="H106" i="205"/>
  <c r="AG105" i="205"/>
  <c r="AF105" i="205"/>
  <c r="W105" i="205"/>
  <c r="H105" i="205"/>
  <c r="W104" i="205"/>
  <c r="P104" i="205"/>
  <c r="N104" i="205"/>
  <c r="O104" i="205" s="1"/>
  <c r="H104" i="205"/>
  <c r="W103" i="205"/>
  <c r="P103" i="205"/>
  <c r="N103" i="205"/>
  <c r="H103" i="205"/>
  <c r="W102" i="205"/>
  <c r="P102" i="205"/>
  <c r="N102" i="205"/>
  <c r="O102" i="205" s="1"/>
  <c r="H102" i="205"/>
  <c r="W101" i="205"/>
  <c r="N101" i="205"/>
  <c r="P101" i="205"/>
  <c r="H101" i="205"/>
  <c r="W100" i="205"/>
  <c r="P100" i="205"/>
  <c r="N100" i="205"/>
  <c r="O100" i="205" s="1"/>
  <c r="H100" i="205"/>
  <c r="W99" i="205"/>
  <c r="N99" i="205"/>
  <c r="P99" i="205"/>
  <c r="H99" i="205"/>
  <c r="W98" i="205"/>
  <c r="P98" i="205"/>
  <c r="N98" i="205"/>
  <c r="O98" i="205" s="1"/>
  <c r="H98" i="205"/>
  <c r="W97" i="205"/>
  <c r="N97" i="205"/>
  <c r="P97" i="205"/>
  <c r="H97" i="205"/>
  <c r="W96" i="205"/>
  <c r="P96" i="205"/>
  <c r="N96" i="205"/>
  <c r="H96" i="205"/>
  <c r="AE95" i="205"/>
  <c r="AD95" i="205"/>
  <c r="AA95" i="205"/>
  <c r="Z95" i="205"/>
  <c r="M95" i="205"/>
  <c r="AG94" i="205"/>
  <c r="AF94" i="205"/>
  <c r="W94" i="205"/>
  <c r="H94" i="205"/>
  <c r="AG93" i="205"/>
  <c r="AF93" i="205"/>
  <c r="W93" i="205"/>
  <c r="H93" i="205"/>
  <c r="AG92" i="205"/>
  <c r="AF92" i="205"/>
  <c r="W92" i="205"/>
  <c r="H92" i="205"/>
  <c r="AG91" i="205"/>
  <c r="AF91" i="205"/>
  <c r="W91" i="205"/>
  <c r="H91" i="205"/>
  <c r="AG90" i="205"/>
  <c r="AF90" i="205"/>
  <c r="W90" i="205"/>
  <c r="H90" i="205"/>
  <c r="AG89" i="205"/>
  <c r="AF89" i="205"/>
  <c r="W89" i="205"/>
  <c r="H89" i="205"/>
  <c r="W88" i="205"/>
  <c r="P88" i="205"/>
  <c r="N88" i="205"/>
  <c r="O88" i="205" s="1"/>
  <c r="H88" i="205"/>
  <c r="W87" i="205"/>
  <c r="P87" i="205"/>
  <c r="N87" i="205"/>
  <c r="H87" i="205"/>
  <c r="W86" i="205"/>
  <c r="P86" i="205"/>
  <c r="N86" i="205"/>
  <c r="O86" i="205" s="1"/>
  <c r="H86" i="205"/>
  <c r="W85" i="205"/>
  <c r="P85" i="205"/>
  <c r="N85" i="205"/>
  <c r="H85" i="205"/>
  <c r="W84" i="205"/>
  <c r="P84" i="205"/>
  <c r="N84" i="205"/>
  <c r="O84" i="205" s="1"/>
  <c r="H84" i="205"/>
  <c r="W83" i="205"/>
  <c r="N83" i="205" s="1"/>
  <c r="P83" i="205"/>
  <c r="H83" i="205"/>
  <c r="AE82" i="205"/>
  <c r="AD82" i="205"/>
  <c r="AA82" i="205"/>
  <c r="Z82" i="205"/>
  <c r="M82" i="205"/>
  <c r="W81" i="205"/>
  <c r="AG80" i="205"/>
  <c r="AF80" i="205"/>
  <c r="W80" i="205"/>
  <c r="H80" i="205"/>
  <c r="AG79" i="205"/>
  <c r="AF79" i="205"/>
  <c r="W79" i="205"/>
  <c r="H79" i="205"/>
  <c r="AG78" i="205"/>
  <c r="AF78" i="205"/>
  <c r="W78" i="205"/>
  <c r="H78" i="205"/>
  <c r="AG77" i="205"/>
  <c r="AF77" i="205"/>
  <c r="AG76" i="205"/>
  <c r="W76" i="205"/>
  <c r="N76" i="205" s="1"/>
  <c r="AF76" i="205" s="1"/>
  <c r="O76" i="205"/>
  <c r="Q76" i="205"/>
  <c r="P76" i="205"/>
  <c r="H76" i="205"/>
  <c r="W75" i="205"/>
  <c r="N75" i="205"/>
  <c r="AF75" i="205" s="1"/>
  <c r="P75" i="205"/>
  <c r="H75" i="205"/>
  <c r="W74" i="205"/>
  <c r="N74" i="205" s="1"/>
  <c r="AG74" i="205" s="1"/>
  <c r="O74" i="205"/>
  <c r="AF74" i="205"/>
  <c r="P74" i="205"/>
  <c r="H74" i="205"/>
  <c r="AG73" i="205"/>
  <c r="W73" i="205"/>
  <c r="O73" i="205"/>
  <c r="N73" i="205"/>
  <c r="P73" i="205"/>
  <c r="H73" i="205"/>
  <c r="W72" i="205"/>
  <c r="N72" i="205" s="1"/>
  <c r="P72" i="205"/>
  <c r="H72" i="205"/>
  <c r="W71" i="205"/>
  <c r="N71" i="205" s="1"/>
  <c r="H71" i="205"/>
  <c r="W70" i="205"/>
  <c r="N70" i="205" s="1"/>
  <c r="H70" i="205"/>
  <c r="AE69" i="205"/>
  <c r="AD69" i="205"/>
  <c r="AA69" i="205"/>
  <c r="Z69" i="205"/>
  <c r="W69" i="205"/>
  <c r="M69" i="205"/>
  <c r="W68" i="205"/>
  <c r="H68" i="205"/>
  <c r="AG67" i="205"/>
  <c r="AF67" i="205"/>
  <c r="W67" i="205"/>
  <c r="H67" i="205"/>
  <c r="AG66" i="205"/>
  <c r="AF66" i="205"/>
  <c r="W66" i="205"/>
  <c r="H66" i="205"/>
  <c r="AG65" i="205"/>
  <c r="AF65" i="205"/>
  <c r="W65" i="205"/>
  <c r="H65" i="205"/>
  <c r="AG64" i="205"/>
  <c r="AF64" i="205"/>
  <c r="W64" i="205"/>
  <c r="H64" i="205"/>
  <c r="AG63" i="205"/>
  <c r="AF63" i="205"/>
  <c r="W63" i="205"/>
  <c r="H63" i="205"/>
  <c r="AG62" i="205"/>
  <c r="AF62" i="205"/>
  <c r="W62" i="205"/>
  <c r="H62" i="205"/>
  <c r="W61" i="205"/>
  <c r="N61" i="205"/>
  <c r="AG61" i="205" s="1"/>
  <c r="P61" i="205"/>
  <c r="H61" i="205"/>
  <c r="W60" i="205"/>
  <c r="P60" i="205"/>
  <c r="N60" i="205"/>
  <c r="O60" i="205" s="1"/>
  <c r="H60" i="205"/>
  <c r="W59" i="205"/>
  <c r="P59" i="205"/>
  <c r="N59" i="205"/>
  <c r="AG59" i="205" s="1"/>
  <c r="H59" i="205"/>
  <c r="W58" i="205"/>
  <c r="P58" i="205"/>
  <c r="N58" i="205"/>
  <c r="O58" i="205" s="1"/>
  <c r="H58" i="205"/>
  <c r="W57" i="205"/>
  <c r="N57" i="205" s="1"/>
  <c r="P57" i="205"/>
  <c r="H57" i="205"/>
  <c r="AE56" i="205"/>
  <c r="AD56" i="205"/>
  <c r="AA56" i="205"/>
  <c r="Z56" i="205"/>
  <c r="W56" i="205"/>
  <c r="M56" i="205"/>
  <c r="W55" i="205"/>
  <c r="H55" i="205"/>
  <c r="AG54" i="205"/>
  <c r="AF54" i="205"/>
  <c r="W54" i="205"/>
  <c r="H54" i="205"/>
  <c r="AG53" i="205"/>
  <c r="AF53" i="205"/>
  <c r="W53" i="205"/>
  <c r="H53" i="205"/>
  <c r="AG52" i="205"/>
  <c r="AF52" i="205"/>
  <c r="W52" i="205"/>
  <c r="H52" i="205"/>
  <c r="AG51" i="205"/>
  <c r="AF51" i="205"/>
  <c r="W51" i="205"/>
  <c r="W50" i="205"/>
  <c r="N50" i="205"/>
  <c r="AG50" i="205" s="1"/>
  <c r="P50" i="205"/>
  <c r="H50" i="205"/>
  <c r="W49" i="205"/>
  <c r="P49" i="205"/>
  <c r="N49" i="205"/>
  <c r="O49" i="205" s="1"/>
  <c r="H49" i="205"/>
  <c r="W48" i="205"/>
  <c r="N48" i="205"/>
  <c r="AG48" i="205" s="1"/>
  <c r="P48" i="205"/>
  <c r="H48" i="205"/>
  <c r="W47" i="205"/>
  <c r="P47" i="205"/>
  <c r="N47" i="205"/>
  <c r="O47" i="205" s="1"/>
  <c r="H47" i="205"/>
  <c r="W46" i="205"/>
  <c r="N46" i="205"/>
  <c r="AG46" i="205" s="1"/>
  <c r="P46" i="205"/>
  <c r="H46" i="205"/>
  <c r="W45" i="205"/>
  <c r="P45" i="205"/>
  <c r="N45" i="205"/>
  <c r="O45" i="205" s="1"/>
  <c r="H45" i="205"/>
  <c r="W44" i="205"/>
  <c r="N44" i="205" s="1"/>
  <c r="P44" i="205"/>
  <c r="H44" i="205"/>
  <c r="AE43" i="205"/>
  <c r="AD43" i="205"/>
  <c r="AA43" i="205"/>
  <c r="Z43" i="205"/>
  <c r="M43" i="205"/>
  <c r="W42" i="205"/>
  <c r="H42" i="205"/>
  <c r="W41" i="205"/>
  <c r="AG40" i="205"/>
  <c r="AF40" i="205"/>
  <c r="W40" i="205"/>
  <c r="H40" i="205"/>
  <c r="AG39" i="205"/>
  <c r="AF39" i="205"/>
  <c r="W39" i="205"/>
  <c r="H39" i="205"/>
  <c r="AG38" i="205"/>
  <c r="AF38" i="205"/>
  <c r="W38" i="205"/>
  <c r="P38" i="205"/>
  <c r="H38" i="205"/>
  <c r="AG37" i="205"/>
  <c r="AF37" i="205"/>
  <c r="W36" i="205"/>
  <c r="N36" i="205" s="1"/>
  <c r="H36" i="205"/>
  <c r="W35" i="205"/>
  <c r="N35" i="205" s="1"/>
  <c r="P35" i="205"/>
  <c r="H35" i="205"/>
  <c r="W34" i="205"/>
  <c r="N34" i="205" s="1"/>
  <c r="H34" i="205"/>
  <c r="W33" i="205"/>
  <c r="N33" i="205" s="1"/>
  <c r="P33" i="205"/>
  <c r="H33" i="205"/>
  <c r="W32" i="205"/>
  <c r="N32" i="205" s="1"/>
  <c r="O32" i="205"/>
  <c r="H32" i="205"/>
  <c r="W31" i="205"/>
  <c r="N31" i="205" s="1"/>
  <c r="H31" i="205"/>
  <c r="AE30" i="205"/>
  <c r="AD30" i="205"/>
  <c r="AA30" i="205"/>
  <c r="Z30" i="205"/>
  <c r="M30" i="205"/>
  <c r="AF29" i="205"/>
  <c r="W29" i="205"/>
  <c r="H29" i="205"/>
  <c r="AG28" i="205"/>
  <c r="AF28" i="205"/>
  <c r="W28" i="205"/>
  <c r="H28" i="205"/>
  <c r="AG27" i="205"/>
  <c r="AF27" i="205"/>
  <c r="W27" i="205"/>
  <c r="H27" i="205"/>
  <c r="AG26" i="205"/>
  <c r="AF26" i="205"/>
  <c r="W26" i="205"/>
  <c r="H26" i="205"/>
  <c r="AG25" i="205"/>
  <c r="AF25" i="205"/>
  <c r="W25" i="205"/>
  <c r="H25" i="205"/>
  <c r="AG24" i="205"/>
  <c r="AF24" i="205"/>
  <c r="W24" i="205"/>
  <c r="H24" i="205"/>
  <c r="AG23" i="205"/>
  <c r="AF23" i="205"/>
  <c r="W23" i="205"/>
  <c r="H23" i="205"/>
  <c r="W22" i="205"/>
  <c r="N22" i="205"/>
  <c r="P22" i="205"/>
  <c r="H22" i="205"/>
  <c r="W21" i="205"/>
  <c r="P21" i="205"/>
  <c r="N21" i="205"/>
  <c r="O21" i="205" s="1"/>
  <c r="H21" i="205"/>
  <c r="W20" i="205"/>
  <c r="N20" i="205"/>
  <c r="H20" i="205"/>
  <c r="AG19" i="205"/>
  <c r="AF19" i="205"/>
  <c r="W19" i="205"/>
  <c r="P19" i="205"/>
  <c r="N19" i="205"/>
  <c r="O19" i="205" s="1"/>
  <c r="H19" i="205"/>
  <c r="W18" i="205"/>
  <c r="N18" i="205" s="1"/>
  <c r="P18" i="205"/>
  <c r="H18" i="205"/>
  <c r="AE17" i="205"/>
  <c r="AD17" i="205"/>
  <c r="AA17" i="205"/>
  <c r="Z17" i="205"/>
  <c r="W17" i="205"/>
  <c r="M17" i="205"/>
  <c r="AG16" i="205"/>
  <c r="W16" i="205"/>
  <c r="H16" i="205"/>
  <c r="AG15" i="205"/>
  <c r="W15" i="205"/>
  <c r="H15" i="205"/>
  <c r="AG14" i="205"/>
  <c r="W14" i="205"/>
  <c r="H14" i="205"/>
  <c r="AG13" i="205"/>
  <c r="AF13" i="205"/>
  <c r="W13" i="205"/>
  <c r="H13" i="205"/>
  <c r="AG12" i="205"/>
  <c r="AF12" i="205"/>
  <c r="W12" i="205"/>
  <c r="H12" i="205"/>
  <c r="W11" i="205"/>
  <c r="N11" i="205"/>
  <c r="P11" i="205"/>
  <c r="H11" i="205"/>
  <c r="AG10" i="205"/>
  <c r="W10" i="205"/>
  <c r="Q10" i="205"/>
  <c r="P10" i="205"/>
  <c r="N10" i="205"/>
  <c r="O10" i="205" s="1"/>
  <c r="R10" i="205"/>
  <c r="H10" i="205"/>
  <c r="W9" i="205"/>
  <c r="N9" i="205"/>
  <c r="P9" i="205"/>
  <c r="H9" i="205"/>
  <c r="W8" i="205"/>
  <c r="P8" i="205"/>
  <c r="N8" i="205"/>
  <c r="O8" i="205" s="1"/>
  <c r="H8" i="205"/>
  <c r="W7" i="205"/>
  <c r="N7" i="205"/>
  <c r="P7" i="205"/>
  <c r="H7" i="205"/>
  <c r="W6" i="205"/>
  <c r="P6" i="205"/>
  <c r="N6" i="205"/>
  <c r="O6" i="205" s="1"/>
  <c r="H6" i="205"/>
  <c r="W5" i="205"/>
  <c r="N5" i="205" s="1"/>
  <c r="P5" i="205"/>
  <c r="P17" i="205"/>
  <c r="H5" i="205"/>
  <c r="AE2" i="205"/>
  <c r="AD2" i="205"/>
  <c r="AA2" i="205"/>
  <c r="Z2" i="205"/>
  <c r="I2" i="205"/>
  <c r="I1" i="205"/>
  <c r="E1" i="205"/>
  <c r="AE173" i="204"/>
  <c r="AD173" i="204"/>
  <c r="AA173" i="204"/>
  <c r="Z173" i="204"/>
  <c r="M173" i="204"/>
  <c r="W172" i="204"/>
  <c r="H172" i="204"/>
  <c r="W171" i="204"/>
  <c r="H171" i="204"/>
  <c r="AG170" i="204"/>
  <c r="AF170" i="204"/>
  <c r="W170" i="204"/>
  <c r="H170" i="204"/>
  <c r="AG169" i="204"/>
  <c r="AF169" i="204"/>
  <c r="W169" i="204"/>
  <c r="H169" i="204"/>
  <c r="AG168" i="204"/>
  <c r="AF168" i="204"/>
  <c r="W168" i="204"/>
  <c r="H168" i="204"/>
  <c r="AG167" i="204"/>
  <c r="AF167" i="204"/>
  <c r="W167" i="204"/>
  <c r="H167" i="204"/>
  <c r="W166" i="204"/>
  <c r="P166" i="204"/>
  <c r="N166" i="204"/>
  <c r="O166" i="204" s="1"/>
  <c r="H166" i="204"/>
  <c r="W165" i="204"/>
  <c r="N165" i="204"/>
  <c r="P165" i="204"/>
  <c r="H165" i="204"/>
  <c r="W164" i="204"/>
  <c r="P164" i="204"/>
  <c r="N164" i="204"/>
  <c r="O164" i="204" s="1"/>
  <c r="H164" i="204"/>
  <c r="W163" i="204"/>
  <c r="N163" i="204"/>
  <c r="P163" i="204"/>
  <c r="H163" i="204"/>
  <c r="W162" i="204"/>
  <c r="P162" i="204"/>
  <c r="N162" i="204"/>
  <c r="O162" i="204" s="1"/>
  <c r="H162" i="204"/>
  <c r="W161" i="204"/>
  <c r="N161" i="204" s="1"/>
  <c r="P161" i="204"/>
  <c r="P173" i="204"/>
  <c r="H161" i="204"/>
  <c r="AE160" i="204"/>
  <c r="AD160" i="204"/>
  <c r="AA160" i="204"/>
  <c r="Z160" i="204"/>
  <c r="M160" i="204"/>
  <c r="W159" i="204"/>
  <c r="H159" i="204"/>
  <c r="W158" i="204"/>
  <c r="H158" i="204"/>
  <c r="W157" i="204"/>
  <c r="H157" i="204"/>
  <c r="W156" i="204"/>
  <c r="H156" i="204"/>
  <c r="W155" i="204"/>
  <c r="H155" i="204"/>
  <c r="AG154" i="204"/>
  <c r="AF154" i="204"/>
  <c r="W154" i="204"/>
  <c r="H154" i="204"/>
  <c r="W153" i="204"/>
  <c r="P153" i="204"/>
  <c r="N153" i="204"/>
  <c r="O153" i="204" s="1"/>
  <c r="H153" i="204"/>
  <c r="W152" i="204"/>
  <c r="N152" i="204"/>
  <c r="P152" i="204"/>
  <c r="H152" i="204"/>
  <c r="W151" i="204"/>
  <c r="P151" i="204"/>
  <c r="N151" i="204"/>
  <c r="O151" i="204" s="1"/>
  <c r="H151" i="204"/>
  <c r="W150" i="204"/>
  <c r="N150" i="204"/>
  <c r="P150" i="204"/>
  <c r="H150" i="204"/>
  <c r="W149" i="204"/>
  <c r="P149" i="204"/>
  <c r="N149" i="204"/>
  <c r="O149" i="204" s="1"/>
  <c r="H149" i="204"/>
  <c r="W148" i="204"/>
  <c r="N148" i="204" s="1"/>
  <c r="P148" i="204"/>
  <c r="H148" i="204"/>
  <c r="AE147" i="204"/>
  <c r="AD147" i="204"/>
  <c r="AA147" i="204"/>
  <c r="Z147" i="204"/>
  <c r="W147" i="204"/>
  <c r="M147" i="204"/>
  <c r="W146" i="204"/>
  <c r="H146" i="204"/>
  <c r="AG145" i="204"/>
  <c r="AF145" i="204"/>
  <c r="W145" i="204"/>
  <c r="H145" i="204"/>
  <c r="AG144" i="204"/>
  <c r="W144" i="204"/>
  <c r="P144" i="204"/>
  <c r="N144" i="204"/>
  <c r="AF144" i="204" s="1"/>
  <c r="H144" i="204"/>
  <c r="W143" i="204"/>
  <c r="N143" i="204" s="1"/>
  <c r="O143" i="204"/>
  <c r="P143" i="204"/>
  <c r="H143" i="204"/>
  <c r="AG142" i="204"/>
  <c r="W142" i="204"/>
  <c r="P142" i="204"/>
  <c r="N142" i="204"/>
  <c r="AF142" i="204" s="1"/>
  <c r="H142" i="204"/>
  <c r="W141" i="204"/>
  <c r="N141" i="204" s="1"/>
  <c r="P141" i="204"/>
  <c r="H141" i="204"/>
  <c r="AG140" i="204"/>
  <c r="W140" i="204"/>
  <c r="N140" i="204"/>
  <c r="AF140" i="204" s="1"/>
  <c r="P140" i="204"/>
  <c r="H140" i="204"/>
  <c r="W139" i="204"/>
  <c r="N139" i="204" s="1"/>
  <c r="O139" i="204"/>
  <c r="P139" i="204"/>
  <c r="H139" i="204"/>
  <c r="AG138" i="204"/>
  <c r="W138" i="204"/>
  <c r="N138" i="204"/>
  <c r="AF138" i="204" s="1"/>
  <c r="P138" i="204"/>
  <c r="H138" i="204"/>
  <c r="W137" i="204"/>
  <c r="N137" i="204" s="1"/>
  <c r="O137" i="204" s="1"/>
  <c r="P137" i="204"/>
  <c r="H137" i="204"/>
  <c r="AG136" i="204"/>
  <c r="W136" i="204"/>
  <c r="N136" i="204"/>
  <c r="AF136" i="204" s="1"/>
  <c r="P136" i="204"/>
  <c r="H136" i="204"/>
  <c r="AF135" i="204"/>
  <c r="W135" i="204"/>
  <c r="N135" i="204"/>
  <c r="O135" i="204" s="1"/>
  <c r="P135" i="204"/>
  <c r="H135" i="204"/>
  <c r="AE134" i="204"/>
  <c r="AD134" i="204"/>
  <c r="AA134" i="204"/>
  <c r="Z134" i="204"/>
  <c r="M134" i="204"/>
  <c r="W133" i="204"/>
  <c r="H133" i="204"/>
  <c r="W132" i="204"/>
  <c r="H132" i="204"/>
  <c r="AG131" i="204"/>
  <c r="AF131" i="204"/>
  <c r="W131" i="204"/>
  <c r="H131" i="204"/>
  <c r="AG130" i="204"/>
  <c r="AF130" i="204"/>
  <c r="W130" i="204"/>
  <c r="H130" i="204"/>
  <c r="W129" i="204"/>
  <c r="N129" i="204" s="1"/>
  <c r="P129" i="204"/>
  <c r="H129" i="204"/>
  <c r="AG128" i="204"/>
  <c r="W128" i="204"/>
  <c r="P128" i="204"/>
  <c r="N128" i="204"/>
  <c r="AF128" i="204" s="1"/>
  <c r="H128" i="204"/>
  <c r="W127" i="204"/>
  <c r="N127" i="204" s="1"/>
  <c r="O127" i="204" s="1"/>
  <c r="P127" i="204"/>
  <c r="H127" i="204"/>
  <c r="AG126" i="204"/>
  <c r="W126" i="204"/>
  <c r="P126" i="204"/>
  <c r="N126" i="204"/>
  <c r="AF126" i="204" s="1"/>
  <c r="H126" i="204"/>
  <c r="W125" i="204"/>
  <c r="N125" i="204" s="1"/>
  <c r="O125" i="204"/>
  <c r="P125" i="204"/>
  <c r="H125" i="204"/>
  <c r="AG124" i="204"/>
  <c r="W124" i="204"/>
  <c r="P124" i="204"/>
  <c r="N124" i="204"/>
  <c r="AF124" i="204" s="1"/>
  <c r="H124" i="204"/>
  <c r="W123" i="204"/>
  <c r="N123" i="204" s="1"/>
  <c r="O123" i="204"/>
  <c r="P123" i="204"/>
  <c r="H123" i="204"/>
  <c r="W122" i="204"/>
  <c r="N122" i="204" s="1"/>
  <c r="O122" i="204"/>
  <c r="P122" i="204"/>
  <c r="H122" i="204"/>
  <c r="AE121" i="204"/>
  <c r="AD121" i="204"/>
  <c r="AA121" i="204"/>
  <c r="Z121" i="204"/>
  <c r="W121" i="204"/>
  <c r="M121" i="204"/>
  <c r="AG120" i="204"/>
  <c r="AF120" i="204"/>
  <c r="W120" i="204"/>
  <c r="H120" i="204"/>
  <c r="AG119" i="204"/>
  <c r="AF119" i="204"/>
  <c r="H119" i="204"/>
  <c r="AG118" i="204"/>
  <c r="AF118" i="204"/>
  <c r="W118" i="204"/>
  <c r="H118" i="204"/>
  <c r="AG117" i="204"/>
  <c r="AF117" i="204"/>
  <c r="W117" i="204"/>
  <c r="H117" i="204"/>
  <c r="AG116" i="204"/>
  <c r="W116" i="204"/>
  <c r="P116" i="204"/>
  <c r="N116" i="204"/>
  <c r="AF116" i="204" s="1"/>
  <c r="H116" i="204"/>
  <c r="W115" i="204"/>
  <c r="N115" i="204" s="1"/>
  <c r="P115" i="204"/>
  <c r="H115" i="204"/>
  <c r="AG114" i="204"/>
  <c r="W114" i="204"/>
  <c r="P114" i="204"/>
  <c r="N114" i="204"/>
  <c r="AF114" i="204" s="1"/>
  <c r="H114" i="204"/>
  <c r="W113" i="204"/>
  <c r="N113" i="204" s="1"/>
  <c r="O113" i="204" s="1"/>
  <c r="P113" i="204"/>
  <c r="H113" i="204"/>
  <c r="AG112" i="204"/>
  <c r="W112" i="204"/>
  <c r="P112" i="204"/>
  <c r="N112" i="204"/>
  <c r="AF112" i="204" s="1"/>
  <c r="H112" i="204"/>
  <c r="W111" i="204"/>
  <c r="N111" i="204" s="1"/>
  <c r="O111" i="204"/>
  <c r="P111" i="204"/>
  <c r="H111" i="204"/>
  <c r="AG110" i="204"/>
  <c r="W110" i="204"/>
  <c r="N110" i="204"/>
  <c r="AF110" i="204" s="1"/>
  <c r="P110" i="204"/>
  <c r="H110" i="204"/>
  <c r="AF109" i="204"/>
  <c r="W109" i="204"/>
  <c r="Q109" i="204"/>
  <c r="P109" i="204"/>
  <c r="N109" i="204"/>
  <c r="O109" i="204" s="1"/>
  <c r="H109" i="204"/>
  <c r="AE108" i="204"/>
  <c r="AD108" i="204"/>
  <c r="AA108" i="204"/>
  <c r="Z108" i="204"/>
  <c r="W108" i="204"/>
  <c r="M108" i="204"/>
  <c r="W107" i="204"/>
  <c r="H107" i="204"/>
  <c r="AG106" i="204"/>
  <c r="AF106" i="204"/>
  <c r="W106" i="204"/>
  <c r="H106" i="204"/>
  <c r="AG105" i="204"/>
  <c r="AF105" i="204"/>
  <c r="W105" i="204"/>
  <c r="H105" i="204"/>
  <c r="AG104" i="204"/>
  <c r="AF104" i="204"/>
  <c r="W104" i="204"/>
  <c r="H104" i="204"/>
  <c r="AG103" i="204"/>
  <c r="AF103" i="204"/>
  <c r="W103" i="204"/>
  <c r="H103" i="204"/>
  <c r="W102" i="204"/>
  <c r="P102" i="204"/>
  <c r="N102" i="204"/>
  <c r="O102" i="204" s="1"/>
  <c r="H102" i="204"/>
  <c r="W101" i="204"/>
  <c r="N101" i="204"/>
  <c r="P101" i="204"/>
  <c r="H101" i="204"/>
  <c r="W100" i="204"/>
  <c r="P100" i="204"/>
  <c r="N100" i="204"/>
  <c r="O100" i="204" s="1"/>
  <c r="H100" i="204"/>
  <c r="W99" i="204"/>
  <c r="N99" i="204"/>
  <c r="P99" i="204"/>
  <c r="H99" i="204"/>
  <c r="W98" i="204"/>
  <c r="P98" i="204"/>
  <c r="N98" i="204"/>
  <c r="O98" i="204" s="1"/>
  <c r="H98" i="204"/>
  <c r="W97" i="204"/>
  <c r="N97" i="204"/>
  <c r="H97" i="204"/>
  <c r="AG96" i="204"/>
  <c r="W96" i="204"/>
  <c r="N96" i="204"/>
  <c r="P108" i="204"/>
  <c r="H96" i="204"/>
  <c r="AE95" i="204"/>
  <c r="AD95" i="204"/>
  <c r="AA95" i="204"/>
  <c r="Z95" i="204"/>
  <c r="Z2" i="204" s="1"/>
  <c r="M95" i="204"/>
  <c r="AG94" i="204"/>
  <c r="AF94" i="204"/>
  <c r="W94" i="204"/>
  <c r="H94" i="204"/>
  <c r="AG93" i="204"/>
  <c r="AF93" i="204"/>
  <c r="W93" i="204"/>
  <c r="H93" i="204"/>
  <c r="AG92" i="204"/>
  <c r="AF92" i="204"/>
  <c r="W92" i="204"/>
  <c r="H92" i="204"/>
  <c r="AG91" i="204"/>
  <c r="AF91" i="204"/>
  <c r="W91" i="204"/>
  <c r="H91" i="204"/>
  <c r="AG90" i="204"/>
  <c r="AF90" i="204"/>
  <c r="W90" i="204"/>
  <c r="H90" i="204"/>
  <c r="AG89" i="204"/>
  <c r="AF89" i="204"/>
  <c r="W89" i="204"/>
  <c r="H89" i="204"/>
  <c r="AG88" i="204"/>
  <c r="AF88" i="204"/>
  <c r="W88" i="204"/>
  <c r="H88" i="204"/>
  <c r="W87" i="204"/>
  <c r="N87" i="204"/>
  <c r="P87" i="204"/>
  <c r="H87" i="204"/>
  <c r="W86" i="204"/>
  <c r="P86" i="204"/>
  <c r="N86" i="204"/>
  <c r="O86" i="204" s="1"/>
  <c r="H86" i="204"/>
  <c r="W85" i="204"/>
  <c r="N85" i="204"/>
  <c r="P85" i="204"/>
  <c r="H85" i="204"/>
  <c r="W84" i="204"/>
  <c r="P84" i="204"/>
  <c r="N84" i="204"/>
  <c r="O84" i="204" s="1"/>
  <c r="H84" i="204"/>
  <c r="W83" i="204"/>
  <c r="N83" i="204" s="1"/>
  <c r="P83" i="204"/>
  <c r="P95" i="204"/>
  <c r="H83" i="204"/>
  <c r="AE82" i="204"/>
  <c r="AD82" i="204"/>
  <c r="AA82" i="204"/>
  <c r="Z82" i="204"/>
  <c r="M82" i="204"/>
  <c r="W81" i="204"/>
  <c r="AG80" i="204"/>
  <c r="AF80" i="204"/>
  <c r="W80" i="204"/>
  <c r="H80" i="204"/>
  <c r="AG79" i="204"/>
  <c r="AF79" i="204"/>
  <c r="W79" i="204"/>
  <c r="H79" i="204"/>
  <c r="AG78" i="204"/>
  <c r="AF78" i="204"/>
  <c r="W78" i="204"/>
  <c r="H78" i="204"/>
  <c r="AG77" i="204"/>
  <c r="AF77" i="204"/>
  <c r="W77" i="204"/>
  <c r="H77" i="204"/>
  <c r="W76" i="204"/>
  <c r="N76" i="204" s="1"/>
  <c r="P76" i="204"/>
  <c r="H76" i="204"/>
  <c r="AG75" i="204"/>
  <c r="W75" i="204"/>
  <c r="N75" i="204"/>
  <c r="AF75" i="204" s="1"/>
  <c r="P75" i="204"/>
  <c r="H75" i="204"/>
  <c r="W74" i="204"/>
  <c r="N74" i="204" s="1"/>
  <c r="O74" i="204"/>
  <c r="P74" i="204"/>
  <c r="H74" i="204"/>
  <c r="AG73" i="204"/>
  <c r="W73" i="204"/>
  <c r="N73" i="204"/>
  <c r="AF73" i="204" s="1"/>
  <c r="P73" i="204"/>
  <c r="H73" i="204"/>
  <c r="W72" i="204"/>
  <c r="N72" i="204" s="1"/>
  <c r="P72" i="204"/>
  <c r="H72" i="204"/>
  <c r="W71" i="204"/>
  <c r="N71" i="204"/>
  <c r="P71" i="204"/>
  <c r="H71" i="204"/>
  <c r="AG70" i="204"/>
  <c r="AF70" i="204"/>
  <c r="W70" i="204"/>
  <c r="O70" i="204"/>
  <c r="N70" i="204"/>
  <c r="H70" i="204"/>
  <c r="AE69" i="204"/>
  <c r="AD69" i="204"/>
  <c r="AA69" i="204"/>
  <c r="Z69" i="204"/>
  <c r="W69" i="204"/>
  <c r="M69" i="204"/>
  <c r="W68" i="204"/>
  <c r="H68" i="204"/>
  <c r="AG67" i="204"/>
  <c r="AF67" i="204"/>
  <c r="W67" i="204"/>
  <c r="H67" i="204"/>
  <c r="AG66" i="204"/>
  <c r="AF66" i="204"/>
  <c r="W66" i="204"/>
  <c r="H66" i="204"/>
  <c r="AG65" i="204"/>
  <c r="AF65" i="204"/>
  <c r="W65" i="204"/>
  <c r="H65" i="204"/>
  <c r="AG64" i="204"/>
  <c r="AF64" i="204"/>
  <c r="W64" i="204"/>
  <c r="H64" i="204"/>
  <c r="AG63" i="204"/>
  <c r="AF63" i="204"/>
  <c r="W63" i="204"/>
  <c r="H63" i="204"/>
  <c r="AG62" i="204"/>
  <c r="AF62" i="204"/>
  <c r="W62" i="204"/>
  <c r="H62" i="204"/>
  <c r="W61" i="204"/>
  <c r="N61" i="204" s="1"/>
  <c r="O61" i="204"/>
  <c r="P61" i="204"/>
  <c r="H61" i="204"/>
  <c r="AG60" i="204"/>
  <c r="W60" i="204"/>
  <c r="N60" i="204"/>
  <c r="AF60" i="204" s="1"/>
  <c r="P60" i="204"/>
  <c r="H60" i="204"/>
  <c r="W59" i="204"/>
  <c r="N59" i="204" s="1"/>
  <c r="O59" i="204" s="1"/>
  <c r="P59" i="204"/>
  <c r="H59" i="204"/>
  <c r="AG58" i="204"/>
  <c r="W58" i="204"/>
  <c r="N58" i="204"/>
  <c r="AF58" i="204" s="1"/>
  <c r="P58" i="204"/>
  <c r="H58" i="204"/>
  <c r="AF57" i="204"/>
  <c r="W57" i="204"/>
  <c r="N57" i="204"/>
  <c r="H57" i="204"/>
  <c r="AE56" i="204"/>
  <c r="AD56" i="204"/>
  <c r="AA56" i="204"/>
  <c r="Z56" i="204"/>
  <c r="W56" i="204"/>
  <c r="M56" i="204"/>
  <c r="W55" i="204"/>
  <c r="H55" i="204"/>
  <c r="AG54" i="204"/>
  <c r="AF54" i="204"/>
  <c r="W54" i="204"/>
  <c r="H54" i="204"/>
  <c r="AG53" i="204"/>
  <c r="AF53" i="204"/>
  <c r="W53" i="204"/>
  <c r="H53" i="204"/>
  <c r="AG52" i="204"/>
  <c r="AF52" i="204"/>
  <c r="W52" i="204"/>
  <c r="H52" i="204"/>
  <c r="AG51" i="204"/>
  <c r="AF51" i="204"/>
  <c r="W51" i="204"/>
  <c r="W50" i="204"/>
  <c r="N50" i="204" s="1"/>
  <c r="O50" i="204"/>
  <c r="H50" i="204"/>
  <c r="W49" i="204"/>
  <c r="N49" i="204" s="1"/>
  <c r="P49" i="204"/>
  <c r="H49" i="204"/>
  <c r="W48" i="204"/>
  <c r="N48" i="204" s="1"/>
  <c r="O48" i="204"/>
  <c r="H48" i="204"/>
  <c r="AG47" i="204"/>
  <c r="W47" i="204"/>
  <c r="N47" i="204" s="1"/>
  <c r="P47" i="204"/>
  <c r="H47" i="204"/>
  <c r="W46" i="204"/>
  <c r="N46" i="204" s="1"/>
  <c r="O46" i="204" s="1"/>
  <c r="H46" i="204"/>
  <c r="W45" i="204"/>
  <c r="N45" i="204" s="1"/>
  <c r="P45" i="204"/>
  <c r="H45" i="204"/>
  <c r="W44" i="204"/>
  <c r="N44" i="204" s="1"/>
  <c r="H44" i="204"/>
  <c r="AE43" i="204"/>
  <c r="AE2" i="204" s="1"/>
  <c r="AD43" i="204"/>
  <c r="AA43" i="204"/>
  <c r="Z43" i="204"/>
  <c r="N43" i="204"/>
  <c r="M43" i="204"/>
  <c r="W42" i="204"/>
  <c r="H42" i="204"/>
  <c r="W41" i="204"/>
  <c r="AG40" i="204"/>
  <c r="AF40" i="204"/>
  <c r="W40" i="204"/>
  <c r="H40" i="204"/>
  <c r="AG39" i="204"/>
  <c r="AF39" i="204"/>
  <c r="W39" i="204"/>
  <c r="H39" i="204"/>
  <c r="AG38" i="204"/>
  <c r="AF38" i="204"/>
  <c r="W38" i="204"/>
  <c r="P38" i="204"/>
  <c r="H38" i="204"/>
  <c r="AG37" i="204"/>
  <c r="W37" i="204"/>
  <c r="N37" i="204" s="1"/>
  <c r="P37" i="204"/>
  <c r="H37" i="204"/>
  <c r="W36" i="204"/>
  <c r="N36" i="204" s="1"/>
  <c r="O36" i="204"/>
  <c r="H36" i="204"/>
  <c r="AG35" i="204"/>
  <c r="W35" i="204"/>
  <c r="N35" i="204" s="1"/>
  <c r="P35" i="204"/>
  <c r="H35" i="204"/>
  <c r="W34" i="204"/>
  <c r="N34" i="204" s="1"/>
  <c r="O34" i="204"/>
  <c r="H34" i="204"/>
  <c r="AG33" i="204"/>
  <c r="W33" i="204"/>
  <c r="N33" i="204" s="1"/>
  <c r="P33" i="204"/>
  <c r="H33" i="204"/>
  <c r="W32" i="204"/>
  <c r="N32" i="204" s="1"/>
  <c r="O32" i="204"/>
  <c r="H32" i="204"/>
  <c r="W31" i="204"/>
  <c r="O31" i="204"/>
  <c r="N31" i="204"/>
  <c r="AG31" i="204" s="1"/>
  <c r="H31" i="204"/>
  <c r="AE30" i="204"/>
  <c r="AD30" i="204"/>
  <c r="AA30" i="204"/>
  <c r="AA2" i="204" s="1"/>
  <c r="Z30" i="204"/>
  <c r="P30" i="204"/>
  <c r="M30" i="204"/>
  <c r="AF29" i="204"/>
  <c r="W29" i="204"/>
  <c r="H29" i="204"/>
  <c r="AG28" i="204"/>
  <c r="AF28" i="204"/>
  <c r="W28" i="204"/>
  <c r="H28" i="204"/>
  <c r="AG27" i="204"/>
  <c r="AF27" i="204"/>
  <c r="W27" i="204"/>
  <c r="H27" i="204"/>
  <c r="AG26" i="204"/>
  <c r="AF26" i="204"/>
  <c r="W26" i="204"/>
  <c r="H26" i="204"/>
  <c r="AG25" i="204"/>
  <c r="AF25" i="204"/>
  <c r="W25" i="204"/>
  <c r="H25" i="204"/>
  <c r="AG24" i="204"/>
  <c r="AF24" i="204"/>
  <c r="W24" i="204"/>
  <c r="H24" i="204"/>
  <c r="AG23" i="204"/>
  <c r="AF23" i="204"/>
  <c r="W23" i="204"/>
  <c r="H23" i="204"/>
  <c r="W22" i="204"/>
  <c r="N22" i="204"/>
  <c r="P22" i="204"/>
  <c r="H22" i="204"/>
  <c r="W21" i="204"/>
  <c r="N21" i="204" s="1"/>
  <c r="P21" i="204"/>
  <c r="H21" i="204"/>
  <c r="W20" i="204"/>
  <c r="N20" i="204"/>
  <c r="P20" i="204"/>
  <c r="H20" i="204"/>
  <c r="W19" i="204"/>
  <c r="N19" i="204" s="1"/>
  <c r="P19" i="204"/>
  <c r="H19" i="204"/>
  <c r="W18" i="204"/>
  <c r="N18" i="204" s="1"/>
  <c r="P18" i="204"/>
  <c r="H18" i="204"/>
  <c r="AE17" i="204"/>
  <c r="AD17" i="204"/>
  <c r="AA17" i="204"/>
  <c r="Z17" i="204"/>
  <c r="W17" i="204"/>
  <c r="M17" i="204"/>
  <c r="AG16" i="204"/>
  <c r="W16" i="204"/>
  <c r="H16" i="204"/>
  <c r="AG15" i="204"/>
  <c r="W15" i="204"/>
  <c r="H15" i="204"/>
  <c r="AG14" i="204"/>
  <c r="W14" i="204"/>
  <c r="H14" i="204"/>
  <c r="AG13" i="204"/>
  <c r="AF13" i="204"/>
  <c r="W13" i="204"/>
  <c r="H13" i="204"/>
  <c r="AG12" i="204"/>
  <c r="AF12" i="204"/>
  <c r="W12" i="204"/>
  <c r="H12" i="204"/>
  <c r="AG11" i="204"/>
  <c r="AF11" i="204"/>
  <c r="W11" i="204"/>
  <c r="H11" i="204"/>
  <c r="AF10" i="204"/>
  <c r="W10" i="204"/>
  <c r="N10" i="204" s="1"/>
  <c r="P10" i="204"/>
  <c r="H10" i="204"/>
  <c r="W9" i="204"/>
  <c r="N9" i="204"/>
  <c r="P9" i="204"/>
  <c r="H9" i="204"/>
  <c r="AF8" i="204"/>
  <c r="W8" i="204"/>
  <c r="N8" i="204" s="1"/>
  <c r="P8" i="204"/>
  <c r="H8" i="204"/>
  <c r="W7" i="204"/>
  <c r="N7" i="204"/>
  <c r="P7" i="204"/>
  <c r="H7" i="204"/>
  <c r="AF6" i="204"/>
  <c r="W6" i="204"/>
  <c r="N6" i="204" s="1"/>
  <c r="P6" i="204"/>
  <c r="H6" i="204"/>
  <c r="W5" i="204"/>
  <c r="N5" i="204" s="1"/>
  <c r="P5" i="204"/>
  <c r="H5" i="204"/>
  <c r="I2" i="204"/>
  <c r="I1" i="204"/>
  <c r="E1" i="204"/>
  <c r="AE173" i="203"/>
  <c r="AD173" i="203"/>
  <c r="AA173" i="203"/>
  <c r="Z173" i="203"/>
  <c r="M173" i="203"/>
  <c r="W172" i="203"/>
  <c r="H172" i="203"/>
  <c r="W171" i="203"/>
  <c r="H171" i="203"/>
  <c r="AG170" i="203"/>
  <c r="AF170" i="203"/>
  <c r="W170" i="203"/>
  <c r="H170" i="203"/>
  <c r="AG169" i="203"/>
  <c r="AF169" i="203"/>
  <c r="W169" i="203"/>
  <c r="H169" i="203"/>
  <c r="AG168" i="203"/>
  <c r="AF168" i="203"/>
  <c r="W168" i="203"/>
  <c r="H168" i="203"/>
  <c r="AG167" i="203"/>
  <c r="AF167" i="203"/>
  <c r="W167" i="203"/>
  <c r="H167" i="203"/>
  <c r="AF166" i="203"/>
  <c r="W166" i="203"/>
  <c r="N166" i="203" s="1"/>
  <c r="P166" i="203"/>
  <c r="H166" i="203"/>
  <c r="W165" i="203"/>
  <c r="N165" i="203"/>
  <c r="P165" i="203"/>
  <c r="H165" i="203"/>
  <c r="AF164" i="203"/>
  <c r="W164" i="203"/>
  <c r="N164" i="203" s="1"/>
  <c r="P164" i="203"/>
  <c r="H164" i="203"/>
  <c r="W163" i="203"/>
  <c r="N163" i="203"/>
  <c r="P163" i="203"/>
  <c r="H163" i="203"/>
  <c r="AF162" i="203"/>
  <c r="W162" i="203"/>
  <c r="N162" i="203" s="1"/>
  <c r="P162" i="203"/>
  <c r="H162" i="203"/>
  <c r="W161" i="203"/>
  <c r="N161" i="203" s="1"/>
  <c r="P161" i="203"/>
  <c r="P173" i="203"/>
  <c r="H161" i="203"/>
  <c r="AE160" i="203"/>
  <c r="AD160" i="203"/>
  <c r="AA160" i="203"/>
  <c r="Z160" i="203"/>
  <c r="M160" i="203"/>
  <c r="W159" i="203"/>
  <c r="H159" i="203"/>
  <c r="W158" i="203"/>
  <c r="H158" i="203"/>
  <c r="W157" i="203"/>
  <c r="H157" i="203"/>
  <c r="W156" i="203"/>
  <c r="H156" i="203"/>
  <c r="W155" i="203"/>
  <c r="H155" i="203"/>
  <c r="AG154" i="203"/>
  <c r="AF154" i="203"/>
  <c r="W154" i="203"/>
  <c r="H154" i="203"/>
  <c r="W153" i="203"/>
  <c r="N153" i="203" s="1"/>
  <c r="P153" i="203"/>
  <c r="H153" i="203"/>
  <c r="W152" i="203"/>
  <c r="N152" i="203"/>
  <c r="H152" i="203"/>
  <c r="AG151" i="203"/>
  <c r="W151" i="203"/>
  <c r="N151" i="203" s="1"/>
  <c r="AF151" i="203" s="1"/>
  <c r="P151" i="203"/>
  <c r="H151" i="203"/>
  <c r="W150" i="203"/>
  <c r="N150" i="203"/>
  <c r="P150" i="203"/>
  <c r="H150" i="203"/>
  <c r="AG149" i="203"/>
  <c r="AF149" i="203"/>
  <c r="W149" i="203"/>
  <c r="N149" i="203" s="1"/>
  <c r="O149" i="203"/>
  <c r="P149" i="203"/>
  <c r="H149" i="203"/>
  <c r="W148" i="203"/>
  <c r="N148" i="203" s="1"/>
  <c r="O148" i="203"/>
  <c r="H148" i="203"/>
  <c r="AE147" i="203"/>
  <c r="AD147" i="203"/>
  <c r="AA147" i="203"/>
  <c r="Z147" i="203"/>
  <c r="W147" i="203"/>
  <c r="M147" i="203"/>
  <c r="W146" i="203"/>
  <c r="H146" i="203"/>
  <c r="AG145" i="203"/>
  <c r="AF145" i="203"/>
  <c r="W145" i="203"/>
  <c r="H145" i="203"/>
  <c r="W144" i="203"/>
  <c r="N144" i="203" s="1"/>
  <c r="O144" i="203"/>
  <c r="P144" i="203"/>
  <c r="H144" i="203"/>
  <c r="AG143" i="203"/>
  <c r="W143" i="203"/>
  <c r="N143" i="203"/>
  <c r="AF143" i="203" s="1"/>
  <c r="P143" i="203"/>
  <c r="H143" i="203"/>
  <c r="W142" i="203"/>
  <c r="N142" i="203" s="1"/>
  <c r="O142" i="203"/>
  <c r="P142" i="203"/>
  <c r="H142" i="203"/>
  <c r="AG141" i="203"/>
  <c r="W141" i="203"/>
  <c r="N141" i="203"/>
  <c r="AF141" i="203" s="1"/>
  <c r="P141" i="203"/>
  <c r="H141" i="203"/>
  <c r="W140" i="203"/>
  <c r="N140" i="203" s="1"/>
  <c r="O140" i="203" s="1"/>
  <c r="P140" i="203"/>
  <c r="H140" i="203"/>
  <c r="AG139" i="203"/>
  <c r="W139" i="203"/>
  <c r="N139" i="203"/>
  <c r="AF139" i="203" s="1"/>
  <c r="P139" i="203"/>
  <c r="H139" i="203"/>
  <c r="W138" i="203"/>
  <c r="N138" i="203" s="1"/>
  <c r="P138" i="203"/>
  <c r="H138" i="203"/>
  <c r="AG137" i="203"/>
  <c r="W137" i="203"/>
  <c r="N137" i="203"/>
  <c r="AF137" i="203" s="1"/>
  <c r="P137" i="203"/>
  <c r="H137" i="203"/>
  <c r="W136" i="203"/>
  <c r="N136" i="203" s="1"/>
  <c r="O136" i="203"/>
  <c r="P136" i="203"/>
  <c r="H136" i="203"/>
  <c r="W135" i="203"/>
  <c r="N135" i="203" s="1"/>
  <c r="O135" i="203"/>
  <c r="H135" i="203"/>
  <c r="AE134" i="203"/>
  <c r="AD134" i="203"/>
  <c r="AA134" i="203"/>
  <c r="Z134" i="203"/>
  <c r="M134" i="203"/>
  <c r="W133" i="203"/>
  <c r="H133" i="203"/>
  <c r="W132" i="203"/>
  <c r="H132" i="203"/>
  <c r="AG131" i="203"/>
  <c r="AF131" i="203"/>
  <c r="W131" i="203"/>
  <c r="H131" i="203"/>
  <c r="AG130" i="203"/>
  <c r="AF130" i="203"/>
  <c r="W130" i="203"/>
  <c r="H130" i="203"/>
  <c r="AG129" i="203"/>
  <c r="W129" i="203"/>
  <c r="N129" i="203"/>
  <c r="AF129" i="203" s="1"/>
  <c r="P129" i="203"/>
  <c r="H129" i="203"/>
  <c r="W128" i="203"/>
  <c r="N128" i="203" s="1"/>
  <c r="O128" i="203"/>
  <c r="P128" i="203"/>
  <c r="H128" i="203"/>
  <c r="AG127" i="203"/>
  <c r="W127" i="203"/>
  <c r="N127" i="203"/>
  <c r="AF127" i="203" s="1"/>
  <c r="P127" i="203"/>
  <c r="H127" i="203"/>
  <c r="W126" i="203"/>
  <c r="N126" i="203" s="1"/>
  <c r="O126" i="203"/>
  <c r="P126" i="203"/>
  <c r="H126" i="203"/>
  <c r="AG125" i="203"/>
  <c r="W125" i="203"/>
  <c r="N125" i="203"/>
  <c r="AF125" i="203" s="1"/>
  <c r="P125" i="203"/>
  <c r="H125" i="203"/>
  <c r="W124" i="203"/>
  <c r="N124" i="203" s="1"/>
  <c r="O124" i="203" s="1"/>
  <c r="P124" i="203"/>
  <c r="H124" i="203"/>
  <c r="AG123" i="203"/>
  <c r="W123" i="203"/>
  <c r="N123" i="203"/>
  <c r="AF123" i="203" s="1"/>
  <c r="P123" i="203"/>
  <c r="H123" i="203"/>
  <c r="AF122" i="203"/>
  <c r="W122" i="203"/>
  <c r="N122" i="203"/>
  <c r="N134" i="203" s="1"/>
  <c r="AF134" i="203" s="1"/>
  <c r="P122" i="203"/>
  <c r="H122" i="203"/>
  <c r="AE121" i="203"/>
  <c r="AD121" i="203"/>
  <c r="AA121" i="203"/>
  <c r="Z121" i="203"/>
  <c r="W121" i="203"/>
  <c r="M121" i="203"/>
  <c r="AG120" i="203"/>
  <c r="AF120" i="203"/>
  <c r="W120" i="203"/>
  <c r="H120" i="203"/>
  <c r="AG119" i="203"/>
  <c r="AF119" i="203"/>
  <c r="H119" i="203"/>
  <c r="AG118" i="203"/>
  <c r="AF118" i="203"/>
  <c r="W118" i="203"/>
  <c r="H118" i="203"/>
  <c r="AG117" i="203"/>
  <c r="W117" i="203"/>
  <c r="N117" i="203"/>
  <c r="AF117" i="203" s="1"/>
  <c r="P117" i="203"/>
  <c r="H117" i="203"/>
  <c r="W116" i="203"/>
  <c r="N116" i="203" s="1"/>
  <c r="O116" i="203" s="1"/>
  <c r="P116" i="203"/>
  <c r="H116" i="203"/>
  <c r="AG115" i="203"/>
  <c r="W115" i="203"/>
  <c r="N115" i="203"/>
  <c r="AF115" i="203" s="1"/>
  <c r="P115" i="203"/>
  <c r="H115" i="203"/>
  <c r="W114" i="203"/>
  <c r="N114" i="203" s="1"/>
  <c r="P114" i="203"/>
  <c r="H114" i="203"/>
  <c r="AG113" i="203"/>
  <c r="W113" i="203"/>
  <c r="N113" i="203"/>
  <c r="AF113" i="203" s="1"/>
  <c r="P113" i="203"/>
  <c r="H113" i="203"/>
  <c r="W112" i="203"/>
  <c r="N112" i="203" s="1"/>
  <c r="O112" i="203"/>
  <c r="P112" i="203"/>
  <c r="H112" i="203"/>
  <c r="AG111" i="203"/>
  <c r="W111" i="203"/>
  <c r="N111" i="203"/>
  <c r="AF111" i="203" s="1"/>
  <c r="P111" i="203"/>
  <c r="H111" i="203"/>
  <c r="W110" i="203"/>
  <c r="N110" i="203" s="1"/>
  <c r="O110" i="203"/>
  <c r="P110" i="203"/>
  <c r="H110" i="203"/>
  <c r="W109" i="203"/>
  <c r="N109" i="203" s="1"/>
  <c r="O109" i="203"/>
  <c r="H109" i="203"/>
  <c r="AE108" i="203"/>
  <c r="AD108" i="203"/>
  <c r="AA108" i="203"/>
  <c r="Z108" i="203"/>
  <c r="W108" i="203"/>
  <c r="M108" i="203"/>
  <c r="W107" i="203"/>
  <c r="H107" i="203"/>
  <c r="AG106" i="203"/>
  <c r="AF106" i="203"/>
  <c r="W106" i="203"/>
  <c r="H106" i="203"/>
  <c r="AG105" i="203"/>
  <c r="AF105" i="203"/>
  <c r="W105" i="203"/>
  <c r="H105" i="203"/>
  <c r="AG104" i="203"/>
  <c r="AF104" i="203"/>
  <c r="W104" i="203"/>
  <c r="H104" i="203"/>
  <c r="AG103" i="203"/>
  <c r="AF103" i="203"/>
  <c r="W103" i="203"/>
  <c r="H103" i="203"/>
  <c r="W102" i="203"/>
  <c r="N102" i="203"/>
  <c r="P102" i="203"/>
  <c r="H102" i="203"/>
  <c r="W101" i="203"/>
  <c r="P101" i="203"/>
  <c r="N101" i="203"/>
  <c r="O101" i="203" s="1"/>
  <c r="H101" i="203"/>
  <c r="W100" i="203"/>
  <c r="N100" i="203"/>
  <c r="P100" i="203"/>
  <c r="H100" i="203"/>
  <c r="W99" i="203"/>
  <c r="P99" i="203"/>
  <c r="N99" i="203"/>
  <c r="O99" i="203" s="1"/>
  <c r="H99" i="203"/>
  <c r="W98" i="203"/>
  <c r="N98" i="203"/>
  <c r="P98" i="203"/>
  <c r="H98" i="203"/>
  <c r="W97" i="203"/>
  <c r="P97" i="203"/>
  <c r="N97" i="203"/>
  <c r="O97" i="203" s="1"/>
  <c r="H97" i="203"/>
  <c r="W96" i="203"/>
  <c r="N96" i="203" s="1"/>
  <c r="P96" i="203"/>
  <c r="H96" i="203"/>
  <c r="AE95" i="203"/>
  <c r="AD95" i="203"/>
  <c r="AA95" i="203"/>
  <c r="Z95" i="203"/>
  <c r="M95" i="203"/>
  <c r="AG94" i="203"/>
  <c r="AF94" i="203"/>
  <c r="W94" i="203"/>
  <c r="H94" i="203"/>
  <c r="AG93" i="203"/>
  <c r="AF93" i="203"/>
  <c r="W93" i="203"/>
  <c r="H93" i="203"/>
  <c r="AG92" i="203"/>
  <c r="AF92" i="203"/>
  <c r="W92" i="203"/>
  <c r="H92" i="203"/>
  <c r="AG91" i="203"/>
  <c r="AF91" i="203"/>
  <c r="W91" i="203"/>
  <c r="H91" i="203"/>
  <c r="AG90" i="203"/>
  <c r="AF90" i="203"/>
  <c r="W90" i="203"/>
  <c r="H90" i="203"/>
  <c r="AG89" i="203"/>
  <c r="AF89" i="203"/>
  <c r="W89" i="203"/>
  <c r="H89" i="203"/>
  <c r="AG88" i="203"/>
  <c r="AF88" i="203"/>
  <c r="W88" i="203"/>
  <c r="H88" i="203"/>
  <c r="W87" i="203"/>
  <c r="P87" i="203"/>
  <c r="N87" i="203"/>
  <c r="O87" i="203" s="1"/>
  <c r="H87" i="203"/>
  <c r="W86" i="203"/>
  <c r="N86" i="203"/>
  <c r="P86" i="203"/>
  <c r="H86" i="203"/>
  <c r="W85" i="203"/>
  <c r="P85" i="203"/>
  <c r="N85" i="203"/>
  <c r="O85" i="203" s="1"/>
  <c r="H85" i="203"/>
  <c r="W84" i="203"/>
  <c r="N84" i="203"/>
  <c r="P84" i="203"/>
  <c r="H84" i="203"/>
  <c r="W83" i="203"/>
  <c r="N83" i="203"/>
  <c r="AG83" i="203" s="1"/>
  <c r="H83" i="203"/>
  <c r="AE82" i="203"/>
  <c r="AD82" i="203"/>
  <c r="AA82" i="203"/>
  <c r="Z82" i="203"/>
  <c r="M82" i="203"/>
  <c r="W81" i="203"/>
  <c r="AG80" i="203"/>
  <c r="AF80" i="203"/>
  <c r="W80" i="203"/>
  <c r="H80" i="203"/>
  <c r="AG79" i="203"/>
  <c r="AF79" i="203"/>
  <c r="W79" i="203"/>
  <c r="H79" i="203"/>
  <c r="AG78" i="203"/>
  <c r="AF78" i="203"/>
  <c r="W78" i="203"/>
  <c r="H78" i="203"/>
  <c r="AG77" i="203"/>
  <c r="AF77" i="203"/>
  <c r="W77" i="203"/>
  <c r="H77" i="203"/>
  <c r="W76" i="203"/>
  <c r="N76" i="203"/>
  <c r="P76" i="203"/>
  <c r="H76" i="203"/>
  <c r="W75" i="203"/>
  <c r="N75" i="203" s="1"/>
  <c r="O75" i="203" s="1"/>
  <c r="P75" i="203"/>
  <c r="H75" i="203"/>
  <c r="AG74" i="203"/>
  <c r="W74" i="203"/>
  <c r="O74" i="203"/>
  <c r="N74" i="203"/>
  <c r="AF74" i="203" s="1"/>
  <c r="P74" i="203"/>
  <c r="H74" i="203"/>
  <c r="AG73" i="203"/>
  <c r="AF73" i="203"/>
  <c r="W73" i="203"/>
  <c r="N73" i="203" s="1"/>
  <c r="O73" i="203"/>
  <c r="P73" i="203"/>
  <c r="H73" i="203"/>
  <c r="W72" i="203"/>
  <c r="N72" i="203"/>
  <c r="AF72" i="203" s="1"/>
  <c r="P72" i="203"/>
  <c r="H72" i="203"/>
  <c r="AF71" i="203"/>
  <c r="W71" i="203"/>
  <c r="N71" i="203" s="1"/>
  <c r="AG71" i="203" s="1"/>
  <c r="O71" i="203"/>
  <c r="R71" i="203" s="1"/>
  <c r="P71" i="203"/>
  <c r="H71" i="203"/>
  <c r="W70" i="203"/>
  <c r="N70" i="203" s="1"/>
  <c r="O70" i="203"/>
  <c r="R70" i="203" s="1"/>
  <c r="H70" i="203"/>
  <c r="AE69" i="203"/>
  <c r="AD69" i="203"/>
  <c r="AA69" i="203"/>
  <c r="Z69" i="203"/>
  <c r="W69" i="203"/>
  <c r="M69" i="203"/>
  <c r="W68" i="203"/>
  <c r="H68" i="203"/>
  <c r="AG67" i="203"/>
  <c r="AF67" i="203"/>
  <c r="W67" i="203"/>
  <c r="H67" i="203"/>
  <c r="AG66" i="203"/>
  <c r="AF66" i="203"/>
  <c r="W66" i="203"/>
  <c r="H66" i="203"/>
  <c r="AG65" i="203"/>
  <c r="AF65" i="203"/>
  <c r="W65" i="203"/>
  <c r="H65" i="203"/>
  <c r="AG64" i="203"/>
  <c r="AF64" i="203"/>
  <c r="W64" i="203"/>
  <c r="H64" i="203"/>
  <c r="AG63" i="203"/>
  <c r="AF63" i="203"/>
  <c r="W63" i="203"/>
  <c r="H63" i="203"/>
  <c r="AG62" i="203"/>
  <c r="AF62" i="203"/>
  <c r="W62" i="203"/>
  <c r="H62" i="203"/>
  <c r="W61" i="203"/>
  <c r="N61" i="203" s="1"/>
  <c r="P61" i="203"/>
  <c r="H61" i="203"/>
  <c r="W60" i="203"/>
  <c r="N60" i="203"/>
  <c r="AG60" i="203" s="1"/>
  <c r="H60" i="203"/>
  <c r="W59" i="203"/>
  <c r="N59" i="203" s="1"/>
  <c r="P59" i="203"/>
  <c r="H59" i="203"/>
  <c r="W58" i="203"/>
  <c r="N58" i="203"/>
  <c r="AG58" i="203" s="1"/>
  <c r="H58" i="203"/>
  <c r="W57" i="203"/>
  <c r="N57" i="203"/>
  <c r="AF57" i="203" s="1"/>
  <c r="H57" i="203"/>
  <c r="AE56" i="203"/>
  <c r="AD56" i="203"/>
  <c r="AA56" i="203"/>
  <c r="Z56" i="203"/>
  <c r="W56" i="203"/>
  <c r="M56" i="203"/>
  <c r="W55" i="203"/>
  <c r="H55" i="203"/>
  <c r="AG54" i="203"/>
  <c r="AF54" i="203"/>
  <c r="W54" i="203"/>
  <c r="H54" i="203"/>
  <c r="AG53" i="203"/>
  <c r="AF53" i="203"/>
  <c r="W53" i="203"/>
  <c r="H53" i="203"/>
  <c r="AG52" i="203"/>
  <c r="AF52" i="203"/>
  <c r="W52" i="203"/>
  <c r="H52" i="203"/>
  <c r="AG51" i="203"/>
  <c r="AF51" i="203"/>
  <c r="W51" i="203"/>
  <c r="W50" i="203"/>
  <c r="N50" i="203" s="1"/>
  <c r="P50" i="203"/>
  <c r="H50" i="203"/>
  <c r="W49" i="203"/>
  <c r="N49" i="203"/>
  <c r="AG49" i="203" s="1"/>
  <c r="H49" i="203"/>
  <c r="W48" i="203"/>
  <c r="N48" i="203" s="1"/>
  <c r="P48" i="203"/>
  <c r="H48" i="203"/>
  <c r="W47" i="203"/>
  <c r="N47" i="203"/>
  <c r="AG47" i="203" s="1"/>
  <c r="H47" i="203"/>
  <c r="W46" i="203"/>
  <c r="N46" i="203" s="1"/>
  <c r="P46" i="203"/>
  <c r="H46" i="203"/>
  <c r="W45" i="203"/>
  <c r="N45" i="203"/>
  <c r="AG45" i="203" s="1"/>
  <c r="P45" i="203"/>
  <c r="H45" i="203"/>
  <c r="W44" i="203"/>
  <c r="N44" i="203"/>
  <c r="AF44" i="203" s="1"/>
  <c r="H44" i="203"/>
  <c r="AE43" i="203"/>
  <c r="AD43" i="203"/>
  <c r="AA43" i="203"/>
  <c r="Z43" i="203"/>
  <c r="Z2" i="203" s="1"/>
  <c r="M43" i="203"/>
  <c r="W42" i="203"/>
  <c r="H42" i="203"/>
  <c r="W41" i="203"/>
  <c r="AG40" i="203"/>
  <c r="AF40" i="203"/>
  <c r="W40" i="203"/>
  <c r="H40" i="203"/>
  <c r="AG39" i="203"/>
  <c r="AF39" i="203"/>
  <c r="W39" i="203"/>
  <c r="H39" i="203"/>
  <c r="AG38" i="203"/>
  <c r="AF38" i="203"/>
  <c r="W38" i="203"/>
  <c r="P38" i="203"/>
  <c r="H38" i="203"/>
  <c r="W37" i="203"/>
  <c r="N37" i="203"/>
  <c r="AG37" i="203" s="1"/>
  <c r="P37" i="203"/>
  <c r="H37" i="203"/>
  <c r="W36" i="203"/>
  <c r="P36" i="203"/>
  <c r="N36" i="203"/>
  <c r="O36" i="203" s="1"/>
  <c r="H36" i="203"/>
  <c r="W35" i="203"/>
  <c r="P35" i="203"/>
  <c r="N35" i="203"/>
  <c r="AG35" i="203" s="1"/>
  <c r="H35" i="203"/>
  <c r="W34" i="203"/>
  <c r="P34" i="203"/>
  <c r="N34" i="203"/>
  <c r="O34" i="203" s="1"/>
  <c r="AF34" i="203"/>
  <c r="H34" i="203"/>
  <c r="W33" i="203"/>
  <c r="P33" i="203"/>
  <c r="N33" i="203"/>
  <c r="AG33" i="203" s="1"/>
  <c r="H33" i="203"/>
  <c r="W32" i="203"/>
  <c r="P32" i="203"/>
  <c r="N32" i="203"/>
  <c r="O32" i="203" s="1"/>
  <c r="AF32" i="203"/>
  <c r="H32" i="203"/>
  <c r="W31" i="203"/>
  <c r="N31" i="203" s="1"/>
  <c r="P31" i="203"/>
  <c r="P43" i="203"/>
  <c r="H31" i="203"/>
  <c r="AE30" i="203"/>
  <c r="AD30" i="203"/>
  <c r="AD2" i="203" s="1"/>
  <c r="AA30" i="203"/>
  <c r="Z30" i="203"/>
  <c r="M30" i="203"/>
  <c r="P30" i="203" s="1"/>
  <c r="AF29" i="203"/>
  <c r="W29" i="203"/>
  <c r="H29" i="203"/>
  <c r="AG28" i="203"/>
  <c r="AF28" i="203"/>
  <c r="W28" i="203"/>
  <c r="H28" i="203"/>
  <c r="AG27" i="203"/>
  <c r="AF27" i="203"/>
  <c r="W27" i="203"/>
  <c r="H27" i="203"/>
  <c r="AG26" i="203"/>
  <c r="AF26" i="203"/>
  <c r="W26" i="203"/>
  <c r="H26" i="203"/>
  <c r="AG25" i="203"/>
  <c r="AF25" i="203"/>
  <c r="W25" i="203"/>
  <c r="H25" i="203"/>
  <c r="AG24" i="203"/>
  <c r="AF24" i="203"/>
  <c r="W24" i="203"/>
  <c r="H24" i="203"/>
  <c r="AG23" i="203"/>
  <c r="AF23" i="203"/>
  <c r="W23" i="203"/>
  <c r="H23" i="203"/>
  <c r="W22" i="203"/>
  <c r="N22" i="203" s="1"/>
  <c r="H22" i="203"/>
  <c r="W21" i="203"/>
  <c r="N21" i="203" s="1"/>
  <c r="P21" i="203"/>
  <c r="H21" i="203"/>
  <c r="W20" i="203"/>
  <c r="N20" i="203" s="1"/>
  <c r="H20" i="203"/>
  <c r="W19" i="203"/>
  <c r="N19" i="203" s="1"/>
  <c r="P19" i="203"/>
  <c r="H19" i="203"/>
  <c r="W18" i="203"/>
  <c r="N18" i="203" s="1"/>
  <c r="P18" i="203"/>
  <c r="H18" i="203"/>
  <c r="AE17" i="203"/>
  <c r="AE2" i="203" s="1"/>
  <c r="AD17" i="203"/>
  <c r="AA17" i="203"/>
  <c r="Z17" i="203"/>
  <c r="W17" i="203"/>
  <c r="M17" i="203"/>
  <c r="AG16" i="203"/>
  <c r="W16" i="203"/>
  <c r="H16" i="203"/>
  <c r="AG15" i="203"/>
  <c r="W15" i="203"/>
  <c r="H15" i="203"/>
  <c r="AG14" i="203"/>
  <c r="W14" i="203"/>
  <c r="H14" i="203"/>
  <c r="AG13" i="203"/>
  <c r="AF13" i="203"/>
  <c r="W13" i="203"/>
  <c r="H13" i="203"/>
  <c r="AG12" i="203"/>
  <c r="AF12" i="203"/>
  <c r="W12" i="203"/>
  <c r="H12" i="203"/>
  <c r="AG11" i="203"/>
  <c r="AF11" i="203"/>
  <c r="W11" i="203"/>
  <c r="H11" i="203"/>
  <c r="W10" i="203"/>
  <c r="N10" i="203" s="1"/>
  <c r="P10" i="203"/>
  <c r="H10" i="203"/>
  <c r="W9" i="203"/>
  <c r="N9" i="203" s="1"/>
  <c r="H9" i="203"/>
  <c r="W8" i="203"/>
  <c r="N8" i="203" s="1"/>
  <c r="P8" i="203"/>
  <c r="H8" i="203"/>
  <c r="W7" i="203"/>
  <c r="N7" i="203" s="1"/>
  <c r="H7" i="203"/>
  <c r="W6" i="203"/>
  <c r="N6" i="203" s="1"/>
  <c r="P6" i="203"/>
  <c r="H6" i="203"/>
  <c r="W5" i="203"/>
  <c r="N5" i="203" s="1"/>
  <c r="P5" i="203"/>
  <c r="H5" i="203"/>
  <c r="AA2" i="203"/>
  <c r="I2" i="203"/>
  <c r="E1" i="203"/>
  <c r="G1" i="209" l="1"/>
  <c r="G2" i="209" s="1"/>
  <c r="G1" i="208"/>
  <c r="G2" i="208" s="1"/>
  <c r="K24" i="208"/>
  <c r="K16" i="208"/>
  <c r="L5" i="208"/>
  <c r="L16" i="208" s="1"/>
  <c r="K38" i="208"/>
  <c r="L25" i="208"/>
  <c r="L38" i="208" s="1"/>
  <c r="K64" i="208"/>
  <c r="L52" i="208"/>
  <c r="L64" i="208" s="1"/>
  <c r="K75" i="208"/>
  <c r="L112" i="208"/>
  <c r="L124" i="208" s="1"/>
  <c r="K124" i="208"/>
  <c r="K100" i="208"/>
  <c r="L92" i="208"/>
  <c r="L100" i="208" s="1"/>
  <c r="L101" i="208"/>
  <c r="L111" i="208" s="1"/>
  <c r="K111" i="208"/>
  <c r="K16" i="209"/>
  <c r="L5" i="209"/>
  <c r="L16" i="209" s="1"/>
  <c r="K64" i="209"/>
  <c r="L52" i="209"/>
  <c r="L64" i="209" s="1"/>
  <c r="K24" i="209"/>
  <c r="K38" i="209"/>
  <c r="L82" i="209"/>
  <c r="L91" i="209" s="1"/>
  <c r="K100" i="209"/>
  <c r="L101" i="209"/>
  <c r="L111" i="209" s="1"/>
  <c r="L112" i="209"/>
  <c r="L124" i="209" s="1"/>
  <c r="K16" i="210"/>
  <c r="L5" i="210"/>
  <c r="L16" i="210" s="1"/>
  <c r="K64" i="210"/>
  <c r="L52" i="210"/>
  <c r="L64" i="210" s="1"/>
  <c r="L112" i="210"/>
  <c r="L124" i="210" s="1"/>
  <c r="K124" i="210"/>
  <c r="K75" i="209"/>
  <c r="L25" i="210"/>
  <c r="L38" i="210" s="1"/>
  <c r="K38" i="210"/>
  <c r="L82" i="210"/>
  <c r="L91" i="210" s="1"/>
  <c r="K91" i="210"/>
  <c r="L101" i="210"/>
  <c r="L111" i="210" s="1"/>
  <c r="K111" i="210"/>
  <c r="G1" i="210"/>
  <c r="G2" i="210" s="1"/>
  <c r="L17" i="210"/>
  <c r="L24" i="210" s="1"/>
  <c r="L92" i="210"/>
  <c r="L100" i="210" s="1"/>
  <c r="L65" i="210"/>
  <c r="L75" i="210" s="1"/>
  <c r="AF8" i="203"/>
  <c r="O8" i="203"/>
  <c r="AG8" i="203"/>
  <c r="AF19" i="203"/>
  <c r="O19" i="203"/>
  <c r="AG19" i="203"/>
  <c r="AG22" i="203"/>
  <c r="O22" i="203"/>
  <c r="AF22" i="203"/>
  <c r="R36" i="203"/>
  <c r="Q36" i="203"/>
  <c r="O48" i="203"/>
  <c r="AF48" i="203"/>
  <c r="AG48" i="203"/>
  <c r="AF10" i="203"/>
  <c r="AG10" i="203"/>
  <c r="O10" i="203"/>
  <c r="AF6" i="203"/>
  <c r="O6" i="203"/>
  <c r="AG6" i="203"/>
  <c r="AG9" i="203"/>
  <c r="AF9" i="203"/>
  <c r="O9" i="203"/>
  <c r="AG20" i="203"/>
  <c r="O20" i="203"/>
  <c r="AF20" i="203"/>
  <c r="O50" i="203"/>
  <c r="AF50" i="203"/>
  <c r="AG50" i="203"/>
  <c r="G1" i="203"/>
  <c r="G2" i="203" s="1"/>
  <c r="AG7" i="203"/>
  <c r="O7" i="203"/>
  <c r="AF7" i="203"/>
  <c r="P17" i="203"/>
  <c r="O18" i="203"/>
  <c r="N30" i="203"/>
  <c r="AG18" i="203"/>
  <c r="AF18" i="203"/>
  <c r="N43" i="203"/>
  <c r="O31" i="203"/>
  <c r="AG31" i="203"/>
  <c r="AF31" i="203"/>
  <c r="O59" i="203"/>
  <c r="AF59" i="203"/>
  <c r="AG59" i="203"/>
  <c r="Q73" i="203"/>
  <c r="N17" i="203"/>
  <c r="AF5" i="203"/>
  <c r="O5" i="203"/>
  <c r="AG5" i="203"/>
  <c r="AF21" i="203"/>
  <c r="O21" i="203"/>
  <c r="AG21" i="203"/>
  <c r="O46" i="203"/>
  <c r="AF46" i="203"/>
  <c r="AG46" i="203"/>
  <c r="AG61" i="203"/>
  <c r="O61" i="203"/>
  <c r="AF61" i="203"/>
  <c r="R75" i="203"/>
  <c r="Q75" i="203"/>
  <c r="R124" i="203"/>
  <c r="AF36" i="203"/>
  <c r="AG44" i="203"/>
  <c r="P69" i="203"/>
  <c r="N82" i="203"/>
  <c r="AG70" i="203"/>
  <c r="R128" i="203"/>
  <c r="Q128" i="203"/>
  <c r="P50" i="204"/>
  <c r="AF84" i="204"/>
  <c r="AG7" i="205"/>
  <c r="AF7" i="205"/>
  <c r="O7" i="205"/>
  <c r="AG34" i="205"/>
  <c r="AF34" i="205"/>
  <c r="O34" i="205"/>
  <c r="R47" i="205"/>
  <c r="Q47" i="205"/>
  <c r="N82" i="205"/>
  <c r="AG70" i="205"/>
  <c r="AF70" i="205"/>
  <c r="O70" i="205"/>
  <c r="P7" i="203"/>
  <c r="P9" i="203"/>
  <c r="P20" i="203"/>
  <c r="P22" i="203"/>
  <c r="Q32" i="203"/>
  <c r="AG32" i="203"/>
  <c r="O33" i="203"/>
  <c r="R34" i="203"/>
  <c r="AG34" i="203"/>
  <c r="O35" i="203"/>
  <c r="AG36" i="203"/>
  <c r="O37" i="203"/>
  <c r="O44" i="203"/>
  <c r="O45" i="203"/>
  <c r="O47" i="203"/>
  <c r="O49" i="203"/>
  <c r="O57" i="203"/>
  <c r="O58" i="203"/>
  <c r="O60" i="203"/>
  <c r="N69" i="203"/>
  <c r="P82" i="203"/>
  <c r="P70" i="203"/>
  <c r="AF70" i="203"/>
  <c r="O72" i="203"/>
  <c r="AG72" i="203"/>
  <c r="O83" i="203"/>
  <c r="R109" i="203"/>
  <c r="Q109" i="203"/>
  <c r="R110" i="203"/>
  <c r="Q110" i="203"/>
  <c r="AG112" i="203"/>
  <c r="AF112" i="203"/>
  <c r="R116" i="203"/>
  <c r="Q124" i="203"/>
  <c r="R126" i="203"/>
  <c r="Q126" i="203"/>
  <c r="AG128" i="203"/>
  <c r="AF128" i="203"/>
  <c r="AG136" i="203"/>
  <c r="AF136" i="203"/>
  <c r="R140" i="203"/>
  <c r="R142" i="203"/>
  <c r="Q142" i="203"/>
  <c r="AG144" i="203"/>
  <c r="AF144" i="203"/>
  <c r="AD2" i="204"/>
  <c r="Q43" i="204"/>
  <c r="AG43" i="204"/>
  <c r="AH31" i="204" s="1"/>
  <c r="AF43" i="204"/>
  <c r="AF45" i="204"/>
  <c r="O45" i="204"/>
  <c r="AG45" i="204"/>
  <c r="AF49" i="204"/>
  <c r="O49" i="204"/>
  <c r="AG49" i="204"/>
  <c r="AG153" i="204"/>
  <c r="AF153" i="204"/>
  <c r="AG57" i="203"/>
  <c r="AF75" i="203"/>
  <c r="R112" i="203"/>
  <c r="Q112" i="203"/>
  <c r="AG114" i="203"/>
  <c r="AF114" i="203"/>
  <c r="R136" i="203"/>
  <c r="Q136" i="203"/>
  <c r="AG138" i="203"/>
  <c r="AF138" i="203"/>
  <c r="AF150" i="203"/>
  <c r="AG150" i="203"/>
  <c r="O150" i="203"/>
  <c r="O160" i="203" s="1"/>
  <c r="P46" i="204"/>
  <c r="AF33" i="203"/>
  <c r="AF35" i="203"/>
  <c r="AF37" i="203"/>
  <c r="P44" i="203"/>
  <c r="AF45" i="203"/>
  <c r="P47" i="203"/>
  <c r="AF47" i="203"/>
  <c r="P49" i="203"/>
  <c r="AF49" i="203"/>
  <c r="P56" i="203"/>
  <c r="N56" i="203"/>
  <c r="P57" i="203"/>
  <c r="P58" i="203"/>
  <c r="AF58" i="203"/>
  <c r="P60" i="203"/>
  <c r="AF60" i="203"/>
  <c r="Q70" i="203"/>
  <c r="Q71" i="203"/>
  <c r="R74" i="203"/>
  <c r="P83" i="203"/>
  <c r="AG85" i="203"/>
  <c r="AF85" i="203"/>
  <c r="AG87" i="203"/>
  <c r="AF87" i="203"/>
  <c r="O96" i="203"/>
  <c r="AG96" i="203"/>
  <c r="N108" i="203"/>
  <c r="AF96" i="203"/>
  <c r="AG97" i="203"/>
  <c r="AF97" i="203"/>
  <c r="AG99" i="203"/>
  <c r="AF99" i="203"/>
  <c r="AG101" i="203"/>
  <c r="AF101" i="203"/>
  <c r="AG110" i="203"/>
  <c r="AF110" i="203"/>
  <c r="AG126" i="203"/>
  <c r="AF126" i="203"/>
  <c r="P147" i="203"/>
  <c r="P135" i="203"/>
  <c r="AG135" i="203"/>
  <c r="N147" i="203"/>
  <c r="AF135" i="203"/>
  <c r="AG142" i="203"/>
  <c r="AF142" i="203"/>
  <c r="AG148" i="203"/>
  <c r="N160" i="203"/>
  <c r="AF148" i="203"/>
  <c r="R46" i="204"/>
  <c r="Q46" i="204"/>
  <c r="AF83" i="203"/>
  <c r="N95" i="203"/>
  <c r="AG84" i="203"/>
  <c r="AF84" i="203"/>
  <c r="O84" i="203"/>
  <c r="AG86" i="203"/>
  <c r="AF86" i="203"/>
  <c r="O86" i="203"/>
  <c r="AG98" i="203"/>
  <c r="AF98" i="203"/>
  <c r="O98" i="203"/>
  <c r="AG100" i="203"/>
  <c r="AF100" i="203"/>
  <c r="O100" i="203"/>
  <c r="AG102" i="203"/>
  <c r="AF102" i="203"/>
  <c r="O102" i="203"/>
  <c r="R144" i="203"/>
  <c r="Q144" i="203"/>
  <c r="I1" i="203"/>
  <c r="R73" i="203"/>
  <c r="AG75" i="203"/>
  <c r="AF76" i="203"/>
  <c r="O76" i="203"/>
  <c r="O82" i="203" s="1"/>
  <c r="AG76" i="203"/>
  <c r="R85" i="203"/>
  <c r="Q85" i="203"/>
  <c r="R87" i="203"/>
  <c r="Q87" i="203"/>
  <c r="P95" i="203"/>
  <c r="R97" i="203"/>
  <c r="Q97" i="203"/>
  <c r="R99" i="203"/>
  <c r="Q99" i="203"/>
  <c r="R101" i="203"/>
  <c r="Q101" i="203"/>
  <c r="P121" i="203"/>
  <c r="P109" i="203"/>
  <c r="N121" i="203"/>
  <c r="AG109" i="203"/>
  <c r="AF109" i="203"/>
  <c r="O114" i="203"/>
  <c r="AG116" i="203"/>
  <c r="AF116" i="203"/>
  <c r="AG124" i="203"/>
  <c r="AF124" i="203"/>
  <c r="AG134" i="203"/>
  <c r="AH122" i="203" s="1"/>
  <c r="O138" i="203"/>
  <c r="AG140" i="203"/>
  <c r="AF140" i="203"/>
  <c r="R149" i="203"/>
  <c r="Q149" i="203"/>
  <c r="N56" i="204"/>
  <c r="O44" i="204"/>
  <c r="AG44" i="204"/>
  <c r="AF44" i="204"/>
  <c r="P108" i="203"/>
  <c r="AG122" i="203"/>
  <c r="P148" i="203"/>
  <c r="N173" i="203"/>
  <c r="O161" i="203"/>
  <c r="AG161" i="203"/>
  <c r="AF161" i="203"/>
  <c r="G1" i="204"/>
  <c r="G2" i="204" s="1"/>
  <c r="O5" i="204"/>
  <c r="AG5" i="204"/>
  <c r="AF5" i="204"/>
  <c r="O19" i="204"/>
  <c r="AG19" i="204"/>
  <c r="AG20" i="204"/>
  <c r="AF20" i="204"/>
  <c r="O20" i="204"/>
  <c r="O21" i="204"/>
  <c r="AG21" i="204"/>
  <c r="AG22" i="204"/>
  <c r="AF22" i="204"/>
  <c r="O22" i="204"/>
  <c r="P31" i="204"/>
  <c r="AG48" i="204"/>
  <c r="AF48" i="204"/>
  <c r="P56" i="204"/>
  <c r="R59" i="204"/>
  <c r="R61" i="204"/>
  <c r="Q61" i="204"/>
  <c r="P70" i="204"/>
  <c r="Q70" i="204"/>
  <c r="AG76" i="204"/>
  <c r="AF76" i="204"/>
  <c r="O76" i="204"/>
  <c r="P82" i="204"/>
  <c r="AG115" i="204"/>
  <c r="AF115" i="204"/>
  <c r="O115" i="204"/>
  <c r="AG129" i="204"/>
  <c r="AF129" i="204"/>
  <c r="O129" i="204"/>
  <c r="R137" i="204"/>
  <c r="Q137" i="204"/>
  <c r="AG141" i="204"/>
  <c r="AF141" i="204"/>
  <c r="O141" i="204"/>
  <c r="R143" i="204"/>
  <c r="Q143" i="204"/>
  <c r="AG151" i="204"/>
  <c r="AF151" i="204"/>
  <c r="AG165" i="204"/>
  <c r="AF165" i="204"/>
  <c r="O165" i="204"/>
  <c r="O111" i="203"/>
  <c r="O121" i="203" s="1"/>
  <c r="O113" i="203"/>
  <c r="O115" i="203"/>
  <c r="O117" i="203"/>
  <c r="O122" i="203"/>
  <c r="O123" i="203"/>
  <c r="O125" i="203"/>
  <c r="O127" i="203"/>
  <c r="O129" i="203"/>
  <c r="P134" i="203"/>
  <c r="O137" i="203"/>
  <c r="O139" i="203"/>
  <c r="O141" i="203"/>
  <c r="O143" i="203"/>
  <c r="AG152" i="203"/>
  <c r="AF152" i="203"/>
  <c r="O152" i="203"/>
  <c r="O153" i="203"/>
  <c r="AG153" i="203"/>
  <c r="P160" i="203"/>
  <c r="P17" i="204"/>
  <c r="AF19" i="204"/>
  <c r="AF21" i="204"/>
  <c r="AG32" i="204"/>
  <c r="AF32" i="204"/>
  <c r="AF33" i="204"/>
  <c r="O33" i="204"/>
  <c r="O43" i="204" s="1"/>
  <c r="AG34" i="204"/>
  <c r="AF34" i="204"/>
  <c r="AF35" i="204"/>
  <c r="O35" i="204"/>
  <c r="AG36" i="204"/>
  <c r="AF36" i="204"/>
  <c r="AF37" i="204"/>
  <c r="O37" i="204"/>
  <c r="P43" i="204"/>
  <c r="AF47" i="204"/>
  <c r="O47" i="204"/>
  <c r="Q48" i="204"/>
  <c r="P48" i="204"/>
  <c r="R50" i="204"/>
  <c r="Q50" i="204"/>
  <c r="AG61" i="204"/>
  <c r="AF61" i="204"/>
  <c r="R113" i="204"/>
  <c r="R123" i="204"/>
  <c r="Q123" i="204"/>
  <c r="R135" i="204"/>
  <c r="Q135" i="204"/>
  <c r="R139" i="204"/>
  <c r="Q139" i="204"/>
  <c r="O148" i="204"/>
  <c r="AG148" i="204"/>
  <c r="N160" i="204"/>
  <c r="AF148" i="204"/>
  <c r="AG149" i="204"/>
  <c r="R149" i="204"/>
  <c r="AF149" i="204"/>
  <c r="AG9" i="205"/>
  <c r="AF9" i="205"/>
  <c r="O9" i="205"/>
  <c r="O151" i="203"/>
  <c r="AF153" i="203"/>
  <c r="O162" i="203"/>
  <c r="AG162" i="203"/>
  <c r="AG163" i="203"/>
  <c r="AF163" i="203"/>
  <c r="O163" i="203"/>
  <c r="O164" i="203"/>
  <c r="AG164" i="203"/>
  <c r="AG165" i="203"/>
  <c r="AF165" i="203"/>
  <c r="O165" i="203"/>
  <c r="O166" i="203"/>
  <c r="AG166" i="203"/>
  <c r="O6" i="204"/>
  <c r="AG6" i="204"/>
  <c r="AG7" i="204"/>
  <c r="AF7" i="204"/>
  <c r="O7" i="204"/>
  <c r="O8" i="204"/>
  <c r="AG8" i="204"/>
  <c r="AG9" i="204"/>
  <c r="AF9" i="204"/>
  <c r="O9" i="204"/>
  <c r="O10" i="204"/>
  <c r="AG10" i="204"/>
  <c r="N17" i="204"/>
  <c r="O18" i="204"/>
  <c r="N30" i="204"/>
  <c r="AG18" i="204"/>
  <c r="AF18" i="204"/>
  <c r="R32" i="204"/>
  <c r="P32" i="204"/>
  <c r="R34" i="204"/>
  <c r="P34" i="204"/>
  <c r="R36" i="204"/>
  <c r="P36" i="204"/>
  <c r="AG46" i="204"/>
  <c r="AF46" i="204"/>
  <c r="AG50" i="204"/>
  <c r="AF50" i="204"/>
  <c r="AG59" i="204"/>
  <c r="AF59" i="204"/>
  <c r="N147" i="204"/>
  <c r="AG163" i="204"/>
  <c r="AF163" i="204"/>
  <c r="O163" i="204"/>
  <c r="N69" i="204"/>
  <c r="AG57" i="204"/>
  <c r="AG72" i="204"/>
  <c r="AG74" i="204"/>
  <c r="AF74" i="204"/>
  <c r="R84" i="204"/>
  <c r="Q84" i="204"/>
  <c r="AF86" i="204"/>
  <c r="AG98" i="204"/>
  <c r="AF98" i="204"/>
  <c r="AG100" i="204"/>
  <c r="Q100" i="204"/>
  <c r="AF100" i="204"/>
  <c r="AG102" i="204"/>
  <c r="AF102" i="204"/>
  <c r="R111" i="204"/>
  <c r="Q111" i="204"/>
  <c r="AG122" i="204"/>
  <c r="AF122" i="204"/>
  <c r="AG123" i="204"/>
  <c r="AF123" i="204"/>
  <c r="R125" i="204"/>
  <c r="Q125" i="204"/>
  <c r="R127" i="204"/>
  <c r="N134" i="204"/>
  <c r="AG139" i="204"/>
  <c r="AF139" i="204"/>
  <c r="AG143" i="204"/>
  <c r="AF143" i="204"/>
  <c r="R151" i="204"/>
  <c r="Q151" i="204"/>
  <c r="R153" i="204"/>
  <c r="Q153" i="204"/>
  <c r="P43" i="205"/>
  <c r="P31" i="205"/>
  <c r="P152" i="203"/>
  <c r="AF31" i="204"/>
  <c r="P69" i="204"/>
  <c r="O57" i="204"/>
  <c r="O58" i="204"/>
  <c r="O60" i="204"/>
  <c r="AF71" i="204"/>
  <c r="O71" i="204"/>
  <c r="AG71" i="204"/>
  <c r="AF72" i="204"/>
  <c r="AG85" i="204"/>
  <c r="AF85" i="204"/>
  <c r="O85" i="204"/>
  <c r="R86" i="204"/>
  <c r="Q86" i="204"/>
  <c r="N108" i="204"/>
  <c r="AF96" i="204"/>
  <c r="O96" i="204"/>
  <c r="R98" i="204"/>
  <c r="Q98" i="204"/>
  <c r="R102" i="204"/>
  <c r="Q102" i="204"/>
  <c r="R109" i="204"/>
  <c r="AG111" i="204"/>
  <c r="AF111" i="204"/>
  <c r="AG125" i="204"/>
  <c r="AF125" i="204"/>
  <c r="AG137" i="204"/>
  <c r="AF137" i="204"/>
  <c r="P147" i="204"/>
  <c r="AG150" i="204"/>
  <c r="AF150" i="204"/>
  <c r="O150" i="204"/>
  <c r="AG152" i="204"/>
  <c r="AF152" i="204"/>
  <c r="O152" i="204"/>
  <c r="N173" i="204"/>
  <c r="O161" i="204"/>
  <c r="AG161" i="204"/>
  <c r="AF161" i="204"/>
  <c r="AG162" i="204"/>
  <c r="AF162" i="204"/>
  <c r="AG164" i="204"/>
  <c r="AF164" i="204"/>
  <c r="AG166" i="204"/>
  <c r="AF166" i="204"/>
  <c r="G1" i="205"/>
  <c r="G2" i="205" s="1"/>
  <c r="N17" i="205"/>
  <c r="O5" i="205"/>
  <c r="AG5" i="205"/>
  <c r="AF5" i="205"/>
  <c r="AG6" i="205"/>
  <c r="AF6" i="205"/>
  <c r="AG8" i="205"/>
  <c r="Q8" i="205"/>
  <c r="AF8" i="205"/>
  <c r="P32" i="205"/>
  <c r="P44" i="204"/>
  <c r="P57" i="204"/>
  <c r="N82" i="204"/>
  <c r="O72" i="204"/>
  <c r="R74" i="204"/>
  <c r="N95" i="204"/>
  <c r="O83" i="204"/>
  <c r="AG83" i="204"/>
  <c r="AF83" i="204"/>
  <c r="AG87" i="204"/>
  <c r="AF87" i="204"/>
  <c r="O87" i="204"/>
  <c r="AG97" i="204"/>
  <c r="AF97" i="204"/>
  <c r="O97" i="204"/>
  <c r="AG99" i="204"/>
  <c r="AF99" i="204"/>
  <c r="O99" i="204"/>
  <c r="AG101" i="204"/>
  <c r="AF101" i="204"/>
  <c r="O101" i="204"/>
  <c r="P121" i="204"/>
  <c r="AG113" i="204"/>
  <c r="AF113" i="204"/>
  <c r="R122" i="204"/>
  <c r="Q122" i="204"/>
  <c r="AG127" i="204"/>
  <c r="AF127" i="204"/>
  <c r="P134" i="204"/>
  <c r="R162" i="204"/>
  <c r="Q162" i="204"/>
  <c r="R164" i="204"/>
  <c r="Q164" i="204"/>
  <c r="R166" i="204"/>
  <c r="Q166" i="204"/>
  <c r="R6" i="205"/>
  <c r="Q6" i="205"/>
  <c r="R8" i="205"/>
  <c r="O18" i="205"/>
  <c r="N30" i="205"/>
  <c r="AG18" i="205"/>
  <c r="AF18" i="205"/>
  <c r="AG20" i="205"/>
  <c r="AF20" i="205"/>
  <c r="O20" i="205"/>
  <c r="AG31" i="205"/>
  <c r="AF31" i="205"/>
  <c r="N43" i="205"/>
  <c r="O31" i="205"/>
  <c r="AG84" i="204"/>
  <c r="AG86" i="204"/>
  <c r="AG109" i="204"/>
  <c r="N121" i="204"/>
  <c r="AG135" i="204"/>
  <c r="P160" i="204"/>
  <c r="R19" i="205"/>
  <c r="AG22" i="205"/>
  <c r="AF22" i="205"/>
  <c r="O22" i="205"/>
  <c r="R45" i="205"/>
  <c r="Q45" i="205"/>
  <c r="O57" i="205"/>
  <c r="AG57" i="205"/>
  <c r="N69" i="205"/>
  <c r="AF57" i="205"/>
  <c r="AG71" i="205"/>
  <c r="AF71" i="205"/>
  <c r="O71" i="205"/>
  <c r="O73" i="204"/>
  <c r="O75" i="204"/>
  <c r="P96" i="204"/>
  <c r="P97" i="204"/>
  <c r="O110" i="204"/>
  <c r="O121" i="204" s="1"/>
  <c r="O112" i="204"/>
  <c r="O114" i="204"/>
  <c r="O116" i="204"/>
  <c r="O124" i="204"/>
  <c r="O126" i="204"/>
  <c r="O128" i="204"/>
  <c r="O136" i="204"/>
  <c r="O138" i="204"/>
  <c r="O140" i="204"/>
  <c r="O142" i="204"/>
  <c r="O144" i="204"/>
  <c r="AG11" i="205"/>
  <c r="P30" i="205"/>
  <c r="P20" i="205"/>
  <c r="R32" i="205"/>
  <c r="Q32" i="205"/>
  <c r="AF33" i="205"/>
  <c r="O33" i="205"/>
  <c r="AF35" i="205"/>
  <c r="O35" i="205"/>
  <c r="AG35" i="205"/>
  <c r="P69" i="205"/>
  <c r="AF72" i="205"/>
  <c r="O72" i="205"/>
  <c r="AG72" i="205"/>
  <c r="AF10" i="205"/>
  <c r="O11" i="205"/>
  <c r="AF11" i="205"/>
  <c r="Q19" i="205"/>
  <c r="AG21" i="205"/>
  <c r="R21" i="205"/>
  <c r="AF21" i="205"/>
  <c r="AG32" i="205"/>
  <c r="AF32" i="205"/>
  <c r="AG33" i="205"/>
  <c r="AG36" i="205"/>
  <c r="AF36" i="205"/>
  <c r="O36" i="205"/>
  <c r="O44" i="205"/>
  <c r="AG44" i="205"/>
  <c r="AF44" i="205"/>
  <c r="N56" i="205"/>
  <c r="R49" i="205"/>
  <c r="Q49" i="205"/>
  <c r="R58" i="205"/>
  <c r="Q58" i="205"/>
  <c r="R60" i="205"/>
  <c r="Q60" i="205"/>
  <c r="AF45" i="205"/>
  <c r="AF47" i="205"/>
  <c r="AF49" i="205"/>
  <c r="P56" i="205"/>
  <c r="AF58" i="205"/>
  <c r="AF60" i="205"/>
  <c r="AG85" i="205"/>
  <c r="AF85" i="205"/>
  <c r="O85" i="205"/>
  <c r="AF86" i="205"/>
  <c r="R104" i="205"/>
  <c r="Q104" i="205"/>
  <c r="AG111" i="205"/>
  <c r="AF111" i="205"/>
  <c r="AG113" i="205"/>
  <c r="AF113" i="205"/>
  <c r="AG115" i="205"/>
  <c r="AF115" i="205"/>
  <c r="O137" i="205"/>
  <c r="AG137" i="205"/>
  <c r="AF137" i="205"/>
  <c r="O141" i="205"/>
  <c r="AG141" i="205"/>
  <c r="AF141" i="205"/>
  <c r="AF153" i="205"/>
  <c r="O153" i="205"/>
  <c r="AG153" i="205"/>
  <c r="P34" i="205"/>
  <c r="P36" i="205"/>
  <c r="AG45" i="205"/>
  <c r="O46" i="205"/>
  <c r="AG47" i="205"/>
  <c r="O48" i="205"/>
  <c r="AG49" i="205"/>
  <c r="O50" i="205"/>
  <c r="AG58" i="205"/>
  <c r="O59" i="205"/>
  <c r="AG60" i="205"/>
  <c r="O61" i="205"/>
  <c r="P70" i="205"/>
  <c r="P71" i="205"/>
  <c r="Q73" i="205"/>
  <c r="Q74" i="205"/>
  <c r="R76" i="205"/>
  <c r="P82" i="205"/>
  <c r="N95" i="205"/>
  <c r="O83" i="205"/>
  <c r="AG83" i="205"/>
  <c r="AF83" i="205"/>
  <c r="R86" i="205"/>
  <c r="Q86" i="205"/>
  <c r="P95" i="205"/>
  <c r="N108" i="205"/>
  <c r="AF96" i="205"/>
  <c r="O96" i="205"/>
  <c r="AG96" i="205"/>
  <c r="AF98" i="205"/>
  <c r="AF100" i="205"/>
  <c r="AF102" i="205"/>
  <c r="AG124" i="205"/>
  <c r="AF46" i="205"/>
  <c r="AF48" i="205"/>
  <c r="AF50" i="205"/>
  <c r="AF59" i="205"/>
  <c r="AF61" i="205"/>
  <c r="R73" i="205"/>
  <c r="R74" i="205"/>
  <c r="AF84" i="205"/>
  <c r="AG87" i="205"/>
  <c r="AF87" i="205"/>
  <c r="O87" i="205"/>
  <c r="AF88" i="205"/>
  <c r="R98" i="205"/>
  <c r="Q98" i="205"/>
  <c r="R100" i="205"/>
  <c r="Q100" i="205"/>
  <c r="R102" i="205"/>
  <c r="Q102" i="205"/>
  <c r="P108" i="205"/>
  <c r="R109" i="205"/>
  <c r="AF73" i="205"/>
  <c r="O75" i="205"/>
  <c r="AG75" i="205"/>
  <c r="R84" i="205"/>
  <c r="Q84" i="205"/>
  <c r="R88" i="205"/>
  <c r="Q88" i="205"/>
  <c r="AG97" i="205"/>
  <c r="AF97" i="205"/>
  <c r="O97" i="205"/>
  <c r="AG99" i="205"/>
  <c r="AF99" i="205"/>
  <c r="O99" i="205"/>
  <c r="AG101" i="205"/>
  <c r="AF101" i="205"/>
  <c r="O101" i="205"/>
  <c r="AG103" i="205"/>
  <c r="AF103" i="205"/>
  <c r="O103" i="205"/>
  <c r="AF104" i="205"/>
  <c r="Q109" i="205"/>
  <c r="O111" i="205"/>
  <c r="O113" i="205"/>
  <c r="O115" i="205"/>
  <c r="Q124" i="205"/>
  <c r="AG84" i="205"/>
  <c r="AG86" i="205"/>
  <c r="AG88" i="205"/>
  <c r="AG98" i="205"/>
  <c r="AG100" i="205"/>
  <c r="AG102" i="205"/>
  <c r="AG104" i="205"/>
  <c r="AG109" i="205"/>
  <c r="P121" i="205"/>
  <c r="N121" i="205"/>
  <c r="N134" i="205"/>
  <c r="AF122" i="205"/>
  <c r="R129" i="205"/>
  <c r="Q129" i="205"/>
  <c r="O161" i="205"/>
  <c r="N173" i="205"/>
  <c r="AG161" i="205"/>
  <c r="AF161" i="205"/>
  <c r="AG165" i="205"/>
  <c r="AF165" i="205"/>
  <c r="O165" i="205"/>
  <c r="O110" i="205"/>
  <c r="O112" i="205"/>
  <c r="O114" i="205"/>
  <c r="O116" i="205"/>
  <c r="O122" i="205"/>
  <c r="AG123" i="205"/>
  <c r="AG125" i="205"/>
  <c r="AF125" i="205"/>
  <c r="Q126" i="205"/>
  <c r="O127" i="205"/>
  <c r="AG127" i="205"/>
  <c r="AF127" i="205"/>
  <c r="O139" i="205"/>
  <c r="AG139" i="205"/>
  <c r="AF139" i="205"/>
  <c r="O148" i="205"/>
  <c r="AG148" i="205"/>
  <c r="N160" i="205"/>
  <c r="AF148" i="205"/>
  <c r="P134" i="205"/>
  <c r="P122" i="205"/>
  <c r="AG122" i="205"/>
  <c r="O123" i="205"/>
  <c r="AF123" i="205"/>
  <c r="AF124" i="205"/>
  <c r="O125" i="205"/>
  <c r="N147" i="205"/>
  <c r="O143" i="205"/>
  <c r="AG143" i="205"/>
  <c r="AF143" i="205"/>
  <c r="P147" i="205"/>
  <c r="R149" i="205"/>
  <c r="Q149" i="205"/>
  <c r="P160" i="205"/>
  <c r="AG163" i="205"/>
  <c r="AF163" i="205"/>
  <c r="O163" i="205"/>
  <c r="AF129" i="205"/>
  <c r="AG135" i="205"/>
  <c r="AG149" i="205"/>
  <c r="O150" i="205"/>
  <c r="R151" i="205"/>
  <c r="AG151" i="205"/>
  <c r="O152" i="205"/>
  <c r="AG129" i="205"/>
  <c r="O135" i="205"/>
  <c r="O136" i="205"/>
  <c r="O138" i="205"/>
  <c r="O140" i="205"/>
  <c r="O142" i="205"/>
  <c r="O144" i="205"/>
  <c r="AF150" i="205"/>
  <c r="AF152" i="205"/>
  <c r="P173" i="205"/>
  <c r="AF128" i="205"/>
  <c r="AF136" i="205"/>
  <c r="AF138" i="205"/>
  <c r="AF140" i="205"/>
  <c r="O162" i="205"/>
  <c r="O164" i="205"/>
  <c r="O166" i="205"/>
  <c r="R128" i="205"/>
  <c r="M32" i="200"/>
  <c r="L32" i="200"/>
  <c r="K32" i="200"/>
  <c r="L8" i="200" s="1"/>
  <c r="J32" i="200"/>
  <c r="I32" i="200"/>
  <c r="H32" i="200"/>
  <c r="G32" i="200"/>
  <c r="J8" i="200" s="1"/>
  <c r="F32" i="200"/>
  <c r="E32" i="200"/>
  <c r="D32" i="200"/>
  <c r="Q15" i="200"/>
  <c r="P15" i="200"/>
  <c r="O15" i="200"/>
  <c r="N15" i="200"/>
  <c r="M15" i="200"/>
  <c r="L15" i="200"/>
  <c r="K15" i="200"/>
  <c r="J15" i="200"/>
  <c r="I15" i="200"/>
  <c r="H15" i="200"/>
  <c r="G15" i="200"/>
  <c r="F15" i="200"/>
  <c r="E15" i="200"/>
  <c r="D15" i="200"/>
  <c r="L7" i="200"/>
  <c r="J7" i="200"/>
  <c r="H7" i="200"/>
  <c r="F7" i="200"/>
  <c r="L6" i="200"/>
  <c r="J6" i="200"/>
  <c r="H6" i="200"/>
  <c r="F6" i="200"/>
  <c r="H8" i="200" l="1"/>
  <c r="E2" i="208"/>
  <c r="E2" i="210"/>
  <c r="E2" i="209"/>
  <c r="R121" i="203"/>
  <c r="S109" i="203" s="1"/>
  <c r="Q121" i="203"/>
  <c r="R160" i="203"/>
  <c r="S148" i="203" s="1"/>
  <c r="Q160" i="203"/>
  <c r="R121" i="204"/>
  <c r="S109" i="204" s="1"/>
  <c r="Q121" i="204"/>
  <c r="R166" i="205"/>
  <c r="Q166" i="205"/>
  <c r="Q140" i="205"/>
  <c r="R140" i="205"/>
  <c r="R150" i="205"/>
  <c r="Q150" i="205"/>
  <c r="R162" i="205"/>
  <c r="Q162" i="205"/>
  <c r="Q144" i="205"/>
  <c r="R144" i="205"/>
  <c r="Q136" i="205"/>
  <c r="R136" i="205"/>
  <c r="R126" i="205"/>
  <c r="Q123" i="205"/>
  <c r="R123" i="205"/>
  <c r="R114" i="205"/>
  <c r="Q114" i="205"/>
  <c r="AG173" i="205"/>
  <c r="AH161" i="205" s="1"/>
  <c r="AF173" i="205"/>
  <c r="Q128" i="205"/>
  <c r="AG134" i="205"/>
  <c r="AH122" i="205" s="1"/>
  <c r="AF134" i="205"/>
  <c r="R115" i="205"/>
  <c r="Q115" i="205"/>
  <c r="Q101" i="205"/>
  <c r="R101" i="205"/>
  <c r="Q96" i="205"/>
  <c r="O108" i="205"/>
  <c r="R96" i="205"/>
  <c r="R83" i="205"/>
  <c r="Q83" i="205"/>
  <c r="O95" i="205"/>
  <c r="Q61" i="205"/>
  <c r="R61" i="205"/>
  <c r="R33" i="205"/>
  <c r="Q33" i="205"/>
  <c r="R144" i="204"/>
  <c r="Q144" i="204"/>
  <c r="R136" i="204"/>
  <c r="Q136" i="204"/>
  <c r="R116" i="204"/>
  <c r="Q116" i="204"/>
  <c r="R71" i="205"/>
  <c r="Q71" i="205"/>
  <c r="AF69" i="205"/>
  <c r="AG69" i="205"/>
  <c r="AH57" i="205" s="1"/>
  <c r="Q69" i="205"/>
  <c r="Q99" i="204"/>
  <c r="R99" i="204"/>
  <c r="AG95" i="204"/>
  <c r="AH83" i="204" s="1"/>
  <c r="AF95" i="204"/>
  <c r="R5" i="205"/>
  <c r="Q5" i="205"/>
  <c r="O17" i="205"/>
  <c r="Q152" i="204"/>
  <c r="R152" i="204"/>
  <c r="R100" i="204"/>
  <c r="Q85" i="204"/>
  <c r="R85" i="204"/>
  <c r="R60" i="204"/>
  <c r="Q60" i="204"/>
  <c r="Q21" i="205"/>
  <c r="AG134" i="204"/>
  <c r="AH122" i="204" s="1"/>
  <c r="AF134" i="204"/>
  <c r="AF69" i="204"/>
  <c r="Q69" i="204"/>
  <c r="AG69" i="204"/>
  <c r="AH57" i="204" s="1"/>
  <c r="AG147" i="204"/>
  <c r="AH135" i="204" s="1"/>
  <c r="AF147" i="204"/>
  <c r="O30" i="204"/>
  <c r="R18" i="204"/>
  <c r="Q18" i="204"/>
  <c r="Q9" i="204"/>
  <c r="R9" i="204"/>
  <c r="R8" i="204"/>
  <c r="Q8" i="204"/>
  <c r="AG160" i="204"/>
  <c r="AH148" i="204" s="1"/>
  <c r="AF160" i="204"/>
  <c r="Q127" i="204"/>
  <c r="Q113" i="204"/>
  <c r="Q152" i="203"/>
  <c r="R152" i="203"/>
  <c r="R143" i="203"/>
  <c r="Q143" i="203"/>
  <c r="R125" i="203"/>
  <c r="Q125" i="203"/>
  <c r="R115" i="203"/>
  <c r="Q115" i="203"/>
  <c r="Q34" i="204"/>
  <c r="R5" i="204"/>
  <c r="O17" i="204"/>
  <c r="Q5" i="204"/>
  <c r="R161" i="203"/>
  <c r="Q161" i="203"/>
  <c r="O173" i="203"/>
  <c r="AG56" i="204"/>
  <c r="AH44" i="204" s="1"/>
  <c r="Q56" i="204"/>
  <c r="AF56" i="204"/>
  <c r="R138" i="203"/>
  <c r="Q138" i="203"/>
  <c r="AG95" i="203"/>
  <c r="AH83" i="203" s="1"/>
  <c r="AF95" i="203"/>
  <c r="R48" i="204"/>
  <c r="AG160" i="203"/>
  <c r="AH148" i="203" s="1"/>
  <c r="AF160" i="203"/>
  <c r="O108" i="203"/>
  <c r="R96" i="203"/>
  <c r="Q96" i="203"/>
  <c r="R49" i="204"/>
  <c r="Q49" i="204"/>
  <c r="R72" i="203"/>
  <c r="Q72" i="203"/>
  <c r="AF69" i="203"/>
  <c r="Q69" i="203"/>
  <c r="AG69" i="203"/>
  <c r="AH57" i="203" s="1"/>
  <c r="Q49" i="203"/>
  <c r="R49" i="203"/>
  <c r="Q37" i="203"/>
  <c r="R37" i="203"/>
  <c r="AG82" i="205"/>
  <c r="AH70" i="205" s="1"/>
  <c r="AF82" i="205"/>
  <c r="Q82" i="205"/>
  <c r="R34" i="205"/>
  <c r="Q34" i="205"/>
  <c r="O17" i="203"/>
  <c r="Q5" i="203"/>
  <c r="R5" i="203"/>
  <c r="R32" i="203"/>
  <c r="Q142" i="205"/>
  <c r="R142" i="205"/>
  <c r="Q135" i="205"/>
  <c r="O147" i="205"/>
  <c r="R135" i="205"/>
  <c r="R163" i="205"/>
  <c r="Q163" i="205"/>
  <c r="Q125" i="205"/>
  <c r="R125" i="205"/>
  <c r="AG160" i="205"/>
  <c r="AH148" i="205" s="1"/>
  <c r="AF160" i="205"/>
  <c r="Q127" i="205"/>
  <c r="R127" i="205"/>
  <c r="R112" i="205"/>
  <c r="Q112" i="205"/>
  <c r="O173" i="205"/>
  <c r="R161" i="205"/>
  <c r="Q161" i="205"/>
  <c r="AG121" i="205"/>
  <c r="AH109" i="205" s="1"/>
  <c r="AF121" i="205"/>
  <c r="R113" i="205"/>
  <c r="Q113" i="205"/>
  <c r="Q103" i="205"/>
  <c r="R103" i="205"/>
  <c r="AG95" i="205"/>
  <c r="AH83" i="205" s="1"/>
  <c r="AF95" i="205"/>
  <c r="Q50" i="205"/>
  <c r="R50" i="205"/>
  <c r="Q46" i="205"/>
  <c r="R46" i="205"/>
  <c r="R142" i="204"/>
  <c r="Q142" i="204"/>
  <c r="R128" i="204"/>
  <c r="Q128" i="204"/>
  <c r="R114" i="204"/>
  <c r="Q114" i="204"/>
  <c r="Q22" i="205"/>
  <c r="R22" i="205"/>
  <c r="AF121" i="204"/>
  <c r="AG121" i="204"/>
  <c r="AH109" i="204" s="1"/>
  <c r="R31" i="205"/>
  <c r="O43" i="205"/>
  <c r="R43" i="205" s="1"/>
  <c r="S31" i="205" s="1"/>
  <c r="Q31" i="205"/>
  <c r="Q20" i="205"/>
  <c r="R20" i="205"/>
  <c r="Q101" i="204"/>
  <c r="R101" i="204"/>
  <c r="AG17" i="205"/>
  <c r="AH5" i="205" s="1"/>
  <c r="AF17" i="205"/>
  <c r="AG108" i="204"/>
  <c r="AH96" i="204" s="1"/>
  <c r="AF108" i="204"/>
  <c r="R58" i="204"/>
  <c r="Q58" i="204"/>
  <c r="Q163" i="204"/>
  <c r="R163" i="204"/>
  <c r="AG17" i="204"/>
  <c r="AH5" i="204" s="1"/>
  <c r="AF17" i="204"/>
  <c r="Q7" i="204"/>
  <c r="R7" i="204"/>
  <c r="R6" i="204"/>
  <c r="Q6" i="204"/>
  <c r="R166" i="203"/>
  <c r="Q166" i="203"/>
  <c r="Q9" i="205"/>
  <c r="R9" i="205"/>
  <c r="R141" i="203"/>
  <c r="Q141" i="203"/>
  <c r="R123" i="203"/>
  <c r="Q123" i="203"/>
  <c r="R113" i="203"/>
  <c r="Q113" i="203"/>
  <c r="R43" i="204"/>
  <c r="S31" i="204" s="1"/>
  <c r="AG173" i="203"/>
  <c r="AH161" i="203" s="1"/>
  <c r="AF173" i="203"/>
  <c r="AG121" i="203"/>
  <c r="AH109" i="203" s="1"/>
  <c r="AF121" i="203"/>
  <c r="Q98" i="203"/>
  <c r="R98" i="203"/>
  <c r="Q84" i="203"/>
  <c r="R84" i="203"/>
  <c r="R70" i="204"/>
  <c r="AF56" i="203"/>
  <c r="AG56" i="203"/>
  <c r="AH44" i="203" s="1"/>
  <c r="Q56" i="203"/>
  <c r="Q135" i="203"/>
  <c r="Q83" i="203"/>
  <c r="O95" i="203"/>
  <c r="R83" i="203"/>
  <c r="Q60" i="203"/>
  <c r="R60" i="203"/>
  <c r="Q47" i="203"/>
  <c r="R47" i="203"/>
  <c r="Q33" i="203"/>
  <c r="R33" i="203"/>
  <c r="O82" i="205"/>
  <c r="R82" i="205" s="1"/>
  <c r="S70" i="205" s="1"/>
  <c r="R70" i="205"/>
  <c r="Q70" i="205"/>
  <c r="Q82" i="203"/>
  <c r="AG82" i="203"/>
  <c r="AH70" i="203" s="1"/>
  <c r="AF82" i="203"/>
  <c r="R82" i="203"/>
  <c r="S70" i="203" s="1"/>
  <c r="R21" i="203"/>
  <c r="Q21" i="203"/>
  <c r="R20" i="203"/>
  <c r="Q20" i="203"/>
  <c r="Q116" i="203"/>
  <c r="Q34" i="203"/>
  <c r="R143" i="205"/>
  <c r="Q143" i="205"/>
  <c r="R139" i="205"/>
  <c r="Q139" i="205"/>
  <c r="Q122" i="205"/>
  <c r="O134" i="205"/>
  <c r="R122" i="205"/>
  <c r="R110" i="205"/>
  <c r="Q110" i="205"/>
  <c r="Q151" i="205"/>
  <c r="R111" i="205"/>
  <c r="Q111" i="205"/>
  <c r="Q97" i="205"/>
  <c r="R97" i="205"/>
  <c r="O121" i="205"/>
  <c r="AG108" i="205"/>
  <c r="AH96" i="205" s="1"/>
  <c r="AF108" i="205"/>
  <c r="Q59" i="205"/>
  <c r="R59" i="205"/>
  <c r="R137" i="205"/>
  <c r="Q137" i="205"/>
  <c r="R44" i="205"/>
  <c r="O56" i="205"/>
  <c r="R56" i="205" s="1"/>
  <c r="S44" i="205" s="1"/>
  <c r="Q44" i="205"/>
  <c r="R72" i="205"/>
  <c r="Q72" i="205"/>
  <c r="R35" i="205"/>
  <c r="Q35" i="205"/>
  <c r="R140" i="204"/>
  <c r="Q140" i="204"/>
  <c r="R126" i="204"/>
  <c r="Q126" i="204"/>
  <c r="R112" i="204"/>
  <c r="Q112" i="204"/>
  <c r="R75" i="204"/>
  <c r="Q75" i="204"/>
  <c r="O69" i="205"/>
  <c r="R69" i="205" s="1"/>
  <c r="S57" i="205" s="1"/>
  <c r="R57" i="205"/>
  <c r="Q57" i="205"/>
  <c r="AG43" i="205"/>
  <c r="AH31" i="205" s="1"/>
  <c r="AF43" i="205"/>
  <c r="Q43" i="205"/>
  <c r="AF30" i="205"/>
  <c r="AG30" i="205"/>
  <c r="AH18" i="205" s="1"/>
  <c r="Q87" i="204"/>
  <c r="R87" i="204"/>
  <c r="R72" i="204"/>
  <c r="Q72" i="204"/>
  <c r="R161" i="204"/>
  <c r="Q161" i="204"/>
  <c r="O173" i="204"/>
  <c r="Q71" i="204"/>
  <c r="R71" i="204"/>
  <c r="O69" i="204"/>
  <c r="R69" i="204" s="1"/>
  <c r="S57" i="204" s="1"/>
  <c r="R57" i="204"/>
  <c r="Q57" i="204"/>
  <c r="Q149" i="204"/>
  <c r="Q165" i="203"/>
  <c r="R165" i="203"/>
  <c r="R164" i="203"/>
  <c r="Q164" i="203"/>
  <c r="R151" i="203"/>
  <c r="Q151" i="203"/>
  <c r="O160" i="204"/>
  <c r="R148" i="204"/>
  <c r="Q148" i="204"/>
  <c r="Q74" i="204"/>
  <c r="R47" i="204"/>
  <c r="Q47" i="204"/>
  <c r="R37" i="204"/>
  <c r="Q37" i="204"/>
  <c r="R35" i="204"/>
  <c r="Q35" i="204"/>
  <c r="R33" i="204"/>
  <c r="Q33" i="204"/>
  <c r="R139" i="203"/>
  <c r="Q139" i="203"/>
  <c r="R129" i="203"/>
  <c r="Q129" i="203"/>
  <c r="O134" i="203"/>
  <c r="R122" i="203"/>
  <c r="Q122" i="203"/>
  <c r="R111" i="203"/>
  <c r="Q111" i="203"/>
  <c r="Q165" i="204"/>
  <c r="R165" i="204"/>
  <c r="R141" i="204"/>
  <c r="Q141" i="204"/>
  <c r="R115" i="204"/>
  <c r="Q115" i="204"/>
  <c r="R76" i="204"/>
  <c r="Q76" i="204"/>
  <c r="Q36" i="204"/>
  <c r="Q32" i="204"/>
  <c r="Q22" i="204"/>
  <c r="R22" i="204"/>
  <c r="R21" i="204"/>
  <c r="Q21" i="204"/>
  <c r="Q59" i="204"/>
  <c r="Q31" i="204"/>
  <c r="R114" i="203"/>
  <c r="Q114" i="203"/>
  <c r="Q76" i="203"/>
  <c r="R76" i="203"/>
  <c r="Q100" i="203"/>
  <c r="R100" i="203"/>
  <c r="Q86" i="203"/>
  <c r="R86" i="203"/>
  <c r="O82" i="204"/>
  <c r="R82" i="204" s="1"/>
  <c r="S70" i="204" s="1"/>
  <c r="AG147" i="203"/>
  <c r="AH135" i="203" s="1"/>
  <c r="AF147" i="203"/>
  <c r="AF108" i="203"/>
  <c r="AG108" i="203"/>
  <c r="AH96" i="203" s="1"/>
  <c r="R150" i="203"/>
  <c r="Q150" i="203"/>
  <c r="R135" i="203"/>
  <c r="Q148" i="203"/>
  <c r="Q74" i="203"/>
  <c r="Q58" i="203"/>
  <c r="R58" i="203"/>
  <c r="Q45" i="203"/>
  <c r="R45" i="203"/>
  <c r="Q35" i="203"/>
  <c r="R35" i="203"/>
  <c r="Q140" i="203"/>
  <c r="AG17" i="203"/>
  <c r="AH5" i="203" s="1"/>
  <c r="AF17" i="203"/>
  <c r="R59" i="203"/>
  <c r="Q59" i="203"/>
  <c r="R31" i="203"/>
  <c r="O43" i="203"/>
  <c r="R43" i="203" s="1"/>
  <c r="S31" i="203" s="1"/>
  <c r="Q31" i="203"/>
  <c r="AG30" i="203"/>
  <c r="AH18" i="203" s="1"/>
  <c r="AF30" i="203"/>
  <c r="R7" i="203"/>
  <c r="Q7" i="203"/>
  <c r="Q10" i="203"/>
  <c r="R10" i="203"/>
  <c r="R48" i="203"/>
  <c r="Q48" i="203"/>
  <c r="Q19" i="203"/>
  <c r="R19" i="203"/>
  <c r="R8" i="203"/>
  <c r="Q8" i="203"/>
  <c r="R164" i="205"/>
  <c r="Q164" i="205"/>
  <c r="Q138" i="205"/>
  <c r="R138" i="205"/>
  <c r="R152" i="205"/>
  <c r="Q152" i="205"/>
  <c r="AG147" i="205"/>
  <c r="AH135" i="205" s="1"/>
  <c r="AF147" i="205"/>
  <c r="O160" i="205"/>
  <c r="R148" i="205"/>
  <c r="Q148" i="205"/>
  <c r="R116" i="205"/>
  <c r="Q116" i="205"/>
  <c r="R165" i="205"/>
  <c r="Q165" i="205"/>
  <c r="Q99" i="205"/>
  <c r="R99" i="205"/>
  <c r="R75" i="205"/>
  <c r="Q75" i="205"/>
  <c r="Q87" i="205"/>
  <c r="R87" i="205"/>
  <c r="Q48" i="205"/>
  <c r="R48" i="205"/>
  <c r="R153" i="205"/>
  <c r="Q153" i="205"/>
  <c r="R141" i="205"/>
  <c r="Q141" i="205"/>
  <c r="Q85" i="205"/>
  <c r="R85" i="205"/>
  <c r="AG56" i="205"/>
  <c r="AH44" i="205" s="1"/>
  <c r="Q56" i="205"/>
  <c r="AF56" i="205"/>
  <c r="R36" i="205"/>
  <c r="Q36" i="205"/>
  <c r="Q11" i="205"/>
  <c r="R11" i="205"/>
  <c r="R138" i="204"/>
  <c r="Q138" i="204"/>
  <c r="R124" i="204"/>
  <c r="Q124" i="204"/>
  <c r="R110" i="204"/>
  <c r="Q110" i="204"/>
  <c r="R73" i="204"/>
  <c r="Q73" i="204"/>
  <c r="O30" i="205"/>
  <c r="R18" i="205"/>
  <c r="Q18" i="205"/>
  <c r="O134" i="204"/>
  <c r="Q97" i="204"/>
  <c r="R97" i="204"/>
  <c r="R83" i="204"/>
  <c r="Q83" i="204"/>
  <c r="O95" i="204"/>
  <c r="AG82" i="204"/>
  <c r="AH70" i="204" s="1"/>
  <c r="AF82" i="204"/>
  <c r="Q82" i="204"/>
  <c r="AG173" i="204"/>
  <c r="AH161" i="204" s="1"/>
  <c r="AF173" i="204"/>
  <c r="Q150" i="204"/>
  <c r="R150" i="204"/>
  <c r="Q96" i="204"/>
  <c r="O108" i="204"/>
  <c r="R96" i="204"/>
  <c r="AF30" i="204"/>
  <c r="AG30" i="204"/>
  <c r="AH18" i="204" s="1"/>
  <c r="R10" i="204"/>
  <c r="Q10" i="204"/>
  <c r="Q163" i="203"/>
  <c r="R163" i="203"/>
  <c r="R162" i="203"/>
  <c r="Q162" i="203"/>
  <c r="O147" i="204"/>
  <c r="R153" i="203"/>
  <c r="Q153" i="203"/>
  <c r="R137" i="203"/>
  <c r="Q137" i="203"/>
  <c r="R127" i="203"/>
  <c r="Q127" i="203"/>
  <c r="R117" i="203"/>
  <c r="Q117" i="203"/>
  <c r="R129" i="204"/>
  <c r="Q129" i="204"/>
  <c r="Q20" i="204"/>
  <c r="R20" i="204"/>
  <c r="R19" i="204"/>
  <c r="Q19" i="204"/>
  <c r="R44" i="204"/>
  <c r="Q44" i="204"/>
  <c r="O56" i="204"/>
  <c r="R56" i="204" s="1"/>
  <c r="S44" i="204" s="1"/>
  <c r="R31" i="204"/>
  <c r="Q102" i="203"/>
  <c r="R102" i="203"/>
  <c r="O147" i="203"/>
  <c r="R45" i="204"/>
  <c r="Q45" i="204"/>
  <c r="R148" i="203"/>
  <c r="Q57" i="203"/>
  <c r="O69" i="203"/>
  <c r="R69" i="203" s="1"/>
  <c r="S57" i="203" s="1"/>
  <c r="R57" i="203"/>
  <c r="O56" i="203"/>
  <c r="R56" i="203" s="1"/>
  <c r="S44" i="203" s="1"/>
  <c r="Q44" i="203"/>
  <c r="R44" i="203"/>
  <c r="Q7" i="205"/>
  <c r="R7" i="205"/>
  <c r="R61" i="203"/>
  <c r="Q61" i="203"/>
  <c r="R46" i="203"/>
  <c r="Q46" i="203"/>
  <c r="Q43" i="203"/>
  <c r="AG43" i="203"/>
  <c r="AH31" i="203" s="1"/>
  <c r="AF43" i="203"/>
  <c r="O30" i="203"/>
  <c r="R18" i="203"/>
  <c r="Q18" i="203"/>
  <c r="R50" i="203"/>
  <c r="Q50" i="203"/>
  <c r="R9" i="203"/>
  <c r="Q9" i="203"/>
  <c r="Q6" i="203"/>
  <c r="R6" i="203"/>
  <c r="R22" i="203"/>
  <c r="Q22" i="203"/>
  <c r="F8" i="200"/>
  <c r="R95" i="204" l="1"/>
  <c r="S83" i="204" s="1"/>
  <c r="Q95" i="204"/>
  <c r="Q134" i="204"/>
  <c r="R134" i="204"/>
  <c r="S122" i="204" s="1"/>
  <c r="R134" i="203"/>
  <c r="S122" i="203" s="1"/>
  <c r="Q134" i="203"/>
  <c r="R108" i="204"/>
  <c r="S96" i="204" s="1"/>
  <c r="Q108" i="204"/>
  <c r="R147" i="205"/>
  <c r="S135" i="205" s="1"/>
  <c r="Q147" i="205"/>
  <c r="R95" i="205"/>
  <c r="S83" i="205" s="1"/>
  <c r="Q95" i="205"/>
  <c r="R108" i="205"/>
  <c r="S96" i="205" s="1"/>
  <c r="Q108" i="205"/>
  <c r="R30" i="205"/>
  <c r="S18" i="205" s="1"/>
  <c r="Q30" i="205"/>
  <c r="Q160" i="205"/>
  <c r="R160" i="205"/>
  <c r="S148" i="205" s="1"/>
  <c r="R173" i="204"/>
  <c r="S161" i="204" s="1"/>
  <c r="Q173" i="204"/>
  <c r="R30" i="204"/>
  <c r="S18" i="204" s="1"/>
  <c r="Q30" i="204"/>
  <c r="Q17" i="205"/>
  <c r="R17" i="205"/>
  <c r="S5" i="205" s="1"/>
  <c r="E2" i="205"/>
  <c r="Q30" i="203"/>
  <c r="R30" i="203"/>
  <c r="S18" i="203" s="1"/>
  <c r="R147" i="203"/>
  <c r="S135" i="203" s="1"/>
  <c r="Q147" i="203"/>
  <c r="Q147" i="204"/>
  <c r="R147" i="204"/>
  <c r="S135" i="204" s="1"/>
  <c r="R160" i="204"/>
  <c r="S148" i="204" s="1"/>
  <c r="Q160" i="204"/>
  <c r="Q121" i="205"/>
  <c r="R121" i="205"/>
  <c r="S109" i="205" s="1"/>
  <c r="R95" i="203"/>
  <c r="S83" i="203" s="1"/>
  <c r="Q95" i="203"/>
  <c r="R108" i="203"/>
  <c r="S96" i="203" s="1"/>
  <c r="Q108" i="203"/>
  <c r="R134" i="205"/>
  <c r="S122" i="205" s="1"/>
  <c r="Q134" i="205"/>
  <c r="R173" i="205"/>
  <c r="S161" i="205" s="1"/>
  <c r="Q173" i="205"/>
  <c r="R17" i="203"/>
  <c r="S5" i="203" s="1"/>
  <c r="Q17" i="203"/>
  <c r="E2" i="203"/>
  <c r="R173" i="203"/>
  <c r="S161" i="203" s="1"/>
  <c r="Q173" i="203"/>
  <c r="Q17" i="204"/>
  <c r="E2" i="204"/>
  <c r="R17" i="204"/>
  <c r="S5" i="204" s="1"/>
</calcChain>
</file>

<file path=xl/sharedStrings.xml><?xml version="1.0" encoding="utf-8"?>
<sst xmlns="http://schemas.openxmlformats.org/spreadsheetml/2006/main" count="2864" uniqueCount="442">
  <si>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</si>
  <si>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</si>
  <si>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</si>
  <si>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</si>
  <si>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</si>
  <si>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</si>
  <si>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</si>
  <si>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</si>
  <si>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</si>
  <si>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</si>
  <si>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</si>
  <si>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</si>
  <si>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</si>
  <si>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</si>
  <si>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</si>
  <si>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</si>
  <si>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</si>
  <si>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</si>
  <si>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</si>
  <si>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</si>
  <si>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</si>
  <si>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</si>
  <si>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</si>
  <si>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</si>
  <si>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</si>
  <si>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</si>
  <si>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</si>
  <si>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</si>
  <si>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</si>
  <si>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</si>
  <si>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</si>
  <si>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</si>
  <si>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</si>
  <si>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</si>
  <si>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</si>
  <si>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</si>
  <si>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</si>
  <si>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</si>
  <si>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</si>
  <si>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</si>
  <si>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</si>
  <si>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</si>
  <si>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</si>
  <si>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</si>
  <si>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</si>
  <si>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</si>
  <si>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</si>
  <si>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</si>
  <si>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</si>
  <si>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</si>
  <si>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</si>
  <si>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</si>
  <si>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</si>
  <si>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</si>
  <si>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</si>
  <si>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</si>
  <si>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</si>
  <si>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</si>
  <si>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</si>
  <si>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</si>
  <si>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</si>
  <si>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</si>
  <si>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</si>
  <si>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</si>
  <si>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</si>
  <si>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</si>
  <si>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</si>
  <si>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</si>
  <si>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</si>
  <si>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</si>
  <si>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</si>
  <si>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蕃茄起司手工千層麵(區2)</t>
  </si>
  <si>
    <t>嘉義劉里長雞肉飯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</si>
  <si>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</si>
  <si>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</si>
  <si>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</si>
  <si>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</si>
  <si>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</si>
  <si>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</si>
  <si>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極上炙烤親子丼</t>
  </si>
  <si>
    <t>鐵板滑蛋炸豬排丼</t>
  </si>
  <si>
    <t>壹號醬雞豚雙拼</t>
  </si>
  <si>
    <t>好多蒜燒豚飯</t>
  </si>
  <si>
    <t>二配鮭魚蛋炒飯</t>
  </si>
  <si>
    <t>二配香拌海鮮醬肉絲蛋炒飯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</si>
  <si>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</si>
  <si>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</si>
  <si>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</si>
  <si>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</si>
  <si>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</si>
  <si>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二配失控起司薯餅焗飯</t>
  </si>
  <si>
    <t>二配哞哞培根奶香海陸焗飯</t>
  </si>
  <si>
    <t>二配港式香滑嫩蛋牛肉燴飯</t>
  </si>
  <si>
    <t>二配金咖哩濃厚辛口咖哩飯</t>
  </si>
  <si>
    <t>二配美味蟹煲</t>
  </si>
  <si>
    <t>二配金咖哩果香甘口咖哩飯</t>
  </si>
  <si>
    <t>二配泰式綠咖哩雞</t>
  </si>
  <si>
    <t>二配川味麻婆燒豆腐燴飯</t>
  </si>
  <si>
    <t>二配厚香料咖哩雞排飯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</si>
  <si>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</si>
  <si>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</si>
  <si>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</si>
  <si>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</si>
  <si>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</si>
  <si>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</si>
  <si>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</si>
  <si>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</si>
  <si>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</si>
  <si>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</si>
  <si>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</si>
  <si>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</si>
  <si>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</si>
  <si>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</si>
  <si>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總生產量</t>
    <phoneticPr fontId="7" type="noConversion"/>
  </si>
  <si>
    <t>線別</t>
    <phoneticPr fontId="3" type="noConversion"/>
  </si>
  <si>
    <t>品名</t>
    <phoneticPr fontId="3" type="noConversion"/>
  </si>
  <si>
    <t>產能/時</t>
    <phoneticPr fontId="7" type="noConversion"/>
  </si>
  <si>
    <t>人數</t>
    <phoneticPr fontId="7" type="noConversion"/>
  </si>
  <si>
    <t>稼動時間/分</t>
    <phoneticPr fontId="7" type="noConversion"/>
  </si>
  <si>
    <t>休息時間</t>
    <phoneticPr fontId="7" type="noConversion"/>
  </si>
  <si>
    <t>平均</t>
    <phoneticPr fontId="7" type="noConversion"/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</si>
  <si>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</si>
  <si>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</si>
  <si>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</si>
  <si>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</si>
  <si>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</si>
  <si>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</si>
  <si>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</si>
  <si>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</si>
  <si>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</si>
  <si>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</si>
  <si>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</si>
  <si>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</si>
  <si>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</si>
  <si>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</si>
  <si>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</si>
  <si>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</si>
  <si>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</si>
  <si>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</si>
  <si>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</si>
  <si>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</si>
  <si>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</si>
  <si>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</si>
  <si>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</si>
  <si>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</si>
  <si>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</si>
  <si>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</si>
  <si>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</si>
  <si>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</si>
  <si>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</si>
  <si>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</si>
  <si>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</si>
  <si>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</si>
  <si>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</si>
  <si>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</si>
  <si>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</si>
  <si>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日報登錄</t>
    <phoneticPr fontId="7" type="noConversion"/>
  </si>
  <si>
    <t>多次
生產</t>
    <phoneticPr fontId="7" type="noConversion"/>
  </si>
  <si>
    <t>開始</t>
    <phoneticPr fontId="7" type="noConversion"/>
  </si>
  <si>
    <t>二配濃起司燻腸紅醬焗烤飯</t>
  </si>
  <si>
    <t>蟹味可樂餅風炸飯糰</t>
  </si>
  <si>
    <t>日式中濃醬炭火漢堡排飯</t>
  </si>
  <si>
    <t>二配鐵板豆腐燴蛋蓋飯</t>
  </si>
  <si>
    <t xml:space="preserve">晉欣廠四度C日報分析                              </t>
    <phoneticPr fontId="7" type="noConversion"/>
  </si>
  <si>
    <t>合計
次數</t>
    <phoneticPr fontId="7" type="noConversion"/>
  </si>
  <si>
    <t>合計
設備次數</t>
    <phoneticPr fontId="3" type="noConversion"/>
  </si>
  <si>
    <t>產能差異分析</t>
    <phoneticPr fontId="7" type="noConversion"/>
  </si>
  <si>
    <t>達成率</t>
    <phoneticPr fontId="7" type="noConversion"/>
  </si>
  <si>
    <t>達成率平均</t>
    <phoneticPr fontId="7" type="noConversion"/>
  </si>
  <si>
    <t>分析說明</t>
    <phoneticPr fontId="7" type="noConversion"/>
  </si>
  <si>
    <t>次數</t>
    <phoneticPr fontId="4"/>
  </si>
  <si>
    <t>設備因素(次數)</t>
    <phoneticPr fontId="4"/>
  </si>
  <si>
    <t xml:space="preserve">4度二組A
</t>
    <phoneticPr fontId="3" type="noConversion"/>
  </si>
  <si>
    <t xml:space="preserve">
4度二組C2
</t>
    <phoneticPr fontId="3" type="noConversion"/>
  </si>
  <si>
    <t>四度四組
(ET-55)</t>
    <phoneticPr fontId="7" type="noConversion"/>
  </si>
  <si>
    <t>四度五組
(ET-55)</t>
    <phoneticPr fontId="3" type="noConversion"/>
  </si>
  <si>
    <t>媽媽煮藝-香滷牛肚絲</t>
  </si>
  <si>
    <t>綜合一組
(ET-55)</t>
    <phoneticPr fontId="3" type="noConversion"/>
  </si>
  <si>
    <t>便當組
大口
固定線
(伺服包裝機)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</si>
  <si>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</si>
  <si>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</si>
  <si>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產線異常分析
說明(5分鐘以上)</t>
    <phoneticPr fontId="7" type="noConversion"/>
  </si>
  <si>
    <t>二配鮮蝦旬彩炊飯飯糰</t>
  </si>
  <si>
    <t>合計
時間/分</t>
    <phoneticPr fontId="3" type="noConversion"/>
  </si>
  <si>
    <t>產線異常統計
(5分鐘以上)</t>
    <phoneticPr fontId="4"/>
  </si>
  <si>
    <t>短暫停線統計
(5分鐘以下)</t>
    <phoneticPr fontId="4"/>
  </si>
  <si>
    <t>壹號醬壽喜燒牛丼</t>
  </si>
  <si>
    <t>四度二組A
熱麵
固定線
(ET-55)</t>
    <phoneticPr fontId="7" type="noConversion"/>
  </si>
  <si>
    <t>四度二組
(ET-55)</t>
    <phoneticPr fontId="3" type="noConversion"/>
  </si>
  <si>
    <t>四度二組
(烤飯糰/十爪機)</t>
    <phoneticPr fontId="3" type="noConversion"/>
  </si>
  <si>
    <t>麻油雞飯糰</t>
  </si>
  <si>
    <t>13.區域出貨，分段生產</t>
    <phoneticPr fontId="3" type="noConversion"/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</si>
  <si>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</si>
  <si>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</si>
  <si>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</si>
  <si>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</si>
  <si>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</si>
  <si>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</si>
  <si>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</si>
  <si>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</si>
  <si>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</si>
  <si>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</si>
  <si>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</si>
  <si>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</si>
  <si>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</si>
  <si>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</si>
  <si>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</si>
  <si>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</si>
  <si>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</si>
  <si>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</si>
  <si>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</si>
  <si>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</si>
  <si>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</si>
  <si>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</si>
  <si>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</si>
  <si>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</si>
  <si>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</si>
  <si>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</si>
  <si>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</si>
  <si>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</si>
  <si>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</si>
  <si>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</si>
  <si>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</si>
  <si>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</si>
  <si>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人時性差異分析</t>
    <phoneticPr fontId="7" type="noConversion"/>
  </si>
  <si>
    <t>人時性</t>
    <phoneticPr fontId="7" type="noConversion"/>
  </si>
  <si>
    <t>時間/分</t>
    <phoneticPr fontId="4"/>
  </si>
  <si>
    <t>總次數</t>
    <phoneticPr fontId="4"/>
  </si>
  <si>
    <t>四度一組
(ET-600)</t>
    <phoneticPr fontId="7" type="noConversion"/>
  </si>
  <si>
    <t>4度一組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</si>
  <si>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</si>
  <si>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</si>
  <si>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</si>
  <si>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</si>
  <si>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</si>
  <si>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香檸奶油魚排蔬滿盒</t>
  </si>
  <si>
    <t xml:space="preserve">
4度四組
</t>
    <phoneticPr fontId="3" type="noConversion"/>
  </si>
  <si>
    <t xml:space="preserve">
4度五組
</t>
    <phoneticPr fontId="3" type="noConversion"/>
  </si>
  <si>
    <t xml:space="preserve">
綜合四組
</t>
    <phoneticPr fontId="3" type="noConversion"/>
  </si>
  <si>
    <t xml:space="preserve">
便當組
</t>
    <phoneticPr fontId="3" type="noConversion"/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</si>
  <si>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</si>
  <si>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</si>
  <si>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</si>
  <si>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</si>
  <si>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</si>
  <si>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</si>
  <si>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</si>
  <si>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韓式黑嚕嚕炸醬麵</t>
  </si>
  <si>
    <t>鐵道滷排便當</t>
  </si>
  <si>
    <t>二配打拋風味豆腐飯</t>
  </si>
  <si>
    <t>蔥蔥玉子拌麵</t>
  </si>
  <si>
    <t>二配蔥爆牛肉燴飯</t>
  </si>
  <si>
    <t>鰹魚烏龍冷麵</t>
  </si>
  <si>
    <t>滿滿高麗菜豆芽鐵板麵</t>
  </si>
  <si>
    <t>韓式燒肉拌飯</t>
  </si>
  <si>
    <t>二配兩粒飯糰(鮪魚.焦糖鮭魚)</t>
  </si>
  <si>
    <t>鮭鮪海饌雙手卷(捲)</t>
  </si>
  <si>
    <t>經典人氣雙手卷(捲)</t>
  </si>
  <si>
    <t>鐵板牛套餐包手卷</t>
  </si>
  <si>
    <t>鮭鮪海饌雙手卷</t>
  </si>
  <si>
    <t>經典人氣雙手卷</t>
  </si>
  <si>
    <t>山葵生鮪魚泥脆卷</t>
  </si>
  <si>
    <t>醬油生鮭脆卷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</si>
  <si>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</si>
  <si>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</si>
  <si>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</si>
  <si>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</si>
  <si>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</si>
  <si>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</si>
  <si>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</si>
  <si>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</si>
  <si>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</si>
  <si>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05月01日  星期 五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</si>
  <si>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</si>
  <si>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</si>
  <si>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</si>
  <si>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</si>
  <si>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</si>
  <si>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</si>
  <si>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</si>
  <si>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</si>
  <si>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</si>
  <si>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</si>
  <si>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</si>
  <si>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</si>
  <si>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</si>
  <si>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</si>
  <si>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</si>
  <si>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</si>
  <si>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</si>
  <si>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</si>
  <si>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</si>
  <si>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</si>
  <si>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</si>
  <si>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</si>
  <si>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</si>
  <si>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</si>
  <si>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</si>
  <si>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</si>
  <si>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</si>
  <si>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</si>
  <si>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</si>
  <si>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</si>
  <si>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</si>
  <si>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</si>
  <si>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</si>
  <si>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</si>
  <si>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</si>
  <si>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</si>
  <si>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</si>
  <si>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</si>
  <si>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</si>
  <si>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</si>
  <si>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</si>
  <si>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</si>
  <si>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</si>
  <si>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</si>
  <si>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</si>
  <si>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</si>
  <si>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</si>
  <si>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</si>
  <si>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05月02日  星期 六 </t>
    <phoneticPr fontId="7" type="noConversion"/>
  </si>
  <si>
    <t xml:space="preserve">05月03日  星期 日 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</si>
  <si>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</si>
  <si>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</si>
  <si>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</si>
  <si>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05月01日  星期五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</si>
  <si>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</si>
  <si>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</si>
  <si>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</si>
  <si>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</si>
  <si>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</si>
  <si>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</si>
  <si>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</si>
  <si>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</si>
  <si>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</si>
  <si>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</si>
  <si>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</si>
  <si>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</si>
  <si>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</si>
  <si>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</si>
  <si>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</si>
  <si>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</si>
  <si>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</si>
  <si>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</si>
  <si>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</si>
  <si>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</si>
  <si>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</si>
  <si>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</si>
  <si>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</si>
  <si>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</si>
  <si>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</si>
  <si>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</si>
  <si>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</si>
  <si>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</si>
  <si>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</si>
  <si>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</si>
  <si>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</si>
  <si>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</si>
  <si>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</si>
  <si>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</si>
  <si>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</si>
  <si>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05月02日  星期六</t>
    <phoneticPr fontId="7" type="noConversion"/>
  </si>
  <si>
    <t>05月03日  星期日</t>
    <phoneticPr fontId="7" type="noConversion"/>
  </si>
  <si>
    <t xml:space="preserve">05月01日  星期 五 </t>
  </si>
  <si>
    <t xml:space="preserve">05月02日  星期 六 </t>
  </si>
  <si>
    <t xml:space="preserve">05月03日  星期 日 </t>
  </si>
  <si>
    <t xml:space="preserve">05月04日  星期 一 </t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</si>
  <si>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</si>
  <si>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</si>
  <si>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</si>
  <si>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</si>
  <si>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</si>
  <si>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</si>
  <si>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</si>
  <si>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05月04日  星期 一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</si>
  <si>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</si>
  <si>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</si>
  <si>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</si>
  <si>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</si>
  <si>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</si>
  <si>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</si>
  <si>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</si>
  <si>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</si>
  <si>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</si>
  <si>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</si>
  <si>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</si>
  <si>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</si>
  <si>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</si>
  <si>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</si>
  <si>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</si>
  <si>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</si>
  <si>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</si>
  <si>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</si>
  <si>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</si>
  <si>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</si>
  <si>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</si>
  <si>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</si>
  <si>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</si>
  <si>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</si>
  <si>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</si>
  <si>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</si>
  <si>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</si>
  <si>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</si>
  <si>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05月04日  星期一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</si>
  <si>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</si>
  <si>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</si>
  <si>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</si>
  <si>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</si>
  <si>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稼動時間/分</t>
    <phoneticPr fontId="7" type="noConversion"/>
  </si>
  <si>
    <t>休息時間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</si>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</sst>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695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14" borderId="55" xfId="160" applyFont="1" applyFill="1" applyBorder="1" applyAlignment="1"/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" fontId="30" fillId="4" borderId="7" xfId="197" applyNumberFormat="1" applyFont="1" applyFill="1" applyBorder="1" applyAlignment="1">
      <alignment horizontal="center" vertical="center"/>
    </xf>
    <xf numFmtId="1" fontId="30" fillId="0" borderId="7" xfId="197" applyNumberFormat="1" applyFont="1" applyBorder="1" applyAlignment="1">
      <alignment horizontal="center" vertic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" fontId="30" fillId="4" borderId="41" xfId="4" applyNumberFormat="1" applyFont="1" applyFill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32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 applyAlignment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NumberFormat="1" applyFont="1" applyFill="1" applyBorder="1" applyAlignment="1">
      <alignment horizontal="center" vertical="center" wrapText="1"/>
    </xf>
    <xf numFmtId="0" fontId="4" fillId="8" borderId="18" xfId="1" applyNumberFormat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38" fillId="0" borderId="39" xfId="160" applyFont="1" applyBorder="1" applyAlignment="1"/>
    <xf numFmtId="0" fontId="38" fillId="0" borderId="3" xfId="160" applyFont="1" applyBorder="1" applyAlignment="1"/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5" borderId="34" xfId="97" applyFont="1" applyFill="1" applyBorder="1" applyAlignment="1"/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15" borderId="32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83" xfId="97" applyFont="1" applyFill="1" applyBorder="1" applyAlignment="1"/>
    <xf numFmtId="0" fontId="31" fillId="0" borderId="34" xfId="4" applyFont="1" applyBorder="1" applyAlignment="1">
      <alignment horizontal="center" vertical="center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1299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50" t="s">
        <v>0</v>
      </c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2"/>
      <c r="N1" s="1"/>
      <c r="O1" s="1"/>
    </row>
    <row r="2" spans="2:17" ht="27.75" customHeight="1">
      <c r="B2" s="550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1"/>
      <c r="O2" s="1"/>
    </row>
    <row r="3" spans="2:17" ht="46.5" customHeight="1">
      <c r="B3" s="543" t="s">
        <v>1</v>
      </c>
      <c r="C3" s="504"/>
      <c r="D3" s="553" t="s">
        <v>364</v>
      </c>
      <c r="E3" s="554"/>
      <c r="F3" s="543" t="s">
        <v>2</v>
      </c>
      <c r="G3" s="504"/>
      <c r="H3" s="555">
        <v>222122.4</v>
      </c>
      <c r="I3" s="556"/>
      <c r="J3" s="543" t="s">
        <v>3</v>
      </c>
      <c r="K3" s="504"/>
      <c r="L3" s="548">
        <v>7373138.4267313629</v>
      </c>
      <c r="M3" s="549"/>
      <c r="N3" s="378"/>
      <c r="O3" s="378"/>
      <c r="P3" s="378"/>
      <c r="Q3" s="378"/>
    </row>
    <row r="4" spans="2:17" ht="24" customHeight="1">
      <c r="B4" s="543" t="s">
        <v>150</v>
      </c>
      <c r="C4" s="504"/>
      <c r="D4" s="535" t="s">
        <v>150</v>
      </c>
      <c r="E4" s="536"/>
      <c r="F4" s="546" t="s">
        <v>151</v>
      </c>
      <c r="G4" s="547"/>
      <c r="H4" s="546" t="s">
        <v>152</v>
      </c>
      <c r="I4" s="547"/>
      <c r="J4" s="546" t="s">
        <v>153</v>
      </c>
      <c r="K4" s="547"/>
      <c r="L4" s="548" t="s">
        <v>154</v>
      </c>
      <c r="M4" s="549"/>
      <c r="N4" s="529" t="s">
        <v>4</v>
      </c>
      <c r="O4" s="530"/>
      <c r="P4" s="530" t="s">
        <v>5</v>
      </c>
      <c r="Q4" s="530"/>
    </row>
    <row r="5" spans="2:17" ht="24" customHeight="1">
      <c r="B5" s="531" t="s">
        <v>35</v>
      </c>
      <c r="C5" s="510"/>
      <c r="D5" s="535" t="s">
        <v>155</v>
      </c>
      <c r="E5" s="536"/>
      <c r="F5" s="535" t="s">
        <v>6</v>
      </c>
      <c r="G5" s="536"/>
      <c r="H5" s="537" t="s">
        <v>7</v>
      </c>
      <c r="I5" s="538"/>
      <c r="J5" s="539" t="s">
        <v>8</v>
      </c>
      <c r="K5" s="540"/>
      <c r="L5" s="541" t="s">
        <v>9</v>
      </c>
      <c r="M5" s="542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532"/>
      <c r="C6" s="533"/>
      <c r="D6" s="543" t="s">
        <v>10</v>
      </c>
      <c r="E6" s="504"/>
      <c r="F6" s="544">
        <f>AVERAGE(D13:O13,P13:Q13,D30:E30,G30:H30,J30:M30)</f>
        <v>382.84115178326317</v>
      </c>
      <c r="G6" s="545"/>
      <c r="H6" s="523">
        <f>AVERAGE(D13:P13,Q13)</f>
        <v>139.46466708798488</v>
      </c>
      <c r="I6" s="524"/>
      <c r="J6" s="523">
        <f>AVERAGE(D30:E30,G30:H30)</f>
        <v>736.25</v>
      </c>
      <c r="K6" s="524"/>
      <c r="L6" s="525">
        <f>AVERAGE(J30:M30)</f>
        <v>881.25</v>
      </c>
      <c r="M6" s="526"/>
      <c r="N6" s="527">
        <v>0</v>
      </c>
      <c r="O6" s="512">
        <v>0</v>
      </c>
      <c r="P6" s="528">
        <v>7</v>
      </c>
      <c r="Q6" s="512">
        <v>3</v>
      </c>
    </row>
    <row r="7" spans="2:17" s="5" customFormat="1" ht="39.6" customHeight="1">
      <c r="B7" s="532"/>
      <c r="C7" s="533"/>
      <c r="D7" s="513" t="s">
        <v>11</v>
      </c>
      <c r="E7" s="514"/>
      <c r="F7" s="515">
        <f>AVERAGE(D14:O14,P14:Q14,D31:E31,J31:M31,G31:H31)</f>
        <v>368.48133990495876</v>
      </c>
      <c r="G7" s="516"/>
      <c r="H7" s="517">
        <f>AVERAGE(D14:P14,Q14)</f>
        <v>126.55484340873559</v>
      </c>
      <c r="I7" s="518"/>
      <c r="J7" s="517">
        <f>AVERAGE(D31:E31,G31:H31)</f>
        <v>741.0546545608297</v>
      </c>
      <c r="K7" s="518"/>
      <c r="L7" s="519">
        <f>AVERAGE(J31:M31)</f>
        <v>842.65076298586905</v>
      </c>
      <c r="M7" s="520"/>
      <c r="N7" s="527"/>
      <c r="O7" s="512"/>
      <c r="P7" s="528"/>
      <c r="Q7" s="512"/>
    </row>
    <row r="8" spans="2:17" s="5" customFormat="1" ht="39.6" customHeight="1">
      <c r="B8" s="534"/>
      <c r="C8" s="511"/>
      <c r="D8" s="513" t="s">
        <v>12</v>
      </c>
      <c r="E8" s="514"/>
      <c r="F8" s="521">
        <f>AVERAGE(D15:O15,P15:Q15,D32:E32,G32:H32,J32:M32)</f>
        <v>0.92890413550131157</v>
      </c>
      <c r="G8" s="522"/>
      <c r="H8" s="521">
        <f>AVERAGE(D15:O15,P15:Q15)</f>
        <v>0.90425166111266919</v>
      </c>
      <c r="I8" s="522"/>
      <c r="J8" s="521">
        <f>AVERAGE(D32:E32,G32:H32)</f>
        <v>0.9831466391563497</v>
      </c>
      <c r="K8" s="522"/>
      <c r="L8" s="521">
        <f>AVERAGE(J32:M32)</f>
        <v>0.96094529220652114</v>
      </c>
      <c r="M8" s="522"/>
      <c r="N8" s="527"/>
      <c r="O8" s="512"/>
      <c r="P8" s="528"/>
      <c r="Q8" s="512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00" t="s">
        <v>192</v>
      </c>
      <c r="C10" s="506"/>
      <c r="D10" s="507" t="s">
        <v>193</v>
      </c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8"/>
      <c r="Q10" s="509"/>
    </row>
    <row r="11" spans="2:17" ht="17.25" customHeight="1">
      <c r="B11" s="491" t="s">
        <v>194</v>
      </c>
      <c r="C11" s="510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493"/>
      <c r="C12" s="511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495" t="s">
        <v>35</v>
      </c>
      <c r="C13" s="14" t="s">
        <v>208</v>
      </c>
      <c r="D13" s="19">
        <v>146.62538699690401</v>
      </c>
      <c r="E13" s="19">
        <v>110.28529411764706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74.649122807017548</v>
      </c>
      <c r="K13" s="19">
        <v>105.72949530689469</v>
      </c>
      <c r="L13" s="19">
        <v>101.11552028218696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496"/>
      <c r="C14" s="14" t="s">
        <v>209</v>
      </c>
      <c r="D14" s="19">
        <v>132.78219755605593</v>
      </c>
      <c r="E14" s="19">
        <v>101.23477665096587</v>
      </c>
      <c r="F14" s="19">
        <v>100.26665129119394</v>
      </c>
      <c r="G14" s="19">
        <v>310.12540275530233</v>
      </c>
      <c r="H14" s="19">
        <v>224.81082641484323</v>
      </c>
      <c r="I14" s="19">
        <v>81.778437968445743</v>
      </c>
      <c r="J14" s="19">
        <v>68.475531860815039</v>
      </c>
      <c r="K14" s="19">
        <v>96.226395558223288</v>
      </c>
      <c r="L14" s="19">
        <v>90.487749182280737</v>
      </c>
      <c r="M14" s="19">
        <v>74.688964138911601</v>
      </c>
      <c r="N14" s="19">
        <v>78.66898424246763</v>
      </c>
      <c r="O14" s="19">
        <v>73.44626373026604</v>
      </c>
      <c r="P14" s="19">
        <v>198.95027315431685</v>
      </c>
      <c r="Q14" s="9">
        <v>139.82535321821032</v>
      </c>
    </row>
    <row r="15" spans="2:17" ht="39.9" customHeight="1">
      <c r="B15" s="497"/>
      <c r="C15" s="379" t="s">
        <v>210</v>
      </c>
      <c r="D15" s="10">
        <f t="shared" ref="D15:Q15" si="0">D14/D13</f>
        <v>0.90558804498745926</v>
      </c>
      <c r="E15" s="10">
        <f t="shared" si="0"/>
        <v>0.91793540980154142</v>
      </c>
      <c r="F15" s="10">
        <f t="shared" si="0"/>
        <v>0.84938973384088978</v>
      </c>
      <c r="G15" s="10">
        <f t="shared" si="0"/>
        <v>0.88093592666723564</v>
      </c>
      <c r="H15" s="10">
        <f t="shared" si="0"/>
        <v>0.98354736556493905</v>
      </c>
      <c r="I15" s="10">
        <f t="shared" si="0"/>
        <v>0.89621941833424601</v>
      </c>
      <c r="J15" s="10">
        <f t="shared" si="0"/>
        <v>0.91729854666661736</v>
      </c>
      <c r="K15" s="10">
        <f t="shared" si="0"/>
        <v>0.91011874481111144</v>
      </c>
      <c r="L15" s="10">
        <f t="shared" si="0"/>
        <v>0.89489475927882389</v>
      </c>
      <c r="M15" s="10">
        <f t="shared" si="0"/>
        <v>0.90802477024131401</v>
      </c>
      <c r="N15" s="10">
        <f t="shared" si="0"/>
        <v>0.91394336027084044</v>
      </c>
      <c r="O15" s="10">
        <f t="shared" si="0"/>
        <v>0.83757058515144112</v>
      </c>
      <c r="P15" s="381">
        <f t="shared" si="0"/>
        <v>0.91188756850617503</v>
      </c>
      <c r="Q15" s="11">
        <f t="shared" si="0"/>
        <v>0.93216902145473546</v>
      </c>
    </row>
    <row r="16" spans="2:17" ht="22.8" customHeight="1">
      <c r="B16" s="498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499"/>
      <c r="C17" s="379" t="s">
        <v>36</v>
      </c>
      <c r="D17" s="12">
        <v>0.63958333333333317</v>
      </c>
      <c r="E17" s="12">
        <v>0.52986111111111112</v>
      </c>
      <c r="F17" s="12">
        <v>0.63055555555555542</v>
      </c>
      <c r="G17" s="12">
        <v>0.60902777777777772</v>
      </c>
      <c r="H17" s="12">
        <v>0.61597222222222225</v>
      </c>
      <c r="I17" s="12">
        <v>0.62083333333333324</v>
      </c>
      <c r="J17" s="12">
        <v>0.68194444444444435</v>
      </c>
      <c r="K17" s="12">
        <v>0.65972222222222221</v>
      </c>
      <c r="L17" s="12">
        <v>0.87013888888888891</v>
      </c>
      <c r="M17" s="12">
        <v>0.89930555555555547</v>
      </c>
      <c r="N17" s="12">
        <v>0.94513888888888886</v>
      </c>
      <c r="O17" s="22">
        <v>0.90694444444444444</v>
      </c>
      <c r="P17" s="12">
        <v>0.5527777777777777</v>
      </c>
      <c r="Q17" s="382">
        <v>0.51041666666666663</v>
      </c>
    </row>
    <row r="18" spans="2:17" ht="22.8" customHeight="1">
      <c r="B18" s="502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503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502" t="s">
        <v>16</v>
      </c>
      <c r="C20" s="383" t="s">
        <v>213</v>
      </c>
      <c r="D20" s="384" t="s">
        <v>15</v>
      </c>
      <c r="E20" s="384" t="s">
        <v>15</v>
      </c>
      <c r="F20" s="384" t="s">
        <v>15</v>
      </c>
      <c r="G20" s="384" t="s">
        <v>15</v>
      </c>
      <c r="H20" s="384" t="s">
        <v>15</v>
      </c>
      <c r="I20" s="384" t="s">
        <v>15</v>
      </c>
      <c r="J20" s="384">
        <v>1</v>
      </c>
      <c r="K20" s="384">
        <v>1</v>
      </c>
      <c r="L20" s="384" t="s">
        <v>15</v>
      </c>
      <c r="M20" s="384">
        <v>1</v>
      </c>
      <c r="N20" s="384">
        <v>2</v>
      </c>
      <c r="O20" s="384">
        <v>1</v>
      </c>
      <c r="P20" s="384">
        <v>1</v>
      </c>
      <c r="Q20" s="385"/>
    </row>
    <row r="21" spans="2:17" ht="22.8" customHeight="1">
      <c r="B21" s="503"/>
      <c r="C21" s="383" t="s">
        <v>215</v>
      </c>
      <c r="D21" s="384">
        <v>1</v>
      </c>
      <c r="E21" s="384" t="s">
        <v>15</v>
      </c>
      <c r="F21" s="384">
        <v>1</v>
      </c>
      <c r="G21" s="384" t="s">
        <v>15</v>
      </c>
      <c r="H21" s="384">
        <v>1</v>
      </c>
      <c r="I21" s="384" t="s">
        <v>15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17" ht="22.8" customHeight="1">
      <c r="B22" s="481" t="s">
        <v>216</v>
      </c>
      <c r="C22" s="504"/>
      <c r="D22" s="386">
        <v>18.5</v>
      </c>
      <c r="E22" s="386">
        <v>17.399999999999999</v>
      </c>
      <c r="F22" s="386">
        <v>15.285714285714286</v>
      </c>
      <c r="G22" s="386">
        <v>5.7142857142857144</v>
      </c>
      <c r="H22" s="386">
        <v>6.6</v>
      </c>
      <c r="I22" s="386">
        <v>16.571428571428573</v>
      </c>
      <c r="J22" s="386">
        <v>18.399999999999999</v>
      </c>
      <c r="K22" s="386">
        <v>16.142857142857142</v>
      </c>
      <c r="L22" s="386">
        <v>15.222222222222221</v>
      </c>
      <c r="M22" s="386">
        <v>18.5</v>
      </c>
      <c r="N22" s="386">
        <v>17.5</v>
      </c>
      <c r="O22" s="386">
        <v>17.166666666666668</v>
      </c>
      <c r="P22" s="386">
        <v>11.333333333333334</v>
      </c>
      <c r="Q22" s="387">
        <v>12</v>
      </c>
    </row>
    <row r="23" spans="2:17" ht="22.8" customHeight="1">
      <c r="B23" s="481" t="s">
        <v>217</v>
      </c>
      <c r="C23" s="50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481" t="s">
        <v>218</v>
      </c>
      <c r="C24" s="50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483" t="s">
        <v>219</v>
      </c>
      <c r="C25" s="505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00"/>
      <c r="C27" s="501"/>
      <c r="D27" s="485" t="s">
        <v>220</v>
      </c>
      <c r="E27" s="486"/>
      <c r="F27" s="486"/>
      <c r="G27" s="486"/>
      <c r="H27" s="487"/>
      <c r="I27" s="488" t="s">
        <v>221</v>
      </c>
      <c r="J27" s="489"/>
      <c r="K27" s="489"/>
      <c r="L27" s="489"/>
      <c r="M27" s="490"/>
      <c r="N27" s="378"/>
      <c r="O27" s="378"/>
      <c r="P27" s="378"/>
      <c r="Q27" s="378"/>
    </row>
    <row r="28" spans="2:17" ht="17.25" customHeight="1">
      <c r="B28" s="491" t="s">
        <v>194</v>
      </c>
      <c r="C28" s="492"/>
      <c r="D28" s="388">
        <v>1</v>
      </c>
      <c r="E28" s="410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493"/>
      <c r="C29" s="494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495" t="s">
        <v>35</v>
      </c>
      <c r="C30" s="392" t="s">
        <v>208</v>
      </c>
      <c r="D30" s="20">
        <v>320</v>
      </c>
      <c r="E30" s="41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496"/>
      <c r="C31" s="392" t="s">
        <v>209</v>
      </c>
      <c r="D31" s="394">
        <v>276.7807017543862</v>
      </c>
      <c r="E31" s="8">
        <v>807.88686868686807</v>
      </c>
      <c r="F31" s="8">
        <v>0</v>
      </c>
      <c r="G31" s="8">
        <v>852.56661414565895</v>
      </c>
      <c r="H31" s="395">
        <v>1026.9844336564054</v>
      </c>
      <c r="I31" s="394">
        <v>0</v>
      </c>
      <c r="J31" s="8">
        <v>976.79999999999711</v>
      </c>
      <c r="K31" s="8">
        <v>613.62499999999977</v>
      </c>
      <c r="L31" s="8">
        <v>911.2828138435292</v>
      </c>
      <c r="M31" s="395">
        <v>868.89523809995001</v>
      </c>
      <c r="N31" s="378"/>
      <c r="O31" s="378"/>
      <c r="P31" s="378"/>
      <c r="Q31" s="378"/>
    </row>
    <row r="32" spans="2:17" ht="39.9" customHeight="1">
      <c r="B32" s="497"/>
      <c r="C32" s="411" t="s">
        <v>210</v>
      </c>
      <c r="D32" s="396">
        <f t="shared" ref="D32:M32" si="1">D31/D30</f>
        <v>0.86493969298245688</v>
      </c>
      <c r="E32" s="10">
        <f t="shared" si="1"/>
        <v>0.97925681052953706</v>
      </c>
      <c r="F32" s="10">
        <f t="shared" si="1"/>
        <v>0</v>
      </c>
      <c r="G32" s="10">
        <f t="shared" si="1"/>
        <v>0.94729623793962103</v>
      </c>
      <c r="H32" s="10">
        <f t="shared" si="1"/>
        <v>1.1410938151737837</v>
      </c>
      <c r="I32" s="394">
        <f t="shared" si="1"/>
        <v>0</v>
      </c>
      <c r="J32" s="10">
        <f t="shared" si="1"/>
        <v>1.1839999999999966</v>
      </c>
      <c r="K32" s="10">
        <f t="shared" si="1"/>
        <v>0.68180555555555533</v>
      </c>
      <c r="L32" s="10">
        <f t="shared" si="1"/>
        <v>1.0125364598261435</v>
      </c>
      <c r="M32" s="11">
        <f t="shared" si="1"/>
        <v>0.96543915344438891</v>
      </c>
      <c r="N32" s="378"/>
      <c r="O32" s="378"/>
      <c r="P32" s="378"/>
      <c r="Q32" s="378"/>
    </row>
    <row r="33" spans="2:17" ht="25.8" customHeight="1">
      <c r="B33" s="498" t="s">
        <v>211</v>
      </c>
      <c r="C33" s="411" t="s">
        <v>212</v>
      </c>
      <c r="D33" s="397">
        <v>0.18055555555555555</v>
      </c>
      <c r="E33" s="12">
        <v>0.1875</v>
      </c>
      <c r="F33" s="12">
        <v>0</v>
      </c>
      <c r="G33" s="12">
        <v>3013.5000000000045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78"/>
      <c r="O33" s="378"/>
      <c r="P33" s="378"/>
      <c r="Q33" s="378"/>
    </row>
    <row r="34" spans="2:17" ht="25.8" customHeight="1">
      <c r="B34" s="499"/>
      <c r="C34" s="411" t="s">
        <v>36</v>
      </c>
      <c r="D34" s="397">
        <v>0.21597222222222223</v>
      </c>
      <c r="E34" s="12">
        <v>0.2902777777777778</v>
      </c>
      <c r="F34" s="12">
        <v>0</v>
      </c>
      <c r="G34" s="12">
        <v>1104.2857142857119</v>
      </c>
      <c r="H34" s="382">
        <v>0.48194444444444445</v>
      </c>
      <c r="I34" s="23">
        <v>0</v>
      </c>
      <c r="J34" s="12">
        <v>0.73958333333333337</v>
      </c>
      <c r="K34" s="12">
        <v>0.79166666666666663</v>
      </c>
      <c r="L34" s="12">
        <v>46144.027777777781</v>
      </c>
      <c r="M34" s="13">
        <v>46144.006944444445</v>
      </c>
      <c r="N34" s="378"/>
      <c r="O34" s="378"/>
      <c r="P34" s="378"/>
      <c r="Q34" s="378"/>
    </row>
    <row r="35" spans="2:17" ht="25.8" customHeight="1">
      <c r="B35" s="481" t="s">
        <v>216</v>
      </c>
      <c r="C35" s="482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481" t="s">
        <v>217</v>
      </c>
      <c r="C36" s="482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481" t="s">
        <v>218</v>
      </c>
      <c r="C37" s="482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483" t="s">
        <v>219</v>
      </c>
      <c r="C38" s="484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2989" priority="4" operator="lessThan">
      <formula>0.8</formula>
    </cfRule>
  </conditionalFormatting>
  <conditionalFormatting sqref="J32:L32">
    <cfRule type="cellIs" dxfId="12988" priority="3" operator="lessThan">
      <formula>0.8</formula>
    </cfRule>
  </conditionalFormatting>
  <conditionalFormatting sqref="M32">
    <cfRule type="cellIs" dxfId="12987" priority="2" operator="lessThan">
      <formula>0.8</formula>
    </cfRule>
  </conditionalFormatting>
  <conditionalFormatting sqref="H32">
    <cfRule type="cellIs" dxfId="129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33" sqref="V33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264</v>
      </c>
      <c r="E1" s="284">
        <f>SUM(G5:G124)</f>
        <v>75951</v>
      </c>
      <c r="F1" s="285" t="s">
        <v>3</v>
      </c>
      <c r="G1" s="286">
        <f>SUM(H5:H124)</f>
        <v>1489172.7672727273</v>
      </c>
      <c r="H1" s="287" t="s">
        <v>324</v>
      </c>
      <c r="I1" s="288">
        <f>+J16+J64+J24+J38+J51+J81+J100+J91+J57+J124+J111</f>
        <v>42.923809523809531</v>
      </c>
      <c r="J1" s="557" t="s">
        <v>325</v>
      </c>
      <c r="K1" s="558"/>
      <c r="L1" s="559"/>
      <c r="M1" s="557" t="s">
        <v>266</v>
      </c>
      <c r="N1" s="558"/>
      <c r="O1" s="558"/>
      <c r="P1" s="558"/>
      <c r="Q1" s="558"/>
      <c r="R1" s="559"/>
    </row>
    <row r="2" spans="1:18" ht="26.25" customHeight="1" thickBot="1">
      <c r="A2" s="563" t="s">
        <v>326</v>
      </c>
      <c r="B2" s="564"/>
      <c r="C2" s="290"/>
      <c r="D2" s="422" t="s">
        <v>273</v>
      </c>
      <c r="E2" s="291">
        <f>AVERAGE(L16,L24,L38,L51,L100,L111,L91)</f>
        <v>621.03345625049849</v>
      </c>
      <c r="F2" s="292" t="s">
        <v>40</v>
      </c>
      <c r="G2" s="293">
        <f>G1/E1</f>
        <v>19.607019884830052</v>
      </c>
      <c r="H2" s="294" t="s">
        <v>327</v>
      </c>
      <c r="I2" s="295">
        <f>COUNT(I5:I124)</f>
        <v>0</v>
      </c>
      <c r="J2" s="560"/>
      <c r="K2" s="561"/>
      <c r="L2" s="562"/>
      <c r="M2" s="560"/>
      <c r="N2" s="561"/>
      <c r="O2" s="561"/>
      <c r="P2" s="561"/>
      <c r="Q2" s="561"/>
      <c r="R2" s="562"/>
    </row>
    <row r="3" spans="1:18" ht="23.25" customHeight="1">
      <c r="A3" s="565" t="s">
        <v>274</v>
      </c>
      <c r="B3" s="567" t="s">
        <v>328</v>
      </c>
      <c r="C3" s="424"/>
      <c r="D3" s="568" t="s">
        <v>275</v>
      </c>
      <c r="E3" s="568"/>
      <c r="F3" s="569" t="s">
        <v>43</v>
      </c>
      <c r="G3" s="570" t="s">
        <v>329</v>
      </c>
      <c r="H3" s="571" t="s">
        <v>330</v>
      </c>
      <c r="I3" s="572" t="s">
        <v>276</v>
      </c>
      <c r="J3" s="574" t="s">
        <v>278</v>
      </c>
      <c r="K3" s="587" t="s">
        <v>277</v>
      </c>
      <c r="L3" s="589" t="s">
        <v>273</v>
      </c>
      <c r="M3" s="591" t="s">
        <v>48</v>
      </c>
      <c r="N3" s="591"/>
      <c r="O3" s="574" t="s">
        <v>121</v>
      </c>
      <c r="P3" s="592" t="s">
        <v>281</v>
      </c>
      <c r="Q3" s="574" t="s">
        <v>282</v>
      </c>
      <c r="R3" s="574"/>
    </row>
    <row r="4" spans="1:18" ht="15.75" customHeight="1">
      <c r="A4" s="566"/>
      <c r="B4" s="567"/>
      <c r="C4" s="424"/>
      <c r="D4" s="568"/>
      <c r="E4" s="568"/>
      <c r="F4" s="569"/>
      <c r="G4" s="570"/>
      <c r="H4" s="571"/>
      <c r="I4" s="573"/>
      <c r="J4" s="586"/>
      <c r="K4" s="588"/>
      <c r="L4" s="590"/>
      <c r="M4" s="428" t="s">
        <v>50</v>
      </c>
      <c r="N4" s="428" t="s">
        <v>51</v>
      </c>
      <c r="O4" s="586"/>
      <c r="P4" s="593"/>
      <c r="Q4" s="296" t="s">
        <v>286</v>
      </c>
      <c r="R4" s="296" t="s">
        <v>331</v>
      </c>
    </row>
    <row r="5" spans="1:18">
      <c r="A5" s="575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424">
        <v>1854</v>
      </c>
      <c r="H5" s="300">
        <f>F5*G5</f>
        <v>0</v>
      </c>
      <c r="I5" s="426"/>
      <c r="J5" s="301">
        <v>9</v>
      </c>
      <c r="K5" s="302">
        <f t="shared" ref="K5:K11" si="0">G5/P5*60</f>
        <v>1589.142857142858</v>
      </c>
      <c r="L5" s="303">
        <f t="shared" ref="L5:L11" si="1">K5/J5</f>
        <v>176.57142857142867</v>
      </c>
      <c r="M5" s="304">
        <v>0.17361111111111113</v>
      </c>
      <c r="N5" s="304">
        <v>0.22222222222222221</v>
      </c>
      <c r="O5" s="296">
        <v>10</v>
      </c>
      <c r="P5" s="419">
        <f t="shared" ref="P5:P11" si="2">(N5-M5)*24*60</f>
        <v>69.999999999999957</v>
      </c>
      <c r="Q5" s="305"/>
      <c r="R5" s="305"/>
    </row>
    <row r="6" spans="1:18">
      <c r="A6" s="575"/>
      <c r="B6" s="297">
        <v>0</v>
      </c>
      <c r="C6" s="297"/>
      <c r="D6" s="298" t="s">
        <v>257</v>
      </c>
      <c r="E6" s="298"/>
      <c r="F6" s="299" t="s">
        <v>148</v>
      </c>
      <c r="G6" s="424">
        <v>1749</v>
      </c>
      <c r="H6" s="300">
        <f t="shared" ref="H6:H15" si="3">F6*G6</f>
        <v>0</v>
      </c>
      <c r="I6" s="426"/>
      <c r="J6" s="301">
        <v>9</v>
      </c>
      <c r="K6" s="302">
        <f t="shared" si="0"/>
        <v>1614.461538461539</v>
      </c>
      <c r="L6" s="303">
        <f t="shared" si="1"/>
        <v>179.38461538461544</v>
      </c>
      <c r="M6" s="304">
        <v>0.22569444444444445</v>
      </c>
      <c r="N6" s="304">
        <v>0.27083333333333331</v>
      </c>
      <c r="O6" s="296">
        <v>5</v>
      </c>
      <c r="P6" s="419">
        <f t="shared" si="2"/>
        <v>64.999999999999972</v>
      </c>
      <c r="Q6" s="296"/>
      <c r="R6" s="296"/>
    </row>
    <row r="7" spans="1:18">
      <c r="A7" s="575"/>
      <c r="B7" s="297" t="s">
        <v>149</v>
      </c>
      <c r="C7" s="297"/>
      <c r="D7" s="298" t="s">
        <v>258</v>
      </c>
      <c r="E7" s="298"/>
      <c r="F7" s="299">
        <v>36.450000000000003</v>
      </c>
      <c r="G7" s="424">
        <v>2740</v>
      </c>
      <c r="H7" s="300">
        <f t="shared" si="3"/>
        <v>99873.000000000015</v>
      </c>
      <c r="I7" s="426"/>
      <c r="J7" s="301">
        <v>15</v>
      </c>
      <c r="K7" s="302">
        <f t="shared" si="0"/>
        <v>2348.5714285714262</v>
      </c>
      <c r="L7" s="303">
        <f t="shared" si="1"/>
        <v>156.57142857142841</v>
      </c>
      <c r="M7" s="304">
        <v>0.27430555555555552</v>
      </c>
      <c r="N7" s="304">
        <v>0.32291666666666669</v>
      </c>
      <c r="O7" s="296">
        <v>5</v>
      </c>
      <c r="P7" s="419">
        <f t="shared" si="2"/>
        <v>70.000000000000071</v>
      </c>
      <c r="Q7" s="305">
        <v>0.3298611111111111</v>
      </c>
      <c r="R7" s="305">
        <v>0.3611111111111111</v>
      </c>
    </row>
    <row r="8" spans="1:18">
      <c r="A8" s="575"/>
      <c r="B8" s="297" t="s">
        <v>149</v>
      </c>
      <c r="C8" s="297"/>
      <c r="D8" s="298" t="s">
        <v>259</v>
      </c>
      <c r="E8" s="298"/>
      <c r="F8" s="299">
        <v>29.85</v>
      </c>
      <c r="G8" s="424">
        <v>1854</v>
      </c>
      <c r="H8" s="300">
        <f t="shared" si="3"/>
        <v>55341.9</v>
      </c>
      <c r="I8" s="426"/>
      <c r="J8" s="301">
        <v>12</v>
      </c>
      <c r="K8" s="302">
        <f t="shared" si="0"/>
        <v>1853.9999999999991</v>
      </c>
      <c r="L8" s="303">
        <f t="shared" si="1"/>
        <v>154.49999999999991</v>
      </c>
      <c r="M8" s="304">
        <v>0.36458333333333331</v>
      </c>
      <c r="N8" s="304">
        <v>0.40625</v>
      </c>
      <c r="O8" s="296">
        <v>5</v>
      </c>
      <c r="P8" s="419">
        <f t="shared" si="2"/>
        <v>60.000000000000028</v>
      </c>
      <c r="Q8" s="305"/>
      <c r="R8" s="305"/>
    </row>
    <row r="9" spans="1:18">
      <c r="A9" s="575"/>
      <c r="B9" s="297" t="s">
        <v>149</v>
      </c>
      <c r="C9" s="297"/>
      <c r="D9" s="298" t="s">
        <v>260</v>
      </c>
      <c r="E9" s="298"/>
      <c r="F9" s="299">
        <v>29.52</v>
      </c>
      <c r="G9" s="306">
        <v>1749</v>
      </c>
      <c r="H9" s="300">
        <f t="shared" si="3"/>
        <v>51630.479999999996</v>
      </c>
      <c r="I9" s="426"/>
      <c r="J9" s="301">
        <v>12</v>
      </c>
      <c r="K9" s="302">
        <f t="shared" si="0"/>
        <v>1749.0000000000016</v>
      </c>
      <c r="L9" s="303">
        <f t="shared" si="1"/>
        <v>145.75000000000014</v>
      </c>
      <c r="M9" s="304">
        <v>0.40972222222222227</v>
      </c>
      <c r="N9" s="304">
        <v>0.4513888888888889</v>
      </c>
      <c r="O9" s="296">
        <v>5</v>
      </c>
      <c r="P9" s="419">
        <f t="shared" si="2"/>
        <v>59.999999999999943</v>
      </c>
      <c r="Q9" s="305"/>
      <c r="R9" s="305"/>
    </row>
    <row r="10" spans="1:18">
      <c r="A10" s="575"/>
      <c r="B10" s="297" t="s">
        <v>149</v>
      </c>
      <c r="C10" s="297"/>
      <c r="D10" s="298" t="s">
        <v>261</v>
      </c>
      <c r="E10" s="298"/>
      <c r="F10" s="299">
        <v>23.19</v>
      </c>
      <c r="G10" s="306">
        <v>517</v>
      </c>
      <c r="H10" s="300">
        <f t="shared" si="3"/>
        <v>11989.230000000001</v>
      </c>
      <c r="I10" s="426"/>
      <c r="J10" s="301">
        <v>15</v>
      </c>
      <c r="K10" s="302">
        <f t="shared" si="0"/>
        <v>1240.7999999999965</v>
      </c>
      <c r="L10" s="303">
        <f t="shared" si="1"/>
        <v>82.719999999999771</v>
      </c>
      <c r="M10" s="304">
        <v>0.4548611111111111</v>
      </c>
      <c r="N10" s="304">
        <v>0.47222222222222227</v>
      </c>
      <c r="O10" s="296">
        <v>5</v>
      </c>
      <c r="P10" s="419">
        <f t="shared" si="2"/>
        <v>25.000000000000071</v>
      </c>
      <c r="Q10" s="305"/>
      <c r="R10" s="305"/>
    </row>
    <row r="11" spans="1:18">
      <c r="A11" s="575"/>
      <c r="B11" s="297" t="s">
        <v>149</v>
      </c>
      <c r="C11" s="297"/>
      <c r="D11" s="298" t="s">
        <v>262</v>
      </c>
      <c r="E11" s="298"/>
      <c r="F11" s="299">
        <v>23.55</v>
      </c>
      <c r="G11" s="306">
        <v>1041</v>
      </c>
      <c r="H11" s="300">
        <f t="shared" si="3"/>
        <v>24515.55</v>
      </c>
      <c r="I11" s="426"/>
      <c r="J11" s="301">
        <v>15</v>
      </c>
      <c r="K11" s="302">
        <f t="shared" si="0"/>
        <v>1249.2000000000005</v>
      </c>
      <c r="L11" s="303">
        <f t="shared" si="1"/>
        <v>83.28000000000003</v>
      </c>
      <c r="M11" s="304">
        <v>0.47569444444444442</v>
      </c>
      <c r="N11" s="304">
        <v>0.51041666666666663</v>
      </c>
      <c r="O11" s="296">
        <v>5</v>
      </c>
      <c r="P11" s="419">
        <f t="shared" si="2"/>
        <v>49.999999999999986</v>
      </c>
      <c r="Q11" s="305"/>
      <c r="R11" s="305"/>
    </row>
    <row r="12" spans="1:18">
      <c r="A12" s="576"/>
      <c r="B12" s="297">
        <v>0</v>
      </c>
      <c r="C12" s="425"/>
      <c r="D12" s="298"/>
      <c r="E12" s="298"/>
      <c r="F12" s="299" t="s">
        <v>148</v>
      </c>
      <c r="G12" s="423"/>
      <c r="H12" s="300">
        <f t="shared" si="3"/>
        <v>0</v>
      </c>
      <c r="I12" s="426"/>
      <c r="J12" s="301"/>
      <c r="K12" s="302"/>
      <c r="L12" s="303"/>
      <c r="M12" s="304"/>
      <c r="N12" s="304"/>
      <c r="O12" s="296"/>
      <c r="P12" s="419"/>
      <c r="Q12" s="305"/>
      <c r="R12" s="296"/>
    </row>
    <row r="13" spans="1:18">
      <c r="A13" s="576"/>
      <c r="B13" s="297">
        <v>0</v>
      </c>
      <c r="C13" s="297"/>
      <c r="D13" s="420"/>
      <c r="E13" s="421"/>
      <c r="F13" s="299" t="s">
        <v>148</v>
      </c>
      <c r="G13" s="306"/>
      <c r="H13" s="300">
        <f t="shared" si="3"/>
        <v>0</v>
      </c>
      <c r="I13" s="426"/>
      <c r="J13" s="301"/>
      <c r="K13" s="302"/>
      <c r="L13" s="303"/>
      <c r="M13" s="304"/>
      <c r="N13" s="304"/>
      <c r="O13" s="296"/>
      <c r="P13" s="419"/>
      <c r="Q13" s="296"/>
      <c r="R13" s="296"/>
    </row>
    <row r="14" spans="1:18">
      <c r="A14" s="576"/>
      <c r="B14" s="297">
        <v>0</v>
      </c>
      <c r="C14" s="297"/>
      <c r="D14" s="420"/>
      <c r="E14" s="421"/>
      <c r="F14" s="299" t="s">
        <v>148</v>
      </c>
      <c r="G14" s="306"/>
      <c r="H14" s="300">
        <f t="shared" si="3"/>
        <v>0</v>
      </c>
      <c r="I14" s="426"/>
      <c r="J14" s="301"/>
      <c r="K14" s="302"/>
      <c r="L14" s="303"/>
      <c r="M14" s="304"/>
      <c r="N14" s="304"/>
      <c r="O14" s="296"/>
      <c r="P14" s="419"/>
      <c r="Q14" s="296"/>
      <c r="R14" s="296"/>
    </row>
    <row r="15" spans="1:18">
      <c r="A15" s="576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26"/>
      <c r="J15" s="301"/>
      <c r="K15" s="302"/>
      <c r="L15" s="303"/>
      <c r="M15" s="304"/>
      <c r="N15" s="304"/>
      <c r="O15" s="296"/>
      <c r="P15" s="419"/>
      <c r="Q15" s="296"/>
      <c r="R15" s="296"/>
    </row>
    <row r="16" spans="1:18" ht="15.75" customHeight="1">
      <c r="A16" s="577"/>
      <c r="B16" s="297">
        <v>0</v>
      </c>
      <c r="C16" s="308" t="s">
        <v>333</v>
      </c>
      <c r="D16" s="578" t="s">
        <v>293</v>
      </c>
      <c r="E16" s="578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1663.5965463108316</v>
      </c>
      <c r="L16" s="314">
        <f>AVERAGE(L5:L15)</f>
        <v>139.82535321821032</v>
      </c>
      <c r="M16" s="304"/>
      <c r="N16" s="304"/>
      <c r="O16" s="302"/>
      <c r="P16" s="302"/>
      <c r="Q16" s="303"/>
      <c r="R16" s="303"/>
    </row>
    <row r="17" spans="1:18" ht="15.75" customHeight="1">
      <c r="A17" s="579" t="s">
        <v>334</v>
      </c>
      <c r="B17" s="297" t="s">
        <v>149</v>
      </c>
      <c r="C17" s="425"/>
      <c r="D17" s="582" t="s">
        <v>335</v>
      </c>
      <c r="E17" s="583"/>
      <c r="F17" s="299">
        <v>14.03</v>
      </c>
      <c r="G17" s="424">
        <v>302</v>
      </c>
      <c r="H17" s="315">
        <f t="shared" ref="H17:H23" si="4">F17*G17</f>
        <v>4237.0599999999995</v>
      </c>
      <c r="I17" s="316"/>
      <c r="J17" s="301">
        <v>6</v>
      </c>
      <c r="K17" s="302">
        <f>G17/P17*60</f>
        <v>1510.0000000000005</v>
      </c>
      <c r="L17" s="303">
        <f>K17/J17</f>
        <v>251.66666666666674</v>
      </c>
      <c r="M17" s="304">
        <v>0.18055555555555555</v>
      </c>
      <c r="N17" s="304">
        <v>0.18888888888888888</v>
      </c>
      <c r="O17" s="296">
        <v>20</v>
      </c>
      <c r="P17" s="419">
        <f>(N17-M17)*24*60</f>
        <v>11.999999999999996</v>
      </c>
      <c r="Q17" s="296"/>
      <c r="R17" s="296"/>
    </row>
    <row r="18" spans="1:18" ht="15.75" customHeight="1">
      <c r="A18" s="579"/>
      <c r="B18" s="297" t="s">
        <v>146</v>
      </c>
      <c r="C18" s="425"/>
      <c r="D18" s="584" t="s">
        <v>336</v>
      </c>
      <c r="E18" s="585"/>
      <c r="F18" s="299">
        <v>14.49</v>
      </c>
      <c r="G18" s="423">
        <v>478</v>
      </c>
      <c r="H18" s="300">
        <f t="shared" si="4"/>
        <v>6926.22</v>
      </c>
      <c r="I18" s="426"/>
      <c r="J18" s="301">
        <v>5</v>
      </c>
      <c r="K18" s="302">
        <f>G18/P18*60</f>
        <v>1509.4736842105285</v>
      </c>
      <c r="L18" s="303">
        <f>K18/J18</f>
        <v>301.89473684210571</v>
      </c>
      <c r="M18" s="304">
        <v>0.20277777777777781</v>
      </c>
      <c r="N18" s="304">
        <v>0.21597222222222223</v>
      </c>
      <c r="O18" s="296">
        <v>20</v>
      </c>
      <c r="P18" s="419">
        <f t="shared" ref="P18" si="5">(N18-M18)*24*60</f>
        <v>18.999999999999972</v>
      </c>
      <c r="Q18" s="305"/>
      <c r="R18" s="305"/>
    </row>
    <row r="19" spans="1:18" ht="15.75" customHeight="1">
      <c r="A19" s="579"/>
      <c r="B19" s="297">
        <v>0</v>
      </c>
      <c r="C19" s="425"/>
      <c r="D19" s="584"/>
      <c r="E19" s="585"/>
      <c r="F19" s="299" t="s">
        <v>148</v>
      </c>
      <c r="G19" s="423"/>
      <c r="H19" s="300">
        <f t="shared" si="4"/>
        <v>0</v>
      </c>
      <c r="I19" s="426"/>
      <c r="J19" s="301"/>
      <c r="K19" s="302"/>
      <c r="L19" s="303"/>
      <c r="M19" s="304"/>
      <c r="N19" s="304"/>
      <c r="O19" s="296"/>
      <c r="P19" s="419"/>
      <c r="Q19" s="305"/>
      <c r="R19" s="305"/>
    </row>
    <row r="20" spans="1:18" ht="15.75" customHeight="1">
      <c r="A20" s="580"/>
      <c r="B20" s="297">
        <v>0</v>
      </c>
      <c r="C20" s="425"/>
      <c r="D20" s="317"/>
      <c r="E20" s="421"/>
      <c r="F20" s="299" t="s">
        <v>148</v>
      </c>
      <c r="G20" s="423"/>
      <c r="H20" s="300">
        <f t="shared" si="4"/>
        <v>0</v>
      </c>
      <c r="I20" s="426"/>
      <c r="J20" s="301"/>
      <c r="K20" s="302"/>
      <c r="L20" s="303"/>
      <c r="M20" s="304"/>
      <c r="N20" s="304"/>
      <c r="O20" s="296"/>
      <c r="P20" s="419"/>
      <c r="Q20" s="296"/>
      <c r="R20" s="296"/>
    </row>
    <row r="21" spans="1:18" ht="15.75" customHeight="1">
      <c r="A21" s="580"/>
      <c r="B21" s="297">
        <v>0</v>
      </c>
      <c r="C21" s="425"/>
      <c r="D21" s="317"/>
      <c r="E21" s="421"/>
      <c r="F21" s="299" t="s">
        <v>148</v>
      </c>
      <c r="G21" s="423"/>
      <c r="H21" s="300">
        <f t="shared" si="4"/>
        <v>0</v>
      </c>
      <c r="I21" s="426"/>
      <c r="J21" s="301"/>
      <c r="K21" s="302"/>
      <c r="L21" s="303"/>
      <c r="M21" s="304"/>
      <c r="N21" s="304"/>
      <c r="O21" s="296"/>
      <c r="P21" s="419"/>
      <c r="Q21" s="296"/>
      <c r="R21" s="296"/>
    </row>
    <row r="22" spans="1:18" ht="15.75" customHeight="1">
      <c r="A22" s="580"/>
      <c r="B22" s="297">
        <v>0</v>
      </c>
      <c r="C22" s="425"/>
      <c r="D22" s="317"/>
      <c r="E22" s="421"/>
      <c r="F22" s="299" t="s">
        <v>148</v>
      </c>
      <c r="G22" s="423"/>
      <c r="H22" s="300">
        <f t="shared" si="4"/>
        <v>0</v>
      </c>
      <c r="I22" s="426"/>
      <c r="J22" s="301"/>
      <c r="K22" s="302"/>
      <c r="L22" s="303"/>
      <c r="M22" s="304"/>
      <c r="N22" s="304"/>
      <c r="O22" s="296"/>
      <c r="P22" s="419"/>
      <c r="Q22" s="296"/>
      <c r="R22" s="296"/>
    </row>
    <row r="23" spans="1:18" ht="15.75" customHeight="1">
      <c r="A23" s="580"/>
      <c r="B23" s="297">
        <v>0</v>
      </c>
      <c r="C23" s="425"/>
      <c r="D23" s="317"/>
      <c r="E23" s="421"/>
      <c r="F23" s="299" t="s">
        <v>148</v>
      </c>
      <c r="G23" s="423"/>
      <c r="H23" s="300">
        <f t="shared" si="4"/>
        <v>0</v>
      </c>
      <c r="I23" s="426"/>
      <c r="J23" s="301"/>
      <c r="K23" s="302"/>
      <c r="L23" s="303"/>
      <c r="M23" s="304"/>
      <c r="N23" s="304"/>
      <c r="O23" s="296"/>
      <c r="P23" s="419"/>
      <c r="Q23" s="296"/>
      <c r="R23" s="296"/>
    </row>
    <row r="24" spans="1:18" ht="17.399999999999999" customHeight="1">
      <c r="A24" s="581"/>
      <c r="B24" s="297">
        <v>0</v>
      </c>
      <c r="C24" s="6" t="s">
        <v>337</v>
      </c>
      <c r="D24" s="578" t="s">
        <v>293</v>
      </c>
      <c r="E24" s="578"/>
      <c r="F24" s="309"/>
      <c r="G24" s="318"/>
      <c r="H24" s="311"/>
      <c r="I24" s="312"/>
      <c r="J24" s="313">
        <f>AVERAGE(J17:J23)</f>
        <v>5.5</v>
      </c>
      <c r="K24" s="313">
        <f>AVERAGE(K17:K23)</f>
        <v>1509.7368421052645</v>
      </c>
      <c r="L24" s="314">
        <f>AVERAGE(L17:L23)</f>
        <v>276.7807017543862</v>
      </c>
      <c r="M24" s="304"/>
      <c r="N24" s="304"/>
      <c r="O24" s="296"/>
      <c r="P24" s="296"/>
      <c r="Q24" s="296"/>
      <c r="R24" s="296"/>
    </row>
    <row r="25" spans="1:18">
      <c r="A25" s="594" t="s">
        <v>338</v>
      </c>
      <c r="B25" s="297" t="s">
        <v>146</v>
      </c>
      <c r="C25" s="319"/>
      <c r="D25" s="321" t="s">
        <v>339</v>
      </c>
      <c r="E25" s="320"/>
      <c r="F25" s="299">
        <v>15.03</v>
      </c>
      <c r="G25" s="424">
        <v>1208</v>
      </c>
      <c r="H25" s="300">
        <f t="shared" ref="H25:H37" si="6">F25*G25</f>
        <v>18156.239999999998</v>
      </c>
      <c r="I25" s="426"/>
      <c r="J25" s="301">
        <v>4</v>
      </c>
      <c r="K25" s="302">
        <f t="shared" ref="K25:K27" si="7">G25/P25*60</f>
        <v>2899.1999999999962</v>
      </c>
      <c r="L25" s="303">
        <f t="shared" ref="L25:L27" si="8">K25/J25</f>
        <v>724.79999999999905</v>
      </c>
      <c r="M25" s="304">
        <v>0.1875</v>
      </c>
      <c r="N25" s="304">
        <v>0.20486111111111113</v>
      </c>
      <c r="O25" s="296">
        <v>30</v>
      </c>
      <c r="P25" s="419">
        <f t="shared" ref="P25:P27" si="9">(N25-M25)*24*60</f>
        <v>25.000000000000032</v>
      </c>
      <c r="Q25" s="305"/>
      <c r="R25" s="305"/>
    </row>
    <row r="26" spans="1:18">
      <c r="A26" s="594"/>
      <c r="B26" s="297" t="s">
        <v>146</v>
      </c>
      <c r="C26" s="319"/>
      <c r="D26" s="317" t="s">
        <v>122</v>
      </c>
      <c r="E26" s="322"/>
      <c r="F26" s="299">
        <v>18.18</v>
      </c>
      <c r="G26" s="424">
        <v>2376</v>
      </c>
      <c r="H26" s="300">
        <f t="shared" si="6"/>
        <v>43195.68</v>
      </c>
      <c r="I26" s="426"/>
      <c r="J26" s="301">
        <v>4</v>
      </c>
      <c r="K26" s="302">
        <f t="shared" si="7"/>
        <v>2851.2000000000007</v>
      </c>
      <c r="L26" s="303">
        <f t="shared" si="8"/>
        <v>712.80000000000018</v>
      </c>
      <c r="M26" s="304">
        <v>0.21875</v>
      </c>
      <c r="N26" s="304">
        <v>0.25347222222222221</v>
      </c>
      <c r="O26" s="296">
        <v>20</v>
      </c>
      <c r="P26" s="419">
        <f t="shared" si="9"/>
        <v>49.999999999999986</v>
      </c>
      <c r="Q26" s="305"/>
      <c r="R26" s="305"/>
    </row>
    <row r="27" spans="1:18">
      <c r="A27" s="594"/>
      <c r="B27" s="297" t="s">
        <v>146</v>
      </c>
      <c r="C27" s="319"/>
      <c r="D27" s="321" t="s">
        <v>124</v>
      </c>
      <c r="E27" s="322"/>
      <c r="F27" s="299">
        <v>18.53</v>
      </c>
      <c r="G27" s="424">
        <v>1627</v>
      </c>
      <c r="H27" s="300">
        <f t="shared" si="6"/>
        <v>30148.31</v>
      </c>
      <c r="I27" s="426"/>
      <c r="J27" s="301">
        <v>3</v>
      </c>
      <c r="K27" s="302">
        <f t="shared" si="7"/>
        <v>2958.1818181818144</v>
      </c>
      <c r="L27" s="303">
        <f t="shared" si="8"/>
        <v>986.06060606060475</v>
      </c>
      <c r="M27" s="304">
        <v>0.2673611111111111</v>
      </c>
      <c r="N27" s="304">
        <v>0.2902777777777778</v>
      </c>
      <c r="O27" s="296">
        <v>20</v>
      </c>
      <c r="P27" s="419">
        <f t="shared" si="9"/>
        <v>33.000000000000043</v>
      </c>
      <c r="Q27" s="305"/>
      <c r="R27" s="305"/>
    </row>
    <row r="28" spans="1:18">
      <c r="A28" s="594"/>
      <c r="B28" s="297">
        <v>0</v>
      </c>
      <c r="C28" s="425"/>
      <c r="D28" s="317"/>
      <c r="E28" s="322"/>
      <c r="F28" s="299" t="s">
        <v>148</v>
      </c>
      <c r="G28" s="424"/>
      <c r="H28" s="300">
        <f t="shared" si="6"/>
        <v>0</v>
      </c>
      <c r="I28" s="426"/>
      <c r="J28" s="301"/>
      <c r="K28" s="302"/>
      <c r="L28" s="303"/>
      <c r="M28" s="304"/>
      <c r="N28" s="304"/>
      <c r="O28" s="296"/>
      <c r="P28" s="419"/>
      <c r="Q28" s="305"/>
      <c r="R28" s="305"/>
    </row>
    <row r="29" spans="1:18">
      <c r="A29" s="594"/>
      <c r="B29" s="297">
        <v>0</v>
      </c>
      <c r="C29" s="424"/>
      <c r="D29" s="321"/>
      <c r="E29" s="322"/>
      <c r="F29" s="299" t="s">
        <v>148</v>
      </c>
      <c r="G29" s="424"/>
      <c r="H29" s="300">
        <f t="shared" si="6"/>
        <v>0</v>
      </c>
      <c r="I29" s="426"/>
      <c r="J29" s="301"/>
      <c r="K29" s="302"/>
      <c r="L29" s="303"/>
      <c r="M29" s="304"/>
      <c r="N29" s="304"/>
      <c r="O29" s="296"/>
      <c r="P29" s="419"/>
      <c r="Q29" s="305"/>
      <c r="R29" s="305"/>
    </row>
    <row r="30" spans="1:18">
      <c r="A30" s="594"/>
      <c r="B30" s="297">
        <v>0</v>
      </c>
      <c r="C30" s="424"/>
      <c r="D30" s="323"/>
      <c r="E30" s="322"/>
      <c r="F30" s="299" t="s">
        <v>148</v>
      </c>
      <c r="G30" s="424"/>
      <c r="H30" s="300">
        <f t="shared" si="6"/>
        <v>0</v>
      </c>
      <c r="I30" s="426"/>
      <c r="J30" s="301"/>
      <c r="K30" s="302"/>
      <c r="L30" s="303"/>
      <c r="M30" s="304"/>
      <c r="N30" s="304"/>
      <c r="O30" s="296"/>
      <c r="P30" s="419"/>
      <c r="Q30" s="305"/>
      <c r="R30" s="305"/>
    </row>
    <row r="31" spans="1:18" ht="15.75" customHeight="1">
      <c r="A31" s="594"/>
      <c r="B31" s="297">
        <v>0</v>
      </c>
      <c r="C31" s="425"/>
      <c r="D31" s="317"/>
      <c r="E31" s="322"/>
      <c r="F31" s="299" t="s">
        <v>148</v>
      </c>
      <c r="G31" s="424"/>
      <c r="H31" s="300">
        <f t="shared" si="6"/>
        <v>0</v>
      </c>
      <c r="I31" s="426"/>
      <c r="J31" s="301"/>
      <c r="K31" s="302"/>
      <c r="L31" s="303"/>
      <c r="M31" s="304"/>
      <c r="N31" s="304"/>
      <c r="O31" s="296"/>
      <c r="P31" s="419"/>
      <c r="Q31" s="305"/>
      <c r="R31" s="305"/>
    </row>
    <row r="32" spans="1:18">
      <c r="A32" s="594"/>
      <c r="B32" s="297">
        <v>0</v>
      </c>
      <c r="C32" s="425"/>
      <c r="D32" s="317"/>
      <c r="E32" s="421"/>
      <c r="F32" s="299" t="s">
        <v>148</v>
      </c>
      <c r="G32" s="424"/>
      <c r="H32" s="300">
        <f t="shared" si="6"/>
        <v>0</v>
      </c>
      <c r="I32" s="426"/>
      <c r="J32" s="301"/>
      <c r="K32" s="302"/>
      <c r="L32" s="303"/>
      <c r="M32" s="304"/>
      <c r="N32" s="304"/>
      <c r="O32" s="296"/>
      <c r="P32" s="419"/>
      <c r="Q32" s="305"/>
      <c r="R32" s="305"/>
    </row>
    <row r="33" spans="1:18">
      <c r="A33" s="594"/>
      <c r="B33" s="297">
        <v>0</v>
      </c>
      <c r="C33" s="424"/>
      <c r="D33" s="321"/>
      <c r="E33" s="322"/>
      <c r="F33" s="299" t="s">
        <v>148</v>
      </c>
      <c r="G33" s="424"/>
      <c r="H33" s="300">
        <f t="shared" si="6"/>
        <v>0</v>
      </c>
      <c r="I33" s="426"/>
      <c r="J33" s="301"/>
      <c r="K33" s="302"/>
      <c r="L33" s="303"/>
      <c r="M33" s="304"/>
      <c r="N33" s="304"/>
      <c r="O33" s="296"/>
      <c r="P33" s="419"/>
      <c r="Q33" s="305"/>
      <c r="R33" s="305"/>
    </row>
    <row r="34" spans="1:18">
      <c r="A34" s="594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26"/>
      <c r="J34" s="301"/>
      <c r="K34" s="302"/>
      <c r="L34" s="303"/>
      <c r="M34" s="304"/>
      <c r="N34" s="304"/>
      <c r="O34" s="296"/>
      <c r="P34" s="419"/>
      <c r="Q34" s="305"/>
      <c r="R34" s="305"/>
    </row>
    <row r="35" spans="1:18">
      <c r="A35" s="594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26"/>
      <c r="J35" s="301"/>
      <c r="K35" s="302"/>
      <c r="L35" s="303"/>
      <c r="M35" s="304"/>
      <c r="N35" s="304"/>
      <c r="O35" s="296"/>
      <c r="P35" s="419"/>
      <c r="Q35" s="305"/>
      <c r="R35" s="305"/>
    </row>
    <row r="36" spans="1:18">
      <c r="A36" s="594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26"/>
      <c r="J36" s="301"/>
      <c r="K36" s="302"/>
      <c r="L36" s="303"/>
      <c r="M36" s="304"/>
      <c r="N36" s="304"/>
      <c r="O36" s="296"/>
      <c r="P36" s="419"/>
      <c r="Q36" s="305"/>
      <c r="R36" s="305"/>
    </row>
    <row r="37" spans="1:18">
      <c r="A37" s="594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26"/>
      <c r="J37" s="301"/>
      <c r="K37" s="302"/>
      <c r="L37" s="303"/>
      <c r="M37" s="304"/>
      <c r="N37" s="304"/>
      <c r="O37" s="296"/>
      <c r="P37" s="419"/>
      <c r="Q37" s="305"/>
      <c r="R37" s="305"/>
    </row>
    <row r="38" spans="1:18" ht="17.399999999999999" customHeight="1">
      <c r="A38" s="595"/>
      <c r="B38" s="297">
        <v>0</v>
      </c>
      <c r="C38" s="6" t="s">
        <v>27</v>
      </c>
      <c r="D38" s="596" t="s">
        <v>123</v>
      </c>
      <c r="E38" s="596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2902.8606060606035</v>
      </c>
      <c r="L38" s="314">
        <f>AVERAGE(L25:L37)</f>
        <v>807.88686868686807</v>
      </c>
      <c r="M38" s="304"/>
      <c r="N38" s="304"/>
      <c r="O38" s="302"/>
      <c r="P38" s="302"/>
      <c r="Q38" s="303"/>
      <c r="R38" s="303"/>
    </row>
    <row r="39" spans="1:18" ht="16.2" customHeight="1">
      <c r="A39" s="597" t="s">
        <v>340</v>
      </c>
      <c r="B39" s="297">
        <v>0</v>
      </c>
      <c r="C39" s="425"/>
      <c r="D39" s="320"/>
      <c r="E39" s="421"/>
      <c r="F39" s="299" t="s">
        <v>148</v>
      </c>
      <c r="G39" s="424"/>
      <c r="H39" s="300">
        <f t="shared" ref="H39:H47" si="10">F39*G39</f>
        <v>0</v>
      </c>
      <c r="I39" s="426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598"/>
      <c r="B40" s="297">
        <v>0</v>
      </c>
      <c r="C40" s="425"/>
      <c r="D40" s="320"/>
      <c r="E40" s="421"/>
      <c r="F40" s="299" t="s">
        <v>148</v>
      </c>
      <c r="G40" s="424"/>
      <c r="H40" s="300">
        <f t="shared" si="10"/>
        <v>0</v>
      </c>
      <c r="I40" s="426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598"/>
      <c r="B41" s="297">
        <v>0</v>
      </c>
      <c r="C41" s="425"/>
      <c r="D41" s="320"/>
      <c r="E41" s="421"/>
      <c r="F41" s="299" t="s">
        <v>148</v>
      </c>
      <c r="G41" s="424"/>
      <c r="H41" s="300">
        <f t="shared" si="10"/>
        <v>0</v>
      </c>
      <c r="I41" s="426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598"/>
      <c r="B42" s="297">
        <v>0</v>
      </c>
      <c r="C42" s="425"/>
      <c r="D42" s="338"/>
      <c r="E42" s="421"/>
      <c r="F42" s="299" t="s">
        <v>148</v>
      </c>
      <c r="G42" s="424"/>
      <c r="H42" s="300">
        <f t="shared" si="10"/>
        <v>0</v>
      </c>
      <c r="I42" s="426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598"/>
      <c r="B43" s="297">
        <v>0</v>
      </c>
      <c r="C43" s="425"/>
      <c r="D43" s="321"/>
      <c r="E43" s="421"/>
      <c r="F43" s="299" t="s">
        <v>148</v>
      </c>
      <c r="G43" s="424"/>
      <c r="H43" s="300">
        <f t="shared" si="10"/>
        <v>0</v>
      </c>
      <c r="I43" s="426"/>
      <c r="J43" s="301"/>
      <c r="K43" s="302"/>
      <c r="L43" s="303"/>
      <c r="M43" s="304"/>
      <c r="N43" s="304"/>
      <c r="O43" s="296"/>
      <c r="P43" s="419"/>
      <c r="Q43" s="305"/>
      <c r="R43" s="305"/>
    </row>
    <row r="44" spans="1:18">
      <c r="A44" s="598"/>
      <c r="B44" s="297">
        <v>0</v>
      </c>
      <c r="C44" s="425"/>
      <c r="D44" s="321"/>
      <c r="E44" s="327"/>
      <c r="F44" s="299" t="s">
        <v>148</v>
      </c>
      <c r="G44" s="328"/>
      <c r="H44" s="329">
        <f t="shared" si="10"/>
        <v>0</v>
      </c>
      <c r="I44" s="427"/>
      <c r="J44" s="301"/>
      <c r="K44" s="302"/>
      <c r="L44" s="303"/>
      <c r="M44" s="304"/>
      <c r="N44" s="304"/>
      <c r="O44" s="296"/>
      <c r="P44" s="419"/>
      <c r="Q44" s="305"/>
      <c r="R44" s="305"/>
    </row>
    <row r="45" spans="1:18">
      <c r="A45" s="598"/>
      <c r="B45" s="297">
        <v>0</v>
      </c>
      <c r="C45" s="425"/>
      <c r="D45" s="321"/>
      <c r="E45" s="322"/>
      <c r="F45" s="299" t="s">
        <v>148</v>
      </c>
      <c r="G45" s="424"/>
      <c r="H45" s="300">
        <f t="shared" si="10"/>
        <v>0</v>
      </c>
      <c r="I45" s="426"/>
      <c r="J45" s="301"/>
      <c r="K45" s="302"/>
      <c r="L45" s="303"/>
      <c r="M45" s="304"/>
      <c r="N45" s="304"/>
      <c r="O45" s="296"/>
      <c r="P45" s="419"/>
      <c r="Q45" s="305"/>
      <c r="R45" s="305"/>
    </row>
    <row r="46" spans="1:18">
      <c r="A46" s="598"/>
      <c r="B46" s="297">
        <v>0</v>
      </c>
      <c r="C46" s="425"/>
      <c r="D46" s="337"/>
      <c r="E46" s="327"/>
      <c r="F46" s="299" t="s">
        <v>148</v>
      </c>
      <c r="G46" s="328"/>
      <c r="H46" s="329">
        <f t="shared" si="10"/>
        <v>0</v>
      </c>
      <c r="I46" s="427"/>
      <c r="J46" s="301"/>
      <c r="K46" s="302"/>
      <c r="L46" s="303"/>
      <c r="M46" s="304"/>
      <c r="N46" s="304"/>
      <c r="O46" s="296"/>
      <c r="P46" s="419"/>
      <c r="Q46" s="305"/>
      <c r="R46" s="305"/>
    </row>
    <row r="47" spans="1:18">
      <c r="A47" s="598"/>
      <c r="B47" s="297">
        <v>0</v>
      </c>
      <c r="C47" s="425"/>
      <c r="D47" s="320"/>
      <c r="E47" s="322"/>
      <c r="F47" s="299" t="s">
        <v>148</v>
      </c>
      <c r="G47" s="424"/>
      <c r="H47" s="300">
        <f t="shared" si="10"/>
        <v>0</v>
      </c>
      <c r="I47" s="426"/>
      <c r="J47" s="301"/>
      <c r="K47" s="302"/>
      <c r="L47" s="303"/>
      <c r="M47" s="304"/>
      <c r="N47" s="304"/>
      <c r="O47" s="296"/>
      <c r="P47" s="419"/>
      <c r="Q47" s="305"/>
      <c r="R47" s="305"/>
    </row>
    <row r="48" spans="1:18">
      <c r="A48" s="599"/>
      <c r="B48" s="297">
        <v>0</v>
      </c>
      <c r="C48" s="424"/>
      <c r="D48" s="337"/>
      <c r="E48" s="376"/>
      <c r="F48" s="299" t="s">
        <v>148</v>
      </c>
      <c r="G48" s="424"/>
      <c r="H48" s="300"/>
      <c r="I48" s="426"/>
      <c r="J48" s="301"/>
      <c r="K48" s="302"/>
      <c r="L48" s="303"/>
      <c r="M48" s="304"/>
      <c r="N48" s="304"/>
      <c r="O48" s="296"/>
      <c r="P48" s="419"/>
      <c r="Q48" s="305"/>
      <c r="R48" s="305"/>
    </row>
    <row r="49" spans="1:18">
      <c r="A49" s="599"/>
      <c r="B49" s="297">
        <v>0</v>
      </c>
      <c r="C49" s="424"/>
      <c r="D49" s="330"/>
      <c r="E49" s="331"/>
      <c r="F49" s="299" t="s">
        <v>148</v>
      </c>
      <c r="G49" s="296"/>
      <c r="H49" s="329">
        <f>F49*G49</f>
        <v>0</v>
      </c>
      <c r="I49" s="419"/>
      <c r="J49" s="301"/>
      <c r="K49" s="302"/>
      <c r="L49" s="303"/>
      <c r="M49" s="304"/>
      <c r="N49" s="304"/>
      <c r="O49" s="296"/>
      <c r="P49" s="419"/>
      <c r="Q49" s="305"/>
      <c r="R49" s="305"/>
    </row>
    <row r="50" spans="1:18">
      <c r="A50" s="599"/>
      <c r="B50" s="297">
        <v>0</v>
      </c>
      <c r="C50" s="424"/>
      <c r="D50" s="330"/>
      <c r="E50" s="331"/>
      <c r="F50" s="299" t="s">
        <v>148</v>
      </c>
      <c r="G50" s="296"/>
      <c r="H50" s="329">
        <f>F50*G50</f>
        <v>0</v>
      </c>
      <c r="I50" s="419"/>
      <c r="J50" s="301"/>
      <c r="K50" s="302"/>
      <c r="L50" s="303"/>
      <c r="M50" s="304"/>
      <c r="N50" s="304"/>
      <c r="O50" s="296"/>
      <c r="P50" s="419"/>
      <c r="Q50" s="305"/>
      <c r="R50" s="305"/>
    </row>
    <row r="51" spans="1:18" ht="15.75" customHeight="1">
      <c r="A51" s="600"/>
      <c r="B51" s="297">
        <v>0</v>
      </c>
      <c r="C51" s="6" t="s">
        <v>28</v>
      </c>
      <c r="D51" s="578" t="s">
        <v>293</v>
      </c>
      <c r="E51" s="578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01" t="s">
        <v>341</v>
      </c>
      <c r="B52" s="297" t="s">
        <v>146</v>
      </c>
      <c r="C52" s="425"/>
      <c r="D52" s="320" t="s">
        <v>129</v>
      </c>
      <c r="E52" s="335"/>
      <c r="F52" s="299">
        <v>18.18</v>
      </c>
      <c r="G52" s="424">
        <v>773</v>
      </c>
      <c r="H52" s="300">
        <f>F52*G52</f>
        <v>14053.14</v>
      </c>
      <c r="I52" s="426"/>
      <c r="J52" s="301">
        <v>3</v>
      </c>
      <c r="K52" s="302">
        <f>G52/P52*60</f>
        <v>3312.8571428571358</v>
      </c>
      <c r="L52" s="303">
        <f>K52/J52</f>
        <v>1104.2857142857119</v>
      </c>
      <c r="M52" s="304">
        <v>0.2986111111111111</v>
      </c>
      <c r="N52" s="304">
        <v>0.30833333333333335</v>
      </c>
      <c r="O52" s="302">
        <v>10</v>
      </c>
      <c r="P52" s="419">
        <f>(N52-M52)*24*60</f>
        <v>14.00000000000003</v>
      </c>
      <c r="Q52" s="305"/>
      <c r="R52" s="305"/>
    </row>
    <row r="53" spans="1:18" ht="15.6" customHeight="1">
      <c r="A53" s="602"/>
      <c r="B53" s="297" t="s">
        <v>146</v>
      </c>
      <c r="C53" s="425"/>
      <c r="D53" s="320" t="s">
        <v>125</v>
      </c>
      <c r="E53" s="336"/>
      <c r="F53" s="299">
        <v>25.03</v>
      </c>
      <c r="G53" s="306">
        <v>679</v>
      </c>
      <c r="H53" s="300">
        <f t="shared" ref="H53:H116" si="11">F53*G53</f>
        <v>16995.37</v>
      </c>
      <c r="I53" s="426"/>
      <c r="J53" s="301">
        <v>4</v>
      </c>
      <c r="K53" s="302">
        <f t="shared" ref="K53:K57" si="12">G53/P53*60</f>
        <v>3395.0000000000123</v>
      </c>
      <c r="L53" s="303">
        <f t="shared" ref="L53:L57" si="13">K53/J53</f>
        <v>848.75000000000307</v>
      </c>
      <c r="M53" s="304">
        <v>0.32222222222222224</v>
      </c>
      <c r="N53" s="304">
        <v>0.33055555555555555</v>
      </c>
      <c r="O53" s="302">
        <v>20</v>
      </c>
      <c r="P53" s="419">
        <f t="shared" ref="P53:P57" si="14">(N53-M53)*24*60</f>
        <v>11.999999999999957</v>
      </c>
      <c r="Q53" s="305"/>
      <c r="R53" s="305"/>
    </row>
    <row r="54" spans="1:18" ht="15.6" customHeight="1">
      <c r="A54" s="602"/>
      <c r="B54" s="297" t="s">
        <v>146</v>
      </c>
      <c r="C54" s="425"/>
      <c r="D54" s="320" t="s">
        <v>126</v>
      </c>
      <c r="E54" s="421"/>
      <c r="F54" s="299">
        <v>24.82</v>
      </c>
      <c r="G54" s="306">
        <v>925</v>
      </c>
      <c r="H54" s="300">
        <f t="shared" si="11"/>
        <v>22958.5</v>
      </c>
      <c r="I54" s="426"/>
      <c r="J54" s="301">
        <v>4</v>
      </c>
      <c r="K54" s="302">
        <f t="shared" si="12"/>
        <v>3264.7058823529528</v>
      </c>
      <c r="L54" s="303">
        <f t="shared" si="13"/>
        <v>816.1764705882382</v>
      </c>
      <c r="M54" s="304">
        <v>0.3444444444444445</v>
      </c>
      <c r="N54" s="304">
        <v>0.35625000000000001</v>
      </c>
      <c r="O54" s="302">
        <v>20</v>
      </c>
      <c r="P54" s="419">
        <f t="shared" si="14"/>
        <v>16.99999999999994</v>
      </c>
      <c r="Q54" s="305"/>
      <c r="R54" s="305"/>
    </row>
    <row r="55" spans="1:18" ht="15.6" customHeight="1">
      <c r="A55" s="602"/>
      <c r="B55" s="297" t="s">
        <v>146</v>
      </c>
      <c r="C55" s="425"/>
      <c r="D55" s="320" t="s">
        <v>127</v>
      </c>
      <c r="E55" s="322"/>
      <c r="F55" s="299">
        <v>30</v>
      </c>
      <c r="G55" s="306">
        <v>1210</v>
      </c>
      <c r="H55" s="300">
        <f t="shared" si="11"/>
        <v>36300</v>
      </c>
      <c r="I55" s="426"/>
      <c r="J55" s="301">
        <v>4</v>
      </c>
      <c r="K55" s="302">
        <f t="shared" si="12"/>
        <v>3299.9999999999877</v>
      </c>
      <c r="L55" s="303">
        <f t="shared" si="13"/>
        <v>824.99999999999693</v>
      </c>
      <c r="M55" s="304">
        <v>0.37013888888888885</v>
      </c>
      <c r="N55" s="304">
        <v>0.38541666666666669</v>
      </c>
      <c r="O55" s="302">
        <v>20</v>
      </c>
      <c r="P55" s="419">
        <f t="shared" si="14"/>
        <v>22.000000000000082</v>
      </c>
      <c r="Q55" s="305">
        <v>0.38541666666666669</v>
      </c>
      <c r="R55" s="305">
        <v>0.42708333333333331</v>
      </c>
    </row>
    <row r="56" spans="1:18" ht="15.6" customHeight="1">
      <c r="A56" s="602"/>
      <c r="B56" s="297" t="s">
        <v>146</v>
      </c>
      <c r="C56" s="425"/>
      <c r="D56" s="321" t="s">
        <v>342</v>
      </c>
      <c r="E56" s="322"/>
      <c r="F56" s="299">
        <v>23.72</v>
      </c>
      <c r="G56" s="306">
        <v>2009</v>
      </c>
      <c r="H56" s="300">
        <f t="shared" si="11"/>
        <v>47653.479999999996</v>
      </c>
      <c r="I56" s="426"/>
      <c r="J56" s="301">
        <v>4</v>
      </c>
      <c r="K56" s="302">
        <f t="shared" si="12"/>
        <v>3013.5000000000045</v>
      </c>
      <c r="L56" s="303">
        <f t="shared" si="13"/>
        <v>753.37500000000114</v>
      </c>
      <c r="M56" s="304">
        <v>0.44097222222222227</v>
      </c>
      <c r="N56" s="304">
        <v>0.46875</v>
      </c>
      <c r="O56" s="302">
        <v>20</v>
      </c>
      <c r="P56" s="419">
        <f t="shared" si="14"/>
        <v>39.999999999999936</v>
      </c>
      <c r="Q56" s="305"/>
      <c r="R56" s="305"/>
    </row>
    <row r="57" spans="1:18" ht="15.75" customHeight="1">
      <c r="A57" s="602"/>
      <c r="B57" s="297" t="s">
        <v>146</v>
      </c>
      <c r="C57" s="6" t="s">
        <v>31</v>
      </c>
      <c r="D57" s="338" t="s">
        <v>343</v>
      </c>
      <c r="E57" s="322"/>
      <c r="F57" s="299">
        <v>27.48</v>
      </c>
      <c r="G57" s="306">
        <v>2457</v>
      </c>
      <c r="H57" s="300">
        <f t="shared" si="11"/>
        <v>67518.36</v>
      </c>
      <c r="I57" s="426"/>
      <c r="J57" s="301">
        <v>4</v>
      </c>
      <c r="K57" s="302">
        <f t="shared" si="12"/>
        <v>3071.2500000000059</v>
      </c>
      <c r="L57" s="303">
        <f t="shared" si="13"/>
        <v>767.81250000000148</v>
      </c>
      <c r="M57" s="304">
        <v>0.4826388888888889</v>
      </c>
      <c r="N57" s="304">
        <v>0.51597222222222217</v>
      </c>
      <c r="O57" s="302">
        <v>20</v>
      </c>
      <c r="P57" s="419">
        <f t="shared" si="14"/>
        <v>47.999999999999908</v>
      </c>
      <c r="Q57" s="305"/>
      <c r="R57" s="305"/>
    </row>
    <row r="58" spans="1:18" ht="15.6" customHeight="1">
      <c r="A58" s="602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26"/>
      <c r="J58" s="301"/>
      <c r="K58" s="302"/>
      <c r="L58" s="303"/>
      <c r="M58" s="304"/>
      <c r="N58" s="304"/>
      <c r="O58" s="302"/>
      <c r="P58" s="419"/>
      <c r="Q58" s="305"/>
      <c r="R58" s="305"/>
    </row>
    <row r="59" spans="1:18" ht="15.6" customHeight="1">
      <c r="A59" s="602"/>
      <c r="B59" s="297">
        <v>0</v>
      </c>
      <c r="C59" s="425"/>
      <c r="D59" s="337"/>
      <c r="E59" s="322"/>
      <c r="F59" s="299" t="s">
        <v>148</v>
      </c>
      <c r="G59" s="306"/>
      <c r="H59" s="300">
        <f t="shared" si="11"/>
        <v>0</v>
      </c>
      <c r="I59" s="426"/>
      <c r="J59" s="301"/>
      <c r="K59" s="302"/>
      <c r="L59" s="303"/>
      <c r="M59" s="304"/>
      <c r="N59" s="304"/>
      <c r="O59" s="302"/>
      <c r="P59" s="419"/>
      <c r="Q59" s="305"/>
      <c r="R59" s="305"/>
    </row>
    <row r="60" spans="1:18" ht="15.6" customHeight="1">
      <c r="A60" s="602"/>
      <c r="B60" s="297">
        <v>0</v>
      </c>
      <c r="C60" s="425"/>
      <c r="D60" s="338"/>
      <c r="E60" s="341"/>
      <c r="F60" s="299" t="s">
        <v>148</v>
      </c>
      <c r="G60" s="306"/>
      <c r="H60" s="300">
        <f t="shared" si="11"/>
        <v>0</v>
      </c>
      <c r="I60" s="426"/>
      <c r="J60" s="301"/>
      <c r="K60" s="302"/>
      <c r="L60" s="303"/>
      <c r="M60" s="304"/>
      <c r="N60" s="304"/>
      <c r="O60" s="302"/>
      <c r="P60" s="419"/>
      <c r="Q60" s="305"/>
      <c r="R60" s="305"/>
    </row>
    <row r="61" spans="1:18" ht="15.6" customHeight="1">
      <c r="A61" s="602"/>
      <c r="B61" s="297">
        <v>0</v>
      </c>
      <c r="C61" s="425"/>
      <c r="D61" s="320"/>
      <c r="E61" s="322"/>
      <c r="F61" s="299" t="s">
        <v>148</v>
      </c>
      <c r="G61" s="306"/>
      <c r="H61" s="300">
        <f t="shared" si="11"/>
        <v>0</v>
      </c>
      <c r="I61" s="426"/>
      <c r="J61" s="301"/>
      <c r="K61" s="302"/>
      <c r="L61" s="303"/>
      <c r="M61" s="304"/>
      <c r="N61" s="304"/>
      <c r="O61" s="302"/>
      <c r="P61" s="419"/>
      <c r="Q61" s="305"/>
      <c r="R61" s="305"/>
    </row>
    <row r="62" spans="1:18" ht="15.6" customHeight="1">
      <c r="A62" s="602"/>
      <c r="B62" s="297">
        <v>0</v>
      </c>
      <c r="C62" s="425"/>
      <c r="D62" s="337"/>
      <c r="E62" s="342"/>
      <c r="F62" s="299" t="s">
        <v>148</v>
      </c>
      <c r="G62" s="306"/>
      <c r="H62" s="300">
        <f t="shared" si="11"/>
        <v>0</v>
      </c>
      <c r="I62" s="426"/>
      <c r="J62" s="301"/>
      <c r="K62" s="302"/>
      <c r="L62" s="303"/>
      <c r="M62" s="304"/>
      <c r="N62" s="304"/>
      <c r="O62" s="302"/>
      <c r="P62" s="419"/>
      <c r="Q62" s="305"/>
      <c r="R62" s="305"/>
    </row>
    <row r="63" spans="1:18" ht="15.6" customHeight="1">
      <c r="A63" s="602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27"/>
      <c r="J63" s="301"/>
      <c r="K63" s="302"/>
      <c r="L63" s="303"/>
      <c r="M63" s="304"/>
      <c r="N63" s="304"/>
      <c r="O63" s="296"/>
      <c r="P63" s="419"/>
      <c r="Q63" s="305"/>
      <c r="R63" s="305"/>
    </row>
    <row r="64" spans="1:18" ht="15.75" customHeight="1">
      <c r="A64" s="603"/>
      <c r="B64" s="297">
        <v>0</v>
      </c>
      <c r="C64" s="6" t="s">
        <v>344</v>
      </c>
      <c r="D64" s="578" t="s">
        <v>293</v>
      </c>
      <c r="E64" s="578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3226.2188375350165</v>
      </c>
      <c r="L64" s="314">
        <f>AVERAGE(L52:L63)</f>
        <v>852.56661414565895</v>
      </c>
      <c r="M64" s="304"/>
      <c r="N64" s="304"/>
      <c r="O64" s="296"/>
      <c r="P64" s="296"/>
      <c r="Q64" s="296"/>
      <c r="R64" s="296"/>
    </row>
    <row r="65" spans="1:18" ht="15.6" customHeight="1">
      <c r="A65" s="604" t="s">
        <v>345</v>
      </c>
      <c r="B65" s="297" t="s">
        <v>146</v>
      </c>
      <c r="C65" s="425"/>
      <c r="D65" s="321" t="s">
        <v>346</v>
      </c>
      <c r="E65" s="335"/>
      <c r="F65" s="299">
        <v>22.281818181818181</v>
      </c>
      <c r="G65" s="424">
        <v>518</v>
      </c>
      <c r="H65" s="300">
        <f>F65*G65</f>
        <v>11541.981818181817</v>
      </c>
      <c r="I65" s="426"/>
      <c r="J65" s="301">
        <v>4</v>
      </c>
      <c r="K65" s="302">
        <f t="shared" ref="K65:K71" si="15">G65/P65*60</f>
        <v>3453.3333333333303</v>
      </c>
      <c r="L65" s="303">
        <f t="shared" ref="L65:L71" si="16">K65/J65</f>
        <v>863.33333333333258</v>
      </c>
      <c r="M65" s="304">
        <v>0.18055555555555555</v>
      </c>
      <c r="N65" s="304">
        <v>0.18680555555555556</v>
      </c>
      <c r="O65" s="302">
        <v>20</v>
      </c>
      <c r="P65" s="419">
        <f>(N65-M65)*24*60</f>
        <v>9.0000000000000071</v>
      </c>
      <c r="Q65" s="305"/>
      <c r="R65" s="305"/>
    </row>
    <row r="66" spans="1:18" ht="15.6" customHeight="1">
      <c r="A66" s="605"/>
      <c r="B66" s="297" t="s">
        <v>146</v>
      </c>
      <c r="C66" s="425"/>
      <c r="D66" s="321" t="s">
        <v>130</v>
      </c>
      <c r="E66" s="336"/>
      <c r="F66" s="299">
        <v>18.18</v>
      </c>
      <c r="G66" s="306">
        <v>1307</v>
      </c>
      <c r="H66" s="300">
        <f t="shared" ref="H66:H74" si="17">F66*G66</f>
        <v>23761.26</v>
      </c>
      <c r="I66" s="426"/>
      <c r="J66" s="301">
        <v>3</v>
      </c>
      <c r="K66" s="302">
        <f t="shared" si="15"/>
        <v>3267.499999999995</v>
      </c>
      <c r="L66" s="303">
        <f t="shared" si="16"/>
        <v>1089.1666666666649</v>
      </c>
      <c r="M66" s="304">
        <v>0.20069444444444443</v>
      </c>
      <c r="N66" s="304">
        <v>0.21736111111111112</v>
      </c>
      <c r="O66" s="302">
        <v>20</v>
      </c>
      <c r="P66" s="419">
        <f t="shared" ref="P66:P71" si="18">(N66-M66)*24*60</f>
        <v>24.000000000000036</v>
      </c>
      <c r="Q66" s="305"/>
      <c r="R66" s="305"/>
    </row>
    <row r="67" spans="1:18" ht="15.6" customHeight="1">
      <c r="A67" s="605"/>
      <c r="B67" s="297" t="s">
        <v>146</v>
      </c>
      <c r="C67" s="425"/>
      <c r="D67" s="337" t="s">
        <v>347</v>
      </c>
      <c r="E67" s="322"/>
      <c r="F67" s="299">
        <v>17.890909090909091</v>
      </c>
      <c r="G67" s="306">
        <v>1425</v>
      </c>
      <c r="H67" s="300">
        <f t="shared" si="17"/>
        <v>25494.545454545456</v>
      </c>
      <c r="I67" s="426"/>
      <c r="J67" s="301">
        <v>3</v>
      </c>
      <c r="K67" s="302">
        <f t="shared" si="15"/>
        <v>3288.4615384615349</v>
      </c>
      <c r="L67" s="303">
        <f t="shared" si="16"/>
        <v>1096.1538461538451</v>
      </c>
      <c r="M67" s="304">
        <v>0.23124999999999998</v>
      </c>
      <c r="N67" s="304">
        <v>0.24930555555555556</v>
      </c>
      <c r="O67" s="302">
        <v>20</v>
      </c>
      <c r="P67" s="419">
        <f t="shared" si="18"/>
        <v>26.000000000000028</v>
      </c>
      <c r="Q67" s="305">
        <v>0.24930555555555556</v>
      </c>
      <c r="R67" s="305">
        <v>0.29097222222222224</v>
      </c>
    </row>
    <row r="68" spans="1:18" ht="15.6" customHeight="1">
      <c r="A68" s="605"/>
      <c r="B68" s="297" t="s">
        <v>146</v>
      </c>
      <c r="C68" s="425"/>
      <c r="D68" s="337" t="s">
        <v>131</v>
      </c>
      <c r="E68" s="322"/>
      <c r="F68" s="299">
        <v>14.285714285714283</v>
      </c>
      <c r="G68" s="306">
        <v>3463</v>
      </c>
      <c r="H68" s="300">
        <f t="shared" si="17"/>
        <v>49471.428571428565</v>
      </c>
      <c r="I68" s="426"/>
      <c r="J68" s="301">
        <v>3</v>
      </c>
      <c r="K68" s="302">
        <f t="shared" si="15"/>
        <v>3246.5624999999991</v>
      </c>
      <c r="L68" s="303">
        <f t="shared" si="16"/>
        <v>1082.1874999999998</v>
      </c>
      <c r="M68" s="304">
        <v>0.30486111111111108</v>
      </c>
      <c r="N68" s="304">
        <v>0.34930555555555554</v>
      </c>
      <c r="O68" s="302">
        <v>20</v>
      </c>
      <c r="P68" s="419">
        <f t="shared" si="18"/>
        <v>64.000000000000014</v>
      </c>
      <c r="Q68" s="305"/>
      <c r="R68" s="305"/>
    </row>
    <row r="69" spans="1:18" ht="15.6" customHeight="1">
      <c r="A69" s="605"/>
      <c r="B69" s="297" t="s">
        <v>146</v>
      </c>
      <c r="C69" s="425"/>
      <c r="D69" s="321" t="s">
        <v>348</v>
      </c>
      <c r="E69" s="322"/>
      <c r="F69" s="299">
        <v>16.66</v>
      </c>
      <c r="G69" s="306">
        <v>2292</v>
      </c>
      <c r="H69" s="300">
        <f t="shared" si="17"/>
        <v>38184.720000000001</v>
      </c>
      <c r="I69" s="426"/>
      <c r="J69" s="301">
        <v>4</v>
      </c>
      <c r="K69" s="302">
        <f t="shared" si="15"/>
        <v>3274.2857142857133</v>
      </c>
      <c r="L69" s="303">
        <f t="shared" si="16"/>
        <v>818.57142857142833</v>
      </c>
      <c r="M69" s="304">
        <v>0.36319444444444443</v>
      </c>
      <c r="N69" s="304">
        <v>0.3923611111111111</v>
      </c>
      <c r="O69" s="302">
        <v>20</v>
      </c>
      <c r="P69" s="419">
        <f t="shared" si="18"/>
        <v>42.000000000000014</v>
      </c>
      <c r="Q69" s="305"/>
      <c r="R69" s="305"/>
    </row>
    <row r="70" spans="1:18" ht="15.75" customHeight="1">
      <c r="A70" s="605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2332</v>
      </c>
      <c r="H70" s="300">
        <f t="shared" si="17"/>
        <v>32717.96</v>
      </c>
      <c r="I70" s="426"/>
      <c r="J70" s="301">
        <v>3</v>
      </c>
      <c r="K70" s="302">
        <f t="shared" si="15"/>
        <v>3498.0000000000059</v>
      </c>
      <c r="L70" s="303">
        <f t="shared" si="16"/>
        <v>1166.000000000002</v>
      </c>
      <c r="M70" s="304">
        <v>0.40625</v>
      </c>
      <c r="N70" s="304">
        <v>0.43402777777777773</v>
      </c>
      <c r="O70" s="302">
        <v>20</v>
      </c>
      <c r="P70" s="419">
        <f t="shared" si="18"/>
        <v>39.999999999999936</v>
      </c>
      <c r="Q70" s="305"/>
      <c r="R70" s="305"/>
    </row>
    <row r="71" spans="1:18" ht="15.6" customHeight="1">
      <c r="A71" s="605"/>
      <c r="B71" s="297" t="s">
        <v>146</v>
      </c>
      <c r="C71" s="339"/>
      <c r="D71" s="337" t="s">
        <v>349</v>
      </c>
      <c r="E71" s="322"/>
      <c r="F71" s="299">
        <v>25.2</v>
      </c>
      <c r="G71" s="340">
        <v>2469</v>
      </c>
      <c r="H71" s="300">
        <f t="shared" si="17"/>
        <v>62218.799999999996</v>
      </c>
      <c r="I71" s="426"/>
      <c r="J71" s="301">
        <v>3</v>
      </c>
      <c r="K71" s="302">
        <f t="shared" si="15"/>
        <v>3220.4347826086955</v>
      </c>
      <c r="L71" s="303">
        <f t="shared" si="16"/>
        <v>1073.4782608695652</v>
      </c>
      <c r="M71" s="304">
        <v>0.45</v>
      </c>
      <c r="N71" s="304">
        <v>0.48194444444444445</v>
      </c>
      <c r="O71" s="302">
        <v>20</v>
      </c>
      <c r="P71" s="419">
        <f t="shared" si="18"/>
        <v>46</v>
      </c>
      <c r="Q71" s="305"/>
      <c r="R71" s="305"/>
    </row>
    <row r="72" spans="1:18" ht="15.6" customHeight="1">
      <c r="A72" s="605"/>
      <c r="B72" s="297">
        <v>0</v>
      </c>
      <c r="C72" s="425"/>
      <c r="D72" s="337"/>
      <c r="E72" s="322"/>
      <c r="F72" s="299" t="s">
        <v>148</v>
      </c>
      <c r="G72" s="306"/>
      <c r="H72" s="300">
        <f t="shared" si="17"/>
        <v>0</v>
      </c>
      <c r="I72" s="426"/>
      <c r="J72" s="301"/>
      <c r="K72" s="302"/>
      <c r="L72" s="303"/>
      <c r="M72" s="304"/>
      <c r="N72" s="304"/>
      <c r="O72" s="302"/>
      <c r="P72" s="419"/>
      <c r="Q72" s="305"/>
      <c r="R72" s="305"/>
    </row>
    <row r="73" spans="1:18" ht="15.6" customHeight="1">
      <c r="A73" s="605"/>
      <c r="B73" s="297">
        <v>0</v>
      </c>
      <c r="C73" s="425"/>
      <c r="D73" s="337"/>
      <c r="E73" s="322"/>
      <c r="F73" s="299" t="s">
        <v>148</v>
      </c>
      <c r="G73" s="306"/>
      <c r="H73" s="300">
        <f t="shared" si="17"/>
        <v>0</v>
      </c>
      <c r="I73" s="426"/>
      <c r="J73" s="301"/>
      <c r="K73" s="302"/>
      <c r="L73" s="303"/>
      <c r="M73" s="304"/>
      <c r="N73" s="304"/>
      <c r="O73" s="302"/>
      <c r="P73" s="419"/>
      <c r="Q73" s="305"/>
      <c r="R73" s="305"/>
    </row>
    <row r="74" spans="1:18" ht="15.6" customHeight="1">
      <c r="A74" s="605"/>
      <c r="B74" s="297">
        <v>0</v>
      </c>
      <c r="C74" s="425"/>
      <c r="D74" s="337"/>
      <c r="E74" s="322"/>
      <c r="F74" s="299" t="s">
        <v>148</v>
      </c>
      <c r="G74" s="306"/>
      <c r="H74" s="300">
        <f t="shared" si="17"/>
        <v>0</v>
      </c>
      <c r="I74" s="426"/>
      <c r="J74" s="301"/>
      <c r="K74" s="302"/>
      <c r="L74" s="303"/>
      <c r="M74" s="304"/>
      <c r="N74" s="304"/>
      <c r="O74" s="302"/>
      <c r="P74" s="419"/>
      <c r="Q74" s="305"/>
      <c r="R74" s="305"/>
    </row>
    <row r="75" spans="1:18" ht="15.75" customHeight="1">
      <c r="A75" s="606"/>
      <c r="B75" s="297">
        <v>0</v>
      </c>
      <c r="C75" s="6" t="s">
        <v>350</v>
      </c>
      <c r="D75" s="578" t="s">
        <v>293</v>
      </c>
      <c r="E75" s="578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3321.2254098127537</v>
      </c>
      <c r="L75" s="314">
        <f>AVERAGE(L65:L74)</f>
        <v>1026.9844336564054</v>
      </c>
      <c r="M75" s="304"/>
      <c r="N75" s="304"/>
      <c r="O75" s="296"/>
      <c r="P75" s="296"/>
      <c r="Q75" s="296"/>
      <c r="R75" s="296"/>
    </row>
    <row r="76" spans="1:18" ht="16.2" customHeight="1">
      <c r="A76" s="607" t="s">
        <v>132</v>
      </c>
      <c r="B76" s="297">
        <v>0</v>
      </c>
      <c r="C76" s="308"/>
      <c r="D76" s="608"/>
      <c r="E76" s="609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19"/>
      <c r="Q76" s="305"/>
      <c r="R76" s="305"/>
    </row>
    <row r="77" spans="1:18">
      <c r="A77" s="607"/>
      <c r="B77" s="297">
        <v>0</v>
      </c>
      <c r="C77" s="308"/>
      <c r="D77" s="608"/>
      <c r="E77" s="609"/>
      <c r="F77" s="299" t="s">
        <v>148</v>
      </c>
      <c r="G77" s="424"/>
      <c r="H77" s="300">
        <f t="shared" si="11"/>
        <v>0</v>
      </c>
      <c r="I77" s="426"/>
      <c r="J77" s="301"/>
      <c r="K77" s="302"/>
      <c r="L77" s="303"/>
      <c r="M77" s="304"/>
      <c r="N77" s="304"/>
      <c r="O77" s="296"/>
      <c r="P77" s="419"/>
      <c r="Q77" s="296"/>
      <c r="R77" s="296"/>
    </row>
    <row r="78" spans="1:18">
      <c r="A78" s="607"/>
      <c r="B78" s="297">
        <v>0</v>
      </c>
      <c r="C78" s="308"/>
      <c r="D78" s="418"/>
      <c r="E78" s="418"/>
      <c r="F78" s="299" t="s">
        <v>148</v>
      </c>
      <c r="G78" s="324"/>
      <c r="H78" s="300">
        <f t="shared" si="11"/>
        <v>0</v>
      </c>
      <c r="I78" s="426"/>
      <c r="J78" s="301"/>
      <c r="K78" s="302"/>
      <c r="L78" s="303"/>
      <c r="M78" s="304"/>
      <c r="N78" s="304"/>
      <c r="O78" s="296"/>
      <c r="P78" s="419"/>
      <c r="Q78" s="296"/>
      <c r="R78" s="296"/>
    </row>
    <row r="79" spans="1:18">
      <c r="A79" s="607"/>
      <c r="B79" s="297">
        <v>0</v>
      </c>
      <c r="C79" s="308"/>
      <c r="D79" s="418"/>
      <c r="E79" s="418"/>
      <c r="F79" s="299" t="s">
        <v>148</v>
      </c>
      <c r="G79" s="324"/>
      <c r="H79" s="300">
        <f t="shared" si="11"/>
        <v>0</v>
      </c>
      <c r="I79" s="426"/>
      <c r="J79" s="301"/>
      <c r="K79" s="302"/>
      <c r="L79" s="303"/>
      <c r="M79" s="304"/>
      <c r="N79" s="304"/>
      <c r="O79" s="296"/>
      <c r="P79" s="419"/>
      <c r="Q79" s="296"/>
      <c r="R79" s="296"/>
    </row>
    <row r="80" spans="1:18">
      <c r="A80" s="607"/>
      <c r="B80" s="297">
        <v>0</v>
      </c>
      <c r="C80" s="308"/>
      <c r="D80" s="418"/>
      <c r="E80" s="418"/>
      <c r="F80" s="299" t="s">
        <v>148</v>
      </c>
      <c r="G80" s="324"/>
      <c r="H80" s="300">
        <f t="shared" si="11"/>
        <v>0</v>
      </c>
      <c r="I80" s="426"/>
      <c r="J80" s="301"/>
      <c r="K80" s="302"/>
      <c r="L80" s="303"/>
      <c r="M80" s="304"/>
      <c r="N80" s="304"/>
      <c r="O80" s="296"/>
      <c r="P80" s="419"/>
      <c r="Q80" s="296"/>
      <c r="R80" s="296"/>
    </row>
    <row r="81" spans="1:18" ht="15.75" customHeight="1">
      <c r="A81" s="607"/>
      <c r="B81" s="297">
        <v>0</v>
      </c>
      <c r="C81" s="6" t="s">
        <v>31</v>
      </c>
      <c r="D81" s="596" t="s">
        <v>293</v>
      </c>
      <c r="E81" s="596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12" t="s">
        <v>351</v>
      </c>
      <c r="B82" s="297" t="s">
        <v>146</v>
      </c>
      <c r="C82" s="319"/>
      <c r="D82" s="320" t="s">
        <v>352</v>
      </c>
      <c r="E82" s="346"/>
      <c r="F82" s="299">
        <v>17.22</v>
      </c>
      <c r="G82" s="324">
        <v>1221</v>
      </c>
      <c r="H82" s="347">
        <f t="shared" ref="H82:H90" si="19">F82*G82</f>
        <v>21025.62</v>
      </c>
      <c r="I82" s="426"/>
      <c r="J82" s="301">
        <v>3</v>
      </c>
      <c r="K82" s="302">
        <f t="shared" ref="K82" si="20">G82/P82*60</f>
        <v>2930.3999999999915</v>
      </c>
      <c r="L82" s="303">
        <f t="shared" ref="L82" si="21">K82/J82</f>
        <v>976.79999999999711</v>
      </c>
      <c r="M82" s="304">
        <v>0.72222222222222221</v>
      </c>
      <c r="N82" s="304">
        <v>0.73958333333333337</v>
      </c>
      <c r="O82" s="302">
        <v>20</v>
      </c>
      <c r="P82" s="419">
        <f t="shared" ref="P82" si="22">(N82-M82)*24*60</f>
        <v>25.000000000000071</v>
      </c>
      <c r="Q82" s="305"/>
      <c r="R82" s="305"/>
    </row>
    <row r="83" spans="1:18">
      <c r="A83" s="613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26"/>
      <c r="J83" s="301"/>
      <c r="K83" s="302"/>
      <c r="L83" s="303"/>
      <c r="M83" s="304"/>
      <c r="N83" s="304"/>
      <c r="O83" s="302"/>
      <c r="P83" s="419"/>
      <c r="Q83" s="305"/>
      <c r="R83" s="305"/>
    </row>
    <row r="84" spans="1:18">
      <c r="A84" s="613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26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13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26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13"/>
      <c r="B86" s="297">
        <v>0</v>
      </c>
      <c r="C86" s="319"/>
      <c r="D86" s="320"/>
      <c r="E86" s="346"/>
      <c r="F86" s="299" t="s">
        <v>148</v>
      </c>
      <c r="G86" s="424"/>
      <c r="H86" s="348">
        <f t="shared" si="19"/>
        <v>0</v>
      </c>
      <c r="I86" s="426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13"/>
      <c r="B87" s="297"/>
      <c r="C87" s="319"/>
      <c r="D87" s="320"/>
      <c r="E87" s="346"/>
      <c r="F87" s="299" t="s">
        <v>148</v>
      </c>
      <c r="G87" s="424"/>
      <c r="H87" s="348">
        <f t="shared" si="19"/>
        <v>0</v>
      </c>
      <c r="I87" s="426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13"/>
      <c r="B88" s="297">
        <v>0</v>
      </c>
      <c r="C88" s="319"/>
      <c r="D88" s="320"/>
      <c r="E88" s="346"/>
      <c r="F88" s="299" t="s">
        <v>148</v>
      </c>
      <c r="G88" s="424"/>
      <c r="H88" s="348">
        <f t="shared" si="19"/>
        <v>0</v>
      </c>
      <c r="I88" s="426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13"/>
      <c r="B89" s="297">
        <v>0</v>
      </c>
      <c r="C89" s="319"/>
      <c r="D89" s="320"/>
      <c r="E89" s="346"/>
      <c r="F89" s="299" t="s">
        <v>148</v>
      </c>
      <c r="G89" s="424"/>
      <c r="H89" s="348">
        <f t="shared" si="19"/>
        <v>0</v>
      </c>
      <c r="I89" s="426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13"/>
      <c r="B90" s="297">
        <v>0</v>
      </c>
      <c r="C90" s="319"/>
      <c r="D90" s="320"/>
      <c r="E90" s="346"/>
      <c r="F90" s="299" t="s">
        <v>148</v>
      </c>
      <c r="G90" s="424"/>
      <c r="H90" s="348">
        <f t="shared" si="19"/>
        <v>0</v>
      </c>
      <c r="I90" s="426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13"/>
      <c r="B91" s="297">
        <v>0</v>
      </c>
      <c r="C91" s="6" t="s">
        <v>338</v>
      </c>
      <c r="D91" s="614" t="s">
        <v>293</v>
      </c>
      <c r="E91" s="614"/>
      <c r="F91" s="309"/>
      <c r="G91" s="350"/>
      <c r="H91" s="351"/>
      <c r="I91" s="312"/>
      <c r="J91" s="313">
        <f>AVERAGE(J82:J90)</f>
        <v>3</v>
      </c>
      <c r="K91" s="313">
        <f>AVERAGE(K82:K90)</f>
        <v>2930.3999999999915</v>
      </c>
      <c r="L91" s="314">
        <f>AVERAGE(L82:L90)</f>
        <v>976.79999999999711</v>
      </c>
      <c r="M91" s="304"/>
      <c r="N91" s="304"/>
      <c r="O91" s="302"/>
      <c r="P91" s="302"/>
      <c r="Q91" s="303"/>
      <c r="R91" s="303"/>
    </row>
    <row r="92" spans="1:18" ht="16.2" customHeight="1">
      <c r="A92" s="615" t="s">
        <v>353</v>
      </c>
      <c r="B92" s="297" t="s">
        <v>146</v>
      </c>
      <c r="C92" s="308"/>
      <c r="D92" s="352" t="s">
        <v>354</v>
      </c>
      <c r="E92" s="346"/>
      <c r="F92" s="299">
        <v>24.54</v>
      </c>
      <c r="G92" s="424">
        <v>1382</v>
      </c>
      <c r="H92" s="300">
        <f t="shared" ref="H92:H99" si="23">F92*G92</f>
        <v>33914.28</v>
      </c>
      <c r="I92" s="426"/>
      <c r="J92" s="301">
        <v>3</v>
      </c>
      <c r="K92" s="302">
        <f>G92/P92*60</f>
        <v>2072.9999999999995</v>
      </c>
      <c r="L92" s="303">
        <f t="shared" ref="L92:L93" si="24">K92/J92</f>
        <v>690.99999999999989</v>
      </c>
      <c r="M92" s="304">
        <v>0.72222222222222221</v>
      </c>
      <c r="N92" s="304">
        <v>0.75</v>
      </c>
      <c r="O92" s="296">
        <v>20</v>
      </c>
      <c r="P92" s="419">
        <f>(N92-M92)*24*60</f>
        <v>40.000000000000014</v>
      </c>
      <c r="Q92" s="305"/>
      <c r="R92" s="305"/>
    </row>
    <row r="93" spans="1:18">
      <c r="A93" s="616"/>
      <c r="B93" s="297" t="s">
        <v>146</v>
      </c>
      <c r="C93" s="308"/>
      <c r="D93" s="320" t="s">
        <v>355</v>
      </c>
      <c r="E93" s="341"/>
      <c r="F93" s="299">
        <v>23.27</v>
      </c>
      <c r="G93" s="306">
        <v>1430</v>
      </c>
      <c r="H93" s="300">
        <f t="shared" si="23"/>
        <v>33276.1</v>
      </c>
      <c r="I93" s="426"/>
      <c r="J93" s="301">
        <v>4</v>
      </c>
      <c r="K93" s="302">
        <f t="shared" ref="K93" si="25">G93/P93*60</f>
        <v>2144.9999999999991</v>
      </c>
      <c r="L93" s="303">
        <f t="shared" si="24"/>
        <v>536.24999999999977</v>
      </c>
      <c r="M93" s="304">
        <v>0.76388888888888884</v>
      </c>
      <c r="N93" s="304">
        <v>0.79166666666666663</v>
      </c>
      <c r="O93" s="296">
        <v>20</v>
      </c>
      <c r="P93" s="419">
        <f>(N93-M93)*24*60</f>
        <v>40.000000000000014</v>
      </c>
      <c r="Q93" s="305"/>
      <c r="R93" s="305"/>
    </row>
    <row r="94" spans="1:18">
      <c r="A94" s="616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26"/>
      <c r="J94" s="301">
        <v>4</v>
      </c>
      <c r="K94" s="302"/>
      <c r="L94" s="303"/>
      <c r="M94" s="304"/>
      <c r="N94" s="304"/>
      <c r="O94" s="296"/>
      <c r="P94" s="419"/>
      <c r="Q94" s="305"/>
      <c r="R94" s="305"/>
    </row>
    <row r="95" spans="1:18">
      <c r="A95" s="617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26"/>
      <c r="J95" s="301"/>
      <c r="K95" s="302"/>
      <c r="L95" s="303"/>
      <c r="M95" s="304"/>
      <c r="N95" s="304"/>
      <c r="O95" s="296"/>
      <c r="P95" s="419"/>
      <c r="Q95" s="305"/>
      <c r="R95" s="305"/>
    </row>
    <row r="96" spans="1:18">
      <c r="A96" s="617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26"/>
      <c r="J96" s="301"/>
      <c r="K96" s="302"/>
      <c r="L96" s="303"/>
      <c r="M96" s="304"/>
      <c r="N96" s="304"/>
      <c r="O96" s="296"/>
      <c r="P96" s="419"/>
      <c r="Q96" s="305"/>
      <c r="R96" s="305"/>
    </row>
    <row r="97" spans="1:18">
      <c r="A97" s="617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26"/>
      <c r="J97" s="301"/>
      <c r="K97" s="302"/>
      <c r="L97" s="303"/>
      <c r="M97" s="304"/>
      <c r="N97" s="304"/>
      <c r="O97" s="296"/>
      <c r="P97" s="419"/>
      <c r="Q97" s="305"/>
      <c r="R97" s="305"/>
    </row>
    <row r="98" spans="1:18">
      <c r="A98" s="617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26"/>
      <c r="J98" s="301"/>
      <c r="K98" s="302"/>
      <c r="L98" s="303"/>
      <c r="M98" s="304"/>
      <c r="N98" s="304"/>
      <c r="O98" s="296"/>
      <c r="P98" s="419"/>
      <c r="Q98" s="305"/>
      <c r="R98" s="305"/>
    </row>
    <row r="99" spans="1:18">
      <c r="A99" s="617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26"/>
      <c r="J99" s="301"/>
      <c r="K99" s="302"/>
      <c r="L99" s="303"/>
      <c r="M99" s="304"/>
      <c r="N99" s="304"/>
      <c r="O99" s="296"/>
      <c r="P99" s="419"/>
      <c r="Q99" s="305"/>
      <c r="R99" s="305"/>
    </row>
    <row r="100" spans="1:18" ht="15.75" customHeight="1">
      <c r="A100" s="617"/>
      <c r="B100" s="297">
        <v>0</v>
      </c>
      <c r="C100" s="6" t="s">
        <v>356</v>
      </c>
      <c r="D100" s="618" t="s">
        <v>293</v>
      </c>
      <c r="E100" s="619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2108.9999999999991</v>
      </c>
      <c r="L100" s="314">
        <f>AVERAGE(L92:L99)</f>
        <v>613.62499999999977</v>
      </c>
      <c r="M100" s="304"/>
      <c r="N100" s="304"/>
      <c r="O100" s="302"/>
      <c r="P100" s="302"/>
      <c r="Q100" s="303"/>
      <c r="R100" s="303"/>
    </row>
    <row r="101" spans="1:18" ht="16.2" customHeight="1">
      <c r="A101" s="620" t="s">
        <v>357</v>
      </c>
      <c r="B101" s="297" t="s">
        <v>146</v>
      </c>
      <c r="C101" s="6"/>
      <c r="D101" s="341" t="s">
        <v>137</v>
      </c>
      <c r="E101" s="354"/>
      <c r="F101" s="299">
        <v>25.03</v>
      </c>
      <c r="G101" s="424">
        <v>1081</v>
      </c>
      <c r="H101" s="300">
        <f t="shared" ref="H101:H110" si="26">F101*G101</f>
        <v>27057.43</v>
      </c>
      <c r="I101" s="426"/>
      <c r="J101" s="301">
        <v>4</v>
      </c>
      <c r="K101" s="302">
        <f>G101/P101*60</f>
        <v>3242.9999999999859</v>
      </c>
      <c r="L101" s="303">
        <f t="shared" ref="L101:L105" si="27">K101/J101</f>
        <v>810.74999999999648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 ht="15.6" customHeight="1">
      <c r="A102" s="620"/>
      <c r="B102" s="297" t="s">
        <v>146</v>
      </c>
      <c r="C102" s="6"/>
      <c r="D102" s="320" t="s">
        <v>138</v>
      </c>
      <c r="E102" s="354"/>
      <c r="F102" s="299">
        <v>24.82</v>
      </c>
      <c r="G102" s="424">
        <v>1755</v>
      </c>
      <c r="H102" s="300">
        <f t="shared" si="26"/>
        <v>43559.1</v>
      </c>
      <c r="I102" s="426"/>
      <c r="J102" s="301">
        <v>4</v>
      </c>
      <c r="K102" s="302">
        <f t="shared" ref="K102:K105" si="29">G102/P102*60</f>
        <v>3008.5714285714394</v>
      </c>
      <c r="L102" s="303">
        <f t="shared" si="27"/>
        <v>752.14285714285984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620"/>
      <c r="B103" s="297" t="s">
        <v>146</v>
      </c>
      <c r="C103" s="6"/>
      <c r="D103" s="320" t="s">
        <v>358</v>
      </c>
      <c r="E103" s="320"/>
      <c r="F103" s="299">
        <v>30</v>
      </c>
      <c r="G103" s="424">
        <v>1998</v>
      </c>
      <c r="H103" s="300">
        <f t="shared" si="26"/>
        <v>59940</v>
      </c>
      <c r="I103" s="426"/>
      <c r="J103" s="301">
        <v>3</v>
      </c>
      <c r="K103" s="302">
        <f t="shared" si="29"/>
        <v>2997.0000000000109</v>
      </c>
      <c r="L103" s="303">
        <f t="shared" si="27"/>
        <v>999.00000000000364</v>
      </c>
      <c r="M103" s="304">
        <v>0.78819444444444453</v>
      </c>
      <c r="N103" s="304">
        <v>0.81597222222222221</v>
      </c>
      <c r="O103" s="296">
        <v>20</v>
      </c>
      <c r="P103" s="302">
        <f t="shared" si="28"/>
        <v>39.999999999999858</v>
      </c>
      <c r="Q103" s="305"/>
      <c r="R103" s="305"/>
    </row>
    <row r="104" spans="1:18">
      <c r="A104" s="620"/>
      <c r="B104" s="297" t="s">
        <v>146</v>
      </c>
      <c r="C104" s="6"/>
      <c r="D104" s="337" t="s">
        <v>139</v>
      </c>
      <c r="E104" s="341"/>
      <c r="F104" s="299">
        <v>28.57</v>
      </c>
      <c r="G104" s="424">
        <v>2743</v>
      </c>
      <c r="H104" s="300">
        <f t="shared" si="26"/>
        <v>78367.509999999995</v>
      </c>
      <c r="I104" s="426"/>
      <c r="J104" s="301">
        <v>3</v>
      </c>
      <c r="K104" s="302">
        <f t="shared" si="29"/>
        <v>2992.3636363636469</v>
      </c>
      <c r="L104" s="303">
        <f t="shared" si="27"/>
        <v>997.45454545454902</v>
      </c>
      <c r="M104" s="304">
        <v>0.82986111111111116</v>
      </c>
      <c r="N104" s="304">
        <v>0.86805555555555547</v>
      </c>
      <c r="O104" s="296">
        <v>20</v>
      </c>
      <c r="P104" s="302">
        <f>(N104-M104)*24*60</f>
        <v>54.999999999999801</v>
      </c>
      <c r="Q104" s="305">
        <v>0.86805555555555547</v>
      </c>
      <c r="R104" s="305">
        <v>0.90972222222222221</v>
      </c>
    </row>
    <row r="105" spans="1:18">
      <c r="A105" s="620"/>
      <c r="B105" s="297" t="s">
        <v>146</v>
      </c>
      <c r="C105" s="6"/>
      <c r="D105" s="320" t="s">
        <v>140</v>
      </c>
      <c r="E105" s="337"/>
      <c r="F105" s="299">
        <v>14.285714285714283</v>
      </c>
      <c r="G105" s="424">
        <v>7478</v>
      </c>
      <c r="H105" s="300">
        <f t="shared" si="26"/>
        <v>106828.57142857141</v>
      </c>
      <c r="I105" s="426"/>
      <c r="J105" s="301">
        <v>3</v>
      </c>
      <c r="K105" s="302">
        <f t="shared" si="29"/>
        <v>2991.1999998607112</v>
      </c>
      <c r="L105" s="303">
        <f t="shared" si="27"/>
        <v>997.06666662023702</v>
      </c>
      <c r="M105" s="304">
        <v>46143.923611111109</v>
      </c>
      <c r="N105" s="304">
        <v>46144.027777777781</v>
      </c>
      <c r="O105" s="296">
        <v>20</v>
      </c>
      <c r="P105" s="302">
        <f>(N105-M105)*24*60</f>
        <v>150.00000000698492</v>
      </c>
      <c r="Q105" s="303"/>
      <c r="R105" s="305"/>
    </row>
    <row r="106" spans="1:18">
      <c r="A106" s="620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26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20"/>
      <c r="B107" s="297">
        <v>0</v>
      </c>
      <c r="C107" s="6"/>
      <c r="D107" s="320"/>
      <c r="E107" s="337"/>
      <c r="F107" s="299" t="s">
        <v>148</v>
      </c>
      <c r="G107" s="424"/>
      <c r="H107" s="300">
        <f t="shared" si="26"/>
        <v>0</v>
      </c>
      <c r="I107" s="426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20"/>
      <c r="B108" s="297">
        <v>0</v>
      </c>
      <c r="C108" s="6"/>
      <c r="D108" s="320"/>
      <c r="E108" s="337"/>
      <c r="F108" s="299" t="s">
        <v>148</v>
      </c>
      <c r="G108" s="424"/>
      <c r="H108" s="300">
        <f t="shared" si="26"/>
        <v>0</v>
      </c>
      <c r="I108" s="426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20"/>
      <c r="B109" s="297">
        <v>0</v>
      </c>
      <c r="C109" s="308"/>
      <c r="D109" s="320"/>
      <c r="E109" s="337"/>
      <c r="F109" s="299" t="s">
        <v>148</v>
      </c>
      <c r="G109" s="424"/>
      <c r="H109" s="300">
        <f t="shared" si="26"/>
        <v>0</v>
      </c>
      <c r="I109" s="426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20"/>
      <c r="B110" s="297">
        <v>0</v>
      </c>
      <c r="C110" s="308"/>
      <c r="D110" s="320"/>
      <c r="E110" s="337"/>
      <c r="F110" s="299" t="s">
        <v>148</v>
      </c>
      <c r="G110" s="424"/>
      <c r="H110" s="300">
        <f t="shared" si="26"/>
        <v>0</v>
      </c>
      <c r="I110" s="426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20"/>
      <c r="B111" s="297">
        <v>0</v>
      </c>
      <c r="C111" s="6" t="s">
        <v>344</v>
      </c>
      <c r="D111" s="596" t="s">
        <v>293</v>
      </c>
      <c r="E111" s="621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3046.4270129591591</v>
      </c>
      <c r="L111" s="314">
        <f>AVERAGE(L101:L110)</f>
        <v>911.2828138435292</v>
      </c>
      <c r="M111" s="304"/>
      <c r="N111" s="304"/>
      <c r="O111" s="302"/>
      <c r="P111" s="302"/>
      <c r="Q111" s="303"/>
      <c r="R111" s="296"/>
    </row>
    <row r="112" spans="1:18" ht="16.2" customHeight="1">
      <c r="A112" s="610" t="s">
        <v>359</v>
      </c>
      <c r="B112" s="297" t="s">
        <v>146</v>
      </c>
      <c r="C112" s="6"/>
      <c r="D112" s="337" t="s">
        <v>134</v>
      </c>
      <c r="E112" s="357"/>
      <c r="F112" s="299">
        <v>16.7</v>
      </c>
      <c r="G112" s="424">
        <v>978</v>
      </c>
      <c r="H112" s="347">
        <f t="shared" si="11"/>
        <v>16332.599999999999</v>
      </c>
      <c r="I112" s="426"/>
      <c r="J112" s="301">
        <v>3</v>
      </c>
      <c r="K112" s="302">
        <f t="shared" ref="K112:K118" si="30">G112/P112*60</f>
        <v>2933.9999999999873</v>
      </c>
      <c r="L112" s="303">
        <f t="shared" ref="L112:L118" si="31">K112/J112</f>
        <v>977.99999999999579</v>
      </c>
      <c r="M112" s="304">
        <v>0.72222222222222221</v>
      </c>
      <c r="N112" s="304">
        <v>0.73611111111111116</v>
      </c>
      <c r="O112" s="296">
        <v>20</v>
      </c>
      <c r="P112" s="419">
        <f t="shared" ref="P112:P118" si="32">(N112-M112)*24*60</f>
        <v>20.000000000000089</v>
      </c>
      <c r="Q112" s="296"/>
      <c r="R112" s="296"/>
    </row>
    <row r="113" spans="1:18">
      <c r="A113" s="610"/>
      <c r="B113" s="297" t="s">
        <v>146</v>
      </c>
      <c r="C113" s="319"/>
      <c r="D113" s="418" t="s">
        <v>141</v>
      </c>
      <c r="E113" s="418"/>
      <c r="F113" s="299">
        <v>18.18</v>
      </c>
      <c r="G113" s="424">
        <v>924</v>
      </c>
      <c r="H113" s="347">
        <f t="shared" si="11"/>
        <v>16798.32</v>
      </c>
      <c r="I113" s="426"/>
      <c r="J113" s="301">
        <v>4</v>
      </c>
      <c r="K113" s="302">
        <f t="shared" si="30"/>
        <v>2772.00000000001</v>
      </c>
      <c r="L113" s="303">
        <f t="shared" si="31"/>
        <v>693.0000000000025</v>
      </c>
      <c r="M113" s="304">
        <v>0.75</v>
      </c>
      <c r="N113" s="304">
        <v>0.76388888888888884</v>
      </c>
      <c r="O113" s="296">
        <v>20</v>
      </c>
      <c r="P113" s="419">
        <f t="shared" si="32"/>
        <v>19.999999999999929</v>
      </c>
      <c r="Q113" s="305"/>
      <c r="R113" s="305"/>
    </row>
    <row r="114" spans="1:18">
      <c r="A114" s="610"/>
      <c r="B114" s="297" t="s">
        <v>146</v>
      </c>
      <c r="C114" s="319"/>
      <c r="D114" s="418" t="s">
        <v>360</v>
      </c>
      <c r="E114" s="320"/>
      <c r="F114" s="299">
        <v>18.18</v>
      </c>
      <c r="G114" s="424">
        <v>982</v>
      </c>
      <c r="H114" s="347">
        <f t="shared" si="11"/>
        <v>17852.759999999998</v>
      </c>
      <c r="I114" s="426"/>
      <c r="J114" s="301">
        <v>3</v>
      </c>
      <c r="K114" s="302">
        <f t="shared" si="30"/>
        <v>2946.0000000000105</v>
      </c>
      <c r="L114" s="303">
        <f t="shared" si="31"/>
        <v>982.00000000000352</v>
      </c>
      <c r="M114" s="304">
        <v>0.77777777777777779</v>
      </c>
      <c r="N114" s="304">
        <v>0.79166666666666663</v>
      </c>
      <c r="O114" s="296">
        <v>20</v>
      </c>
      <c r="P114" s="419">
        <f t="shared" si="32"/>
        <v>19.999999999999929</v>
      </c>
      <c r="Q114" s="305"/>
      <c r="R114" s="305"/>
    </row>
    <row r="115" spans="1:18">
      <c r="A115" s="610"/>
      <c r="B115" s="297" t="s">
        <v>146</v>
      </c>
      <c r="C115" s="319"/>
      <c r="D115" s="320" t="s">
        <v>133</v>
      </c>
      <c r="E115" s="341"/>
      <c r="F115" s="299">
        <v>16.66</v>
      </c>
      <c r="G115" s="424">
        <v>4999</v>
      </c>
      <c r="H115" s="347">
        <f t="shared" si="11"/>
        <v>83283.34</v>
      </c>
      <c r="I115" s="426"/>
      <c r="J115" s="301">
        <v>4</v>
      </c>
      <c r="K115" s="302">
        <f t="shared" si="30"/>
        <v>2999.3999999999965</v>
      </c>
      <c r="L115" s="303">
        <f t="shared" si="31"/>
        <v>749.84999999999911</v>
      </c>
      <c r="M115" s="304">
        <v>0.80555555555555547</v>
      </c>
      <c r="N115" s="304">
        <v>0.875</v>
      </c>
      <c r="O115" s="296">
        <v>20</v>
      </c>
      <c r="P115" s="419">
        <f t="shared" si="32"/>
        <v>100.00000000000013</v>
      </c>
      <c r="Q115" s="305"/>
      <c r="R115" s="305"/>
    </row>
    <row r="116" spans="1:18">
      <c r="A116" s="610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24">
        <v>921</v>
      </c>
      <c r="H116" s="347">
        <f t="shared" si="11"/>
        <v>20521.554545454546</v>
      </c>
      <c r="I116" s="426"/>
      <c r="J116" s="301">
        <v>4</v>
      </c>
      <c r="K116" s="302">
        <f t="shared" si="30"/>
        <v>2762.9999999999877</v>
      </c>
      <c r="L116" s="303">
        <f t="shared" si="31"/>
        <v>690.74999999999693</v>
      </c>
      <c r="M116" s="304">
        <v>0.88888888888888884</v>
      </c>
      <c r="N116" s="349">
        <v>0.90277777777777779</v>
      </c>
      <c r="O116" s="296">
        <v>20</v>
      </c>
      <c r="P116" s="419">
        <f t="shared" si="32"/>
        <v>20.000000000000089</v>
      </c>
      <c r="Q116" s="305">
        <v>0.90277777777777779</v>
      </c>
      <c r="R116" s="305">
        <v>0.94444444444444453</v>
      </c>
    </row>
    <row r="117" spans="1:18">
      <c r="A117" s="610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24">
        <v>3471</v>
      </c>
      <c r="H117" s="347">
        <f t="shared" ref="H117:H123" si="33">F117*G117</f>
        <v>62099.345454545452</v>
      </c>
      <c r="I117" s="426"/>
      <c r="J117" s="301">
        <v>3</v>
      </c>
      <c r="K117" s="302">
        <f t="shared" si="30"/>
        <v>2975.1428572418149</v>
      </c>
      <c r="L117" s="303">
        <f t="shared" si="31"/>
        <v>991.71428574727167</v>
      </c>
      <c r="M117" s="304">
        <v>46143.958333333336</v>
      </c>
      <c r="N117" s="304">
        <v>46144.006944444445</v>
      </c>
      <c r="O117" s="302">
        <v>20</v>
      </c>
      <c r="P117" s="419">
        <f t="shared" si="32"/>
        <v>69.999999997671694</v>
      </c>
      <c r="Q117" s="305"/>
      <c r="R117" s="305"/>
    </row>
    <row r="118" spans="1:18">
      <c r="A118" s="610"/>
      <c r="B118" s="297" t="s">
        <v>146</v>
      </c>
      <c r="C118" s="319"/>
      <c r="D118" s="320" t="s">
        <v>361</v>
      </c>
      <c r="E118" s="336"/>
      <c r="F118" s="299">
        <v>14.03</v>
      </c>
      <c r="G118" s="424">
        <v>5234</v>
      </c>
      <c r="H118" s="347">
        <f t="shared" si="33"/>
        <v>73433.01999999999</v>
      </c>
      <c r="I118" s="426"/>
      <c r="J118" s="301">
        <v>3</v>
      </c>
      <c r="K118" s="302">
        <f t="shared" si="30"/>
        <v>2990.8571428571431</v>
      </c>
      <c r="L118" s="303">
        <f t="shared" si="31"/>
        <v>996.95238095238108</v>
      </c>
      <c r="M118" s="304">
        <v>2.0833333333333332E-2</v>
      </c>
      <c r="N118" s="304">
        <v>9.375E-2</v>
      </c>
      <c r="O118" s="302">
        <v>20</v>
      </c>
      <c r="P118" s="419">
        <f t="shared" si="32"/>
        <v>105</v>
      </c>
      <c r="Q118" s="305"/>
      <c r="R118" s="305"/>
    </row>
    <row r="119" spans="1:18">
      <c r="A119" s="610"/>
      <c r="B119" s="297">
        <v>0</v>
      </c>
      <c r="C119" s="319"/>
      <c r="D119" s="337"/>
      <c r="E119" s="336"/>
      <c r="F119" s="299" t="s">
        <v>148</v>
      </c>
      <c r="G119" s="424"/>
      <c r="H119" s="347">
        <f t="shared" si="33"/>
        <v>0</v>
      </c>
      <c r="I119" s="426"/>
      <c r="J119" s="301"/>
      <c r="K119" s="302"/>
      <c r="L119" s="303"/>
      <c r="M119" s="304"/>
      <c r="N119" s="304"/>
      <c r="O119" s="296"/>
      <c r="P119" s="419"/>
      <c r="Q119" s="305"/>
      <c r="R119" s="305"/>
    </row>
    <row r="120" spans="1:18">
      <c r="A120" s="610"/>
      <c r="B120" s="297">
        <v>0</v>
      </c>
      <c r="C120" s="319"/>
      <c r="D120" s="337"/>
      <c r="E120" s="336"/>
      <c r="F120" s="299" t="s">
        <v>148</v>
      </c>
      <c r="G120" s="424"/>
      <c r="H120" s="347">
        <f t="shared" si="33"/>
        <v>0</v>
      </c>
      <c r="I120" s="426"/>
      <c r="J120" s="301"/>
      <c r="K120" s="302"/>
      <c r="L120" s="303"/>
      <c r="M120" s="304"/>
      <c r="N120" s="304"/>
      <c r="O120" s="296"/>
      <c r="P120" s="419"/>
      <c r="Q120" s="305"/>
      <c r="R120" s="305"/>
    </row>
    <row r="121" spans="1:18">
      <c r="A121" s="610"/>
      <c r="B121" s="297">
        <v>0</v>
      </c>
      <c r="C121" s="319"/>
      <c r="D121" s="337"/>
      <c r="E121" s="336"/>
      <c r="F121" s="299" t="s">
        <v>148</v>
      </c>
      <c r="G121" s="424"/>
      <c r="H121" s="347">
        <f t="shared" si="33"/>
        <v>0</v>
      </c>
      <c r="I121" s="426"/>
      <c r="J121" s="301"/>
      <c r="K121" s="302"/>
      <c r="L121" s="303"/>
      <c r="M121" s="304"/>
      <c r="N121" s="304"/>
      <c r="O121" s="296"/>
      <c r="P121" s="419"/>
      <c r="Q121" s="305"/>
      <c r="R121" s="305"/>
    </row>
    <row r="122" spans="1:18" ht="15.6" customHeight="1">
      <c r="A122" s="610"/>
      <c r="B122" s="297">
        <v>0</v>
      </c>
      <c r="C122" s="319"/>
      <c r="D122" s="337"/>
      <c r="E122" s="336"/>
      <c r="F122" s="299" t="s">
        <v>148</v>
      </c>
      <c r="G122" s="424"/>
      <c r="H122" s="347">
        <f t="shared" si="33"/>
        <v>0</v>
      </c>
      <c r="I122" s="426"/>
      <c r="J122" s="301"/>
      <c r="K122" s="302"/>
      <c r="L122" s="303"/>
      <c r="M122" s="304"/>
      <c r="N122" s="304"/>
      <c r="O122" s="296"/>
      <c r="P122" s="419"/>
      <c r="Q122" s="305"/>
      <c r="R122" s="305"/>
    </row>
    <row r="123" spans="1:18">
      <c r="A123" s="610"/>
      <c r="B123" s="297">
        <v>0</v>
      </c>
      <c r="C123" s="319"/>
      <c r="D123" s="337"/>
      <c r="E123" s="336"/>
      <c r="F123" s="299" t="s">
        <v>148</v>
      </c>
      <c r="G123" s="424"/>
      <c r="H123" s="347">
        <f t="shared" si="33"/>
        <v>0</v>
      </c>
      <c r="I123" s="426"/>
      <c r="J123" s="301"/>
      <c r="K123" s="302"/>
      <c r="L123" s="303"/>
      <c r="M123" s="304"/>
      <c r="N123" s="304"/>
      <c r="O123" s="296"/>
      <c r="P123" s="419"/>
      <c r="Q123" s="305"/>
      <c r="R123" s="305"/>
    </row>
    <row r="124" spans="1:18" ht="17.399999999999999" customHeight="1">
      <c r="A124" s="610"/>
      <c r="B124" s="308">
        <v>0</v>
      </c>
      <c r="C124" s="6" t="s">
        <v>350</v>
      </c>
      <c r="D124" s="611" t="s">
        <v>293</v>
      </c>
      <c r="E124" s="611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2911.4857142998494</v>
      </c>
      <c r="L124" s="314">
        <f>AVERAGE(L112:L123)</f>
        <v>868.89523809995001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Y105" sqref="Y105"/>
      <selection pane="bottomLeft" activeCell="D22" sqref="D2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263</v>
      </c>
      <c r="B1" s="28"/>
      <c r="C1" s="28"/>
      <c r="D1" s="447" t="s">
        <v>264</v>
      </c>
      <c r="E1" s="29">
        <f>SUM(G5:G173)</f>
        <v>146171.4</v>
      </c>
      <c r="F1" s="431" t="s">
        <v>3</v>
      </c>
      <c r="G1" s="30">
        <f>SUM(H5:H173)</f>
        <v>5883965.6594586354</v>
      </c>
      <c r="H1" s="446" t="s">
        <v>37</v>
      </c>
      <c r="I1" s="31">
        <f>M17+M30+M43+M56+M69+M82+M95+M108+M121+M134+M147+M160+M173</f>
        <v>194.33650793650793</v>
      </c>
      <c r="J1" s="622" t="s">
        <v>38</v>
      </c>
      <c r="K1" s="622"/>
      <c r="L1" s="622"/>
      <c r="M1" s="622" t="s">
        <v>39</v>
      </c>
      <c r="N1" s="622"/>
      <c r="O1" s="622"/>
      <c r="P1" s="622" t="s">
        <v>265</v>
      </c>
      <c r="Q1" s="622"/>
      <c r="R1" s="622"/>
      <c r="S1" s="622"/>
      <c r="T1" s="622" t="s">
        <v>266</v>
      </c>
      <c r="U1" s="622"/>
      <c r="V1" s="622"/>
      <c r="W1" s="622"/>
      <c r="X1" s="622"/>
      <c r="Y1" s="622"/>
      <c r="Z1" s="32" t="s">
        <v>267</v>
      </c>
      <c r="AA1" s="32" t="s">
        <v>268</v>
      </c>
      <c r="AB1" s="623" t="s">
        <v>269</v>
      </c>
      <c r="AC1" s="624"/>
      <c r="AD1" s="32" t="s">
        <v>267</v>
      </c>
      <c r="AE1" s="32" t="s">
        <v>270</v>
      </c>
      <c r="AF1" s="622" t="s">
        <v>271</v>
      </c>
      <c r="AG1" s="627"/>
      <c r="AH1" s="627"/>
    </row>
    <row r="2" spans="1:34" ht="26.25" customHeight="1">
      <c r="A2" s="632" t="s">
        <v>272</v>
      </c>
      <c r="B2" s="632"/>
      <c r="C2" s="447"/>
      <c r="D2" s="447" t="s">
        <v>273</v>
      </c>
      <c r="E2" s="34">
        <f>AVERAGE(O17,O30,O43,O56,O69,O82,O95,O108,O121,O134,O147,O160,O173)</f>
        <v>125.53403496185294</v>
      </c>
      <c r="F2" s="35" t="s">
        <v>40</v>
      </c>
      <c r="G2" s="36">
        <f>G1/E1</f>
        <v>40.253877704247451</v>
      </c>
      <c r="H2" s="446" t="s">
        <v>41</v>
      </c>
      <c r="I2" s="446">
        <f>COUNT(I5:I173)</f>
        <v>6</v>
      </c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25"/>
      <c r="AC2" s="626"/>
      <c r="AD2" s="38">
        <f>AD17+AD30+AD43+AD56+AD69+AD82+AD95+AD108+AD121+AD134+AD147+AD160+AD173</f>
        <v>7</v>
      </c>
      <c r="AE2" s="38">
        <f>AE17+AE30+AE43+AE56+AE69+AE82+AE95+AE108+AE121+AE134+AE147+AE160+AE173</f>
        <v>3</v>
      </c>
      <c r="AF2" s="627"/>
      <c r="AG2" s="627"/>
      <c r="AH2" s="627"/>
    </row>
    <row r="3" spans="1:34" ht="30.6" customHeight="1">
      <c r="A3" s="633" t="s">
        <v>274</v>
      </c>
      <c r="B3" s="633" t="s">
        <v>42</v>
      </c>
      <c r="C3" s="634"/>
      <c r="D3" s="633" t="s">
        <v>275</v>
      </c>
      <c r="E3" s="633"/>
      <c r="F3" s="634" t="s">
        <v>43</v>
      </c>
      <c r="G3" s="647" t="s">
        <v>44</v>
      </c>
      <c r="H3" s="634" t="s">
        <v>45</v>
      </c>
      <c r="I3" s="628" t="s">
        <v>276</v>
      </c>
      <c r="J3" s="629" t="s">
        <v>46</v>
      </c>
      <c r="K3" s="630" t="s">
        <v>47</v>
      </c>
      <c r="L3" s="631" t="s">
        <v>35</v>
      </c>
      <c r="M3" s="647" t="s">
        <v>46</v>
      </c>
      <c r="N3" s="630" t="s">
        <v>277</v>
      </c>
      <c r="O3" s="631" t="s">
        <v>273</v>
      </c>
      <c r="P3" s="629" t="s">
        <v>278</v>
      </c>
      <c r="Q3" s="631" t="s">
        <v>273</v>
      </c>
      <c r="R3" s="640" t="s">
        <v>279</v>
      </c>
      <c r="S3" s="641" t="s">
        <v>280</v>
      </c>
      <c r="T3" s="647" t="s">
        <v>48</v>
      </c>
      <c r="U3" s="647"/>
      <c r="V3" s="648" t="s">
        <v>49</v>
      </c>
      <c r="W3" s="628" t="s">
        <v>281</v>
      </c>
      <c r="X3" s="647" t="s">
        <v>282</v>
      </c>
      <c r="Y3" s="647"/>
      <c r="Z3" s="649" t="s">
        <v>283</v>
      </c>
      <c r="AA3" s="650"/>
      <c r="AB3" s="636" t="s">
        <v>284</v>
      </c>
      <c r="AC3" s="637"/>
      <c r="AD3" s="638" t="s">
        <v>285</v>
      </c>
      <c r="AE3" s="639"/>
      <c r="AF3" s="630" t="s">
        <v>277</v>
      </c>
      <c r="AG3" s="640" t="s">
        <v>279</v>
      </c>
      <c r="AH3" s="641" t="s">
        <v>280</v>
      </c>
    </row>
    <row r="4" spans="1:34" ht="30.6" customHeight="1">
      <c r="A4" s="634"/>
      <c r="B4" s="633"/>
      <c r="C4" s="635"/>
      <c r="D4" s="633"/>
      <c r="E4" s="633"/>
      <c r="F4" s="635"/>
      <c r="G4" s="647"/>
      <c r="H4" s="635"/>
      <c r="I4" s="628"/>
      <c r="J4" s="629"/>
      <c r="K4" s="630"/>
      <c r="L4" s="631"/>
      <c r="M4" s="647"/>
      <c r="N4" s="630"/>
      <c r="O4" s="631"/>
      <c r="P4" s="629"/>
      <c r="Q4" s="631"/>
      <c r="R4" s="640"/>
      <c r="S4" s="641"/>
      <c r="T4" s="441" t="s">
        <v>50</v>
      </c>
      <c r="U4" s="441" t="s">
        <v>51</v>
      </c>
      <c r="V4" s="647"/>
      <c r="W4" s="628"/>
      <c r="X4" s="431" t="s">
        <v>286</v>
      </c>
      <c r="Y4" s="431" t="s">
        <v>36</v>
      </c>
      <c r="Z4" s="441" t="s">
        <v>287</v>
      </c>
      <c r="AA4" s="441" t="s">
        <v>288</v>
      </c>
      <c r="AB4" s="637"/>
      <c r="AC4" s="637"/>
      <c r="AD4" s="441" t="s">
        <v>289</v>
      </c>
      <c r="AE4" s="39" t="s">
        <v>290</v>
      </c>
      <c r="AF4" s="630"/>
      <c r="AG4" s="640"/>
      <c r="AH4" s="641"/>
    </row>
    <row r="5" spans="1:34" ht="18.75" customHeight="1">
      <c r="A5" s="642" t="s">
        <v>291</v>
      </c>
      <c r="B5" s="40" t="s">
        <v>142</v>
      </c>
      <c r="C5" s="41"/>
      <c r="D5" s="42" t="s">
        <v>52</v>
      </c>
      <c r="E5" s="43"/>
      <c r="F5" s="361">
        <v>37.83</v>
      </c>
      <c r="G5" s="44">
        <v>5409</v>
      </c>
      <c r="H5" s="45">
        <f t="shared" ref="H5:H16" si="0">F5*G5</f>
        <v>204622.47</v>
      </c>
      <c r="I5" s="442"/>
      <c r="J5" s="46">
        <v>20</v>
      </c>
      <c r="K5" s="44">
        <v>2400</v>
      </c>
      <c r="L5" s="47">
        <v>120</v>
      </c>
      <c r="M5" s="443">
        <v>20</v>
      </c>
      <c r="N5" s="44">
        <f t="shared" ref="N5:N10" si="1">G5/W5*60</f>
        <v>2253.7500000000005</v>
      </c>
      <c r="O5" s="47">
        <f t="shared" ref="O5:O10" si="2">N5/M5</f>
        <v>112.68750000000003</v>
      </c>
      <c r="P5" s="48">
        <f t="shared" ref="P5:P10" si="3">M5-J5</f>
        <v>0</v>
      </c>
      <c r="Q5" s="49">
        <f t="shared" ref="Q5:Q10" si="4">O5-L5</f>
        <v>-7.3124999999999716</v>
      </c>
      <c r="R5" s="433">
        <f t="shared" ref="R5:R10" si="5">O5/L5</f>
        <v>0.93906250000000024</v>
      </c>
      <c r="S5" s="645">
        <f>R17</f>
        <v>0.90558804498745926</v>
      </c>
      <c r="T5" s="89">
        <v>0.25</v>
      </c>
      <c r="U5" s="89">
        <v>0.35</v>
      </c>
      <c r="V5" s="431">
        <v>5</v>
      </c>
      <c r="W5" s="442">
        <f>(U5-T5)*24*60</f>
        <v>143.99999999999997</v>
      </c>
      <c r="X5" s="431"/>
      <c r="Y5" s="431"/>
      <c r="Z5" s="51"/>
      <c r="AA5" s="51"/>
      <c r="AB5" s="633"/>
      <c r="AC5" s="633"/>
      <c r="AD5" s="52"/>
      <c r="AE5" s="52"/>
      <c r="AF5" s="48">
        <f t="shared" ref="AF5:AF70" si="6">N5-K5</f>
        <v>-146.24999999999955</v>
      </c>
      <c r="AG5" s="433">
        <f t="shared" ref="AG5:AG70" si="7">N5/K5</f>
        <v>0.93906250000000024</v>
      </c>
      <c r="AH5" s="645">
        <f>AG17</f>
        <v>0.92289908519153796</v>
      </c>
    </row>
    <row r="6" spans="1:34" ht="19.2" customHeight="1">
      <c r="A6" s="643"/>
      <c r="B6" s="40" t="s">
        <v>142</v>
      </c>
      <c r="C6" s="41"/>
      <c r="D6" s="42" t="s">
        <v>252</v>
      </c>
      <c r="E6" s="43"/>
      <c r="F6" s="361">
        <v>38.99</v>
      </c>
      <c r="G6" s="44">
        <v>2034</v>
      </c>
      <c r="H6" s="45">
        <f t="shared" si="0"/>
        <v>79305.66</v>
      </c>
      <c r="I6" s="442"/>
      <c r="J6" s="46">
        <v>17</v>
      </c>
      <c r="K6" s="44">
        <v>2700</v>
      </c>
      <c r="L6" s="47">
        <v>158.8235294117647</v>
      </c>
      <c r="M6" s="443">
        <v>17</v>
      </c>
      <c r="N6" s="44">
        <f t="shared" si="1"/>
        <v>2440.8000000000006</v>
      </c>
      <c r="O6" s="47">
        <f t="shared" si="2"/>
        <v>143.57647058823534</v>
      </c>
      <c r="P6" s="48">
        <f t="shared" si="3"/>
        <v>0</v>
      </c>
      <c r="Q6" s="49">
        <f t="shared" si="4"/>
        <v>-15.247058823529358</v>
      </c>
      <c r="R6" s="433">
        <f t="shared" si="5"/>
        <v>0.90400000000000036</v>
      </c>
      <c r="S6" s="645"/>
      <c r="T6" s="89">
        <v>0.36527777777777776</v>
      </c>
      <c r="U6" s="89">
        <v>0.39999999999999997</v>
      </c>
      <c r="V6" s="431">
        <v>22</v>
      </c>
      <c r="W6" s="442">
        <f t="shared" ref="W6:W17" si="8">(U6-T6)*24*60</f>
        <v>49.999999999999986</v>
      </c>
      <c r="X6" s="53">
        <v>0.35416666666666669</v>
      </c>
      <c r="Y6" s="53">
        <v>0.36458333333333331</v>
      </c>
      <c r="Z6" s="54"/>
      <c r="AA6" s="54"/>
      <c r="AB6" s="633"/>
      <c r="AC6" s="633"/>
      <c r="AD6" s="429"/>
      <c r="AE6" s="429"/>
      <c r="AF6" s="48">
        <f t="shared" si="6"/>
        <v>-259.19999999999936</v>
      </c>
      <c r="AG6" s="433">
        <f t="shared" si="7"/>
        <v>0.90400000000000025</v>
      </c>
      <c r="AH6" s="645"/>
    </row>
    <row r="7" spans="1:34" ht="19.2" customHeight="1">
      <c r="A7" s="643"/>
      <c r="B7" s="40" t="s">
        <v>142</v>
      </c>
      <c r="C7" s="41"/>
      <c r="D7" s="42" t="s">
        <v>246</v>
      </c>
      <c r="E7" s="43"/>
      <c r="F7" s="361">
        <v>28.86</v>
      </c>
      <c r="G7" s="44">
        <v>1799</v>
      </c>
      <c r="H7" s="45">
        <f t="shared" si="0"/>
        <v>51919.14</v>
      </c>
      <c r="I7" s="442"/>
      <c r="J7" s="46">
        <v>17</v>
      </c>
      <c r="K7" s="44">
        <v>2700</v>
      </c>
      <c r="L7" s="47">
        <v>158.8235294117647</v>
      </c>
      <c r="M7" s="443">
        <v>17</v>
      </c>
      <c r="N7" s="44">
        <f t="shared" si="1"/>
        <v>2453.181818181818</v>
      </c>
      <c r="O7" s="47">
        <f t="shared" si="2"/>
        <v>144.30481283422458</v>
      </c>
      <c r="P7" s="48">
        <f t="shared" si="3"/>
        <v>0</v>
      </c>
      <c r="Q7" s="49">
        <f t="shared" si="4"/>
        <v>-14.518716577540118</v>
      </c>
      <c r="R7" s="433">
        <f t="shared" si="5"/>
        <v>0.9085858585858585</v>
      </c>
      <c r="S7" s="645"/>
      <c r="T7" s="89">
        <v>0.40416666666666662</v>
      </c>
      <c r="U7" s="89">
        <v>0.43472222222222218</v>
      </c>
      <c r="V7" s="431">
        <v>6</v>
      </c>
      <c r="W7" s="442">
        <f t="shared" si="8"/>
        <v>44</v>
      </c>
      <c r="X7" s="53"/>
      <c r="Y7" s="53"/>
      <c r="Z7" s="54"/>
      <c r="AA7" s="54"/>
      <c r="AB7" s="633"/>
      <c r="AC7" s="633"/>
      <c r="AD7" s="429"/>
      <c r="AE7" s="429"/>
      <c r="AF7" s="48">
        <f t="shared" si="6"/>
        <v>-246.81818181818198</v>
      </c>
      <c r="AG7" s="433">
        <f t="shared" si="7"/>
        <v>0.9085858585858585</v>
      </c>
      <c r="AH7" s="645"/>
    </row>
    <row r="8" spans="1:34" ht="19.2" customHeight="1">
      <c r="A8" s="643"/>
      <c r="B8" s="40" t="s">
        <v>142</v>
      </c>
      <c r="C8" s="41"/>
      <c r="D8" s="42" t="s">
        <v>53</v>
      </c>
      <c r="E8" s="43"/>
      <c r="F8" s="361">
        <v>31.11</v>
      </c>
      <c r="G8" s="44">
        <v>2145</v>
      </c>
      <c r="H8" s="45">
        <f t="shared" si="0"/>
        <v>66730.95</v>
      </c>
      <c r="I8" s="442"/>
      <c r="J8" s="46">
        <v>18</v>
      </c>
      <c r="K8" s="44">
        <v>2700</v>
      </c>
      <c r="L8" s="47">
        <v>150</v>
      </c>
      <c r="M8" s="443">
        <v>19</v>
      </c>
      <c r="N8" s="44">
        <f t="shared" si="1"/>
        <v>2474.9999999999973</v>
      </c>
      <c r="O8" s="47">
        <f t="shared" si="2"/>
        <v>130.26315789473671</v>
      </c>
      <c r="P8" s="48">
        <f t="shared" si="3"/>
        <v>1</v>
      </c>
      <c r="Q8" s="49">
        <f t="shared" si="4"/>
        <v>-19.736842105263293</v>
      </c>
      <c r="R8" s="433">
        <f t="shared" si="5"/>
        <v>0.86842105263157809</v>
      </c>
      <c r="S8" s="645"/>
      <c r="T8" s="89">
        <v>0.47569444444444436</v>
      </c>
      <c r="U8" s="89">
        <v>0.51180555555555551</v>
      </c>
      <c r="V8" s="431">
        <v>6</v>
      </c>
      <c r="W8" s="442">
        <f t="shared" si="8"/>
        <v>52.000000000000057</v>
      </c>
      <c r="X8" s="53"/>
      <c r="Y8" s="53"/>
      <c r="Z8" s="54"/>
      <c r="AA8" s="54"/>
      <c r="AB8" s="633"/>
      <c r="AC8" s="633"/>
      <c r="AD8" s="429"/>
      <c r="AE8" s="429"/>
      <c r="AF8" s="48">
        <f t="shared" si="6"/>
        <v>-225.00000000000273</v>
      </c>
      <c r="AG8" s="433">
        <f t="shared" si="7"/>
        <v>0.91666666666666563</v>
      </c>
      <c r="AH8" s="645"/>
    </row>
    <row r="9" spans="1:34" ht="19.2" customHeight="1">
      <c r="A9" s="643"/>
      <c r="B9" s="40" t="s">
        <v>142</v>
      </c>
      <c r="C9" s="55"/>
      <c r="D9" s="42" t="s">
        <v>54</v>
      </c>
      <c r="E9" s="56"/>
      <c r="F9" s="361">
        <v>38.479999999999997</v>
      </c>
      <c r="G9" s="57">
        <v>2795</v>
      </c>
      <c r="H9" s="45">
        <f t="shared" si="0"/>
        <v>107551.59999999999</v>
      </c>
      <c r="I9" s="429"/>
      <c r="J9" s="46">
        <v>18</v>
      </c>
      <c r="K9" s="44">
        <v>2700</v>
      </c>
      <c r="L9" s="47">
        <v>150</v>
      </c>
      <c r="M9" s="443">
        <v>19</v>
      </c>
      <c r="N9" s="44">
        <f t="shared" si="1"/>
        <v>2540.9090909090937</v>
      </c>
      <c r="O9" s="47">
        <f t="shared" si="2"/>
        <v>133.73205741626808</v>
      </c>
      <c r="P9" s="48">
        <f t="shared" si="3"/>
        <v>1</v>
      </c>
      <c r="Q9" s="49">
        <f t="shared" si="4"/>
        <v>-16.267942583731923</v>
      </c>
      <c r="R9" s="433">
        <f t="shared" si="5"/>
        <v>0.8915470494417872</v>
      </c>
      <c r="S9" s="645"/>
      <c r="T9" s="89">
        <v>0.51666666666666661</v>
      </c>
      <c r="U9" s="89">
        <v>0.56249999999999989</v>
      </c>
      <c r="V9" s="431">
        <v>7</v>
      </c>
      <c r="W9" s="442">
        <f t="shared" si="8"/>
        <v>65.999999999999929</v>
      </c>
      <c r="X9" s="53"/>
      <c r="Y9" s="53"/>
      <c r="Z9" s="54"/>
      <c r="AA9" s="54"/>
      <c r="AB9" s="633"/>
      <c r="AC9" s="633"/>
      <c r="AD9" s="429"/>
      <c r="AE9" s="429">
        <v>1</v>
      </c>
      <c r="AF9" s="48">
        <f t="shared" si="6"/>
        <v>-159.09090909090628</v>
      </c>
      <c r="AG9" s="433">
        <f t="shared" si="7"/>
        <v>0.94107744107744207</v>
      </c>
      <c r="AH9" s="645"/>
    </row>
    <row r="10" spans="1:34" ht="19.2" customHeight="1">
      <c r="A10" s="644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3682</v>
      </c>
      <c r="H10" s="45">
        <f t="shared" si="0"/>
        <v>139179.59999999998</v>
      </c>
      <c r="I10" s="442"/>
      <c r="J10" s="46">
        <v>19</v>
      </c>
      <c r="K10" s="44">
        <v>2700</v>
      </c>
      <c r="L10" s="47">
        <v>142.10526315789474</v>
      </c>
      <c r="M10" s="443">
        <v>19</v>
      </c>
      <c r="N10" s="44">
        <f t="shared" si="1"/>
        <v>2510.4545454545455</v>
      </c>
      <c r="O10" s="47">
        <f t="shared" si="2"/>
        <v>132.12918660287082</v>
      </c>
      <c r="P10" s="48">
        <f t="shared" si="3"/>
        <v>0</v>
      </c>
      <c r="Q10" s="49">
        <f t="shared" si="4"/>
        <v>-9.9760765550239228</v>
      </c>
      <c r="R10" s="433">
        <f t="shared" si="5"/>
        <v>0.92979797979797985</v>
      </c>
      <c r="S10" s="646"/>
      <c r="T10" s="89">
        <v>0.57847222222222205</v>
      </c>
      <c r="U10" s="89">
        <v>0.63958333333333317</v>
      </c>
      <c r="V10" s="431">
        <v>23</v>
      </c>
      <c r="W10" s="442">
        <f t="shared" si="8"/>
        <v>88</v>
      </c>
      <c r="X10" s="53">
        <v>0.56736111111111109</v>
      </c>
      <c r="Y10" s="53">
        <v>0.57638888888888895</v>
      </c>
      <c r="Z10" s="54"/>
      <c r="AA10" s="54"/>
      <c r="AB10" s="633"/>
      <c r="AC10" s="633"/>
      <c r="AD10" s="429"/>
      <c r="AE10" s="429"/>
      <c r="AF10" s="48">
        <f t="shared" si="6"/>
        <v>-189.5454545454545</v>
      </c>
      <c r="AG10" s="433">
        <f t="shared" si="7"/>
        <v>0.92979797979797985</v>
      </c>
      <c r="AH10" s="646"/>
    </row>
    <row r="11" spans="1:34" ht="19.2" customHeight="1">
      <c r="A11" s="644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442"/>
      <c r="J11" s="46"/>
      <c r="K11" s="44"/>
      <c r="L11" s="47"/>
      <c r="M11" s="443"/>
      <c r="N11" s="44"/>
      <c r="O11" s="47"/>
      <c r="P11" s="48"/>
      <c r="Q11" s="49"/>
      <c r="R11" s="433"/>
      <c r="S11" s="646"/>
      <c r="T11" s="89"/>
      <c r="U11" s="89"/>
      <c r="V11" s="431"/>
      <c r="W11" s="442">
        <f t="shared" si="8"/>
        <v>0</v>
      </c>
      <c r="X11" s="53"/>
      <c r="Y11" s="53"/>
      <c r="Z11" s="54"/>
      <c r="AA11" s="54"/>
      <c r="AB11" s="633"/>
      <c r="AC11" s="633"/>
      <c r="AD11" s="429"/>
      <c r="AE11" s="429"/>
      <c r="AF11" s="48">
        <f t="shared" si="6"/>
        <v>0</v>
      </c>
      <c r="AG11" s="433" t="e">
        <f t="shared" si="7"/>
        <v>#DIV/0!</v>
      </c>
      <c r="AH11" s="646"/>
    </row>
    <row r="12" spans="1:34" ht="19.2" customHeight="1">
      <c r="A12" s="644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442"/>
      <c r="J12" s="46"/>
      <c r="K12" s="44"/>
      <c r="L12" s="47"/>
      <c r="M12" s="443"/>
      <c r="N12" s="44"/>
      <c r="O12" s="47"/>
      <c r="P12" s="48"/>
      <c r="Q12" s="49"/>
      <c r="R12" s="433"/>
      <c r="S12" s="646"/>
      <c r="T12" s="89"/>
      <c r="U12" s="89"/>
      <c r="V12" s="431"/>
      <c r="W12" s="442">
        <f t="shared" si="8"/>
        <v>0</v>
      </c>
      <c r="X12" s="53"/>
      <c r="Y12" s="53"/>
      <c r="Z12" s="54"/>
      <c r="AA12" s="54"/>
      <c r="AB12" s="633"/>
      <c r="AC12" s="633"/>
      <c r="AD12" s="429"/>
      <c r="AE12" s="429"/>
      <c r="AF12" s="48">
        <f t="shared" si="6"/>
        <v>0</v>
      </c>
      <c r="AG12" s="433" t="e">
        <f t="shared" si="7"/>
        <v>#DIV/0!</v>
      </c>
      <c r="AH12" s="646"/>
    </row>
    <row r="13" spans="1:34" ht="19.2" customHeight="1">
      <c r="A13" s="644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444"/>
      <c r="J13" s="46"/>
      <c r="K13" s="44"/>
      <c r="L13" s="47"/>
      <c r="M13" s="62"/>
      <c r="N13" s="44"/>
      <c r="O13" s="47"/>
      <c r="P13" s="48"/>
      <c r="Q13" s="49"/>
      <c r="R13" s="433"/>
      <c r="S13" s="646"/>
      <c r="T13" s="89"/>
      <c r="U13" s="89"/>
      <c r="V13" s="444"/>
      <c r="W13" s="442">
        <f t="shared" si="8"/>
        <v>0</v>
      </c>
      <c r="X13" s="64"/>
      <c r="Y13" s="64"/>
      <c r="Z13" s="54"/>
      <c r="AA13" s="54"/>
      <c r="AB13" s="633"/>
      <c r="AC13" s="633"/>
      <c r="AD13" s="429"/>
      <c r="AE13" s="429"/>
      <c r="AF13" s="48">
        <f t="shared" si="6"/>
        <v>0</v>
      </c>
      <c r="AG13" s="433" t="e">
        <f t="shared" si="7"/>
        <v>#DIV/0!</v>
      </c>
      <c r="AH13" s="646"/>
    </row>
    <row r="14" spans="1:34" ht="19.2" customHeight="1">
      <c r="A14" s="644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444"/>
      <c r="J14" s="46"/>
      <c r="K14" s="44"/>
      <c r="L14" s="47"/>
      <c r="M14" s="62"/>
      <c r="N14" s="44"/>
      <c r="O14" s="47"/>
      <c r="P14" s="48"/>
      <c r="Q14" s="49"/>
      <c r="R14" s="433"/>
      <c r="S14" s="646"/>
      <c r="T14" s="89"/>
      <c r="U14" s="89"/>
      <c r="V14" s="444"/>
      <c r="W14" s="442">
        <f t="shared" si="8"/>
        <v>0</v>
      </c>
      <c r="X14" s="64"/>
      <c r="Y14" s="64"/>
      <c r="Z14" s="54"/>
      <c r="AA14" s="54"/>
      <c r="AB14" s="633"/>
      <c r="AC14" s="633"/>
      <c r="AD14" s="429"/>
      <c r="AE14" s="429"/>
      <c r="AF14" s="65"/>
      <c r="AG14" s="433" t="e">
        <f t="shared" si="7"/>
        <v>#DIV/0!</v>
      </c>
      <c r="AH14" s="646"/>
    </row>
    <row r="15" spans="1:34" ht="19.2" customHeight="1">
      <c r="A15" s="644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444"/>
      <c r="J15" s="46"/>
      <c r="K15" s="44"/>
      <c r="L15" s="47"/>
      <c r="M15" s="62"/>
      <c r="N15" s="68"/>
      <c r="O15" s="47"/>
      <c r="P15" s="48"/>
      <c r="Q15" s="49"/>
      <c r="R15" s="433"/>
      <c r="S15" s="646"/>
      <c r="T15" s="89"/>
      <c r="U15" s="89"/>
      <c r="V15" s="444"/>
      <c r="W15" s="442">
        <f t="shared" si="8"/>
        <v>0</v>
      </c>
      <c r="X15" s="64"/>
      <c r="Y15" s="64"/>
      <c r="Z15" s="54"/>
      <c r="AA15" s="54"/>
      <c r="AB15" s="633"/>
      <c r="AC15" s="633"/>
      <c r="AD15" s="429"/>
      <c r="AE15" s="429"/>
      <c r="AF15" s="65"/>
      <c r="AG15" s="433" t="e">
        <f t="shared" si="7"/>
        <v>#DIV/0!</v>
      </c>
      <c r="AH15" s="646"/>
    </row>
    <row r="16" spans="1:34" ht="19.2" customHeight="1">
      <c r="A16" s="644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444"/>
      <c r="J16" s="46"/>
      <c r="K16" s="44"/>
      <c r="L16" s="47"/>
      <c r="M16" s="62"/>
      <c r="N16" s="68"/>
      <c r="O16" s="47"/>
      <c r="P16" s="48"/>
      <c r="Q16" s="49"/>
      <c r="R16" s="433"/>
      <c r="S16" s="646"/>
      <c r="T16" s="89"/>
      <c r="U16" s="89"/>
      <c r="V16" s="444"/>
      <c r="W16" s="442">
        <f t="shared" si="8"/>
        <v>0</v>
      </c>
      <c r="X16" s="64"/>
      <c r="Y16" s="64"/>
      <c r="Z16" s="54"/>
      <c r="AA16" s="54"/>
      <c r="AB16" s="633"/>
      <c r="AC16" s="633"/>
      <c r="AD16" s="429"/>
      <c r="AE16" s="429"/>
      <c r="AF16" s="65"/>
      <c r="AG16" s="433" t="e">
        <f t="shared" si="7"/>
        <v>#DIV/0!</v>
      </c>
      <c r="AH16" s="646"/>
    </row>
    <row r="17" spans="1:34" ht="19.2" customHeight="1">
      <c r="A17" s="644"/>
      <c r="B17" s="69">
        <v>0</v>
      </c>
      <c r="C17" s="69" t="s">
        <v>292</v>
      </c>
      <c r="D17" s="651" t="s">
        <v>293</v>
      </c>
      <c r="E17" s="651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2445.6825757575757</v>
      </c>
      <c r="O17" s="73">
        <f t="shared" si="9"/>
        <v>132.78219755605593</v>
      </c>
      <c r="P17" s="65">
        <f t="shared" ref="P17:P22" si="10">M17-J17</f>
        <v>0.33333333333333215</v>
      </c>
      <c r="Q17" s="74">
        <f t="shared" ref="Q17:Q22" si="11">O17-L17</f>
        <v>-13.843189440848079</v>
      </c>
      <c r="R17" s="75">
        <f>O17/L17</f>
        <v>0.90558804498745926</v>
      </c>
      <c r="S17" s="646"/>
      <c r="T17" s="89"/>
      <c r="U17" s="89"/>
      <c r="V17" s="4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33"/>
      <c r="AC17" s="633"/>
      <c r="AD17" s="79">
        <f>SUM(AD5:AD16)</f>
        <v>0</v>
      </c>
      <c r="AE17" s="79">
        <f>SUM(AE5:AE16)</f>
        <v>1</v>
      </c>
      <c r="AF17" s="65">
        <f t="shared" si="6"/>
        <v>-204.31742424242429</v>
      </c>
      <c r="AG17" s="434">
        <f t="shared" si="7"/>
        <v>0.92289908519153796</v>
      </c>
      <c r="AH17" s="646"/>
    </row>
    <row r="18" spans="1:34" ht="19.2" customHeight="1">
      <c r="A18" s="653" t="s">
        <v>294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2574</v>
      </c>
      <c r="H18" s="84">
        <f t="shared" ref="H18:H29" si="12">F18*G18</f>
        <v>94877.64</v>
      </c>
      <c r="I18" s="429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2238.260869565217</v>
      </c>
      <c r="O18" s="86">
        <f t="shared" ref="O18:O22" si="14">N18/M18</f>
        <v>124.3478260869565</v>
      </c>
      <c r="P18" s="54">
        <f t="shared" si="10"/>
        <v>1</v>
      </c>
      <c r="Q18" s="88">
        <f t="shared" si="11"/>
        <v>-8.0051150895140779</v>
      </c>
      <c r="R18" s="430">
        <f t="shared" ref="R18:R22" si="15">O18/L18</f>
        <v>0.93951690821256029</v>
      </c>
      <c r="S18" s="654">
        <f>R30</f>
        <v>0.91793540980154142</v>
      </c>
      <c r="T18" s="89">
        <v>0.16666666666666666</v>
      </c>
      <c r="U18" s="89">
        <v>0.21458333333333332</v>
      </c>
      <c r="V18" s="429">
        <v>5</v>
      </c>
      <c r="W18" s="90">
        <f>(U18-T18)*24*60</f>
        <v>69</v>
      </c>
      <c r="X18" s="86"/>
      <c r="Y18" s="86"/>
      <c r="Z18" s="54"/>
      <c r="AA18" s="54"/>
      <c r="AB18" s="633"/>
      <c r="AC18" s="633"/>
      <c r="AD18" s="429"/>
      <c r="AE18" s="429"/>
      <c r="AF18" s="91">
        <f t="shared" si="6"/>
        <v>-11.739130434782965</v>
      </c>
      <c r="AG18" s="92">
        <f t="shared" si="7"/>
        <v>0.99478260869565205</v>
      </c>
      <c r="AH18" s="655">
        <f>AG30</f>
        <v>0.95493622802889555</v>
      </c>
    </row>
    <row r="19" spans="1:34" ht="19.2" customHeight="1">
      <c r="A19" s="653"/>
      <c r="B19" s="439" t="s">
        <v>144</v>
      </c>
      <c r="C19" s="438"/>
      <c r="D19" s="82" t="s">
        <v>62</v>
      </c>
      <c r="E19" s="83"/>
      <c r="F19" s="361">
        <v>38.39</v>
      </c>
      <c r="G19" s="57">
        <v>1564</v>
      </c>
      <c r="H19" s="84">
        <f t="shared" si="12"/>
        <v>60041.96</v>
      </c>
      <c r="I19" s="429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1466.2499999999995</v>
      </c>
      <c r="O19" s="95">
        <f t="shared" si="14"/>
        <v>86.249999999999972</v>
      </c>
      <c r="P19" s="54">
        <f t="shared" si="10"/>
        <v>1</v>
      </c>
      <c r="Q19" s="88">
        <f t="shared" si="11"/>
        <v>-16.000000000000028</v>
      </c>
      <c r="R19" s="430">
        <f t="shared" si="15"/>
        <v>0.84352078239608774</v>
      </c>
      <c r="S19" s="654"/>
      <c r="T19" s="89">
        <v>0.22013888888888888</v>
      </c>
      <c r="U19" s="89">
        <v>0.26458333333333334</v>
      </c>
      <c r="V19" s="429">
        <v>8</v>
      </c>
      <c r="W19" s="90">
        <f>(U19-T19)*24*60</f>
        <v>64.000000000000014</v>
      </c>
      <c r="X19" s="96"/>
      <c r="Y19" s="96"/>
      <c r="Z19" s="54"/>
      <c r="AA19" s="54"/>
      <c r="AB19" s="633"/>
      <c r="AC19" s="633"/>
      <c r="AD19" s="429"/>
      <c r="AE19" s="429"/>
      <c r="AF19" s="48">
        <f t="shared" si="6"/>
        <v>-169.75000000000045</v>
      </c>
      <c r="AG19" s="433">
        <f t="shared" si="7"/>
        <v>0.8962408312958432</v>
      </c>
      <c r="AH19" s="656"/>
    </row>
    <row r="20" spans="1:34" ht="19.2" customHeight="1">
      <c r="A20" s="653"/>
      <c r="B20" s="439" t="s">
        <v>144</v>
      </c>
      <c r="C20" s="55"/>
      <c r="D20" s="42" t="s">
        <v>247</v>
      </c>
      <c r="E20" s="83"/>
      <c r="F20" s="361">
        <v>49.91</v>
      </c>
      <c r="G20" s="57">
        <v>3035</v>
      </c>
      <c r="H20" s="84">
        <f t="shared" si="12"/>
        <v>151476.84999999998</v>
      </c>
      <c r="I20" s="429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1445.238095238095</v>
      </c>
      <c r="O20" s="95">
        <f t="shared" si="14"/>
        <v>85.014005602240886</v>
      </c>
      <c r="P20" s="54">
        <f t="shared" si="10"/>
        <v>0</v>
      </c>
      <c r="Q20" s="88">
        <f t="shared" si="11"/>
        <v>-3.2212885154061723</v>
      </c>
      <c r="R20" s="430">
        <f t="shared" si="15"/>
        <v>0.9634920634920634</v>
      </c>
      <c r="S20" s="654"/>
      <c r="T20" s="89">
        <v>0.28055555555555556</v>
      </c>
      <c r="U20" s="89">
        <v>0.36805555555555558</v>
      </c>
      <c r="V20" s="429">
        <v>23</v>
      </c>
      <c r="W20" s="90">
        <f t="shared" ref="W20:W29" si="16">(U20-T20)*24*60</f>
        <v>126.00000000000003</v>
      </c>
      <c r="X20" s="96">
        <v>0.26805555555555555</v>
      </c>
      <c r="Y20" s="96">
        <v>0.27916666666666667</v>
      </c>
      <c r="Z20" s="54"/>
      <c r="AA20" s="54"/>
      <c r="AB20" s="633"/>
      <c r="AC20" s="633"/>
      <c r="AD20" s="429"/>
      <c r="AE20" s="429"/>
      <c r="AF20" s="91">
        <f t="shared" si="6"/>
        <v>-54.761904761905043</v>
      </c>
      <c r="AG20" s="92">
        <f t="shared" si="7"/>
        <v>0.96349206349206329</v>
      </c>
      <c r="AH20" s="656"/>
    </row>
    <row r="21" spans="1:34" ht="19.2" customHeight="1">
      <c r="A21" s="653"/>
      <c r="B21" s="439" t="s">
        <v>144</v>
      </c>
      <c r="C21" s="97"/>
      <c r="D21" s="98" t="s">
        <v>253</v>
      </c>
      <c r="E21" s="43"/>
      <c r="F21" s="361">
        <v>56.43</v>
      </c>
      <c r="G21" s="44">
        <v>2792.2999999999997</v>
      </c>
      <c r="H21" s="84">
        <f t="shared" si="12"/>
        <v>157569.48899999997</v>
      </c>
      <c r="I21" s="431"/>
      <c r="J21" s="93">
        <v>17</v>
      </c>
      <c r="K21" s="44">
        <v>1636</v>
      </c>
      <c r="L21" s="47">
        <v>96.235294117647058</v>
      </c>
      <c r="M21" s="443">
        <v>17</v>
      </c>
      <c r="N21" s="94">
        <f t="shared" si="13"/>
        <v>1456.8521739130433</v>
      </c>
      <c r="O21" s="95">
        <f t="shared" si="14"/>
        <v>85.697186700767247</v>
      </c>
      <c r="P21" s="54">
        <f t="shared" si="10"/>
        <v>0</v>
      </c>
      <c r="Q21" s="88">
        <f t="shared" si="11"/>
        <v>-10.538107416879811</v>
      </c>
      <c r="R21" s="430">
        <f t="shared" si="15"/>
        <v>0.89049643882215357</v>
      </c>
      <c r="S21" s="654"/>
      <c r="T21" s="89">
        <v>0.38333333333333336</v>
      </c>
      <c r="U21" s="89">
        <v>0.46319444444444446</v>
      </c>
      <c r="V21" s="429">
        <v>22</v>
      </c>
      <c r="W21" s="90">
        <f t="shared" si="16"/>
        <v>114.99999999999999</v>
      </c>
      <c r="X21" s="96">
        <v>0.37152777777777773</v>
      </c>
      <c r="Y21" s="96">
        <v>0.38194444444444442</v>
      </c>
      <c r="Z21" s="54"/>
      <c r="AA21" s="54"/>
      <c r="AB21" s="633"/>
      <c r="AC21" s="633"/>
      <c r="AD21" s="429"/>
      <c r="AE21" s="429"/>
      <c r="AF21" s="48">
        <f t="shared" si="6"/>
        <v>-179.14782608695668</v>
      </c>
      <c r="AG21" s="433">
        <f t="shared" si="7"/>
        <v>0.89049643882215357</v>
      </c>
      <c r="AH21" s="657"/>
    </row>
    <row r="22" spans="1:34" ht="19.2" customHeight="1">
      <c r="A22" s="653"/>
      <c r="B22" s="439" t="s">
        <v>142</v>
      </c>
      <c r="C22" s="97"/>
      <c r="D22" s="42" t="s">
        <v>60</v>
      </c>
      <c r="E22" s="43"/>
      <c r="F22" s="361">
        <v>36.86</v>
      </c>
      <c r="G22" s="44">
        <v>1386</v>
      </c>
      <c r="H22" s="84">
        <f t="shared" si="12"/>
        <v>51087.96</v>
      </c>
      <c r="I22" s="431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2247.5675675675657</v>
      </c>
      <c r="O22" s="95">
        <f t="shared" si="14"/>
        <v>124.86486486486476</v>
      </c>
      <c r="P22" s="54">
        <f t="shared" si="10"/>
        <v>1</v>
      </c>
      <c r="Q22" s="88">
        <f t="shared" si="11"/>
        <v>-7.4880763116058233</v>
      </c>
      <c r="R22" s="430">
        <f t="shared" si="15"/>
        <v>0.94342342342342267</v>
      </c>
      <c r="S22" s="654"/>
      <c r="T22" s="89">
        <v>0.50416666666666665</v>
      </c>
      <c r="U22" s="89">
        <v>0.52986111111111112</v>
      </c>
      <c r="V22" s="429">
        <v>6</v>
      </c>
      <c r="W22" s="90">
        <f t="shared" si="16"/>
        <v>37.000000000000028</v>
      </c>
      <c r="X22" s="96"/>
      <c r="Y22" s="96"/>
      <c r="Z22" s="54"/>
      <c r="AA22" s="54"/>
      <c r="AB22" s="633"/>
      <c r="AC22" s="633"/>
      <c r="AD22" s="429"/>
      <c r="AE22" s="429"/>
      <c r="AF22" s="91">
        <f t="shared" si="6"/>
        <v>-2.4324324324343252</v>
      </c>
      <c r="AG22" s="92">
        <f t="shared" si="7"/>
        <v>0.99891891891891804</v>
      </c>
      <c r="AH22" s="657"/>
    </row>
    <row r="23" spans="1:34" ht="19.2" customHeight="1">
      <c r="A23" s="653"/>
      <c r="B23" s="439">
        <v>0</v>
      </c>
      <c r="C23" s="97"/>
      <c r="D23" s="42"/>
      <c r="E23" s="43"/>
      <c r="F23" s="361" t="s">
        <v>148</v>
      </c>
      <c r="G23" s="44"/>
      <c r="H23" s="84">
        <f t="shared" si="12"/>
        <v>0</v>
      </c>
      <c r="I23" s="431"/>
      <c r="J23" s="93"/>
      <c r="K23" s="44"/>
      <c r="L23" s="47"/>
      <c r="M23" s="443"/>
      <c r="N23" s="94"/>
      <c r="O23" s="95"/>
      <c r="P23" s="54"/>
      <c r="Q23" s="88"/>
      <c r="R23" s="430"/>
      <c r="S23" s="654"/>
      <c r="T23" s="89"/>
      <c r="U23" s="89"/>
      <c r="V23" s="429"/>
      <c r="W23" s="90">
        <f t="shared" si="16"/>
        <v>0</v>
      </c>
      <c r="X23" s="96"/>
      <c r="Y23" s="96"/>
      <c r="Z23" s="54"/>
      <c r="AA23" s="54"/>
      <c r="AB23" s="633"/>
      <c r="AC23" s="633"/>
      <c r="AD23" s="429"/>
      <c r="AE23" s="429"/>
      <c r="AF23" s="48">
        <f t="shared" si="6"/>
        <v>0</v>
      </c>
      <c r="AG23" s="433" t="e">
        <f t="shared" si="7"/>
        <v>#DIV/0!</v>
      </c>
      <c r="AH23" s="657"/>
    </row>
    <row r="24" spans="1:34" ht="19.2" customHeight="1">
      <c r="A24" s="653"/>
      <c r="B24" s="439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0"/>
      <c r="S24" s="654"/>
      <c r="T24" s="89"/>
      <c r="U24" s="89"/>
      <c r="V24" s="429"/>
      <c r="W24" s="90">
        <f t="shared" si="16"/>
        <v>0</v>
      </c>
      <c r="X24" s="429"/>
      <c r="Y24" s="429"/>
      <c r="Z24" s="54"/>
      <c r="AA24" s="54"/>
      <c r="AB24" s="633"/>
      <c r="AC24" s="633"/>
      <c r="AD24" s="429"/>
      <c r="AE24" s="429"/>
      <c r="AF24" s="91">
        <f t="shared" si="6"/>
        <v>0</v>
      </c>
      <c r="AG24" s="92" t="e">
        <f t="shared" si="7"/>
        <v>#DIV/0!</v>
      </c>
      <c r="AH24" s="657"/>
    </row>
    <row r="25" spans="1:34" ht="19.2" customHeight="1">
      <c r="A25" s="653"/>
      <c r="B25" s="439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0"/>
      <c r="S25" s="654"/>
      <c r="T25" s="89"/>
      <c r="U25" s="89"/>
      <c r="V25" s="429"/>
      <c r="W25" s="90">
        <f t="shared" si="16"/>
        <v>0</v>
      </c>
      <c r="X25" s="429"/>
      <c r="Y25" s="429"/>
      <c r="Z25" s="54"/>
      <c r="AA25" s="54"/>
      <c r="AB25" s="633"/>
      <c r="AC25" s="633"/>
      <c r="AD25" s="429"/>
      <c r="AE25" s="429"/>
      <c r="AF25" s="48">
        <f t="shared" si="6"/>
        <v>0</v>
      </c>
      <c r="AG25" s="433" t="e">
        <f t="shared" si="7"/>
        <v>#DIV/0!</v>
      </c>
      <c r="AH25" s="657"/>
    </row>
    <row r="26" spans="1:34" ht="19.2" customHeight="1">
      <c r="A26" s="653"/>
      <c r="B26" s="439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654"/>
      <c r="T26" s="89"/>
      <c r="U26" s="89"/>
      <c r="V26" s="429"/>
      <c r="W26" s="90">
        <f t="shared" si="16"/>
        <v>0</v>
      </c>
      <c r="X26" s="429"/>
      <c r="Y26" s="429"/>
      <c r="Z26" s="54"/>
      <c r="AA26" s="54"/>
      <c r="AB26" s="633"/>
      <c r="AC26" s="633"/>
      <c r="AD26" s="429"/>
      <c r="AE26" s="429"/>
      <c r="AF26" s="91">
        <f t="shared" si="6"/>
        <v>0</v>
      </c>
      <c r="AG26" s="92" t="e">
        <f t="shared" si="7"/>
        <v>#DIV/0!</v>
      </c>
      <c r="AH26" s="657"/>
    </row>
    <row r="27" spans="1:34" ht="19.2" customHeight="1">
      <c r="A27" s="653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654"/>
      <c r="T27" s="89"/>
      <c r="U27" s="89"/>
      <c r="V27" s="429"/>
      <c r="W27" s="90">
        <f t="shared" si="16"/>
        <v>0</v>
      </c>
      <c r="X27" s="429"/>
      <c r="Y27" s="429"/>
      <c r="Z27" s="54"/>
      <c r="AA27" s="54"/>
      <c r="AB27" s="633"/>
      <c r="AC27" s="633"/>
      <c r="AD27" s="429"/>
      <c r="AE27" s="429"/>
      <c r="AF27" s="48">
        <f t="shared" si="6"/>
        <v>0</v>
      </c>
      <c r="AG27" s="433" t="e">
        <f t="shared" si="7"/>
        <v>#DIV/0!</v>
      </c>
      <c r="AH27" s="657"/>
    </row>
    <row r="28" spans="1:34" ht="19.2" customHeight="1">
      <c r="A28" s="653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654"/>
      <c r="T28" s="89"/>
      <c r="U28" s="89"/>
      <c r="V28" s="429"/>
      <c r="W28" s="90">
        <f t="shared" si="16"/>
        <v>0</v>
      </c>
      <c r="X28" s="429"/>
      <c r="Y28" s="429"/>
      <c r="Z28" s="54"/>
      <c r="AA28" s="54"/>
      <c r="AB28" s="633"/>
      <c r="AC28" s="633"/>
      <c r="AD28" s="429"/>
      <c r="AE28" s="429"/>
      <c r="AF28" s="91">
        <f t="shared" si="6"/>
        <v>0</v>
      </c>
      <c r="AG28" s="92" t="e">
        <f t="shared" si="7"/>
        <v>#DIV/0!</v>
      </c>
      <c r="AH28" s="657"/>
    </row>
    <row r="29" spans="1:34" ht="19.2" customHeight="1">
      <c r="A29" s="653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654"/>
      <c r="T29" s="89"/>
      <c r="U29" s="89"/>
      <c r="V29" s="429"/>
      <c r="W29" s="90">
        <f t="shared" si="16"/>
        <v>0</v>
      </c>
      <c r="X29" s="429"/>
      <c r="Y29" s="429"/>
      <c r="Z29" s="54"/>
      <c r="AA29" s="54"/>
      <c r="AB29" s="633"/>
      <c r="AC29" s="633"/>
      <c r="AD29" s="429"/>
      <c r="AE29" s="429"/>
      <c r="AF29" s="48">
        <f t="shared" si="6"/>
        <v>0</v>
      </c>
      <c r="AG29" s="433"/>
      <c r="AH29" s="657"/>
    </row>
    <row r="30" spans="1:34" ht="19.2" customHeight="1">
      <c r="A30" s="653"/>
      <c r="B30" s="99">
        <v>0</v>
      </c>
      <c r="C30" s="100" t="s">
        <v>295</v>
      </c>
      <c r="D30" s="652" t="s">
        <v>293</v>
      </c>
      <c r="E30" s="652"/>
      <c r="F30" s="365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17.399999999999999</v>
      </c>
      <c r="N30" s="101">
        <f t="shared" si="17"/>
        <v>1770.8337412567839</v>
      </c>
      <c r="O30" s="104">
        <f t="shared" si="17"/>
        <v>101.23477665096587</v>
      </c>
      <c r="P30" s="54">
        <f t="shared" ref="P30:P38" si="18">M30-J30</f>
        <v>0.59999999999999787</v>
      </c>
      <c r="Q30" s="88">
        <f t="shared" ref="Q30:Q37" si="19">O30-L30</f>
        <v>-9.0505174666811854</v>
      </c>
      <c r="R30" s="105">
        <f t="shared" ref="R30:R37" si="20">O30/L30</f>
        <v>0.91793540980154142</v>
      </c>
      <c r="S30" s="654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33"/>
      <c r="AC30" s="633"/>
      <c r="AD30" s="107">
        <f>SUM(AD18:AD29)</f>
        <v>0</v>
      </c>
      <c r="AE30" s="107">
        <f>SUM(AE18:AE29)</f>
        <v>0</v>
      </c>
      <c r="AF30" s="108">
        <f t="shared" si="6"/>
        <v>-83.566258743216167</v>
      </c>
      <c r="AG30" s="109">
        <f t="shared" ref="AG30" si="21">N30/K30</f>
        <v>0.95493622802889555</v>
      </c>
      <c r="AH30" s="658"/>
    </row>
    <row r="31" spans="1:34" ht="19.2" customHeight="1">
      <c r="A31" s="661" t="s">
        <v>296</v>
      </c>
      <c r="B31" s="110" t="s">
        <v>146</v>
      </c>
      <c r="C31" s="66"/>
      <c r="D31" s="111" t="s">
        <v>63</v>
      </c>
      <c r="E31" s="112"/>
      <c r="F31" s="366">
        <v>35.33</v>
      </c>
      <c r="G31" s="94">
        <v>1833</v>
      </c>
      <c r="H31" s="113">
        <f t="shared" ref="H31:H40" si="22">F31*G31</f>
        <v>64759.89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1864.0677966101698</v>
      </c>
      <c r="O31" s="116">
        <f t="shared" ref="O31:O37" si="24">N31/M31</f>
        <v>155.33898305084747</v>
      </c>
      <c r="P31" s="117">
        <f t="shared" si="18"/>
        <v>0</v>
      </c>
      <c r="Q31" s="118">
        <f t="shared" si="19"/>
        <v>-21.161016949152526</v>
      </c>
      <c r="R31" s="432">
        <f t="shared" si="20"/>
        <v>0.8801075526960197</v>
      </c>
      <c r="S31" s="663">
        <f>R43</f>
        <v>0.84938973384088978</v>
      </c>
      <c r="T31" s="119">
        <v>0.16666666666666666</v>
      </c>
      <c r="U31" s="119">
        <v>0.20763888888888887</v>
      </c>
      <c r="V31" s="52">
        <v>5</v>
      </c>
      <c r="W31" s="120">
        <f t="shared" ref="W31:W42" si="25">(U31-T31)*24*60</f>
        <v>58.999999999999993</v>
      </c>
      <c r="X31" s="52"/>
      <c r="Y31" s="52"/>
      <c r="Z31" s="51"/>
      <c r="AA31" s="51"/>
      <c r="AB31" s="633"/>
      <c r="AC31" s="633"/>
      <c r="AD31" s="52"/>
      <c r="AE31" s="52"/>
      <c r="AF31" s="117">
        <f t="shared" si="6"/>
        <v>-253.93220338983019</v>
      </c>
      <c r="AG31" s="121">
        <f t="shared" si="7"/>
        <v>0.8801075526960197</v>
      </c>
      <c r="AH31" s="659">
        <f>AG43</f>
        <v>0.85823548506416347</v>
      </c>
    </row>
    <row r="32" spans="1:34" ht="19.2" customHeight="1">
      <c r="A32" s="662"/>
      <c r="B32" s="122" t="s">
        <v>146</v>
      </c>
      <c r="C32" s="123"/>
      <c r="D32" s="98" t="s">
        <v>101</v>
      </c>
      <c r="E32" s="43"/>
      <c r="F32" s="361">
        <v>34.229999999999997</v>
      </c>
      <c r="G32" s="44">
        <v>1561</v>
      </c>
      <c r="H32" s="84">
        <f t="shared" si="22"/>
        <v>53433.029999999992</v>
      </c>
      <c r="I32" s="442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1873.1999999999994</v>
      </c>
      <c r="O32" s="47">
        <f t="shared" si="24"/>
        <v>156.09999999999994</v>
      </c>
      <c r="P32" s="117">
        <f t="shared" si="18"/>
        <v>0</v>
      </c>
      <c r="Q32" s="49">
        <f t="shared" si="19"/>
        <v>-20.400000000000063</v>
      </c>
      <c r="R32" s="433">
        <f t="shared" si="20"/>
        <v>0.88441926345609034</v>
      </c>
      <c r="S32" s="654"/>
      <c r="T32" s="89">
        <v>0.21249999999999999</v>
      </c>
      <c r="U32" s="89">
        <v>0.24722222222222223</v>
      </c>
      <c r="V32" s="429">
        <v>7</v>
      </c>
      <c r="W32" s="90">
        <f t="shared" si="25"/>
        <v>50.000000000000021</v>
      </c>
      <c r="X32" s="124"/>
      <c r="Y32" s="124"/>
      <c r="Z32" s="125"/>
      <c r="AA32" s="125"/>
      <c r="AB32" s="633"/>
      <c r="AC32" s="633"/>
      <c r="AD32" s="429"/>
      <c r="AE32" s="429"/>
      <c r="AF32" s="48">
        <f t="shared" si="6"/>
        <v>-244.80000000000064</v>
      </c>
      <c r="AG32" s="433">
        <f t="shared" si="7"/>
        <v>0.88441926345609034</v>
      </c>
      <c r="AH32" s="645"/>
    </row>
    <row r="33" spans="1:34" ht="19.2" customHeight="1">
      <c r="A33" s="662"/>
      <c r="B33" s="122" t="s">
        <v>147</v>
      </c>
      <c r="C33" s="429"/>
      <c r="D33" s="82" t="s">
        <v>186</v>
      </c>
      <c r="E33" s="83"/>
      <c r="F33" s="361">
        <v>54.09</v>
      </c>
      <c r="G33" s="57">
        <v>693.6</v>
      </c>
      <c r="H33" s="84">
        <f t="shared" si="22"/>
        <v>37516.824000000001</v>
      </c>
      <c r="I33" s="429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1261.0909090909104</v>
      </c>
      <c r="O33" s="47">
        <f t="shared" si="24"/>
        <v>70.060606060606133</v>
      </c>
      <c r="P33" s="117">
        <f t="shared" si="18"/>
        <v>0</v>
      </c>
      <c r="Q33" s="49">
        <f t="shared" si="19"/>
        <v>-13.272727272727195</v>
      </c>
      <c r="R33" s="433">
        <f t="shared" si="20"/>
        <v>0.84072727272727366</v>
      </c>
      <c r="S33" s="654"/>
      <c r="T33" s="89">
        <v>0.26319444444444445</v>
      </c>
      <c r="U33" s="89">
        <v>0.28611111111111109</v>
      </c>
      <c r="V33" s="429">
        <v>23</v>
      </c>
      <c r="W33" s="90">
        <f t="shared" si="25"/>
        <v>32.999999999999964</v>
      </c>
      <c r="X33" s="124">
        <v>0.25069444444444444</v>
      </c>
      <c r="Y33" s="124">
        <v>0.26250000000000001</v>
      </c>
      <c r="Z33" s="125"/>
      <c r="AA33" s="125"/>
      <c r="AB33" s="633"/>
      <c r="AC33" s="633"/>
      <c r="AD33" s="429"/>
      <c r="AE33" s="429"/>
      <c r="AF33" s="48">
        <f t="shared" si="6"/>
        <v>-238.90909090908963</v>
      </c>
      <c r="AG33" s="126">
        <f t="shared" si="7"/>
        <v>0.84072727272727354</v>
      </c>
      <c r="AH33" s="645"/>
    </row>
    <row r="34" spans="1:34" ht="19.2" customHeight="1">
      <c r="A34" s="662"/>
      <c r="B34" s="122" t="s">
        <v>144</v>
      </c>
      <c r="C34" s="127"/>
      <c r="D34" s="82" t="s">
        <v>241</v>
      </c>
      <c r="E34" s="83"/>
      <c r="F34" s="361">
        <v>49.91</v>
      </c>
      <c r="G34" s="57">
        <v>2247.7000000000003</v>
      </c>
      <c r="H34" s="84">
        <f t="shared" si="22"/>
        <v>112182.70700000001</v>
      </c>
      <c r="I34" s="429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1309.3398058252435</v>
      </c>
      <c r="O34" s="47">
        <f t="shared" si="24"/>
        <v>87.289320388349566</v>
      </c>
      <c r="P34" s="117">
        <f t="shared" si="18"/>
        <v>0</v>
      </c>
      <c r="Q34" s="49">
        <f t="shared" si="19"/>
        <v>-12.710679611650434</v>
      </c>
      <c r="R34" s="433">
        <f t="shared" si="20"/>
        <v>0.87289320388349567</v>
      </c>
      <c r="S34" s="654"/>
      <c r="T34" s="89">
        <v>0.29097222222222219</v>
      </c>
      <c r="U34" s="89">
        <v>0.36249999999999993</v>
      </c>
      <c r="V34" s="429">
        <v>7</v>
      </c>
      <c r="W34" s="90">
        <f t="shared" si="25"/>
        <v>102.99999999999996</v>
      </c>
      <c r="X34" s="124"/>
      <c r="Y34" s="124"/>
      <c r="Z34" s="125"/>
      <c r="AA34" s="125"/>
      <c r="AB34" s="633"/>
      <c r="AC34" s="633"/>
      <c r="AD34" s="429"/>
      <c r="AE34" s="429"/>
      <c r="AF34" s="48">
        <f t="shared" si="6"/>
        <v>-190.6601941747565</v>
      </c>
      <c r="AG34" s="126">
        <f t="shared" si="7"/>
        <v>0.87289320388349567</v>
      </c>
      <c r="AH34" s="645"/>
    </row>
    <row r="35" spans="1:34" ht="19.2" customHeight="1">
      <c r="A35" s="662"/>
      <c r="B35" s="122" t="s">
        <v>144</v>
      </c>
      <c r="C35" s="41"/>
      <c r="D35" s="42" t="s">
        <v>250</v>
      </c>
      <c r="E35" s="43"/>
      <c r="F35" s="361">
        <v>56.43</v>
      </c>
      <c r="G35" s="128">
        <v>3965</v>
      </c>
      <c r="H35" s="84">
        <f t="shared" si="22"/>
        <v>223744.95</v>
      </c>
      <c r="I35" s="431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1279.0322580645156</v>
      </c>
      <c r="O35" s="47">
        <f t="shared" si="24"/>
        <v>75.237191650853859</v>
      </c>
      <c r="P35" s="117">
        <f t="shared" si="18"/>
        <v>1</v>
      </c>
      <c r="Q35" s="49">
        <f t="shared" si="19"/>
        <v>-18.512808349146141</v>
      </c>
      <c r="R35" s="433">
        <f t="shared" si="20"/>
        <v>0.80253004427577446</v>
      </c>
      <c r="S35" s="654"/>
      <c r="T35" s="89">
        <v>0.37777777777777771</v>
      </c>
      <c r="U35" s="89">
        <v>0.50694444444444442</v>
      </c>
      <c r="V35" s="429">
        <v>22</v>
      </c>
      <c r="W35" s="90">
        <f t="shared" si="25"/>
        <v>186.00000000000006</v>
      </c>
      <c r="X35" s="124">
        <v>0.3666666666666667</v>
      </c>
      <c r="Y35" s="124">
        <v>0.37638888888888888</v>
      </c>
      <c r="Z35" s="125"/>
      <c r="AA35" s="125"/>
      <c r="AB35" s="633"/>
      <c r="AC35" s="633"/>
      <c r="AD35" s="429"/>
      <c r="AE35" s="429"/>
      <c r="AF35" s="117">
        <f t="shared" si="6"/>
        <v>-220.96774193548436</v>
      </c>
      <c r="AG35" s="121">
        <f t="shared" si="7"/>
        <v>0.8526881720430104</v>
      </c>
      <c r="AH35" s="646"/>
    </row>
    <row r="36" spans="1:34" ht="19.2" customHeight="1">
      <c r="A36" s="662"/>
      <c r="B36" s="122" t="s">
        <v>144</v>
      </c>
      <c r="C36" s="129"/>
      <c r="D36" s="42" t="s">
        <v>253</v>
      </c>
      <c r="E36" s="83"/>
      <c r="F36" s="361">
        <v>56.43</v>
      </c>
      <c r="G36" s="57">
        <v>1196.7</v>
      </c>
      <c r="H36" s="84">
        <f t="shared" si="22"/>
        <v>67529.781000000003</v>
      </c>
      <c r="I36" s="429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1305.49090909091</v>
      </c>
      <c r="O36" s="47">
        <f t="shared" si="24"/>
        <v>76.793582887700595</v>
      </c>
      <c r="P36" s="117">
        <f t="shared" si="18"/>
        <v>0</v>
      </c>
      <c r="Q36" s="49">
        <f t="shared" si="19"/>
        <v>-19.441711229946463</v>
      </c>
      <c r="R36" s="433">
        <f t="shared" si="20"/>
        <v>0.79797732829517731</v>
      </c>
      <c r="S36" s="654"/>
      <c r="T36" s="89">
        <v>0.54791666666666661</v>
      </c>
      <c r="U36" s="89">
        <v>0.58611111111111103</v>
      </c>
      <c r="V36" s="429">
        <v>6</v>
      </c>
      <c r="W36" s="90">
        <f t="shared" si="25"/>
        <v>54.999999999999964</v>
      </c>
      <c r="X36" s="124"/>
      <c r="Y36" s="124"/>
      <c r="Z36" s="125"/>
      <c r="AA36" s="125"/>
      <c r="AB36" s="633"/>
      <c r="AC36" s="633"/>
      <c r="AD36" s="429"/>
      <c r="AE36" s="429">
        <v>1</v>
      </c>
      <c r="AF36" s="48">
        <f t="shared" si="6"/>
        <v>-330.50909090908999</v>
      </c>
      <c r="AG36" s="433">
        <f t="shared" si="7"/>
        <v>0.79797732829517731</v>
      </c>
      <c r="AH36" s="646"/>
    </row>
    <row r="37" spans="1:34" ht="19.2" customHeight="1">
      <c r="A37" s="662"/>
      <c r="B37" s="122" t="s">
        <v>144</v>
      </c>
      <c r="C37" s="129"/>
      <c r="D37" s="82" t="s">
        <v>241</v>
      </c>
      <c r="E37" s="83"/>
      <c r="F37" s="361">
        <v>49.91</v>
      </c>
      <c r="G37" s="57">
        <v>1210.3</v>
      </c>
      <c r="H37" s="84">
        <f t="shared" si="22"/>
        <v>60406.072999999997</v>
      </c>
      <c r="I37" s="429">
        <v>1</v>
      </c>
      <c r="J37" s="46">
        <v>15</v>
      </c>
      <c r="K37" s="44">
        <v>1500</v>
      </c>
      <c r="L37" s="47">
        <v>100</v>
      </c>
      <c r="M37" s="46">
        <v>16</v>
      </c>
      <c r="N37" s="44">
        <f t="shared" si="23"/>
        <v>1296.7500000000009</v>
      </c>
      <c r="O37" s="47">
        <f t="shared" si="24"/>
        <v>81.046875000000057</v>
      </c>
      <c r="P37" s="117">
        <f t="shared" si="18"/>
        <v>1</v>
      </c>
      <c r="Q37" s="49">
        <f t="shared" si="19"/>
        <v>-18.953124999999943</v>
      </c>
      <c r="R37" s="433">
        <f t="shared" si="20"/>
        <v>0.81046875000000052</v>
      </c>
      <c r="S37" s="654"/>
      <c r="T37" s="89">
        <v>0.59166666666666656</v>
      </c>
      <c r="U37" s="89">
        <v>0.63055555555555542</v>
      </c>
      <c r="V37" s="429">
        <v>8</v>
      </c>
      <c r="W37" s="90">
        <f t="shared" si="25"/>
        <v>55.999999999999957</v>
      </c>
      <c r="X37" s="124"/>
      <c r="Y37" s="124"/>
      <c r="Z37" s="125"/>
      <c r="AA37" s="125"/>
      <c r="AB37" s="633"/>
      <c r="AC37" s="633"/>
      <c r="AD37" s="429"/>
      <c r="AE37" s="429"/>
      <c r="AF37" s="48">
        <f t="shared" si="6"/>
        <v>-203.24999999999909</v>
      </c>
      <c r="AG37" s="126">
        <f t="shared" si="7"/>
        <v>0.8645000000000006</v>
      </c>
      <c r="AH37" s="646"/>
    </row>
    <row r="38" spans="1:34" ht="19.2" customHeight="1">
      <c r="A38" s="662"/>
      <c r="B38" s="122">
        <v>0</v>
      </c>
      <c r="C38" s="129"/>
      <c r="D38" s="82"/>
      <c r="E38" s="83"/>
      <c r="F38" s="361" t="s">
        <v>148</v>
      </c>
      <c r="G38" s="57"/>
      <c r="H38" s="84">
        <f t="shared" si="22"/>
        <v>0</v>
      </c>
      <c r="I38" s="429"/>
      <c r="J38" s="46"/>
      <c r="K38" s="44"/>
      <c r="L38" s="47"/>
      <c r="M38" s="440"/>
      <c r="N38" s="44"/>
      <c r="O38" s="47"/>
      <c r="P38" s="117">
        <f t="shared" si="18"/>
        <v>0</v>
      </c>
      <c r="Q38" s="49"/>
      <c r="R38" s="433"/>
      <c r="S38" s="654"/>
      <c r="T38" s="89"/>
      <c r="U38" s="89"/>
      <c r="V38" s="429" t="s">
        <v>15</v>
      </c>
      <c r="W38" s="90">
        <f t="shared" si="25"/>
        <v>0</v>
      </c>
      <c r="X38" s="124"/>
      <c r="Y38" s="124"/>
      <c r="Z38" s="125"/>
      <c r="AA38" s="125"/>
      <c r="AB38" s="633"/>
      <c r="AC38" s="633"/>
      <c r="AD38" s="429"/>
      <c r="AE38" s="429"/>
      <c r="AF38" s="48">
        <f t="shared" si="6"/>
        <v>0</v>
      </c>
      <c r="AG38" s="126" t="e">
        <f t="shared" si="7"/>
        <v>#DIV/0!</v>
      </c>
      <c r="AH38" s="646"/>
    </row>
    <row r="39" spans="1:34" ht="19.2" customHeight="1">
      <c r="A39" s="662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429"/>
      <c r="J39" s="46"/>
      <c r="K39" s="44"/>
      <c r="L39" s="47"/>
      <c r="M39" s="440"/>
      <c r="N39" s="44"/>
      <c r="O39" s="47"/>
      <c r="P39" s="48"/>
      <c r="Q39" s="49"/>
      <c r="R39" s="433"/>
      <c r="S39" s="654"/>
      <c r="T39" s="89"/>
      <c r="U39" s="89"/>
      <c r="V39" s="429"/>
      <c r="W39" s="90">
        <f t="shared" si="25"/>
        <v>0</v>
      </c>
      <c r="X39" s="124"/>
      <c r="Y39" s="124"/>
      <c r="Z39" s="125"/>
      <c r="AA39" s="125"/>
      <c r="AB39" s="633"/>
      <c r="AC39" s="633"/>
      <c r="AD39" s="429"/>
      <c r="AE39" s="429"/>
      <c r="AF39" s="117">
        <f t="shared" si="6"/>
        <v>0</v>
      </c>
      <c r="AG39" s="121" t="e">
        <f t="shared" si="7"/>
        <v>#DIV/0!</v>
      </c>
      <c r="AH39" s="646"/>
    </row>
    <row r="40" spans="1:34" ht="19.2" customHeight="1">
      <c r="A40" s="662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31"/>
      <c r="J40" s="132"/>
      <c r="K40" s="133"/>
      <c r="L40" s="134"/>
      <c r="M40" s="443"/>
      <c r="N40" s="44"/>
      <c r="O40" s="47"/>
      <c r="P40" s="48"/>
      <c r="Q40" s="49"/>
      <c r="R40" s="433"/>
      <c r="S40" s="654"/>
      <c r="T40" s="89"/>
      <c r="U40" s="89"/>
      <c r="V40" s="429"/>
      <c r="W40" s="90">
        <f t="shared" si="25"/>
        <v>0</v>
      </c>
      <c r="X40" s="124"/>
      <c r="Y40" s="124"/>
      <c r="Z40" s="125"/>
      <c r="AA40" s="125"/>
      <c r="AB40" s="633"/>
      <c r="AC40" s="633"/>
      <c r="AD40" s="429"/>
      <c r="AE40" s="429"/>
      <c r="AF40" s="48">
        <f t="shared" si="6"/>
        <v>0</v>
      </c>
      <c r="AG40" s="433" t="e">
        <f t="shared" si="7"/>
        <v>#DIV/0!</v>
      </c>
      <c r="AH40" s="646"/>
    </row>
    <row r="41" spans="1:34" ht="19.2" customHeight="1">
      <c r="A41" s="662"/>
      <c r="B41" s="429">
        <v>0</v>
      </c>
      <c r="C41" s="55"/>
      <c r="D41" s="82"/>
      <c r="E41" s="83"/>
      <c r="F41" s="361" t="s">
        <v>148</v>
      </c>
      <c r="G41" s="57"/>
      <c r="H41" s="84"/>
      <c r="I41" s="429"/>
      <c r="J41" s="87"/>
      <c r="K41" s="57"/>
      <c r="L41" s="86"/>
      <c r="M41" s="440"/>
      <c r="N41" s="57"/>
      <c r="O41" s="86"/>
      <c r="P41" s="54"/>
      <c r="Q41" s="88"/>
      <c r="R41" s="430"/>
      <c r="S41" s="654"/>
      <c r="T41" s="89"/>
      <c r="U41" s="89"/>
      <c r="V41" s="429"/>
      <c r="W41" s="90">
        <f t="shared" si="25"/>
        <v>0</v>
      </c>
      <c r="X41" s="124"/>
      <c r="Y41" s="124"/>
      <c r="Z41" s="125"/>
      <c r="AA41" s="125"/>
      <c r="AB41" s="633"/>
      <c r="AC41" s="633"/>
      <c r="AD41" s="429"/>
      <c r="AE41" s="429"/>
      <c r="AF41" s="48"/>
      <c r="AG41" s="130"/>
      <c r="AH41" s="646"/>
    </row>
    <row r="42" spans="1:34" ht="19.2" customHeight="1">
      <c r="A42" s="662"/>
      <c r="B42" s="429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429"/>
      <c r="J42" s="87"/>
      <c r="K42" s="57"/>
      <c r="L42" s="86"/>
      <c r="M42" s="440"/>
      <c r="N42" s="57"/>
      <c r="O42" s="86"/>
      <c r="P42" s="54"/>
      <c r="Q42" s="88"/>
      <c r="R42" s="430"/>
      <c r="S42" s="654"/>
      <c r="T42" s="89"/>
      <c r="U42" s="89"/>
      <c r="V42" s="429"/>
      <c r="W42" s="90">
        <f t="shared" si="25"/>
        <v>0</v>
      </c>
      <c r="X42" s="124"/>
      <c r="Y42" s="124"/>
      <c r="Z42" s="125"/>
      <c r="AA42" s="125"/>
      <c r="AB42" s="633"/>
      <c r="AC42" s="633"/>
      <c r="AD42" s="429"/>
      <c r="AE42" s="429"/>
      <c r="AF42" s="48"/>
      <c r="AG42" s="130"/>
      <c r="AH42" s="646"/>
    </row>
    <row r="43" spans="1:34" ht="19.2" customHeight="1">
      <c r="A43" s="662"/>
      <c r="B43" s="122">
        <v>0</v>
      </c>
      <c r="C43" s="100" t="s">
        <v>297</v>
      </c>
      <c r="D43" s="660" t="s">
        <v>293</v>
      </c>
      <c r="E43" s="660"/>
      <c r="F43" s="365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15.285714285714286</v>
      </c>
      <c r="N43" s="101">
        <f t="shared" si="26"/>
        <v>1455.5673826688212</v>
      </c>
      <c r="O43" s="104">
        <f t="shared" si="26"/>
        <v>100.26665129119394</v>
      </c>
      <c r="P43" s="54">
        <f>M43-J43</f>
        <v>0.28571428571428648</v>
      </c>
      <c r="Q43" s="88">
        <f>N43-K43</f>
        <v>-240.43261733117879</v>
      </c>
      <c r="R43" s="105">
        <f t="shared" ref="R43:R50" si="27">O43/L43</f>
        <v>0.84938973384088978</v>
      </c>
      <c r="S43" s="654"/>
      <c r="T43" s="89"/>
      <c r="U43" s="89"/>
      <c r="V43" s="429"/>
      <c r="W43" s="429"/>
      <c r="X43" s="124"/>
      <c r="Y43" s="124"/>
      <c r="Z43" s="135">
        <f>SUM(Z31:Z42)</f>
        <v>0</v>
      </c>
      <c r="AA43" s="135">
        <f>SUM(AA31:AA42)</f>
        <v>0</v>
      </c>
      <c r="AB43" s="633"/>
      <c r="AC43" s="633"/>
      <c r="AD43" s="107">
        <f>SUM(AD31:AD42)</f>
        <v>0</v>
      </c>
      <c r="AE43" s="107">
        <f>SUM(AE31:AE42)</f>
        <v>1</v>
      </c>
      <c r="AF43" s="48">
        <f t="shared" ref="AF43:AF54" si="28">N43-K43</f>
        <v>-240.43261733117879</v>
      </c>
      <c r="AG43" s="434">
        <f t="shared" si="7"/>
        <v>0.85823548506416347</v>
      </c>
      <c r="AH43" s="646"/>
    </row>
    <row r="44" spans="1:34" s="148" customFormat="1" ht="19.2" customHeight="1">
      <c r="A44" s="664" t="s">
        <v>298</v>
      </c>
      <c r="B44" s="97" t="s">
        <v>146</v>
      </c>
      <c r="C44" s="136"/>
      <c r="D44" s="42" t="s">
        <v>77</v>
      </c>
      <c r="E44" s="43"/>
      <c r="F44" s="368">
        <v>24.73</v>
      </c>
      <c r="G44" s="137">
        <v>1620</v>
      </c>
      <c r="H44" s="45">
        <f>F44*G44</f>
        <v>40062.6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2113.0434782608695</v>
      </c>
      <c r="O44" s="141">
        <f t="shared" ref="O44:O50" si="30">N44/M44</f>
        <v>422.60869565217388</v>
      </c>
      <c r="P44" s="51">
        <f t="shared" ref="P44:P50" si="31">M44-J44</f>
        <v>1</v>
      </c>
      <c r="Q44" s="142">
        <f t="shared" ref="Q44:Q50" si="32">O44-L44</f>
        <v>-77.391304347826122</v>
      </c>
      <c r="R44" s="143">
        <f t="shared" si="27"/>
        <v>0.84521739130434781</v>
      </c>
      <c r="S44" s="645">
        <f>R56</f>
        <v>0.88093592666723564</v>
      </c>
      <c r="T44" s="119">
        <v>0.16666666666666666</v>
      </c>
      <c r="U44" s="119">
        <v>0.1986111111111111</v>
      </c>
      <c r="V44" s="145">
        <v>5</v>
      </c>
      <c r="W44" s="146">
        <f t="shared" ref="W44:W56" si="33">(U44-T44)*24*60</f>
        <v>46</v>
      </c>
      <c r="X44" s="124"/>
      <c r="Y44" s="124"/>
      <c r="Z44" s="125"/>
      <c r="AA44" s="125"/>
      <c r="AB44" s="633"/>
      <c r="AC44" s="633"/>
      <c r="AD44" s="429"/>
      <c r="AE44" s="429"/>
      <c r="AF44" s="147">
        <f t="shared" si="28"/>
        <v>113.04347826086951</v>
      </c>
      <c r="AG44" s="437">
        <f t="shared" si="7"/>
        <v>1.0565217391304347</v>
      </c>
      <c r="AH44" s="667">
        <f>AG56</f>
        <v>1.0003185507106331</v>
      </c>
    </row>
    <row r="45" spans="1:34" s="148" customFormat="1" ht="19.2" customHeight="1">
      <c r="A45" s="665"/>
      <c r="B45" s="97" t="s">
        <v>146</v>
      </c>
      <c r="C45" s="136"/>
      <c r="D45" s="42" t="s">
        <v>78</v>
      </c>
      <c r="E45" s="43"/>
      <c r="F45" s="368">
        <v>24.73</v>
      </c>
      <c r="G45" s="137">
        <v>1485</v>
      </c>
      <c r="H45" s="45">
        <f>F45*G45</f>
        <v>36724.050000000003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2173.170731707316</v>
      </c>
      <c r="O45" s="141">
        <f t="shared" si="30"/>
        <v>434.63414634146318</v>
      </c>
      <c r="P45" s="51">
        <f t="shared" si="31"/>
        <v>1</v>
      </c>
      <c r="Q45" s="142">
        <f t="shared" si="32"/>
        <v>-65.365853658536821</v>
      </c>
      <c r="R45" s="143">
        <f t="shared" si="27"/>
        <v>0.86926829268292638</v>
      </c>
      <c r="S45" s="645"/>
      <c r="T45" s="89">
        <v>0.20208333333333331</v>
      </c>
      <c r="U45" s="89">
        <v>0.23055555555555554</v>
      </c>
      <c r="V45" s="145">
        <v>5</v>
      </c>
      <c r="W45" s="146">
        <f t="shared" si="33"/>
        <v>41.000000000000014</v>
      </c>
      <c r="X45" s="124"/>
      <c r="Y45" s="124"/>
      <c r="Z45" s="125"/>
      <c r="AA45" s="125"/>
      <c r="AB45" s="633"/>
      <c r="AC45" s="633"/>
      <c r="AD45" s="429"/>
      <c r="AE45" s="429"/>
      <c r="AF45" s="147">
        <f t="shared" si="28"/>
        <v>173.17073170731601</v>
      </c>
      <c r="AG45" s="437">
        <f t="shared" si="7"/>
        <v>1.0865853658536579</v>
      </c>
      <c r="AH45" s="667"/>
    </row>
    <row r="46" spans="1:34" s="148" customFormat="1" ht="19.2" customHeight="1">
      <c r="A46" s="665"/>
      <c r="B46" s="97" t="s">
        <v>146</v>
      </c>
      <c r="C46" s="136"/>
      <c r="D46" s="42" t="s">
        <v>160</v>
      </c>
      <c r="E46" s="43"/>
      <c r="F46" s="368">
        <v>21.92</v>
      </c>
      <c r="G46" s="137">
        <v>401</v>
      </c>
      <c r="H46" s="45">
        <f t="shared" ref="H46:H50" si="34">F46*G46</f>
        <v>8789.92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1850.7692307692319</v>
      </c>
      <c r="O46" s="141">
        <f t="shared" si="30"/>
        <v>370.15384615384636</v>
      </c>
      <c r="P46" s="51">
        <f t="shared" si="31"/>
        <v>1</v>
      </c>
      <c r="Q46" s="142">
        <f t="shared" si="32"/>
        <v>-129.84615384615364</v>
      </c>
      <c r="R46" s="143">
        <f t="shared" si="27"/>
        <v>0.74030769230769267</v>
      </c>
      <c r="S46" s="645"/>
      <c r="T46" s="89">
        <v>0.23402777777777775</v>
      </c>
      <c r="U46" s="89">
        <v>0.24305555555555552</v>
      </c>
      <c r="V46" s="145">
        <v>5</v>
      </c>
      <c r="W46" s="146">
        <f t="shared" si="33"/>
        <v>12.999999999999993</v>
      </c>
      <c r="X46" s="124"/>
      <c r="Y46" s="124"/>
      <c r="Z46" s="125"/>
      <c r="AA46" s="125"/>
      <c r="AB46" s="633"/>
      <c r="AC46" s="633"/>
      <c r="AD46" s="429"/>
      <c r="AE46" s="429"/>
      <c r="AF46" s="147">
        <f t="shared" si="28"/>
        <v>-149.23076923076815</v>
      </c>
      <c r="AG46" s="437">
        <f t="shared" si="7"/>
        <v>0.92538461538461592</v>
      </c>
      <c r="AH46" s="667"/>
    </row>
    <row r="47" spans="1:34" s="148" customFormat="1" ht="19.2" customHeight="1">
      <c r="A47" s="665"/>
      <c r="B47" s="97">
        <v>0</v>
      </c>
      <c r="C47" s="136"/>
      <c r="D47" s="150" t="s">
        <v>67</v>
      </c>
      <c r="E47" s="151"/>
      <c r="F47" s="368">
        <v>31.43</v>
      </c>
      <c r="G47" s="140">
        <v>1730</v>
      </c>
      <c r="H47" s="45">
        <f t="shared" si="34"/>
        <v>54373.9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1441.666666666667</v>
      </c>
      <c r="O47" s="141">
        <f t="shared" si="30"/>
        <v>205.95238095238099</v>
      </c>
      <c r="P47" s="51">
        <f t="shared" si="31"/>
        <v>0</v>
      </c>
      <c r="Q47" s="142">
        <f t="shared" si="32"/>
        <v>-8.333333333333286</v>
      </c>
      <c r="R47" s="143">
        <f t="shared" si="27"/>
        <v>0.96111111111111136</v>
      </c>
      <c r="S47" s="645"/>
      <c r="T47" s="89">
        <v>0.25694444444444442</v>
      </c>
      <c r="U47" s="89">
        <v>0.30694444444444441</v>
      </c>
      <c r="V47" s="140">
        <v>20</v>
      </c>
      <c r="W47" s="146">
        <f t="shared" si="33"/>
        <v>71.999999999999986</v>
      </c>
      <c r="X47" s="124">
        <v>0.24652777777777779</v>
      </c>
      <c r="Y47" s="124">
        <v>0.25555555555555559</v>
      </c>
      <c r="Z47" s="125"/>
      <c r="AA47" s="125"/>
      <c r="AB47" s="633"/>
      <c r="AC47" s="633"/>
      <c r="AD47" s="429"/>
      <c r="AE47" s="429"/>
      <c r="AF47" s="147">
        <f t="shared" si="28"/>
        <v>-58.33333333333303</v>
      </c>
      <c r="AG47" s="437">
        <f t="shared" si="7"/>
        <v>0.96111111111111136</v>
      </c>
      <c r="AH47" s="667"/>
    </row>
    <row r="48" spans="1:34" s="148" customFormat="1" ht="19.2" customHeight="1">
      <c r="A48" s="665"/>
      <c r="B48" s="97">
        <v>0</v>
      </c>
      <c r="C48" s="136"/>
      <c r="D48" s="153" t="s">
        <v>240</v>
      </c>
      <c r="E48" s="151"/>
      <c r="F48" s="368">
        <v>11.86</v>
      </c>
      <c r="G48" s="140">
        <v>1922</v>
      </c>
      <c r="H48" s="45">
        <f t="shared" si="34"/>
        <v>22794.92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1459.7468354430373</v>
      </c>
      <c r="O48" s="141">
        <f t="shared" si="30"/>
        <v>243.29113924050623</v>
      </c>
      <c r="P48" s="51">
        <f t="shared" si="31"/>
        <v>0</v>
      </c>
      <c r="Q48" s="142">
        <f t="shared" si="32"/>
        <v>-6.7088607594937741</v>
      </c>
      <c r="R48" s="143">
        <f t="shared" si="27"/>
        <v>0.97316455696202486</v>
      </c>
      <c r="S48" s="645"/>
      <c r="T48" s="89">
        <v>0.32430555555555551</v>
      </c>
      <c r="U48" s="89">
        <v>0.37916666666666665</v>
      </c>
      <c r="V48" s="137">
        <v>25</v>
      </c>
      <c r="W48" s="146">
        <f t="shared" si="33"/>
        <v>79.000000000000043</v>
      </c>
      <c r="X48" s="124">
        <v>0.31041666666666667</v>
      </c>
      <c r="Y48" s="124">
        <v>0.32291666666666669</v>
      </c>
      <c r="Z48" s="125"/>
      <c r="AA48" s="125"/>
      <c r="AB48" s="633"/>
      <c r="AC48" s="633"/>
      <c r="AD48" s="429"/>
      <c r="AE48" s="429"/>
      <c r="AF48" s="147">
        <f t="shared" si="28"/>
        <v>-40.253164556962702</v>
      </c>
      <c r="AG48" s="437">
        <f t="shared" si="7"/>
        <v>0.97316455696202486</v>
      </c>
      <c r="AH48" s="667"/>
    </row>
    <row r="49" spans="1:34" s="148" customFormat="1" ht="19.2" customHeight="1">
      <c r="A49" s="665"/>
      <c r="B49" s="97" t="s">
        <v>147</v>
      </c>
      <c r="C49" s="136"/>
      <c r="D49" s="153" t="s">
        <v>66</v>
      </c>
      <c r="E49" s="151"/>
      <c r="F49" s="368">
        <v>10.09</v>
      </c>
      <c r="G49" s="137">
        <v>2754.15</v>
      </c>
      <c r="H49" s="45">
        <f t="shared" si="34"/>
        <v>27789.373500000002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1475.4375</v>
      </c>
      <c r="O49" s="141">
        <f t="shared" si="30"/>
        <v>245.90625</v>
      </c>
      <c r="P49" s="51">
        <f t="shared" si="31"/>
        <v>0</v>
      </c>
      <c r="Q49" s="142">
        <f t="shared" si="32"/>
        <v>-4.09375</v>
      </c>
      <c r="R49" s="143">
        <f t="shared" si="27"/>
        <v>0.98362499999999997</v>
      </c>
      <c r="S49" s="645"/>
      <c r="T49" s="89">
        <v>0.39652777777777776</v>
      </c>
      <c r="U49" s="89">
        <v>0.47430555555555554</v>
      </c>
      <c r="V49" s="137">
        <v>25</v>
      </c>
      <c r="W49" s="146">
        <f t="shared" si="33"/>
        <v>112</v>
      </c>
      <c r="X49" s="155">
        <v>0.38263888888888892</v>
      </c>
      <c r="Y49" s="155">
        <v>0.39583333333333331</v>
      </c>
      <c r="Z49" s="156"/>
      <c r="AA49" s="125"/>
      <c r="AB49" s="633"/>
      <c r="AC49" s="633"/>
      <c r="AD49" s="429"/>
      <c r="AE49" s="429"/>
      <c r="AF49" s="147">
        <f t="shared" si="28"/>
        <v>-24.5625</v>
      </c>
      <c r="AG49" s="437">
        <f t="shared" si="7"/>
        <v>0.98362499999999997</v>
      </c>
      <c r="AH49" s="667"/>
    </row>
    <row r="50" spans="1:34" s="148" customFormat="1" ht="19.2" customHeight="1">
      <c r="A50" s="665"/>
      <c r="B50" s="97" t="s">
        <v>147</v>
      </c>
      <c r="C50" s="136"/>
      <c r="D50" s="153" t="s">
        <v>66</v>
      </c>
      <c r="E50" s="151"/>
      <c r="F50" s="368">
        <v>10.09</v>
      </c>
      <c r="G50" s="137">
        <v>4196.8</v>
      </c>
      <c r="H50" s="45">
        <f t="shared" si="34"/>
        <v>42345.712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1489.9881656804737</v>
      </c>
      <c r="O50" s="141">
        <f t="shared" si="30"/>
        <v>248.3313609467456</v>
      </c>
      <c r="P50" s="51">
        <f t="shared" si="31"/>
        <v>0</v>
      </c>
      <c r="Q50" s="142">
        <f t="shared" si="32"/>
        <v>-1.6686390532543953</v>
      </c>
      <c r="R50" s="143">
        <f t="shared" si="27"/>
        <v>0.9933254437869824</v>
      </c>
      <c r="S50" s="645"/>
      <c r="T50" s="89">
        <v>0.49166666666666664</v>
      </c>
      <c r="U50" s="89">
        <v>0.60902777777777772</v>
      </c>
      <c r="V50" s="137">
        <v>25</v>
      </c>
      <c r="W50" s="146">
        <f t="shared" si="33"/>
        <v>168.99999999999997</v>
      </c>
      <c r="X50" s="155">
        <v>0.4777777777777778</v>
      </c>
      <c r="Y50" s="155">
        <v>0.49027777777777781</v>
      </c>
      <c r="Z50" s="156"/>
      <c r="AA50" s="156"/>
      <c r="AB50" s="633"/>
      <c r="AC50" s="633"/>
      <c r="AD50" s="429"/>
      <c r="AE50" s="429"/>
      <c r="AF50" s="147">
        <f t="shared" si="28"/>
        <v>-10.011834319526315</v>
      </c>
      <c r="AG50" s="437">
        <f t="shared" si="7"/>
        <v>0.99332544378698251</v>
      </c>
      <c r="AH50" s="667"/>
    </row>
    <row r="51" spans="1:34" s="148" customFormat="1" ht="19.2" customHeight="1">
      <c r="A51" s="665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45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633"/>
      <c r="AC51" s="633"/>
      <c r="AD51" s="429"/>
      <c r="AE51" s="429"/>
      <c r="AF51" s="147">
        <f t="shared" si="28"/>
        <v>0</v>
      </c>
      <c r="AG51" s="437" t="e">
        <f t="shared" si="7"/>
        <v>#DIV/0!</v>
      </c>
      <c r="AH51" s="667"/>
    </row>
    <row r="52" spans="1:34" s="148" customFormat="1" ht="19.2" customHeight="1">
      <c r="A52" s="665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0"/>
      <c r="S52" s="645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633"/>
      <c r="AC52" s="633"/>
      <c r="AD52" s="429"/>
      <c r="AE52" s="429"/>
      <c r="AF52" s="147">
        <f t="shared" si="28"/>
        <v>0</v>
      </c>
      <c r="AG52" s="437" t="e">
        <f t="shared" si="7"/>
        <v>#DIV/0!</v>
      </c>
      <c r="AH52" s="667"/>
    </row>
    <row r="53" spans="1:34" s="148" customFormat="1" ht="19.2" customHeight="1">
      <c r="A53" s="665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0"/>
      <c r="S53" s="645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33"/>
      <c r="AC53" s="633"/>
      <c r="AD53" s="429"/>
      <c r="AE53" s="429"/>
      <c r="AF53" s="147">
        <f t="shared" si="28"/>
        <v>0</v>
      </c>
      <c r="AG53" s="437" t="e">
        <f t="shared" si="7"/>
        <v>#DIV/0!</v>
      </c>
      <c r="AH53" s="667"/>
    </row>
    <row r="54" spans="1:34" s="148" customFormat="1" ht="19.2" customHeight="1">
      <c r="A54" s="665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0"/>
      <c r="S54" s="645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33"/>
      <c r="AC54" s="633"/>
      <c r="AD54" s="429"/>
      <c r="AE54" s="429"/>
      <c r="AF54" s="147">
        <f t="shared" si="28"/>
        <v>0</v>
      </c>
      <c r="AG54" s="437" t="e">
        <f t="shared" si="7"/>
        <v>#DIV/0!</v>
      </c>
      <c r="AH54" s="667"/>
    </row>
    <row r="55" spans="1:34" s="148" customFormat="1" ht="19.2" customHeight="1">
      <c r="A55" s="665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0"/>
      <c r="S55" s="645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33"/>
      <c r="AC55" s="633"/>
      <c r="AD55" s="429"/>
      <c r="AE55" s="429"/>
      <c r="AF55" s="147"/>
      <c r="AG55" s="437"/>
      <c r="AH55" s="667"/>
    </row>
    <row r="56" spans="1:34" ht="19.2" customHeight="1">
      <c r="A56" s="666"/>
      <c r="B56" s="160">
        <v>0</v>
      </c>
      <c r="C56" s="100" t="s">
        <v>299</v>
      </c>
      <c r="D56" s="660" t="s">
        <v>293</v>
      </c>
      <c r="E56" s="660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1714.8318012182281</v>
      </c>
      <c r="O56" s="104">
        <f t="shared" si="35"/>
        <v>310.12540275530233</v>
      </c>
      <c r="P56" s="161">
        <f>M56-J56</f>
        <v>0.42857142857142883</v>
      </c>
      <c r="Q56" s="118">
        <f>N56-K56</f>
        <v>0.54608693251384466</v>
      </c>
      <c r="R56" s="162">
        <f t="shared" ref="R56:R61" si="36">O56/L56</f>
        <v>0.88093592666723564</v>
      </c>
      <c r="S56" s="645"/>
      <c r="T56" s="163"/>
      <c r="U56" s="163"/>
      <c r="V56" s="445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33"/>
      <c r="AC56" s="633"/>
      <c r="AD56" s="107">
        <f>SUM(AD44:AD55)</f>
        <v>0</v>
      </c>
      <c r="AE56" s="107">
        <f>SUM(AE44:AE55)</f>
        <v>0</v>
      </c>
      <c r="AF56" s="165">
        <f>N56-K56</f>
        <v>0.54608693251384466</v>
      </c>
      <c r="AG56" s="430">
        <f>N56/K56</f>
        <v>1.0003185507106331</v>
      </c>
      <c r="AH56" s="667"/>
    </row>
    <row r="57" spans="1:34" ht="19.2" customHeight="1">
      <c r="A57" s="670" t="s">
        <v>300</v>
      </c>
      <c r="B57" s="97" t="s">
        <v>145</v>
      </c>
      <c r="C57" s="166"/>
      <c r="D57" s="167" t="s">
        <v>68</v>
      </c>
      <c r="E57" s="112"/>
      <c r="F57" s="361">
        <v>28.26</v>
      </c>
      <c r="G57" s="137">
        <v>1850</v>
      </c>
      <c r="H57" s="84">
        <f t="shared" ref="H57:H66" si="37">F57*G57</f>
        <v>52281</v>
      </c>
      <c r="I57" s="429"/>
      <c r="J57" s="87">
        <v>7</v>
      </c>
      <c r="K57" s="57">
        <v>1500</v>
      </c>
      <c r="L57" s="86">
        <v>214.28571428571428</v>
      </c>
      <c r="M57" s="440">
        <v>7</v>
      </c>
      <c r="N57" s="57">
        <f t="shared" ref="N57:N61" si="38">G57/W57*60</f>
        <v>1499.9999999999998</v>
      </c>
      <c r="O57" s="86">
        <f t="shared" ref="O57:O61" si="39">N57/M57</f>
        <v>214.28571428571425</v>
      </c>
      <c r="P57" s="168">
        <f t="shared" ref="P57:P61" si="40">M57-J57</f>
        <v>0</v>
      </c>
      <c r="Q57" s="49">
        <f t="shared" ref="Q57:Q61" si="41">O57-L57</f>
        <v>0</v>
      </c>
      <c r="R57" s="433">
        <f t="shared" si="36"/>
        <v>0.99999999999999989</v>
      </c>
      <c r="S57" s="645">
        <f>R69</f>
        <v>0.98354736556493905</v>
      </c>
      <c r="T57" s="144">
        <v>0.16666666666666666</v>
      </c>
      <c r="U57" s="144">
        <v>0.21805555555555556</v>
      </c>
      <c r="V57" s="431">
        <v>5</v>
      </c>
      <c r="W57" s="442">
        <f>(U57-T57)*24*60</f>
        <v>74.000000000000014</v>
      </c>
      <c r="X57" s="53"/>
      <c r="Y57" s="53"/>
      <c r="Z57" s="54"/>
      <c r="AA57" s="54"/>
      <c r="AB57" s="633"/>
      <c r="AC57" s="633"/>
      <c r="AD57" s="429"/>
      <c r="AE57" s="429"/>
      <c r="AF57" s="48">
        <f t="shared" si="6"/>
        <v>0</v>
      </c>
      <c r="AG57" s="432">
        <f t="shared" si="7"/>
        <v>0.99999999999999989</v>
      </c>
      <c r="AH57" s="659">
        <f>AG69</f>
        <v>0.98442967113894264</v>
      </c>
    </row>
    <row r="58" spans="1:34" ht="19.2" customHeight="1">
      <c r="A58" s="631"/>
      <c r="B58" s="97" t="s">
        <v>145</v>
      </c>
      <c r="C58" s="438"/>
      <c r="D58" s="42" t="s">
        <v>69</v>
      </c>
      <c r="E58" s="43"/>
      <c r="F58" s="361">
        <v>27.88</v>
      </c>
      <c r="G58" s="137">
        <v>2647</v>
      </c>
      <c r="H58" s="45">
        <f t="shared" si="37"/>
        <v>73798.36</v>
      </c>
      <c r="I58" s="431"/>
      <c r="J58" s="46">
        <v>7</v>
      </c>
      <c r="K58" s="44">
        <v>1500</v>
      </c>
      <c r="L58" s="86">
        <v>214.28571428571428</v>
      </c>
      <c r="M58" s="443">
        <v>7</v>
      </c>
      <c r="N58" s="44">
        <f t="shared" si="38"/>
        <v>1498.3018867924525</v>
      </c>
      <c r="O58" s="47">
        <f t="shared" si="39"/>
        <v>214.04312668463606</v>
      </c>
      <c r="P58" s="168">
        <f t="shared" si="40"/>
        <v>0</v>
      </c>
      <c r="Q58" s="49">
        <f t="shared" si="41"/>
        <v>-0.24258760107821331</v>
      </c>
      <c r="R58" s="433">
        <f t="shared" si="36"/>
        <v>0.99886792452830164</v>
      </c>
      <c r="S58" s="645"/>
      <c r="T58" s="169">
        <v>0.23541666666666666</v>
      </c>
      <c r="U58" s="169">
        <v>0.30902777777777779</v>
      </c>
      <c r="V58" s="431">
        <v>25</v>
      </c>
      <c r="W58" s="442">
        <f>(U58-T58)*24*60</f>
        <v>106.00000000000003</v>
      </c>
      <c r="X58" s="53">
        <v>0.22152777777777777</v>
      </c>
      <c r="Y58" s="53">
        <v>0.23472222222222219</v>
      </c>
      <c r="Z58" s="54"/>
      <c r="AA58" s="54"/>
      <c r="AB58" s="668"/>
      <c r="AC58" s="669"/>
      <c r="AD58" s="429"/>
      <c r="AE58" s="429">
        <v>1</v>
      </c>
      <c r="AF58" s="48">
        <f t="shared" si="6"/>
        <v>-1.6981132075475216</v>
      </c>
      <c r="AG58" s="433">
        <f t="shared" si="7"/>
        <v>0.99886792452830164</v>
      </c>
      <c r="AH58" s="645"/>
    </row>
    <row r="59" spans="1:34" ht="19.2" customHeight="1">
      <c r="A59" s="631"/>
      <c r="B59" s="97" t="s">
        <v>145</v>
      </c>
      <c r="C59" s="438"/>
      <c r="D59" s="42" t="s">
        <v>70</v>
      </c>
      <c r="E59" s="43"/>
      <c r="F59" s="361">
        <v>28</v>
      </c>
      <c r="G59" s="137">
        <v>2776</v>
      </c>
      <c r="H59" s="45">
        <f t="shared" si="37"/>
        <v>77728</v>
      </c>
      <c r="I59" s="431"/>
      <c r="J59" s="46">
        <v>7</v>
      </c>
      <c r="K59" s="44">
        <v>1500</v>
      </c>
      <c r="L59" s="86">
        <v>214.28571428571428</v>
      </c>
      <c r="M59" s="443">
        <v>7</v>
      </c>
      <c r="N59" s="44">
        <f t="shared" si="38"/>
        <v>1473.9823008849557</v>
      </c>
      <c r="O59" s="47">
        <f t="shared" si="39"/>
        <v>210.56890012642225</v>
      </c>
      <c r="P59" s="168">
        <f t="shared" si="40"/>
        <v>0</v>
      </c>
      <c r="Q59" s="49">
        <f t="shared" si="41"/>
        <v>-3.7168141592920279</v>
      </c>
      <c r="R59" s="433">
        <f t="shared" si="36"/>
        <v>0.9826548672566372</v>
      </c>
      <c r="S59" s="645"/>
      <c r="T59" s="169">
        <v>0.3263888888888889</v>
      </c>
      <c r="U59" s="169">
        <v>0.40486111111111112</v>
      </c>
      <c r="V59" s="145">
        <v>25</v>
      </c>
      <c r="W59" s="442">
        <f t="shared" ref="W59:W69" si="42">(U59-T59)*24*60</f>
        <v>113</v>
      </c>
      <c r="X59" s="53">
        <v>0.3125</v>
      </c>
      <c r="Y59" s="53">
        <v>0.32500000000000001</v>
      </c>
      <c r="Z59" s="54"/>
      <c r="AA59" s="54"/>
      <c r="AB59" s="633"/>
      <c r="AC59" s="633"/>
      <c r="AD59" s="429"/>
      <c r="AE59" s="429"/>
      <c r="AF59" s="48">
        <f t="shared" si="6"/>
        <v>-26.017699115044252</v>
      </c>
      <c r="AG59" s="433">
        <f t="shared" si="7"/>
        <v>0.9826548672566372</v>
      </c>
      <c r="AH59" s="645"/>
    </row>
    <row r="60" spans="1:34" ht="19.2" customHeight="1">
      <c r="A60" s="631"/>
      <c r="B60" s="97" t="s">
        <v>147</v>
      </c>
      <c r="C60" s="438"/>
      <c r="D60" s="42" t="s">
        <v>66</v>
      </c>
      <c r="E60" s="43"/>
      <c r="F60" s="361">
        <v>10.09</v>
      </c>
      <c r="G60" s="137">
        <v>2754.15</v>
      </c>
      <c r="H60" s="45">
        <f t="shared" si="37"/>
        <v>27789.373500000002</v>
      </c>
      <c r="I60" s="4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1449.5526315789473</v>
      </c>
      <c r="O60" s="47">
        <f t="shared" si="39"/>
        <v>241.59210526315789</v>
      </c>
      <c r="P60" s="168">
        <f t="shared" si="40"/>
        <v>0</v>
      </c>
      <c r="Q60" s="49">
        <f t="shared" si="41"/>
        <v>-8.4078947368421098</v>
      </c>
      <c r="R60" s="433">
        <f t="shared" si="36"/>
        <v>0.96636842105263154</v>
      </c>
      <c r="S60" s="645"/>
      <c r="T60" s="169">
        <v>0.42222222222222222</v>
      </c>
      <c r="U60" s="169">
        <v>0.50138888888888888</v>
      </c>
      <c r="V60" s="145">
        <v>25</v>
      </c>
      <c r="W60" s="442">
        <f t="shared" si="42"/>
        <v>114</v>
      </c>
      <c r="X60" s="53">
        <v>0.40833333333333338</v>
      </c>
      <c r="Y60" s="53">
        <v>0.42083333333333334</v>
      </c>
      <c r="Z60" s="54"/>
      <c r="AA60" s="54"/>
      <c r="AB60" s="633"/>
      <c r="AC60" s="633"/>
      <c r="AD60" s="429"/>
      <c r="AE60" s="429"/>
      <c r="AF60" s="48">
        <f t="shared" si="6"/>
        <v>-50.447368421052715</v>
      </c>
      <c r="AG60" s="432">
        <f t="shared" si="7"/>
        <v>0.96636842105263154</v>
      </c>
      <c r="AH60" s="645"/>
    </row>
    <row r="61" spans="1:34" ht="19.2" customHeight="1">
      <c r="A61" s="631"/>
      <c r="B61" s="97" t="s">
        <v>147</v>
      </c>
      <c r="C61" s="438"/>
      <c r="D61" s="42" t="s">
        <v>66</v>
      </c>
      <c r="E61" s="43"/>
      <c r="F61" s="361">
        <v>10.09</v>
      </c>
      <c r="G61" s="137">
        <v>3409.9</v>
      </c>
      <c r="H61" s="45">
        <f t="shared" si="37"/>
        <v>34405.891000000003</v>
      </c>
      <c r="I61" s="4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1461.3857142857146</v>
      </c>
      <c r="O61" s="47">
        <f t="shared" si="39"/>
        <v>243.56428571428577</v>
      </c>
      <c r="P61" s="168">
        <f t="shared" si="40"/>
        <v>0</v>
      </c>
      <c r="Q61" s="49">
        <f t="shared" si="41"/>
        <v>-6.4357142857142264</v>
      </c>
      <c r="R61" s="433">
        <f t="shared" si="36"/>
        <v>0.97425714285714304</v>
      </c>
      <c r="S61" s="645"/>
      <c r="T61" s="169">
        <v>0.51875000000000004</v>
      </c>
      <c r="U61" s="169">
        <v>0.61597222222222225</v>
      </c>
      <c r="V61" s="145">
        <v>25</v>
      </c>
      <c r="W61" s="442">
        <f t="shared" si="42"/>
        <v>139.99999999999997</v>
      </c>
      <c r="X61" s="53">
        <v>0.50486111111111109</v>
      </c>
      <c r="Y61" s="53">
        <v>0.51597222222222217</v>
      </c>
      <c r="Z61" s="54"/>
      <c r="AA61" s="54"/>
      <c r="AB61" s="633"/>
      <c r="AC61" s="633"/>
      <c r="AD61" s="429"/>
      <c r="AE61" s="429"/>
      <c r="AF61" s="48">
        <f t="shared" si="6"/>
        <v>-38.614285714285415</v>
      </c>
      <c r="AG61" s="433">
        <f t="shared" si="7"/>
        <v>0.97425714285714304</v>
      </c>
      <c r="AH61" s="645"/>
    </row>
    <row r="62" spans="1:34" ht="19.2" customHeight="1">
      <c r="A62" s="631"/>
      <c r="B62" s="97">
        <v>0</v>
      </c>
      <c r="C62" s="438"/>
      <c r="D62" s="42"/>
      <c r="E62" s="43"/>
      <c r="F62" s="361" t="s">
        <v>148</v>
      </c>
      <c r="G62" s="137"/>
      <c r="H62" s="45">
        <f t="shared" si="37"/>
        <v>0</v>
      </c>
      <c r="I62" s="431"/>
      <c r="J62" s="170"/>
      <c r="K62" s="61"/>
      <c r="L62" s="86"/>
      <c r="M62" s="62"/>
      <c r="N62" s="44"/>
      <c r="O62" s="47"/>
      <c r="P62" s="168"/>
      <c r="Q62" s="49"/>
      <c r="R62" s="433"/>
      <c r="S62" s="645"/>
      <c r="T62" s="169"/>
      <c r="U62" s="169"/>
      <c r="V62" s="145"/>
      <c r="W62" s="442">
        <f t="shared" si="42"/>
        <v>0</v>
      </c>
      <c r="X62" s="53"/>
      <c r="Y62" s="53"/>
      <c r="Z62" s="54"/>
      <c r="AA62" s="54"/>
      <c r="AB62" s="633"/>
      <c r="AC62" s="633"/>
      <c r="AD62" s="429"/>
      <c r="AE62" s="429"/>
      <c r="AF62" s="48">
        <f t="shared" si="6"/>
        <v>0</v>
      </c>
      <c r="AG62" s="433" t="e">
        <f t="shared" si="7"/>
        <v>#DIV/0!</v>
      </c>
      <c r="AH62" s="645"/>
    </row>
    <row r="63" spans="1:34" ht="19.2" customHeight="1">
      <c r="A63" s="631"/>
      <c r="B63" s="97">
        <v>0</v>
      </c>
      <c r="C63" s="438"/>
      <c r="D63" s="42"/>
      <c r="E63" s="43"/>
      <c r="F63" s="361" t="s">
        <v>148</v>
      </c>
      <c r="G63" s="137"/>
      <c r="H63" s="45">
        <f t="shared" si="37"/>
        <v>0</v>
      </c>
      <c r="I63" s="431"/>
      <c r="J63" s="46"/>
      <c r="K63" s="44"/>
      <c r="L63" s="86"/>
      <c r="M63" s="62"/>
      <c r="N63" s="44"/>
      <c r="O63" s="47"/>
      <c r="P63" s="168"/>
      <c r="Q63" s="49"/>
      <c r="R63" s="433"/>
      <c r="S63" s="645"/>
      <c r="T63" s="169"/>
      <c r="U63" s="169"/>
      <c r="V63" s="145"/>
      <c r="W63" s="442">
        <f t="shared" si="42"/>
        <v>0</v>
      </c>
      <c r="X63" s="53"/>
      <c r="Y63" s="53"/>
      <c r="Z63" s="54"/>
      <c r="AA63" s="54"/>
      <c r="AB63" s="633"/>
      <c r="AC63" s="633"/>
      <c r="AD63" s="429"/>
      <c r="AE63" s="429"/>
      <c r="AF63" s="48">
        <f t="shared" si="6"/>
        <v>0</v>
      </c>
      <c r="AG63" s="432" t="e">
        <f t="shared" si="7"/>
        <v>#DIV/0!</v>
      </c>
      <c r="AH63" s="645"/>
    </row>
    <row r="64" spans="1:34" ht="19.2" customHeight="1">
      <c r="A64" s="631"/>
      <c r="B64" s="97">
        <v>0</v>
      </c>
      <c r="C64" s="438"/>
      <c r="D64" s="42"/>
      <c r="E64" s="43"/>
      <c r="F64" s="361" t="s">
        <v>148</v>
      </c>
      <c r="G64" s="137"/>
      <c r="H64" s="45">
        <f t="shared" si="37"/>
        <v>0</v>
      </c>
      <c r="I64" s="431"/>
      <c r="J64" s="170"/>
      <c r="K64" s="61"/>
      <c r="L64" s="86"/>
      <c r="M64" s="62"/>
      <c r="N64" s="44"/>
      <c r="O64" s="47"/>
      <c r="P64" s="168"/>
      <c r="Q64" s="49"/>
      <c r="R64" s="433"/>
      <c r="S64" s="645"/>
      <c r="T64" s="169"/>
      <c r="U64" s="169"/>
      <c r="V64" s="145"/>
      <c r="W64" s="442">
        <f t="shared" si="42"/>
        <v>0</v>
      </c>
      <c r="X64" s="431"/>
      <c r="Y64" s="431"/>
      <c r="Z64" s="54"/>
      <c r="AA64" s="54"/>
      <c r="AB64" s="633"/>
      <c r="AC64" s="633"/>
      <c r="AD64" s="429"/>
      <c r="AE64" s="429"/>
      <c r="AF64" s="48">
        <f t="shared" si="6"/>
        <v>0</v>
      </c>
      <c r="AG64" s="433" t="e">
        <f t="shared" si="7"/>
        <v>#DIV/0!</v>
      </c>
      <c r="AH64" s="645"/>
    </row>
    <row r="65" spans="1:34" ht="19.2" customHeight="1">
      <c r="A65" s="631"/>
      <c r="B65" s="97">
        <v>0</v>
      </c>
      <c r="C65" s="438"/>
      <c r="D65" s="42"/>
      <c r="E65" s="43"/>
      <c r="F65" s="361" t="s">
        <v>148</v>
      </c>
      <c r="G65" s="137"/>
      <c r="H65" s="45">
        <f t="shared" si="37"/>
        <v>0</v>
      </c>
      <c r="I65" s="431"/>
      <c r="J65" s="170"/>
      <c r="K65" s="61"/>
      <c r="L65" s="86"/>
      <c r="M65" s="62"/>
      <c r="N65" s="61"/>
      <c r="O65" s="77"/>
      <c r="P65" s="48"/>
      <c r="Q65" s="49"/>
      <c r="R65" s="433"/>
      <c r="S65" s="645"/>
      <c r="T65" s="169"/>
      <c r="U65" s="169"/>
      <c r="V65" s="145"/>
      <c r="W65" s="442">
        <f t="shared" si="42"/>
        <v>0</v>
      </c>
      <c r="X65" s="431"/>
      <c r="Y65" s="431"/>
      <c r="Z65" s="54"/>
      <c r="AA65" s="54"/>
      <c r="AB65" s="633"/>
      <c r="AC65" s="633"/>
      <c r="AD65" s="429"/>
      <c r="AE65" s="429"/>
      <c r="AF65" s="48">
        <f t="shared" si="6"/>
        <v>0</v>
      </c>
      <c r="AG65" s="433" t="e">
        <f t="shared" si="7"/>
        <v>#DIV/0!</v>
      </c>
      <c r="AH65" s="645"/>
    </row>
    <row r="66" spans="1:34" ht="19.2" customHeight="1">
      <c r="A66" s="631"/>
      <c r="B66" s="97">
        <v>0</v>
      </c>
      <c r="C66" s="438"/>
      <c r="D66" s="42"/>
      <c r="E66" s="43"/>
      <c r="F66" s="361" t="s">
        <v>148</v>
      </c>
      <c r="G66" s="137"/>
      <c r="H66" s="45">
        <f t="shared" si="37"/>
        <v>0</v>
      </c>
      <c r="I66" s="431"/>
      <c r="J66" s="170"/>
      <c r="K66" s="61"/>
      <c r="L66" s="86"/>
      <c r="M66" s="62"/>
      <c r="N66" s="61"/>
      <c r="O66" s="77"/>
      <c r="P66" s="48"/>
      <c r="Q66" s="49"/>
      <c r="R66" s="433"/>
      <c r="S66" s="645"/>
      <c r="T66" s="169"/>
      <c r="U66" s="169"/>
      <c r="V66" s="145"/>
      <c r="W66" s="442">
        <f t="shared" si="42"/>
        <v>0</v>
      </c>
      <c r="X66" s="431"/>
      <c r="Y66" s="431"/>
      <c r="Z66" s="54"/>
      <c r="AA66" s="54"/>
      <c r="AB66" s="633"/>
      <c r="AC66" s="633"/>
      <c r="AD66" s="429"/>
      <c r="AE66" s="429"/>
      <c r="AF66" s="48">
        <f t="shared" si="6"/>
        <v>0</v>
      </c>
      <c r="AG66" s="432" t="e">
        <f t="shared" si="7"/>
        <v>#DIV/0!</v>
      </c>
      <c r="AH66" s="645"/>
    </row>
    <row r="67" spans="1:34" ht="19.2" customHeight="1">
      <c r="A67" s="631"/>
      <c r="B67" s="97">
        <v>0</v>
      </c>
      <c r="C67" s="438"/>
      <c r="D67" s="42"/>
      <c r="E67" s="43"/>
      <c r="F67" s="361" t="s">
        <v>148</v>
      </c>
      <c r="G67" s="137"/>
      <c r="H67" s="45">
        <f>F67*G67</f>
        <v>0</v>
      </c>
      <c r="I67" s="431"/>
      <c r="J67" s="170"/>
      <c r="K67" s="61"/>
      <c r="L67" s="86"/>
      <c r="M67" s="62"/>
      <c r="N67" s="61"/>
      <c r="O67" s="77"/>
      <c r="P67" s="48"/>
      <c r="Q67" s="49"/>
      <c r="R67" s="433"/>
      <c r="S67" s="645"/>
      <c r="T67" s="169"/>
      <c r="U67" s="169"/>
      <c r="V67" s="145"/>
      <c r="W67" s="442">
        <f t="shared" si="42"/>
        <v>0</v>
      </c>
      <c r="X67" s="431"/>
      <c r="Y67" s="431"/>
      <c r="Z67" s="54"/>
      <c r="AA67" s="54"/>
      <c r="AB67" s="633"/>
      <c r="AC67" s="633"/>
      <c r="AD67" s="429"/>
      <c r="AE67" s="429"/>
      <c r="AF67" s="48">
        <f t="shared" si="6"/>
        <v>0</v>
      </c>
      <c r="AG67" s="433" t="e">
        <f t="shared" si="7"/>
        <v>#DIV/0!</v>
      </c>
      <c r="AH67" s="645"/>
    </row>
    <row r="68" spans="1:34" ht="19.2" customHeight="1">
      <c r="A68" s="631"/>
      <c r="B68" s="431">
        <v>0</v>
      </c>
      <c r="C68" s="438"/>
      <c r="D68" s="42"/>
      <c r="E68" s="43"/>
      <c r="F68" s="368" t="s">
        <v>148</v>
      </c>
      <c r="G68" s="137"/>
      <c r="H68" s="45">
        <f>F68*G68</f>
        <v>0</v>
      </c>
      <c r="I68" s="431"/>
      <c r="J68" s="170"/>
      <c r="K68" s="61"/>
      <c r="L68" s="86"/>
      <c r="M68" s="62"/>
      <c r="N68" s="61"/>
      <c r="O68" s="77"/>
      <c r="P68" s="48"/>
      <c r="Q68" s="49"/>
      <c r="R68" s="433"/>
      <c r="S68" s="645"/>
      <c r="T68" s="169"/>
      <c r="U68" s="169"/>
      <c r="V68" s="145"/>
      <c r="W68" s="442">
        <f t="shared" si="42"/>
        <v>0</v>
      </c>
      <c r="X68" s="431"/>
      <c r="Y68" s="431"/>
      <c r="Z68" s="54"/>
      <c r="AA68" s="54"/>
      <c r="AB68" s="633"/>
      <c r="AC68" s="633"/>
      <c r="AD68" s="429"/>
      <c r="AE68" s="429"/>
      <c r="AF68" s="48"/>
      <c r="AG68" s="433"/>
      <c r="AH68" s="645"/>
    </row>
    <row r="69" spans="1:34" ht="19.2" customHeight="1">
      <c r="A69" s="631"/>
      <c r="B69" s="171">
        <v>0</v>
      </c>
      <c r="C69" s="6" t="s">
        <v>301</v>
      </c>
      <c r="D69" s="660" t="s">
        <v>293</v>
      </c>
      <c r="E69" s="660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1476.6445067084139</v>
      </c>
      <c r="O69" s="73">
        <f t="shared" si="43"/>
        <v>224.81082641484323</v>
      </c>
      <c r="P69" s="48">
        <f>M69-J69</f>
        <v>0</v>
      </c>
      <c r="Q69" s="49">
        <f>N69-K69</f>
        <v>-23.355493291586072</v>
      </c>
      <c r="R69" s="175">
        <f t="shared" ref="R69:R76" si="44">O69/L69</f>
        <v>0.98354736556493905</v>
      </c>
      <c r="S69" s="645"/>
      <c r="T69" s="144"/>
      <c r="U69" s="144"/>
      <c r="V69" s="44"/>
      <c r="W69" s="44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33"/>
      <c r="AC69" s="633"/>
      <c r="AD69" s="107">
        <f>SUM(AD57:AD68)</f>
        <v>0</v>
      </c>
      <c r="AE69" s="107">
        <f>SUM(AE57:AE68)</f>
        <v>1</v>
      </c>
      <c r="AF69" s="48">
        <f t="shared" si="6"/>
        <v>-23.355493291586072</v>
      </c>
      <c r="AG69" s="433">
        <f t="shared" si="7"/>
        <v>0.98442967113894264</v>
      </c>
      <c r="AH69" s="645"/>
    </row>
    <row r="70" spans="1:34" ht="19.2" customHeight="1">
      <c r="A70" s="641" t="s">
        <v>302</v>
      </c>
      <c r="B70" s="431" t="s">
        <v>144</v>
      </c>
      <c r="C70" s="97"/>
      <c r="D70" s="42" t="s">
        <v>71</v>
      </c>
      <c r="E70" s="43"/>
      <c r="F70" s="361">
        <v>62.13</v>
      </c>
      <c r="G70" s="57">
        <v>302</v>
      </c>
      <c r="H70" s="45">
        <f>F70*G70</f>
        <v>18763.260000000002</v>
      </c>
      <c r="I70" s="431"/>
      <c r="J70" s="46">
        <v>14</v>
      </c>
      <c r="K70" s="44">
        <v>1500</v>
      </c>
      <c r="L70" s="47">
        <v>107.14285714285714</v>
      </c>
      <c r="M70" s="443">
        <v>14</v>
      </c>
      <c r="N70" s="44">
        <f t="shared" ref="N70:N76" si="45">G70/W70*60</f>
        <v>1207.9999999999977</v>
      </c>
      <c r="O70" s="47">
        <f t="shared" ref="O70:O76" si="46">N70/M70</f>
        <v>86.285714285714121</v>
      </c>
      <c r="P70" s="48">
        <f t="shared" ref="P70:P76" si="47">M70-J70</f>
        <v>0</v>
      </c>
      <c r="Q70" s="49">
        <f t="shared" ref="Q70:Q76" si="48">O70-L70</f>
        <v>-20.857142857143018</v>
      </c>
      <c r="R70" s="433">
        <f t="shared" si="44"/>
        <v>0.80533333333333179</v>
      </c>
      <c r="S70" s="645">
        <f>R82</f>
        <v>0.89621941833424601</v>
      </c>
      <c r="T70" s="50">
        <v>0.25</v>
      </c>
      <c r="U70" s="50">
        <v>0.26041666666666669</v>
      </c>
      <c r="V70" s="431">
        <v>5</v>
      </c>
      <c r="W70" s="442">
        <f>(U70-T70)*24*60</f>
        <v>15.000000000000027</v>
      </c>
      <c r="X70" s="431"/>
      <c r="Y70" s="431"/>
      <c r="Z70" s="54"/>
      <c r="AA70" s="54"/>
      <c r="AB70" s="633"/>
      <c r="AC70" s="633"/>
      <c r="AD70" s="429"/>
      <c r="AE70" s="429"/>
      <c r="AF70" s="48">
        <f t="shared" si="6"/>
        <v>-292.00000000000227</v>
      </c>
      <c r="AG70" s="433">
        <f t="shared" si="7"/>
        <v>0.80533333333333179</v>
      </c>
      <c r="AH70" s="645">
        <f>AG82</f>
        <v>0.91468936353851715</v>
      </c>
    </row>
    <row r="71" spans="1:34" ht="19.2" customHeight="1">
      <c r="A71" s="641"/>
      <c r="B71" s="431" t="s">
        <v>143</v>
      </c>
      <c r="C71" s="41"/>
      <c r="D71" s="176" t="s">
        <v>72</v>
      </c>
      <c r="E71" s="43"/>
      <c r="F71" s="361">
        <v>47.65</v>
      </c>
      <c r="G71" s="44">
        <v>1596</v>
      </c>
      <c r="H71" s="45">
        <f>F71*G71</f>
        <v>76049.399999999994</v>
      </c>
      <c r="I71" s="431"/>
      <c r="J71" s="46">
        <v>18</v>
      </c>
      <c r="K71" s="177">
        <v>1440</v>
      </c>
      <c r="L71" s="47">
        <v>80</v>
      </c>
      <c r="M71" s="440">
        <v>18</v>
      </c>
      <c r="N71" s="44">
        <f t="shared" si="45"/>
        <v>1348.7323943661975</v>
      </c>
      <c r="O71" s="47">
        <f t="shared" si="46"/>
        <v>74.92957746478875</v>
      </c>
      <c r="P71" s="48">
        <f t="shared" si="47"/>
        <v>0</v>
      </c>
      <c r="Q71" s="49">
        <f t="shared" si="48"/>
        <v>-5.0704225352112502</v>
      </c>
      <c r="R71" s="433">
        <f t="shared" si="44"/>
        <v>0.93661971830985935</v>
      </c>
      <c r="S71" s="645"/>
      <c r="T71" s="50">
        <v>0.26527777777777778</v>
      </c>
      <c r="U71" s="50">
        <v>0.31458333333333333</v>
      </c>
      <c r="V71" s="431">
        <v>7</v>
      </c>
      <c r="W71" s="442">
        <f t="shared" ref="W71:W81" si="49">(U71-T71)*24*60</f>
        <v>70.999999999999986</v>
      </c>
      <c r="X71" s="53"/>
      <c r="Y71" s="53"/>
      <c r="Z71" s="54"/>
      <c r="AA71" s="54"/>
      <c r="AB71" s="633"/>
      <c r="AC71" s="633"/>
      <c r="AD71" s="429"/>
      <c r="AE71" s="429"/>
      <c r="AF71" s="48">
        <f>N71-K71</f>
        <v>-91.267605633802532</v>
      </c>
      <c r="AG71" s="433">
        <f>N71/K71</f>
        <v>0.93661971830985935</v>
      </c>
      <c r="AH71" s="645"/>
    </row>
    <row r="72" spans="1:34" ht="19.2" customHeight="1">
      <c r="A72" s="641"/>
      <c r="B72" s="431" t="s">
        <v>147</v>
      </c>
      <c r="C72" s="66"/>
      <c r="D72" s="176" t="s">
        <v>161</v>
      </c>
      <c r="E72" s="43"/>
      <c r="F72" s="361">
        <v>56.85</v>
      </c>
      <c r="G72" s="44">
        <v>1502</v>
      </c>
      <c r="H72" s="45">
        <f t="shared" ref="H72:H80" si="50">F72*G72</f>
        <v>85388.7</v>
      </c>
      <c r="I72" s="431"/>
      <c r="J72" s="87">
        <v>18</v>
      </c>
      <c r="K72" s="57">
        <v>1636</v>
      </c>
      <c r="L72" s="86">
        <v>90.888888888888886</v>
      </c>
      <c r="M72" s="443">
        <v>18</v>
      </c>
      <c r="N72" s="44">
        <f t="shared" si="45"/>
        <v>1430.4761904761901</v>
      </c>
      <c r="O72" s="47">
        <f t="shared" si="46"/>
        <v>79.470899470899454</v>
      </c>
      <c r="P72" s="48">
        <f t="shared" si="47"/>
        <v>0</v>
      </c>
      <c r="Q72" s="49">
        <f t="shared" si="48"/>
        <v>-11.417989417989432</v>
      </c>
      <c r="R72" s="433">
        <f t="shared" si="44"/>
        <v>0.87437419955757345</v>
      </c>
      <c r="S72" s="645"/>
      <c r="T72" s="50">
        <v>0.3298611111111111</v>
      </c>
      <c r="U72" s="50">
        <v>0.37361111111111112</v>
      </c>
      <c r="V72" s="431">
        <v>22</v>
      </c>
      <c r="W72" s="442">
        <f t="shared" si="49"/>
        <v>63.000000000000014</v>
      </c>
      <c r="X72" s="53">
        <v>0.31805555555555554</v>
      </c>
      <c r="Y72" s="53">
        <v>0.32847222222222222</v>
      </c>
      <c r="Z72" s="54"/>
      <c r="AA72" s="54"/>
      <c r="AB72" s="633"/>
      <c r="AC72" s="633"/>
      <c r="AD72" s="429"/>
      <c r="AE72" s="429"/>
      <c r="AF72" s="48">
        <f>N72-K72</f>
        <v>-205.52380952380986</v>
      </c>
      <c r="AG72" s="433">
        <f>N72/K72</f>
        <v>0.87437419955757345</v>
      </c>
      <c r="AH72" s="645"/>
    </row>
    <row r="73" spans="1:34" ht="19.2" customHeight="1">
      <c r="A73" s="641"/>
      <c r="B73" s="431" t="s">
        <v>143</v>
      </c>
      <c r="C73" s="178"/>
      <c r="D73" s="179" t="s">
        <v>248</v>
      </c>
      <c r="E73" s="180"/>
      <c r="F73" s="361">
        <v>61.02</v>
      </c>
      <c r="G73" s="44">
        <v>2270</v>
      </c>
      <c r="H73" s="45">
        <f t="shared" si="50"/>
        <v>138515.4</v>
      </c>
      <c r="I73" s="429"/>
      <c r="J73" s="181">
        <v>15</v>
      </c>
      <c r="K73" s="182">
        <v>1440</v>
      </c>
      <c r="L73" s="86">
        <v>96</v>
      </c>
      <c r="M73" s="440">
        <v>16</v>
      </c>
      <c r="N73" s="44">
        <f t="shared" si="45"/>
        <v>1418.7500000000005</v>
      </c>
      <c r="O73" s="47">
        <f t="shared" si="46"/>
        <v>88.671875000000028</v>
      </c>
      <c r="P73" s="48">
        <f t="shared" si="47"/>
        <v>1</v>
      </c>
      <c r="Q73" s="49">
        <f t="shared" si="48"/>
        <v>-7.3281249999999716</v>
      </c>
      <c r="R73" s="433">
        <f t="shared" si="44"/>
        <v>0.92366536458333359</v>
      </c>
      <c r="S73" s="645"/>
      <c r="T73" s="50">
        <v>0.37916666666666665</v>
      </c>
      <c r="U73" s="50">
        <v>0.4458333333333333</v>
      </c>
      <c r="V73" s="431">
        <v>8</v>
      </c>
      <c r="W73" s="442">
        <f t="shared" si="49"/>
        <v>95.999999999999972</v>
      </c>
      <c r="X73" s="183"/>
      <c r="Y73" s="183"/>
      <c r="Z73" s="125"/>
      <c r="AA73" s="125"/>
      <c r="AB73" s="633"/>
      <c r="AC73" s="633"/>
      <c r="AD73" s="429"/>
      <c r="AE73" s="429"/>
      <c r="AF73" s="48">
        <f>N73-K73</f>
        <v>-21.249999999999545</v>
      </c>
      <c r="AG73" s="433">
        <f>N73/K73</f>
        <v>0.98524305555555591</v>
      </c>
      <c r="AH73" s="645"/>
    </row>
    <row r="74" spans="1:34" ht="19.2" customHeight="1">
      <c r="A74" s="641"/>
      <c r="B74" s="431" t="s">
        <v>143</v>
      </c>
      <c r="C74" s="178"/>
      <c r="D74" s="179" t="s">
        <v>74</v>
      </c>
      <c r="E74" s="180"/>
      <c r="F74" s="361">
        <v>53.76</v>
      </c>
      <c r="G74" s="44">
        <v>1281</v>
      </c>
      <c r="H74" s="45">
        <f t="shared" si="50"/>
        <v>68866.559999999998</v>
      </c>
      <c r="I74" s="431"/>
      <c r="J74" s="46">
        <v>16</v>
      </c>
      <c r="K74" s="177">
        <v>1440</v>
      </c>
      <c r="L74" s="47">
        <v>90</v>
      </c>
      <c r="M74" s="443">
        <v>16</v>
      </c>
      <c r="N74" s="44">
        <f t="shared" si="45"/>
        <v>1348.4210526315799</v>
      </c>
      <c r="O74" s="47">
        <f t="shared" si="46"/>
        <v>84.276315789473742</v>
      </c>
      <c r="P74" s="48">
        <f t="shared" si="47"/>
        <v>0</v>
      </c>
      <c r="Q74" s="49">
        <f t="shared" si="48"/>
        <v>-5.7236842105262582</v>
      </c>
      <c r="R74" s="433">
        <f t="shared" si="44"/>
        <v>0.93640350877193046</v>
      </c>
      <c r="S74" s="645"/>
      <c r="T74" s="50">
        <v>0.44999999999999996</v>
      </c>
      <c r="U74" s="50">
        <v>0.48958333333333326</v>
      </c>
      <c r="V74" s="431">
        <v>6</v>
      </c>
      <c r="W74" s="442">
        <f t="shared" si="49"/>
        <v>56.999999999999957</v>
      </c>
      <c r="X74" s="183"/>
      <c r="Y74" s="183"/>
      <c r="Z74" s="125"/>
      <c r="AA74" s="125"/>
      <c r="AB74" s="633"/>
      <c r="AC74" s="633"/>
      <c r="AD74" s="429"/>
      <c r="AE74" s="429"/>
      <c r="AF74" s="48">
        <f t="shared" ref="AF74:AF80" si="51">N74-K74</f>
        <v>-91.578947368420131</v>
      </c>
      <c r="AG74" s="433">
        <f t="shared" ref="AG74:AG80" si="52">N74/K74</f>
        <v>0.93640350877193046</v>
      </c>
      <c r="AH74" s="645"/>
    </row>
    <row r="75" spans="1:34" ht="19.2" customHeight="1">
      <c r="A75" s="641"/>
      <c r="B75" s="431" t="s">
        <v>143</v>
      </c>
      <c r="C75" s="66"/>
      <c r="D75" s="176" t="s">
        <v>75</v>
      </c>
      <c r="E75" s="43"/>
      <c r="F75" s="361">
        <v>47.51</v>
      </c>
      <c r="G75" s="57">
        <v>1892</v>
      </c>
      <c r="H75" s="45">
        <f t="shared" si="50"/>
        <v>89888.92</v>
      </c>
      <c r="I75" s="431"/>
      <c r="J75" s="87">
        <v>17</v>
      </c>
      <c r="K75" s="57">
        <v>1440</v>
      </c>
      <c r="L75" s="86">
        <v>84.705882352941174</v>
      </c>
      <c r="M75" s="443">
        <v>17</v>
      </c>
      <c r="N75" s="44">
        <f t="shared" si="45"/>
        <v>1351.4285714285709</v>
      </c>
      <c r="O75" s="47">
        <f t="shared" si="46"/>
        <v>79.495798319327704</v>
      </c>
      <c r="P75" s="48">
        <f t="shared" si="47"/>
        <v>0</v>
      </c>
      <c r="Q75" s="49">
        <f t="shared" si="48"/>
        <v>-5.2100840336134695</v>
      </c>
      <c r="R75" s="433">
        <f t="shared" si="44"/>
        <v>0.93849206349206316</v>
      </c>
      <c r="S75" s="645"/>
      <c r="T75" s="50">
        <v>0.53055555555555545</v>
      </c>
      <c r="U75" s="50">
        <v>0.5888888888888888</v>
      </c>
      <c r="V75" s="431">
        <v>6</v>
      </c>
      <c r="W75" s="442">
        <f t="shared" si="49"/>
        <v>84.000000000000028</v>
      </c>
      <c r="X75" s="183"/>
      <c r="Y75" s="183"/>
      <c r="Z75" s="125"/>
      <c r="AA75" s="125"/>
      <c r="AB75" s="633"/>
      <c r="AC75" s="633"/>
      <c r="AD75" s="429"/>
      <c r="AE75" s="429"/>
      <c r="AF75" s="48">
        <f t="shared" si="51"/>
        <v>-88.571428571429124</v>
      </c>
      <c r="AG75" s="433">
        <f t="shared" si="52"/>
        <v>0.93849206349206316</v>
      </c>
      <c r="AH75" s="645"/>
    </row>
    <row r="76" spans="1:34" ht="19.2" customHeight="1">
      <c r="A76" s="641"/>
      <c r="B76" s="431" t="s">
        <v>143</v>
      </c>
      <c r="C76" s="178"/>
      <c r="D76" s="179" t="s">
        <v>74</v>
      </c>
      <c r="E76" s="180"/>
      <c r="F76" s="361">
        <v>53.76</v>
      </c>
      <c r="G76" s="177">
        <v>854</v>
      </c>
      <c r="H76" s="45">
        <f t="shared" si="50"/>
        <v>45911.040000000001</v>
      </c>
      <c r="I76" s="431">
        <v>1</v>
      </c>
      <c r="J76" s="181">
        <v>16</v>
      </c>
      <c r="K76" s="182">
        <v>1440</v>
      </c>
      <c r="L76" s="86">
        <v>90</v>
      </c>
      <c r="M76" s="440">
        <v>17</v>
      </c>
      <c r="N76" s="44">
        <f t="shared" si="45"/>
        <v>1348.4210526315778</v>
      </c>
      <c r="O76" s="47">
        <f t="shared" si="46"/>
        <v>79.318885448916348</v>
      </c>
      <c r="P76" s="48">
        <f t="shared" si="47"/>
        <v>1</v>
      </c>
      <c r="Q76" s="49">
        <f t="shared" si="48"/>
        <v>-10.681114551083652</v>
      </c>
      <c r="R76" s="433">
        <f t="shared" si="44"/>
        <v>0.88132094943240391</v>
      </c>
      <c r="S76" s="645"/>
      <c r="T76" s="50">
        <v>0.59444444444444433</v>
      </c>
      <c r="U76" s="50">
        <v>0.62083333333333324</v>
      </c>
      <c r="V76" s="431">
        <v>8</v>
      </c>
      <c r="W76" s="442">
        <f t="shared" si="49"/>
        <v>38.000000000000028</v>
      </c>
      <c r="X76" s="183"/>
      <c r="Y76" s="183"/>
      <c r="Z76" s="125"/>
      <c r="AA76" s="125"/>
      <c r="AB76" s="633"/>
      <c r="AC76" s="633"/>
      <c r="AD76" s="429"/>
      <c r="AE76" s="429"/>
      <c r="AF76" s="48">
        <f t="shared" si="51"/>
        <v>-91.578947368422178</v>
      </c>
      <c r="AG76" s="433">
        <f t="shared" si="52"/>
        <v>0.93640350877192902</v>
      </c>
      <c r="AH76" s="645"/>
    </row>
    <row r="77" spans="1:34" ht="19.2" customHeight="1">
      <c r="A77" s="641"/>
      <c r="B77" s="431">
        <v>0</v>
      </c>
      <c r="C77" s="438"/>
      <c r="D77" s="42"/>
      <c r="E77" s="43"/>
      <c r="F77" s="361" t="s">
        <v>148</v>
      </c>
      <c r="G77" s="177"/>
      <c r="H77" s="45">
        <f t="shared" si="50"/>
        <v>0</v>
      </c>
      <c r="I77" s="429"/>
      <c r="J77" s="87"/>
      <c r="K77" s="57"/>
      <c r="L77" s="86"/>
      <c r="M77" s="440"/>
      <c r="N77" s="44"/>
      <c r="O77" s="47"/>
      <c r="P77" s="48"/>
      <c r="Q77" s="49"/>
      <c r="R77" s="433"/>
      <c r="S77" s="645"/>
      <c r="T77" s="50"/>
      <c r="U77" s="50"/>
      <c r="V77" s="431"/>
      <c r="W77" s="442">
        <f t="shared" si="49"/>
        <v>0</v>
      </c>
      <c r="X77" s="183"/>
      <c r="Y77" s="183"/>
      <c r="Z77" s="125"/>
      <c r="AA77" s="125"/>
      <c r="AB77" s="633"/>
      <c r="AC77" s="633"/>
      <c r="AD77" s="429"/>
      <c r="AE77" s="429"/>
      <c r="AF77" s="48">
        <f t="shared" si="51"/>
        <v>0</v>
      </c>
      <c r="AG77" s="433" t="e">
        <f t="shared" si="52"/>
        <v>#DIV/0!</v>
      </c>
      <c r="AH77" s="645"/>
    </row>
    <row r="78" spans="1:34" ht="19.2" customHeight="1">
      <c r="A78" s="641"/>
      <c r="B78" s="431">
        <v>0</v>
      </c>
      <c r="C78" s="438"/>
      <c r="D78" s="42"/>
      <c r="E78" s="43"/>
      <c r="F78" s="361" t="s">
        <v>148</v>
      </c>
      <c r="G78" s="57"/>
      <c r="H78" s="45">
        <f t="shared" si="50"/>
        <v>0</v>
      </c>
      <c r="I78" s="429"/>
      <c r="J78" s="87"/>
      <c r="K78" s="57"/>
      <c r="L78" s="86"/>
      <c r="M78" s="440"/>
      <c r="N78" s="44"/>
      <c r="O78" s="47"/>
      <c r="P78" s="48"/>
      <c r="Q78" s="49"/>
      <c r="R78" s="433"/>
      <c r="S78" s="645"/>
      <c r="T78" s="50"/>
      <c r="U78" s="50"/>
      <c r="V78" s="431"/>
      <c r="W78" s="442">
        <f t="shared" si="49"/>
        <v>0</v>
      </c>
      <c r="X78" s="183"/>
      <c r="Y78" s="183"/>
      <c r="Z78" s="125"/>
      <c r="AA78" s="125"/>
      <c r="AB78" s="633"/>
      <c r="AC78" s="633"/>
      <c r="AD78" s="429"/>
      <c r="AE78" s="429"/>
      <c r="AF78" s="48">
        <f t="shared" si="51"/>
        <v>0</v>
      </c>
      <c r="AG78" s="433" t="e">
        <f t="shared" si="52"/>
        <v>#DIV/0!</v>
      </c>
      <c r="AH78" s="645"/>
    </row>
    <row r="79" spans="1:34" ht="19.2" customHeight="1">
      <c r="A79" s="641"/>
      <c r="B79" s="431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429"/>
      <c r="J79" s="87"/>
      <c r="K79" s="57"/>
      <c r="L79" s="86"/>
      <c r="M79" s="440"/>
      <c r="N79" s="57"/>
      <c r="O79" s="184"/>
      <c r="P79" s="108"/>
      <c r="Q79" s="185"/>
      <c r="R79" s="109"/>
      <c r="S79" s="645"/>
      <c r="T79" s="50"/>
      <c r="U79" s="50"/>
      <c r="V79" s="431"/>
      <c r="W79" s="442">
        <f t="shared" si="49"/>
        <v>0</v>
      </c>
      <c r="X79" s="183"/>
      <c r="Y79" s="183"/>
      <c r="Z79" s="125"/>
      <c r="AA79" s="125"/>
      <c r="AB79" s="633"/>
      <c r="AC79" s="633"/>
      <c r="AD79" s="429"/>
      <c r="AE79" s="429"/>
      <c r="AF79" s="48">
        <f t="shared" si="51"/>
        <v>0</v>
      </c>
      <c r="AG79" s="433" t="e">
        <f t="shared" si="52"/>
        <v>#DIV/0!</v>
      </c>
      <c r="AH79" s="645"/>
    </row>
    <row r="80" spans="1:34" ht="19.2" customHeight="1">
      <c r="A80" s="641"/>
      <c r="B80" s="431">
        <v>0</v>
      </c>
      <c r="C80" s="438"/>
      <c r="D80" s="42"/>
      <c r="E80" s="43"/>
      <c r="F80" s="361"/>
      <c r="G80" s="57"/>
      <c r="H80" s="45">
        <f t="shared" si="50"/>
        <v>0</v>
      </c>
      <c r="I80" s="429"/>
      <c r="J80" s="87"/>
      <c r="K80" s="57"/>
      <c r="L80" s="86"/>
      <c r="M80" s="440"/>
      <c r="N80" s="57"/>
      <c r="O80" s="186"/>
      <c r="P80" s="54"/>
      <c r="Q80" s="88"/>
      <c r="R80" s="435"/>
      <c r="S80" s="645"/>
      <c r="T80" s="50"/>
      <c r="U80" s="50"/>
      <c r="V80" s="431"/>
      <c r="W80" s="442">
        <f t="shared" si="49"/>
        <v>0</v>
      </c>
      <c r="X80" s="183"/>
      <c r="Y80" s="183"/>
      <c r="Z80" s="125"/>
      <c r="AA80" s="125"/>
      <c r="AB80" s="633"/>
      <c r="AC80" s="633"/>
      <c r="AD80" s="429"/>
      <c r="AE80" s="429"/>
      <c r="AF80" s="48">
        <f t="shared" si="51"/>
        <v>0</v>
      </c>
      <c r="AG80" s="433" t="e">
        <f t="shared" si="52"/>
        <v>#DIV/0!</v>
      </c>
      <c r="AH80" s="645"/>
    </row>
    <row r="81" spans="1:34" ht="19.2" customHeight="1">
      <c r="A81" s="641"/>
      <c r="B81" s="431">
        <v>0</v>
      </c>
      <c r="C81" s="438"/>
      <c r="D81" s="42"/>
      <c r="E81" s="43"/>
      <c r="F81" s="368"/>
      <c r="G81" s="57"/>
      <c r="H81" s="84"/>
      <c r="I81" s="429"/>
      <c r="J81" s="87"/>
      <c r="K81" s="57"/>
      <c r="L81" s="86"/>
      <c r="M81" s="440"/>
      <c r="N81" s="57"/>
      <c r="O81" s="186"/>
      <c r="P81" s="54"/>
      <c r="Q81" s="88"/>
      <c r="R81" s="435"/>
      <c r="S81" s="645"/>
      <c r="T81" s="50"/>
      <c r="U81" s="50"/>
      <c r="V81" s="431"/>
      <c r="W81" s="442">
        <f t="shared" si="49"/>
        <v>0</v>
      </c>
      <c r="X81" s="183"/>
      <c r="Y81" s="183"/>
      <c r="Z81" s="125"/>
      <c r="AA81" s="125"/>
      <c r="AB81" s="633"/>
      <c r="AC81" s="633"/>
      <c r="AD81" s="429"/>
      <c r="AE81" s="429"/>
      <c r="AF81" s="48"/>
      <c r="AG81" s="126"/>
      <c r="AH81" s="645"/>
    </row>
    <row r="82" spans="1:34" ht="19.2" customHeight="1">
      <c r="A82" s="671"/>
      <c r="B82" s="171">
        <v>0</v>
      </c>
      <c r="C82" s="100" t="s">
        <v>303</v>
      </c>
      <c r="D82" s="660" t="s">
        <v>293</v>
      </c>
      <c r="E82" s="660"/>
      <c r="F82" s="371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M82:O82" si="53">AVERAGE(M70:M81)</f>
        <v>16.571428571428573</v>
      </c>
      <c r="N82" s="101">
        <f t="shared" si="53"/>
        <v>1350.6041802191592</v>
      </c>
      <c r="O82" s="187">
        <f t="shared" si="53"/>
        <v>81.778437968445743</v>
      </c>
      <c r="P82" s="117">
        <f>M82-J82</f>
        <v>0.28571428571428825</v>
      </c>
      <c r="Q82" s="118">
        <f>N82-K82</f>
        <v>-125.96724835226951</v>
      </c>
      <c r="R82" s="175">
        <f>O82/L82</f>
        <v>0.89621941833424601</v>
      </c>
      <c r="S82" s="645"/>
      <c r="T82" s="50"/>
      <c r="U82" s="50"/>
      <c r="V82" s="431"/>
      <c r="W82" s="44"/>
      <c r="X82" s="47"/>
      <c r="Y82" s="47"/>
      <c r="Z82" s="106">
        <f>SUM(Z70:Z81)</f>
        <v>0</v>
      </c>
      <c r="AA82" s="106">
        <f>SUM(AA70:AA81)</f>
        <v>0</v>
      </c>
      <c r="AB82" s="633"/>
      <c r="AC82" s="633"/>
      <c r="AD82" s="107">
        <f>SUM(AD70:AD81)</f>
        <v>0</v>
      </c>
      <c r="AE82" s="107">
        <f>SUM(AE70:AE81)</f>
        <v>0</v>
      </c>
      <c r="AF82" s="48">
        <f>N82-K82</f>
        <v>-125.96724835226951</v>
      </c>
      <c r="AG82" s="433">
        <f>N82/K82</f>
        <v>0.91468936353851715</v>
      </c>
      <c r="AH82" s="645"/>
    </row>
    <row r="83" spans="1:34" ht="19.2" customHeight="1">
      <c r="A83" s="672" t="s">
        <v>304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1489</v>
      </c>
      <c r="H83" s="84">
        <f t="shared" ref="H83:H94" si="54">F83*G83</f>
        <v>64235.46</v>
      </c>
      <c r="I83" s="429"/>
      <c r="J83" s="87">
        <v>16</v>
      </c>
      <c r="K83" s="57">
        <v>1440</v>
      </c>
      <c r="L83" s="86">
        <v>90</v>
      </c>
      <c r="M83" s="440">
        <v>16</v>
      </c>
      <c r="N83" s="57">
        <f t="shared" ref="N83:N87" si="55">G83/W83*60</f>
        <v>1374.4615384615381</v>
      </c>
      <c r="O83" s="186">
        <f t="shared" ref="O83:O87" si="56">N83/M83</f>
        <v>85.903846153846132</v>
      </c>
      <c r="P83" s="54">
        <f t="shared" ref="P83:P87" si="57">M83-J83</f>
        <v>0</v>
      </c>
      <c r="Q83" s="88">
        <f t="shared" ref="Q83:Q87" si="58">O83-L83</f>
        <v>-4.096153846153868</v>
      </c>
      <c r="R83" s="188">
        <f t="shared" ref="R83:R87" si="59">O83/L83</f>
        <v>0.9544871794871792</v>
      </c>
      <c r="S83" s="645">
        <f>R95</f>
        <v>0.91729854666661736</v>
      </c>
      <c r="T83" s="50">
        <v>0.33333333333333331</v>
      </c>
      <c r="U83" s="50">
        <v>0.37847222222222221</v>
      </c>
      <c r="V83" s="431">
        <v>5</v>
      </c>
      <c r="W83" s="442">
        <f t="shared" ref="W83:W93" si="60">(U83-T83)*24*60</f>
        <v>65.000000000000014</v>
      </c>
      <c r="X83" s="53"/>
      <c r="Y83" s="53"/>
      <c r="Z83" s="54"/>
      <c r="AA83" s="54"/>
      <c r="AB83" s="633"/>
      <c r="AC83" s="633"/>
      <c r="AD83" s="429"/>
      <c r="AE83" s="429"/>
      <c r="AF83" s="48">
        <f t="shared" ref="AF83:AF173" si="61">N83-K83</f>
        <v>-65.538461538461888</v>
      </c>
      <c r="AG83" s="433">
        <f t="shared" ref="AG83:AG173" si="62">N83/K83</f>
        <v>0.9544871794871792</v>
      </c>
      <c r="AH83" s="645">
        <f>AG95</f>
        <v>0.91509592505476922</v>
      </c>
    </row>
    <row r="84" spans="1:34" ht="19.2" customHeight="1">
      <c r="A84" s="673"/>
      <c r="B84" s="110" t="s">
        <v>143</v>
      </c>
      <c r="C84" s="438"/>
      <c r="D84" s="189" t="s">
        <v>73</v>
      </c>
      <c r="E84" s="43"/>
      <c r="F84" s="368">
        <v>53.36</v>
      </c>
      <c r="G84" s="44">
        <v>3172.6200000000003</v>
      </c>
      <c r="H84" s="84">
        <f t="shared" si="54"/>
        <v>169291.00320000001</v>
      </c>
      <c r="I84" s="431"/>
      <c r="J84" s="87">
        <v>19</v>
      </c>
      <c r="K84" s="57">
        <v>1440</v>
      </c>
      <c r="L84" s="86">
        <v>75.78947368421052</v>
      </c>
      <c r="M84" s="440">
        <v>19</v>
      </c>
      <c r="N84" s="57">
        <f t="shared" si="55"/>
        <v>1321.9249999999995</v>
      </c>
      <c r="O84" s="186">
        <f t="shared" si="56"/>
        <v>69.574999999999974</v>
      </c>
      <c r="P84" s="54">
        <f t="shared" si="57"/>
        <v>0</v>
      </c>
      <c r="Q84" s="88">
        <f t="shared" si="58"/>
        <v>-6.2144736842105459</v>
      </c>
      <c r="R84" s="188">
        <f t="shared" si="59"/>
        <v>0.91800347222222201</v>
      </c>
      <c r="S84" s="645"/>
      <c r="T84" s="50">
        <v>0.39444444444444443</v>
      </c>
      <c r="U84" s="50">
        <v>0.49444444444444446</v>
      </c>
      <c r="V84" s="431">
        <v>23</v>
      </c>
      <c r="W84" s="442">
        <f t="shared" si="60"/>
        <v>144.00000000000006</v>
      </c>
      <c r="X84" s="53">
        <v>0.38194444444444442</v>
      </c>
      <c r="Y84" s="53">
        <v>0.39305555555555555</v>
      </c>
      <c r="Z84" s="54"/>
      <c r="AA84" s="54"/>
      <c r="AB84" s="633"/>
      <c r="AC84" s="633"/>
      <c r="AD84" s="429"/>
      <c r="AE84" s="429"/>
      <c r="AF84" s="48">
        <f t="shared" si="61"/>
        <v>-118.0750000000005</v>
      </c>
      <c r="AG84" s="433">
        <f t="shared" si="62"/>
        <v>0.91800347222222189</v>
      </c>
      <c r="AH84" s="645"/>
    </row>
    <row r="85" spans="1:34" ht="19.2" customHeight="1">
      <c r="A85" s="673"/>
      <c r="B85" s="110" t="s">
        <v>147</v>
      </c>
      <c r="C85" s="123"/>
      <c r="D85" s="189" t="s">
        <v>254</v>
      </c>
      <c r="E85" s="43"/>
      <c r="F85" s="368">
        <v>54.09</v>
      </c>
      <c r="G85" s="44">
        <v>1655</v>
      </c>
      <c r="H85" s="84">
        <f t="shared" si="54"/>
        <v>89518.950000000012</v>
      </c>
      <c r="I85" s="431"/>
      <c r="J85" s="87">
        <v>20</v>
      </c>
      <c r="K85" s="57">
        <v>1300</v>
      </c>
      <c r="L85" s="86">
        <v>65</v>
      </c>
      <c r="M85" s="440">
        <v>20</v>
      </c>
      <c r="N85" s="57">
        <f t="shared" si="55"/>
        <v>1115.7303370786517</v>
      </c>
      <c r="O85" s="186">
        <f t="shared" si="56"/>
        <v>55.786516853932582</v>
      </c>
      <c r="P85" s="54">
        <f t="shared" si="57"/>
        <v>0</v>
      </c>
      <c r="Q85" s="88">
        <f t="shared" si="58"/>
        <v>-9.2134831460674178</v>
      </c>
      <c r="R85" s="188">
        <f t="shared" si="59"/>
        <v>0.8582541054451166</v>
      </c>
      <c r="S85" s="645"/>
      <c r="T85" s="50">
        <v>0.53541666666666665</v>
      </c>
      <c r="U85" s="50">
        <v>0.59722222222222221</v>
      </c>
      <c r="V85" s="431">
        <v>6</v>
      </c>
      <c r="W85" s="442">
        <f t="shared" si="60"/>
        <v>89</v>
      </c>
      <c r="X85" s="53"/>
      <c r="Y85" s="53"/>
      <c r="Z85" s="54"/>
      <c r="AA85" s="54"/>
      <c r="AB85" s="633"/>
      <c r="AC85" s="633"/>
      <c r="AD85" s="429"/>
      <c r="AE85" s="429"/>
      <c r="AF85" s="48">
        <f t="shared" si="61"/>
        <v>-184.2696629213483</v>
      </c>
      <c r="AG85" s="433">
        <f t="shared" si="62"/>
        <v>0.85825410544511671</v>
      </c>
      <c r="AH85" s="645"/>
    </row>
    <row r="86" spans="1:34" ht="19.2" customHeight="1">
      <c r="A86" s="673"/>
      <c r="B86" s="110" t="s">
        <v>143</v>
      </c>
      <c r="C86" s="97"/>
      <c r="D86" s="189" t="s">
        <v>73</v>
      </c>
      <c r="E86" s="43"/>
      <c r="F86" s="368">
        <v>53.36</v>
      </c>
      <c r="G86" s="44">
        <v>1634.38</v>
      </c>
      <c r="H86" s="84">
        <f t="shared" si="54"/>
        <v>87210.516800000012</v>
      </c>
      <c r="I86" s="431"/>
      <c r="J86" s="87">
        <v>19</v>
      </c>
      <c r="K86" s="57">
        <v>1440</v>
      </c>
      <c r="L86" s="86">
        <v>75.78947368421052</v>
      </c>
      <c r="M86" s="440">
        <v>19</v>
      </c>
      <c r="N86" s="57">
        <f t="shared" si="55"/>
        <v>1307.5039999999992</v>
      </c>
      <c r="O86" s="186">
        <f t="shared" si="56"/>
        <v>68.81599999999996</v>
      </c>
      <c r="P86" s="54">
        <f t="shared" si="57"/>
        <v>0</v>
      </c>
      <c r="Q86" s="88">
        <f t="shared" si="58"/>
        <v>-6.9734736842105605</v>
      </c>
      <c r="R86" s="188">
        <f t="shared" si="59"/>
        <v>0.9079888888888884</v>
      </c>
      <c r="S86" s="645"/>
      <c r="T86" s="50">
        <v>0.61249999999999993</v>
      </c>
      <c r="U86" s="50">
        <v>0.6645833333333333</v>
      </c>
      <c r="V86" s="431">
        <v>22</v>
      </c>
      <c r="W86" s="442">
        <f t="shared" si="60"/>
        <v>75.000000000000057</v>
      </c>
      <c r="X86" s="53">
        <v>0.60069444444444442</v>
      </c>
      <c r="Y86" s="53">
        <v>0.61111111111111105</v>
      </c>
      <c r="Z86" s="54"/>
      <c r="AA86" s="54"/>
      <c r="AB86" s="633"/>
      <c r="AC86" s="633"/>
      <c r="AD86" s="429">
        <v>1</v>
      </c>
      <c r="AE86" s="429"/>
      <c r="AF86" s="48">
        <f t="shared" si="61"/>
        <v>-132.49600000000078</v>
      </c>
      <c r="AG86" s="433">
        <f t="shared" si="62"/>
        <v>0.9079888888888884</v>
      </c>
      <c r="AH86" s="645"/>
    </row>
    <row r="87" spans="1:34" ht="19.2" customHeight="1">
      <c r="A87" s="673"/>
      <c r="B87" s="110" t="s">
        <v>146</v>
      </c>
      <c r="C87" s="97"/>
      <c r="D87" s="189" t="s">
        <v>190</v>
      </c>
      <c r="E87" s="43"/>
      <c r="F87" s="368">
        <v>29.965493443754308</v>
      </c>
      <c r="G87" s="44">
        <v>336.40000000000003</v>
      </c>
      <c r="H87" s="84">
        <f t="shared" si="54"/>
        <v>10080.39199447895</v>
      </c>
      <c r="I87" s="431">
        <v>1</v>
      </c>
      <c r="J87" s="87">
        <v>18</v>
      </c>
      <c r="K87" s="57">
        <v>1200</v>
      </c>
      <c r="L87" s="86">
        <v>66.666666666666671</v>
      </c>
      <c r="M87" s="440">
        <v>18</v>
      </c>
      <c r="N87" s="57">
        <f t="shared" si="55"/>
        <v>1121.3333333333374</v>
      </c>
      <c r="O87" s="186">
        <f t="shared" si="56"/>
        <v>62.296296296296518</v>
      </c>
      <c r="P87" s="54">
        <f t="shared" si="57"/>
        <v>0</v>
      </c>
      <c r="Q87" s="88">
        <f t="shared" si="58"/>
        <v>-4.3703703703701535</v>
      </c>
      <c r="R87" s="188">
        <f t="shared" si="59"/>
        <v>0.93444444444444774</v>
      </c>
      <c r="S87" s="645"/>
      <c r="T87" s="50">
        <v>0.6694444444444444</v>
      </c>
      <c r="U87" s="50">
        <v>0.68194444444444435</v>
      </c>
      <c r="V87" s="431">
        <v>7</v>
      </c>
      <c r="W87" s="442">
        <f t="shared" si="60"/>
        <v>17.999999999999936</v>
      </c>
      <c r="X87" s="53"/>
      <c r="Y87" s="53"/>
      <c r="Z87" s="54"/>
      <c r="AA87" s="54"/>
      <c r="AB87" s="633"/>
      <c r="AC87" s="633"/>
      <c r="AD87" s="429"/>
      <c r="AE87" s="429"/>
      <c r="AF87" s="48">
        <f t="shared" si="61"/>
        <v>-78.66666666666265</v>
      </c>
      <c r="AG87" s="433">
        <f t="shared" si="62"/>
        <v>0.93444444444444774</v>
      </c>
      <c r="AH87" s="645"/>
    </row>
    <row r="88" spans="1:34" ht="19.2" customHeight="1">
      <c r="A88" s="673"/>
      <c r="B88" s="110">
        <v>0</v>
      </c>
      <c r="C88" s="438"/>
      <c r="D88" s="189"/>
      <c r="E88" s="43"/>
      <c r="F88" s="368" t="s">
        <v>148</v>
      </c>
      <c r="G88" s="57"/>
      <c r="H88" s="84">
        <f t="shared" si="54"/>
        <v>0</v>
      </c>
      <c r="I88" s="431"/>
      <c r="J88" s="87"/>
      <c r="K88" s="57"/>
      <c r="L88" s="86"/>
      <c r="M88" s="440"/>
      <c r="N88" s="57"/>
      <c r="O88" s="186"/>
      <c r="P88" s="54"/>
      <c r="Q88" s="88"/>
      <c r="R88" s="188"/>
      <c r="S88" s="645"/>
      <c r="T88" s="50"/>
      <c r="U88" s="50"/>
      <c r="V88" s="431"/>
      <c r="W88" s="442">
        <f t="shared" si="60"/>
        <v>0</v>
      </c>
      <c r="X88" s="53"/>
      <c r="Y88" s="53"/>
      <c r="Z88" s="54"/>
      <c r="AA88" s="54"/>
      <c r="AB88" s="633"/>
      <c r="AC88" s="633"/>
      <c r="AD88" s="429"/>
      <c r="AE88" s="429"/>
      <c r="AF88" s="48">
        <f t="shared" si="61"/>
        <v>0</v>
      </c>
      <c r="AG88" s="433" t="e">
        <f t="shared" si="62"/>
        <v>#DIV/0!</v>
      </c>
      <c r="AH88" s="645"/>
    </row>
    <row r="89" spans="1:34" ht="19.2" customHeight="1">
      <c r="A89" s="673"/>
      <c r="B89" s="110">
        <v>0</v>
      </c>
      <c r="C89" s="438"/>
      <c r="D89" s="42"/>
      <c r="E89" s="43"/>
      <c r="F89" s="368" t="s">
        <v>148</v>
      </c>
      <c r="G89" s="115"/>
      <c r="H89" s="84">
        <f t="shared" si="54"/>
        <v>0</v>
      </c>
      <c r="I89" s="431"/>
      <c r="J89" s="87"/>
      <c r="K89" s="57"/>
      <c r="L89" s="86"/>
      <c r="M89" s="440"/>
      <c r="N89" s="57"/>
      <c r="O89" s="186"/>
      <c r="P89" s="54"/>
      <c r="Q89" s="88"/>
      <c r="R89" s="188"/>
      <c r="S89" s="645"/>
      <c r="T89" s="50"/>
      <c r="U89" s="50"/>
      <c r="V89" s="431"/>
      <c r="W89" s="442">
        <f t="shared" si="60"/>
        <v>0</v>
      </c>
      <c r="X89" s="53"/>
      <c r="Y89" s="53"/>
      <c r="Z89" s="54"/>
      <c r="AA89" s="54"/>
      <c r="AB89" s="633"/>
      <c r="AC89" s="633"/>
      <c r="AD89" s="429"/>
      <c r="AE89" s="429"/>
      <c r="AF89" s="48">
        <f t="shared" si="61"/>
        <v>0</v>
      </c>
      <c r="AG89" s="433" t="e">
        <f t="shared" si="62"/>
        <v>#DIV/0!</v>
      </c>
      <c r="AH89" s="645"/>
    </row>
    <row r="90" spans="1:34" ht="19.2" customHeight="1">
      <c r="A90" s="673"/>
      <c r="B90" s="110">
        <v>0</v>
      </c>
      <c r="C90" s="438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440"/>
      <c r="N90" s="57"/>
      <c r="O90" s="186"/>
      <c r="P90" s="54"/>
      <c r="Q90" s="88"/>
      <c r="R90" s="188"/>
      <c r="S90" s="645"/>
      <c r="T90" s="50"/>
      <c r="U90" s="50"/>
      <c r="V90" s="431"/>
      <c r="W90" s="442">
        <f t="shared" si="60"/>
        <v>0</v>
      </c>
      <c r="X90" s="191"/>
      <c r="Y90" s="191"/>
      <c r="Z90" s="54"/>
      <c r="AA90" s="54"/>
      <c r="AB90" s="633"/>
      <c r="AC90" s="633"/>
      <c r="AD90" s="429"/>
      <c r="AE90" s="429"/>
      <c r="AF90" s="48">
        <f t="shared" si="61"/>
        <v>0</v>
      </c>
      <c r="AG90" s="433" t="e">
        <f t="shared" si="62"/>
        <v>#DIV/0!</v>
      </c>
      <c r="AH90" s="645"/>
    </row>
    <row r="91" spans="1:34" ht="19.2" customHeight="1">
      <c r="A91" s="673"/>
      <c r="B91" s="110">
        <v>0</v>
      </c>
      <c r="C91" s="438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440" t="s">
        <v>15</v>
      </c>
      <c r="N91" s="57"/>
      <c r="O91" s="186"/>
      <c r="P91" s="54"/>
      <c r="Q91" s="88"/>
      <c r="R91" s="188"/>
      <c r="S91" s="646"/>
      <c r="T91" s="50"/>
      <c r="U91" s="50"/>
      <c r="V91" s="431"/>
      <c r="W91" s="442">
        <f t="shared" si="60"/>
        <v>0</v>
      </c>
      <c r="X91" s="116"/>
      <c r="Y91" s="116"/>
      <c r="Z91" s="54"/>
      <c r="AA91" s="54"/>
      <c r="AB91" s="633"/>
      <c r="AC91" s="633"/>
      <c r="AD91" s="429"/>
      <c r="AE91" s="429"/>
      <c r="AF91" s="48">
        <f t="shared" si="61"/>
        <v>0</v>
      </c>
      <c r="AG91" s="433" t="e">
        <f t="shared" si="62"/>
        <v>#DIV/0!</v>
      </c>
      <c r="AH91" s="646"/>
    </row>
    <row r="92" spans="1:34" ht="19.2" customHeight="1">
      <c r="A92" s="673"/>
      <c r="B92" s="110">
        <v>0</v>
      </c>
      <c r="C92" s="438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646"/>
      <c r="T92" s="50"/>
      <c r="U92" s="50"/>
      <c r="V92" s="431"/>
      <c r="W92" s="442">
        <f t="shared" si="60"/>
        <v>0</v>
      </c>
      <c r="X92" s="183"/>
      <c r="Y92" s="183"/>
      <c r="Z92" s="125"/>
      <c r="AA92" s="125"/>
      <c r="AB92" s="633"/>
      <c r="AC92" s="633"/>
      <c r="AD92" s="429"/>
      <c r="AE92" s="429"/>
      <c r="AF92" s="48">
        <f t="shared" si="61"/>
        <v>0</v>
      </c>
      <c r="AG92" s="433" t="e">
        <f t="shared" si="62"/>
        <v>#DIV/0!</v>
      </c>
      <c r="AH92" s="646"/>
    </row>
    <row r="93" spans="1:34" ht="19.2" customHeight="1">
      <c r="A93" s="673"/>
      <c r="B93" s="444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440"/>
      <c r="N93" s="57"/>
      <c r="O93" s="86"/>
      <c r="P93" s="54"/>
      <c r="Q93" s="88"/>
      <c r="R93" s="430"/>
      <c r="S93" s="674"/>
      <c r="T93" s="63"/>
      <c r="U93" s="63"/>
      <c r="V93" s="444"/>
      <c r="W93" s="442">
        <f t="shared" si="60"/>
        <v>0</v>
      </c>
      <c r="X93" s="200"/>
      <c r="Y93" s="200"/>
      <c r="Z93" s="125"/>
      <c r="AA93" s="125"/>
      <c r="AB93" s="633"/>
      <c r="AC93" s="633"/>
      <c r="AD93" s="429"/>
      <c r="AE93" s="429"/>
      <c r="AF93" s="48">
        <f t="shared" si="61"/>
        <v>0</v>
      </c>
      <c r="AG93" s="433" t="e">
        <f t="shared" si="62"/>
        <v>#DIV/0!</v>
      </c>
      <c r="AH93" s="646"/>
    </row>
    <row r="94" spans="1:34" ht="19.2" customHeight="1">
      <c r="A94" s="673"/>
      <c r="B94" s="444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0"/>
      <c r="S94" s="674"/>
      <c r="T94" s="63"/>
      <c r="U94" s="63"/>
      <c r="V94" s="444"/>
      <c r="W94" s="442">
        <f>(U94-T94)*24*60</f>
        <v>0</v>
      </c>
      <c r="X94" s="200"/>
      <c r="Y94" s="200"/>
      <c r="Z94" s="125"/>
      <c r="AA94" s="125"/>
      <c r="AB94" s="633"/>
      <c r="AC94" s="633"/>
      <c r="AD94" s="429"/>
      <c r="AE94" s="429"/>
      <c r="AF94" s="48">
        <f t="shared" si="61"/>
        <v>0</v>
      </c>
      <c r="AG94" s="433" t="e">
        <f t="shared" si="62"/>
        <v>#DIV/0!</v>
      </c>
      <c r="AH94" s="646"/>
    </row>
    <row r="95" spans="1:34" ht="19.2" customHeight="1">
      <c r="A95" s="673"/>
      <c r="B95" s="203">
        <v>0</v>
      </c>
      <c r="C95" s="100" t="s">
        <v>305</v>
      </c>
      <c r="D95" s="660" t="s">
        <v>293</v>
      </c>
      <c r="E95" s="660"/>
      <c r="F95" s="362"/>
      <c r="G95" s="70"/>
      <c r="H95" s="204"/>
      <c r="I95" s="103"/>
      <c r="J95" s="205">
        <v>18.399999999999999</v>
      </c>
      <c r="K95" s="205">
        <v>1364</v>
      </c>
      <c r="L95" s="206">
        <v>74.649122807017548</v>
      </c>
      <c r="M95" s="205">
        <f t="shared" ref="M95:O95" si="63">AVERAGE(M83:M94)</f>
        <v>18.399999999999999</v>
      </c>
      <c r="N95" s="205">
        <f t="shared" si="63"/>
        <v>1248.1908417747052</v>
      </c>
      <c r="O95" s="206">
        <f t="shared" si="63"/>
        <v>68.475531860815039</v>
      </c>
      <c r="P95" s="207">
        <f>M95-J95</f>
        <v>0</v>
      </c>
      <c r="Q95" s="208">
        <f t="shared" ref="Q95:Q102" si="64">O95-L95</f>
        <v>-6.1735909462025091</v>
      </c>
      <c r="R95" s="209">
        <f>O95/L95</f>
        <v>0.91729854666661736</v>
      </c>
      <c r="S95" s="646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33"/>
      <c r="AC95" s="633"/>
      <c r="AD95" s="107">
        <f>SUM(AD83:AD94)</f>
        <v>1</v>
      </c>
      <c r="AE95" s="107">
        <f>SUM(AE83:AE94)</f>
        <v>0</v>
      </c>
      <c r="AF95" s="65">
        <f t="shared" si="61"/>
        <v>-115.80915822529482</v>
      </c>
      <c r="AG95" s="434">
        <f t="shared" si="62"/>
        <v>0.91509592505476922</v>
      </c>
      <c r="AH95" s="646"/>
    </row>
    <row r="96" spans="1:34" ht="19.2" customHeight="1">
      <c r="A96" s="675" t="s">
        <v>306</v>
      </c>
      <c r="B96" s="431">
        <v>0</v>
      </c>
      <c r="C96" s="97"/>
      <c r="D96" s="42" t="s">
        <v>176</v>
      </c>
      <c r="E96" s="43"/>
      <c r="F96" s="361">
        <v>36.92</v>
      </c>
      <c r="G96" s="44">
        <v>2334</v>
      </c>
      <c r="H96" s="45">
        <f t="shared" ref="H96:H106" si="65">F96*G96</f>
        <v>86171.28</v>
      </c>
      <c r="I96" s="431"/>
      <c r="J96" s="46">
        <v>6</v>
      </c>
      <c r="K96" s="44">
        <v>1636</v>
      </c>
      <c r="L96" s="47">
        <v>272.66666666666669</v>
      </c>
      <c r="M96" s="443">
        <v>6</v>
      </c>
      <c r="N96" s="44">
        <f t="shared" ref="N96:N102" si="66">G96/W96*60</f>
        <v>1538.901098901099</v>
      </c>
      <c r="O96" s="47">
        <f t="shared" ref="O96:O102" si="67">N96/M96</f>
        <v>256.4835164835165</v>
      </c>
      <c r="P96" s="48">
        <f t="shared" ref="P96:P102" si="68">M96-J96</f>
        <v>0</v>
      </c>
      <c r="Q96" s="49">
        <f t="shared" si="64"/>
        <v>-16.18315018315019</v>
      </c>
      <c r="R96" s="433">
        <f t="shared" ref="R96:R102" si="69">O96/L96</f>
        <v>0.94064859346032936</v>
      </c>
      <c r="S96" s="645">
        <f>R108</f>
        <v>0.91011874481111144</v>
      </c>
      <c r="T96" s="89">
        <v>0.33333333333333331</v>
      </c>
      <c r="U96" s="89">
        <v>0.39652777777777776</v>
      </c>
      <c r="V96" s="429">
        <v>5</v>
      </c>
      <c r="W96" s="90">
        <f t="shared" ref="W96:W133" si="70">(U96-T96)*24*60</f>
        <v>91</v>
      </c>
      <c r="X96" s="96"/>
      <c r="Y96" s="96"/>
      <c r="Z96" s="54"/>
      <c r="AA96" s="54"/>
      <c r="AB96" s="633"/>
      <c r="AC96" s="633"/>
      <c r="AD96" s="429"/>
      <c r="AE96" s="429"/>
      <c r="AF96" s="54">
        <f t="shared" si="61"/>
        <v>-97.098901098901024</v>
      </c>
      <c r="AG96" s="430">
        <f t="shared" si="62"/>
        <v>0.94064859346032947</v>
      </c>
      <c r="AH96" s="654">
        <f>AG108</f>
        <v>0.86745354297573651</v>
      </c>
    </row>
    <row r="97" spans="1:34" s="218" customFormat="1" ht="19.2" customHeight="1">
      <c r="A97" s="675"/>
      <c r="B97" s="431" t="s">
        <v>145</v>
      </c>
      <c r="C97" s="210"/>
      <c r="D97" s="211" t="s">
        <v>65</v>
      </c>
      <c r="E97" s="56"/>
      <c r="F97" s="372">
        <v>29.113149847094796</v>
      </c>
      <c r="G97" s="212">
        <v>2517.39</v>
      </c>
      <c r="H97" s="213">
        <f t="shared" si="65"/>
        <v>73289.152293577965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1290.9692307692301</v>
      </c>
      <c r="O97" s="47">
        <f t="shared" si="67"/>
        <v>71.720512820512781</v>
      </c>
      <c r="P97" s="48">
        <f t="shared" si="68"/>
        <v>-2</v>
      </c>
      <c r="Q97" s="49">
        <f t="shared" si="64"/>
        <v>-3.2794871794872194</v>
      </c>
      <c r="R97" s="433">
        <f t="shared" si="69"/>
        <v>0.95627350427350377</v>
      </c>
      <c r="S97" s="645"/>
      <c r="T97" s="214">
        <v>0.41180555555555554</v>
      </c>
      <c r="U97" s="214">
        <v>0.49305555555555558</v>
      </c>
      <c r="V97" s="215">
        <v>22</v>
      </c>
      <c r="W97" s="90">
        <f t="shared" si="70"/>
        <v>117.00000000000006</v>
      </c>
      <c r="X97" s="53">
        <v>0.39999999999999997</v>
      </c>
      <c r="Y97" s="53">
        <v>0.40972222222222227</v>
      </c>
      <c r="Z97" s="54"/>
      <c r="AA97" s="54"/>
      <c r="AB97" s="633"/>
      <c r="AC97" s="633"/>
      <c r="AD97" s="215">
        <v>1</v>
      </c>
      <c r="AE97" s="215"/>
      <c r="AF97" s="216">
        <f t="shared" si="61"/>
        <v>-209.03076923076992</v>
      </c>
      <c r="AG97" s="217">
        <f t="shared" si="62"/>
        <v>0.86064615384615339</v>
      </c>
      <c r="AH97" s="654"/>
    </row>
    <row r="98" spans="1:34" s="221" customFormat="1" ht="19.2" customHeight="1">
      <c r="A98" s="675"/>
      <c r="B98" s="431" t="s">
        <v>143</v>
      </c>
      <c r="C98" s="55"/>
      <c r="D98" s="42" t="s">
        <v>235</v>
      </c>
      <c r="E98" s="83"/>
      <c r="F98" s="372">
        <v>77.349999999999994</v>
      </c>
      <c r="G98" s="57">
        <v>509</v>
      </c>
      <c r="H98" s="213">
        <f t="shared" si="65"/>
        <v>39371.149999999994</v>
      </c>
      <c r="I98" s="42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1174.6153846153888</v>
      </c>
      <c r="O98" s="47">
        <f t="shared" si="67"/>
        <v>65.25641025641049</v>
      </c>
      <c r="P98" s="48">
        <f t="shared" si="68"/>
        <v>-1</v>
      </c>
      <c r="Q98" s="49">
        <f t="shared" si="64"/>
        <v>-10.53306342780003</v>
      </c>
      <c r="R98" s="433">
        <f t="shared" si="69"/>
        <v>0.86102207977208289</v>
      </c>
      <c r="S98" s="645"/>
      <c r="T98" s="89">
        <v>0.52777777777777779</v>
      </c>
      <c r="U98" s="89">
        <v>0.54583333333333328</v>
      </c>
      <c r="V98" s="429">
        <v>6</v>
      </c>
      <c r="W98" s="90">
        <f t="shared" si="70"/>
        <v>25.999999999999908</v>
      </c>
      <c r="X98" s="219"/>
      <c r="Y98" s="219"/>
      <c r="Z98" s="220"/>
      <c r="AA98" s="220"/>
      <c r="AB98" s="633"/>
      <c r="AC98" s="633"/>
      <c r="AD98" s="429"/>
      <c r="AE98" s="429"/>
      <c r="AF98" s="54">
        <f t="shared" si="61"/>
        <v>-265.38461538461115</v>
      </c>
      <c r="AG98" s="430">
        <f t="shared" si="62"/>
        <v>0.81570512820513119</v>
      </c>
      <c r="AH98" s="654"/>
    </row>
    <row r="99" spans="1:34" ht="19.2" customHeight="1">
      <c r="A99" s="675"/>
      <c r="B99" s="431" t="s">
        <v>143</v>
      </c>
      <c r="C99" s="81"/>
      <c r="D99" s="82" t="s">
        <v>58</v>
      </c>
      <c r="E99" s="83"/>
      <c r="F99" s="372">
        <v>77.34</v>
      </c>
      <c r="G99" s="57">
        <v>663</v>
      </c>
      <c r="H99" s="213">
        <f t="shared" si="65"/>
        <v>51276.420000000006</v>
      </c>
      <c r="I99" s="429"/>
      <c r="J99" s="46">
        <v>18</v>
      </c>
      <c r="K99" s="44">
        <v>1440</v>
      </c>
      <c r="L99" s="47">
        <v>80</v>
      </c>
      <c r="M99" s="443">
        <v>18</v>
      </c>
      <c r="N99" s="44">
        <f t="shared" si="66"/>
        <v>1243.1249999999982</v>
      </c>
      <c r="O99" s="47">
        <f t="shared" si="67"/>
        <v>69.062499999999901</v>
      </c>
      <c r="P99" s="48">
        <f t="shared" si="68"/>
        <v>0</v>
      </c>
      <c r="Q99" s="49">
        <f t="shared" si="64"/>
        <v>-10.937500000000099</v>
      </c>
      <c r="R99" s="433">
        <f t="shared" si="69"/>
        <v>0.86328124999999878</v>
      </c>
      <c r="S99" s="645"/>
      <c r="T99" s="89">
        <v>0.55138888888888882</v>
      </c>
      <c r="U99" s="89">
        <v>0.57361111111111107</v>
      </c>
      <c r="V99" s="429">
        <v>8</v>
      </c>
      <c r="W99" s="90">
        <f t="shared" si="70"/>
        <v>32.000000000000043</v>
      </c>
      <c r="X99" s="183"/>
      <c r="Y99" s="183"/>
      <c r="Z99" s="125"/>
      <c r="AA99" s="125"/>
      <c r="AB99" s="633"/>
      <c r="AC99" s="633"/>
      <c r="AD99" s="429"/>
      <c r="AE99" s="429"/>
      <c r="AF99" s="216">
        <f t="shared" si="61"/>
        <v>-196.87500000000182</v>
      </c>
      <c r="AG99" s="217">
        <f t="shared" si="62"/>
        <v>0.86328124999999878</v>
      </c>
      <c r="AH99" s="654"/>
    </row>
    <row r="100" spans="1:34" s="221" customFormat="1" ht="19.2" customHeight="1">
      <c r="A100" s="675"/>
      <c r="B100" s="431" t="s">
        <v>143</v>
      </c>
      <c r="C100" s="55"/>
      <c r="D100" s="42" t="s">
        <v>56</v>
      </c>
      <c r="E100" s="83"/>
      <c r="F100" s="372">
        <v>59.34</v>
      </c>
      <c r="G100" s="57">
        <v>606</v>
      </c>
      <c r="H100" s="213">
        <f t="shared" si="65"/>
        <v>35960.04</v>
      </c>
      <c r="I100" s="429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1298.5714285714257</v>
      </c>
      <c r="O100" s="47">
        <f t="shared" si="67"/>
        <v>76.386554621848575</v>
      </c>
      <c r="P100" s="48">
        <f t="shared" si="68"/>
        <v>0</v>
      </c>
      <c r="Q100" s="49">
        <f t="shared" si="64"/>
        <v>-8.3193277310925993</v>
      </c>
      <c r="R100" s="433">
        <f t="shared" si="69"/>
        <v>0.90178571428571241</v>
      </c>
      <c r="S100" s="645"/>
      <c r="T100" s="214">
        <v>0.57708333333333328</v>
      </c>
      <c r="U100" s="214">
        <v>0.59652777777777777</v>
      </c>
      <c r="V100" s="215">
        <v>5</v>
      </c>
      <c r="W100" s="90">
        <f t="shared" si="70"/>
        <v>28.00000000000006</v>
      </c>
      <c r="X100" s="222"/>
      <c r="Y100" s="222"/>
      <c r="Z100" s="220"/>
      <c r="AA100" s="220"/>
      <c r="AB100" s="633"/>
      <c r="AC100" s="633"/>
      <c r="AD100" s="429"/>
      <c r="AE100" s="429"/>
      <c r="AF100" s="54">
        <f t="shared" si="61"/>
        <v>-141.42857142857429</v>
      </c>
      <c r="AG100" s="430">
        <f t="shared" si="62"/>
        <v>0.9017857142857123</v>
      </c>
      <c r="AH100" s="654"/>
    </row>
    <row r="101" spans="1:34" s="221" customFormat="1" ht="19.2" customHeight="1">
      <c r="A101" s="675"/>
      <c r="B101" s="431" t="s">
        <v>143</v>
      </c>
      <c r="C101" s="55"/>
      <c r="D101" s="82" t="s">
        <v>57</v>
      </c>
      <c r="E101" s="83"/>
      <c r="F101" s="372">
        <v>71.55</v>
      </c>
      <c r="G101" s="57">
        <v>720</v>
      </c>
      <c r="H101" s="213">
        <f t="shared" si="65"/>
        <v>51516</v>
      </c>
      <c r="I101" s="42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1234.2857142857131</v>
      </c>
      <c r="O101" s="47">
        <f t="shared" si="67"/>
        <v>68.571428571428498</v>
      </c>
      <c r="P101" s="48">
        <f t="shared" si="68"/>
        <v>0</v>
      </c>
      <c r="Q101" s="49">
        <f t="shared" si="64"/>
        <v>-8.3730158730159445</v>
      </c>
      <c r="R101" s="433">
        <f t="shared" si="69"/>
        <v>0.89118102114491915</v>
      </c>
      <c r="S101" s="645"/>
      <c r="T101" s="214">
        <v>0.61250000000000004</v>
      </c>
      <c r="U101" s="89">
        <v>0.63680555555555562</v>
      </c>
      <c r="V101" s="215">
        <v>23</v>
      </c>
      <c r="W101" s="90">
        <f t="shared" si="70"/>
        <v>35.000000000000036</v>
      </c>
      <c r="X101" s="223">
        <v>0.6</v>
      </c>
      <c r="Y101" s="223">
        <v>0.61111111111111105</v>
      </c>
      <c r="Z101" s="220"/>
      <c r="AA101" s="220"/>
      <c r="AB101" s="633"/>
      <c r="AC101" s="633"/>
      <c r="AD101" s="429"/>
      <c r="AE101" s="429"/>
      <c r="AF101" s="216">
        <f t="shared" si="61"/>
        <v>-150.71428571428692</v>
      </c>
      <c r="AG101" s="217">
        <f t="shared" si="62"/>
        <v>0.89118102114491915</v>
      </c>
      <c r="AH101" s="654"/>
    </row>
    <row r="102" spans="1:34" s="221" customFormat="1" ht="19.2" customHeight="1">
      <c r="A102" s="675"/>
      <c r="B102" s="431" t="s">
        <v>145</v>
      </c>
      <c r="C102" s="178"/>
      <c r="D102" s="179" t="s">
        <v>65</v>
      </c>
      <c r="E102" s="180"/>
      <c r="F102" s="372">
        <v>29.113149847094796</v>
      </c>
      <c r="G102" s="57">
        <v>515.61</v>
      </c>
      <c r="H102" s="213">
        <f t="shared" si="65"/>
        <v>15011.031192660548</v>
      </c>
      <c r="I102" s="431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1189.8692307692349</v>
      </c>
      <c r="O102" s="47">
        <f t="shared" si="67"/>
        <v>66.103846153846391</v>
      </c>
      <c r="P102" s="48">
        <f t="shared" si="68"/>
        <v>-2</v>
      </c>
      <c r="Q102" s="49">
        <f t="shared" si="64"/>
        <v>-8.8961538461536094</v>
      </c>
      <c r="R102" s="433">
        <f t="shared" si="69"/>
        <v>0.88138461538461854</v>
      </c>
      <c r="S102" s="645"/>
      <c r="T102" s="214">
        <v>0.64166666666666672</v>
      </c>
      <c r="U102" s="214">
        <v>0.65972222222222221</v>
      </c>
      <c r="V102" s="215">
        <v>7</v>
      </c>
      <c r="W102" s="90">
        <f t="shared" si="70"/>
        <v>25.999999999999908</v>
      </c>
      <c r="X102" s="223"/>
      <c r="Y102" s="223"/>
      <c r="Z102" s="220"/>
      <c r="AA102" s="220"/>
      <c r="AB102" s="633"/>
      <c r="AC102" s="633"/>
      <c r="AD102" s="429"/>
      <c r="AE102" s="429"/>
      <c r="AF102" s="54">
        <f t="shared" si="61"/>
        <v>-310.13076923076505</v>
      </c>
      <c r="AG102" s="430">
        <f t="shared" si="62"/>
        <v>0.7932461538461566</v>
      </c>
      <c r="AH102" s="654"/>
    </row>
    <row r="103" spans="1:34" s="221" customFormat="1" ht="19.2" customHeight="1">
      <c r="A103" s="675"/>
      <c r="B103" s="431">
        <v>0</v>
      </c>
      <c r="C103" s="224"/>
      <c r="D103" s="82"/>
      <c r="E103" s="83"/>
      <c r="F103" s="372" t="s">
        <v>148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33"/>
      <c r="S103" s="645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633"/>
      <c r="AC103" s="633"/>
      <c r="AD103" s="429"/>
      <c r="AE103" s="429"/>
      <c r="AF103" s="54">
        <f t="shared" si="61"/>
        <v>0</v>
      </c>
      <c r="AG103" s="430" t="e">
        <f t="shared" si="62"/>
        <v>#DIV/0!</v>
      </c>
      <c r="AH103" s="654"/>
    </row>
    <row r="104" spans="1:34" s="221" customFormat="1" ht="19.2" customHeight="1">
      <c r="A104" s="675"/>
      <c r="B104" s="431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33"/>
      <c r="S104" s="646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33"/>
      <c r="AC104" s="633"/>
      <c r="AD104" s="429"/>
      <c r="AE104" s="429"/>
      <c r="AF104" s="216">
        <f t="shared" si="61"/>
        <v>0</v>
      </c>
      <c r="AG104" s="217" t="e">
        <f t="shared" si="62"/>
        <v>#DIV/0!</v>
      </c>
      <c r="AH104" s="654"/>
    </row>
    <row r="105" spans="1:34" s="221" customFormat="1" ht="19.2" customHeight="1">
      <c r="A105" s="675"/>
      <c r="B105" s="431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33"/>
      <c r="S105" s="646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33"/>
      <c r="AC105" s="633"/>
      <c r="AD105" s="429"/>
      <c r="AE105" s="429"/>
      <c r="AF105" s="54">
        <f t="shared" si="61"/>
        <v>0</v>
      </c>
      <c r="AG105" s="430" t="e">
        <f t="shared" si="62"/>
        <v>#DIV/0!</v>
      </c>
      <c r="AH105" s="654"/>
    </row>
    <row r="106" spans="1:34" s="221" customFormat="1" ht="19.2" customHeight="1">
      <c r="A106" s="675"/>
      <c r="B106" s="431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0"/>
      <c r="S106" s="674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33"/>
      <c r="AC106" s="633"/>
      <c r="AD106" s="429"/>
      <c r="AE106" s="429"/>
      <c r="AF106" s="54">
        <f t="shared" si="61"/>
        <v>0</v>
      </c>
      <c r="AG106" s="430" t="e">
        <f t="shared" si="62"/>
        <v>#DIV/0!</v>
      </c>
      <c r="AH106" s="654"/>
    </row>
    <row r="107" spans="1:34" s="221" customFormat="1" ht="19.2" customHeight="1">
      <c r="A107" s="675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0"/>
      <c r="S107" s="674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33"/>
      <c r="AC107" s="633"/>
      <c r="AD107" s="429"/>
      <c r="AE107" s="429"/>
      <c r="AF107" s="220"/>
      <c r="AG107" s="430"/>
      <c r="AH107" s="654"/>
    </row>
    <row r="108" spans="1:34" ht="19.2" customHeight="1">
      <c r="A108" s="675"/>
      <c r="B108" s="110">
        <v>0</v>
      </c>
      <c r="C108" s="100" t="s">
        <v>307</v>
      </c>
      <c r="D108" s="660" t="s">
        <v>293</v>
      </c>
      <c r="E108" s="660"/>
      <c r="F108" s="373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M108:O108" si="71">AVERAGE(M96:M107)</f>
        <v>16.142857142857142</v>
      </c>
      <c r="N108" s="101">
        <f t="shared" si="71"/>
        <v>1281.4767268445844</v>
      </c>
      <c r="O108" s="104">
        <f t="shared" si="71"/>
        <v>96.226395558223288</v>
      </c>
      <c r="P108" s="54">
        <f t="shared" ref="P108:P117" si="72">M108-J108</f>
        <v>-0.7142857142857153</v>
      </c>
      <c r="Q108" s="88">
        <f t="shared" ref="Q108:Q117" si="73">O108-L108</f>
        <v>-9.5030997486714028</v>
      </c>
      <c r="R108" s="105">
        <f t="shared" ref="R108:R117" si="74">O108/L108</f>
        <v>0.91011874481111144</v>
      </c>
      <c r="S108" s="646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33"/>
      <c r="AC108" s="633"/>
      <c r="AD108" s="107">
        <f>SUM(AD96:AD107)</f>
        <v>1</v>
      </c>
      <c r="AE108" s="107">
        <f>SUM(AE96:AE107)</f>
        <v>0</v>
      </c>
      <c r="AF108" s="54">
        <f t="shared" si="61"/>
        <v>-195.80898744112983</v>
      </c>
      <c r="AG108" s="430">
        <f t="shared" si="62"/>
        <v>0.86745354297573651</v>
      </c>
      <c r="AH108" s="654"/>
    </row>
    <row r="109" spans="1:34" ht="19.2" customHeight="1">
      <c r="A109" s="676" t="s">
        <v>308</v>
      </c>
      <c r="B109" s="431" t="s">
        <v>149</v>
      </c>
      <c r="C109" s="438"/>
      <c r="D109" s="409" t="s">
        <v>242</v>
      </c>
      <c r="E109" s="43"/>
      <c r="F109" s="361">
        <v>25.64</v>
      </c>
      <c r="G109" s="44">
        <v>529</v>
      </c>
      <c r="H109" s="45">
        <f t="shared" ref="H109:H119" si="75">F109*G109</f>
        <v>13563.56</v>
      </c>
      <c r="I109" s="431"/>
      <c r="J109" s="46">
        <v>10</v>
      </c>
      <c r="K109" s="44">
        <v>1500</v>
      </c>
      <c r="L109" s="47">
        <v>150</v>
      </c>
      <c r="M109" s="443">
        <v>10</v>
      </c>
      <c r="N109" s="44">
        <f t="shared" ref="N109:N117" si="76">G109/W109*60</f>
        <v>1269.5999999999963</v>
      </c>
      <c r="O109" s="47">
        <f t="shared" ref="O109:O117" si="77">N109/M109</f>
        <v>126.95999999999962</v>
      </c>
      <c r="P109" s="48">
        <f t="shared" si="72"/>
        <v>0</v>
      </c>
      <c r="Q109" s="49">
        <f t="shared" si="73"/>
        <v>-23.040000000000376</v>
      </c>
      <c r="R109" s="433">
        <f t="shared" si="74"/>
        <v>0.84639999999999749</v>
      </c>
      <c r="S109" s="679">
        <f>R121</f>
        <v>0.89489475927882389</v>
      </c>
      <c r="T109" s="230">
        <v>0.5</v>
      </c>
      <c r="U109" s="230">
        <v>0.51736111111111116</v>
      </c>
      <c r="V109" s="231">
        <v>5</v>
      </c>
      <c r="W109" s="442">
        <f t="shared" si="70"/>
        <v>25.000000000000071</v>
      </c>
      <c r="X109" s="53"/>
      <c r="Y109" s="53"/>
      <c r="Z109" s="54"/>
      <c r="AA109" s="54"/>
      <c r="AB109" s="633"/>
      <c r="AC109" s="633"/>
      <c r="AD109" s="429"/>
      <c r="AE109" s="429"/>
      <c r="AF109" s="48">
        <f t="shared" si="61"/>
        <v>-230.40000000000373</v>
      </c>
      <c r="AG109" s="126">
        <f t="shared" si="62"/>
        <v>0.84639999999999749</v>
      </c>
      <c r="AH109" s="654">
        <f>AG121</f>
        <v>0.90145192678879515</v>
      </c>
    </row>
    <row r="110" spans="1:34" ht="19.2" customHeight="1">
      <c r="A110" s="677"/>
      <c r="B110" s="431" t="s">
        <v>146</v>
      </c>
      <c r="C110" s="178"/>
      <c r="D110" s="42" t="s">
        <v>190</v>
      </c>
      <c r="E110" s="180"/>
      <c r="F110" s="361">
        <v>29.965493443754308</v>
      </c>
      <c r="G110" s="177">
        <v>1345.6000000000001</v>
      </c>
      <c r="H110" s="45">
        <f t="shared" si="75"/>
        <v>40321.567977915802</v>
      </c>
      <c r="I110" s="431"/>
      <c r="J110" s="46">
        <v>18</v>
      </c>
      <c r="K110" s="44">
        <v>1200</v>
      </c>
      <c r="L110" s="47">
        <v>66.666666666666671</v>
      </c>
      <c r="M110" s="443">
        <v>18</v>
      </c>
      <c r="N110" s="44">
        <f t="shared" si="76"/>
        <v>1170.0869565217381</v>
      </c>
      <c r="O110" s="47">
        <f t="shared" si="77"/>
        <v>65.004830917874344</v>
      </c>
      <c r="P110" s="48">
        <f t="shared" si="72"/>
        <v>0</v>
      </c>
      <c r="Q110" s="49">
        <f t="shared" si="73"/>
        <v>-1.6618357487923276</v>
      </c>
      <c r="R110" s="433">
        <f t="shared" si="74"/>
        <v>0.97507246376811507</v>
      </c>
      <c r="S110" s="680"/>
      <c r="T110" s="230">
        <v>0.5229166666666667</v>
      </c>
      <c r="U110" s="230">
        <v>0.57083333333333341</v>
      </c>
      <c r="V110" s="231">
        <v>8</v>
      </c>
      <c r="W110" s="442">
        <f t="shared" si="70"/>
        <v>69.000000000000071</v>
      </c>
      <c r="X110" s="191"/>
      <c r="Y110" s="191"/>
      <c r="Z110" s="54"/>
      <c r="AA110" s="54"/>
      <c r="AB110" s="633"/>
      <c r="AC110" s="633"/>
      <c r="AD110" s="429"/>
      <c r="AE110" s="429"/>
      <c r="AF110" s="48">
        <f t="shared" si="61"/>
        <v>-29.913043478261898</v>
      </c>
      <c r="AG110" s="126">
        <f t="shared" si="62"/>
        <v>0.97507246376811507</v>
      </c>
      <c r="AH110" s="654"/>
    </row>
    <row r="111" spans="1:34" ht="19.2" customHeight="1">
      <c r="A111" s="677"/>
      <c r="B111" s="431" t="s">
        <v>147</v>
      </c>
      <c r="C111" s="178"/>
      <c r="D111" s="179" t="s">
        <v>82</v>
      </c>
      <c r="E111" s="180"/>
      <c r="F111" s="361">
        <v>51.75</v>
      </c>
      <c r="G111" s="57">
        <v>803</v>
      </c>
      <c r="H111" s="45">
        <f t="shared" si="75"/>
        <v>41555.25</v>
      </c>
      <c r="I111" s="429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1338.3333333333323</v>
      </c>
      <c r="O111" s="47">
        <f t="shared" si="77"/>
        <v>63.730158730158685</v>
      </c>
      <c r="P111" s="48">
        <f t="shared" si="72"/>
        <v>0</v>
      </c>
      <c r="Q111" s="49">
        <f t="shared" si="73"/>
        <v>-7.6984126984127457</v>
      </c>
      <c r="R111" s="433">
        <f t="shared" si="74"/>
        <v>0.89222222222222158</v>
      </c>
      <c r="S111" s="680"/>
      <c r="T111" s="230">
        <v>0.58611111111111114</v>
      </c>
      <c r="U111" s="230">
        <v>0.61111111111111116</v>
      </c>
      <c r="V111" s="231">
        <v>22</v>
      </c>
      <c r="W111" s="442">
        <f t="shared" si="70"/>
        <v>36.000000000000028</v>
      </c>
      <c r="X111" s="53">
        <v>0.57500000000000007</v>
      </c>
      <c r="Y111" s="53">
        <v>0.58472222222222225</v>
      </c>
      <c r="Z111" s="54"/>
      <c r="AA111" s="54"/>
      <c r="AB111" s="633"/>
      <c r="AC111" s="633"/>
      <c r="AD111" s="429"/>
      <c r="AE111" s="429"/>
      <c r="AF111" s="48">
        <f t="shared" si="61"/>
        <v>-161.66666666666765</v>
      </c>
      <c r="AG111" s="126">
        <f t="shared" si="62"/>
        <v>0.89222222222222158</v>
      </c>
      <c r="AH111" s="654"/>
    </row>
    <row r="112" spans="1:34" ht="19.2" customHeight="1">
      <c r="A112" s="677"/>
      <c r="B112" s="431" t="s">
        <v>143</v>
      </c>
      <c r="C112" s="178"/>
      <c r="D112" s="179" t="s">
        <v>59</v>
      </c>
      <c r="E112" s="83"/>
      <c r="F112" s="361">
        <v>59.54</v>
      </c>
      <c r="G112" s="57">
        <v>1140</v>
      </c>
      <c r="H112" s="45">
        <f t="shared" si="75"/>
        <v>67875.600000000006</v>
      </c>
      <c r="I112" s="429"/>
      <c r="J112" s="46">
        <v>18</v>
      </c>
      <c r="K112" s="44">
        <v>1385</v>
      </c>
      <c r="L112" s="47">
        <v>76.944444444444443</v>
      </c>
      <c r="M112" s="443">
        <v>18</v>
      </c>
      <c r="N112" s="44">
        <f t="shared" si="76"/>
        <v>1290.5660377358497</v>
      </c>
      <c r="O112" s="47">
        <f t="shared" si="77"/>
        <v>71.698113207547209</v>
      </c>
      <c r="P112" s="48">
        <f t="shared" si="72"/>
        <v>0</v>
      </c>
      <c r="Q112" s="49">
        <f t="shared" si="73"/>
        <v>-5.2463312368972339</v>
      </c>
      <c r="R112" s="433">
        <f t="shared" si="74"/>
        <v>0.93181663374429591</v>
      </c>
      <c r="S112" s="680"/>
      <c r="T112" s="230">
        <v>0.61527777777777781</v>
      </c>
      <c r="U112" s="230">
        <v>0.65208333333333335</v>
      </c>
      <c r="V112" s="231">
        <v>6</v>
      </c>
      <c r="W112" s="442">
        <f t="shared" si="70"/>
        <v>52.999999999999972</v>
      </c>
      <c r="X112" s="219"/>
      <c r="Y112" s="219"/>
      <c r="Z112" s="54"/>
      <c r="AA112" s="54"/>
      <c r="AB112" s="633"/>
      <c r="AC112" s="633"/>
      <c r="AD112" s="429"/>
      <c r="AE112" s="429"/>
      <c r="AF112" s="48">
        <f t="shared" si="61"/>
        <v>-94.433962264150296</v>
      </c>
      <c r="AG112" s="126">
        <f t="shared" si="62"/>
        <v>0.9318166337442958</v>
      </c>
      <c r="AH112" s="654"/>
    </row>
    <row r="113" spans="1:34" s="221" customFormat="1" ht="19.2" customHeight="1">
      <c r="A113" s="677"/>
      <c r="B113" s="431" t="s">
        <v>146</v>
      </c>
      <c r="C113" s="178"/>
      <c r="D113" s="179" t="s">
        <v>255</v>
      </c>
      <c r="E113" s="83"/>
      <c r="F113" s="361">
        <v>28.57</v>
      </c>
      <c r="G113" s="57">
        <v>1546</v>
      </c>
      <c r="H113" s="45">
        <f t="shared" si="75"/>
        <v>44169.22</v>
      </c>
      <c r="I113" s="429"/>
      <c r="J113" s="46">
        <v>12</v>
      </c>
      <c r="K113" s="44">
        <v>1500</v>
      </c>
      <c r="L113" s="47">
        <v>125</v>
      </c>
      <c r="M113" s="440">
        <v>12</v>
      </c>
      <c r="N113" s="44">
        <f t="shared" si="76"/>
        <v>1427.0769230769247</v>
      </c>
      <c r="O113" s="47">
        <f t="shared" si="77"/>
        <v>118.92307692307706</v>
      </c>
      <c r="P113" s="48">
        <f t="shared" si="72"/>
        <v>0</v>
      </c>
      <c r="Q113" s="49">
        <f t="shared" si="73"/>
        <v>-6.0769230769229381</v>
      </c>
      <c r="R113" s="433">
        <f t="shared" si="74"/>
        <v>0.95138461538461649</v>
      </c>
      <c r="S113" s="680"/>
      <c r="T113" s="230">
        <v>0.70833333333333337</v>
      </c>
      <c r="U113" s="230">
        <v>0.75347222222222221</v>
      </c>
      <c r="V113" s="231">
        <v>5</v>
      </c>
      <c r="W113" s="442">
        <f t="shared" si="70"/>
        <v>64.999999999999929</v>
      </c>
      <c r="X113" s="219"/>
      <c r="Y113" s="219"/>
      <c r="Z113" s="220"/>
      <c r="AA113" s="220"/>
      <c r="AB113" s="633"/>
      <c r="AC113" s="633"/>
      <c r="AD113" s="224"/>
      <c r="AE113" s="224"/>
      <c r="AF113" s="48">
        <f t="shared" si="61"/>
        <v>-72.923076923075314</v>
      </c>
      <c r="AG113" s="126">
        <f t="shared" si="62"/>
        <v>0.95138461538461649</v>
      </c>
      <c r="AH113" s="654"/>
    </row>
    <row r="114" spans="1:34" s="221" customFormat="1" ht="19.2" customHeight="1">
      <c r="A114" s="677"/>
      <c r="B114" s="431" t="s">
        <v>146</v>
      </c>
      <c r="C114" s="178"/>
      <c r="D114" s="179" t="s">
        <v>182</v>
      </c>
      <c r="E114" s="43"/>
      <c r="F114" s="361">
        <v>20.170000000000002</v>
      </c>
      <c r="G114" s="44">
        <v>70</v>
      </c>
      <c r="H114" s="45">
        <f t="shared" si="75"/>
        <v>1411.9</v>
      </c>
      <c r="I114" s="429"/>
      <c r="J114" s="46">
        <v>12</v>
      </c>
      <c r="K114" s="44">
        <v>1500</v>
      </c>
      <c r="L114" s="47">
        <v>125</v>
      </c>
      <c r="M114" s="440">
        <v>12</v>
      </c>
      <c r="N114" s="44">
        <f t="shared" si="76"/>
        <v>1050.0000000000039</v>
      </c>
      <c r="O114" s="47">
        <f t="shared" si="77"/>
        <v>87.500000000000327</v>
      </c>
      <c r="P114" s="48">
        <f t="shared" si="72"/>
        <v>0</v>
      </c>
      <c r="Q114" s="49">
        <f t="shared" si="73"/>
        <v>-37.499999999999673</v>
      </c>
      <c r="R114" s="433">
        <f t="shared" si="74"/>
        <v>0.70000000000000262</v>
      </c>
      <c r="S114" s="680"/>
      <c r="T114" s="230">
        <v>0.7583333333333333</v>
      </c>
      <c r="U114" s="230">
        <v>0.76111111111111107</v>
      </c>
      <c r="V114" s="231">
        <v>7</v>
      </c>
      <c r="W114" s="442">
        <f t="shared" si="70"/>
        <v>3.9999999999999858</v>
      </c>
      <c r="X114" s="219"/>
      <c r="Y114" s="219"/>
      <c r="Z114" s="220"/>
      <c r="AA114" s="220"/>
      <c r="AB114" s="633"/>
      <c r="AC114" s="633"/>
      <c r="AD114" s="224"/>
      <c r="AE114" s="224"/>
      <c r="AF114" s="48">
        <f t="shared" si="61"/>
        <v>-449.99999999999613</v>
      </c>
      <c r="AG114" s="126">
        <f t="shared" si="62"/>
        <v>0.70000000000000262</v>
      </c>
      <c r="AH114" s="654"/>
    </row>
    <row r="115" spans="1:34" s="221" customFormat="1" ht="19.2" customHeight="1">
      <c r="A115" s="677"/>
      <c r="B115" s="431" t="s">
        <v>146</v>
      </c>
      <c r="C115" s="178"/>
      <c r="D115" s="82" t="s">
        <v>223</v>
      </c>
      <c r="E115" s="83"/>
      <c r="F115" s="361">
        <v>20.420000000000002</v>
      </c>
      <c r="G115" s="233">
        <v>640</v>
      </c>
      <c r="H115" s="45">
        <f t="shared" si="75"/>
        <v>13068.800000000001</v>
      </c>
      <c r="I115" s="429"/>
      <c r="J115" s="46">
        <v>12</v>
      </c>
      <c r="K115" s="44">
        <v>1500</v>
      </c>
      <c r="L115" s="47">
        <v>125</v>
      </c>
      <c r="M115" s="440">
        <v>12</v>
      </c>
      <c r="N115" s="44">
        <f t="shared" si="76"/>
        <v>1476.9230769230733</v>
      </c>
      <c r="O115" s="47">
        <f t="shared" si="77"/>
        <v>123.07692307692277</v>
      </c>
      <c r="P115" s="48">
        <f t="shared" si="72"/>
        <v>0</v>
      </c>
      <c r="Q115" s="49">
        <f t="shared" si="73"/>
        <v>-1.9230769230772324</v>
      </c>
      <c r="R115" s="433">
        <f t="shared" si="74"/>
        <v>0.98461538461538212</v>
      </c>
      <c r="S115" s="680"/>
      <c r="T115" s="230">
        <v>0.76527777777777772</v>
      </c>
      <c r="U115" s="230">
        <v>0.78333333333333333</v>
      </c>
      <c r="V115" s="231">
        <v>6</v>
      </c>
      <c r="W115" s="442">
        <f t="shared" si="70"/>
        <v>26.000000000000068</v>
      </c>
      <c r="X115" s="219"/>
      <c r="Y115" s="219"/>
      <c r="Z115" s="220"/>
      <c r="AA115" s="220"/>
      <c r="AB115" s="633"/>
      <c r="AC115" s="633"/>
      <c r="AD115" s="224"/>
      <c r="AE115" s="224"/>
      <c r="AF115" s="48">
        <f t="shared" si="61"/>
        <v>-23.076923076926732</v>
      </c>
      <c r="AG115" s="126">
        <f t="shared" si="62"/>
        <v>0.98461538461538223</v>
      </c>
      <c r="AH115" s="654"/>
    </row>
    <row r="116" spans="1:34" s="221" customFormat="1" ht="19.2" customHeight="1">
      <c r="A116" s="677"/>
      <c r="B116" s="431" t="s">
        <v>147</v>
      </c>
      <c r="C116" s="55"/>
      <c r="D116" s="82" t="s">
        <v>249</v>
      </c>
      <c r="E116" s="83"/>
      <c r="F116" s="361">
        <v>38.39</v>
      </c>
      <c r="G116" s="233">
        <v>1407</v>
      </c>
      <c r="H116" s="45">
        <f t="shared" si="75"/>
        <v>54014.73</v>
      </c>
      <c r="I116" s="429"/>
      <c r="J116" s="46">
        <v>16</v>
      </c>
      <c r="K116" s="44">
        <v>1440</v>
      </c>
      <c r="L116" s="47">
        <v>90</v>
      </c>
      <c r="M116" s="440">
        <v>16</v>
      </c>
      <c r="N116" s="44">
        <f t="shared" si="76"/>
        <v>1361.6129032258077</v>
      </c>
      <c r="O116" s="47">
        <f t="shared" si="77"/>
        <v>85.100806451612982</v>
      </c>
      <c r="P116" s="48">
        <f t="shared" si="72"/>
        <v>0</v>
      </c>
      <c r="Q116" s="49">
        <f t="shared" si="73"/>
        <v>-4.8991935483870179</v>
      </c>
      <c r="R116" s="433">
        <f t="shared" si="74"/>
        <v>0.94556451612903314</v>
      </c>
      <c r="S116" s="680"/>
      <c r="T116" s="230">
        <v>0.79930555555555549</v>
      </c>
      <c r="U116" s="230">
        <v>0.84236111111111101</v>
      </c>
      <c r="V116" s="231">
        <v>23</v>
      </c>
      <c r="W116" s="442">
        <f t="shared" si="70"/>
        <v>61.999999999999943</v>
      </c>
      <c r="X116" s="219">
        <v>0.78819444444444453</v>
      </c>
      <c r="Y116" s="219">
        <v>0.79861111111111116</v>
      </c>
      <c r="Z116" s="220"/>
      <c r="AA116" s="220"/>
      <c r="AB116" s="633"/>
      <c r="AC116" s="633"/>
      <c r="AD116" s="224"/>
      <c r="AE116" s="224"/>
      <c r="AF116" s="48">
        <f t="shared" si="61"/>
        <v>-78.387096774192287</v>
      </c>
      <c r="AG116" s="126">
        <f t="shared" si="62"/>
        <v>0.94556451612903314</v>
      </c>
      <c r="AH116" s="654"/>
    </row>
    <row r="117" spans="1:34" s="221" customFormat="1" ht="19.2" customHeight="1">
      <c r="A117" s="677"/>
      <c r="B117" s="431" t="s">
        <v>147</v>
      </c>
      <c r="C117" s="55"/>
      <c r="D117" s="82" t="s">
        <v>251</v>
      </c>
      <c r="E117" s="83"/>
      <c r="F117" s="361">
        <v>52.86</v>
      </c>
      <c r="G117" s="233">
        <v>695</v>
      </c>
      <c r="H117" s="45">
        <f t="shared" si="75"/>
        <v>36737.699999999997</v>
      </c>
      <c r="I117" s="429"/>
      <c r="J117" s="46">
        <v>18</v>
      </c>
      <c r="K117" s="44">
        <v>1440</v>
      </c>
      <c r="L117" s="47">
        <v>80</v>
      </c>
      <c r="M117" s="440">
        <v>18</v>
      </c>
      <c r="N117" s="44">
        <f t="shared" si="76"/>
        <v>1303.1250000000048</v>
      </c>
      <c r="O117" s="47">
        <f t="shared" si="77"/>
        <v>72.395833333333599</v>
      </c>
      <c r="P117" s="48">
        <f t="shared" si="72"/>
        <v>0</v>
      </c>
      <c r="Q117" s="49">
        <f t="shared" si="73"/>
        <v>-7.6041666666664014</v>
      </c>
      <c r="R117" s="433">
        <f t="shared" si="74"/>
        <v>0.90494791666666996</v>
      </c>
      <c r="S117" s="680"/>
      <c r="T117" s="230">
        <v>0.84791666666666676</v>
      </c>
      <c r="U117" s="230">
        <v>0.87013888888888891</v>
      </c>
      <c r="V117" s="231">
        <v>8</v>
      </c>
      <c r="W117" s="442">
        <f t="shared" si="70"/>
        <v>31.999999999999886</v>
      </c>
      <c r="X117" s="219"/>
      <c r="Y117" s="219"/>
      <c r="Z117" s="220"/>
      <c r="AA117" s="220"/>
      <c r="AB117" s="633"/>
      <c r="AC117" s="633"/>
      <c r="AD117" s="224"/>
      <c r="AE117" s="224"/>
      <c r="AF117" s="48">
        <f t="shared" si="61"/>
        <v>-136.87499999999523</v>
      </c>
      <c r="AG117" s="126">
        <f t="shared" si="62"/>
        <v>0.90494791666666996</v>
      </c>
      <c r="AH117" s="654"/>
    </row>
    <row r="118" spans="1:34" s="221" customFormat="1" ht="19.2" customHeight="1">
      <c r="A118" s="677"/>
      <c r="B118" s="431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429"/>
      <c r="J118" s="46"/>
      <c r="K118" s="44"/>
      <c r="L118" s="47"/>
      <c r="M118" s="440"/>
      <c r="N118" s="44"/>
      <c r="O118" s="47"/>
      <c r="P118" s="48"/>
      <c r="Q118" s="49"/>
      <c r="R118" s="433"/>
      <c r="S118" s="680"/>
      <c r="T118" s="230"/>
      <c r="U118" s="230"/>
      <c r="V118" s="231"/>
      <c r="W118" s="442">
        <f t="shared" si="70"/>
        <v>0</v>
      </c>
      <c r="X118" s="219"/>
      <c r="Y118" s="219"/>
      <c r="Z118" s="220"/>
      <c r="AA118" s="220"/>
      <c r="AB118" s="633"/>
      <c r="AC118" s="633"/>
      <c r="AD118" s="224"/>
      <c r="AE118" s="224"/>
      <c r="AF118" s="48">
        <f t="shared" si="61"/>
        <v>0</v>
      </c>
      <c r="AG118" s="126" t="e">
        <f t="shared" si="62"/>
        <v>#DIV/0!</v>
      </c>
      <c r="AH118" s="654"/>
    </row>
    <row r="119" spans="1:34" s="221" customFormat="1" ht="19.2" customHeight="1">
      <c r="A119" s="677"/>
      <c r="B119" s="431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429"/>
      <c r="J119" s="181"/>
      <c r="K119" s="235"/>
      <c r="L119" s="47"/>
      <c r="M119" s="440"/>
      <c r="N119" s="182"/>
      <c r="O119" s="228"/>
      <c r="P119" s="168"/>
      <c r="Q119" s="49"/>
      <c r="R119" s="433"/>
      <c r="S119" s="680"/>
      <c r="T119" s="230"/>
      <c r="U119" s="230"/>
      <c r="V119" s="231"/>
      <c r="W119" s="442"/>
      <c r="X119" s="219"/>
      <c r="Y119" s="219"/>
      <c r="Z119" s="220"/>
      <c r="AA119" s="220"/>
      <c r="AB119" s="633"/>
      <c r="AC119" s="633"/>
      <c r="AD119" s="224"/>
      <c r="AE119" s="224"/>
      <c r="AF119" s="48">
        <f t="shared" si="61"/>
        <v>0</v>
      </c>
      <c r="AG119" s="126" t="e">
        <f t="shared" si="62"/>
        <v>#DIV/0!</v>
      </c>
      <c r="AH119" s="654"/>
    </row>
    <row r="120" spans="1:34" s="221" customFormat="1" ht="19.2" customHeight="1">
      <c r="A120" s="677"/>
      <c r="B120" s="431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429"/>
      <c r="J120" s="181"/>
      <c r="K120" s="235"/>
      <c r="L120" s="47"/>
      <c r="M120" s="440"/>
      <c r="N120" s="182"/>
      <c r="O120" s="228"/>
      <c r="P120" s="168"/>
      <c r="Q120" s="49"/>
      <c r="R120" s="433"/>
      <c r="S120" s="680"/>
      <c r="T120" s="230"/>
      <c r="U120" s="230"/>
      <c r="V120" s="231"/>
      <c r="W120" s="442">
        <f t="shared" si="70"/>
        <v>0</v>
      </c>
      <c r="X120" s="219"/>
      <c r="Y120" s="219"/>
      <c r="Z120" s="220"/>
      <c r="AA120" s="220"/>
      <c r="AB120" s="633"/>
      <c r="AC120" s="633"/>
      <c r="AD120" s="224"/>
      <c r="AE120" s="224"/>
      <c r="AF120" s="48">
        <f t="shared" si="61"/>
        <v>0</v>
      </c>
      <c r="AG120" s="126" t="e">
        <f t="shared" si="62"/>
        <v>#DIV/0!</v>
      </c>
      <c r="AH120" s="654"/>
    </row>
    <row r="121" spans="1:34" ht="19.2" customHeight="1">
      <c r="A121" s="678"/>
      <c r="B121" s="122">
        <v>0</v>
      </c>
      <c r="C121" s="100" t="s">
        <v>309</v>
      </c>
      <c r="D121" s="236" t="s">
        <v>293</v>
      </c>
      <c r="E121" s="237"/>
      <c r="F121" s="370"/>
      <c r="G121" s="238"/>
      <c r="H121" s="239"/>
      <c r="I121" s="240"/>
      <c r="J121" s="205">
        <v>15.222222222222221</v>
      </c>
      <c r="K121" s="205">
        <v>1440.5555555555557</v>
      </c>
      <c r="L121" s="206">
        <v>101.11552028218696</v>
      </c>
      <c r="M121" s="205">
        <f t="shared" ref="M121:O121" si="78">AVERAGE(M109:M120)</f>
        <v>15.222222222222221</v>
      </c>
      <c r="N121" s="205">
        <f t="shared" si="78"/>
        <v>1298.5915812018588</v>
      </c>
      <c r="O121" s="206">
        <f t="shared" si="78"/>
        <v>90.487749182280737</v>
      </c>
      <c r="P121" s="48">
        <f t="shared" ref="P121:P129" si="79">M121-J121</f>
        <v>0</v>
      </c>
      <c r="Q121" s="49">
        <f t="shared" ref="Q121:Q129" si="80">O121-L121</f>
        <v>-10.627771099906226</v>
      </c>
      <c r="R121" s="175">
        <f t="shared" ref="R121:R129" si="81">O121/L121</f>
        <v>0.89489475927882389</v>
      </c>
      <c r="S121" s="659"/>
      <c r="T121" s="50"/>
      <c r="U121" s="50"/>
      <c r="V121" s="44"/>
      <c r="W121" s="44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33"/>
      <c r="AC121" s="633"/>
      <c r="AD121" s="107">
        <f>SUM(AD109:AD120)</f>
        <v>0</v>
      </c>
      <c r="AE121" s="107">
        <f>SUM(AE109:AE120)</f>
        <v>0</v>
      </c>
      <c r="AF121" s="48">
        <f>N121-K121</f>
        <v>-141.96397435369681</v>
      </c>
      <c r="AG121" s="126">
        <f>N121/K121</f>
        <v>0.90145192678879515</v>
      </c>
      <c r="AH121" s="654"/>
    </row>
    <row r="122" spans="1:34" ht="19.2" customHeight="1">
      <c r="A122" s="681" t="s">
        <v>310</v>
      </c>
      <c r="B122" s="131" t="s">
        <v>147</v>
      </c>
      <c r="C122" s="166"/>
      <c r="D122" s="179" t="s">
        <v>81</v>
      </c>
      <c r="E122" s="43"/>
      <c r="F122" s="361">
        <v>56.43</v>
      </c>
      <c r="G122" s="44">
        <v>815</v>
      </c>
      <c r="H122" s="45">
        <f t="shared" ref="H122:H132" si="82">F122*G122</f>
        <v>45990.45</v>
      </c>
      <c r="I122" s="431"/>
      <c r="J122" s="46">
        <v>18</v>
      </c>
      <c r="K122" s="44">
        <v>1500</v>
      </c>
      <c r="L122" s="47">
        <v>83.333333333333329</v>
      </c>
      <c r="M122" s="443">
        <v>18</v>
      </c>
      <c r="N122" s="177">
        <f t="shared" ref="N122:N129" si="83">G122/W122*60</f>
        <v>1321.6216216216205</v>
      </c>
      <c r="O122" s="241">
        <f t="shared" ref="O122:O129" si="84">N122/M122</f>
        <v>73.423423423423358</v>
      </c>
      <c r="P122" s="108">
        <f t="shared" si="79"/>
        <v>0</v>
      </c>
      <c r="Q122" s="185">
        <f t="shared" si="80"/>
        <v>-9.9099099099099703</v>
      </c>
      <c r="R122" s="109">
        <f t="shared" si="81"/>
        <v>0.8810810810810803</v>
      </c>
      <c r="S122" s="645">
        <f>R134</f>
        <v>0.90802477024131401</v>
      </c>
      <c r="T122" s="50">
        <v>0.5</v>
      </c>
      <c r="U122" s="50">
        <v>0.52569444444444446</v>
      </c>
      <c r="V122" s="231">
        <v>5</v>
      </c>
      <c r="W122" s="442">
        <f t="shared" si="70"/>
        <v>37.000000000000028</v>
      </c>
      <c r="X122" s="53"/>
      <c r="Y122" s="53"/>
      <c r="Z122" s="54"/>
      <c r="AA122" s="54"/>
      <c r="AB122" s="633"/>
      <c r="AC122" s="633"/>
      <c r="AD122" s="429">
        <v>1</v>
      </c>
      <c r="AE122" s="429"/>
      <c r="AF122" s="48">
        <f t="shared" si="61"/>
        <v>-178.37837837837947</v>
      </c>
      <c r="AG122" s="433">
        <f t="shared" si="62"/>
        <v>0.88108108108108041</v>
      </c>
      <c r="AH122" s="659">
        <f>AG134</f>
        <v>0.9089958186542475</v>
      </c>
    </row>
    <row r="123" spans="1:34" ht="19.2" customHeight="1">
      <c r="A123" s="681"/>
      <c r="B123" s="131" t="s">
        <v>143</v>
      </c>
      <c r="C123" s="97"/>
      <c r="D123" s="42" t="s">
        <v>87</v>
      </c>
      <c r="E123" s="180"/>
      <c r="F123" s="361">
        <v>58.67</v>
      </c>
      <c r="G123" s="44">
        <v>1325</v>
      </c>
      <c r="H123" s="45">
        <f t="shared" si="82"/>
        <v>77737.75</v>
      </c>
      <c r="I123" s="429"/>
      <c r="J123" s="87">
        <v>19</v>
      </c>
      <c r="K123" s="57">
        <v>1440</v>
      </c>
      <c r="L123" s="86">
        <v>75.78947368421052</v>
      </c>
      <c r="M123" s="440">
        <v>19</v>
      </c>
      <c r="N123" s="57">
        <f t="shared" si="83"/>
        <v>1347.4576271186452</v>
      </c>
      <c r="O123" s="86">
        <f t="shared" si="84"/>
        <v>70.918822479928693</v>
      </c>
      <c r="P123" s="54">
        <f t="shared" si="79"/>
        <v>0</v>
      </c>
      <c r="Q123" s="88">
        <f t="shared" si="80"/>
        <v>-4.8706512042818275</v>
      </c>
      <c r="R123" s="430">
        <f t="shared" si="81"/>
        <v>0.93573446327683696</v>
      </c>
      <c r="S123" s="645"/>
      <c r="T123" s="50">
        <v>0.52986111111111112</v>
      </c>
      <c r="U123" s="50">
        <v>0.5708333333333333</v>
      </c>
      <c r="V123" s="231">
        <v>6</v>
      </c>
      <c r="W123" s="442">
        <f t="shared" si="70"/>
        <v>58.99999999999995</v>
      </c>
      <c r="X123" s="53"/>
      <c r="Y123" s="53"/>
      <c r="Z123" s="54"/>
      <c r="AA123" s="54"/>
      <c r="AB123" s="633"/>
      <c r="AC123" s="633"/>
      <c r="AD123" s="429"/>
      <c r="AE123" s="429"/>
      <c r="AF123" s="48">
        <f t="shared" si="61"/>
        <v>-92.542372881354822</v>
      </c>
      <c r="AG123" s="433">
        <f t="shared" si="62"/>
        <v>0.93573446327683696</v>
      </c>
      <c r="AH123" s="645"/>
    </row>
    <row r="124" spans="1:34" ht="19.2" customHeight="1">
      <c r="A124" s="681"/>
      <c r="B124" s="131" t="s">
        <v>143</v>
      </c>
      <c r="C124" s="178"/>
      <c r="D124" s="179" t="s">
        <v>86</v>
      </c>
      <c r="E124" s="180"/>
      <c r="F124" s="361">
        <v>59.52</v>
      </c>
      <c r="G124" s="177">
        <v>1643</v>
      </c>
      <c r="H124" s="45">
        <f t="shared" si="82"/>
        <v>97791.360000000001</v>
      </c>
      <c r="I124" s="242"/>
      <c r="J124" s="87">
        <v>21</v>
      </c>
      <c r="K124" s="57">
        <v>1385</v>
      </c>
      <c r="L124" s="86">
        <v>65.952380952380949</v>
      </c>
      <c r="M124" s="443">
        <v>21</v>
      </c>
      <c r="N124" s="177">
        <f t="shared" si="83"/>
        <v>1297.1052631578939</v>
      </c>
      <c r="O124" s="241">
        <f t="shared" si="84"/>
        <v>61.766917293233043</v>
      </c>
      <c r="P124" s="108">
        <f t="shared" si="79"/>
        <v>0</v>
      </c>
      <c r="Q124" s="185">
        <f t="shared" si="80"/>
        <v>-4.1854636591479064</v>
      </c>
      <c r="R124" s="109">
        <f t="shared" si="81"/>
        <v>0.93653809614288375</v>
      </c>
      <c r="S124" s="682"/>
      <c r="T124" s="50">
        <v>0.58680555555555558</v>
      </c>
      <c r="U124" s="50">
        <v>0.63958333333333339</v>
      </c>
      <c r="V124" s="231">
        <v>23</v>
      </c>
      <c r="W124" s="442">
        <f t="shared" si="70"/>
        <v>76.000000000000057</v>
      </c>
      <c r="X124" s="191">
        <v>0.57430555555555551</v>
      </c>
      <c r="Y124" s="191">
        <v>0.5854166666666667</v>
      </c>
      <c r="Z124" s="54"/>
      <c r="AA124" s="54"/>
      <c r="AB124" s="633"/>
      <c r="AC124" s="633"/>
      <c r="AD124" s="429"/>
      <c r="AE124" s="429"/>
      <c r="AF124" s="108">
        <f t="shared" si="61"/>
        <v>-87.894736842106113</v>
      </c>
      <c r="AG124" s="109">
        <f t="shared" si="62"/>
        <v>0.93653809614288364</v>
      </c>
      <c r="AH124" s="645"/>
    </row>
    <row r="125" spans="1:34" ht="19.2" customHeight="1">
      <c r="A125" s="681"/>
      <c r="B125" s="131" t="s">
        <v>147</v>
      </c>
      <c r="C125" s="97"/>
      <c r="D125" s="42" t="s">
        <v>88</v>
      </c>
      <c r="E125" s="43"/>
      <c r="F125" s="361">
        <v>56.79</v>
      </c>
      <c r="G125" s="44">
        <v>1259</v>
      </c>
      <c r="H125" s="45">
        <f t="shared" si="82"/>
        <v>71498.61</v>
      </c>
      <c r="I125" s="431"/>
      <c r="J125" s="87">
        <v>18</v>
      </c>
      <c r="K125" s="57">
        <v>1636</v>
      </c>
      <c r="L125" s="86">
        <v>90.888888888888886</v>
      </c>
      <c r="M125" s="443">
        <v>18</v>
      </c>
      <c r="N125" s="57">
        <f t="shared" si="83"/>
        <v>1452.6923076923085</v>
      </c>
      <c r="O125" s="86">
        <f t="shared" si="84"/>
        <v>80.705128205128247</v>
      </c>
      <c r="P125" s="54">
        <f t="shared" si="79"/>
        <v>0</v>
      </c>
      <c r="Q125" s="88">
        <f t="shared" si="80"/>
        <v>-10.183760683760639</v>
      </c>
      <c r="R125" s="430">
        <f t="shared" si="81"/>
        <v>0.887953733308257</v>
      </c>
      <c r="S125" s="682"/>
      <c r="T125" s="50">
        <v>0.70833333333333337</v>
      </c>
      <c r="U125" s="50">
        <v>0.74444444444444446</v>
      </c>
      <c r="V125" s="231">
        <v>5</v>
      </c>
      <c r="W125" s="442">
        <f t="shared" si="70"/>
        <v>51.999999999999972</v>
      </c>
      <c r="X125" s="64"/>
      <c r="Y125" s="64"/>
      <c r="Z125" s="54"/>
      <c r="AA125" s="54"/>
      <c r="AB125" s="633"/>
      <c r="AC125" s="633"/>
      <c r="AD125" s="429"/>
      <c r="AE125" s="429"/>
      <c r="AF125" s="48">
        <f t="shared" si="61"/>
        <v>-183.30769230769147</v>
      </c>
      <c r="AG125" s="433">
        <f t="shared" si="62"/>
        <v>0.887953733308257</v>
      </c>
      <c r="AH125" s="646"/>
    </row>
    <row r="126" spans="1:34" ht="19.2" customHeight="1">
      <c r="A126" s="681"/>
      <c r="B126" s="131" t="s">
        <v>147</v>
      </c>
      <c r="C126" s="429"/>
      <c r="D126" s="413" t="s">
        <v>89</v>
      </c>
      <c r="E126" s="180"/>
      <c r="F126" s="361">
        <v>56.87</v>
      </c>
      <c r="G126" s="57">
        <v>1002</v>
      </c>
      <c r="H126" s="45">
        <f t="shared" si="82"/>
        <v>56983.74</v>
      </c>
      <c r="I126" s="429"/>
      <c r="J126" s="87">
        <v>18</v>
      </c>
      <c r="K126" s="57">
        <v>1636</v>
      </c>
      <c r="L126" s="86">
        <v>90.888888888888886</v>
      </c>
      <c r="M126" s="440">
        <v>18</v>
      </c>
      <c r="N126" s="57">
        <f t="shared" si="83"/>
        <v>1466.3414634146336</v>
      </c>
      <c r="O126" s="86">
        <f t="shared" si="84"/>
        <v>81.463414634146318</v>
      </c>
      <c r="P126" s="54">
        <f t="shared" si="79"/>
        <v>0</v>
      </c>
      <c r="Q126" s="88">
        <f t="shared" si="80"/>
        <v>-9.4254742547425678</v>
      </c>
      <c r="R126" s="430">
        <f t="shared" si="81"/>
        <v>0.89629673802850474</v>
      </c>
      <c r="S126" s="682"/>
      <c r="T126" s="50">
        <v>0.75</v>
      </c>
      <c r="U126" s="50">
        <v>0.77847222222222223</v>
      </c>
      <c r="V126" s="231">
        <v>8</v>
      </c>
      <c r="W126" s="442">
        <f t="shared" si="70"/>
        <v>41.000000000000014</v>
      </c>
      <c r="X126" s="64"/>
      <c r="Y126" s="64"/>
      <c r="Z126" s="54"/>
      <c r="AA126" s="54"/>
      <c r="AB126" s="633"/>
      <c r="AC126" s="633"/>
      <c r="AD126" s="429"/>
      <c r="AE126" s="429"/>
      <c r="AF126" s="108">
        <f t="shared" si="61"/>
        <v>-169.65853658536639</v>
      </c>
      <c r="AG126" s="109">
        <f t="shared" si="62"/>
        <v>0.89629673802850462</v>
      </c>
      <c r="AH126" s="646"/>
    </row>
    <row r="127" spans="1:34" ht="19.2" customHeight="1">
      <c r="A127" s="681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800</v>
      </c>
      <c r="H127" s="45">
        <f t="shared" si="82"/>
        <v>43272</v>
      </c>
      <c r="I127" s="224"/>
      <c r="J127" s="87">
        <v>17</v>
      </c>
      <c r="K127" s="57">
        <v>1565</v>
      </c>
      <c r="L127" s="86">
        <v>92.058823529411768</v>
      </c>
      <c r="M127" s="443">
        <v>17</v>
      </c>
      <c r="N127" s="177">
        <f t="shared" si="83"/>
        <v>1371.42857142857</v>
      </c>
      <c r="O127" s="241">
        <f t="shared" si="84"/>
        <v>80.672268907562938</v>
      </c>
      <c r="P127" s="108">
        <f t="shared" si="79"/>
        <v>0</v>
      </c>
      <c r="Q127" s="185">
        <f t="shared" si="80"/>
        <v>-11.38655462184883</v>
      </c>
      <c r="R127" s="109">
        <f t="shared" si="81"/>
        <v>0.87631218621633855</v>
      </c>
      <c r="S127" s="682"/>
      <c r="T127" s="50">
        <v>0.78263888888888888</v>
      </c>
      <c r="U127" s="50">
        <v>0.80694444444444446</v>
      </c>
      <c r="V127" s="431">
        <v>6</v>
      </c>
      <c r="W127" s="442">
        <f t="shared" si="70"/>
        <v>35.000000000000036</v>
      </c>
      <c r="X127" s="64"/>
      <c r="Y127" s="64"/>
      <c r="Z127" s="54"/>
      <c r="AA127" s="54"/>
      <c r="AB127" s="633"/>
      <c r="AC127" s="633"/>
      <c r="AD127" s="429"/>
      <c r="AE127" s="429"/>
      <c r="AF127" s="108">
        <f t="shared" si="61"/>
        <v>-193.57142857143003</v>
      </c>
      <c r="AG127" s="109">
        <f t="shared" si="62"/>
        <v>0.87631218621633866</v>
      </c>
      <c r="AH127" s="646"/>
    </row>
    <row r="128" spans="1:34" ht="19.2" customHeight="1">
      <c r="A128" s="681"/>
      <c r="B128" s="131" t="s">
        <v>147</v>
      </c>
      <c r="C128" s="160"/>
      <c r="D128" s="59" t="s">
        <v>91</v>
      </c>
      <c r="E128" s="83"/>
      <c r="F128" s="361">
        <v>47.6</v>
      </c>
      <c r="G128" s="57">
        <v>1284</v>
      </c>
      <c r="H128" s="45">
        <f t="shared" si="82"/>
        <v>61118.400000000001</v>
      </c>
      <c r="I128" s="429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1328.2758620689665</v>
      </c>
      <c r="O128" s="86">
        <f t="shared" si="84"/>
        <v>69.909255898366652</v>
      </c>
      <c r="P128" s="54">
        <f t="shared" si="79"/>
        <v>0</v>
      </c>
      <c r="Q128" s="88">
        <f t="shared" si="80"/>
        <v>-5.8802177858438682</v>
      </c>
      <c r="R128" s="430">
        <f t="shared" si="81"/>
        <v>0.92241379310344895</v>
      </c>
      <c r="S128" s="682"/>
      <c r="T128" s="50">
        <v>0.81180555555555556</v>
      </c>
      <c r="U128" s="50">
        <v>0.8520833333333333</v>
      </c>
      <c r="V128" s="431">
        <v>7</v>
      </c>
      <c r="W128" s="442">
        <f t="shared" si="70"/>
        <v>57.999999999999957</v>
      </c>
      <c r="X128" s="64"/>
      <c r="Y128" s="64"/>
      <c r="Z128" s="54"/>
      <c r="AA128" s="54"/>
      <c r="AB128" s="633"/>
      <c r="AC128" s="633"/>
      <c r="AD128" s="429"/>
      <c r="AE128" s="429"/>
      <c r="AF128" s="48">
        <f t="shared" si="61"/>
        <v>-111.72413793103351</v>
      </c>
      <c r="AG128" s="433">
        <f t="shared" si="62"/>
        <v>0.92241379310344895</v>
      </c>
      <c r="AH128" s="646"/>
    </row>
    <row r="129" spans="1:34" ht="19.2" customHeight="1">
      <c r="A129" s="681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1109</v>
      </c>
      <c r="H129" s="45">
        <f t="shared" si="82"/>
        <v>56193.03</v>
      </c>
      <c r="I129" s="429"/>
      <c r="J129" s="87">
        <v>18</v>
      </c>
      <c r="K129" s="57">
        <v>1500</v>
      </c>
      <c r="L129" s="86">
        <v>83.333333333333329</v>
      </c>
      <c r="M129" s="440">
        <v>18</v>
      </c>
      <c r="N129" s="57">
        <f t="shared" si="83"/>
        <v>1415.744680851064</v>
      </c>
      <c r="O129" s="86">
        <f t="shared" si="84"/>
        <v>78.652482269503551</v>
      </c>
      <c r="P129" s="54">
        <f t="shared" si="79"/>
        <v>0</v>
      </c>
      <c r="Q129" s="88">
        <f t="shared" si="80"/>
        <v>-4.6808510638297776</v>
      </c>
      <c r="R129" s="430">
        <f t="shared" si="81"/>
        <v>0.94382978723404265</v>
      </c>
      <c r="S129" s="682"/>
      <c r="T129" s="50">
        <v>0.86666666666666659</v>
      </c>
      <c r="U129" s="50">
        <v>0.89930555555555547</v>
      </c>
      <c r="V129" s="431">
        <v>21</v>
      </c>
      <c r="W129" s="442">
        <f t="shared" si="70"/>
        <v>46.999999999999993</v>
      </c>
      <c r="X129" s="64">
        <v>0.85555555555555562</v>
      </c>
      <c r="Y129" s="64">
        <v>0.8652777777777777</v>
      </c>
      <c r="Z129" s="54"/>
      <c r="AA129" s="54"/>
      <c r="AB129" s="633"/>
      <c r="AC129" s="633"/>
      <c r="AD129" s="429"/>
      <c r="AE129" s="429"/>
      <c r="AF129" s="108">
        <f t="shared" si="61"/>
        <v>-84.255319148935996</v>
      </c>
      <c r="AG129" s="109">
        <f t="shared" si="62"/>
        <v>0.94382978723404265</v>
      </c>
      <c r="AH129" s="646"/>
    </row>
    <row r="130" spans="1:34" ht="19.2" customHeight="1">
      <c r="A130" s="681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429"/>
      <c r="J130" s="87"/>
      <c r="K130" s="57"/>
      <c r="L130" s="86"/>
      <c r="M130" s="440"/>
      <c r="N130" s="177"/>
      <c r="O130" s="241"/>
      <c r="P130" s="108"/>
      <c r="Q130" s="185"/>
      <c r="R130" s="109"/>
      <c r="S130" s="682"/>
      <c r="T130" s="50"/>
      <c r="U130" s="50"/>
      <c r="V130" s="431"/>
      <c r="W130" s="442">
        <f t="shared" si="70"/>
        <v>0</v>
      </c>
      <c r="X130" s="64"/>
      <c r="Y130" s="64"/>
      <c r="Z130" s="54"/>
      <c r="AA130" s="54"/>
      <c r="AB130" s="633"/>
      <c r="AC130" s="633"/>
      <c r="AD130" s="429"/>
      <c r="AE130" s="429"/>
      <c r="AF130" s="108">
        <f t="shared" si="61"/>
        <v>0</v>
      </c>
      <c r="AG130" s="109" t="e">
        <f t="shared" si="62"/>
        <v>#DIV/0!</v>
      </c>
      <c r="AH130" s="646"/>
    </row>
    <row r="131" spans="1:34" ht="19.2" customHeight="1">
      <c r="A131" s="681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0"/>
      <c r="S131" s="682"/>
      <c r="T131" s="50"/>
      <c r="U131" s="50"/>
      <c r="V131" s="431"/>
      <c r="W131" s="442">
        <f t="shared" si="70"/>
        <v>0</v>
      </c>
      <c r="X131" s="64"/>
      <c r="Y131" s="64"/>
      <c r="Z131" s="54"/>
      <c r="AA131" s="54"/>
      <c r="AB131" s="633"/>
      <c r="AC131" s="633"/>
      <c r="AD131" s="429"/>
      <c r="AE131" s="429"/>
      <c r="AF131" s="48">
        <f t="shared" si="61"/>
        <v>0</v>
      </c>
      <c r="AG131" s="433" t="e">
        <f t="shared" si="62"/>
        <v>#DIV/0!</v>
      </c>
      <c r="AH131" s="646"/>
    </row>
    <row r="132" spans="1:34" ht="19.2" customHeight="1">
      <c r="A132" s="681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429"/>
      <c r="J132" s="87"/>
      <c r="K132" s="57"/>
      <c r="L132" s="86"/>
      <c r="M132" s="440"/>
      <c r="N132" s="57"/>
      <c r="O132" s="86"/>
      <c r="P132" s="54"/>
      <c r="Q132" s="88"/>
      <c r="R132" s="430"/>
      <c r="S132" s="682"/>
      <c r="T132" s="50"/>
      <c r="U132" s="50"/>
      <c r="V132" s="431"/>
      <c r="W132" s="442">
        <f t="shared" si="70"/>
        <v>0</v>
      </c>
      <c r="X132" s="64"/>
      <c r="Y132" s="64"/>
      <c r="Z132" s="54"/>
      <c r="AA132" s="54"/>
      <c r="AB132" s="633"/>
      <c r="AC132" s="633"/>
      <c r="AD132" s="429"/>
      <c r="AE132" s="429"/>
      <c r="AF132" s="65"/>
      <c r="AG132" s="434"/>
      <c r="AH132" s="646"/>
    </row>
    <row r="133" spans="1:34" ht="19.2" customHeight="1">
      <c r="A133" s="681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429"/>
      <c r="J133" s="87"/>
      <c r="K133" s="57"/>
      <c r="L133" s="86"/>
      <c r="M133" s="440"/>
      <c r="N133" s="57"/>
      <c r="O133" s="86"/>
      <c r="P133" s="54"/>
      <c r="Q133" s="88"/>
      <c r="R133" s="430"/>
      <c r="S133" s="682"/>
      <c r="T133" s="50"/>
      <c r="U133" s="50"/>
      <c r="V133" s="431"/>
      <c r="W133" s="243">
        <f t="shared" si="70"/>
        <v>0</v>
      </c>
      <c r="X133" s="64"/>
      <c r="Y133" s="64"/>
      <c r="Z133" s="54"/>
      <c r="AA133" s="54"/>
      <c r="AB133" s="633"/>
      <c r="AC133" s="633"/>
      <c r="AD133" s="429"/>
      <c r="AE133" s="429"/>
      <c r="AF133" s="65"/>
      <c r="AG133" s="434"/>
      <c r="AH133" s="646"/>
    </row>
    <row r="134" spans="1:34" ht="19.2" customHeight="1">
      <c r="A134" s="681"/>
      <c r="B134" s="171">
        <v>0</v>
      </c>
      <c r="C134" s="100" t="s">
        <v>311</v>
      </c>
      <c r="D134" s="660" t="s">
        <v>293</v>
      </c>
      <c r="E134" s="660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1375.0834246692129</v>
      </c>
      <c r="O134" s="247">
        <f t="shared" si="85"/>
        <v>74.688964138911601</v>
      </c>
      <c r="P134" s="51">
        <f t="shared" ref="P134:P144" si="86">M134-J134</f>
        <v>0</v>
      </c>
      <c r="Q134" s="142">
        <f t="shared" ref="Q134:Q144" si="87">O134-L134</f>
        <v>-7.5653603979206707</v>
      </c>
      <c r="R134" s="248">
        <f t="shared" ref="R134:R144" si="88">O134/L134</f>
        <v>0.90802477024131401</v>
      </c>
      <c r="S134" s="645"/>
      <c r="T134" s="50"/>
      <c r="U134" s="50"/>
      <c r="V134" s="431"/>
      <c r="W134" s="431"/>
      <c r="X134" s="53"/>
      <c r="Y134" s="53"/>
      <c r="Z134" s="106">
        <f>SUM(Z122:Z133)</f>
        <v>0</v>
      </c>
      <c r="AA134" s="106">
        <f>SUM(AA122:AA133)</f>
        <v>0</v>
      </c>
      <c r="AB134" s="633"/>
      <c r="AC134" s="633"/>
      <c r="AD134" s="107">
        <f>SUM(AD122:AD133)</f>
        <v>1</v>
      </c>
      <c r="AE134" s="107">
        <f>SUM(AE122:AE133)</f>
        <v>0</v>
      </c>
      <c r="AF134" s="48">
        <f t="shared" si="61"/>
        <v>-137.66657533078705</v>
      </c>
      <c r="AG134" s="433">
        <f t="shared" si="62"/>
        <v>0.9089958186542475</v>
      </c>
      <c r="AH134" s="646"/>
    </row>
    <row r="135" spans="1:34" ht="19.2" customHeight="1">
      <c r="A135" s="683" t="s">
        <v>312</v>
      </c>
      <c r="B135" s="431" t="s">
        <v>147</v>
      </c>
      <c r="C135" s="429"/>
      <c r="D135" s="82" t="s">
        <v>186</v>
      </c>
      <c r="E135" s="83"/>
      <c r="F135" s="361">
        <v>54.09</v>
      </c>
      <c r="G135" s="57">
        <v>2080.8000000000002</v>
      </c>
      <c r="H135" s="249">
        <f t="shared" ref="H135:H146" si="89">F135*G135</f>
        <v>112550.47200000002</v>
      </c>
      <c r="I135" s="429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1402.7865168539313</v>
      </c>
      <c r="O135" s="116">
        <f t="shared" ref="O135:O144" si="91">N135/M135</f>
        <v>77.932584269662854</v>
      </c>
      <c r="P135" s="54">
        <f t="shared" si="86"/>
        <v>0</v>
      </c>
      <c r="Q135" s="88">
        <f t="shared" si="87"/>
        <v>-5.4007490636704745</v>
      </c>
      <c r="R135" s="430">
        <f t="shared" si="88"/>
        <v>0.93519101123595427</v>
      </c>
      <c r="S135" s="680">
        <f>R147</f>
        <v>0.91394336027084044</v>
      </c>
      <c r="T135" s="250">
        <v>0.45833333333333331</v>
      </c>
      <c r="U135" s="50">
        <v>0.52013888888888893</v>
      </c>
      <c r="V135" s="145">
        <v>5</v>
      </c>
      <c r="W135" s="251">
        <f t="shared" ref="W135:W147" si="92">(U135-T135)*24*60</f>
        <v>89.000000000000085</v>
      </c>
      <c r="X135" s="53"/>
      <c r="Y135" s="53"/>
      <c r="Z135" s="54"/>
      <c r="AA135" s="54"/>
      <c r="AB135" s="633"/>
      <c r="AC135" s="633"/>
      <c r="AD135" s="429">
        <v>1</v>
      </c>
      <c r="AE135" s="429"/>
      <c r="AF135" s="117">
        <f t="shared" si="61"/>
        <v>-97.213483146068711</v>
      </c>
      <c r="AG135" s="121">
        <f t="shared" si="62"/>
        <v>0.93519101123595416</v>
      </c>
      <c r="AH135" s="654">
        <f>AG147</f>
        <v>0.92242495833908</v>
      </c>
    </row>
    <row r="136" spans="1:34" ht="19.2" customHeight="1">
      <c r="A136" s="684"/>
      <c r="B136" s="431" t="s">
        <v>147</v>
      </c>
      <c r="C136" s="429"/>
      <c r="D136" s="82" t="s">
        <v>79</v>
      </c>
      <c r="E136" s="83"/>
      <c r="F136" s="361">
        <v>53.68</v>
      </c>
      <c r="G136" s="57">
        <v>745</v>
      </c>
      <c r="H136" s="84">
        <f t="shared" si="89"/>
        <v>39991.599999999999</v>
      </c>
      <c r="I136" s="429"/>
      <c r="J136" s="46">
        <v>16</v>
      </c>
      <c r="K136" s="57">
        <v>1500</v>
      </c>
      <c r="L136" s="86">
        <v>93.75</v>
      </c>
      <c r="M136" s="440">
        <v>16</v>
      </c>
      <c r="N136" s="57">
        <f t="shared" si="90"/>
        <v>1314.7058823529396</v>
      </c>
      <c r="O136" s="86">
        <f t="shared" si="91"/>
        <v>82.169117647058727</v>
      </c>
      <c r="P136" s="54">
        <f t="shared" si="86"/>
        <v>0</v>
      </c>
      <c r="Q136" s="88">
        <f t="shared" si="87"/>
        <v>-11.580882352941273</v>
      </c>
      <c r="R136" s="430">
        <f t="shared" si="88"/>
        <v>0.87647058823529311</v>
      </c>
      <c r="S136" s="680"/>
      <c r="T136" s="250">
        <v>0.52569444444444446</v>
      </c>
      <c r="U136" s="50">
        <v>0.5493055555555556</v>
      </c>
      <c r="V136" s="145">
        <v>8</v>
      </c>
      <c r="W136" s="251">
        <f t="shared" si="92"/>
        <v>34.000000000000043</v>
      </c>
      <c r="X136" s="53"/>
      <c r="Y136" s="53"/>
      <c r="Z136" s="54"/>
      <c r="AA136" s="54"/>
      <c r="AB136" s="633"/>
      <c r="AC136" s="633"/>
      <c r="AD136" s="429"/>
      <c r="AE136" s="429"/>
      <c r="AF136" s="48">
        <f t="shared" si="61"/>
        <v>-185.29411764706038</v>
      </c>
      <c r="AG136" s="126">
        <f t="shared" si="62"/>
        <v>0.87647058823529311</v>
      </c>
      <c r="AH136" s="654"/>
    </row>
    <row r="137" spans="1:34" ht="19.2" customHeight="1">
      <c r="A137" s="684"/>
      <c r="B137" s="431" t="s">
        <v>147</v>
      </c>
      <c r="C137" s="429"/>
      <c r="D137" s="82" t="s">
        <v>80</v>
      </c>
      <c r="E137" s="83"/>
      <c r="F137" s="361">
        <v>57.734999999999999</v>
      </c>
      <c r="G137" s="212">
        <v>1462</v>
      </c>
      <c r="H137" s="84">
        <f t="shared" si="89"/>
        <v>84408.569999999992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1414.8387096774206</v>
      </c>
      <c r="O137" s="86">
        <f t="shared" si="91"/>
        <v>88.42741935483879</v>
      </c>
      <c r="P137" s="54">
        <f t="shared" si="86"/>
        <v>0</v>
      </c>
      <c r="Q137" s="88">
        <f t="shared" si="87"/>
        <v>-9.3850806451612101</v>
      </c>
      <c r="R137" s="430">
        <f t="shared" si="88"/>
        <v>0.90405029372359147</v>
      </c>
      <c r="S137" s="680"/>
      <c r="T137" s="50">
        <v>0.56458333333333333</v>
      </c>
      <c r="U137" s="50">
        <v>0.60763888888888884</v>
      </c>
      <c r="V137" s="253">
        <v>22</v>
      </c>
      <c r="W137" s="251">
        <f t="shared" si="92"/>
        <v>61.999999999999943</v>
      </c>
      <c r="X137" s="53">
        <v>0.55277777777777781</v>
      </c>
      <c r="Y137" s="53">
        <v>0.5625</v>
      </c>
      <c r="Z137" s="54"/>
      <c r="AA137" s="54"/>
      <c r="AB137" s="633"/>
      <c r="AC137" s="633"/>
      <c r="AD137" s="429"/>
      <c r="AE137" s="429"/>
      <c r="AF137" s="48">
        <f t="shared" si="61"/>
        <v>-150.16129032257936</v>
      </c>
      <c r="AG137" s="126">
        <f t="shared" si="62"/>
        <v>0.90405029372359147</v>
      </c>
      <c r="AH137" s="654"/>
    </row>
    <row r="138" spans="1:34" ht="19.2" customHeight="1">
      <c r="A138" s="684"/>
      <c r="B138" s="431" t="s">
        <v>147</v>
      </c>
      <c r="C138" s="226"/>
      <c r="D138" s="82" t="s">
        <v>222</v>
      </c>
      <c r="E138" s="83"/>
      <c r="F138" s="361">
        <v>50.67</v>
      </c>
      <c r="G138" s="57">
        <v>1357</v>
      </c>
      <c r="H138" s="84">
        <f t="shared" si="89"/>
        <v>68759.19</v>
      </c>
      <c r="I138" s="429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1403.7931034482767</v>
      </c>
      <c r="O138" s="86">
        <f t="shared" si="91"/>
        <v>77.988505747126482</v>
      </c>
      <c r="P138" s="54">
        <f t="shared" si="86"/>
        <v>0</v>
      </c>
      <c r="Q138" s="88">
        <f t="shared" si="87"/>
        <v>-5.3448275862068471</v>
      </c>
      <c r="R138" s="435">
        <f t="shared" si="88"/>
        <v>0.93586206896551782</v>
      </c>
      <c r="S138" s="680"/>
      <c r="T138" s="50">
        <v>0.61180555555555549</v>
      </c>
      <c r="U138" s="50">
        <v>0.65208333333333324</v>
      </c>
      <c r="V138" s="253">
        <v>6</v>
      </c>
      <c r="W138" s="251">
        <f t="shared" si="92"/>
        <v>57.999999999999957</v>
      </c>
      <c r="X138" s="53"/>
      <c r="Y138" s="53"/>
      <c r="Z138" s="54"/>
      <c r="AA138" s="54"/>
      <c r="AB138" s="633"/>
      <c r="AC138" s="633"/>
      <c r="AD138" s="429"/>
      <c r="AE138" s="429"/>
      <c r="AF138" s="48">
        <f t="shared" si="61"/>
        <v>-96.206896551723275</v>
      </c>
      <c r="AG138" s="126">
        <f t="shared" si="62"/>
        <v>0.93586206896551782</v>
      </c>
      <c r="AH138" s="654"/>
    </row>
    <row r="139" spans="1:34" ht="19.2" customHeight="1">
      <c r="A139" s="684"/>
      <c r="B139" s="431" t="s">
        <v>147</v>
      </c>
      <c r="C139" s="438"/>
      <c r="D139" s="42" t="s">
        <v>92</v>
      </c>
      <c r="E139" s="43"/>
      <c r="F139" s="361">
        <v>50.67</v>
      </c>
      <c r="G139" s="57">
        <v>870</v>
      </c>
      <c r="H139" s="84">
        <f t="shared" si="89"/>
        <v>44082.9</v>
      </c>
      <c r="I139" s="429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1373.6842105263147</v>
      </c>
      <c r="O139" s="86">
        <f t="shared" si="91"/>
        <v>80.804953560371459</v>
      </c>
      <c r="P139" s="54">
        <f t="shared" si="86"/>
        <v>0</v>
      </c>
      <c r="Q139" s="88">
        <f t="shared" si="87"/>
        <v>-7.4303405572755992</v>
      </c>
      <c r="R139" s="430">
        <f t="shared" si="88"/>
        <v>0.91578947368420982</v>
      </c>
      <c r="S139" s="680"/>
      <c r="T139" s="50">
        <v>0.70833333333333337</v>
      </c>
      <c r="U139" s="50">
        <v>0.73472222222222228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633"/>
      <c r="AC139" s="633"/>
      <c r="AD139" s="429"/>
      <c r="AE139" s="429"/>
      <c r="AF139" s="48">
        <f t="shared" si="61"/>
        <v>-126.3157894736853</v>
      </c>
      <c r="AG139" s="126">
        <f t="shared" si="62"/>
        <v>0.91578947368420982</v>
      </c>
      <c r="AH139" s="654"/>
    </row>
    <row r="140" spans="1:34" ht="19.2" customHeight="1">
      <c r="A140" s="685"/>
      <c r="B140" s="431" t="s">
        <v>147</v>
      </c>
      <c r="C140" s="438"/>
      <c r="D140" s="255" t="s">
        <v>93</v>
      </c>
      <c r="E140" s="83"/>
      <c r="F140" s="361">
        <v>50.98</v>
      </c>
      <c r="G140" s="57">
        <v>1314</v>
      </c>
      <c r="H140" s="84">
        <f t="shared" si="89"/>
        <v>66987.72</v>
      </c>
      <c r="I140" s="429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1359.3103448275872</v>
      </c>
      <c r="O140" s="86">
        <f t="shared" si="91"/>
        <v>67.965517241379359</v>
      </c>
      <c r="P140" s="54">
        <f t="shared" si="86"/>
        <v>0</v>
      </c>
      <c r="Q140" s="88">
        <f t="shared" si="87"/>
        <v>-4.0344827586206407</v>
      </c>
      <c r="R140" s="430">
        <f t="shared" si="88"/>
        <v>0.94396551724138</v>
      </c>
      <c r="S140" s="687"/>
      <c r="T140" s="63">
        <v>0.74027777777777781</v>
      </c>
      <c r="U140" s="256">
        <v>0.78055555555555556</v>
      </c>
      <c r="V140" s="257">
        <v>8</v>
      </c>
      <c r="W140" s="251">
        <f t="shared" si="92"/>
        <v>57.999999999999957</v>
      </c>
      <c r="X140" s="53"/>
      <c r="Y140" s="53"/>
      <c r="Z140" s="54"/>
      <c r="AA140" s="54"/>
      <c r="AB140" s="633"/>
      <c r="AC140" s="633"/>
      <c r="AD140" s="429"/>
      <c r="AE140" s="429"/>
      <c r="AF140" s="48">
        <f t="shared" si="61"/>
        <v>-80.689655172412813</v>
      </c>
      <c r="AG140" s="126">
        <f t="shared" si="62"/>
        <v>0.94396551724138</v>
      </c>
      <c r="AH140" s="654"/>
    </row>
    <row r="141" spans="1:34" ht="19.2" customHeight="1">
      <c r="A141" s="685"/>
      <c r="B141" s="431" t="s">
        <v>147</v>
      </c>
      <c r="C141" s="438"/>
      <c r="D141" s="42" t="s">
        <v>94</v>
      </c>
      <c r="E141" s="258"/>
      <c r="F141" s="361">
        <v>54.09</v>
      </c>
      <c r="G141" s="57">
        <v>842</v>
      </c>
      <c r="H141" s="84">
        <f t="shared" si="89"/>
        <v>45543.780000000006</v>
      </c>
      <c r="I141" s="429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1403.3333333333323</v>
      </c>
      <c r="O141" s="86">
        <f t="shared" si="91"/>
        <v>73.859649122806971</v>
      </c>
      <c r="P141" s="54">
        <f t="shared" si="86"/>
        <v>0</v>
      </c>
      <c r="Q141" s="88">
        <f t="shared" si="87"/>
        <v>-5.0877192982456592</v>
      </c>
      <c r="R141" s="430">
        <f t="shared" si="88"/>
        <v>0.93555555555555503</v>
      </c>
      <c r="S141" s="687"/>
      <c r="T141" s="63">
        <v>0.78541666666666665</v>
      </c>
      <c r="U141" s="256">
        <v>0.81041666666666667</v>
      </c>
      <c r="V141" s="55">
        <v>7</v>
      </c>
      <c r="W141" s="251">
        <f t="shared" si="92"/>
        <v>36.000000000000028</v>
      </c>
      <c r="X141" s="53"/>
      <c r="Y141" s="53"/>
      <c r="Z141" s="54"/>
      <c r="AA141" s="54"/>
      <c r="AB141" s="633"/>
      <c r="AC141" s="633"/>
      <c r="AD141" s="429"/>
      <c r="AE141" s="429"/>
      <c r="AF141" s="48">
        <f t="shared" si="61"/>
        <v>-96.666666666667652</v>
      </c>
      <c r="AG141" s="126">
        <f t="shared" si="62"/>
        <v>0.93555555555555492</v>
      </c>
      <c r="AH141" s="654"/>
    </row>
    <row r="142" spans="1:34" ht="19.2" customHeight="1">
      <c r="A142" s="685"/>
      <c r="B142" s="431" t="s">
        <v>147</v>
      </c>
      <c r="C142" s="438"/>
      <c r="D142" s="42" t="s">
        <v>95</v>
      </c>
      <c r="E142" s="258"/>
      <c r="F142" s="361">
        <v>50.92</v>
      </c>
      <c r="G142" s="57">
        <v>1586</v>
      </c>
      <c r="H142" s="84">
        <f t="shared" si="89"/>
        <v>80759.12000000001</v>
      </c>
      <c r="I142" s="429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1340.2816901408437</v>
      </c>
      <c r="O142" s="86">
        <f t="shared" si="91"/>
        <v>70.541141586360197</v>
      </c>
      <c r="P142" s="54">
        <f t="shared" si="86"/>
        <v>0</v>
      </c>
      <c r="Q142" s="88">
        <f t="shared" si="87"/>
        <v>-5.248332097850323</v>
      </c>
      <c r="R142" s="430">
        <f t="shared" si="88"/>
        <v>0.93075117370891935</v>
      </c>
      <c r="S142" s="687"/>
      <c r="T142" s="63">
        <v>0.82638888888888884</v>
      </c>
      <c r="U142" s="256">
        <v>0.87569444444444444</v>
      </c>
      <c r="V142" s="55">
        <v>23</v>
      </c>
      <c r="W142" s="251">
        <f t="shared" si="92"/>
        <v>71.000000000000071</v>
      </c>
      <c r="X142" s="53">
        <v>0.81388888888888899</v>
      </c>
      <c r="Y142" s="53">
        <v>0.82500000000000007</v>
      </c>
      <c r="Z142" s="54"/>
      <c r="AA142" s="54"/>
      <c r="AB142" s="633"/>
      <c r="AC142" s="633"/>
      <c r="AD142" s="429">
        <v>1</v>
      </c>
      <c r="AE142" s="429"/>
      <c r="AF142" s="48">
        <f t="shared" si="61"/>
        <v>-99.718309859156307</v>
      </c>
      <c r="AG142" s="126">
        <f t="shared" si="62"/>
        <v>0.93075117370891924</v>
      </c>
      <c r="AH142" s="654"/>
    </row>
    <row r="143" spans="1:34" ht="19.2" customHeight="1">
      <c r="A143" s="685"/>
      <c r="B143" s="431" t="s">
        <v>147</v>
      </c>
      <c r="C143" s="259"/>
      <c r="D143" s="82" t="s">
        <v>96</v>
      </c>
      <c r="E143" s="83"/>
      <c r="F143" s="361">
        <v>50.67</v>
      </c>
      <c r="G143" s="57">
        <v>824</v>
      </c>
      <c r="H143" s="84">
        <f t="shared" si="89"/>
        <v>41752.080000000002</v>
      </c>
      <c r="I143" s="429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1336.2162162162151</v>
      </c>
      <c r="O143" s="86">
        <f t="shared" si="91"/>
        <v>78.600953895071484</v>
      </c>
      <c r="P143" s="54">
        <f t="shared" si="86"/>
        <v>0</v>
      </c>
      <c r="Q143" s="88">
        <f t="shared" si="87"/>
        <v>-6.1049284578696899</v>
      </c>
      <c r="R143" s="430">
        <f t="shared" si="88"/>
        <v>0.92792792792792722</v>
      </c>
      <c r="S143" s="687"/>
      <c r="T143" s="63">
        <v>0.87916666666666665</v>
      </c>
      <c r="U143" s="256">
        <v>0.90486111111111112</v>
      </c>
      <c r="V143" s="55">
        <v>5</v>
      </c>
      <c r="W143" s="251">
        <f t="shared" si="92"/>
        <v>37.000000000000028</v>
      </c>
      <c r="X143" s="53"/>
      <c r="Y143" s="53"/>
      <c r="Z143" s="54"/>
      <c r="AA143" s="54"/>
      <c r="AB143" s="633"/>
      <c r="AC143" s="633"/>
      <c r="AD143" s="429"/>
      <c r="AE143" s="429"/>
      <c r="AF143" s="48">
        <f t="shared" si="61"/>
        <v>-103.78378378378488</v>
      </c>
      <c r="AG143" s="126">
        <f t="shared" si="62"/>
        <v>0.92792792792792711</v>
      </c>
      <c r="AH143" s="654"/>
    </row>
    <row r="144" spans="1:34" ht="19.2" customHeight="1">
      <c r="A144" s="685"/>
      <c r="B144" s="431" t="s">
        <v>147</v>
      </c>
      <c r="C144" s="438"/>
      <c r="D144" s="42" t="s">
        <v>97</v>
      </c>
      <c r="E144" s="258"/>
      <c r="F144" s="361">
        <v>50.49</v>
      </c>
      <c r="G144" s="57">
        <v>1105</v>
      </c>
      <c r="H144" s="84">
        <f t="shared" si="89"/>
        <v>55791.450000000004</v>
      </c>
      <c r="I144" s="429"/>
      <c r="J144" s="87">
        <v>14</v>
      </c>
      <c r="K144" s="57">
        <v>1440</v>
      </c>
      <c r="L144" s="86">
        <v>102.85714285714286</v>
      </c>
      <c r="M144" s="440">
        <v>15</v>
      </c>
      <c r="N144" s="57">
        <f t="shared" si="90"/>
        <v>1326.0000000000002</v>
      </c>
      <c r="O144" s="86">
        <f t="shared" si="91"/>
        <v>88.40000000000002</v>
      </c>
      <c r="P144" s="54">
        <f t="shared" si="86"/>
        <v>1</v>
      </c>
      <c r="Q144" s="88">
        <f t="shared" si="87"/>
        <v>-14.457142857142841</v>
      </c>
      <c r="R144" s="430">
        <f t="shared" si="88"/>
        <v>0.85944444444444457</v>
      </c>
      <c r="S144" s="687"/>
      <c r="T144" s="63">
        <v>0.91041666666666665</v>
      </c>
      <c r="U144" s="256">
        <v>0.94513888888888886</v>
      </c>
      <c r="V144" s="55">
        <v>8</v>
      </c>
      <c r="W144" s="251">
        <f t="shared" si="92"/>
        <v>49.999999999999986</v>
      </c>
      <c r="X144" s="53"/>
      <c r="Y144" s="53"/>
      <c r="Z144" s="54"/>
      <c r="AA144" s="54"/>
      <c r="AB144" s="633"/>
      <c r="AC144" s="633"/>
      <c r="AD144" s="429"/>
      <c r="AE144" s="429"/>
      <c r="AF144" s="48">
        <f t="shared" si="61"/>
        <v>-113.99999999999977</v>
      </c>
      <c r="AG144" s="126">
        <f t="shared" si="62"/>
        <v>0.9208333333333335</v>
      </c>
      <c r="AH144" s="654"/>
    </row>
    <row r="145" spans="1:34" ht="19.2" customHeight="1">
      <c r="A145" s="685"/>
      <c r="B145" s="431">
        <v>0</v>
      </c>
      <c r="C145" s="438"/>
      <c r="D145" s="42"/>
      <c r="E145" s="258"/>
      <c r="F145" s="361" t="s">
        <v>148</v>
      </c>
      <c r="G145" s="57"/>
      <c r="H145" s="84">
        <f t="shared" si="89"/>
        <v>0</v>
      </c>
      <c r="I145" s="429"/>
      <c r="J145" s="87"/>
      <c r="K145" s="57"/>
      <c r="L145" s="86"/>
      <c r="M145" s="440"/>
      <c r="N145" s="57"/>
      <c r="O145" s="86"/>
      <c r="P145" s="54"/>
      <c r="Q145" s="88"/>
      <c r="R145" s="430"/>
      <c r="S145" s="687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633"/>
      <c r="AC145" s="633"/>
      <c r="AD145" s="429"/>
      <c r="AE145" s="429"/>
      <c r="AF145" s="48">
        <f t="shared" si="61"/>
        <v>0</v>
      </c>
      <c r="AG145" s="126" t="e">
        <f t="shared" si="62"/>
        <v>#DIV/0!</v>
      </c>
      <c r="AH145" s="654"/>
    </row>
    <row r="146" spans="1:34" ht="19.2" customHeight="1">
      <c r="A146" s="685"/>
      <c r="B146" s="445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429"/>
      <c r="J146" s="87"/>
      <c r="K146" s="57"/>
      <c r="L146" s="86"/>
      <c r="M146" s="440"/>
      <c r="N146" s="57"/>
      <c r="O146" s="86"/>
      <c r="P146" s="54"/>
      <c r="Q146" s="88"/>
      <c r="R146" s="430"/>
      <c r="S146" s="687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633"/>
      <c r="AC146" s="633"/>
      <c r="AD146" s="429"/>
      <c r="AE146" s="429"/>
      <c r="AF146" s="54"/>
      <c r="AG146" s="430"/>
      <c r="AH146" s="654"/>
    </row>
    <row r="147" spans="1:34" ht="19.2" customHeight="1">
      <c r="A147" s="686"/>
      <c r="B147" s="261">
        <v>0</v>
      </c>
      <c r="C147" s="100" t="s">
        <v>313</v>
      </c>
      <c r="D147" s="660" t="s">
        <v>293</v>
      </c>
      <c r="E147" s="660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1367.495000737686</v>
      </c>
      <c r="O147" s="247">
        <f t="shared" si="93"/>
        <v>78.66898424246763</v>
      </c>
      <c r="P147" s="51">
        <f t="shared" ref="P147:P153" si="94">M147-J147</f>
        <v>0.10000000000000142</v>
      </c>
      <c r="Q147" s="142">
        <f t="shared" ref="Q147:Q153" si="95">O147-L147</f>
        <v>-7.4074485674984629</v>
      </c>
      <c r="R147" s="262">
        <f t="shared" ref="R147:R153" si="96">O147/L147</f>
        <v>0.91394336027084044</v>
      </c>
      <c r="S147" s="688"/>
      <c r="T147" s="63"/>
      <c r="U147" s="63"/>
      <c r="V147" s="55"/>
      <c r="W147" s="44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33"/>
      <c r="AC147" s="633"/>
      <c r="AD147" s="107">
        <f>SUM(AD135:AD146)</f>
        <v>2</v>
      </c>
      <c r="AE147" s="107">
        <f>SUM(AE135:AE146)</f>
        <v>0</v>
      </c>
      <c r="AF147" s="207">
        <f t="shared" si="61"/>
        <v>-115.00499926231396</v>
      </c>
      <c r="AG147" s="263">
        <f t="shared" si="62"/>
        <v>0.92242495833908</v>
      </c>
      <c r="AH147" s="654"/>
    </row>
    <row r="148" spans="1:34" ht="19.2" customHeight="1">
      <c r="A148" s="690" t="s">
        <v>314</v>
      </c>
      <c r="B148" s="429" t="s">
        <v>147</v>
      </c>
      <c r="C148" s="122"/>
      <c r="D148" s="176" t="s">
        <v>162</v>
      </c>
      <c r="E148" s="43"/>
      <c r="F148" s="368">
        <v>44.98</v>
      </c>
      <c r="G148" s="57">
        <v>1192</v>
      </c>
      <c r="H148" s="84">
        <f t="shared" ref="H148:H172" si="97">F148*G148</f>
        <v>53616.159999999996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1254.736842105264</v>
      </c>
      <c r="O148" s="47">
        <f t="shared" ref="O148:O153" si="99">N148/M148</f>
        <v>66.038781163434948</v>
      </c>
      <c r="P148" s="48">
        <f t="shared" si="94"/>
        <v>0</v>
      </c>
      <c r="Q148" s="49">
        <f t="shared" si="95"/>
        <v>-12.908587257617683</v>
      </c>
      <c r="R148" s="433">
        <f t="shared" si="96"/>
        <v>0.83649122807017606</v>
      </c>
      <c r="S148" s="691">
        <f>R160</f>
        <v>0.83757058515144112</v>
      </c>
      <c r="T148" s="250">
        <v>0.70833333333333337</v>
      </c>
      <c r="U148" s="50">
        <v>0.74791666666666667</v>
      </c>
      <c r="V148" s="431">
        <v>5</v>
      </c>
      <c r="W148" s="442">
        <f>(U148-T148)*24*60</f>
        <v>56.999999999999957</v>
      </c>
      <c r="X148" s="53"/>
      <c r="Y148" s="53"/>
      <c r="Z148" s="54"/>
      <c r="AA148" s="54"/>
      <c r="AB148" s="633"/>
      <c r="AC148" s="633"/>
      <c r="AD148" s="429">
        <v>1</v>
      </c>
      <c r="AE148" s="429"/>
      <c r="AF148" s="48">
        <f t="shared" si="61"/>
        <v>-245.26315789473597</v>
      </c>
      <c r="AG148" s="126">
        <f t="shared" si="62"/>
        <v>0.83649122807017606</v>
      </c>
      <c r="AH148" s="654">
        <f>AG160</f>
        <v>0.84975671526017427</v>
      </c>
    </row>
    <row r="149" spans="1:34" ht="19.2" customHeight="1">
      <c r="A149" s="690"/>
      <c r="B149" s="429" t="s">
        <v>147</v>
      </c>
      <c r="C149" s="224"/>
      <c r="D149" s="255" t="s">
        <v>76</v>
      </c>
      <c r="E149" s="60"/>
      <c r="F149" s="368">
        <v>53.68</v>
      </c>
      <c r="G149" s="57">
        <v>874</v>
      </c>
      <c r="H149" s="84">
        <f t="shared" si="97"/>
        <v>46916.32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1219.5348837209301</v>
      </c>
      <c r="O149" s="47">
        <f t="shared" si="99"/>
        <v>60.976744186046503</v>
      </c>
      <c r="P149" s="48">
        <f t="shared" si="94"/>
        <v>0</v>
      </c>
      <c r="Q149" s="49">
        <f t="shared" si="95"/>
        <v>-14.023255813953497</v>
      </c>
      <c r="R149" s="433">
        <f t="shared" si="96"/>
        <v>0.8130232558139534</v>
      </c>
      <c r="S149" s="692"/>
      <c r="T149" s="250">
        <v>0.75277777777777777</v>
      </c>
      <c r="U149" s="50">
        <v>0.78263888888888888</v>
      </c>
      <c r="V149" s="431">
        <v>7</v>
      </c>
      <c r="W149" s="442">
        <f t="shared" ref="W149:W159" si="100">(U149-T149)*24*60</f>
        <v>43.000000000000007</v>
      </c>
      <c r="X149" s="53"/>
      <c r="Y149" s="53"/>
      <c r="Z149" s="54"/>
      <c r="AA149" s="54"/>
      <c r="AB149" s="633"/>
      <c r="AC149" s="633"/>
      <c r="AD149" s="429"/>
      <c r="AE149" s="429"/>
      <c r="AF149" s="48">
        <f t="shared" si="61"/>
        <v>-280.46511627906989</v>
      </c>
      <c r="AG149" s="126">
        <f t="shared" si="62"/>
        <v>0.8130232558139534</v>
      </c>
      <c r="AH149" s="693"/>
    </row>
    <row r="150" spans="1:34" ht="19.2" customHeight="1">
      <c r="A150" s="690"/>
      <c r="B150" s="429" t="s">
        <v>147</v>
      </c>
      <c r="C150" s="224"/>
      <c r="D150" s="179" t="s">
        <v>84</v>
      </c>
      <c r="E150" s="60"/>
      <c r="F150" s="368">
        <v>55.32</v>
      </c>
      <c r="G150" s="57">
        <v>537</v>
      </c>
      <c r="H150" s="84">
        <f t="shared" si="97"/>
        <v>29706.84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1150.7142857142833</v>
      </c>
      <c r="O150" s="47">
        <f t="shared" si="99"/>
        <v>76.714285714285552</v>
      </c>
      <c r="P150" s="48">
        <f t="shared" si="94"/>
        <v>1</v>
      </c>
      <c r="Q150" s="49">
        <f t="shared" si="95"/>
        <v>-26.142857142857309</v>
      </c>
      <c r="R150" s="433">
        <f t="shared" si="96"/>
        <v>0.74583333333333168</v>
      </c>
      <c r="S150" s="692"/>
      <c r="T150" s="250">
        <v>0.78611111111111109</v>
      </c>
      <c r="U150" s="50">
        <v>0.80555555555555558</v>
      </c>
      <c r="V150" s="431">
        <v>5</v>
      </c>
      <c r="W150" s="442">
        <f t="shared" si="100"/>
        <v>28.00000000000006</v>
      </c>
      <c r="X150" s="219"/>
      <c r="Y150" s="219"/>
      <c r="Z150" s="220"/>
      <c r="AA150" s="220"/>
      <c r="AB150" s="633"/>
      <c r="AC150" s="633"/>
      <c r="AD150" s="429"/>
      <c r="AE150" s="429"/>
      <c r="AF150" s="48">
        <f t="shared" si="61"/>
        <v>-289.28571428571672</v>
      </c>
      <c r="AG150" s="126">
        <f t="shared" si="62"/>
        <v>0.79910714285714113</v>
      </c>
      <c r="AH150" s="693"/>
    </row>
    <row r="151" spans="1:34" s="221" customFormat="1" ht="19.2" customHeight="1">
      <c r="A151" s="690"/>
      <c r="B151" s="429" t="s">
        <v>147</v>
      </c>
      <c r="C151" s="224"/>
      <c r="D151" s="59" t="s">
        <v>85</v>
      </c>
      <c r="E151" s="60"/>
      <c r="F151" s="368">
        <v>55.56</v>
      </c>
      <c r="G151" s="57">
        <v>791</v>
      </c>
      <c r="H151" s="84">
        <f t="shared" si="97"/>
        <v>43947.96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1318.3333333333321</v>
      </c>
      <c r="O151" s="47">
        <f t="shared" si="99"/>
        <v>82.395833333333258</v>
      </c>
      <c r="P151" s="48">
        <f t="shared" si="94"/>
        <v>0</v>
      </c>
      <c r="Q151" s="49">
        <f t="shared" si="95"/>
        <v>-7.6041666666667425</v>
      </c>
      <c r="R151" s="433">
        <f t="shared" si="96"/>
        <v>0.91550925925925841</v>
      </c>
      <c r="S151" s="692"/>
      <c r="T151" s="250">
        <v>0.81041666666666667</v>
      </c>
      <c r="U151" s="50">
        <v>0.8354166666666667</v>
      </c>
      <c r="V151" s="431">
        <v>7</v>
      </c>
      <c r="W151" s="442">
        <f t="shared" si="100"/>
        <v>36.000000000000028</v>
      </c>
      <c r="X151" s="219"/>
      <c r="Y151" s="219"/>
      <c r="Z151" s="220"/>
      <c r="AA151" s="220"/>
      <c r="AB151" s="633"/>
      <c r="AC151" s="633"/>
      <c r="AD151" s="224"/>
      <c r="AE151" s="224"/>
      <c r="AF151" s="48">
        <f t="shared" si="61"/>
        <v>-121.66666666666788</v>
      </c>
      <c r="AG151" s="126">
        <f t="shared" si="62"/>
        <v>0.91550925925925841</v>
      </c>
      <c r="AH151" s="693"/>
    </row>
    <row r="152" spans="1:34" s="221" customFormat="1" ht="19.2" customHeight="1">
      <c r="A152" s="690"/>
      <c r="B152" s="429" t="s">
        <v>147</v>
      </c>
      <c r="C152" s="224"/>
      <c r="D152" s="255" t="s">
        <v>83</v>
      </c>
      <c r="E152" s="60"/>
      <c r="F152" s="368">
        <v>54.29</v>
      </c>
      <c r="G152" s="57">
        <v>576</v>
      </c>
      <c r="H152" s="84">
        <f t="shared" si="97"/>
        <v>31271.040000000001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1151.999999999998</v>
      </c>
      <c r="O152" s="47">
        <f t="shared" si="99"/>
        <v>76.799999999999869</v>
      </c>
      <c r="P152" s="48">
        <f t="shared" si="94"/>
        <v>0</v>
      </c>
      <c r="Q152" s="49">
        <f t="shared" si="95"/>
        <v>-19.200000000000131</v>
      </c>
      <c r="R152" s="433">
        <f t="shared" si="96"/>
        <v>0.7999999999999986</v>
      </c>
      <c r="S152" s="692"/>
      <c r="T152" s="265">
        <v>0.85069444444444442</v>
      </c>
      <c r="U152" s="63">
        <v>0.87152777777777779</v>
      </c>
      <c r="V152" s="444">
        <v>22</v>
      </c>
      <c r="W152" s="442">
        <f t="shared" si="100"/>
        <v>30.000000000000053</v>
      </c>
      <c r="X152" s="222">
        <v>0.83888888888888891</v>
      </c>
      <c r="Y152" s="222">
        <v>0.85</v>
      </c>
      <c r="Z152" s="220"/>
      <c r="AA152" s="220"/>
      <c r="AB152" s="633"/>
      <c r="AC152" s="633"/>
      <c r="AD152" s="224"/>
      <c r="AE152" s="224"/>
      <c r="AF152" s="48">
        <f t="shared" si="61"/>
        <v>-288.00000000000205</v>
      </c>
      <c r="AG152" s="126">
        <f t="shared" si="62"/>
        <v>0.7999999999999986</v>
      </c>
      <c r="AH152" s="693"/>
    </row>
    <row r="153" spans="1:34" s="221" customFormat="1" ht="19.2" customHeight="1">
      <c r="A153" s="690"/>
      <c r="B153" s="429" t="s">
        <v>147</v>
      </c>
      <c r="C153" s="224"/>
      <c r="D153" s="255" t="s">
        <v>98</v>
      </c>
      <c r="E153" s="60"/>
      <c r="F153" s="368">
        <v>57.3</v>
      </c>
      <c r="G153" s="57">
        <v>1003</v>
      </c>
      <c r="H153" s="84">
        <f t="shared" si="97"/>
        <v>57471.899999999994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1399.5348837209301</v>
      </c>
      <c r="O153" s="47">
        <f t="shared" si="99"/>
        <v>77.751937984496124</v>
      </c>
      <c r="P153" s="48">
        <f t="shared" si="94"/>
        <v>0</v>
      </c>
      <c r="Q153" s="49">
        <f t="shared" si="95"/>
        <v>-5.581395348837205</v>
      </c>
      <c r="R153" s="433">
        <f t="shared" si="96"/>
        <v>0.93302325581395351</v>
      </c>
      <c r="S153" s="692"/>
      <c r="T153" s="265">
        <v>0.87708333333333333</v>
      </c>
      <c r="U153" s="63">
        <v>0.90694444444444444</v>
      </c>
      <c r="V153" s="444">
        <v>8</v>
      </c>
      <c r="W153" s="442">
        <f t="shared" si="100"/>
        <v>43.000000000000007</v>
      </c>
      <c r="X153" s="222"/>
      <c r="Y153" s="222"/>
      <c r="Z153" s="220"/>
      <c r="AA153" s="220"/>
      <c r="AB153" s="633"/>
      <c r="AC153" s="633"/>
      <c r="AD153" s="224"/>
      <c r="AE153" s="224"/>
      <c r="AF153" s="48">
        <f t="shared" si="61"/>
        <v>-100.46511627906989</v>
      </c>
      <c r="AG153" s="126">
        <f t="shared" si="62"/>
        <v>0.9330232558139534</v>
      </c>
      <c r="AH153" s="693"/>
    </row>
    <row r="154" spans="1:34" s="221" customFormat="1" ht="19.2" customHeight="1">
      <c r="A154" s="690"/>
      <c r="B154" s="429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33"/>
      <c r="S154" s="692"/>
      <c r="T154" s="265"/>
      <c r="U154" s="63"/>
      <c r="V154" s="444"/>
      <c r="W154" s="442">
        <f t="shared" si="100"/>
        <v>0</v>
      </c>
      <c r="X154" s="222"/>
      <c r="Y154" s="222"/>
      <c r="Z154" s="220"/>
      <c r="AA154" s="220"/>
      <c r="AB154" s="633"/>
      <c r="AC154" s="633"/>
      <c r="AD154" s="224"/>
      <c r="AE154" s="224"/>
      <c r="AF154" s="48">
        <f t="shared" si="61"/>
        <v>0</v>
      </c>
      <c r="AG154" s="126" t="e">
        <f t="shared" si="62"/>
        <v>#DIV/0!</v>
      </c>
      <c r="AH154" s="693"/>
    </row>
    <row r="155" spans="1:34" s="221" customFormat="1" ht="19.2" customHeight="1">
      <c r="A155" s="690"/>
      <c r="B155" s="429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92"/>
      <c r="T155" s="265"/>
      <c r="U155" s="63"/>
      <c r="V155" s="444"/>
      <c r="W155" s="442">
        <f t="shared" si="100"/>
        <v>0</v>
      </c>
      <c r="X155" s="222"/>
      <c r="Y155" s="222"/>
      <c r="Z155" s="220"/>
      <c r="AA155" s="220"/>
      <c r="AB155" s="633"/>
      <c r="AC155" s="633"/>
      <c r="AD155" s="224"/>
      <c r="AE155" s="224"/>
      <c r="AF155" s="268"/>
      <c r="AG155" s="130"/>
      <c r="AH155" s="693"/>
    </row>
    <row r="156" spans="1:34" s="221" customFormat="1" ht="19.2" customHeight="1">
      <c r="A156" s="690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92"/>
      <c r="T156" s="265"/>
      <c r="U156" s="63"/>
      <c r="V156" s="444"/>
      <c r="W156" s="269">
        <f t="shared" si="100"/>
        <v>0</v>
      </c>
      <c r="X156" s="222"/>
      <c r="Y156" s="222"/>
      <c r="Z156" s="220"/>
      <c r="AA156" s="220"/>
      <c r="AB156" s="633"/>
      <c r="AC156" s="633"/>
      <c r="AD156" s="224"/>
      <c r="AE156" s="224"/>
      <c r="AF156" s="268"/>
      <c r="AG156" s="130"/>
      <c r="AH156" s="693"/>
    </row>
    <row r="157" spans="1:34" s="221" customFormat="1" ht="19.2" customHeight="1">
      <c r="A157" s="690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92"/>
      <c r="T157" s="265"/>
      <c r="U157" s="63"/>
      <c r="V157" s="444"/>
      <c r="W157" s="269">
        <f t="shared" si="100"/>
        <v>0</v>
      </c>
      <c r="X157" s="222"/>
      <c r="Y157" s="222"/>
      <c r="Z157" s="220"/>
      <c r="AA157" s="220"/>
      <c r="AB157" s="633"/>
      <c r="AC157" s="633"/>
      <c r="AD157" s="224"/>
      <c r="AE157" s="224"/>
      <c r="AF157" s="268"/>
      <c r="AG157" s="130"/>
      <c r="AH157" s="693"/>
    </row>
    <row r="158" spans="1:34" s="221" customFormat="1" ht="19.2" customHeight="1">
      <c r="A158" s="690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92"/>
      <c r="T158" s="265"/>
      <c r="U158" s="63"/>
      <c r="V158" s="444"/>
      <c r="W158" s="269">
        <f t="shared" si="100"/>
        <v>0</v>
      </c>
      <c r="X158" s="222"/>
      <c r="Y158" s="222"/>
      <c r="Z158" s="220"/>
      <c r="AA158" s="220"/>
      <c r="AB158" s="633"/>
      <c r="AC158" s="633"/>
      <c r="AD158" s="224"/>
      <c r="AE158" s="224"/>
      <c r="AF158" s="268"/>
      <c r="AG158" s="130"/>
      <c r="AH158" s="693"/>
    </row>
    <row r="159" spans="1:34" s="221" customFormat="1" ht="19.2" customHeight="1">
      <c r="A159" s="690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440"/>
      <c r="N159" s="182"/>
      <c r="O159" s="228"/>
      <c r="P159" s="267"/>
      <c r="Q159" s="74"/>
      <c r="R159" s="130"/>
      <c r="S159" s="692"/>
      <c r="T159" s="265"/>
      <c r="U159" s="63"/>
      <c r="V159" s="444"/>
      <c r="W159" s="270">
        <f t="shared" si="100"/>
        <v>0</v>
      </c>
      <c r="X159" s="222"/>
      <c r="Y159" s="222"/>
      <c r="Z159" s="220"/>
      <c r="AA159" s="220"/>
      <c r="AB159" s="633"/>
      <c r="AC159" s="633"/>
      <c r="AD159" s="224"/>
      <c r="AE159" s="224"/>
      <c r="AF159" s="268"/>
      <c r="AG159" s="130"/>
      <c r="AH159" s="693"/>
    </row>
    <row r="160" spans="1:34" ht="19.2" customHeight="1">
      <c r="A160" s="690"/>
      <c r="B160" s="271">
        <v>0</v>
      </c>
      <c r="C160" s="272" t="s">
        <v>315</v>
      </c>
      <c r="D160" s="689" t="s">
        <v>293</v>
      </c>
      <c r="E160" s="651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1249.1423714324562</v>
      </c>
      <c r="O160" s="274">
        <f t="shared" si="101"/>
        <v>73.44626373026604</v>
      </c>
      <c r="P160" s="65">
        <f t="shared" ref="P160:P166" si="102">M160-J160</f>
        <v>0.16666666666666785</v>
      </c>
      <c r="Q160" s="74">
        <f t="shared" ref="Q160:Q166" si="103">O160-L160</f>
        <v>-14.243377038322109</v>
      </c>
      <c r="R160" s="275">
        <f>O160/L160</f>
        <v>0.83757058515144112</v>
      </c>
      <c r="S160" s="692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33"/>
      <c r="AC160" s="633"/>
      <c r="AD160" s="79">
        <f>SUM(AD148:AD159)</f>
        <v>1</v>
      </c>
      <c r="AE160" s="79">
        <f>SUM(AE148:AE159)</f>
        <v>0</v>
      </c>
      <c r="AF160" s="65">
        <f t="shared" si="61"/>
        <v>-220.85762856754377</v>
      </c>
      <c r="AG160" s="130">
        <f t="shared" si="62"/>
        <v>0.84975671526017427</v>
      </c>
      <c r="AH160" s="693"/>
    </row>
    <row r="161" spans="1:36" ht="19.2" customHeight="1">
      <c r="A161" s="653" t="s">
        <v>316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2715</v>
      </c>
      <c r="H161" s="84">
        <f t="shared" ref="H161:H170" si="104">F161*G161</f>
        <v>92934.45</v>
      </c>
      <c r="I161" s="429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2143.4210526315783</v>
      </c>
      <c r="O161" s="86">
        <f t="shared" ref="O161:O166" si="106">N161/M161</f>
        <v>164.87854251012141</v>
      </c>
      <c r="P161" s="54">
        <f t="shared" si="102"/>
        <v>0</v>
      </c>
      <c r="Q161" s="88">
        <f t="shared" si="103"/>
        <v>-8.1983805668016601</v>
      </c>
      <c r="R161" s="430">
        <f t="shared" ref="R161:R166" si="107">O161/L161</f>
        <v>0.95263157894736816</v>
      </c>
      <c r="S161" s="654">
        <f>R173</f>
        <v>0.91188756850617503</v>
      </c>
      <c r="T161" s="89">
        <v>0.16666666666666666</v>
      </c>
      <c r="U161" s="89">
        <v>0.21944444444444444</v>
      </c>
      <c r="V161" s="429">
        <v>5</v>
      </c>
      <c r="W161" s="90">
        <f t="shared" ref="W161:W172" si="108">(U161-T161)*24*60</f>
        <v>76.000000000000014</v>
      </c>
      <c r="X161" s="96"/>
      <c r="Y161" s="96"/>
      <c r="Z161" s="54"/>
      <c r="AA161" s="54"/>
      <c r="AB161" s="633"/>
      <c r="AC161" s="633"/>
      <c r="AD161" s="429"/>
      <c r="AE161" s="429"/>
      <c r="AF161" s="54">
        <f t="shared" si="61"/>
        <v>-106.57894736842172</v>
      </c>
      <c r="AG161" s="430">
        <f t="shared" si="62"/>
        <v>0.95263157894736816</v>
      </c>
      <c r="AH161" s="654">
        <f>AG173</f>
        <v>0.91546408525566869</v>
      </c>
    </row>
    <row r="162" spans="1:36" ht="19.2" customHeight="1">
      <c r="A162" s="653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2987</v>
      </c>
      <c r="H162" s="84">
        <f t="shared" si="104"/>
        <v>102245.01</v>
      </c>
      <c r="I162" s="42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2133.5714285714289</v>
      </c>
      <c r="O162" s="86">
        <f t="shared" si="106"/>
        <v>164.12087912087915</v>
      </c>
      <c r="P162" s="54">
        <f t="shared" si="102"/>
        <v>0</v>
      </c>
      <c r="Q162" s="88">
        <f t="shared" si="103"/>
        <v>-8.9560439560439136</v>
      </c>
      <c r="R162" s="430">
        <f t="shared" si="107"/>
        <v>0.94825396825396846</v>
      </c>
      <c r="S162" s="654"/>
      <c r="T162" s="89">
        <v>0.22430555555555556</v>
      </c>
      <c r="U162" s="89">
        <v>0.28263888888888888</v>
      </c>
      <c r="V162" s="429">
        <v>7</v>
      </c>
      <c r="W162" s="90">
        <f t="shared" si="108"/>
        <v>83.999999999999986</v>
      </c>
      <c r="X162" s="96"/>
      <c r="Y162" s="96"/>
      <c r="Z162" s="54"/>
      <c r="AA162" s="54"/>
      <c r="AB162" s="633"/>
      <c r="AC162" s="633"/>
      <c r="AD162" s="429"/>
      <c r="AE162" s="429"/>
      <c r="AF162" s="54">
        <f t="shared" si="61"/>
        <v>-116.4285714285711</v>
      </c>
      <c r="AG162" s="430">
        <f t="shared" si="62"/>
        <v>0.94825396825396835</v>
      </c>
      <c r="AH162" s="654"/>
    </row>
    <row r="163" spans="1:36" ht="19.2" customHeight="1">
      <c r="A163" s="653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2928.7999999999997</v>
      </c>
      <c r="H163" s="84">
        <f t="shared" si="104"/>
        <v>104938.90399999998</v>
      </c>
      <c r="I163" s="42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2143.0243902439015</v>
      </c>
      <c r="O163" s="86">
        <f t="shared" si="106"/>
        <v>194.82039911308195</v>
      </c>
      <c r="P163" s="54">
        <f t="shared" si="102"/>
        <v>0</v>
      </c>
      <c r="Q163" s="88">
        <f t="shared" si="103"/>
        <v>-9.7250554323725851</v>
      </c>
      <c r="R163" s="430">
        <f t="shared" si="107"/>
        <v>0.95245528455284512</v>
      </c>
      <c r="S163" s="654"/>
      <c r="T163" s="89">
        <v>0.2986111111111111</v>
      </c>
      <c r="U163" s="89">
        <v>0.35555555555555557</v>
      </c>
      <c r="V163" s="429">
        <v>23</v>
      </c>
      <c r="W163" s="90">
        <f t="shared" si="108"/>
        <v>82.000000000000028</v>
      </c>
      <c r="X163" s="96">
        <v>0.28611111111111115</v>
      </c>
      <c r="Y163" s="96">
        <v>0.29722222222222222</v>
      </c>
      <c r="Z163" s="54"/>
      <c r="AA163" s="54"/>
      <c r="AB163" s="633"/>
      <c r="AC163" s="633"/>
      <c r="AD163" s="429"/>
      <c r="AE163" s="429"/>
      <c r="AF163" s="54">
        <f t="shared" si="61"/>
        <v>-106.97560975609849</v>
      </c>
      <c r="AG163" s="430">
        <f t="shared" si="62"/>
        <v>0.95245528455284512</v>
      </c>
      <c r="AH163" s="654"/>
    </row>
    <row r="164" spans="1:36" ht="19.2" customHeight="1">
      <c r="A164" s="653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4477.2</v>
      </c>
      <c r="H164" s="84">
        <f t="shared" si="104"/>
        <v>163014.85199999998</v>
      </c>
      <c r="I164" s="42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2398.5</v>
      </c>
      <c r="O164" s="86">
        <f t="shared" si="106"/>
        <v>239.85</v>
      </c>
      <c r="P164" s="54">
        <f t="shared" si="102"/>
        <v>0</v>
      </c>
      <c r="Q164" s="88">
        <f t="shared" si="103"/>
        <v>-37.049999999999983</v>
      </c>
      <c r="R164" s="430">
        <f t="shared" si="107"/>
        <v>0.86619718309859162</v>
      </c>
      <c r="S164" s="654"/>
      <c r="T164" s="89">
        <v>0.39652777777777776</v>
      </c>
      <c r="U164" s="89">
        <v>0.47430555555555554</v>
      </c>
      <c r="V164" s="429">
        <v>6</v>
      </c>
      <c r="W164" s="90">
        <f t="shared" si="108"/>
        <v>112</v>
      </c>
      <c r="X164" s="96"/>
      <c r="Y164" s="96"/>
      <c r="Z164" s="54"/>
      <c r="AA164" s="54"/>
      <c r="AB164" s="633"/>
      <c r="AC164" s="633"/>
      <c r="AD164" s="429"/>
      <c r="AE164" s="429"/>
      <c r="AF164" s="54">
        <f t="shared" si="61"/>
        <v>-370.5</v>
      </c>
      <c r="AG164" s="430">
        <f t="shared" si="62"/>
        <v>0.86619718309859151</v>
      </c>
      <c r="AH164" s="654"/>
    </row>
    <row r="165" spans="1:36" ht="19.2" customHeight="1">
      <c r="A165" s="653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1255.2</v>
      </c>
      <c r="H165" s="84">
        <f t="shared" si="104"/>
        <v>44973.815999999999</v>
      </c>
      <c r="I165" s="429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2092.0000000000032</v>
      </c>
      <c r="O165" s="86">
        <f t="shared" si="106"/>
        <v>190.18181818181847</v>
      </c>
      <c r="P165" s="54">
        <f t="shared" si="102"/>
        <v>0</v>
      </c>
      <c r="Q165" s="88">
        <f t="shared" si="103"/>
        <v>-14.363636363636061</v>
      </c>
      <c r="R165" s="430">
        <f t="shared" si="107"/>
        <v>0.92977777777777926</v>
      </c>
      <c r="S165" s="654"/>
      <c r="T165" s="89">
        <v>0.48888888888888887</v>
      </c>
      <c r="U165" s="89">
        <v>0.51388888888888884</v>
      </c>
      <c r="V165" s="429">
        <v>21</v>
      </c>
      <c r="W165" s="90">
        <f t="shared" si="108"/>
        <v>35.99999999999995</v>
      </c>
      <c r="X165" s="96">
        <v>0.4777777777777778</v>
      </c>
      <c r="Y165" s="96">
        <v>0.48749999999999999</v>
      </c>
      <c r="Z165" s="54"/>
      <c r="AA165" s="54"/>
      <c r="AB165" s="633"/>
      <c r="AC165" s="633"/>
      <c r="AD165" s="429">
        <v>1</v>
      </c>
      <c r="AE165" s="429"/>
      <c r="AF165" s="54">
        <f t="shared" si="61"/>
        <v>-157.99999999999682</v>
      </c>
      <c r="AG165" s="430">
        <f t="shared" si="62"/>
        <v>0.92977777777777915</v>
      </c>
      <c r="AH165" s="654"/>
    </row>
    <row r="166" spans="1:36" ht="19.2" customHeight="1">
      <c r="A166" s="653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1918.8</v>
      </c>
      <c r="H166" s="84">
        <f t="shared" si="104"/>
        <v>69863.507999999987</v>
      </c>
      <c r="I166" s="42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2398.5000000000005</v>
      </c>
      <c r="O166" s="86">
        <f t="shared" si="106"/>
        <v>239.85000000000005</v>
      </c>
      <c r="P166" s="54">
        <f t="shared" si="102"/>
        <v>0</v>
      </c>
      <c r="Q166" s="88">
        <f t="shared" si="103"/>
        <v>-37.049999999999926</v>
      </c>
      <c r="R166" s="430">
        <f t="shared" si="107"/>
        <v>0.86619718309859184</v>
      </c>
      <c r="S166" s="654"/>
      <c r="T166" s="89">
        <v>0.51944444444444438</v>
      </c>
      <c r="U166" s="89">
        <v>0.5527777777777777</v>
      </c>
      <c r="V166" s="429">
        <v>8</v>
      </c>
      <c r="W166" s="90">
        <f t="shared" si="108"/>
        <v>47.999999999999986</v>
      </c>
      <c r="X166" s="96"/>
      <c r="Y166" s="96"/>
      <c r="Z166" s="54"/>
      <c r="AA166" s="54"/>
      <c r="AB166" s="633"/>
      <c r="AC166" s="633"/>
      <c r="AD166" s="429"/>
      <c r="AE166" s="429"/>
      <c r="AF166" s="54">
        <f t="shared" si="61"/>
        <v>-370.49999999999955</v>
      </c>
      <c r="AG166" s="430">
        <f t="shared" si="62"/>
        <v>0.86619718309859173</v>
      </c>
      <c r="AH166" s="654"/>
    </row>
    <row r="167" spans="1:36" ht="19.2" customHeight="1">
      <c r="A167" s="653"/>
      <c r="B167" s="122">
        <v>0</v>
      </c>
      <c r="C167" s="122"/>
      <c r="D167" s="255"/>
      <c r="E167" s="60"/>
      <c r="F167" s="367" t="s">
        <v>148</v>
      </c>
      <c r="G167" s="57"/>
      <c r="H167" s="84">
        <f t="shared" si="104"/>
        <v>0</v>
      </c>
      <c r="I167" s="429"/>
      <c r="J167" s="87"/>
      <c r="K167" s="57"/>
      <c r="L167" s="86"/>
      <c r="M167" s="87"/>
      <c r="N167" s="57"/>
      <c r="O167" s="86"/>
      <c r="P167" s="54"/>
      <c r="Q167" s="88"/>
      <c r="R167" s="430"/>
      <c r="S167" s="654"/>
      <c r="T167" s="89"/>
      <c r="U167" s="89"/>
      <c r="V167" s="429"/>
      <c r="W167" s="90">
        <f t="shared" si="108"/>
        <v>0</v>
      </c>
      <c r="X167" s="96"/>
      <c r="Y167" s="96"/>
      <c r="Z167" s="54"/>
      <c r="AA167" s="54"/>
      <c r="AB167" s="633"/>
      <c r="AC167" s="633"/>
      <c r="AD167" s="429"/>
      <c r="AE167" s="429"/>
      <c r="AF167" s="54">
        <f t="shared" si="61"/>
        <v>0</v>
      </c>
      <c r="AG167" s="430" t="e">
        <f t="shared" si="62"/>
        <v>#DIV/0!</v>
      </c>
      <c r="AH167" s="654"/>
    </row>
    <row r="168" spans="1:36" ht="19.2" customHeight="1">
      <c r="A168" s="653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429"/>
      <c r="J168" s="87"/>
      <c r="K168" s="57"/>
      <c r="L168" s="86"/>
      <c r="M168" s="87"/>
      <c r="N168" s="57"/>
      <c r="O168" s="86"/>
      <c r="P168" s="54"/>
      <c r="Q168" s="88"/>
      <c r="R168" s="430"/>
      <c r="S168" s="654"/>
      <c r="T168" s="89"/>
      <c r="U168" s="89"/>
      <c r="V168" s="429"/>
      <c r="W168" s="90">
        <f t="shared" si="108"/>
        <v>0</v>
      </c>
      <c r="X168" s="96"/>
      <c r="Y168" s="96"/>
      <c r="Z168" s="54"/>
      <c r="AA168" s="54"/>
      <c r="AB168" s="633"/>
      <c r="AC168" s="633"/>
      <c r="AD168" s="429"/>
      <c r="AE168" s="429"/>
      <c r="AF168" s="54">
        <f t="shared" si="61"/>
        <v>0</v>
      </c>
      <c r="AG168" s="430" t="e">
        <f t="shared" si="62"/>
        <v>#DIV/0!</v>
      </c>
      <c r="AH168" s="654"/>
    </row>
    <row r="169" spans="1:36" ht="19.2" customHeight="1">
      <c r="A169" s="653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429"/>
      <c r="J169" s="87"/>
      <c r="K169" s="57"/>
      <c r="L169" s="86"/>
      <c r="M169" s="87"/>
      <c r="N169" s="57"/>
      <c r="O169" s="86"/>
      <c r="P169" s="54"/>
      <c r="Q169" s="88"/>
      <c r="R169" s="430"/>
      <c r="S169" s="654"/>
      <c r="T169" s="89"/>
      <c r="U169" s="89"/>
      <c r="V169" s="429" t="s">
        <v>15</v>
      </c>
      <c r="W169" s="90">
        <f t="shared" si="108"/>
        <v>0</v>
      </c>
      <c r="X169" s="96"/>
      <c r="Y169" s="96"/>
      <c r="Z169" s="54"/>
      <c r="AA169" s="54"/>
      <c r="AB169" s="633"/>
      <c r="AC169" s="633"/>
      <c r="AD169" s="429"/>
      <c r="AE169" s="429"/>
      <c r="AF169" s="54">
        <f t="shared" si="61"/>
        <v>0</v>
      </c>
      <c r="AG169" s="430" t="e">
        <f t="shared" si="62"/>
        <v>#DIV/0!</v>
      </c>
      <c r="AH169" s="654"/>
    </row>
    <row r="170" spans="1:36" ht="19.2" customHeight="1">
      <c r="A170" s="653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429"/>
      <c r="J170" s="87"/>
      <c r="K170" s="57"/>
      <c r="L170" s="86"/>
      <c r="M170" s="87"/>
      <c r="N170" s="57"/>
      <c r="O170" s="86"/>
      <c r="P170" s="54"/>
      <c r="Q170" s="88"/>
      <c r="R170" s="430"/>
      <c r="S170" s="654"/>
      <c r="T170" s="89"/>
      <c r="U170" s="89"/>
      <c r="V170" s="429"/>
      <c r="W170" s="90">
        <f t="shared" si="108"/>
        <v>0</v>
      </c>
      <c r="X170" s="96"/>
      <c r="Y170" s="96"/>
      <c r="Z170" s="54"/>
      <c r="AA170" s="54"/>
      <c r="AB170" s="633"/>
      <c r="AC170" s="633"/>
      <c r="AD170" s="429"/>
      <c r="AE170" s="429"/>
      <c r="AF170" s="54">
        <f t="shared" si="61"/>
        <v>0</v>
      </c>
      <c r="AG170" s="430" t="e">
        <f t="shared" si="62"/>
        <v>#DIV/0!</v>
      </c>
      <c r="AH170" s="654"/>
    </row>
    <row r="171" spans="1:36" ht="19.2" customHeight="1">
      <c r="A171" s="653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429"/>
      <c r="J171" s="87"/>
      <c r="K171" s="57"/>
      <c r="L171" s="86"/>
      <c r="M171" s="87"/>
      <c r="N171" s="57"/>
      <c r="O171" s="86"/>
      <c r="P171" s="54"/>
      <c r="Q171" s="88"/>
      <c r="R171" s="430"/>
      <c r="S171" s="654"/>
      <c r="T171" s="89"/>
      <c r="U171" s="89"/>
      <c r="V171" s="429"/>
      <c r="W171" s="90">
        <f t="shared" si="108"/>
        <v>0</v>
      </c>
      <c r="X171" s="96"/>
      <c r="Y171" s="96"/>
      <c r="Z171" s="54"/>
      <c r="AA171" s="54"/>
      <c r="AB171" s="633"/>
      <c r="AC171" s="633"/>
      <c r="AD171" s="429"/>
      <c r="AE171" s="429"/>
      <c r="AF171" s="54"/>
      <c r="AG171" s="430"/>
      <c r="AH171" s="654"/>
    </row>
    <row r="172" spans="1:36" ht="19.2" customHeight="1">
      <c r="A172" s="653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429"/>
      <c r="J172" s="87"/>
      <c r="K172" s="57"/>
      <c r="L172" s="86"/>
      <c r="M172" s="87"/>
      <c r="N172" s="57"/>
      <c r="O172" s="86"/>
      <c r="P172" s="54"/>
      <c r="Q172" s="88"/>
      <c r="R172" s="430"/>
      <c r="S172" s="654"/>
      <c r="T172" s="89"/>
      <c r="U172" s="89"/>
      <c r="V172" s="429"/>
      <c r="W172" s="90">
        <f t="shared" si="108"/>
        <v>0</v>
      </c>
      <c r="X172" s="96"/>
      <c r="Y172" s="96"/>
      <c r="Z172" s="54"/>
      <c r="AA172" s="54"/>
      <c r="AB172" s="633"/>
      <c r="AC172" s="633"/>
      <c r="AD172" s="429"/>
      <c r="AE172" s="429"/>
      <c r="AF172" s="54"/>
      <c r="AG172" s="430"/>
      <c r="AH172" s="654"/>
    </row>
    <row r="173" spans="1:36" ht="19.2" customHeight="1">
      <c r="A173" s="653"/>
      <c r="B173" s="122">
        <v>0</v>
      </c>
      <c r="C173" s="100" t="s">
        <v>317</v>
      </c>
      <c r="D173" s="660" t="s">
        <v>293</v>
      </c>
      <c r="E173" s="660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2218.1694785744853</v>
      </c>
      <c r="O173" s="104">
        <f t="shared" si="109"/>
        <v>198.95027315431685</v>
      </c>
      <c r="P173" s="54">
        <f>M173-J173</f>
        <v>0</v>
      </c>
      <c r="Q173" s="88">
        <f>O173-L173</f>
        <v>-19.223852719809059</v>
      </c>
      <c r="R173" s="105">
        <f>O173/L173</f>
        <v>0.91188756850617503</v>
      </c>
      <c r="S173" s="654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94"/>
      <c r="AC173" s="694"/>
      <c r="AD173" s="107">
        <f>SUM(AD161:AD172)</f>
        <v>1</v>
      </c>
      <c r="AE173" s="107">
        <f>SUM(AE161:AE172)</f>
        <v>0</v>
      </c>
      <c r="AF173" s="54">
        <f t="shared" si="61"/>
        <v>-204.83052142551469</v>
      </c>
      <c r="AG173" s="430">
        <f t="shared" si="62"/>
        <v>0.91546408525566869</v>
      </c>
      <c r="AH173" s="654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318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319</v>
      </c>
    </row>
    <row r="186" spans="23:36">
      <c r="W186" s="33"/>
      <c r="AJ186" s="279" t="s">
        <v>320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12985" priority="3242" operator="lessThan">
      <formula>0</formula>
    </cfRule>
  </conditionalFormatting>
  <conditionalFormatting sqref="AH57 AH70 S43 S123 S95 AH95 S5:S9 AH5:AH9 S134 AH17:AH18 S17:S18 S32 S82 AH82 S57:S70">
    <cfRule type="cellIs" dxfId="12984" priority="3241" operator="lessThan">
      <formula>0.8</formula>
    </cfRule>
  </conditionalFormatting>
  <conditionalFormatting sqref="R147 R173 R30 R121 R95 R43 R134 R82 R155:R159 R17:R18 R57:R70 R109:R118">
    <cfRule type="cellIs" dxfId="12983" priority="3239" operator="lessThan">
      <formula>0.8</formula>
    </cfRule>
    <cfRule type="cellIs" dxfId="12982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12981" priority="3237" operator="greaterThan">
      <formula>1</formula>
    </cfRule>
    <cfRule type="cellIs" dxfId="12980" priority="3238" operator="lessThan">
      <formula>0.8</formula>
    </cfRule>
  </conditionalFormatting>
  <conditionalFormatting sqref="P147 P30 P121 P95 P43 P134 P82 P155:P159 P17:P18 P57:P70 P109:P118">
    <cfRule type="cellIs" dxfId="12979" priority="3236" operator="greaterThan">
      <formula>0</formula>
    </cfRule>
  </conditionalFormatting>
  <conditionalFormatting sqref="S161">
    <cfRule type="cellIs" dxfId="12978" priority="3235" operator="lessThan">
      <formula>0.8</formula>
    </cfRule>
  </conditionalFormatting>
  <conditionalFormatting sqref="Q161:Q167">
    <cfRule type="cellIs" dxfId="12977" priority="3234" operator="lessThan">
      <formula>0</formula>
    </cfRule>
  </conditionalFormatting>
  <conditionalFormatting sqref="R161:R167">
    <cfRule type="cellIs" dxfId="12976" priority="3232" operator="lessThan">
      <formula>0.8</formula>
    </cfRule>
    <cfRule type="cellIs" dxfId="12975" priority="3233" operator="greaterThan">
      <formula>1</formula>
    </cfRule>
  </conditionalFormatting>
  <conditionalFormatting sqref="R161:R167">
    <cfRule type="cellIs" dxfId="12974" priority="3230" operator="greaterThan">
      <formula>1</formula>
    </cfRule>
    <cfRule type="cellIs" dxfId="12973" priority="3231" operator="lessThan">
      <formula>0.8</formula>
    </cfRule>
  </conditionalFormatting>
  <conditionalFormatting sqref="P161:P167">
    <cfRule type="cellIs" dxfId="12972" priority="3229" operator="greaterThan">
      <formula>0</formula>
    </cfRule>
  </conditionalFormatting>
  <conditionalFormatting sqref="Q169:Q172 AF161:AF172">
    <cfRule type="cellIs" dxfId="12971" priority="3228" operator="lessThan">
      <formula>0</formula>
    </cfRule>
  </conditionalFormatting>
  <conditionalFormatting sqref="R169:R172">
    <cfRule type="cellIs" dxfId="12970" priority="3226" operator="lessThan">
      <formula>0.8</formula>
    </cfRule>
    <cfRule type="cellIs" dxfId="12969" priority="3227" operator="greaterThan">
      <formula>1</formula>
    </cfRule>
  </conditionalFormatting>
  <conditionalFormatting sqref="R169:R172 AG161:AG172">
    <cfRule type="cellIs" dxfId="12968" priority="3224" operator="greaterThan">
      <formula>1</formula>
    </cfRule>
    <cfRule type="cellIs" dxfId="12967" priority="3225" operator="lessThan">
      <formula>0.8</formula>
    </cfRule>
  </conditionalFormatting>
  <conditionalFormatting sqref="P169:P172">
    <cfRule type="cellIs" dxfId="12966" priority="3223" operator="greaterThan">
      <formula>0</formula>
    </cfRule>
  </conditionalFormatting>
  <conditionalFormatting sqref="AF145">
    <cfRule type="cellIs" dxfId="12965" priority="3222" operator="lessThan">
      <formula>0</formula>
    </cfRule>
  </conditionalFormatting>
  <conditionalFormatting sqref="AG145">
    <cfRule type="cellIs" dxfId="12964" priority="3220" operator="greaterThan">
      <formula>1</formula>
    </cfRule>
    <cfRule type="cellIs" dxfId="12963" priority="3221" operator="lessThan">
      <formula>0.8</formula>
    </cfRule>
  </conditionalFormatting>
  <conditionalFormatting sqref="AF44:AF54">
    <cfRule type="cellIs" dxfId="12962" priority="3219" operator="lessThan">
      <formula>0</formula>
    </cfRule>
  </conditionalFormatting>
  <conditionalFormatting sqref="AG44:AG54">
    <cfRule type="cellIs" dxfId="12961" priority="3217" operator="greaterThan">
      <formula>1</formula>
    </cfRule>
    <cfRule type="cellIs" dxfId="12960" priority="3218" operator="lessThan">
      <formula>0.8</formula>
    </cfRule>
  </conditionalFormatting>
  <conditionalFormatting sqref="AF83:AF94">
    <cfRule type="cellIs" dxfId="12959" priority="3216" operator="lessThan">
      <formula>0</formula>
    </cfRule>
  </conditionalFormatting>
  <conditionalFormatting sqref="AH83">
    <cfRule type="cellIs" dxfId="12958" priority="3215" operator="lessThan">
      <formula>0.8</formula>
    </cfRule>
  </conditionalFormatting>
  <conditionalFormatting sqref="AG83:AG94">
    <cfRule type="cellIs" dxfId="12957" priority="3213" operator="greaterThan">
      <formula>1</formula>
    </cfRule>
    <cfRule type="cellIs" dxfId="12956" priority="3214" operator="lessThan">
      <formula>0.8</formula>
    </cfRule>
  </conditionalFormatting>
  <conditionalFormatting sqref="S83">
    <cfRule type="cellIs" dxfId="12955" priority="3212" operator="lessThan">
      <formula>0.8</formula>
    </cfRule>
  </conditionalFormatting>
  <conditionalFormatting sqref="AH84">
    <cfRule type="cellIs" dxfId="12954" priority="3211" operator="lessThan">
      <formula>0.8</formula>
    </cfRule>
  </conditionalFormatting>
  <conditionalFormatting sqref="S84">
    <cfRule type="cellIs" dxfId="12953" priority="3210" operator="lessThan">
      <formula>0.8</formula>
    </cfRule>
  </conditionalFormatting>
  <conditionalFormatting sqref="S90">
    <cfRule type="cellIs" dxfId="12952" priority="3209" operator="lessThan">
      <formula>0.8</formula>
    </cfRule>
  </conditionalFormatting>
  <conditionalFormatting sqref="AH90">
    <cfRule type="cellIs" dxfId="12951" priority="3208" operator="lessThan">
      <formula>0.8</formula>
    </cfRule>
  </conditionalFormatting>
  <conditionalFormatting sqref="AF122">
    <cfRule type="cellIs" dxfId="12950" priority="3207" operator="lessThan">
      <formula>0</formula>
    </cfRule>
  </conditionalFormatting>
  <conditionalFormatting sqref="S122">
    <cfRule type="cellIs" dxfId="12949" priority="3206" operator="lessThan">
      <formula>0.8</formula>
    </cfRule>
  </conditionalFormatting>
  <conditionalFormatting sqref="AG122">
    <cfRule type="cellIs" dxfId="12948" priority="3204" operator="greaterThan">
      <formula>1</formula>
    </cfRule>
    <cfRule type="cellIs" dxfId="12947" priority="3205" operator="lessThan">
      <formula>0.8</formula>
    </cfRule>
  </conditionalFormatting>
  <conditionalFormatting sqref="P162:P168">
    <cfRule type="cellIs" dxfId="12946" priority="3198" operator="greaterThan">
      <formula>0</formula>
    </cfRule>
  </conditionalFormatting>
  <conditionalFormatting sqref="R162:R168">
    <cfRule type="cellIs" dxfId="12945" priority="3201" operator="lessThan">
      <formula>0.8</formula>
    </cfRule>
    <cfRule type="cellIs" dxfId="12944" priority="3202" operator="greaterThan">
      <formula>1</formula>
    </cfRule>
  </conditionalFormatting>
  <conditionalFormatting sqref="R162:R168">
    <cfRule type="cellIs" dxfId="12943" priority="3199" operator="greaterThan">
      <formula>1</formula>
    </cfRule>
    <cfRule type="cellIs" dxfId="12942" priority="3200" operator="lessThan">
      <formula>0.8</formula>
    </cfRule>
  </conditionalFormatting>
  <conditionalFormatting sqref="Q162:Q168">
    <cfRule type="cellIs" dxfId="12941" priority="3203" operator="lessThan">
      <formula>0</formula>
    </cfRule>
  </conditionalFormatting>
  <conditionalFormatting sqref="P132:P133">
    <cfRule type="cellIs" dxfId="12940" priority="3191" operator="greaterThan">
      <formula>0</formula>
    </cfRule>
  </conditionalFormatting>
  <conditionalFormatting sqref="AF124 Q132:Q133 AF132:AF133 AF126:AF127 AF129:AF130">
    <cfRule type="cellIs" dxfId="12939" priority="3197" operator="lessThan">
      <formula>0</formula>
    </cfRule>
  </conditionalFormatting>
  <conditionalFormatting sqref="S124:S133">
    <cfRule type="cellIs" dxfId="12938" priority="3196" operator="lessThan">
      <formula>0.8</formula>
    </cfRule>
  </conditionalFormatting>
  <conditionalFormatting sqref="R132:R133">
    <cfRule type="cellIs" dxfId="12937" priority="3194" operator="lessThan">
      <formula>0.8</formula>
    </cfRule>
    <cfRule type="cellIs" dxfId="12936" priority="3195" operator="greaterThan">
      <formula>1</formula>
    </cfRule>
  </conditionalFormatting>
  <conditionalFormatting sqref="AG124 R132:R133 AG132:AG133 AG126:AG127 AG129:AG130">
    <cfRule type="cellIs" dxfId="12935" priority="3192" operator="greaterThan">
      <formula>1</formula>
    </cfRule>
    <cfRule type="cellIs" dxfId="12934" priority="3193" operator="lessThan">
      <formula>0.8</formula>
    </cfRule>
  </conditionalFormatting>
  <conditionalFormatting sqref="AH109">
    <cfRule type="cellIs" dxfId="12933" priority="3190" operator="lessThan">
      <formula>0.8</formula>
    </cfRule>
  </conditionalFormatting>
  <conditionalFormatting sqref="R160 AG160">
    <cfRule type="cellIs" dxfId="12932" priority="3185" operator="greaterThan">
      <formula>1</formula>
    </cfRule>
    <cfRule type="cellIs" dxfId="12931" priority="3186" operator="lessThan">
      <formula>0.8</formula>
    </cfRule>
  </conditionalFormatting>
  <conditionalFormatting sqref="R160">
    <cfRule type="cellIs" dxfId="12930" priority="3187" operator="lessThan">
      <formula>0.8</formula>
    </cfRule>
    <cfRule type="cellIs" dxfId="12929" priority="3188" operator="greaterThan">
      <formula>1</formula>
    </cfRule>
  </conditionalFormatting>
  <conditionalFormatting sqref="P160">
    <cfRule type="cellIs" dxfId="12928" priority="3184" operator="greaterThan">
      <formula>0</formula>
    </cfRule>
  </conditionalFormatting>
  <conditionalFormatting sqref="AH148">
    <cfRule type="cellIs" dxfId="12927" priority="3183" operator="lessThan">
      <formula>0.8</formula>
    </cfRule>
  </conditionalFormatting>
  <conditionalFormatting sqref="Q160 AF160">
    <cfRule type="cellIs" dxfId="12926" priority="3189" operator="lessThan">
      <formula>0</formula>
    </cfRule>
  </conditionalFormatting>
  <conditionalFormatting sqref="AF148:AF154">
    <cfRule type="cellIs" dxfId="12925" priority="3182" operator="lessThan">
      <formula>0</formula>
    </cfRule>
  </conditionalFormatting>
  <conditionalFormatting sqref="S148">
    <cfRule type="cellIs" dxfId="12924" priority="3181" operator="lessThan">
      <formula>0.8</formula>
    </cfRule>
  </conditionalFormatting>
  <conditionalFormatting sqref="AG148:AG154">
    <cfRule type="cellIs" dxfId="12923" priority="3179" operator="greaterThan">
      <formula>1</formula>
    </cfRule>
    <cfRule type="cellIs" dxfId="12922" priority="3180" operator="lessThan">
      <formula>0.8</formula>
    </cfRule>
  </conditionalFormatting>
  <conditionalFormatting sqref="S86">
    <cfRule type="cellIs" dxfId="12921" priority="3178" operator="lessThan">
      <formula>0.8</formula>
    </cfRule>
  </conditionalFormatting>
  <conditionalFormatting sqref="S88 AH88">
    <cfRule type="cellIs" dxfId="12920" priority="3173" operator="lessThan">
      <formula>0.8</formula>
    </cfRule>
  </conditionalFormatting>
  <conditionalFormatting sqref="AH86">
    <cfRule type="cellIs" dxfId="12919" priority="3177" operator="lessThan">
      <formula>0.8</formula>
    </cfRule>
  </conditionalFormatting>
  <conditionalFormatting sqref="S87">
    <cfRule type="cellIs" dxfId="12918" priority="3176" operator="lessThan">
      <formula>0.8</formula>
    </cfRule>
  </conditionalFormatting>
  <conditionalFormatting sqref="AH87">
    <cfRule type="cellIs" dxfId="12917" priority="3175" operator="lessThan">
      <formula>0.8</formula>
    </cfRule>
  </conditionalFormatting>
  <conditionalFormatting sqref="S89 AH89">
    <cfRule type="cellIs" dxfId="12916" priority="3174" operator="lessThan">
      <formula>0.8</formula>
    </cfRule>
  </conditionalFormatting>
  <conditionalFormatting sqref="AF31 AF35 AF39">
    <cfRule type="cellIs" dxfId="12915" priority="3172" operator="lessThan">
      <formula>0</formula>
    </cfRule>
  </conditionalFormatting>
  <conditionalFormatting sqref="AH31 S31">
    <cfRule type="cellIs" dxfId="12914" priority="3171" operator="lessThan">
      <formula>0.8</formula>
    </cfRule>
  </conditionalFormatting>
  <conditionalFormatting sqref="AG31 AG35 AG39">
    <cfRule type="cellIs" dxfId="12913" priority="3169" operator="greaterThan">
      <formula>1</formula>
    </cfRule>
    <cfRule type="cellIs" dxfId="12912" priority="3170" operator="lessThan">
      <formula>0.8</formula>
    </cfRule>
  </conditionalFormatting>
  <conditionalFormatting sqref="AF135">
    <cfRule type="cellIs" dxfId="12911" priority="3168" operator="lessThan">
      <formula>0</formula>
    </cfRule>
  </conditionalFormatting>
  <conditionalFormatting sqref="AH135 S135">
    <cfRule type="cellIs" dxfId="12910" priority="3167" operator="lessThan">
      <formula>0.8</formula>
    </cfRule>
  </conditionalFormatting>
  <conditionalFormatting sqref="AG135">
    <cfRule type="cellIs" dxfId="12909" priority="3165" operator="greaterThan">
      <formula>1</formula>
    </cfRule>
    <cfRule type="cellIs" dxfId="12908" priority="3166" operator="lessThan">
      <formula>0.8</formula>
    </cfRule>
  </conditionalFormatting>
  <conditionalFormatting sqref="AF108 Q108">
    <cfRule type="cellIs" dxfId="12907" priority="3164" operator="lessThan">
      <formula>0</formula>
    </cfRule>
  </conditionalFormatting>
  <conditionalFormatting sqref="R108">
    <cfRule type="cellIs" dxfId="12906" priority="3162" operator="lessThan">
      <formula>0.8</formula>
    </cfRule>
    <cfRule type="cellIs" dxfId="12905" priority="3163" operator="greaterThan">
      <formula>1</formula>
    </cfRule>
  </conditionalFormatting>
  <conditionalFormatting sqref="AG108 R108">
    <cfRule type="cellIs" dxfId="12904" priority="3160" operator="greaterThan">
      <formula>1</formula>
    </cfRule>
    <cfRule type="cellIs" dxfId="12903" priority="3161" operator="lessThan">
      <formula>0.8</formula>
    </cfRule>
  </conditionalFormatting>
  <conditionalFormatting sqref="P108">
    <cfRule type="cellIs" dxfId="12902" priority="3159" operator="greaterThan">
      <formula>0</formula>
    </cfRule>
  </conditionalFormatting>
  <conditionalFormatting sqref="AH97">
    <cfRule type="cellIs" dxfId="12901" priority="3154" operator="lessThan">
      <formula>0.8</formula>
    </cfRule>
  </conditionalFormatting>
  <conditionalFormatting sqref="AG96 AG98 AG100 AG102:AG103 AG105:AG106">
    <cfRule type="cellIs" dxfId="12900" priority="3156" operator="greaterThan">
      <formula>1</formula>
    </cfRule>
    <cfRule type="cellIs" dxfId="12899" priority="3157" operator="lessThan">
      <formula>0.8</formula>
    </cfRule>
  </conditionalFormatting>
  <conditionalFormatting sqref="AF96 AF98 AF100 AF102:AF103 AF105:AF106">
    <cfRule type="cellIs" dxfId="12898" priority="3158" operator="lessThan">
      <formula>0</formula>
    </cfRule>
  </conditionalFormatting>
  <conditionalFormatting sqref="AG97 AG99 AG101 AG104">
    <cfRule type="cellIs" dxfId="12897" priority="3152" operator="greaterThan">
      <formula>1</formula>
    </cfRule>
    <cfRule type="cellIs" dxfId="12896" priority="3153" operator="lessThan">
      <formula>0.8</formula>
    </cfRule>
  </conditionalFormatting>
  <conditionalFormatting sqref="AF97 AF99 AF101 AF104">
    <cfRule type="cellIs" dxfId="12895" priority="3155" operator="lessThan">
      <formula>0</formula>
    </cfRule>
  </conditionalFormatting>
  <conditionalFormatting sqref="AF71 AF73 AF75 AF79 AF77">
    <cfRule type="cellIs" dxfId="12894" priority="3149" operator="lessThan">
      <formula>0</formula>
    </cfRule>
  </conditionalFormatting>
  <conditionalFormatting sqref="S71 AH71">
    <cfRule type="cellIs" dxfId="12893" priority="3148" operator="lessThan">
      <formula>0.8</formula>
    </cfRule>
  </conditionalFormatting>
  <conditionalFormatting sqref="AG71 AG73 AG75 AG79 AG77">
    <cfRule type="cellIs" dxfId="12892" priority="3146" operator="greaterThan">
      <formula>1</formula>
    </cfRule>
    <cfRule type="cellIs" dxfId="12891" priority="3147" operator="lessThan">
      <formula>0.8</formula>
    </cfRule>
  </conditionalFormatting>
  <conditionalFormatting sqref="AF72 AF76 AF80">
    <cfRule type="cellIs" dxfId="12890" priority="3145" operator="lessThan">
      <formula>0</formula>
    </cfRule>
  </conditionalFormatting>
  <conditionalFormatting sqref="S72 AH72">
    <cfRule type="cellIs" dxfId="12889" priority="3144" operator="lessThan">
      <formula>0.8</formula>
    </cfRule>
  </conditionalFormatting>
  <conditionalFormatting sqref="S11">
    <cfRule type="cellIs" dxfId="12888" priority="3151" operator="lessThan">
      <formula>0.8</formula>
    </cfRule>
  </conditionalFormatting>
  <conditionalFormatting sqref="S10">
    <cfRule type="cellIs" dxfId="12887" priority="3150" operator="lessThan">
      <formula>0.8</formula>
    </cfRule>
  </conditionalFormatting>
  <conditionalFormatting sqref="AG72 AG76 AG80">
    <cfRule type="cellIs" dxfId="12886" priority="3142" operator="greaterThan">
      <formula>1</formula>
    </cfRule>
    <cfRule type="cellIs" dxfId="12885" priority="3143" operator="lessThan">
      <formula>0.8</formula>
    </cfRule>
  </conditionalFormatting>
  <conditionalFormatting sqref="AF14:AF16 Q15:Q16">
    <cfRule type="cellIs" dxfId="12884" priority="3141" operator="lessThan">
      <formula>0</formula>
    </cfRule>
  </conditionalFormatting>
  <conditionalFormatting sqref="R15:R16">
    <cfRule type="cellIs" dxfId="12883" priority="3139" operator="lessThan">
      <formula>0.8</formula>
    </cfRule>
    <cfRule type="cellIs" dxfId="12882" priority="3140" operator="greaterThan">
      <formula>1</formula>
    </cfRule>
  </conditionalFormatting>
  <conditionalFormatting sqref="R15:R16">
    <cfRule type="cellIs" dxfId="12881" priority="3137" operator="greaterThan">
      <formula>1</formula>
    </cfRule>
    <cfRule type="cellIs" dxfId="12880" priority="3138" operator="lessThan">
      <formula>0.8</formula>
    </cfRule>
  </conditionalFormatting>
  <conditionalFormatting sqref="P15:P16">
    <cfRule type="cellIs" dxfId="12879" priority="3136" operator="greaterThan">
      <formula>0</formula>
    </cfRule>
  </conditionalFormatting>
  <conditionalFormatting sqref="AH98">
    <cfRule type="cellIs" dxfId="12878" priority="3135" operator="lessThan">
      <formula>0.8</formula>
    </cfRule>
  </conditionalFormatting>
  <conditionalFormatting sqref="AF33 AF37">
    <cfRule type="cellIs" dxfId="12877" priority="3134" operator="lessThan">
      <formula>0</formula>
    </cfRule>
  </conditionalFormatting>
  <conditionalFormatting sqref="AG33 AG37">
    <cfRule type="cellIs" dxfId="12876" priority="3132" operator="greaterThan">
      <formula>1</formula>
    </cfRule>
    <cfRule type="cellIs" dxfId="12875" priority="3133" operator="lessThan">
      <formula>0.8</formula>
    </cfRule>
  </conditionalFormatting>
  <conditionalFormatting sqref="P41:P42">
    <cfRule type="cellIs" dxfId="12874" priority="3126" operator="greaterThan">
      <formula>0</formula>
    </cfRule>
  </conditionalFormatting>
  <conditionalFormatting sqref="Q41:Q42 AF34 AF41:AF42 AF38">
    <cfRule type="cellIs" dxfId="12873" priority="3131" operator="lessThan">
      <formula>0</formula>
    </cfRule>
  </conditionalFormatting>
  <conditionalFormatting sqref="R41:R42">
    <cfRule type="cellIs" dxfId="12872" priority="3129" operator="lessThan">
      <formula>0.8</formula>
    </cfRule>
    <cfRule type="cellIs" dxfId="12871" priority="3130" operator="greaterThan">
      <formula>1</formula>
    </cfRule>
  </conditionalFormatting>
  <conditionalFormatting sqref="R41:R42 AG34 AG41:AG42 AG38">
    <cfRule type="cellIs" dxfId="12870" priority="3127" operator="greaterThan">
      <formula>1</formula>
    </cfRule>
    <cfRule type="cellIs" dxfId="12869" priority="3128" operator="lessThan">
      <formula>0.8</formula>
    </cfRule>
  </conditionalFormatting>
  <conditionalFormatting sqref="AF137:AF144">
    <cfRule type="cellIs" dxfId="12868" priority="3125" operator="lessThan">
      <formula>0</formula>
    </cfRule>
  </conditionalFormatting>
  <conditionalFormatting sqref="AH137 S137">
    <cfRule type="cellIs" dxfId="12867" priority="3124" operator="lessThan">
      <formula>0.8</formula>
    </cfRule>
  </conditionalFormatting>
  <conditionalFormatting sqref="AG137:AG144">
    <cfRule type="cellIs" dxfId="12866" priority="3122" operator="greaterThan">
      <formula>1</formula>
    </cfRule>
    <cfRule type="cellIs" dxfId="12865" priority="3123" operator="lessThan">
      <formula>0.8</formula>
    </cfRule>
  </conditionalFormatting>
  <conditionalFormatting sqref="AF55">
    <cfRule type="cellIs" dxfId="12864" priority="3121" operator="lessThan">
      <formula>0</formula>
    </cfRule>
  </conditionalFormatting>
  <conditionalFormatting sqref="AG55">
    <cfRule type="cellIs" dxfId="12863" priority="3119" operator="greaterThan">
      <formula>1</formula>
    </cfRule>
    <cfRule type="cellIs" dxfId="12862" priority="3120" operator="lessThan">
      <formula>0.8</formula>
    </cfRule>
  </conditionalFormatting>
  <conditionalFormatting sqref="AF56 Q56">
    <cfRule type="cellIs" dxfId="12861" priority="3118" operator="lessThan">
      <formula>0</formula>
    </cfRule>
  </conditionalFormatting>
  <conditionalFormatting sqref="R56">
    <cfRule type="cellIs" dxfId="12860" priority="3116" operator="lessThan">
      <formula>0.8</formula>
    </cfRule>
    <cfRule type="cellIs" dxfId="12859" priority="3117" operator="greaterThan">
      <formula>1</formula>
    </cfRule>
  </conditionalFormatting>
  <conditionalFormatting sqref="AG56 R56">
    <cfRule type="cellIs" dxfId="12858" priority="3114" operator="greaterThan">
      <formula>1</formula>
    </cfRule>
    <cfRule type="cellIs" dxfId="12857" priority="3115" operator="lessThan">
      <formula>0.8</formula>
    </cfRule>
  </conditionalFormatting>
  <conditionalFormatting sqref="P56">
    <cfRule type="cellIs" dxfId="12856" priority="3113" operator="greaterThan">
      <formula>0</formula>
    </cfRule>
  </conditionalFormatting>
  <conditionalFormatting sqref="P52:P55">
    <cfRule type="cellIs" dxfId="12855" priority="3107" operator="greaterThan">
      <formula>0</formula>
    </cfRule>
  </conditionalFormatting>
  <conditionalFormatting sqref="Q52:Q55">
    <cfRule type="cellIs" dxfId="12854" priority="3112" operator="lessThan">
      <formula>0</formula>
    </cfRule>
  </conditionalFormatting>
  <conditionalFormatting sqref="R52:R55">
    <cfRule type="cellIs" dxfId="12853" priority="3110" operator="lessThan">
      <formula>0.8</formula>
    </cfRule>
    <cfRule type="cellIs" dxfId="12852" priority="3111" operator="greaterThan">
      <formula>1</formula>
    </cfRule>
  </conditionalFormatting>
  <conditionalFormatting sqref="R52:R55">
    <cfRule type="cellIs" dxfId="12851" priority="3108" operator="greaterThan">
      <formula>1</formula>
    </cfRule>
    <cfRule type="cellIs" dxfId="12850" priority="3109" operator="lessThan">
      <formula>0.8</formula>
    </cfRule>
  </conditionalFormatting>
  <conditionalFormatting sqref="P80:P81">
    <cfRule type="cellIs" dxfId="12849" priority="3101" operator="greaterThan">
      <formula>0</formula>
    </cfRule>
  </conditionalFormatting>
  <conditionalFormatting sqref="AF81 Q80:Q81">
    <cfRule type="cellIs" dxfId="12848" priority="3106" operator="lessThan">
      <formula>0</formula>
    </cfRule>
  </conditionalFormatting>
  <conditionalFormatting sqref="R80:R81">
    <cfRule type="cellIs" dxfId="12847" priority="3104" operator="lessThan">
      <formula>0.8</formula>
    </cfRule>
    <cfRule type="cellIs" dxfId="12846" priority="3105" operator="greaterThan">
      <formula>1</formula>
    </cfRule>
  </conditionalFormatting>
  <conditionalFormatting sqref="AG81 R80:R81">
    <cfRule type="cellIs" dxfId="12845" priority="3102" operator="greaterThan">
      <formula>1</formula>
    </cfRule>
    <cfRule type="cellIs" dxfId="12844" priority="3103" operator="lessThan">
      <formula>0.8</formula>
    </cfRule>
  </conditionalFormatting>
  <conditionalFormatting sqref="AH85">
    <cfRule type="cellIs" dxfId="12843" priority="3100" operator="lessThan">
      <formula>0.8</formula>
    </cfRule>
  </conditionalFormatting>
  <conditionalFormatting sqref="S85">
    <cfRule type="cellIs" dxfId="12842" priority="3099" operator="lessThan">
      <formula>0.8</formula>
    </cfRule>
  </conditionalFormatting>
  <conditionalFormatting sqref="AF107">
    <cfRule type="cellIs" dxfId="12841" priority="3098" operator="lessThan">
      <formula>0</formula>
    </cfRule>
  </conditionalFormatting>
  <conditionalFormatting sqref="AH100:AH107">
    <cfRule type="cellIs" dxfId="12840" priority="3097" operator="lessThan">
      <formula>0.8</formula>
    </cfRule>
  </conditionalFormatting>
  <conditionalFormatting sqref="AG107">
    <cfRule type="cellIs" dxfId="12839" priority="3095" operator="greaterThan">
      <formula>1</formula>
    </cfRule>
    <cfRule type="cellIs" dxfId="12838" priority="3096" operator="lessThan">
      <formula>0.8</formula>
    </cfRule>
  </conditionalFormatting>
  <conditionalFormatting sqref="P106:P107">
    <cfRule type="cellIs" dxfId="12837" priority="3089" operator="greaterThan">
      <formula>0</formula>
    </cfRule>
  </conditionalFormatting>
  <conditionalFormatting sqref="Q106:Q107">
    <cfRule type="cellIs" dxfId="12836" priority="3094" operator="lessThan">
      <formula>0</formula>
    </cfRule>
  </conditionalFormatting>
  <conditionalFormatting sqref="R106:R107">
    <cfRule type="cellIs" dxfId="12835" priority="3092" operator="lessThan">
      <formula>0.8</formula>
    </cfRule>
    <cfRule type="cellIs" dxfId="12834" priority="3093" operator="greaterThan">
      <formula>1</formula>
    </cfRule>
  </conditionalFormatting>
  <conditionalFormatting sqref="R106:R107">
    <cfRule type="cellIs" dxfId="12833" priority="3090" operator="greaterThan">
      <formula>1</formula>
    </cfRule>
    <cfRule type="cellIs" dxfId="12832" priority="3091" operator="lessThan">
      <formula>0.8</formula>
    </cfRule>
  </conditionalFormatting>
  <conditionalFormatting sqref="AF109:AF120">
    <cfRule type="cellIs" dxfId="12831" priority="3088" operator="lessThan">
      <formula>0</formula>
    </cfRule>
  </conditionalFormatting>
  <conditionalFormatting sqref="S109">
    <cfRule type="cellIs" dxfId="12830" priority="3087" operator="lessThan">
      <formula>0.8</formula>
    </cfRule>
  </conditionalFormatting>
  <conditionalFormatting sqref="AG109:AG120">
    <cfRule type="cellIs" dxfId="12829" priority="3085" operator="greaterThan">
      <formula>1</formula>
    </cfRule>
    <cfRule type="cellIs" dxfId="12828" priority="3086" operator="lessThan">
      <formula>0.8</formula>
    </cfRule>
  </conditionalFormatting>
  <conditionalFormatting sqref="S150">
    <cfRule type="cellIs" dxfId="12827" priority="3084" operator="lessThan">
      <formula>0.8</formula>
    </cfRule>
  </conditionalFormatting>
  <conditionalFormatting sqref="AH150">
    <cfRule type="cellIs" dxfId="12826" priority="3083" operator="lessThan">
      <formula>0.8</formula>
    </cfRule>
  </conditionalFormatting>
  <conditionalFormatting sqref="S149">
    <cfRule type="cellIs" dxfId="12825" priority="3082" operator="lessThan">
      <formula>0.8</formula>
    </cfRule>
  </conditionalFormatting>
  <conditionalFormatting sqref="Q26:Q29">
    <cfRule type="cellIs" dxfId="12824" priority="3081" operator="lessThan">
      <formula>0</formula>
    </cfRule>
  </conditionalFormatting>
  <conditionalFormatting sqref="S21:S29 AH21:AH29">
    <cfRule type="cellIs" dxfId="12823" priority="3080" operator="lessThan">
      <formula>0.8</formula>
    </cfRule>
  </conditionalFormatting>
  <conditionalFormatting sqref="R26:R29">
    <cfRule type="cellIs" dxfId="12822" priority="3078" operator="lessThan">
      <formula>0.8</formula>
    </cfRule>
    <cfRule type="cellIs" dxfId="12821" priority="3079" operator="greaterThan">
      <formula>1</formula>
    </cfRule>
  </conditionalFormatting>
  <conditionalFormatting sqref="R26:R29">
    <cfRule type="cellIs" dxfId="12820" priority="3076" operator="greaterThan">
      <formula>1</formula>
    </cfRule>
    <cfRule type="cellIs" dxfId="12819" priority="3077" operator="lessThan">
      <formula>0.8</formula>
    </cfRule>
  </conditionalFormatting>
  <conditionalFormatting sqref="P26:P29">
    <cfRule type="cellIs" dxfId="12818" priority="3075" operator="greaterThan">
      <formula>0</formula>
    </cfRule>
  </conditionalFormatting>
  <conditionalFormatting sqref="AH91 S91">
    <cfRule type="cellIs" dxfId="12817" priority="3074" operator="lessThan">
      <formula>0.8</formula>
    </cfRule>
  </conditionalFormatting>
  <conditionalFormatting sqref="P92:P94">
    <cfRule type="cellIs" dxfId="12816" priority="3068" operator="greaterThan">
      <formula>0</formula>
    </cfRule>
  </conditionalFormatting>
  <conditionalFormatting sqref="Q92:Q94">
    <cfRule type="cellIs" dxfId="12815" priority="3073" operator="lessThan">
      <formula>0</formula>
    </cfRule>
  </conditionalFormatting>
  <conditionalFormatting sqref="R92:R94">
    <cfRule type="cellIs" dxfId="12814" priority="3071" operator="lessThan">
      <formula>0.8</formula>
    </cfRule>
    <cfRule type="cellIs" dxfId="12813" priority="3072" operator="greaterThan">
      <formula>1</formula>
    </cfRule>
  </conditionalFormatting>
  <conditionalFormatting sqref="R92:R94">
    <cfRule type="cellIs" dxfId="12812" priority="3069" operator="greaterThan">
      <formula>1</formula>
    </cfRule>
    <cfRule type="cellIs" dxfId="12811" priority="3070" operator="lessThan">
      <formula>0.8</formula>
    </cfRule>
  </conditionalFormatting>
  <conditionalFormatting sqref="AF146 Q145:Q146">
    <cfRule type="cellIs" dxfId="12810" priority="3067" operator="lessThan">
      <formula>0</formula>
    </cfRule>
  </conditionalFormatting>
  <conditionalFormatting sqref="AH139:AH146 S139:S146">
    <cfRule type="cellIs" dxfId="12809" priority="3066" operator="lessThan">
      <formula>0.8</formula>
    </cfRule>
  </conditionalFormatting>
  <conditionalFormatting sqref="R145:R146">
    <cfRule type="cellIs" dxfId="12808" priority="3064" operator="lessThan">
      <formula>0.8</formula>
    </cfRule>
    <cfRule type="cellIs" dxfId="12807" priority="3065" operator="greaterThan">
      <formula>1</formula>
    </cfRule>
  </conditionalFormatting>
  <conditionalFormatting sqref="AG146 R145:R146">
    <cfRule type="cellIs" dxfId="12806" priority="3062" operator="greaterThan">
      <formula>1</formula>
    </cfRule>
    <cfRule type="cellIs" dxfId="12805" priority="3063" operator="lessThan">
      <formula>0.8</formula>
    </cfRule>
  </conditionalFormatting>
  <conditionalFormatting sqref="P145:P146">
    <cfRule type="cellIs" dxfId="12804" priority="3061" operator="greaterThan">
      <formula>0</formula>
    </cfRule>
  </conditionalFormatting>
  <conditionalFormatting sqref="Q119:Q120">
    <cfRule type="cellIs" dxfId="12803" priority="3060" operator="lessThan">
      <formula>0</formula>
    </cfRule>
  </conditionalFormatting>
  <conditionalFormatting sqref="R119:R120">
    <cfRule type="cellIs" dxfId="12802" priority="3058" operator="lessThan">
      <formula>0.8</formula>
    </cfRule>
    <cfRule type="cellIs" dxfId="12801" priority="3059" operator="greaterThan">
      <formula>1</formula>
    </cfRule>
  </conditionalFormatting>
  <conditionalFormatting sqref="R119:R120">
    <cfRule type="cellIs" dxfId="12800" priority="3056" operator="greaterThan">
      <formula>1</formula>
    </cfRule>
    <cfRule type="cellIs" dxfId="12799" priority="3057" operator="lessThan">
      <formula>0.8</formula>
    </cfRule>
  </conditionalFormatting>
  <conditionalFormatting sqref="P119:P120">
    <cfRule type="cellIs" dxfId="12798" priority="3055" operator="greaterThan">
      <formula>0</formula>
    </cfRule>
  </conditionalFormatting>
  <conditionalFormatting sqref="S44:S56">
    <cfRule type="cellIs" dxfId="12797" priority="3054" operator="lessThan">
      <formula>0.8</formula>
    </cfRule>
  </conditionalFormatting>
  <conditionalFormatting sqref="S108">
    <cfRule type="cellIs" dxfId="12796" priority="3053" operator="lessThan">
      <formula>0.8</formula>
    </cfRule>
  </conditionalFormatting>
  <conditionalFormatting sqref="S96">
    <cfRule type="cellIs" dxfId="12795" priority="3052" operator="lessThan">
      <formula>0.8</formula>
    </cfRule>
  </conditionalFormatting>
  <conditionalFormatting sqref="S97">
    <cfRule type="cellIs" dxfId="12794" priority="3051" operator="lessThan">
      <formula>0.8</formula>
    </cfRule>
  </conditionalFormatting>
  <conditionalFormatting sqref="S103">
    <cfRule type="cellIs" dxfId="12793" priority="3050" operator="lessThan">
      <formula>0.8</formula>
    </cfRule>
  </conditionalFormatting>
  <conditionalFormatting sqref="S99">
    <cfRule type="cellIs" dxfId="12792" priority="3049" operator="lessThan">
      <formula>0.8</formula>
    </cfRule>
  </conditionalFormatting>
  <conditionalFormatting sqref="S101">
    <cfRule type="cellIs" dxfId="12791" priority="3046" operator="lessThan">
      <formula>0.8</formula>
    </cfRule>
  </conditionalFormatting>
  <conditionalFormatting sqref="S100">
    <cfRule type="cellIs" dxfId="12790" priority="3048" operator="lessThan">
      <formula>0.8</formula>
    </cfRule>
  </conditionalFormatting>
  <conditionalFormatting sqref="S102">
    <cfRule type="cellIs" dxfId="12789" priority="3047" operator="lessThan">
      <formula>0.8</formula>
    </cfRule>
  </conditionalFormatting>
  <conditionalFormatting sqref="S98">
    <cfRule type="cellIs" dxfId="12788" priority="3045" operator="lessThan">
      <formula>0.8</formula>
    </cfRule>
  </conditionalFormatting>
  <conditionalFormatting sqref="S104">
    <cfRule type="cellIs" dxfId="12787" priority="3044" operator="lessThan">
      <formula>0.8</formula>
    </cfRule>
  </conditionalFormatting>
  <conditionalFormatting sqref="Q162:Q167">
    <cfRule type="cellIs" dxfId="12786" priority="3043" operator="lessThan">
      <formula>0</formula>
    </cfRule>
  </conditionalFormatting>
  <conditionalFormatting sqref="R162:R167">
    <cfRule type="cellIs" dxfId="12785" priority="3041" operator="lessThan">
      <formula>0.8</formula>
    </cfRule>
    <cfRule type="cellIs" dxfId="12784" priority="3042" operator="greaterThan">
      <formula>1</formula>
    </cfRule>
  </conditionalFormatting>
  <conditionalFormatting sqref="R162:R167">
    <cfRule type="cellIs" dxfId="12783" priority="3039" operator="greaterThan">
      <formula>1</formula>
    </cfRule>
    <cfRule type="cellIs" dxfId="12782" priority="3040" operator="lessThan">
      <formula>0.8</formula>
    </cfRule>
  </conditionalFormatting>
  <conditionalFormatting sqref="P162:P167">
    <cfRule type="cellIs" dxfId="12781" priority="3038" operator="greaterThan">
      <formula>0</formula>
    </cfRule>
  </conditionalFormatting>
  <conditionalFormatting sqref="P168">
    <cfRule type="cellIs" dxfId="12780" priority="3032" operator="greaterThan">
      <formula>0</formula>
    </cfRule>
  </conditionalFormatting>
  <conditionalFormatting sqref="R168">
    <cfRule type="cellIs" dxfId="12779" priority="3035" operator="lessThan">
      <formula>0.8</formula>
    </cfRule>
    <cfRule type="cellIs" dxfId="12778" priority="3036" operator="greaterThan">
      <formula>1</formula>
    </cfRule>
  </conditionalFormatting>
  <conditionalFormatting sqref="R168">
    <cfRule type="cellIs" dxfId="12777" priority="3033" operator="greaterThan">
      <formula>1</formula>
    </cfRule>
    <cfRule type="cellIs" dxfId="12776" priority="3034" operator="lessThan">
      <formula>0.8</formula>
    </cfRule>
  </conditionalFormatting>
  <conditionalFormatting sqref="Q168">
    <cfRule type="cellIs" dxfId="12775" priority="3037" operator="lessThan">
      <formula>0</formula>
    </cfRule>
  </conditionalFormatting>
  <conditionalFormatting sqref="Q83">
    <cfRule type="cellIs" dxfId="12774" priority="3031" operator="lessThan">
      <formula>0</formula>
    </cfRule>
  </conditionalFormatting>
  <conditionalFormatting sqref="R83">
    <cfRule type="cellIs" dxfId="12773" priority="3029" operator="lessThan">
      <formula>0.8</formula>
    </cfRule>
    <cfRule type="cellIs" dxfId="12772" priority="3030" operator="greaterThan">
      <formula>1</formula>
    </cfRule>
  </conditionalFormatting>
  <conditionalFormatting sqref="R83">
    <cfRule type="cellIs" dxfId="12771" priority="3027" operator="greaterThan">
      <formula>1</formula>
    </cfRule>
    <cfRule type="cellIs" dxfId="12770" priority="3028" operator="lessThan">
      <formula>0.8</formula>
    </cfRule>
  </conditionalFormatting>
  <conditionalFormatting sqref="P83">
    <cfRule type="cellIs" dxfId="12769" priority="3026" operator="greaterThan">
      <formula>0</formula>
    </cfRule>
  </conditionalFormatting>
  <conditionalFormatting sqref="Q83">
    <cfRule type="cellIs" dxfId="12768" priority="3025" operator="lessThan">
      <formula>0</formula>
    </cfRule>
  </conditionalFormatting>
  <conditionalFormatting sqref="R83">
    <cfRule type="cellIs" dxfId="12767" priority="3023" operator="lessThan">
      <formula>0.8</formula>
    </cfRule>
    <cfRule type="cellIs" dxfId="12766" priority="3024" operator="greaterThan">
      <formula>1</formula>
    </cfRule>
  </conditionalFormatting>
  <conditionalFormatting sqref="R83">
    <cfRule type="cellIs" dxfId="12765" priority="3021" operator="greaterThan">
      <formula>1</formula>
    </cfRule>
    <cfRule type="cellIs" dxfId="12764" priority="3022" operator="lessThan">
      <formula>0.8</formula>
    </cfRule>
  </conditionalFormatting>
  <conditionalFormatting sqref="P83">
    <cfRule type="cellIs" dxfId="12763" priority="3020" operator="greaterThan">
      <formula>0</formula>
    </cfRule>
  </conditionalFormatting>
  <conditionalFormatting sqref="Q83">
    <cfRule type="cellIs" dxfId="12762" priority="3019" operator="lessThan">
      <formula>0</formula>
    </cfRule>
  </conditionalFormatting>
  <conditionalFormatting sqref="R83">
    <cfRule type="cellIs" dxfId="12761" priority="3017" operator="lessThan">
      <formula>0.8</formula>
    </cfRule>
    <cfRule type="cellIs" dxfId="12760" priority="3018" operator="greaterThan">
      <formula>1</formula>
    </cfRule>
  </conditionalFormatting>
  <conditionalFormatting sqref="R83">
    <cfRule type="cellIs" dxfId="12759" priority="3015" operator="greaterThan">
      <formula>1</formula>
    </cfRule>
    <cfRule type="cellIs" dxfId="12758" priority="3016" operator="lessThan">
      <formula>0.8</formula>
    </cfRule>
  </conditionalFormatting>
  <conditionalFormatting sqref="P83">
    <cfRule type="cellIs" dxfId="12757" priority="3014" operator="greaterThan">
      <formula>0</formula>
    </cfRule>
  </conditionalFormatting>
  <conditionalFormatting sqref="Q83">
    <cfRule type="cellIs" dxfId="12756" priority="3013" operator="lessThan">
      <formula>0</formula>
    </cfRule>
  </conditionalFormatting>
  <conditionalFormatting sqref="R83">
    <cfRule type="cellIs" dxfId="12755" priority="3011" operator="lessThan">
      <formula>0.8</formula>
    </cfRule>
    <cfRule type="cellIs" dxfId="12754" priority="3012" operator="greaterThan">
      <formula>1</formula>
    </cfRule>
  </conditionalFormatting>
  <conditionalFormatting sqref="R83">
    <cfRule type="cellIs" dxfId="12753" priority="3009" operator="greaterThan">
      <formula>1</formula>
    </cfRule>
    <cfRule type="cellIs" dxfId="12752" priority="3010" operator="lessThan">
      <formula>0.8</formula>
    </cfRule>
  </conditionalFormatting>
  <conditionalFormatting sqref="P83">
    <cfRule type="cellIs" dxfId="12751" priority="3008" operator="greaterThan">
      <formula>0</formula>
    </cfRule>
  </conditionalFormatting>
  <conditionalFormatting sqref="P83">
    <cfRule type="cellIs" dxfId="12750" priority="3002" operator="greaterThan">
      <formula>0</formula>
    </cfRule>
  </conditionalFormatting>
  <conditionalFormatting sqref="Q83">
    <cfRule type="cellIs" dxfId="12749" priority="3007" operator="lessThan">
      <formula>0</formula>
    </cfRule>
  </conditionalFormatting>
  <conditionalFormatting sqref="R83">
    <cfRule type="cellIs" dxfId="12748" priority="3005" operator="lessThan">
      <formula>0.8</formula>
    </cfRule>
    <cfRule type="cellIs" dxfId="12747" priority="3006" operator="greaterThan">
      <formula>1</formula>
    </cfRule>
  </conditionalFormatting>
  <conditionalFormatting sqref="R83">
    <cfRule type="cellIs" dxfId="12746" priority="3003" operator="greaterThan">
      <formula>1</formula>
    </cfRule>
    <cfRule type="cellIs" dxfId="12745" priority="3004" operator="lessThan">
      <formula>0.8</formula>
    </cfRule>
  </conditionalFormatting>
  <conditionalFormatting sqref="P83">
    <cfRule type="cellIs" dxfId="12744" priority="2996" operator="greaterThan">
      <formula>0</formula>
    </cfRule>
  </conditionalFormatting>
  <conditionalFormatting sqref="Q83">
    <cfRule type="cellIs" dxfId="12743" priority="3001" operator="lessThan">
      <formula>0</formula>
    </cfRule>
  </conditionalFormatting>
  <conditionalFormatting sqref="R83">
    <cfRule type="cellIs" dxfId="12742" priority="2999" operator="lessThan">
      <formula>0.8</formula>
    </cfRule>
    <cfRule type="cellIs" dxfId="12741" priority="3000" operator="greaterThan">
      <formula>1</formula>
    </cfRule>
  </conditionalFormatting>
  <conditionalFormatting sqref="R83">
    <cfRule type="cellIs" dxfId="12740" priority="2997" operator="greaterThan">
      <formula>1</formula>
    </cfRule>
    <cfRule type="cellIs" dxfId="12739" priority="2998" operator="lessThan">
      <formula>0.8</formula>
    </cfRule>
  </conditionalFormatting>
  <conditionalFormatting sqref="R83">
    <cfRule type="cellIs" dxfId="12738" priority="2993" operator="lessThan">
      <formula>0.8</formula>
    </cfRule>
    <cfRule type="cellIs" dxfId="12737" priority="2994" operator="greaterThan">
      <formula>1</formula>
    </cfRule>
  </conditionalFormatting>
  <conditionalFormatting sqref="R83">
    <cfRule type="cellIs" dxfId="12736" priority="2991" operator="greaterThan">
      <formula>1</formula>
    </cfRule>
    <cfRule type="cellIs" dxfId="12735" priority="2992" operator="lessThan">
      <formula>0.8</formula>
    </cfRule>
  </conditionalFormatting>
  <conditionalFormatting sqref="P83">
    <cfRule type="cellIs" dxfId="12734" priority="2990" operator="greaterThan">
      <formula>0</formula>
    </cfRule>
  </conditionalFormatting>
  <conditionalFormatting sqref="Q83">
    <cfRule type="cellIs" dxfId="12733" priority="2995" operator="lessThan">
      <formula>0</formula>
    </cfRule>
  </conditionalFormatting>
  <conditionalFormatting sqref="Q83">
    <cfRule type="cellIs" dxfId="12732" priority="2989" operator="lessThan">
      <formula>0</formula>
    </cfRule>
  </conditionalFormatting>
  <conditionalFormatting sqref="R83">
    <cfRule type="cellIs" dxfId="12731" priority="2987" operator="lessThan">
      <formula>0.8</formula>
    </cfRule>
    <cfRule type="cellIs" dxfId="12730" priority="2988" operator="greaterThan">
      <formula>1</formula>
    </cfRule>
  </conditionalFormatting>
  <conditionalFormatting sqref="R83">
    <cfRule type="cellIs" dxfId="12729" priority="2985" operator="greaterThan">
      <formula>1</formula>
    </cfRule>
    <cfRule type="cellIs" dxfId="12728" priority="2986" operator="lessThan">
      <formula>0.8</formula>
    </cfRule>
  </conditionalFormatting>
  <conditionalFormatting sqref="P83">
    <cfRule type="cellIs" dxfId="12727" priority="2984" operator="greaterThan">
      <formula>0</formula>
    </cfRule>
  </conditionalFormatting>
  <conditionalFormatting sqref="P83">
    <cfRule type="cellIs" dxfId="12726" priority="2978" operator="greaterThan">
      <formula>0</formula>
    </cfRule>
  </conditionalFormatting>
  <conditionalFormatting sqref="Q83">
    <cfRule type="cellIs" dxfId="12725" priority="2983" operator="lessThan">
      <formula>0</formula>
    </cfRule>
  </conditionalFormatting>
  <conditionalFormatting sqref="R83">
    <cfRule type="cellIs" dxfId="12724" priority="2981" operator="lessThan">
      <formula>0.8</formula>
    </cfRule>
    <cfRule type="cellIs" dxfId="12723" priority="2982" operator="greaterThan">
      <formula>1</formula>
    </cfRule>
  </conditionalFormatting>
  <conditionalFormatting sqref="R83">
    <cfRule type="cellIs" dxfId="12722" priority="2979" operator="greaterThan">
      <formula>1</formula>
    </cfRule>
    <cfRule type="cellIs" dxfId="12721" priority="2980" operator="lessThan">
      <formula>0.8</formula>
    </cfRule>
  </conditionalFormatting>
  <conditionalFormatting sqref="P83">
    <cfRule type="cellIs" dxfId="12720" priority="2972" operator="greaterThan">
      <formula>0</formula>
    </cfRule>
  </conditionalFormatting>
  <conditionalFormatting sqref="Q83">
    <cfRule type="cellIs" dxfId="12719" priority="2977" operator="lessThan">
      <formula>0</formula>
    </cfRule>
  </conditionalFormatting>
  <conditionalFormatting sqref="R83">
    <cfRule type="cellIs" dxfId="12718" priority="2975" operator="lessThan">
      <formula>0.8</formula>
    </cfRule>
    <cfRule type="cellIs" dxfId="12717" priority="2976" operator="greaterThan">
      <formula>1</formula>
    </cfRule>
  </conditionalFormatting>
  <conditionalFormatting sqref="R83">
    <cfRule type="cellIs" dxfId="12716" priority="2973" operator="greaterThan">
      <formula>1</formula>
    </cfRule>
    <cfRule type="cellIs" dxfId="12715" priority="2974" operator="lessThan">
      <formula>0.8</formula>
    </cfRule>
  </conditionalFormatting>
  <conditionalFormatting sqref="R83">
    <cfRule type="cellIs" dxfId="12714" priority="2969" operator="lessThan">
      <formula>0.8</formula>
    </cfRule>
    <cfRule type="cellIs" dxfId="12713" priority="2970" operator="greaterThan">
      <formula>1</formula>
    </cfRule>
  </conditionalFormatting>
  <conditionalFormatting sqref="R83">
    <cfRule type="cellIs" dxfId="12712" priority="2967" operator="greaterThan">
      <formula>1</formula>
    </cfRule>
    <cfRule type="cellIs" dxfId="12711" priority="2968" operator="lessThan">
      <formula>0.8</formula>
    </cfRule>
  </conditionalFormatting>
  <conditionalFormatting sqref="P83">
    <cfRule type="cellIs" dxfId="12710" priority="2966" operator="greaterThan">
      <formula>0</formula>
    </cfRule>
  </conditionalFormatting>
  <conditionalFormatting sqref="Q83">
    <cfRule type="cellIs" dxfId="12709" priority="2971" operator="lessThan">
      <formula>0</formula>
    </cfRule>
  </conditionalFormatting>
  <conditionalFormatting sqref="P83">
    <cfRule type="cellIs" dxfId="12708" priority="2960" operator="greaterThan">
      <formula>0</formula>
    </cfRule>
  </conditionalFormatting>
  <conditionalFormatting sqref="Q83">
    <cfRule type="cellIs" dxfId="12707" priority="2965" operator="lessThan">
      <formula>0</formula>
    </cfRule>
  </conditionalFormatting>
  <conditionalFormatting sqref="R83">
    <cfRule type="cellIs" dxfId="12706" priority="2963" operator="lessThan">
      <formula>0.8</formula>
    </cfRule>
    <cfRule type="cellIs" dxfId="12705" priority="2964" operator="greaterThan">
      <formula>1</formula>
    </cfRule>
  </conditionalFormatting>
  <conditionalFormatting sqref="R83">
    <cfRule type="cellIs" dxfId="12704" priority="2961" operator="greaterThan">
      <formula>1</formula>
    </cfRule>
    <cfRule type="cellIs" dxfId="12703" priority="2962" operator="lessThan">
      <formula>0.8</formula>
    </cfRule>
  </conditionalFormatting>
  <conditionalFormatting sqref="R83">
    <cfRule type="cellIs" dxfId="12702" priority="2957" operator="lessThan">
      <formula>0.8</formula>
    </cfRule>
    <cfRule type="cellIs" dxfId="12701" priority="2958" operator="greaterThan">
      <formula>1</formula>
    </cfRule>
  </conditionalFormatting>
  <conditionalFormatting sqref="R83">
    <cfRule type="cellIs" dxfId="12700" priority="2955" operator="greaterThan">
      <formula>1</formula>
    </cfRule>
    <cfRule type="cellIs" dxfId="12699" priority="2956" operator="lessThan">
      <formula>0.8</formula>
    </cfRule>
  </conditionalFormatting>
  <conditionalFormatting sqref="P83">
    <cfRule type="cellIs" dxfId="12698" priority="2954" operator="greaterThan">
      <formula>0</formula>
    </cfRule>
  </conditionalFormatting>
  <conditionalFormatting sqref="Q83">
    <cfRule type="cellIs" dxfId="12697" priority="2959" operator="lessThan">
      <formula>0</formula>
    </cfRule>
  </conditionalFormatting>
  <conditionalFormatting sqref="R83">
    <cfRule type="cellIs" dxfId="12696" priority="2951" operator="lessThan">
      <formula>0.8</formula>
    </cfRule>
    <cfRule type="cellIs" dxfId="12695" priority="2952" operator="greaterThan">
      <formula>1</formula>
    </cfRule>
  </conditionalFormatting>
  <conditionalFormatting sqref="R83">
    <cfRule type="cellIs" dxfId="12694" priority="2949" operator="greaterThan">
      <formula>1</formula>
    </cfRule>
    <cfRule type="cellIs" dxfId="12693" priority="2950" operator="lessThan">
      <formula>0.8</formula>
    </cfRule>
  </conditionalFormatting>
  <conditionalFormatting sqref="P83">
    <cfRule type="cellIs" dxfId="12692" priority="2948" operator="greaterThan">
      <formula>0</formula>
    </cfRule>
  </conditionalFormatting>
  <conditionalFormatting sqref="Q83">
    <cfRule type="cellIs" dxfId="12691" priority="2953" operator="lessThan">
      <formula>0</formula>
    </cfRule>
  </conditionalFormatting>
  <conditionalFormatting sqref="Q83">
    <cfRule type="cellIs" dxfId="12690" priority="2947" operator="lessThan">
      <formula>0</formula>
    </cfRule>
  </conditionalFormatting>
  <conditionalFormatting sqref="R83">
    <cfRule type="cellIs" dxfId="12689" priority="2945" operator="lessThan">
      <formula>0.8</formula>
    </cfRule>
    <cfRule type="cellIs" dxfId="12688" priority="2946" operator="greaterThan">
      <formula>1</formula>
    </cfRule>
  </conditionalFormatting>
  <conditionalFormatting sqref="R83">
    <cfRule type="cellIs" dxfId="12687" priority="2943" operator="greaterThan">
      <formula>1</formula>
    </cfRule>
    <cfRule type="cellIs" dxfId="12686" priority="2944" operator="lessThan">
      <formula>0.8</formula>
    </cfRule>
  </conditionalFormatting>
  <conditionalFormatting sqref="P83">
    <cfRule type="cellIs" dxfId="12685" priority="2942" operator="greaterThan">
      <formula>0</formula>
    </cfRule>
  </conditionalFormatting>
  <conditionalFormatting sqref="Q83">
    <cfRule type="cellIs" dxfId="12684" priority="2936" operator="lessThan">
      <formula>0</formula>
    </cfRule>
  </conditionalFormatting>
  <conditionalFormatting sqref="R83">
    <cfRule type="cellIs" dxfId="12683" priority="2940" operator="lessThan">
      <formula>0.8</formula>
    </cfRule>
    <cfRule type="cellIs" dxfId="12682" priority="2941" operator="greaterThan">
      <formula>1</formula>
    </cfRule>
  </conditionalFormatting>
  <conditionalFormatting sqref="R83">
    <cfRule type="cellIs" dxfId="12681" priority="2938" operator="greaterThan">
      <formula>1</formula>
    </cfRule>
    <cfRule type="cellIs" dxfId="12680" priority="2939" operator="lessThan">
      <formula>0.8</formula>
    </cfRule>
  </conditionalFormatting>
  <conditionalFormatting sqref="P83">
    <cfRule type="cellIs" dxfId="12679" priority="2937" operator="greaterThan">
      <formula>0</formula>
    </cfRule>
  </conditionalFormatting>
  <conditionalFormatting sqref="Q83">
    <cfRule type="cellIs" dxfId="12678" priority="2935" operator="lessThan">
      <formula>0</formula>
    </cfRule>
  </conditionalFormatting>
  <conditionalFormatting sqref="R83">
    <cfRule type="cellIs" dxfId="12677" priority="2933" operator="lessThan">
      <formula>0.8</formula>
    </cfRule>
    <cfRule type="cellIs" dxfId="12676" priority="2934" operator="greaterThan">
      <formula>1</formula>
    </cfRule>
  </conditionalFormatting>
  <conditionalFormatting sqref="R83">
    <cfRule type="cellIs" dxfId="12675" priority="2931" operator="greaterThan">
      <formula>1</formula>
    </cfRule>
    <cfRule type="cellIs" dxfId="12674" priority="2932" operator="lessThan">
      <formula>0.8</formula>
    </cfRule>
  </conditionalFormatting>
  <conditionalFormatting sqref="P83">
    <cfRule type="cellIs" dxfId="12673" priority="2930" operator="greaterThan">
      <formula>0</formula>
    </cfRule>
  </conditionalFormatting>
  <conditionalFormatting sqref="Q83">
    <cfRule type="cellIs" dxfId="12672" priority="2929" operator="lessThan">
      <formula>0</formula>
    </cfRule>
  </conditionalFormatting>
  <conditionalFormatting sqref="R83">
    <cfRule type="cellIs" dxfId="12671" priority="2927" operator="lessThan">
      <formula>0.8</formula>
    </cfRule>
    <cfRule type="cellIs" dxfId="12670" priority="2928" operator="greaterThan">
      <formula>1</formula>
    </cfRule>
  </conditionalFormatting>
  <conditionalFormatting sqref="R83">
    <cfRule type="cellIs" dxfId="12669" priority="2925" operator="greaterThan">
      <formula>1</formula>
    </cfRule>
    <cfRule type="cellIs" dxfId="12668" priority="2926" operator="lessThan">
      <formula>0.8</formula>
    </cfRule>
  </conditionalFormatting>
  <conditionalFormatting sqref="P83">
    <cfRule type="cellIs" dxfId="12667" priority="2924" operator="greaterThan">
      <formula>0</formula>
    </cfRule>
  </conditionalFormatting>
  <conditionalFormatting sqref="Q83">
    <cfRule type="cellIs" dxfId="12666" priority="2923" operator="lessThan">
      <formula>0</formula>
    </cfRule>
  </conditionalFormatting>
  <conditionalFormatting sqref="R83">
    <cfRule type="cellIs" dxfId="12665" priority="2921" operator="lessThan">
      <formula>0.8</formula>
    </cfRule>
    <cfRule type="cellIs" dxfId="12664" priority="2922" operator="greaterThan">
      <formula>1</formula>
    </cfRule>
  </conditionalFormatting>
  <conditionalFormatting sqref="R83">
    <cfRule type="cellIs" dxfId="12663" priority="2919" operator="greaterThan">
      <formula>1</formula>
    </cfRule>
    <cfRule type="cellIs" dxfId="12662" priority="2920" operator="lessThan">
      <formula>0.8</formula>
    </cfRule>
  </conditionalFormatting>
  <conditionalFormatting sqref="P83">
    <cfRule type="cellIs" dxfId="12661" priority="2918" operator="greaterThan">
      <formula>0</formula>
    </cfRule>
  </conditionalFormatting>
  <conditionalFormatting sqref="Q83">
    <cfRule type="cellIs" dxfId="12660" priority="2917" operator="lessThan">
      <formula>0</formula>
    </cfRule>
  </conditionalFormatting>
  <conditionalFormatting sqref="R83">
    <cfRule type="cellIs" dxfId="12659" priority="2915" operator="lessThan">
      <formula>0.8</formula>
    </cfRule>
    <cfRule type="cellIs" dxfId="12658" priority="2916" operator="greaterThan">
      <formula>1</formula>
    </cfRule>
  </conditionalFormatting>
  <conditionalFormatting sqref="R83">
    <cfRule type="cellIs" dxfId="12657" priority="2913" operator="greaterThan">
      <formula>1</formula>
    </cfRule>
    <cfRule type="cellIs" dxfId="12656" priority="2914" operator="lessThan">
      <formula>0.8</formula>
    </cfRule>
  </conditionalFormatting>
  <conditionalFormatting sqref="P83">
    <cfRule type="cellIs" dxfId="12655" priority="2912" operator="greaterThan">
      <formula>0</formula>
    </cfRule>
  </conditionalFormatting>
  <conditionalFormatting sqref="Q83">
    <cfRule type="cellIs" dxfId="12654" priority="2911" operator="lessThan">
      <formula>0</formula>
    </cfRule>
  </conditionalFormatting>
  <conditionalFormatting sqref="R83">
    <cfRule type="cellIs" dxfId="12653" priority="2909" operator="lessThan">
      <formula>0.8</formula>
    </cfRule>
    <cfRule type="cellIs" dxfId="12652" priority="2910" operator="greaterThan">
      <formula>1</formula>
    </cfRule>
  </conditionalFormatting>
  <conditionalFormatting sqref="R83">
    <cfRule type="cellIs" dxfId="12651" priority="2907" operator="greaterThan">
      <formula>1</formula>
    </cfRule>
    <cfRule type="cellIs" dxfId="12650" priority="2908" operator="lessThan">
      <formula>0.8</formula>
    </cfRule>
  </conditionalFormatting>
  <conditionalFormatting sqref="P83">
    <cfRule type="cellIs" dxfId="12649" priority="2906" operator="greaterThan">
      <formula>0</formula>
    </cfRule>
  </conditionalFormatting>
  <conditionalFormatting sqref="P83">
    <cfRule type="cellIs" dxfId="12648" priority="2900" operator="greaterThan">
      <formula>0</formula>
    </cfRule>
  </conditionalFormatting>
  <conditionalFormatting sqref="Q83">
    <cfRule type="cellIs" dxfId="12647" priority="2905" operator="lessThan">
      <formula>0</formula>
    </cfRule>
  </conditionalFormatting>
  <conditionalFormatting sqref="R83">
    <cfRule type="cellIs" dxfId="12646" priority="2903" operator="lessThan">
      <formula>0.8</formula>
    </cfRule>
    <cfRule type="cellIs" dxfId="12645" priority="2904" operator="greaterThan">
      <formula>1</formula>
    </cfRule>
  </conditionalFormatting>
  <conditionalFormatting sqref="R83">
    <cfRule type="cellIs" dxfId="12644" priority="2901" operator="greaterThan">
      <formula>1</formula>
    </cfRule>
    <cfRule type="cellIs" dxfId="12643" priority="2902" operator="lessThan">
      <formula>0.8</formula>
    </cfRule>
  </conditionalFormatting>
  <conditionalFormatting sqref="P83">
    <cfRule type="cellIs" dxfId="12642" priority="2894" operator="greaterThan">
      <formula>0</formula>
    </cfRule>
  </conditionalFormatting>
  <conditionalFormatting sqref="Q83">
    <cfRule type="cellIs" dxfId="12641" priority="2899" operator="lessThan">
      <formula>0</formula>
    </cfRule>
  </conditionalFormatting>
  <conditionalFormatting sqref="R83">
    <cfRule type="cellIs" dxfId="12640" priority="2897" operator="lessThan">
      <formula>0.8</formula>
    </cfRule>
    <cfRule type="cellIs" dxfId="12639" priority="2898" operator="greaterThan">
      <formula>1</formula>
    </cfRule>
  </conditionalFormatting>
  <conditionalFormatting sqref="R83">
    <cfRule type="cellIs" dxfId="12638" priority="2895" operator="greaterThan">
      <formula>1</formula>
    </cfRule>
    <cfRule type="cellIs" dxfId="12637" priority="2896" operator="lessThan">
      <formula>0.8</formula>
    </cfRule>
  </conditionalFormatting>
  <conditionalFormatting sqref="R83">
    <cfRule type="cellIs" dxfId="12636" priority="2891" operator="lessThan">
      <formula>0.8</formula>
    </cfRule>
    <cfRule type="cellIs" dxfId="12635" priority="2892" operator="greaterThan">
      <formula>1</formula>
    </cfRule>
  </conditionalFormatting>
  <conditionalFormatting sqref="R83">
    <cfRule type="cellIs" dxfId="12634" priority="2889" operator="greaterThan">
      <formula>1</formula>
    </cfRule>
    <cfRule type="cellIs" dxfId="12633" priority="2890" operator="lessThan">
      <formula>0.8</formula>
    </cfRule>
  </conditionalFormatting>
  <conditionalFormatting sqref="P83">
    <cfRule type="cellIs" dxfId="12632" priority="2888" operator="greaterThan">
      <formula>0</formula>
    </cfRule>
  </conditionalFormatting>
  <conditionalFormatting sqref="Q83">
    <cfRule type="cellIs" dxfId="12631" priority="2893" operator="lessThan">
      <formula>0</formula>
    </cfRule>
  </conditionalFormatting>
  <conditionalFormatting sqref="Q83">
    <cfRule type="cellIs" dxfId="12630" priority="2887" operator="lessThan">
      <formula>0</formula>
    </cfRule>
  </conditionalFormatting>
  <conditionalFormatting sqref="R83">
    <cfRule type="cellIs" dxfId="12629" priority="2885" operator="lessThan">
      <formula>0.8</formula>
    </cfRule>
    <cfRule type="cellIs" dxfId="12628" priority="2886" operator="greaterThan">
      <formula>1</formula>
    </cfRule>
  </conditionalFormatting>
  <conditionalFormatting sqref="R83">
    <cfRule type="cellIs" dxfId="12627" priority="2883" operator="greaterThan">
      <formula>1</formula>
    </cfRule>
    <cfRule type="cellIs" dxfId="12626" priority="2884" operator="lessThan">
      <formula>0.8</formula>
    </cfRule>
  </conditionalFormatting>
  <conditionalFormatting sqref="P83">
    <cfRule type="cellIs" dxfId="12625" priority="2882" operator="greaterThan">
      <formula>0</formula>
    </cfRule>
  </conditionalFormatting>
  <conditionalFormatting sqref="Q83">
    <cfRule type="cellIs" dxfId="12624" priority="2881" operator="lessThan">
      <formula>0</formula>
    </cfRule>
  </conditionalFormatting>
  <conditionalFormatting sqref="R83">
    <cfRule type="cellIs" dxfId="12623" priority="2879" operator="lessThan">
      <formula>0.8</formula>
    </cfRule>
    <cfRule type="cellIs" dxfId="12622" priority="2880" operator="greaterThan">
      <formula>1</formula>
    </cfRule>
  </conditionalFormatting>
  <conditionalFormatting sqref="R83">
    <cfRule type="cellIs" dxfId="12621" priority="2877" operator="greaterThan">
      <formula>1</formula>
    </cfRule>
    <cfRule type="cellIs" dxfId="12620" priority="2878" operator="lessThan">
      <formula>0.8</formula>
    </cfRule>
  </conditionalFormatting>
  <conditionalFormatting sqref="P83">
    <cfRule type="cellIs" dxfId="12619" priority="2876" operator="greaterThan">
      <formula>0</formula>
    </cfRule>
  </conditionalFormatting>
  <conditionalFormatting sqref="Q83">
    <cfRule type="cellIs" dxfId="12618" priority="2875" operator="lessThan">
      <formula>0</formula>
    </cfRule>
  </conditionalFormatting>
  <conditionalFormatting sqref="R83">
    <cfRule type="cellIs" dxfId="12617" priority="2873" operator="lessThan">
      <formula>0.8</formula>
    </cfRule>
    <cfRule type="cellIs" dxfId="12616" priority="2874" operator="greaterThan">
      <formula>1</formula>
    </cfRule>
  </conditionalFormatting>
  <conditionalFormatting sqref="R83">
    <cfRule type="cellIs" dxfId="12615" priority="2871" operator="greaterThan">
      <formula>1</formula>
    </cfRule>
    <cfRule type="cellIs" dxfId="12614" priority="2872" operator="lessThan">
      <formula>0.8</formula>
    </cfRule>
  </conditionalFormatting>
  <conditionalFormatting sqref="P83">
    <cfRule type="cellIs" dxfId="12613" priority="2870" operator="greaterThan">
      <formula>0</formula>
    </cfRule>
  </conditionalFormatting>
  <conditionalFormatting sqref="Q83">
    <cfRule type="cellIs" dxfId="12612" priority="2869" operator="lessThan">
      <formula>0</formula>
    </cfRule>
  </conditionalFormatting>
  <conditionalFormatting sqref="R83">
    <cfRule type="cellIs" dxfId="12611" priority="2867" operator="lessThan">
      <formula>0.8</formula>
    </cfRule>
    <cfRule type="cellIs" dxfId="12610" priority="2868" operator="greaterThan">
      <formula>1</formula>
    </cfRule>
  </conditionalFormatting>
  <conditionalFormatting sqref="R83">
    <cfRule type="cellIs" dxfId="12609" priority="2865" operator="greaterThan">
      <formula>1</formula>
    </cfRule>
    <cfRule type="cellIs" dxfId="12608" priority="2866" operator="lessThan">
      <formula>0.8</formula>
    </cfRule>
  </conditionalFormatting>
  <conditionalFormatting sqref="P83">
    <cfRule type="cellIs" dxfId="12607" priority="2864" operator="greaterThan">
      <formula>0</formula>
    </cfRule>
  </conditionalFormatting>
  <conditionalFormatting sqref="P83">
    <cfRule type="cellIs" dxfId="12606" priority="2858" operator="greaterThan">
      <formula>0</formula>
    </cfRule>
  </conditionalFormatting>
  <conditionalFormatting sqref="Q83">
    <cfRule type="cellIs" dxfId="12605" priority="2863" operator="lessThan">
      <formula>0</formula>
    </cfRule>
  </conditionalFormatting>
  <conditionalFormatting sqref="R83">
    <cfRule type="cellIs" dxfId="12604" priority="2861" operator="lessThan">
      <formula>0.8</formula>
    </cfRule>
    <cfRule type="cellIs" dxfId="12603" priority="2862" operator="greaterThan">
      <formula>1</formula>
    </cfRule>
  </conditionalFormatting>
  <conditionalFormatting sqref="R83">
    <cfRule type="cellIs" dxfId="12602" priority="2859" operator="greaterThan">
      <formula>1</formula>
    </cfRule>
    <cfRule type="cellIs" dxfId="12601" priority="2860" operator="lessThan">
      <formula>0.8</formula>
    </cfRule>
  </conditionalFormatting>
  <conditionalFormatting sqref="P83">
    <cfRule type="cellIs" dxfId="12600" priority="2852" operator="greaterThan">
      <formula>0</formula>
    </cfRule>
  </conditionalFormatting>
  <conditionalFormatting sqref="Q83">
    <cfRule type="cellIs" dxfId="12599" priority="2857" operator="lessThan">
      <formula>0</formula>
    </cfRule>
  </conditionalFormatting>
  <conditionalFormatting sqref="R83">
    <cfRule type="cellIs" dxfId="12598" priority="2855" operator="lessThan">
      <formula>0.8</formula>
    </cfRule>
    <cfRule type="cellIs" dxfId="12597" priority="2856" operator="greaterThan">
      <formula>1</formula>
    </cfRule>
  </conditionalFormatting>
  <conditionalFormatting sqref="R83">
    <cfRule type="cellIs" dxfId="12596" priority="2853" operator="greaterThan">
      <formula>1</formula>
    </cfRule>
    <cfRule type="cellIs" dxfId="12595" priority="2854" operator="lessThan">
      <formula>0.8</formula>
    </cfRule>
  </conditionalFormatting>
  <conditionalFormatting sqref="R83">
    <cfRule type="cellIs" dxfId="12594" priority="2849" operator="lessThan">
      <formula>0.8</formula>
    </cfRule>
    <cfRule type="cellIs" dxfId="12593" priority="2850" operator="greaterThan">
      <formula>1</formula>
    </cfRule>
  </conditionalFormatting>
  <conditionalFormatting sqref="R83">
    <cfRule type="cellIs" dxfId="12592" priority="2847" operator="greaterThan">
      <formula>1</formula>
    </cfRule>
    <cfRule type="cellIs" dxfId="12591" priority="2848" operator="lessThan">
      <formula>0.8</formula>
    </cfRule>
  </conditionalFormatting>
  <conditionalFormatting sqref="P83">
    <cfRule type="cellIs" dxfId="12590" priority="2846" operator="greaterThan">
      <formula>0</formula>
    </cfRule>
  </conditionalFormatting>
  <conditionalFormatting sqref="Q83">
    <cfRule type="cellIs" dxfId="12589" priority="2851" operator="lessThan">
      <formula>0</formula>
    </cfRule>
  </conditionalFormatting>
  <conditionalFormatting sqref="Q83">
    <cfRule type="cellIs" dxfId="12588" priority="2845" operator="lessThan">
      <formula>0</formula>
    </cfRule>
  </conditionalFormatting>
  <conditionalFormatting sqref="R83">
    <cfRule type="cellIs" dxfId="12587" priority="2843" operator="lessThan">
      <formula>0.8</formula>
    </cfRule>
    <cfRule type="cellIs" dxfId="12586" priority="2844" operator="greaterThan">
      <formula>1</formula>
    </cfRule>
  </conditionalFormatting>
  <conditionalFormatting sqref="R83">
    <cfRule type="cellIs" dxfId="12585" priority="2841" operator="greaterThan">
      <formula>1</formula>
    </cfRule>
    <cfRule type="cellIs" dxfId="12584" priority="2842" operator="lessThan">
      <formula>0.8</formula>
    </cfRule>
  </conditionalFormatting>
  <conditionalFormatting sqref="P83">
    <cfRule type="cellIs" dxfId="12583" priority="2840" operator="greaterThan">
      <formula>0</formula>
    </cfRule>
  </conditionalFormatting>
  <conditionalFormatting sqref="P83">
    <cfRule type="cellIs" dxfId="12582" priority="2834" operator="greaterThan">
      <formula>0</formula>
    </cfRule>
  </conditionalFormatting>
  <conditionalFormatting sqref="Q83">
    <cfRule type="cellIs" dxfId="12581" priority="2839" operator="lessThan">
      <formula>0</formula>
    </cfRule>
  </conditionalFormatting>
  <conditionalFormatting sqref="R83">
    <cfRule type="cellIs" dxfId="12580" priority="2837" operator="lessThan">
      <formula>0.8</formula>
    </cfRule>
    <cfRule type="cellIs" dxfId="12579" priority="2838" operator="greaterThan">
      <formula>1</formula>
    </cfRule>
  </conditionalFormatting>
  <conditionalFormatting sqref="R83">
    <cfRule type="cellIs" dxfId="12578" priority="2835" operator="greaterThan">
      <formula>1</formula>
    </cfRule>
    <cfRule type="cellIs" dxfId="12577" priority="2836" operator="lessThan">
      <formula>0.8</formula>
    </cfRule>
  </conditionalFormatting>
  <conditionalFormatting sqref="P83">
    <cfRule type="cellIs" dxfId="12576" priority="2828" operator="greaterThan">
      <formula>0</formula>
    </cfRule>
  </conditionalFormatting>
  <conditionalFormatting sqref="Q83">
    <cfRule type="cellIs" dxfId="12575" priority="2833" operator="lessThan">
      <formula>0</formula>
    </cfRule>
  </conditionalFormatting>
  <conditionalFormatting sqref="R83">
    <cfRule type="cellIs" dxfId="12574" priority="2831" operator="lessThan">
      <formula>0.8</formula>
    </cfRule>
    <cfRule type="cellIs" dxfId="12573" priority="2832" operator="greaterThan">
      <formula>1</formula>
    </cfRule>
  </conditionalFormatting>
  <conditionalFormatting sqref="R83">
    <cfRule type="cellIs" dxfId="12572" priority="2829" operator="greaterThan">
      <formula>1</formula>
    </cfRule>
    <cfRule type="cellIs" dxfId="12571" priority="2830" operator="lessThan">
      <formula>0.8</formula>
    </cfRule>
  </conditionalFormatting>
  <conditionalFormatting sqref="R83">
    <cfRule type="cellIs" dxfId="12570" priority="2825" operator="lessThan">
      <formula>0.8</formula>
    </cfRule>
    <cfRule type="cellIs" dxfId="12569" priority="2826" operator="greaterThan">
      <formula>1</formula>
    </cfRule>
  </conditionalFormatting>
  <conditionalFormatting sqref="R83">
    <cfRule type="cellIs" dxfId="12568" priority="2823" operator="greaterThan">
      <formula>1</formula>
    </cfRule>
    <cfRule type="cellIs" dxfId="12567" priority="2824" operator="lessThan">
      <formula>0.8</formula>
    </cfRule>
  </conditionalFormatting>
  <conditionalFormatting sqref="P83">
    <cfRule type="cellIs" dxfId="12566" priority="2822" operator="greaterThan">
      <formula>0</formula>
    </cfRule>
  </conditionalFormatting>
  <conditionalFormatting sqref="Q83">
    <cfRule type="cellIs" dxfId="12565" priority="2827" operator="lessThan">
      <formula>0</formula>
    </cfRule>
  </conditionalFormatting>
  <conditionalFormatting sqref="P83">
    <cfRule type="cellIs" dxfId="12564" priority="2816" operator="greaterThan">
      <formula>0</formula>
    </cfRule>
  </conditionalFormatting>
  <conditionalFormatting sqref="Q83">
    <cfRule type="cellIs" dxfId="12563" priority="2821" operator="lessThan">
      <formula>0</formula>
    </cfRule>
  </conditionalFormatting>
  <conditionalFormatting sqref="R83">
    <cfRule type="cellIs" dxfId="12562" priority="2819" operator="lessThan">
      <formula>0.8</formula>
    </cfRule>
    <cfRule type="cellIs" dxfId="12561" priority="2820" operator="greaterThan">
      <formula>1</formula>
    </cfRule>
  </conditionalFormatting>
  <conditionalFormatting sqref="R83">
    <cfRule type="cellIs" dxfId="12560" priority="2817" operator="greaterThan">
      <formula>1</formula>
    </cfRule>
    <cfRule type="cellIs" dxfId="12559" priority="2818" operator="lessThan">
      <formula>0.8</formula>
    </cfRule>
  </conditionalFormatting>
  <conditionalFormatting sqref="R83">
    <cfRule type="cellIs" dxfId="12558" priority="2813" operator="lessThan">
      <formula>0.8</formula>
    </cfRule>
    <cfRule type="cellIs" dxfId="12557" priority="2814" operator="greaterThan">
      <formula>1</formula>
    </cfRule>
  </conditionalFormatting>
  <conditionalFormatting sqref="R83">
    <cfRule type="cellIs" dxfId="12556" priority="2811" operator="greaterThan">
      <formula>1</formula>
    </cfRule>
    <cfRule type="cellIs" dxfId="12555" priority="2812" operator="lessThan">
      <formula>0.8</formula>
    </cfRule>
  </conditionalFormatting>
  <conditionalFormatting sqref="P83">
    <cfRule type="cellIs" dxfId="12554" priority="2810" operator="greaterThan">
      <formula>0</formula>
    </cfRule>
  </conditionalFormatting>
  <conditionalFormatting sqref="Q83">
    <cfRule type="cellIs" dxfId="12553" priority="2815" operator="lessThan">
      <formula>0</formula>
    </cfRule>
  </conditionalFormatting>
  <conditionalFormatting sqref="R83">
    <cfRule type="cellIs" dxfId="12552" priority="2807" operator="lessThan">
      <formula>0.8</formula>
    </cfRule>
    <cfRule type="cellIs" dxfId="12551" priority="2808" operator="greaterThan">
      <formula>1</formula>
    </cfRule>
  </conditionalFormatting>
  <conditionalFormatting sqref="R83">
    <cfRule type="cellIs" dxfId="12550" priority="2805" operator="greaterThan">
      <formula>1</formula>
    </cfRule>
    <cfRule type="cellIs" dxfId="12549" priority="2806" operator="lessThan">
      <formula>0.8</formula>
    </cfRule>
  </conditionalFormatting>
  <conditionalFormatting sqref="P83">
    <cfRule type="cellIs" dxfId="12548" priority="2804" operator="greaterThan">
      <formula>0</formula>
    </cfRule>
  </conditionalFormatting>
  <conditionalFormatting sqref="Q83">
    <cfRule type="cellIs" dxfId="12547" priority="2809" operator="lessThan">
      <formula>0</formula>
    </cfRule>
  </conditionalFormatting>
  <conditionalFormatting sqref="Q83">
    <cfRule type="cellIs" dxfId="12546" priority="2803" operator="lessThan">
      <formula>0</formula>
    </cfRule>
  </conditionalFormatting>
  <conditionalFormatting sqref="R83">
    <cfRule type="cellIs" dxfId="12545" priority="2801" operator="lessThan">
      <formula>0.8</formula>
    </cfRule>
    <cfRule type="cellIs" dxfId="12544" priority="2802" operator="greaterThan">
      <formula>1</formula>
    </cfRule>
  </conditionalFormatting>
  <conditionalFormatting sqref="R83">
    <cfRule type="cellIs" dxfId="12543" priority="2799" operator="greaterThan">
      <formula>1</formula>
    </cfRule>
    <cfRule type="cellIs" dxfId="12542" priority="2800" operator="lessThan">
      <formula>0.8</formula>
    </cfRule>
  </conditionalFormatting>
  <conditionalFormatting sqref="P83">
    <cfRule type="cellIs" dxfId="12541" priority="2798" operator="greaterThan">
      <formula>0</formula>
    </cfRule>
  </conditionalFormatting>
  <conditionalFormatting sqref="Q83">
    <cfRule type="cellIs" dxfId="12540" priority="2792" operator="lessThan">
      <formula>0</formula>
    </cfRule>
  </conditionalFormatting>
  <conditionalFormatting sqref="R83">
    <cfRule type="cellIs" dxfId="12539" priority="2796" operator="lessThan">
      <formula>0.8</formula>
    </cfRule>
    <cfRule type="cellIs" dxfId="12538" priority="2797" operator="greaterThan">
      <formula>1</formula>
    </cfRule>
  </conditionalFormatting>
  <conditionalFormatting sqref="R83">
    <cfRule type="cellIs" dxfId="12537" priority="2794" operator="greaterThan">
      <formula>1</formula>
    </cfRule>
    <cfRule type="cellIs" dxfId="12536" priority="2795" operator="lessThan">
      <formula>0.8</formula>
    </cfRule>
  </conditionalFormatting>
  <conditionalFormatting sqref="P83">
    <cfRule type="cellIs" dxfId="12535" priority="2793" operator="greaterThan">
      <formula>0</formula>
    </cfRule>
  </conditionalFormatting>
  <conditionalFormatting sqref="Q83">
    <cfRule type="cellIs" dxfId="12534" priority="2791" operator="lessThan">
      <formula>0</formula>
    </cfRule>
  </conditionalFormatting>
  <conditionalFormatting sqref="R83">
    <cfRule type="cellIs" dxfId="12533" priority="2789" operator="lessThan">
      <formula>0.8</formula>
    </cfRule>
    <cfRule type="cellIs" dxfId="12532" priority="2790" operator="greaterThan">
      <formula>1</formula>
    </cfRule>
  </conditionalFormatting>
  <conditionalFormatting sqref="R83">
    <cfRule type="cellIs" dxfId="12531" priority="2787" operator="greaterThan">
      <formula>1</formula>
    </cfRule>
    <cfRule type="cellIs" dxfId="12530" priority="2788" operator="lessThan">
      <formula>0.8</formula>
    </cfRule>
  </conditionalFormatting>
  <conditionalFormatting sqref="P83">
    <cfRule type="cellIs" dxfId="12529" priority="2786" operator="greaterThan">
      <formula>0</formula>
    </cfRule>
  </conditionalFormatting>
  <conditionalFormatting sqref="Q83">
    <cfRule type="cellIs" dxfId="12528" priority="2785" operator="lessThan">
      <formula>0</formula>
    </cfRule>
  </conditionalFormatting>
  <conditionalFormatting sqref="R83">
    <cfRule type="cellIs" dxfId="12527" priority="2783" operator="lessThan">
      <formula>0.8</formula>
    </cfRule>
    <cfRule type="cellIs" dxfId="12526" priority="2784" operator="greaterThan">
      <formula>1</formula>
    </cfRule>
  </conditionalFormatting>
  <conditionalFormatting sqref="R83">
    <cfRule type="cellIs" dxfId="12525" priority="2781" operator="greaterThan">
      <formula>1</formula>
    </cfRule>
    <cfRule type="cellIs" dxfId="12524" priority="2782" operator="lessThan">
      <formula>0.8</formula>
    </cfRule>
  </conditionalFormatting>
  <conditionalFormatting sqref="P83">
    <cfRule type="cellIs" dxfId="12523" priority="2780" operator="greaterThan">
      <formula>0</formula>
    </cfRule>
  </conditionalFormatting>
  <conditionalFormatting sqref="Q83">
    <cfRule type="cellIs" dxfId="12522" priority="2779" operator="lessThan">
      <formula>0</formula>
    </cfRule>
  </conditionalFormatting>
  <conditionalFormatting sqref="R83">
    <cfRule type="cellIs" dxfId="12521" priority="2777" operator="lessThan">
      <formula>0.8</formula>
    </cfRule>
    <cfRule type="cellIs" dxfId="12520" priority="2778" operator="greaterThan">
      <formula>1</formula>
    </cfRule>
  </conditionalFormatting>
  <conditionalFormatting sqref="R83">
    <cfRule type="cellIs" dxfId="12519" priority="2775" operator="greaterThan">
      <formula>1</formula>
    </cfRule>
    <cfRule type="cellIs" dxfId="12518" priority="2776" operator="lessThan">
      <formula>0.8</formula>
    </cfRule>
  </conditionalFormatting>
  <conditionalFormatting sqref="P83">
    <cfRule type="cellIs" dxfId="12517" priority="2774" operator="greaterThan">
      <formula>0</formula>
    </cfRule>
  </conditionalFormatting>
  <conditionalFormatting sqref="Q83">
    <cfRule type="cellIs" dxfId="12516" priority="2773" operator="lessThan">
      <formula>0</formula>
    </cfRule>
  </conditionalFormatting>
  <conditionalFormatting sqref="R83">
    <cfRule type="cellIs" dxfId="12515" priority="2771" operator="lessThan">
      <formula>0.8</formula>
    </cfRule>
    <cfRule type="cellIs" dxfId="12514" priority="2772" operator="greaterThan">
      <formula>1</formula>
    </cfRule>
  </conditionalFormatting>
  <conditionalFormatting sqref="R83">
    <cfRule type="cellIs" dxfId="12513" priority="2769" operator="greaterThan">
      <formula>1</formula>
    </cfRule>
    <cfRule type="cellIs" dxfId="12512" priority="2770" operator="lessThan">
      <formula>0.8</formula>
    </cfRule>
  </conditionalFormatting>
  <conditionalFormatting sqref="P83">
    <cfRule type="cellIs" dxfId="12511" priority="2768" operator="greaterThan">
      <formula>0</formula>
    </cfRule>
  </conditionalFormatting>
  <conditionalFormatting sqref="Q83">
    <cfRule type="cellIs" dxfId="12510" priority="2767" operator="lessThan">
      <formula>0</formula>
    </cfRule>
  </conditionalFormatting>
  <conditionalFormatting sqref="R83">
    <cfRule type="cellIs" dxfId="12509" priority="2765" operator="lessThan">
      <formula>0.8</formula>
    </cfRule>
    <cfRule type="cellIs" dxfId="12508" priority="2766" operator="greaterThan">
      <formula>1</formula>
    </cfRule>
  </conditionalFormatting>
  <conditionalFormatting sqref="R83">
    <cfRule type="cellIs" dxfId="12507" priority="2763" operator="greaterThan">
      <formula>1</formula>
    </cfRule>
    <cfRule type="cellIs" dxfId="12506" priority="2764" operator="lessThan">
      <formula>0.8</formula>
    </cfRule>
  </conditionalFormatting>
  <conditionalFormatting sqref="P83">
    <cfRule type="cellIs" dxfId="12505" priority="2762" operator="greaterThan">
      <formula>0</formula>
    </cfRule>
  </conditionalFormatting>
  <conditionalFormatting sqref="P83">
    <cfRule type="cellIs" dxfId="12504" priority="2756" operator="greaterThan">
      <formula>0</formula>
    </cfRule>
  </conditionalFormatting>
  <conditionalFormatting sqref="Q83">
    <cfRule type="cellIs" dxfId="12503" priority="2761" operator="lessThan">
      <formula>0</formula>
    </cfRule>
  </conditionalFormatting>
  <conditionalFormatting sqref="R83">
    <cfRule type="cellIs" dxfId="12502" priority="2759" operator="lessThan">
      <formula>0.8</formula>
    </cfRule>
    <cfRule type="cellIs" dxfId="12501" priority="2760" operator="greaterThan">
      <formula>1</formula>
    </cfRule>
  </conditionalFormatting>
  <conditionalFormatting sqref="R83">
    <cfRule type="cellIs" dxfId="12500" priority="2757" operator="greaterThan">
      <formula>1</formula>
    </cfRule>
    <cfRule type="cellIs" dxfId="12499" priority="2758" operator="lessThan">
      <formula>0.8</formula>
    </cfRule>
  </conditionalFormatting>
  <conditionalFormatting sqref="P83">
    <cfRule type="cellIs" dxfId="12498" priority="2750" operator="greaterThan">
      <formula>0</formula>
    </cfRule>
  </conditionalFormatting>
  <conditionalFormatting sqref="Q83">
    <cfRule type="cellIs" dxfId="12497" priority="2755" operator="lessThan">
      <formula>0</formula>
    </cfRule>
  </conditionalFormatting>
  <conditionalFormatting sqref="R83">
    <cfRule type="cellIs" dxfId="12496" priority="2753" operator="lessThan">
      <formula>0.8</formula>
    </cfRule>
    <cfRule type="cellIs" dxfId="12495" priority="2754" operator="greaterThan">
      <formula>1</formula>
    </cfRule>
  </conditionalFormatting>
  <conditionalFormatting sqref="R83">
    <cfRule type="cellIs" dxfId="12494" priority="2751" operator="greaterThan">
      <formula>1</formula>
    </cfRule>
    <cfRule type="cellIs" dxfId="12493" priority="2752" operator="lessThan">
      <formula>0.8</formula>
    </cfRule>
  </conditionalFormatting>
  <conditionalFormatting sqref="R83">
    <cfRule type="cellIs" dxfId="12492" priority="2747" operator="lessThan">
      <formula>0.8</formula>
    </cfRule>
    <cfRule type="cellIs" dxfId="12491" priority="2748" operator="greaterThan">
      <formula>1</formula>
    </cfRule>
  </conditionalFormatting>
  <conditionalFormatting sqref="R83">
    <cfRule type="cellIs" dxfId="12490" priority="2745" operator="greaterThan">
      <formula>1</formula>
    </cfRule>
    <cfRule type="cellIs" dxfId="12489" priority="2746" operator="lessThan">
      <formula>0.8</formula>
    </cfRule>
  </conditionalFormatting>
  <conditionalFormatting sqref="P83">
    <cfRule type="cellIs" dxfId="12488" priority="2744" operator="greaterThan">
      <formula>0</formula>
    </cfRule>
  </conditionalFormatting>
  <conditionalFormatting sqref="Q83">
    <cfRule type="cellIs" dxfId="12487" priority="2749" operator="lessThan">
      <formula>0</formula>
    </cfRule>
  </conditionalFormatting>
  <conditionalFormatting sqref="Q83">
    <cfRule type="cellIs" dxfId="12486" priority="2738" operator="lessThan">
      <formula>0</formula>
    </cfRule>
  </conditionalFormatting>
  <conditionalFormatting sqref="P83">
    <cfRule type="cellIs" dxfId="12485" priority="2739" operator="greaterThan">
      <formula>0</formula>
    </cfRule>
  </conditionalFormatting>
  <conditionalFormatting sqref="R83">
    <cfRule type="cellIs" dxfId="12484" priority="2742" operator="lessThan">
      <formula>0.8</formula>
    </cfRule>
    <cfRule type="cellIs" dxfId="12483" priority="2743" operator="greaterThan">
      <formula>1</formula>
    </cfRule>
  </conditionalFormatting>
  <conditionalFormatting sqref="R83">
    <cfRule type="cellIs" dxfId="12482" priority="2740" operator="greaterThan">
      <formula>1</formula>
    </cfRule>
    <cfRule type="cellIs" dxfId="12481" priority="2741" operator="lessThan">
      <formula>0.8</formula>
    </cfRule>
  </conditionalFormatting>
  <conditionalFormatting sqref="Q83">
    <cfRule type="cellIs" dxfId="12480" priority="2732" operator="lessThan">
      <formula>0</formula>
    </cfRule>
  </conditionalFormatting>
  <conditionalFormatting sqref="R83">
    <cfRule type="cellIs" dxfId="12479" priority="2736" operator="lessThan">
      <formula>0.8</formula>
    </cfRule>
    <cfRule type="cellIs" dxfId="12478" priority="2737" operator="greaterThan">
      <formula>1</formula>
    </cfRule>
  </conditionalFormatting>
  <conditionalFormatting sqref="R83">
    <cfRule type="cellIs" dxfId="12477" priority="2734" operator="greaterThan">
      <formula>1</formula>
    </cfRule>
    <cfRule type="cellIs" dxfId="12476" priority="2735" operator="lessThan">
      <formula>0.8</formula>
    </cfRule>
  </conditionalFormatting>
  <conditionalFormatting sqref="P83">
    <cfRule type="cellIs" dxfId="12475" priority="2733" operator="greaterThan">
      <formula>0</formula>
    </cfRule>
  </conditionalFormatting>
  <conditionalFormatting sqref="Q83">
    <cfRule type="cellIs" dxfId="12474" priority="2731" operator="lessThan">
      <formula>0</formula>
    </cfRule>
  </conditionalFormatting>
  <conditionalFormatting sqref="R83">
    <cfRule type="cellIs" dxfId="12473" priority="2729" operator="lessThan">
      <formula>0.8</formula>
    </cfRule>
    <cfRule type="cellIs" dxfId="12472" priority="2730" operator="greaterThan">
      <formula>1</formula>
    </cfRule>
  </conditionalFormatting>
  <conditionalFormatting sqref="R83">
    <cfRule type="cellIs" dxfId="12471" priority="2727" operator="greaterThan">
      <formula>1</formula>
    </cfRule>
    <cfRule type="cellIs" dxfId="12470" priority="2728" operator="lessThan">
      <formula>0.8</formula>
    </cfRule>
  </conditionalFormatting>
  <conditionalFormatting sqref="P83">
    <cfRule type="cellIs" dxfId="12469" priority="2726" operator="greaterThan">
      <formula>0</formula>
    </cfRule>
  </conditionalFormatting>
  <conditionalFormatting sqref="Q83">
    <cfRule type="cellIs" dxfId="12468" priority="2725" operator="lessThan">
      <formula>0</formula>
    </cfRule>
  </conditionalFormatting>
  <conditionalFormatting sqref="R83">
    <cfRule type="cellIs" dxfId="12467" priority="2723" operator="lessThan">
      <formula>0.8</formula>
    </cfRule>
    <cfRule type="cellIs" dxfId="12466" priority="2724" operator="greaterThan">
      <formula>1</formula>
    </cfRule>
  </conditionalFormatting>
  <conditionalFormatting sqref="R83">
    <cfRule type="cellIs" dxfId="12465" priority="2721" operator="greaterThan">
      <formula>1</formula>
    </cfRule>
    <cfRule type="cellIs" dxfId="12464" priority="2722" operator="lessThan">
      <formula>0.8</formula>
    </cfRule>
  </conditionalFormatting>
  <conditionalFormatting sqref="P83">
    <cfRule type="cellIs" dxfId="12463" priority="2720" operator="greaterThan">
      <formula>0</formula>
    </cfRule>
  </conditionalFormatting>
  <conditionalFormatting sqref="Q83">
    <cfRule type="cellIs" dxfId="12462" priority="2719" operator="lessThan">
      <formula>0</formula>
    </cfRule>
  </conditionalFormatting>
  <conditionalFormatting sqref="R83">
    <cfRule type="cellIs" dxfId="12461" priority="2717" operator="lessThan">
      <formula>0.8</formula>
    </cfRule>
    <cfRule type="cellIs" dxfId="12460" priority="2718" operator="greaterThan">
      <formula>1</formula>
    </cfRule>
  </conditionalFormatting>
  <conditionalFormatting sqref="R83">
    <cfRule type="cellIs" dxfId="12459" priority="2715" operator="greaterThan">
      <formula>1</formula>
    </cfRule>
    <cfRule type="cellIs" dxfId="12458" priority="2716" operator="lessThan">
      <formula>0.8</formula>
    </cfRule>
  </conditionalFormatting>
  <conditionalFormatting sqref="P83">
    <cfRule type="cellIs" dxfId="12457" priority="2714" operator="greaterThan">
      <formula>0</formula>
    </cfRule>
  </conditionalFormatting>
  <conditionalFormatting sqref="Q83">
    <cfRule type="cellIs" dxfId="12456" priority="2713" operator="lessThan">
      <formula>0</formula>
    </cfRule>
  </conditionalFormatting>
  <conditionalFormatting sqref="R83">
    <cfRule type="cellIs" dxfId="12455" priority="2711" operator="lessThan">
      <formula>0.8</formula>
    </cfRule>
    <cfRule type="cellIs" dxfId="12454" priority="2712" operator="greaterThan">
      <formula>1</formula>
    </cfRule>
  </conditionalFormatting>
  <conditionalFormatting sqref="R83">
    <cfRule type="cellIs" dxfId="12453" priority="2709" operator="greaterThan">
      <formula>1</formula>
    </cfRule>
    <cfRule type="cellIs" dxfId="12452" priority="2710" operator="lessThan">
      <formula>0.8</formula>
    </cfRule>
  </conditionalFormatting>
  <conditionalFormatting sqref="P83">
    <cfRule type="cellIs" dxfId="12451" priority="2708" operator="greaterThan">
      <formula>0</formula>
    </cfRule>
  </conditionalFormatting>
  <conditionalFormatting sqref="Q83">
    <cfRule type="cellIs" dxfId="12450" priority="2707" operator="lessThan">
      <formula>0</formula>
    </cfRule>
  </conditionalFormatting>
  <conditionalFormatting sqref="R83">
    <cfRule type="cellIs" dxfId="12449" priority="2705" operator="lessThan">
      <formula>0.8</formula>
    </cfRule>
    <cfRule type="cellIs" dxfId="12448" priority="2706" operator="greaterThan">
      <formula>1</formula>
    </cfRule>
  </conditionalFormatting>
  <conditionalFormatting sqref="R83">
    <cfRule type="cellIs" dxfId="12447" priority="2703" operator="greaterThan">
      <formula>1</formula>
    </cfRule>
    <cfRule type="cellIs" dxfId="12446" priority="2704" operator="lessThan">
      <formula>0.8</formula>
    </cfRule>
  </conditionalFormatting>
  <conditionalFormatting sqref="P83">
    <cfRule type="cellIs" dxfId="12445" priority="2702" operator="greaterThan">
      <formula>0</formula>
    </cfRule>
  </conditionalFormatting>
  <conditionalFormatting sqref="Q83">
    <cfRule type="cellIs" dxfId="12444" priority="2701" operator="lessThan">
      <formula>0</formula>
    </cfRule>
  </conditionalFormatting>
  <conditionalFormatting sqref="R83">
    <cfRule type="cellIs" dxfId="12443" priority="2699" operator="lessThan">
      <formula>0.8</formula>
    </cfRule>
    <cfRule type="cellIs" dxfId="12442" priority="2700" operator="greaterThan">
      <formula>1</formula>
    </cfRule>
  </conditionalFormatting>
  <conditionalFormatting sqref="R83">
    <cfRule type="cellIs" dxfId="12441" priority="2697" operator="greaterThan">
      <formula>1</formula>
    </cfRule>
    <cfRule type="cellIs" dxfId="12440" priority="2698" operator="lessThan">
      <formula>0.8</formula>
    </cfRule>
  </conditionalFormatting>
  <conditionalFormatting sqref="P83">
    <cfRule type="cellIs" dxfId="12439" priority="2696" operator="greaterThan">
      <formula>0</formula>
    </cfRule>
  </conditionalFormatting>
  <conditionalFormatting sqref="Q83">
    <cfRule type="cellIs" dxfId="12438" priority="2695" operator="lessThan">
      <formula>0</formula>
    </cfRule>
  </conditionalFormatting>
  <conditionalFormatting sqref="R83">
    <cfRule type="cellIs" dxfId="12437" priority="2693" operator="lessThan">
      <formula>0.8</formula>
    </cfRule>
    <cfRule type="cellIs" dxfId="12436" priority="2694" operator="greaterThan">
      <formula>1</formula>
    </cfRule>
  </conditionalFormatting>
  <conditionalFormatting sqref="R83">
    <cfRule type="cellIs" dxfId="12435" priority="2691" operator="greaterThan">
      <formula>1</formula>
    </cfRule>
    <cfRule type="cellIs" dxfId="12434" priority="2692" operator="lessThan">
      <formula>0.8</formula>
    </cfRule>
  </conditionalFormatting>
  <conditionalFormatting sqref="P83">
    <cfRule type="cellIs" dxfId="12433" priority="2690" operator="greaterThan">
      <formula>0</formula>
    </cfRule>
  </conditionalFormatting>
  <conditionalFormatting sqref="P83">
    <cfRule type="cellIs" dxfId="12432" priority="2684" operator="greaterThan">
      <formula>0</formula>
    </cfRule>
  </conditionalFormatting>
  <conditionalFormatting sqref="Q83">
    <cfRule type="cellIs" dxfId="12431" priority="2689" operator="lessThan">
      <formula>0</formula>
    </cfRule>
  </conditionalFormatting>
  <conditionalFormatting sqref="R83">
    <cfRule type="cellIs" dxfId="12430" priority="2687" operator="lessThan">
      <formula>0.8</formula>
    </cfRule>
    <cfRule type="cellIs" dxfId="12429" priority="2688" operator="greaterThan">
      <formula>1</formula>
    </cfRule>
  </conditionalFormatting>
  <conditionalFormatting sqref="R83">
    <cfRule type="cellIs" dxfId="12428" priority="2685" operator="greaterThan">
      <formula>1</formula>
    </cfRule>
    <cfRule type="cellIs" dxfId="12427" priority="2686" operator="lessThan">
      <formula>0.8</formula>
    </cfRule>
  </conditionalFormatting>
  <conditionalFormatting sqref="P83">
    <cfRule type="cellIs" dxfId="12426" priority="2678" operator="greaterThan">
      <formula>0</formula>
    </cfRule>
  </conditionalFormatting>
  <conditionalFormatting sqref="Q83">
    <cfRule type="cellIs" dxfId="12425" priority="2683" operator="lessThan">
      <formula>0</formula>
    </cfRule>
  </conditionalFormatting>
  <conditionalFormatting sqref="R83">
    <cfRule type="cellIs" dxfId="12424" priority="2681" operator="lessThan">
      <formula>0.8</formula>
    </cfRule>
    <cfRule type="cellIs" dxfId="12423" priority="2682" operator="greaterThan">
      <formula>1</formula>
    </cfRule>
  </conditionalFormatting>
  <conditionalFormatting sqref="R83">
    <cfRule type="cellIs" dxfId="12422" priority="2679" operator="greaterThan">
      <formula>1</formula>
    </cfRule>
    <cfRule type="cellIs" dxfId="12421" priority="2680" operator="lessThan">
      <formula>0.8</formula>
    </cfRule>
  </conditionalFormatting>
  <conditionalFormatting sqref="R83">
    <cfRule type="cellIs" dxfId="12420" priority="2675" operator="lessThan">
      <formula>0.8</formula>
    </cfRule>
    <cfRule type="cellIs" dxfId="12419" priority="2676" operator="greaterThan">
      <formula>1</formula>
    </cfRule>
  </conditionalFormatting>
  <conditionalFormatting sqref="R83">
    <cfRule type="cellIs" dxfId="12418" priority="2673" operator="greaterThan">
      <formula>1</formula>
    </cfRule>
    <cfRule type="cellIs" dxfId="12417" priority="2674" operator="lessThan">
      <formula>0.8</formula>
    </cfRule>
  </conditionalFormatting>
  <conditionalFormatting sqref="P83">
    <cfRule type="cellIs" dxfId="12416" priority="2672" operator="greaterThan">
      <formula>0</formula>
    </cfRule>
  </conditionalFormatting>
  <conditionalFormatting sqref="Q83">
    <cfRule type="cellIs" dxfId="12415" priority="2677" operator="lessThan">
      <formula>0</formula>
    </cfRule>
  </conditionalFormatting>
  <conditionalFormatting sqref="Q83">
    <cfRule type="cellIs" dxfId="12414" priority="2671" operator="lessThan">
      <formula>0</formula>
    </cfRule>
  </conditionalFormatting>
  <conditionalFormatting sqref="R83">
    <cfRule type="cellIs" dxfId="12413" priority="2669" operator="lessThan">
      <formula>0.8</formula>
    </cfRule>
    <cfRule type="cellIs" dxfId="12412" priority="2670" operator="greaterThan">
      <formula>1</formula>
    </cfRule>
  </conditionalFormatting>
  <conditionalFormatting sqref="R83">
    <cfRule type="cellIs" dxfId="12411" priority="2667" operator="greaterThan">
      <formula>1</formula>
    </cfRule>
    <cfRule type="cellIs" dxfId="12410" priority="2668" operator="lessThan">
      <formula>0.8</formula>
    </cfRule>
  </conditionalFormatting>
  <conditionalFormatting sqref="P83">
    <cfRule type="cellIs" dxfId="12409" priority="2666" operator="greaterThan">
      <formula>0</formula>
    </cfRule>
  </conditionalFormatting>
  <conditionalFormatting sqref="P83">
    <cfRule type="cellIs" dxfId="12408" priority="2660" operator="greaterThan">
      <formula>0</formula>
    </cfRule>
  </conditionalFormatting>
  <conditionalFormatting sqref="Q83">
    <cfRule type="cellIs" dxfId="12407" priority="2665" operator="lessThan">
      <formula>0</formula>
    </cfRule>
  </conditionalFormatting>
  <conditionalFormatting sqref="R83">
    <cfRule type="cellIs" dxfId="12406" priority="2663" operator="lessThan">
      <formula>0.8</formula>
    </cfRule>
    <cfRule type="cellIs" dxfId="12405" priority="2664" operator="greaterThan">
      <formula>1</formula>
    </cfRule>
  </conditionalFormatting>
  <conditionalFormatting sqref="R83">
    <cfRule type="cellIs" dxfId="12404" priority="2661" operator="greaterThan">
      <formula>1</formula>
    </cfRule>
    <cfRule type="cellIs" dxfId="12403" priority="2662" operator="lessThan">
      <formula>0.8</formula>
    </cfRule>
  </conditionalFormatting>
  <conditionalFormatting sqref="P83">
    <cfRule type="cellIs" dxfId="12402" priority="2654" operator="greaterThan">
      <formula>0</formula>
    </cfRule>
  </conditionalFormatting>
  <conditionalFormatting sqref="Q83">
    <cfRule type="cellIs" dxfId="12401" priority="2659" operator="lessThan">
      <formula>0</formula>
    </cfRule>
  </conditionalFormatting>
  <conditionalFormatting sqref="R83">
    <cfRule type="cellIs" dxfId="12400" priority="2657" operator="lessThan">
      <formula>0.8</formula>
    </cfRule>
    <cfRule type="cellIs" dxfId="12399" priority="2658" operator="greaterThan">
      <formula>1</formula>
    </cfRule>
  </conditionalFormatting>
  <conditionalFormatting sqref="R83">
    <cfRule type="cellIs" dxfId="12398" priority="2655" operator="greaterThan">
      <formula>1</formula>
    </cfRule>
    <cfRule type="cellIs" dxfId="12397" priority="2656" operator="lessThan">
      <formula>0.8</formula>
    </cfRule>
  </conditionalFormatting>
  <conditionalFormatting sqref="R83">
    <cfRule type="cellIs" dxfId="12396" priority="2651" operator="lessThan">
      <formula>0.8</formula>
    </cfRule>
    <cfRule type="cellIs" dxfId="12395" priority="2652" operator="greaterThan">
      <formula>1</formula>
    </cfRule>
  </conditionalFormatting>
  <conditionalFormatting sqref="R83">
    <cfRule type="cellIs" dxfId="12394" priority="2649" operator="greaterThan">
      <formula>1</formula>
    </cfRule>
    <cfRule type="cellIs" dxfId="12393" priority="2650" operator="lessThan">
      <formula>0.8</formula>
    </cfRule>
  </conditionalFormatting>
  <conditionalFormatting sqref="P83">
    <cfRule type="cellIs" dxfId="12392" priority="2648" operator="greaterThan">
      <formula>0</formula>
    </cfRule>
  </conditionalFormatting>
  <conditionalFormatting sqref="Q83">
    <cfRule type="cellIs" dxfId="12391" priority="2653" operator="lessThan">
      <formula>0</formula>
    </cfRule>
  </conditionalFormatting>
  <conditionalFormatting sqref="P83">
    <cfRule type="cellIs" dxfId="12390" priority="2642" operator="greaterThan">
      <formula>0</formula>
    </cfRule>
  </conditionalFormatting>
  <conditionalFormatting sqref="Q83">
    <cfRule type="cellIs" dxfId="12389" priority="2647" operator="lessThan">
      <formula>0</formula>
    </cfRule>
  </conditionalFormatting>
  <conditionalFormatting sqref="R83">
    <cfRule type="cellIs" dxfId="12388" priority="2645" operator="lessThan">
      <formula>0.8</formula>
    </cfRule>
    <cfRule type="cellIs" dxfId="12387" priority="2646" operator="greaterThan">
      <formula>1</formula>
    </cfRule>
  </conditionalFormatting>
  <conditionalFormatting sqref="R83">
    <cfRule type="cellIs" dxfId="12386" priority="2643" operator="greaterThan">
      <formula>1</formula>
    </cfRule>
    <cfRule type="cellIs" dxfId="12385" priority="2644" operator="lessThan">
      <formula>0.8</formula>
    </cfRule>
  </conditionalFormatting>
  <conditionalFormatting sqref="R83">
    <cfRule type="cellIs" dxfId="12384" priority="2639" operator="lessThan">
      <formula>0.8</formula>
    </cfRule>
    <cfRule type="cellIs" dxfId="12383" priority="2640" operator="greaterThan">
      <formula>1</formula>
    </cfRule>
  </conditionalFormatting>
  <conditionalFormatting sqref="R83">
    <cfRule type="cellIs" dxfId="12382" priority="2637" operator="greaterThan">
      <formula>1</formula>
    </cfRule>
    <cfRule type="cellIs" dxfId="12381" priority="2638" operator="lessThan">
      <formula>0.8</formula>
    </cfRule>
  </conditionalFormatting>
  <conditionalFormatting sqref="P83">
    <cfRule type="cellIs" dxfId="12380" priority="2636" operator="greaterThan">
      <formula>0</formula>
    </cfRule>
  </conditionalFormatting>
  <conditionalFormatting sqref="Q83">
    <cfRule type="cellIs" dxfId="12379" priority="2641" operator="lessThan">
      <formula>0</formula>
    </cfRule>
  </conditionalFormatting>
  <conditionalFormatting sqref="R83">
    <cfRule type="cellIs" dxfId="12378" priority="2633" operator="lessThan">
      <formula>0.8</formula>
    </cfRule>
    <cfRule type="cellIs" dxfId="12377" priority="2634" operator="greaterThan">
      <formula>1</formula>
    </cfRule>
  </conditionalFormatting>
  <conditionalFormatting sqref="R83">
    <cfRule type="cellIs" dxfId="12376" priority="2631" operator="greaterThan">
      <formula>1</formula>
    </cfRule>
    <cfRule type="cellIs" dxfId="12375" priority="2632" operator="lessThan">
      <formula>0.8</formula>
    </cfRule>
  </conditionalFormatting>
  <conditionalFormatting sqref="P83">
    <cfRule type="cellIs" dxfId="12374" priority="2630" operator="greaterThan">
      <formula>0</formula>
    </cfRule>
  </conditionalFormatting>
  <conditionalFormatting sqref="Q83">
    <cfRule type="cellIs" dxfId="12373" priority="2635" operator="lessThan">
      <formula>0</formula>
    </cfRule>
  </conditionalFormatting>
  <conditionalFormatting sqref="Q83">
    <cfRule type="cellIs" dxfId="12372" priority="2629" operator="lessThan">
      <formula>0</formula>
    </cfRule>
  </conditionalFormatting>
  <conditionalFormatting sqref="R83">
    <cfRule type="cellIs" dxfId="12371" priority="2627" operator="lessThan">
      <formula>0.8</formula>
    </cfRule>
    <cfRule type="cellIs" dxfId="12370" priority="2628" operator="greaterThan">
      <formula>1</formula>
    </cfRule>
  </conditionalFormatting>
  <conditionalFormatting sqref="R83">
    <cfRule type="cellIs" dxfId="12369" priority="2625" operator="greaterThan">
      <formula>1</formula>
    </cfRule>
    <cfRule type="cellIs" dxfId="12368" priority="2626" operator="lessThan">
      <formula>0.8</formula>
    </cfRule>
  </conditionalFormatting>
  <conditionalFormatting sqref="P83">
    <cfRule type="cellIs" dxfId="12367" priority="2624" operator="greaterThan">
      <formula>0</formula>
    </cfRule>
  </conditionalFormatting>
  <conditionalFormatting sqref="Q83">
    <cfRule type="cellIs" dxfId="12366" priority="2618" operator="lessThan">
      <formula>0</formula>
    </cfRule>
  </conditionalFormatting>
  <conditionalFormatting sqref="R83">
    <cfRule type="cellIs" dxfId="12365" priority="2622" operator="lessThan">
      <formula>0.8</formula>
    </cfRule>
    <cfRule type="cellIs" dxfId="12364" priority="2623" operator="greaterThan">
      <formula>1</formula>
    </cfRule>
  </conditionalFormatting>
  <conditionalFormatting sqref="R83">
    <cfRule type="cellIs" dxfId="12363" priority="2620" operator="greaterThan">
      <formula>1</formula>
    </cfRule>
    <cfRule type="cellIs" dxfId="12362" priority="2621" operator="lessThan">
      <formula>0.8</formula>
    </cfRule>
  </conditionalFormatting>
  <conditionalFormatting sqref="P83">
    <cfRule type="cellIs" dxfId="12361" priority="2619" operator="greaterThan">
      <formula>0</formula>
    </cfRule>
  </conditionalFormatting>
  <conditionalFormatting sqref="Q83">
    <cfRule type="cellIs" dxfId="12360" priority="2617" operator="lessThan">
      <formula>0</formula>
    </cfRule>
  </conditionalFormatting>
  <conditionalFormatting sqref="R83">
    <cfRule type="cellIs" dxfId="12359" priority="2615" operator="lessThan">
      <formula>0.8</formula>
    </cfRule>
    <cfRule type="cellIs" dxfId="12358" priority="2616" operator="greaterThan">
      <formula>1</formula>
    </cfRule>
  </conditionalFormatting>
  <conditionalFormatting sqref="R83">
    <cfRule type="cellIs" dxfId="12357" priority="2613" operator="greaterThan">
      <formula>1</formula>
    </cfRule>
    <cfRule type="cellIs" dxfId="12356" priority="2614" operator="lessThan">
      <formula>0.8</formula>
    </cfRule>
  </conditionalFormatting>
  <conditionalFormatting sqref="P83">
    <cfRule type="cellIs" dxfId="12355" priority="2612" operator="greaterThan">
      <formula>0</formula>
    </cfRule>
  </conditionalFormatting>
  <conditionalFormatting sqref="Q83">
    <cfRule type="cellIs" dxfId="12354" priority="2611" operator="lessThan">
      <formula>0</formula>
    </cfRule>
  </conditionalFormatting>
  <conditionalFormatting sqref="R83">
    <cfRule type="cellIs" dxfId="12353" priority="2609" operator="lessThan">
      <formula>0.8</formula>
    </cfRule>
    <cfRule type="cellIs" dxfId="12352" priority="2610" operator="greaterThan">
      <formula>1</formula>
    </cfRule>
  </conditionalFormatting>
  <conditionalFormatting sqref="R83">
    <cfRule type="cellIs" dxfId="12351" priority="2607" operator="greaterThan">
      <formula>1</formula>
    </cfRule>
    <cfRule type="cellIs" dxfId="12350" priority="2608" operator="lessThan">
      <formula>0.8</formula>
    </cfRule>
  </conditionalFormatting>
  <conditionalFormatting sqref="P83">
    <cfRule type="cellIs" dxfId="12349" priority="2606" operator="greaterThan">
      <formula>0</formula>
    </cfRule>
  </conditionalFormatting>
  <conditionalFormatting sqref="Q83">
    <cfRule type="cellIs" dxfId="12348" priority="2605" operator="lessThan">
      <formula>0</formula>
    </cfRule>
  </conditionalFormatting>
  <conditionalFormatting sqref="R83">
    <cfRule type="cellIs" dxfId="12347" priority="2603" operator="lessThan">
      <formula>0.8</formula>
    </cfRule>
    <cfRule type="cellIs" dxfId="12346" priority="2604" operator="greaterThan">
      <formula>1</formula>
    </cfRule>
  </conditionalFormatting>
  <conditionalFormatting sqref="R83">
    <cfRule type="cellIs" dxfId="12345" priority="2601" operator="greaterThan">
      <formula>1</formula>
    </cfRule>
    <cfRule type="cellIs" dxfId="12344" priority="2602" operator="lessThan">
      <formula>0.8</formula>
    </cfRule>
  </conditionalFormatting>
  <conditionalFormatting sqref="P83">
    <cfRule type="cellIs" dxfId="12343" priority="2600" operator="greaterThan">
      <formula>0</formula>
    </cfRule>
  </conditionalFormatting>
  <conditionalFormatting sqref="Q83">
    <cfRule type="cellIs" dxfId="12342" priority="2599" operator="lessThan">
      <formula>0</formula>
    </cfRule>
  </conditionalFormatting>
  <conditionalFormatting sqref="R83">
    <cfRule type="cellIs" dxfId="12341" priority="2597" operator="lessThan">
      <formula>0.8</formula>
    </cfRule>
    <cfRule type="cellIs" dxfId="12340" priority="2598" operator="greaterThan">
      <formula>1</formula>
    </cfRule>
  </conditionalFormatting>
  <conditionalFormatting sqref="R83">
    <cfRule type="cellIs" dxfId="12339" priority="2595" operator="greaterThan">
      <formula>1</formula>
    </cfRule>
    <cfRule type="cellIs" dxfId="12338" priority="2596" operator="lessThan">
      <formula>0.8</formula>
    </cfRule>
  </conditionalFormatting>
  <conditionalFormatting sqref="P83">
    <cfRule type="cellIs" dxfId="12337" priority="2594" operator="greaterThan">
      <formula>0</formula>
    </cfRule>
  </conditionalFormatting>
  <conditionalFormatting sqref="Q83">
    <cfRule type="cellIs" dxfId="12336" priority="2593" operator="lessThan">
      <formula>0</formula>
    </cfRule>
  </conditionalFormatting>
  <conditionalFormatting sqref="R83">
    <cfRule type="cellIs" dxfId="12335" priority="2591" operator="lessThan">
      <formula>0.8</formula>
    </cfRule>
    <cfRule type="cellIs" dxfId="12334" priority="2592" operator="greaterThan">
      <formula>1</formula>
    </cfRule>
  </conditionalFormatting>
  <conditionalFormatting sqref="R83">
    <cfRule type="cellIs" dxfId="12333" priority="2589" operator="greaterThan">
      <formula>1</formula>
    </cfRule>
    <cfRule type="cellIs" dxfId="12332" priority="2590" operator="lessThan">
      <formula>0.8</formula>
    </cfRule>
  </conditionalFormatting>
  <conditionalFormatting sqref="P83">
    <cfRule type="cellIs" dxfId="12331" priority="2588" operator="greaterThan">
      <formula>0</formula>
    </cfRule>
  </conditionalFormatting>
  <conditionalFormatting sqref="P83">
    <cfRule type="cellIs" dxfId="12330" priority="2582" operator="greaterThan">
      <formula>0</formula>
    </cfRule>
  </conditionalFormatting>
  <conditionalFormatting sqref="Q83">
    <cfRule type="cellIs" dxfId="12329" priority="2587" operator="lessThan">
      <formula>0</formula>
    </cfRule>
  </conditionalFormatting>
  <conditionalFormatting sqref="R83">
    <cfRule type="cellIs" dxfId="12328" priority="2585" operator="lessThan">
      <formula>0.8</formula>
    </cfRule>
    <cfRule type="cellIs" dxfId="12327" priority="2586" operator="greaterThan">
      <formula>1</formula>
    </cfRule>
  </conditionalFormatting>
  <conditionalFormatting sqref="R83">
    <cfRule type="cellIs" dxfId="12326" priority="2583" operator="greaterThan">
      <formula>1</formula>
    </cfRule>
    <cfRule type="cellIs" dxfId="12325" priority="2584" operator="lessThan">
      <formula>0.8</formula>
    </cfRule>
  </conditionalFormatting>
  <conditionalFormatting sqref="P83">
    <cfRule type="cellIs" dxfId="12324" priority="2576" operator="greaterThan">
      <formula>0</formula>
    </cfRule>
  </conditionalFormatting>
  <conditionalFormatting sqref="Q83">
    <cfRule type="cellIs" dxfId="12323" priority="2581" operator="lessThan">
      <formula>0</formula>
    </cfRule>
  </conditionalFormatting>
  <conditionalFormatting sqref="R83">
    <cfRule type="cellIs" dxfId="12322" priority="2579" operator="lessThan">
      <formula>0.8</formula>
    </cfRule>
    <cfRule type="cellIs" dxfId="12321" priority="2580" operator="greaterThan">
      <formula>1</formula>
    </cfRule>
  </conditionalFormatting>
  <conditionalFormatting sqref="R83">
    <cfRule type="cellIs" dxfId="12320" priority="2577" operator="greaterThan">
      <formula>1</formula>
    </cfRule>
    <cfRule type="cellIs" dxfId="12319" priority="2578" operator="lessThan">
      <formula>0.8</formula>
    </cfRule>
  </conditionalFormatting>
  <conditionalFormatting sqref="R83">
    <cfRule type="cellIs" dxfId="12318" priority="2573" operator="lessThan">
      <formula>0.8</formula>
    </cfRule>
    <cfRule type="cellIs" dxfId="12317" priority="2574" operator="greaterThan">
      <formula>1</formula>
    </cfRule>
  </conditionalFormatting>
  <conditionalFormatting sqref="R83">
    <cfRule type="cellIs" dxfId="12316" priority="2571" operator="greaterThan">
      <formula>1</formula>
    </cfRule>
    <cfRule type="cellIs" dxfId="12315" priority="2572" operator="lessThan">
      <formula>0.8</formula>
    </cfRule>
  </conditionalFormatting>
  <conditionalFormatting sqref="P83">
    <cfRule type="cellIs" dxfId="12314" priority="2570" operator="greaterThan">
      <formula>0</formula>
    </cfRule>
  </conditionalFormatting>
  <conditionalFormatting sqref="Q83">
    <cfRule type="cellIs" dxfId="12313" priority="2575" operator="lessThan">
      <formula>0</formula>
    </cfRule>
  </conditionalFormatting>
  <conditionalFormatting sqref="P123 P125:P126 P131 P128:P129">
    <cfRule type="cellIs" dxfId="12312" priority="2564" operator="greaterThan">
      <formula>0</formula>
    </cfRule>
  </conditionalFormatting>
  <conditionalFormatting sqref="Q123 Q125:Q126 Q131 Q128:Q129">
    <cfRule type="cellIs" dxfId="12311" priority="2569" operator="lessThan">
      <formula>0</formula>
    </cfRule>
  </conditionalFormatting>
  <conditionalFormatting sqref="R123 R125:R126 R131 R128:R129">
    <cfRule type="cellIs" dxfId="12310" priority="2567" operator="lessThan">
      <formula>0.8</formula>
    </cfRule>
    <cfRule type="cellIs" dxfId="12309" priority="2568" operator="greaterThan">
      <formula>1</formula>
    </cfRule>
  </conditionalFormatting>
  <conditionalFormatting sqref="R123 R125:R126 R131 R128:R129">
    <cfRule type="cellIs" dxfId="12308" priority="2565" operator="greaterThan">
      <formula>1</formula>
    </cfRule>
    <cfRule type="cellIs" dxfId="12307" priority="2566" operator="lessThan">
      <formula>0.8</formula>
    </cfRule>
  </conditionalFormatting>
  <conditionalFormatting sqref="Q123 Q125:Q126 Q131 Q128:Q129">
    <cfRule type="cellIs" dxfId="12306" priority="2563" operator="lessThan">
      <formula>0</formula>
    </cfRule>
  </conditionalFormatting>
  <conditionalFormatting sqref="R123 R125:R126 R131 R128:R129">
    <cfRule type="cellIs" dxfId="12305" priority="2561" operator="lessThan">
      <formula>0.8</formula>
    </cfRule>
    <cfRule type="cellIs" dxfId="12304" priority="2562" operator="greaterThan">
      <formula>1</formula>
    </cfRule>
  </conditionalFormatting>
  <conditionalFormatting sqref="R123 R125:R126 R131 R128:R129">
    <cfRule type="cellIs" dxfId="12303" priority="2559" operator="greaterThan">
      <formula>1</formula>
    </cfRule>
    <cfRule type="cellIs" dxfId="12302" priority="2560" operator="lessThan">
      <formula>0.8</formula>
    </cfRule>
  </conditionalFormatting>
  <conditionalFormatting sqref="P123 P125:P126 P131 P128:P129">
    <cfRule type="cellIs" dxfId="12301" priority="2558" operator="greaterThan">
      <formula>0</formula>
    </cfRule>
  </conditionalFormatting>
  <conditionalFormatting sqref="Q31">
    <cfRule type="cellIs" dxfId="12300" priority="2557" operator="lessThan">
      <formula>0</formula>
    </cfRule>
  </conditionalFormatting>
  <conditionalFormatting sqref="R31">
    <cfRule type="cellIs" dxfId="12299" priority="2555" operator="lessThan">
      <formula>0.8</formula>
    </cfRule>
    <cfRule type="cellIs" dxfId="12298" priority="2556" operator="greaterThan">
      <formula>1</formula>
    </cfRule>
  </conditionalFormatting>
  <conditionalFormatting sqref="R31">
    <cfRule type="cellIs" dxfId="12297" priority="2553" operator="greaterThan">
      <formula>1</formula>
    </cfRule>
    <cfRule type="cellIs" dxfId="12296" priority="2554" operator="lessThan">
      <formula>0.8</formula>
    </cfRule>
  </conditionalFormatting>
  <conditionalFormatting sqref="P31:P38">
    <cfRule type="cellIs" dxfId="12295" priority="2552" operator="greaterThan">
      <formula>0</formula>
    </cfRule>
  </conditionalFormatting>
  <conditionalFormatting sqref="Q31">
    <cfRule type="cellIs" dxfId="12294" priority="2551" operator="lessThan">
      <formula>0</formula>
    </cfRule>
  </conditionalFormatting>
  <conditionalFormatting sqref="R31">
    <cfRule type="cellIs" dxfId="12293" priority="2549" operator="lessThan">
      <formula>0.8</formula>
    </cfRule>
    <cfRule type="cellIs" dxfId="12292" priority="2550" operator="greaterThan">
      <formula>1</formula>
    </cfRule>
  </conditionalFormatting>
  <conditionalFormatting sqref="R31">
    <cfRule type="cellIs" dxfId="12291" priority="2547" operator="greaterThan">
      <formula>1</formula>
    </cfRule>
    <cfRule type="cellIs" dxfId="12290" priority="2548" operator="lessThan">
      <formula>0.8</formula>
    </cfRule>
  </conditionalFormatting>
  <conditionalFormatting sqref="P31:P38">
    <cfRule type="cellIs" dxfId="12289" priority="2546" operator="greaterThan">
      <formula>0</formula>
    </cfRule>
  </conditionalFormatting>
  <conditionalFormatting sqref="Q31">
    <cfRule type="cellIs" dxfId="12288" priority="2545" operator="lessThan">
      <formula>0</formula>
    </cfRule>
  </conditionalFormatting>
  <conditionalFormatting sqref="R31">
    <cfRule type="cellIs" dxfId="12287" priority="2543" operator="lessThan">
      <formula>0.8</formula>
    </cfRule>
    <cfRule type="cellIs" dxfId="12286" priority="2544" operator="greaterThan">
      <formula>1</formula>
    </cfRule>
  </conditionalFormatting>
  <conditionalFormatting sqref="R31">
    <cfRule type="cellIs" dxfId="12285" priority="2541" operator="greaterThan">
      <formula>1</formula>
    </cfRule>
    <cfRule type="cellIs" dxfId="12284" priority="2542" operator="lessThan">
      <formula>0.8</formula>
    </cfRule>
  </conditionalFormatting>
  <conditionalFormatting sqref="P31:P38">
    <cfRule type="cellIs" dxfId="12283" priority="2540" operator="greaterThan">
      <formula>0</formula>
    </cfRule>
  </conditionalFormatting>
  <conditionalFormatting sqref="Q31">
    <cfRule type="cellIs" dxfId="12282" priority="2539" operator="lessThan">
      <formula>0</formula>
    </cfRule>
  </conditionalFormatting>
  <conditionalFormatting sqref="R31">
    <cfRule type="cellIs" dxfId="12281" priority="2537" operator="lessThan">
      <formula>0.8</formula>
    </cfRule>
    <cfRule type="cellIs" dxfId="12280" priority="2538" operator="greaterThan">
      <formula>1</formula>
    </cfRule>
  </conditionalFormatting>
  <conditionalFormatting sqref="R31">
    <cfRule type="cellIs" dxfId="12279" priority="2535" operator="greaterThan">
      <formula>1</formula>
    </cfRule>
    <cfRule type="cellIs" dxfId="12278" priority="2536" operator="lessThan">
      <formula>0.8</formula>
    </cfRule>
  </conditionalFormatting>
  <conditionalFormatting sqref="P31:P38">
    <cfRule type="cellIs" dxfId="12277" priority="2534" operator="greaterThan">
      <formula>0</formula>
    </cfRule>
  </conditionalFormatting>
  <conditionalFormatting sqref="P31:P38">
    <cfRule type="cellIs" dxfId="12276" priority="2528" operator="greaterThan">
      <formula>0</formula>
    </cfRule>
  </conditionalFormatting>
  <conditionalFormatting sqref="Q31">
    <cfRule type="cellIs" dxfId="12275" priority="2533" operator="lessThan">
      <formula>0</formula>
    </cfRule>
  </conditionalFormatting>
  <conditionalFormatting sqref="R31">
    <cfRule type="cellIs" dxfId="12274" priority="2531" operator="lessThan">
      <formula>0.8</formula>
    </cfRule>
    <cfRule type="cellIs" dxfId="12273" priority="2532" operator="greaterThan">
      <formula>1</formula>
    </cfRule>
  </conditionalFormatting>
  <conditionalFormatting sqref="R31">
    <cfRule type="cellIs" dxfId="12272" priority="2529" operator="greaterThan">
      <formula>1</formula>
    </cfRule>
    <cfRule type="cellIs" dxfId="12271" priority="2530" operator="lessThan">
      <formula>0.8</formula>
    </cfRule>
  </conditionalFormatting>
  <conditionalFormatting sqref="P31:P38">
    <cfRule type="cellIs" dxfId="12270" priority="2522" operator="greaterThan">
      <formula>0</formula>
    </cfRule>
  </conditionalFormatting>
  <conditionalFormatting sqref="Q31">
    <cfRule type="cellIs" dxfId="12269" priority="2527" operator="lessThan">
      <formula>0</formula>
    </cfRule>
  </conditionalFormatting>
  <conditionalFormatting sqref="R31">
    <cfRule type="cellIs" dxfId="12268" priority="2525" operator="lessThan">
      <formula>0.8</formula>
    </cfRule>
    <cfRule type="cellIs" dxfId="12267" priority="2526" operator="greaterThan">
      <formula>1</formula>
    </cfRule>
  </conditionalFormatting>
  <conditionalFormatting sqref="R31">
    <cfRule type="cellIs" dxfId="12266" priority="2523" operator="greaterThan">
      <formula>1</formula>
    </cfRule>
    <cfRule type="cellIs" dxfId="12265" priority="2524" operator="lessThan">
      <formula>0.8</formula>
    </cfRule>
  </conditionalFormatting>
  <conditionalFormatting sqref="R31">
    <cfRule type="cellIs" dxfId="12264" priority="2519" operator="lessThan">
      <formula>0.8</formula>
    </cfRule>
    <cfRule type="cellIs" dxfId="12263" priority="2520" operator="greaterThan">
      <formula>1</formula>
    </cfRule>
  </conditionalFormatting>
  <conditionalFormatting sqref="R31">
    <cfRule type="cellIs" dxfId="12262" priority="2517" operator="greaterThan">
      <formula>1</formula>
    </cfRule>
    <cfRule type="cellIs" dxfId="12261" priority="2518" operator="lessThan">
      <formula>0.8</formula>
    </cfRule>
  </conditionalFormatting>
  <conditionalFormatting sqref="P31:P38">
    <cfRule type="cellIs" dxfId="12260" priority="2516" operator="greaterThan">
      <formula>0</formula>
    </cfRule>
  </conditionalFormatting>
  <conditionalFormatting sqref="Q31">
    <cfRule type="cellIs" dxfId="12259" priority="2521" operator="lessThan">
      <formula>0</formula>
    </cfRule>
  </conditionalFormatting>
  <conditionalFormatting sqref="Q31">
    <cfRule type="cellIs" dxfId="12258" priority="2515" operator="lessThan">
      <formula>0</formula>
    </cfRule>
  </conditionalFormatting>
  <conditionalFormatting sqref="R31">
    <cfRule type="cellIs" dxfId="12257" priority="2513" operator="lessThan">
      <formula>0.8</formula>
    </cfRule>
    <cfRule type="cellIs" dxfId="12256" priority="2514" operator="greaterThan">
      <formula>1</formula>
    </cfRule>
  </conditionalFormatting>
  <conditionalFormatting sqref="R31">
    <cfRule type="cellIs" dxfId="12255" priority="2511" operator="greaterThan">
      <formula>1</formula>
    </cfRule>
    <cfRule type="cellIs" dxfId="12254" priority="2512" operator="lessThan">
      <formula>0.8</formula>
    </cfRule>
  </conditionalFormatting>
  <conditionalFormatting sqref="P31:P38">
    <cfRule type="cellIs" dxfId="12253" priority="2510" operator="greaterThan">
      <formula>0</formula>
    </cfRule>
  </conditionalFormatting>
  <conditionalFormatting sqref="P31:P38">
    <cfRule type="cellIs" dxfId="12252" priority="2504" operator="greaterThan">
      <formula>0</formula>
    </cfRule>
  </conditionalFormatting>
  <conditionalFormatting sqref="Q31">
    <cfRule type="cellIs" dxfId="12251" priority="2509" operator="lessThan">
      <formula>0</formula>
    </cfRule>
  </conditionalFormatting>
  <conditionalFormatting sqref="R31">
    <cfRule type="cellIs" dxfId="12250" priority="2507" operator="lessThan">
      <formula>0.8</formula>
    </cfRule>
    <cfRule type="cellIs" dxfId="12249" priority="2508" operator="greaterThan">
      <formula>1</formula>
    </cfRule>
  </conditionalFormatting>
  <conditionalFormatting sqref="R31">
    <cfRule type="cellIs" dxfId="12248" priority="2505" operator="greaterThan">
      <formula>1</formula>
    </cfRule>
    <cfRule type="cellIs" dxfId="12247" priority="2506" operator="lessThan">
      <formula>0.8</formula>
    </cfRule>
  </conditionalFormatting>
  <conditionalFormatting sqref="P31:P38">
    <cfRule type="cellIs" dxfId="12246" priority="2498" operator="greaterThan">
      <formula>0</formula>
    </cfRule>
  </conditionalFormatting>
  <conditionalFormatting sqref="Q31">
    <cfRule type="cellIs" dxfId="12245" priority="2503" operator="lessThan">
      <formula>0</formula>
    </cfRule>
  </conditionalFormatting>
  <conditionalFormatting sqref="R31">
    <cfRule type="cellIs" dxfId="12244" priority="2501" operator="lessThan">
      <formula>0.8</formula>
    </cfRule>
    <cfRule type="cellIs" dxfId="12243" priority="2502" operator="greaterThan">
      <formula>1</formula>
    </cfRule>
  </conditionalFormatting>
  <conditionalFormatting sqref="R31">
    <cfRule type="cellIs" dxfId="12242" priority="2499" operator="greaterThan">
      <formula>1</formula>
    </cfRule>
    <cfRule type="cellIs" dxfId="12241" priority="2500" operator="lessThan">
      <formula>0.8</formula>
    </cfRule>
  </conditionalFormatting>
  <conditionalFormatting sqref="R31">
    <cfRule type="cellIs" dxfId="12240" priority="2495" operator="lessThan">
      <formula>0.8</formula>
    </cfRule>
    <cfRule type="cellIs" dxfId="12239" priority="2496" operator="greaterThan">
      <formula>1</formula>
    </cfRule>
  </conditionalFormatting>
  <conditionalFormatting sqref="R31">
    <cfRule type="cellIs" dxfId="12238" priority="2493" operator="greaterThan">
      <formula>1</formula>
    </cfRule>
    <cfRule type="cellIs" dxfId="12237" priority="2494" operator="lessThan">
      <formula>0.8</formula>
    </cfRule>
  </conditionalFormatting>
  <conditionalFormatting sqref="P31:P38">
    <cfRule type="cellIs" dxfId="12236" priority="2492" operator="greaterThan">
      <formula>0</formula>
    </cfRule>
  </conditionalFormatting>
  <conditionalFormatting sqref="Q31">
    <cfRule type="cellIs" dxfId="12235" priority="2497" operator="lessThan">
      <formula>0</formula>
    </cfRule>
  </conditionalFormatting>
  <conditionalFormatting sqref="P31:P38">
    <cfRule type="cellIs" dxfId="12234" priority="2486" operator="greaterThan">
      <formula>0</formula>
    </cfRule>
  </conditionalFormatting>
  <conditionalFormatting sqref="Q31">
    <cfRule type="cellIs" dxfId="12233" priority="2491" operator="lessThan">
      <formula>0</formula>
    </cfRule>
  </conditionalFormatting>
  <conditionalFormatting sqref="R31">
    <cfRule type="cellIs" dxfId="12232" priority="2489" operator="lessThan">
      <formula>0.8</formula>
    </cfRule>
    <cfRule type="cellIs" dxfId="12231" priority="2490" operator="greaterThan">
      <formula>1</formula>
    </cfRule>
  </conditionalFormatting>
  <conditionalFormatting sqref="R31">
    <cfRule type="cellIs" dxfId="12230" priority="2487" operator="greaterThan">
      <formula>1</formula>
    </cfRule>
    <cfRule type="cellIs" dxfId="12229" priority="2488" operator="lessThan">
      <formula>0.8</formula>
    </cfRule>
  </conditionalFormatting>
  <conditionalFormatting sqref="R31">
    <cfRule type="cellIs" dxfId="12228" priority="2483" operator="lessThan">
      <formula>0.8</formula>
    </cfRule>
    <cfRule type="cellIs" dxfId="12227" priority="2484" operator="greaterThan">
      <formula>1</formula>
    </cfRule>
  </conditionalFormatting>
  <conditionalFormatting sqref="R31">
    <cfRule type="cellIs" dxfId="12226" priority="2481" operator="greaterThan">
      <formula>1</formula>
    </cfRule>
    <cfRule type="cellIs" dxfId="12225" priority="2482" operator="lessThan">
      <formula>0.8</formula>
    </cfRule>
  </conditionalFormatting>
  <conditionalFormatting sqref="P31:P38">
    <cfRule type="cellIs" dxfId="12224" priority="2480" operator="greaterThan">
      <formula>0</formula>
    </cfRule>
  </conditionalFormatting>
  <conditionalFormatting sqref="Q31">
    <cfRule type="cellIs" dxfId="12223" priority="2485" operator="lessThan">
      <formula>0</formula>
    </cfRule>
  </conditionalFormatting>
  <conditionalFormatting sqref="R31">
    <cfRule type="cellIs" dxfId="12222" priority="2477" operator="lessThan">
      <formula>0.8</formula>
    </cfRule>
    <cfRule type="cellIs" dxfId="12221" priority="2478" operator="greaterThan">
      <formula>1</formula>
    </cfRule>
  </conditionalFormatting>
  <conditionalFormatting sqref="R31">
    <cfRule type="cellIs" dxfId="12220" priority="2475" operator="greaterThan">
      <formula>1</formula>
    </cfRule>
    <cfRule type="cellIs" dxfId="12219" priority="2476" operator="lessThan">
      <formula>0.8</formula>
    </cfRule>
  </conditionalFormatting>
  <conditionalFormatting sqref="P31:P38">
    <cfRule type="cellIs" dxfId="12218" priority="2474" operator="greaterThan">
      <formula>0</formula>
    </cfRule>
  </conditionalFormatting>
  <conditionalFormatting sqref="Q31">
    <cfRule type="cellIs" dxfId="12217" priority="2479" operator="lessThan">
      <formula>0</formula>
    </cfRule>
  </conditionalFormatting>
  <conditionalFormatting sqref="Q31">
    <cfRule type="cellIs" dxfId="12216" priority="2473" operator="lessThan">
      <formula>0</formula>
    </cfRule>
  </conditionalFormatting>
  <conditionalFormatting sqref="R31">
    <cfRule type="cellIs" dxfId="12215" priority="2471" operator="lessThan">
      <formula>0.8</formula>
    </cfRule>
    <cfRule type="cellIs" dxfId="12214" priority="2472" operator="greaterThan">
      <formula>1</formula>
    </cfRule>
  </conditionalFormatting>
  <conditionalFormatting sqref="R31">
    <cfRule type="cellIs" dxfId="12213" priority="2469" operator="greaterThan">
      <formula>1</formula>
    </cfRule>
    <cfRule type="cellIs" dxfId="12212" priority="2470" operator="lessThan">
      <formula>0.8</formula>
    </cfRule>
  </conditionalFormatting>
  <conditionalFormatting sqref="P31:P38">
    <cfRule type="cellIs" dxfId="12211" priority="2468" operator="greaterThan">
      <formula>0</formula>
    </cfRule>
  </conditionalFormatting>
  <conditionalFormatting sqref="Q31">
    <cfRule type="cellIs" dxfId="12210" priority="2462" operator="lessThan">
      <formula>0</formula>
    </cfRule>
  </conditionalFormatting>
  <conditionalFormatting sqref="R31">
    <cfRule type="cellIs" dxfId="12209" priority="2466" operator="lessThan">
      <formula>0.8</formula>
    </cfRule>
    <cfRule type="cellIs" dxfId="12208" priority="2467" operator="greaterThan">
      <formula>1</formula>
    </cfRule>
  </conditionalFormatting>
  <conditionalFormatting sqref="R31">
    <cfRule type="cellIs" dxfId="12207" priority="2464" operator="greaterThan">
      <formula>1</formula>
    </cfRule>
    <cfRule type="cellIs" dxfId="12206" priority="2465" operator="lessThan">
      <formula>0.8</formula>
    </cfRule>
  </conditionalFormatting>
  <conditionalFormatting sqref="P31:P38">
    <cfRule type="cellIs" dxfId="12205" priority="2463" operator="greaterThan">
      <formula>0</formula>
    </cfRule>
  </conditionalFormatting>
  <conditionalFormatting sqref="Q31">
    <cfRule type="cellIs" dxfId="12204" priority="2461" operator="lessThan">
      <formula>0</formula>
    </cfRule>
  </conditionalFormatting>
  <conditionalFormatting sqref="R31">
    <cfRule type="cellIs" dxfId="12203" priority="2459" operator="lessThan">
      <formula>0.8</formula>
    </cfRule>
    <cfRule type="cellIs" dxfId="12202" priority="2460" operator="greaterThan">
      <formula>1</formula>
    </cfRule>
  </conditionalFormatting>
  <conditionalFormatting sqref="R31">
    <cfRule type="cellIs" dxfId="12201" priority="2457" operator="greaterThan">
      <formula>1</formula>
    </cfRule>
    <cfRule type="cellIs" dxfId="12200" priority="2458" operator="lessThan">
      <formula>0.8</formula>
    </cfRule>
  </conditionalFormatting>
  <conditionalFormatting sqref="P31:P38">
    <cfRule type="cellIs" dxfId="12199" priority="2456" operator="greaterThan">
      <formula>0</formula>
    </cfRule>
  </conditionalFormatting>
  <conditionalFormatting sqref="Q31">
    <cfRule type="cellIs" dxfId="12198" priority="2455" operator="lessThan">
      <formula>0</formula>
    </cfRule>
  </conditionalFormatting>
  <conditionalFormatting sqref="R31">
    <cfRule type="cellIs" dxfId="12197" priority="2453" operator="lessThan">
      <formula>0.8</formula>
    </cfRule>
    <cfRule type="cellIs" dxfId="12196" priority="2454" operator="greaterThan">
      <formula>1</formula>
    </cfRule>
  </conditionalFormatting>
  <conditionalFormatting sqref="R31">
    <cfRule type="cellIs" dxfId="12195" priority="2451" operator="greaterThan">
      <formula>1</formula>
    </cfRule>
    <cfRule type="cellIs" dxfId="12194" priority="2452" operator="lessThan">
      <formula>0.8</formula>
    </cfRule>
  </conditionalFormatting>
  <conditionalFormatting sqref="P31:P38">
    <cfRule type="cellIs" dxfId="12193" priority="2450" operator="greaterThan">
      <formula>0</formula>
    </cfRule>
  </conditionalFormatting>
  <conditionalFormatting sqref="Q31">
    <cfRule type="cellIs" dxfId="12192" priority="2449" operator="lessThan">
      <formula>0</formula>
    </cfRule>
  </conditionalFormatting>
  <conditionalFormatting sqref="R31">
    <cfRule type="cellIs" dxfId="12191" priority="2447" operator="lessThan">
      <formula>0.8</formula>
    </cfRule>
    <cfRule type="cellIs" dxfId="12190" priority="2448" operator="greaterThan">
      <formula>1</formula>
    </cfRule>
  </conditionalFormatting>
  <conditionalFormatting sqref="R31">
    <cfRule type="cellIs" dxfId="12189" priority="2445" operator="greaterThan">
      <formula>1</formula>
    </cfRule>
    <cfRule type="cellIs" dxfId="12188" priority="2446" operator="lessThan">
      <formula>0.8</formula>
    </cfRule>
  </conditionalFormatting>
  <conditionalFormatting sqref="P31:P38">
    <cfRule type="cellIs" dxfId="12187" priority="2444" operator="greaterThan">
      <formula>0</formula>
    </cfRule>
  </conditionalFormatting>
  <conditionalFormatting sqref="Q31">
    <cfRule type="cellIs" dxfId="12186" priority="2443" operator="lessThan">
      <formula>0</formula>
    </cfRule>
  </conditionalFormatting>
  <conditionalFormatting sqref="R31">
    <cfRule type="cellIs" dxfId="12185" priority="2441" operator="lessThan">
      <formula>0.8</formula>
    </cfRule>
    <cfRule type="cellIs" dxfId="12184" priority="2442" operator="greaterThan">
      <formula>1</formula>
    </cfRule>
  </conditionalFormatting>
  <conditionalFormatting sqref="R31">
    <cfRule type="cellIs" dxfId="12183" priority="2439" operator="greaterThan">
      <formula>1</formula>
    </cfRule>
    <cfRule type="cellIs" dxfId="12182" priority="2440" operator="lessThan">
      <formula>0.8</formula>
    </cfRule>
  </conditionalFormatting>
  <conditionalFormatting sqref="P31:P38">
    <cfRule type="cellIs" dxfId="12181" priority="2438" operator="greaterThan">
      <formula>0</formula>
    </cfRule>
  </conditionalFormatting>
  <conditionalFormatting sqref="Q31">
    <cfRule type="cellIs" dxfId="12180" priority="2437" operator="lessThan">
      <formula>0</formula>
    </cfRule>
  </conditionalFormatting>
  <conditionalFormatting sqref="R31">
    <cfRule type="cellIs" dxfId="12179" priority="2435" operator="lessThan">
      <formula>0.8</formula>
    </cfRule>
    <cfRule type="cellIs" dxfId="12178" priority="2436" operator="greaterThan">
      <formula>1</formula>
    </cfRule>
  </conditionalFormatting>
  <conditionalFormatting sqref="R31">
    <cfRule type="cellIs" dxfId="12177" priority="2433" operator="greaterThan">
      <formula>1</formula>
    </cfRule>
    <cfRule type="cellIs" dxfId="12176" priority="2434" operator="lessThan">
      <formula>0.8</formula>
    </cfRule>
  </conditionalFormatting>
  <conditionalFormatting sqref="P31:P38">
    <cfRule type="cellIs" dxfId="12175" priority="2432" operator="greaterThan">
      <formula>0</formula>
    </cfRule>
  </conditionalFormatting>
  <conditionalFormatting sqref="P31:P38">
    <cfRule type="cellIs" dxfId="12174" priority="2426" operator="greaterThan">
      <formula>0</formula>
    </cfRule>
  </conditionalFormatting>
  <conditionalFormatting sqref="Q31">
    <cfRule type="cellIs" dxfId="12173" priority="2431" operator="lessThan">
      <formula>0</formula>
    </cfRule>
  </conditionalFormatting>
  <conditionalFormatting sqref="R31">
    <cfRule type="cellIs" dxfId="12172" priority="2429" operator="lessThan">
      <formula>0.8</formula>
    </cfRule>
    <cfRule type="cellIs" dxfId="12171" priority="2430" operator="greaterThan">
      <formula>1</formula>
    </cfRule>
  </conditionalFormatting>
  <conditionalFormatting sqref="R31">
    <cfRule type="cellIs" dxfId="12170" priority="2427" operator="greaterThan">
      <formula>1</formula>
    </cfRule>
    <cfRule type="cellIs" dxfId="12169" priority="2428" operator="lessThan">
      <formula>0.8</formula>
    </cfRule>
  </conditionalFormatting>
  <conditionalFormatting sqref="P31:P38">
    <cfRule type="cellIs" dxfId="12168" priority="2420" operator="greaterThan">
      <formula>0</formula>
    </cfRule>
  </conditionalFormatting>
  <conditionalFormatting sqref="Q31">
    <cfRule type="cellIs" dxfId="12167" priority="2425" operator="lessThan">
      <formula>0</formula>
    </cfRule>
  </conditionalFormatting>
  <conditionalFormatting sqref="R31">
    <cfRule type="cellIs" dxfId="12166" priority="2423" operator="lessThan">
      <formula>0.8</formula>
    </cfRule>
    <cfRule type="cellIs" dxfId="12165" priority="2424" operator="greaterThan">
      <formula>1</formula>
    </cfRule>
  </conditionalFormatting>
  <conditionalFormatting sqref="R31">
    <cfRule type="cellIs" dxfId="12164" priority="2421" operator="greaterThan">
      <formula>1</formula>
    </cfRule>
    <cfRule type="cellIs" dxfId="12163" priority="2422" operator="lessThan">
      <formula>0.8</formula>
    </cfRule>
  </conditionalFormatting>
  <conditionalFormatting sqref="R31">
    <cfRule type="cellIs" dxfId="12162" priority="2417" operator="lessThan">
      <formula>0.8</formula>
    </cfRule>
    <cfRule type="cellIs" dxfId="12161" priority="2418" operator="greaterThan">
      <formula>1</formula>
    </cfRule>
  </conditionalFormatting>
  <conditionalFormatting sqref="R31">
    <cfRule type="cellIs" dxfId="12160" priority="2415" operator="greaterThan">
      <formula>1</formula>
    </cfRule>
    <cfRule type="cellIs" dxfId="12159" priority="2416" operator="lessThan">
      <formula>0.8</formula>
    </cfRule>
  </conditionalFormatting>
  <conditionalFormatting sqref="P31:P38">
    <cfRule type="cellIs" dxfId="12158" priority="2414" operator="greaterThan">
      <formula>0</formula>
    </cfRule>
  </conditionalFormatting>
  <conditionalFormatting sqref="Q31">
    <cfRule type="cellIs" dxfId="12157" priority="2419" operator="lessThan">
      <formula>0</formula>
    </cfRule>
  </conditionalFormatting>
  <conditionalFormatting sqref="Q31">
    <cfRule type="cellIs" dxfId="12156" priority="2413" operator="lessThan">
      <formula>0</formula>
    </cfRule>
  </conditionalFormatting>
  <conditionalFormatting sqref="R31">
    <cfRule type="cellIs" dxfId="12155" priority="2411" operator="lessThan">
      <formula>0.8</formula>
    </cfRule>
    <cfRule type="cellIs" dxfId="12154" priority="2412" operator="greaterThan">
      <formula>1</formula>
    </cfRule>
  </conditionalFormatting>
  <conditionalFormatting sqref="R31">
    <cfRule type="cellIs" dxfId="12153" priority="2409" operator="greaterThan">
      <formula>1</formula>
    </cfRule>
    <cfRule type="cellIs" dxfId="12152" priority="2410" operator="lessThan">
      <formula>0.8</formula>
    </cfRule>
  </conditionalFormatting>
  <conditionalFormatting sqref="P31:P38">
    <cfRule type="cellIs" dxfId="12151" priority="2408" operator="greaterThan">
      <formula>0</formula>
    </cfRule>
  </conditionalFormatting>
  <conditionalFormatting sqref="Q31">
    <cfRule type="cellIs" dxfId="12150" priority="2407" operator="lessThan">
      <formula>0</formula>
    </cfRule>
  </conditionalFormatting>
  <conditionalFormatting sqref="R31">
    <cfRule type="cellIs" dxfId="12149" priority="2405" operator="lessThan">
      <formula>0.8</formula>
    </cfRule>
    <cfRule type="cellIs" dxfId="12148" priority="2406" operator="greaterThan">
      <formula>1</formula>
    </cfRule>
  </conditionalFormatting>
  <conditionalFormatting sqref="R31">
    <cfRule type="cellIs" dxfId="12147" priority="2403" operator="greaterThan">
      <formula>1</formula>
    </cfRule>
    <cfRule type="cellIs" dxfId="12146" priority="2404" operator="lessThan">
      <formula>0.8</formula>
    </cfRule>
  </conditionalFormatting>
  <conditionalFormatting sqref="P31:P38">
    <cfRule type="cellIs" dxfId="12145" priority="2402" operator="greaterThan">
      <formula>0</formula>
    </cfRule>
  </conditionalFormatting>
  <conditionalFormatting sqref="Q31">
    <cfRule type="cellIs" dxfId="12144" priority="2401" operator="lessThan">
      <formula>0</formula>
    </cfRule>
  </conditionalFormatting>
  <conditionalFormatting sqref="R31">
    <cfRule type="cellIs" dxfId="12143" priority="2399" operator="lessThan">
      <formula>0.8</formula>
    </cfRule>
    <cfRule type="cellIs" dxfId="12142" priority="2400" operator="greaterThan">
      <formula>1</formula>
    </cfRule>
  </conditionalFormatting>
  <conditionalFormatting sqref="R31">
    <cfRule type="cellIs" dxfId="12141" priority="2397" operator="greaterThan">
      <formula>1</formula>
    </cfRule>
    <cfRule type="cellIs" dxfId="12140" priority="2398" operator="lessThan">
      <formula>0.8</formula>
    </cfRule>
  </conditionalFormatting>
  <conditionalFormatting sqref="P31:P38">
    <cfRule type="cellIs" dxfId="12139" priority="2396" operator="greaterThan">
      <formula>0</formula>
    </cfRule>
  </conditionalFormatting>
  <conditionalFormatting sqref="Q31">
    <cfRule type="cellIs" dxfId="12138" priority="2395" operator="lessThan">
      <formula>0</formula>
    </cfRule>
  </conditionalFormatting>
  <conditionalFormatting sqref="R31">
    <cfRule type="cellIs" dxfId="12137" priority="2393" operator="lessThan">
      <formula>0.8</formula>
    </cfRule>
    <cfRule type="cellIs" dxfId="12136" priority="2394" operator="greaterThan">
      <formula>1</formula>
    </cfRule>
  </conditionalFormatting>
  <conditionalFormatting sqref="R31">
    <cfRule type="cellIs" dxfId="12135" priority="2391" operator="greaterThan">
      <formula>1</formula>
    </cfRule>
    <cfRule type="cellIs" dxfId="12134" priority="2392" operator="lessThan">
      <formula>0.8</formula>
    </cfRule>
  </conditionalFormatting>
  <conditionalFormatting sqref="P31:P38">
    <cfRule type="cellIs" dxfId="12133" priority="2390" operator="greaterThan">
      <formula>0</formula>
    </cfRule>
  </conditionalFormatting>
  <conditionalFormatting sqref="P31:P38">
    <cfRule type="cellIs" dxfId="12132" priority="2384" operator="greaterThan">
      <formula>0</formula>
    </cfRule>
  </conditionalFormatting>
  <conditionalFormatting sqref="Q31">
    <cfRule type="cellIs" dxfId="12131" priority="2389" operator="lessThan">
      <formula>0</formula>
    </cfRule>
  </conditionalFormatting>
  <conditionalFormatting sqref="R31">
    <cfRule type="cellIs" dxfId="12130" priority="2387" operator="lessThan">
      <formula>0.8</formula>
    </cfRule>
    <cfRule type="cellIs" dxfId="12129" priority="2388" operator="greaterThan">
      <formula>1</formula>
    </cfRule>
  </conditionalFormatting>
  <conditionalFormatting sqref="R31">
    <cfRule type="cellIs" dxfId="12128" priority="2385" operator="greaterThan">
      <formula>1</formula>
    </cfRule>
    <cfRule type="cellIs" dxfId="12127" priority="2386" operator="lessThan">
      <formula>0.8</formula>
    </cfRule>
  </conditionalFormatting>
  <conditionalFormatting sqref="P31:P38">
    <cfRule type="cellIs" dxfId="12126" priority="2378" operator="greaterThan">
      <formula>0</formula>
    </cfRule>
  </conditionalFormatting>
  <conditionalFormatting sqref="Q31">
    <cfRule type="cellIs" dxfId="12125" priority="2383" operator="lessThan">
      <formula>0</formula>
    </cfRule>
  </conditionalFormatting>
  <conditionalFormatting sqref="R31">
    <cfRule type="cellIs" dxfId="12124" priority="2381" operator="lessThan">
      <formula>0.8</formula>
    </cfRule>
    <cfRule type="cellIs" dxfId="12123" priority="2382" operator="greaterThan">
      <formula>1</formula>
    </cfRule>
  </conditionalFormatting>
  <conditionalFormatting sqref="R31">
    <cfRule type="cellIs" dxfId="12122" priority="2379" operator="greaterThan">
      <formula>1</formula>
    </cfRule>
    <cfRule type="cellIs" dxfId="12121" priority="2380" operator="lessThan">
      <formula>0.8</formula>
    </cfRule>
  </conditionalFormatting>
  <conditionalFormatting sqref="R31">
    <cfRule type="cellIs" dxfId="12120" priority="2375" operator="lessThan">
      <formula>0.8</formula>
    </cfRule>
    <cfRule type="cellIs" dxfId="12119" priority="2376" operator="greaterThan">
      <formula>1</formula>
    </cfRule>
  </conditionalFormatting>
  <conditionalFormatting sqref="R31">
    <cfRule type="cellIs" dxfId="12118" priority="2373" operator="greaterThan">
      <formula>1</formula>
    </cfRule>
    <cfRule type="cellIs" dxfId="12117" priority="2374" operator="lessThan">
      <formula>0.8</formula>
    </cfRule>
  </conditionalFormatting>
  <conditionalFormatting sqref="P31:P38">
    <cfRule type="cellIs" dxfId="12116" priority="2372" operator="greaterThan">
      <formula>0</formula>
    </cfRule>
  </conditionalFormatting>
  <conditionalFormatting sqref="Q31">
    <cfRule type="cellIs" dxfId="12115" priority="2377" operator="lessThan">
      <formula>0</formula>
    </cfRule>
  </conditionalFormatting>
  <conditionalFormatting sqref="Q31">
    <cfRule type="cellIs" dxfId="12114" priority="2371" operator="lessThan">
      <formula>0</formula>
    </cfRule>
  </conditionalFormatting>
  <conditionalFormatting sqref="R31">
    <cfRule type="cellIs" dxfId="12113" priority="2369" operator="lessThan">
      <formula>0.8</formula>
    </cfRule>
    <cfRule type="cellIs" dxfId="12112" priority="2370" operator="greaterThan">
      <formula>1</formula>
    </cfRule>
  </conditionalFormatting>
  <conditionalFormatting sqref="R31">
    <cfRule type="cellIs" dxfId="12111" priority="2367" operator="greaterThan">
      <formula>1</formula>
    </cfRule>
    <cfRule type="cellIs" dxfId="12110" priority="2368" operator="lessThan">
      <formula>0.8</formula>
    </cfRule>
  </conditionalFormatting>
  <conditionalFormatting sqref="P31:P38">
    <cfRule type="cellIs" dxfId="12109" priority="2366" operator="greaterThan">
      <formula>0</formula>
    </cfRule>
  </conditionalFormatting>
  <conditionalFormatting sqref="P31:P38">
    <cfRule type="cellIs" dxfId="12108" priority="2360" operator="greaterThan">
      <formula>0</formula>
    </cfRule>
  </conditionalFormatting>
  <conditionalFormatting sqref="Q31">
    <cfRule type="cellIs" dxfId="12107" priority="2365" operator="lessThan">
      <formula>0</formula>
    </cfRule>
  </conditionalFormatting>
  <conditionalFormatting sqref="R31">
    <cfRule type="cellIs" dxfId="12106" priority="2363" operator="lessThan">
      <formula>0.8</formula>
    </cfRule>
    <cfRule type="cellIs" dxfId="12105" priority="2364" operator="greaterThan">
      <formula>1</formula>
    </cfRule>
  </conditionalFormatting>
  <conditionalFormatting sqref="R31">
    <cfRule type="cellIs" dxfId="12104" priority="2361" operator="greaterThan">
      <formula>1</formula>
    </cfRule>
    <cfRule type="cellIs" dxfId="12103" priority="2362" operator="lessThan">
      <formula>0.8</formula>
    </cfRule>
  </conditionalFormatting>
  <conditionalFormatting sqref="P31:P38">
    <cfRule type="cellIs" dxfId="12102" priority="2354" operator="greaterThan">
      <formula>0</formula>
    </cfRule>
  </conditionalFormatting>
  <conditionalFormatting sqref="Q31">
    <cfRule type="cellIs" dxfId="12101" priority="2359" operator="lessThan">
      <formula>0</formula>
    </cfRule>
  </conditionalFormatting>
  <conditionalFormatting sqref="R31">
    <cfRule type="cellIs" dxfId="12100" priority="2357" operator="lessThan">
      <formula>0.8</formula>
    </cfRule>
    <cfRule type="cellIs" dxfId="12099" priority="2358" operator="greaterThan">
      <formula>1</formula>
    </cfRule>
  </conditionalFormatting>
  <conditionalFormatting sqref="R31">
    <cfRule type="cellIs" dxfId="12098" priority="2355" operator="greaterThan">
      <formula>1</formula>
    </cfRule>
    <cfRule type="cellIs" dxfId="12097" priority="2356" operator="lessThan">
      <formula>0.8</formula>
    </cfRule>
  </conditionalFormatting>
  <conditionalFormatting sqref="R31">
    <cfRule type="cellIs" dxfId="12096" priority="2351" operator="lessThan">
      <formula>0.8</formula>
    </cfRule>
    <cfRule type="cellIs" dxfId="12095" priority="2352" operator="greaterThan">
      <formula>1</formula>
    </cfRule>
  </conditionalFormatting>
  <conditionalFormatting sqref="R31">
    <cfRule type="cellIs" dxfId="12094" priority="2349" operator="greaterThan">
      <formula>1</formula>
    </cfRule>
    <cfRule type="cellIs" dxfId="12093" priority="2350" operator="lessThan">
      <formula>0.8</formula>
    </cfRule>
  </conditionalFormatting>
  <conditionalFormatting sqref="P31:P38">
    <cfRule type="cellIs" dxfId="12092" priority="2348" operator="greaterThan">
      <formula>0</formula>
    </cfRule>
  </conditionalFormatting>
  <conditionalFormatting sqref="Q31">
    <cfRule type="cellIs" dxfId="12091" priority="2353" operator="lessThan">
      <formula>0</formula>
    </cfRule>
  </conditionalFormatting>
  <conditionalFormatting sqref="P31:P38">
    <cfRule type="cellIs" dxfId="12090" priority="2342" operator="greaterThan">
      <formula>0</formula>
    </cfRule>
  </conditionalFormatting>
  <conditionalFormatting sqref="Q31">
    <cfRule type="cellIs" dxfId="12089" priority="2347" operator="lessThan">
      <formula>0</formula>
    </cfRule>
  </conditionalFormatting>
  <conditionalFormatting sqref="R31">
    <cfRule type="cellIs" dxfId="12088" priority="2345" operator="lessThan">
      <formula>0.8</formula>
    </cfRule>
    <cfRule type="cellIs" dxfId="12087" priority="2346" operator="greaterThan">
      <formula>1</formula>
    </cfRule>
  </conditionalFormatting>
  <conditionalFormatting sqref="R31">
    <cfRule type="cellIs" dxfId="12086" priority="2343" operator="greaterThan">
      <formula>1</formula>
    </cfRule>
    <cfRule type="cellIs" dxfId="12085" priority="2344" operator="lessThan">
      <formula>0.8</formula>
    </cfRule>
  </conditionalFormatting>
  <conditionalFormatting sqref="R31">
    <cfRule type="cellIs" dxfId="12084" priority="2339" operator="lessThan">
      <formula>0.8</formula>
    </cfRule>
    <cfRule type="cellIs" dxfId="12083" priority="2340" operator="greaterThan">
      <formula>1</formula>
    </cfRule>
  </conditionalFormatting>
  <conditionalFormatting sqref="R31">
    <cfRule type="cellIs" dxfId="12082" priority="2337" operator="greaterThan">
      <formula>1</formula>
    </cfRule>
    <cfRule type="cellIs" dxfId="12081" priority="2338" operator="lessThan">
      <formula>0.8</formula>
    </cfRule>
  </conditionalFormatting>
  <conditionalFormatting sqref="P31:P38">
    <cfRule type="cellIs" dxfId="12080" priority="2336" operator="greaterThan">
      <formula>0</formula>
    </cfRule>
  </conditionalFormatting>
  <conditionalFormatting sqref="Q31">
    <cfRule type="cellIs" dxfId="12079" priority="2341" operator="lessThan">
      <formula>0</formula>
    </cfRule>
  </conditionalFormatting>
  <conditionalFormatting sqref="R31">
    <cfRule type="cellIs" dxfId="12078" priority="2333" operator="lessThan">
      <formula>0.8</formula>
    </cfRule>
    <cfRule type="cellIs" dxfId="12077" priority="2334" operator="greaterThan">
      <formula>1</formula>
    </cfRule>
  </conditionalFormatting>
  <conditionalFormatting sqref="R31">
    <cfRule type="cellIs" dxfId="12076" priority="2331" operator="greaterThan">
      <formula>1</formula>
    </cfRule>
    <cfRule type="cellIs" dxfId="12075" priority="2332" operator="lessThan">
      <formula>0.8</formula>
    </cfRule>
  </conditionalFormatting>
  <conditionalFormatting sqref="P31:P38">
    <cfRule type="cellIs" dxfId="12074" priority="2330" operator="greaterThan">
      <formula>0</formula>
    </cfRule>
  </conditionalFormatting>
  <conditionalFormatting sqref="Q31">
    <cfRule type="cellIs" dxfId="12073" priority="2335" operator="lessThan">
      <formula>0</formula>
    </cfRule>
  </conditionalFormatting>
  <conditionalFormatting sqref="Q31">
    <cfRule type="cellIs" dxfId="12072" priority="2329" operator="lessThan">
      <formula>0</formula>
    </cfRule>
  </conditionalFormatting>
  <conditionalFormatting sqref="R31">
    <cfRule type="cellIs" dxfId="12071" priority="2327" operator="lessThan">
      <formula>0.8</formula>
    </cfRule>
    <cfRule type="cellIs" dxfId="12070" priority="2328" operator="greaterThan">
      <formula>1</formula>
    </cfRule>
  </conditionalFormatting>
  <conditionalFormatting sqref="R31">
    <cfRule type="cellIs" dxfId="12069" priority="2325" operator="greaterThan">
      <formula>1</formula>
    </cfRule>
    <cfRule type="cellIs" dxfId="12068" priority="2326" operator="lessThan">
      <formula>0.8</formula>
    </cfRule>
  </conditionalFormatting>
  <conditionalFormatting sqref="P31:P38">
    <cfRule type="cellIs" dxfId="12067" priority="2324" operator="greaterThan">
      <formula>0</formula>
    </cfRule>
  </conditionalFormatting>
  <conditionalFormatting sqref="Q31">
    <cfRule type="cellIs" dxfId="12066" priority="2318" operator="lessThan">
      <formula>0</formula>
    </cfRule>
  </conditionalFormatting>
  <conditionalFormatting sqref="R31">
    <cfRule type="cellIs" dxfId="12065" priority="2322" operator="lessThan">
      <formula>0.8</formula>
    </cfRule>
    <cfRule type="cellIs" dxfId="12064" priority="2323" operator="greaterThan">
      <formula>1</formula>
    </cfRule>
  </conditionalFormatting>
  <conditionalFormatting sqref="R31">
    <cfRule type="cellIs" dxfId="12063" priority="2320" operator="greaterThan">
      <formula>1</formula>
    </cfRule>
    <cfRule type="cellIs" dxfId="12062" priority="2321" operator="lessThan">
      <formula>0.8</formula>
    </cfRule>
  </conditionalFormatting>
  <conditionalFormatting sqref="P31:P38">
    <cfRule type="cellIs" dxfId="12061" priority="2319" operator="greaterThan">
      <formula>0</formula>
    </cfRule>
  </conditionalFormatting>
  <conditionalFormatting sqref="Q31">
    <cfRule type="cellIs" dxfId="12060" priority="2317" operator="lessThan">
      <formula>0</formula>
    </cfRule>
  </conditionalFormatting>
  <conditionalFormatting sqref="R31">
    <cfRule type="cellIs" dxfId="12059" priority="2315" operator="lessThan">
      <formula>0.8</formula>
    </cfRule>
    <cfRule type="cellIs" dxfId="12058" priority="2316" operator="greaterThan">
      <formula>1</formula>
    </cfRule>
  </conditionalFormatting>
  <conditionalFormatting sqref="R31">
    <cfRule type="cellIs" dxfId="12057" priority="2313" operator="greaterThan">
      <formula>1</formula>
    </cfRule>
    <cfRule type="cellIs" dxfId="12056" priority="2314" operator="lessThan">
      <formula>0.8</formula>
    </cfRule>
  </conditionalFormatting>
  <conditionalFormatting sqref="P31:P38">
    <cfRule type="cellIs" dxfId="12055" priority="2312" operator="greaterThan">
      <formula>0</formula>
    </cfRule>
  </conditionalFormatting>
  <conditionalFormatting sqref="Q31">
    <cfRule type="cellIs" dxfId="12054" priority="2311" operator="lessThan">
      <formula>0</formula>
    </cfRule>
  </conditionalFormatting>
  <conditionalFormatting sqref="R31">
    <cfRule type="cellIs" dxfId="12053" priority="2309" operator="lessThan">
      <formula>0.8</formula>
    </cfRule>
    <cfRule type="cellIs" dxfId="12052" priority="2310" operator="greaterThan">
      <formula>1</formula>
    </cfRule>
  </conditionalFormatting>
  <conditionalFormatting sqref="R31">
    <cfRule type="cellIs" dxfId="12051" priority="2307" operator="greaterThan">
      <formula>1</formula>
    </cfRule>
    <cfRule type="cellIs" dxfId="12050" priority="2308" operator="lessThan">
      <formula>0.8</formula>
    </cfRule>
  </conditionalFormatting>
  <conditionalFormatting sqref="P31:P38">
    <cfRule type="cellIs" dxfId="12049" priority="2306" operator="greaterThan">
      <formula>0</formula>
    </cfRule>
  </conditionalFormatting>
  <conditionalFormatting sqref="Q31">
    <cfRule type="cellIs" dxfId="12048" priority="2305" operator="lessThan">
      <formula>0</formula>
    </cfRule>
  </conditionalFormatting>
  <conditionalFormatting sqref="R31">
    <cfRule type="cellIs" dxfId="12047" priority="2303" operator="lessThan">
      <formula>0.8</formula>
    </cfRule>
    <cfRule type="cellIs" dxfId="12046" priority="2304" operator="greaterThan">
      <formula>1</formula>
    </cfRule>
  </conditionalFormatting>
  <conditionalFormatting sqref="R31">
    <cfRule type="cellIs" dxfId="12045" priority="2301" operator="greaterThan">
      <formula>1</formula>
    </cfRule>
    <cfRule type="cellIs" dxfId="12044" priority="2302" operator="lessThan">
      <formula>0.8</formula>
    </cfRule>
  </conditionalFormatting>
  <conditionalFormatting sqref="P31:P38">
    <cfRule type="cellIs" dxfId="12043" priority="2300" operator="greaterThan">
      <formula>0</formula>
    </cfRule>
  </conditionalFormatting>
  <conditionalFormatting sqref="Q31">
    <cfRule type="cellIs" dxfId="12042" priority="2299" operator="lessThan">
      <formula>0</formula>
    </cfRule>
  </conditionalFormatting>
  <conditionalFormatting sqref="R31">
    <cfRule type="cellIs" dxfId="12041" priority="2297" operator="lessThan">
      <formula>0.8</formula>
    </cfRule>
    <cfRule type="cellIs" dxfId="12040" priority="2298" operator="greaterThan">
      <formula>1</formula>
    </cfRule>
  </conditionalFormatting>
  <conditionalFormatting sqref="R31">
    <cfRule type="cellIs" dxfId="12039" priority="2295" operator="greaterThan">
      <formula>1</formula>
    </cfRule>
    <cfRule type="cellIs" dxfId="12038" priority="2296" operator="lessThan">
      <formula>0.8</formula>
    </cfRule>
  </conditionalFormatting>
  <conditionalFormatting sqref="P31:P38">
    <cfRule type="cellIs" dxfId="12037" priority="2294" operator="greaterThan">
      <formula>0</formula>
    </cfRule>
  </conditionalFormatting>
  <conditionalFormatting sqref="Q31">
    <cfRule type="cellIs" dxfId="12036" priority="2293" operator="lessThan">
      <formula>0</formula>
    </cfRule>
  </conditionalFormatting>
  <conditionalFormatting sqref="R31">
    <cfRule type="cellIs" dxfId="12035" priority="2291" operator="lessThan">
      <formula>0.8</formula>
    </cfRule>
    <cfRule type="cellIs" dxfId="12034" priority="2292" operator="greaterThan">
      <formula>1</formula>
    </cfRule>
  </conditionalFormatting>
  <conditionalFormatting sqref="R31">
    <cfRule type="cellIs" dxfId="12033" priority="2289" operator="greaterThan">
      <formula>1</formula>
    </cfRule>
    <cfRule type="cellIs" dxfId="12032" priority="2290" operator="lessThan">
      <formula>0.8</formula>
    </cfRule>
  </conditionalFormatting>
  <conditionalFormatting sqref="P31:P38">
    <cfRule type="cellIs" dxfId="12031" priority="2288" operator="greaterThan">
      <formula>0</formula>
    </cfRule>
  </conditionalFormatting>
  <conditionalFormatting sqref="P31:P38">
    <cfRule type="cellIs" dxfId="12030" priority="2282" operator="greaterThan">
      <formula>0</formula>
    </cfRule>
  </conditionalFormatting>
  <conditionalFormatting sqref="Q31">
    <cfRule type="cellIs" dxfId="12029" priority="2287" operator="lessThan">
      <formula>0</formula>
    </cfRule>
  </conditionalFormatting>
  <conditionalFormatting sqref="R31">
    <cfRule type="cellIs" dxfId="12028" priority="2285" operator="lessThan">
      <formula>0.8</formula>
    </cfRule>
    <cfRule type="cellIs" dxfId="12027" priority="2286" operator="greaterThan">
      <formula>1</formula>
    </cfRule>
  </conditionalFormatting>
  <conditionalFormatting sqref="R31">
    <cfRule type="cellIs" dxfId="12026" priority="2283" operator="greaterThan">
      <formula>1</formula>
    </cfRule>
    <cfRule type="cellIs" dxfId="12025" priority="2284" operator="lessThan">
      <formula>0.8</formula>
    </cfRule>
  </conditionalFormatting>
  <conditionalFormatting sqref="P31:P38">
    <cfRule type="cellIs" dxfId="12024" priority="2276" operator="greaterThan">
      <formula>0</formula>
    </cfRule>
  </conditionalFormatting>
  <conditionalFormatting sqref="Q31">
    <cfRule type="cellIs" dxfId="12023" priority="2281" operator="lessThan">
      <formula>0</formula>
    </cfRule>
  </conditionalFormatting>
  <conditionalFormatting sqref="R31">
    <cfRule type="cellIs" dxfId="12022" priority="2279" operator="lessThan">
      <formula>0.8</formula>
    </cfRule>
    <cfRule type="cellIs" dxfId="12021" priority="2280" operator="greaterThan">
      <formula>1</formula>
    </cfRule>
  </conditionalFormatting>
  <conditionalFormatting sqref="R31">
    <cfRule type="cellIs" dxfId="12020" priority="2277" operator="greaterThan">
      <formula>1</formula>
    </cfRule>
    <cfRule type="cellIs" dxfId="12019" priority="2278" operator="lessThan">
      <formula>0.8</formula>
    </cfRule>
  </conditionalFormatting>
  <conditionalFormatting sqref="R31">
    <cfRule type="cellIs" dxfId="12018" priority="2273" operator="lessThan">
      <formula>0.8</formula>
    </cfRule>
    <cfRule type="cellIs" dxfId="12017" priority="2274" operator="greaterThan">
      <formula>1</formula>
    </cfRule>
  </conditionalFormatting>
  <conditionalFormatting sqref="R31">
    <cfRule type="cellIs" dxfId="12016" priority="2271" operator="greaterThan">
      <formula>1</formula>
    </cfRule>
    <cfRule type="cellIs" dxfId="12015" priority="2272" operator="lessThan">
      <formula>0.8</formula>
    </cfRule>
  </conditionalFormatting>
  <conditionalFormatting sqref="P31:P38">
    <cfRule type="cellIs" dxfId="12014" priority="2270" operator="greaterThan">
      <formula>0</formula>
    </cfRule>
  </conditionalFormatting>
  <conditionalFormatting sqref="Q31">
    <cfRule type="cellIs" dxfId="12013" priority="2275" operator="lessThan">
      <formula>0</formula>
    </cfRule>
  </conditionalFormatting>
  <conditionalFormatting sqref="P79">
    <cfRule type="cellIs" dxfId="12012" priority="2264" operator="greaterThan">
      <formula>0</formula>
    </cfRule>
  </conditionalFormatting>
  <conditionalFormatting sqref="Q79">
    <cfRule type="cellIs" dxfId="12011" priority="2269" operator="lessThan">
      <formula>0</formula>
    </cfRule>
  </conditionalFormatting>
  <conditionalFormatting sqref="R79">
    <cfRule type="cellIs" dxfId="12010" priority="2267" operator="lessThan">
      <formula>0.8</formula>
    </cfRule>
    <cfRule type="cellIs" dxfId="12009" priority="2268" operator="greaterThan">
      <formula>1</formula>
    </cfRule>
  </conditionalFormatting>
  <conditionalFormatting sqref="R79">
    <cfRule type="cellIs" dxfId="12008" priority="2265" operator="greaterThan">
      <formula>1</formula>
    </cfRule>
    <cfRule type="cellIs" dxfId="12007" priority="2266" operator="lessThan">
      <formula>0.8</formula>
    </cfRule>
  </conditionalFormatting>
  <conditionalFormatting sqref="Q79">
    <cfRule type="cellIs" dxfId="12006" priority="2263" operator="lessThan">
      <formula>0</formula>
    </cfRule>
  </conditionalFormatting>
  <conditionalFormatting sqref="R79">
    <cfRule type="cellIs" dxfId="12005" priority="2261" operator="lessThan">
      <formula>0.8</formula>
    </cfRule>
    <cfRule type="cellIs" dxfId="12004" priority="2262" operator="greaterThan">
      <formula>1</formula>
    </cfRule>
  </conditionalFormatting>
  <conditionalFormatting sqref="R79">
    <cfRule type="cellIs" dxfId="12003" priority="2259" operator="greaterThan">
      <formula>1</formula>
    </cfRule>
    <cfRule type="cellIs" dxfId="12002" priority="2260" operator="lessThan">
      <formula>0.8</formula>
    </cfRule>
  </conditionalFormatting>
  <conditionalFormatting sqref="P79">
    <cfRule type="cellIs" dxfId="12001" priority="2258" operator="greaterThan">
      <formula>0</formula>
    </cfRule>
  </conditionalFormatting>
  <conditionalFormatting sqref="P79">
    <cfRule type="cellIs" dxfId="12000" priority="2252" operator="greaterThan">
      <formula>0</formula>
    </cfRule>
  </conditionalFormatting>
  <conditionalFormatting sqref="Q79">
    <cfRule type="cellIs" dxfId="11999" priority="2257" operator="lessThan">
      <formula>0</formula>
    </cfRule>
  </conditionalFormatting>
  <conditionalFormatting sqref="R79">
    <cfRule type="cellIs" dxfId="11998" priority="2255" operator="lessThan">
      <formula>0.8</formula>
    </cfRule>
    <cfRule type="cellIs" dxfId="11997" priority="2256" operator="greaterThan">
      <formula>1</formula>
    </cfRule>
  </conditionalFormatting>
  <conditionalFormatting sqref="R79">
    <cfRule type="cellIs" dxfId="11996" priority="2253" operator="greaterThan">
      <formula>1</formula>
    </cfRule>
    <cfRule type="cellIs" dxfId="11995" priority="2254" operator="lessThan">
      <formula>0.8</formula>
    </cfRule>
  </conditionalFormatting>
  <conditionalFormatting sqref="Q79">
    <cfRule type="cellIs" dxfId="11994" priority="2246" operator="lessThan">
      <formula>0</formula>
    </cfRule>
  </conditionalFormatting>
  <conditionalFormatting sqref="P79">
    <cfRule type="cellIs" dxfId="11993" priority="2247" operator="greaterThan">
      <formula>0</formula>
    </cfRule>
  </conditionalFormatting>
  <conditionalFormatting sqref="R79">
    <cfRule type="cellIs" dxfId="11992" priority="2250" operator="lessThan">
      <formula>0.8</formula>
    </cfRule>
    <cfRule type="cellIs" dxfId="11991" priority="2251" operator="greaterThan">
      <formula>1</formula>
    </cfRule>
  </conditionalFormatting>
  <conditionalFormatting sqref="R79">
    <cfRule type="cellIs" dxfId="11990" priority="2248" operator="greaterThan">
      <formula>1</formula>
    </cfRule>
    <cfRule type="cellIs" dxfId="11989" priority="2249" operator="lessThan">
      <formula>0.8</formula>
    </cfRule>
  </conditionalFormatting>
  <conditionalFormatting sqref="Q79">
    <cfRule type="cellIs" dxfId="11988" priority="2240" operator="lessThan">
      <formula>0</formula>
    </cfRule>
  </conditionalFormatting>
  <conditionalFormatting sqref="R79">
    <cfRule type="cellIs" dxfId="11987" priority="2244" operator="lessThan">
      <formula>0.8</formula>
    </cfRule>
    <cfRule type="cellIs" dxfId="11986" priority="2245" operator="greaterThan">
      <formula>1</formula>
    </cfRule>
  </conditionalFormatting>
  <conditionalFormatting sqref="R79">
    <cfRule type="cellIs" dxfId="11985" priority="2242" operator="greaterThan">
      <formula>1</formula>
    </cfRule>
    <cfRule type="cellIs" dxfId="11984" priority="2243" operator="lessThan">
      <formula>0.8</formula>
    </cfRule>
  </conditionalFormatting>
  <conditionalFormatting sqref="P79">
    <cfRule type="cellIs" dxfId="11983" priority="2241" operator="greaterThan">
      <formula>0</formula>
    </cfRule>
  </conditionalFormatting>
  <conditionalFormatting sqref="Q79">
    <cfRule type="cellIs" dxfId="11982" priority="2239" operator="lessThan">
      <formula>0</formula>
    </cfRule>
  </conditionalFormatting>
  <conditionalFormatting sqref="R79">
    <cfRule type="cellIs" dxfId="11981" priority="2237" operator="lessThan">
      <formula>0.8</formula>
    </cfRule>
    <cfRule type="cellIs" dxfId="11980" priority="2238" operator="greaterThan">
      <formula>1</formula>
    </cfRule>
  </conditionalFormatting>
  <conditionalFormatting sqref="R79">
    <cfRule type="cellIs" dxfId="11979" priority="2235" operator="greaterThan">
      <formula>1</formula>
    </cfRule>
    <cfRule type="cellIs" dxfId="11978" priority="2236" operator="lessThan">
      <formula>0.8</formula>
    </cfRule>
  </conditionalFormatting>
  <conditionalFormatting sqref="P79">
    <cfRule type="cellIs" dxfId="11977" priority="2234" operator="greaterThan">
      <formula>0</formula>
    </cfRule>
  </conditionalFormatting>
  <conditionalFormatting sqref="Q79">
    <cfRule type="cellIs" dxfId="11976" priority="2233" operator="lessThan">
      <formula>0</formula>
    </cfRule>
  </conditionalFormatting>
  <conditionalFormatting sqref="R79">
    <cfRule type="cellIs" dxfId="11975" priority="2231" operator="lessThan">
      <formula>0.8</formula>
    </cfRule>
    <cfRule type="cellIs" dxfId="11974" priority="2232" operator="greaterThan">
      <formula>1</formula>
    </cfRule>
  </conditionalFormatting>
  <conditionalFormatting sqref="R79">
    <cfRule type="cellIs" dxfId="11973" priority="2229" operator="greaterThan">
      <formula>1</formula>
    </cfRule>
    <cfRule type="cellIs" dxfId="11972" priority="2230" operator="lessThan">
      <formula>0.8</formula>
    </cfRule>
  </conditionalFormatting>
  <conditionalFormatting sqref="P79">
    <cfRule type="cellIs" dxfId="11971" priority="2228" operator="greaterThan">
      <formula>0</formula>
    </cfRule>
  </conditionalFormatting>
  <conditionalFormatting sqref="P79">
    <cfRule type="cellIs" dxfId="11970" priority="2222" operator="greaterThan">
      <formula>0</formula>
    </cfRule>
  </conditionalFormatting>
  <conditionalFormatting sqref="Q79">
    <cfRule type="cellIs" dxfId="11969" priority="2227" operator="lessThan">
      <formula>0</formula>
    </cfRule>
  </conditionalFormatting>
  <conditionalFormatting sqref="R79">
    <cfRule type="cellIs" dxfId="11968" priority="2225" operator="lessThan">
      <formula>0.8</formula>
    </cfRule>
    <cfRule type="cellIs" dxfId="11967" priority="2226" operator="greaterThan">
      <formula>1</formula>
    </cfRule>
  </conditionalFormatting>
  <conditionalFormatting sqref="R79">
    <cfRule type="cellIs" dxfId="11966" priority="2223" operator="greaterThan">
      <formula>1</formula>
    </cfRule>
    <cfRule type="cellIs" dxfId="11965" priority="2224" operator="lessThan">
      <formula>0.8</formula>
    </cfRule>
  </conditionalFormatting>
  <conditionalFormatting sqref="P71:P78">
    <cfRule type="cellIs" dxfId="11964" priority="2216" operator="greaterThan">
      <formula>0</formula>
    </cfRule>
  </conditionalFormatting>
  <conditionalFormatting sqref="Q71:Q78">
    <cfRule type="cellIs" dxfId="11963" priority="2221" operator="lessThan">
      <formula>0</formula>
    </cfRule>
  </conditionalFormatting>
  <conditionalFormatting sqref="R71:R78">
    <cfRule type="cellIs" dxfId="11962" priority="2219" operator="lessThan">
      <formula>0.8</formula>
    </cfRule>
    <cfRule type="cellIs" dxfId="11961" priority="2220" operator="greaterThan">
      <formula>1</formula>
    </cfRule>
  </conditionalFormatting>
  <conditionalFormatting sqref="R71:R78">
    <cfRule type="cellIs" dxfId="11960" priority="2217" operator="greaterThan">
      <formula>1</formula>
    </cfRule>
    <cfRule type="cellIs" dxfId="11959" priority="2218" operator="lessThan">
      <formula>0.8</formula>
    </cfRule>
  </conditionalFormatting>
  <conditionalFormatting sqref="Q148:Q154">
    <cfRule type="cellIs" dxfId="11958" priority="2215" operator="lessThan">
      <formula>0</formula>
    </cfRule>
  </conditionalFormatting>
  <conditionalFormatting sqref="R148:R154">
    <cfRule type="cellIs" dxfId="11957" priority="2213" operator="lessThan">
      <formula>0.8</formula>
    </cfRule>
    <cfRule type="cellIs" dxfId="11956" priority="2214" operator="greaterThan">
      <formula>1</formula>
    </cfRule>
  </conditionalFormatting>
  <conditionalFormatting sqref="R148:R154">
    <cfRule type="cellIs" dxfId="11955" priority="2211" operator="greaterThan">
      <formula>1</formula>
    </cfRule>
    <cfRule type="cellIs" dxfId="11954" priority="2212" operator="lessThan">
      <formula>0.8</formula>
    </cfRule>
  </conditionalFormatting>
  <conditionalFormatting sqref="P148:P154">
    <cfRule type="cellIs" dxfId="11953" priority="2210" operator="greaterThan">
      <formula>0</formula>
    </cfRule>
  </conditionalFormatting>
  <conditionalFormatting sqref="Q148:Q154">
    <cfRule type="cellIs" dxfId="11952" priority="2209" operator="lessThan">
      <formula>0</formula>
    </cfRule>
  </conditionalFormatting>
  <conditionalFormatting sqref="R148:R154">
    <cfRule type="cellIs" dxfId="11951" priority="2207" operator="lessThan">
      <formula>0.8</formula>
    </cfRule>
    <cfRule type="cellIs" dxfId="11950" priority="2208" operator="greaterThan">
      <formula>1</formula>
    </cfRule>
  </conditionalFormatting>
  <conditionalFormatting sqref="R148:R154">
    <cfRule type="cellIs" dxfId="11949" priority="2205" operator="greaterThan">
      <formula>1</formula>
    </cfRule>
    <cfRule type="cellIs" dxfId="11948" priority="2206" operator="lessThan">
      <formula>0.8</formula>
    </cfRule>
  </conditionalFormatting>
  <conditionalFormatting sqref="P148:P154">
    <cfRule type="cellIs" dxfId="11947" priority="2204" operator="greaterThan">
      <formula>0</formula>
    </cfRule>
  </conditionalFormatting>
  <conditionalFormatting sqref="Q148:Q154">
    <cfRule type="cellIs" dxfId="11946" priority="2203" operator="lessThan">
      <formula>0</formula>
    </cfRule>
  </conditionalFormatting>
  <conditionalFormatting sqref="R148:R154">
    <cfRule type="cellIs" dxfId="11945" priority="2201" operator="lessThan">
      <formula>0.8</formula>
    </cfRule>
    <cfRule type="cellIs" dxfId="11944" priority="2202" operator="greaterThan">
      <formula>1</formula>
    </cfRule>
  </conditionalFormatting>
  <conditionalFormatting sqref="R148:R154">
    <cfRule type="cellIs" dxfId="11943" priority="2199" operator="greaterThan">
      <formula>1</formula>
    </cfRule>
    <cfRule type="cellIs" dxfId="11942" priority="2200" operator="lessThan">
      <formula>0.8</formula>
    </cfRule>
  </conditionalFormatting>
  <conditionalFormatting sqref="P148:P154">
    <cfRule type="cellIs" dxfId="11941" priority="2198" operator="greaterThan">
      <formula>0</formula>
    </cfRule>
  </conditionalFormatting>
  <conditionalFormatting sqref="Q148:Q154">
    <cfRule type="cellIs" dxfId="11940" priority="2197" operator="lessThan">
      <formula>0</formula>
    </cfRule>
  </conditionalFormatting>
  <conditionalFormatting sqref="R148:R154">
    <cfRule type="cellIs" dxfId="11939" priority="2195" operator="lessThan">
      <formula>0.8</formula>
    </cfRule>
    <cfRule type="cellIs" dxfId="11938" priority="2196" operator="greaterThan">
      <formula>1</formula>
    </cfRule>
  </conditionalFormatting>
  <conditionalFormatting sqref="R148:R154">
    <cfRule type="cellIs" dxfId="11937" priority="2193" operator="greaterThan">
      <formula>1</formula>
    </cfRule>
    <cfRule type="cellIs" dxfId="11936" priority="2194" operator="lessThan">
      <formula>0.8</formula>
    </cfRule>
  </conditionalFormatting>
  <conditionalFormatting sqref="P148:P154">
    <cfRule type="cellIs" dxfId="11935" priority="2192" operator="greaterThan">
      <formula>0</formula>
    </cfRule>
  </conditionalFormatting>
  <conditionalFormatting sqref="P148:P154">
    <cfRule type="cellIs" dxfId="11934" priority="2186" operator="greaterThan">
      <formula>0</formula>
    </cfRule>
  </conditionalFormatting>
  <conditionalFormatting sqref="Q148:Q154">
    <cfRule type="cellIs" dxfId="11933" priority="2191" operator="lessThan">
      <formula>0</formula>
    </cfRule>
  </conditionalFormatting>
  <conditionalFormatting sqref="R148:R154">
    <cfRule type="cellIs" dxfId="11932" priority="2189" operator="lessThan">
      <formula>0.8</formula>
    </cfRule>
    <cfRule type="cellIs" dxfId="11931" priority="2190" operator="greaterThan">
      <formula>1</formula>
    </cfRule>
  </conditionalFormatting>
  <conditionalFormatting sqref="R148:R154">
    <cfRule type="cellIs" dxfId="11930" priority="2187" operator="greaterThan">
      <formula>1</formula>
    </cfRule>
    <cfRule type="cellIs" dxfId="11929" priority="2188" operator="lessThan">
      <formula>0.8</formula>
    </cfRule>
  </conditionalFormatting>
  <conditionalFormatting sqref="P148:P154">
    <cfRule type="cellIs" dxfId="11928" priority="2180" operator="greaterThan">
      <formula>0</formula>
    </cfRule>
  </conditionalFormatting>
  <conditionalFormatting sqref="Q148:Q154">
    <cfRule type="cellIs" dxfId="11927" priority="2185" operator="lessThan">
      <formula>0</formula>
    </cfRule>
  </conditionalFormatting>
  <conditionalFormatting sqref="R148:R154">
    <cfRule type="cellIs" dxfId="11926" priority="2183" operator="lessThan">
      <formula>0.8</formula>
    </cfRule>
    <cfRule type="cellIs" dxfId="11925" priority="2184" operator="greaterThan">
      <formula>1</formula>
    </cfRule>
  </conditionalFormatting>
  <conditionalFormatting sqref="R148:R154">
    <cfRule type="cellIs" dxfId="11924" priority="2181" operator="greaterThan">
      <formula>1</formula>
    </cfRule>
    <cfRule type="cellIs" dxfId="11923" priority="2182" operator="lessThan">
      <formula>0.8</formula>
    </cfRule>
  </conditionalFormatting>
  <conditionalFormatting sqref="R148:R154">
    <cfRule type="cellIs" dxfId="11922" priority="2177" operator="lessThan">
      <formula>0.8</formula>
    </cfRule>
    <cfRule type="cellIs" dxfId="11921" priority="2178" operator="greaterThan">
      <formula>1</formula>
    </cfRule>
  </conditionalFormatting>
  <conditionalFormatting sqref="R148:R154">
    <cfRule type="cellIs" dxfId="11920" priority="2175" operator="greaterThan">
      <formula>1</formula>
    </cfRule>
    <cfRule type="cellIs" dxfId="11919" priority="2176" operator="lessThan">
      <formula>0.8</formula>
    </cfRule>
  </conditionalFormatting>
  <conditionalFormatting sqref="P148:P154">
    <cfRule type="cellIs" dxfId="11918" priority="2174" operator="greaterThan">
      <formula>0</formula>
    </cfRule>
  </conditionalFormatting>
  <conditionalFormatting sqref="Q148:Q154">
    <cfRule type="cellIs" dxfId="11917" priority="2179" operator="lessThan">
      <formula>0</formula>
    </cfRule>
  </conditionalFormatting>
  <conditionalFormatting sqref="Q148:Q154">
    <cfRule type="cellIs" dxfId="11916" priority="2173" operator="lessThan">
      <formula>0</formula>
    </cfRule>
  </conditionalFormatting>
  <conditionalFormatting sqref="R148:R154">
    <cfRule type="cellIs" dxfId="11915" priority="2171" operator="lessThan">
      <formula>0.8</formula>
    </cfRule>
    <cfRule type="cellIs" dxfId="11914" priority="2172" operator="greaterThan">
      <formula>1</formula>
    </cfRule>
  </conditionalFormatting>
  <conditionalFormatting sqref="R148:R154">
    <cfRule type="cellIs" dxfId="11913" priority="2169" operator="greaterThan">
      <formula>1</formula>
    </cfRule>
    <cfRule type="cellIs" dxfId="11912" priority="2170" operator="lessThan">
      <formula>0.8</formula>
    </cfRule>
  </conditionalFormatting>
  <conditionalFormatting sqref="P148:P154">
    <cfRule type="cellIs" dxfId="11911" priority="2168" operator="greaterThan">
      <formula>0</formula>
    </cfRule>
  </conditionalFormatting>
  <conditionalFormatting sqref="P148:P154">
    <cfRule type="cellIs" dxfId="11910" priority="2162" operator="greaterThan">
      <formula>0</formula>
    </cfRule>
  </conditionalFormatting>
  <conditionalFormatting sqref="Q148:Q154">
    <cfRule type="cellIs" dxfId="11909" priority="2167" operator="lessThan">
      <formula>0</formula>
    </cfRule>
  </conditionalFormatting>
  <conditionalFormatting sqref="R148:R154">
    <cfRule type="cellIs" dxfId="11908" priority="2165" operator="lessThan">
      <formula>0.8</formula>
    </cfRule>
    <cfRule type="cellIs" dxfId="11907" priority="2166" operator="greaterThan">
      <formula>1</formula>
    </cfRule>
  </conditionalFormatting>
  <conditionalFormatting sqref="R148:R154">
    <cfRule type="cellIs" dxfId="11906" priority="2163" operator="greaterThan">
      <formula>1</formula>
    </cfRule>
    <cfRule type="cellIs" dxfId="11905" priority="2164" operator="lessThan">
      <formula>0.8</formula>
    </cfRule>
  </conditionalFormatting>
  <conditionalFormatting sqref="P148:P154">
    <cfRule type="cellIs" dxfId="11904" priority="2156" operator="greaterThan">
      <formula>0</formula>
    </cfRule>
  </conditionalFormatting>
  <conditionalFormatting sqref="Q148:Q154">
    <cfRule type="cellIs" dxfId="11903" priority="2161" operator="lessThan">
      <formula>0</formula>
    </cfRule>
  </conditionalFormatting>
  <conditionalFormatting sqref="R148:R154">
    <cfRule type="cellIs" dxfId="11902" priority="2159" operator="lessThan">
      <formula>0.8</formula>
    </cfRule>
    <cfRule type="cellIs" dxfId="11901" priority="2160" operator="greaterThan">
      <formula>1</formula>
    </cfRule>
  </conditionalFormatting>
  <conditionalFormatting sqref="R148:R154">
    <cfRule type="cellIs" dxfId="11900" priority="2157" operator="greaterThan">
      <formula>1</formula>
    </cfRule>
    <cfRule type="cellIs" dxfId="11899" priority="2158" operator="lessThan">
      <formula>0.8</formula>
    </cfRule>
  </conditionalFormatting>
  <conditionalFormatting sqref="R148:R154">
    <cfRule type="cellIs" dxfId="11898" priority="2153" operator="lessThan">
      <formula>0.8</formula>
    </cfRule>
    <cfRule type="cellIs" dxfId="11897" priority="2154" operator="greaterThan">
      <formula>1</formula>
    </cfRule>
  </conditionalFormatting>
  <conditionalFormatting sqref="R148:R154">
    <cfRule type="cellIs" dxfId="11896" priority="2151" operator="greaterThan">
      <formula>1</formula>
    </cfRule>
    <cfRule type="cellIs" dxfId="11895" priority="2152" operator="lessThan">
      <formula>0.8</formula>
    </cfRule>
  </conditionalFormatting>
  <conditionalFormatting sqref="P148:P154">
    <cfRule type="cellIs" dxfId="11894" priority="2150" operator="greaterThan">
      <formula>0</formula>
    </cfRule>
  </conditionalFormatting>
  <conditionalFormatting sqref="Q148:Q154">
    <cfRule type="cellIs" dxfId="11893" priority="2155" operator="lessThan">
      <formula>0</formula>
    </cfRule>
  </conditionalFormatting>
  <conditionalFormatting sqref="P148:P154">
    <cfRule type="cellIs" dxfId="11892" priority="2144" operator="greaterThan">
      <formula>0</formula>
    </cfRule>
  </conditionalFormatting>
  <conditionalFormatting sqref="Q148:Q154">
    <cfRule type="cellIs" dxfId="11891" priority="2149" operator="lessThan">
      <formula>0</formula>
    </cfRule>
  </conditionalFormatting>
  <conditionalFormatting sqref="R148:R154">
    <cfRule type="cellIs" dxfId="11890" priority="2147" operator="lessThan">
      <formula>0.8</formula>
    </cfRule>
    <cfRule type="cellIs" dxfId="11889" priority="2148" operator="greaterThan">
      <formula>1</formula>
    </cfRule>
  </conditionalFormatting>
  <conditionalFormatting sqref="R148:R154">
    <cfRule type="cellIs" dxfId="11888" priority="2145" operator="greaterThan">
      <formula>1</formula>
    </cfRule>
    <cfRule type="cellIs" dxfId="11887" priority="2146" operator="lessThan">
      <formula>0.8</formula>
    </cfRule>
  </conditionalFormatting>
  <conditionalFormatting sqref="R148:R154">
    <cfRule type="cellIs" dxfId="11886" priority="2141" operator="lessThan">
      <formula>0.8</formula>
    </cfRule>
    <cfRule type="cellIs" dxfId="11885" priority="2142" operator="greaterThan">
      <formula>1</formula>
    </cfRule>
  </conditionalFormatting>
  <conditionalFormatting sqref="R148:R154">
    <cfRule type="cellIs" dxfId="11884" priority="2139" operator="greaterThan">
      <formula>1</formula>
    </cfRule>
    <cfRule type="cellIs" dxfId="11883" priority="2140" operator="lessThan">
      <formula>0.8</formula>
    </cfRule>
  </conditionalFormatting>
  <conditionalFormatting sqref="P148:P154">
    <cfRule type="cellIs" dxfId="11882" priority="2138" operator="greaterThan">
      <formula>0</formula>
    </cfRule>
  </conditionalFormatting>
  <conditionalFormatting sqref="Q148:Q154">
    <cfRule type="cellIs" dxfId="11881" priority="2143" operator="lessThan">
      <formula>0</formula>
    </cfRule>
  </conditionalFormatting>
  <conditionalFormatting sqref="R148:R154">
    <cfRule type="cellIs" dxfId="11880" priority="2135" operator="lessThan">
      <formula>0.8</formula>
    </cfRule>
    <cfRule type="cellIs" dxfId="11879" priority="2136" operator="greaterThan">
      <formula>1</formula>
    </cfRule>
  </conditionalFormatting>
  <conditionalFormatting sqref="R148:R154">
    <cfRule type="cellIs" dxfId="11878" priority="2133" operator="greaterThan">
      <formula>1</formula>
    </cfRule>
    <cfRule type="cellIs" dxfId="11877" priority="2134" operator="lessThan">
      <formula>0.8</formula>
    </cfRule>
  </conditionalFormatting>
  <conditionalFormatting sqref="P148:P154">
    <cfRule type="cellIs" dxfId="11876" priority="2132" operator="greaterThan">
      <formula>0</formula>
    </cfRule>
  </conditionalFormatting>
  <conditionalFormatting sqref="Q148:Q154">
    <cfRule type="cellIs" dxfId="11875" priority="2137" operator="lessThan">
      <formula>0</formula>
    </cfRule>
  </conditionalFormatting>
  <conditionalFormatting sqref="Q148:Q154">
    <cfRule type="cellIs" dxfId="11874" priority="2131" operator="lessThan">
      <formula>0</formula>
    </cfRule>
  </conditionalFormatting>
  <conditionalFormatting sqref="R148:R154">
    <cfRule type="cellIs" dxfId="11873" priority="2129" operator="lessThan">
      <formula>0.8</formula>
    </cfRule>
    <cfRule type="cellIs" dxfId="11872" priority="2130" operator="greaterThan">
      <formula>1</formula>
    </cfRule>
  </conditionalFormatting>
  <conditionalFormatting sqref="R148:R154">
    <cfRule type="cellIs" dxfId="11871" priority="2127" operator="greaterThan">
      <formula>1</formula>
    </cfRule>
    <cfRule type="cellIs" dxfId="11870" priority="2128" operator="lessThan">
      <formula>0.8</formula>
    </cfRule>
  </conditionalFormatting>
  <conditionalFormatting sqref="P148:P154">
    <cfRule type="cellIs" dxfId="11869" priority="2126" operator="greaterThan">
      <formula>0</formula>
    </cfRule>
  </conditionalFormatting>
  <conditionalFormatting sqref="Q148:Q154">
    <cfRule type="cellIs" dxfId="11868" priority="2120" operator="lessThan">
      <formula>0</formula>
    </cfRule>
  </conditionalFormatting>
  <conditionalFormatting sqref="R148:R154">
    <cfRule type="cellIs" dxfId="11867" priority="2124" operator="lessThan">
      <formula>0.8</formula>
    </cfRule>
    <cfRule type="cellIs" dxfId="11866" priority="2125" operator="greaterThan">
      <formula>1</formula>
    </cfRule>
  </conditionalFormatting>
  <conditionalFormatting sqref="R148:R154">
    <cfRule type="cellIs" dxfId="11865" priority="2122" operator="greaterThan">
      <formula>1</formula>
    </cfRule>
    <cfRule type="cellIs" dxfId="11864" priority="2123" operator="lessThan">
      <formula>0.8</formula>
    </cfRule>
  </conditionalFormatting>
  <conditionalFormatting sqref="P148:P154">
    <cfRule type="cellIs" dxfId="11863" priority="2121" operator="greaterThan">
      <formula>0</formula>
    </cfRule>
  </conditionalFormatting>
  <conditionalFormatting sqref="Q148:Q154">
    <cfRule type="cellIs" dxfId="11862" priority="2119" operator="lessThan">
      <formula>0</formula>
    </cfRule>
  </conditionalFormatting>
  <conditionalFormatting sqref="R148:R154">
    <cfRule type="cellIs" dxfId="11861" priority="2117" operator="lessThan">
      <formula>0.8</formula>
    </cfRule>
    <cfRule type="cellIs" dxfId="11860" priority="2118" operator="greaterThan">
      <formula>1</formula>
    </cfRule>
  </conditionalFormatting>
  <conditionalFormatting sqref="R148:R154">
    <cfRule type="cellIs" dxfId="11859" priority="2115" operator="greaterThan">
      <formula>1</formula>
    </cfRule>
    <cfRule type="cellIs" dxfId="11858" priority="2116" operator="lessThan">
      <formula>0.8</formula>
    </cfRule>
  </conditionalFormatting>
  <conditionalFormatting sqref="P148:P154">
    <cfRule type="cellIs" dxfId="11857" priority="2114" operator="greaterThan">
      <formula>0</formula>
    </cfRule>
  </conditionalFormatting>
  <conditionalFormatting sqref="Q148:Q154">
    <cfRule type="cellIs" dxfId="11856" priority="2113" operator="lessThan">
      <formula>0</formula>
    </cfRule>
  </conditionalFormatting>
  <conditionalFormatting sqref="R148:R154">
    <cfRule type="cellIs" dxfId="11855" priority="2111" operator="lessThan">
      <formula>0.8</formula>
    </cfRule>
    <cfRule type="cellIs" dxfId="11854" priority="2112" operator="greaterThan">
      <formula>1</formula>
    </cfRule>
  </conditionalFormatting>
  <conditionalFormatting sqref="R148:R154">
    <cfRule type="cellIs" dxfId="11853" priority="2109" operator="greaterThan">
      <formula>1</formula>
    </cfRule>
    <cfRule type="cellIs" dxfId="11852" priority="2110" operator="lessThan">
      <formula>0.8</formula>
    </cfRule>
  </conditionalFormatting>
  <conditionalFormatting sqref="P148:P154">
    <cfRule type="cellIs" dxfId="11851" priority="2108" operator="greaterThan">
      <formula>0</formula>
    </cfRule>
  </conditionalFormatting>
  <conditionalFormatting sqref="Q148:Q154">
    <cfRule type="cellIs" dxfId="11850" priority="2107" operator="lessThan">
      <formula>0</formula>
    </cfRule>
  </conditionalFormatting>
  <conditionalFormatting sqref="R148:R154">
    <cfRule type="cellIs" dxfId="11849" priority="2105" operator="lessThan">
      <formula>0.8</formula>
    </cfRule>
    <cfRule type="cellIs" dxfId="11848" priority="2106" operator="greaterThan">
      <formula>1</formula>
    </cfRule>
  </conditionalFormatting>
  <conditionalFormatting sqref="R148:R154">
    <cfRule type="cellIs" dxfId="11847" priority="2103" operator="greaterThan">
      <formula>1</formula>
    </cfRule>
    <cfRule type="cellIs" dxfId="11846" priority="2104" operator="lessThan">
      <formula>0.8</formula>
    </cfRule>
  </conditionalFormatting>
  <conditionalFormatting sqref="P148:P154">
    <cfRule type="cellIs" dxfId="11845" priority="2102" operator="greaterThan">
      <formula>0</formula>
    </cfRule>
  </conditionalFormatting>
  <conditionalFormatting sqref="Q148:Q154">
    <cfRule type="cellIs" dxfId="11844" priority="2101" operator="lessThan">
      <formula>0</formula>
    </cfRule>
  </conditionalFormatting>
  <conditionalFormatting sqref="R148:R154">
    <cfRule type="cellIs" dxfId="11843" priority="2099" operator="lessThan">
      <formula>0.8</formula>
    </cfRule>
    <cfRule type="cellIs" dxfId="11842" priority="2100" operator="greaterThan">
      <formula>1</formula>
    </cfRule>
  </conditionalFormatting>
  <conditionalFormatting sqref="R148:R154">
    <cfRule type="cellIs" dxfId="11841" priority="2097" operator="greaterThan">
      <formula>1</formula>
    </cfRule>
    <cfRule type="cellIs" dxfId="11840" priority="2098" operator="lessThan">
      <formula>0.8</formula>
    </cfRule>
  </conditionalFormatting>
  <conditionalFormatting sqref="P148:P154">
    <cfRule type="cellIs" dxfId="11839" priority="2096" operator="greaterThan">
      <formula>0</formula>
    </cfRule>
  </conditionalFormatting>
  <conditionalFormatting sqref="Q148:Q154">
    <cfRule type="cellIs" dxfId="11838" priority="2095" operator="lessThan">
      <formula>0</formula>
    </cfRule>
  </conditionalFormatting>
  <conditionalFormatting sqref="R148:R154">
    <cfRule type="cellIs" dxfId="11837" priority="2093" operator="lessThan">
      <formula>0.8</formula>
    </cfRule>
    <cfRule type="cellIs" dxfId="11836" priority="2094" operator="greaterThan">
      <formula>1</formula>
    </cfRule>
  </conditionalFormatting>
  <conditionalFormatting sqref="R148:R154">
    <cfRule type="cellIs" dxfId="11835" priority="2091" operator="greaterThan">
      <formula>1</formula>
    </cfRule>
    <cfRule type="cellIs" dxfId="11834" priority="2092" operator="lessThan">
      <formula>0.8</formula>
    </cfRule>
  </conditionalFormatting>
  <conditionalFormatting sqref="P148:P154">
    <cfRule type="cellIs" dxfId="11833" priority="2090" operator="greaterThan">
      <formula>0</formula>
    </cfRule>
  </conditionalFormatting>
  <conditionalFormatting sqref="P148:P154">
    <cfRule type="cellIs" dxfId="11832" priority="2084" operator="greaterThan">
      <formula>0</formula>
    </cfRule>
  </conditionalFormatting>
  <conditionalFormatting sqref="Q148:Q154">
    <cfRule type="cellIs" dxfId="11831" priority="2089" operator="lessThan">
      <formula>0</formula>
    </cfRule>
  </conditionalFormatting>
  <conditionalFormatting sqref="R148:R154">
    <cfRule type="cellIs" dxfId="11830" priority="2087" operator="lessThan">
      <formula>0.8</formula>
    </cfRule>
    <cfRule type="cellIs" dxfId="11829" priority="2088" operator="greaterThan">
      <formula>1</formula>
    </cfRule>
  </conditionalFormatting>
  <conditionalFormatting sqref="R148:R154">
    <cfRule type="cellIs" dxfId="11828" priority="2085" operator="greaterThan">
      <formula>1</formula>
    </cfRule>
    <cfRule type="cellIs" dxfId="11827" priority="2086" operator="lessThan">
      <formula>0.8</formula>
    </cfRule>
  </conditionalFormatting>
  <conditionalFormatting sqref="P148:P154">
    <cfRule type="cellIs" dxfId="11826" priority="2078" operator="greaterThan">
      <formula>0</formula>
    </cfRule>
  </conditionalFormatting>
  <conditionalFormatting sqref="Q148:Q154">
    <cfRule type="cellIs" dxfId="11825" priority="2083" operator="lessThan">
      <formula>0</formula>
    </cfRule>
  </conditionalFormatting>
  <conditionalFormatting sqref="R148:R154">
    <cfRule type="cellIs" dxfId="11824" priority="2081" operator="lessThan">
      <formula>0.8</formula>
    </cfRule>
    <cfRule type="cellIs" dxfId="11823" priority="2082" operator="greaterThan">
      <formula>1</formula>
    </cfRule>
  </conditionalFormatting>
  <conditionalFormatting sqref="R148:R154">
    <cfRule type="cellIs" dxfId="11822" priority="2079" operator="greaterThan">
      <formula>1</formula>
    </cfRule>
    <cfRule type="cellIs" dxfId="11821" priority="2080" operator="lessThan">
      <formula>0.8</formula>
    </cfRule>
  </conditionalFormatting>
  <conditionalFormatting sqref="R148:R154">
    <cfRule type="cellIs" dxfId="11820" priority="2075" operator="lessThan">
      <formula>0.8</formula>
    </cfRule>
    <cfRule type="cellIs" dxfId="11819" priority="2076" operator="greaterThan">
      <formula>1</formula>
    </cfRule>
  </conditionalFormatting>
  <conditionalFormatting sqref="R148:R154">
    <cfRule type="cellIs" dxfId="11818" priority="2073" operator="greaterThan">
      <formula>1</formula>
    </cfRule>
    <cfRule type="cellIs" dxfId="11817" priority="2074" operator="lessThan">
      <formula>0.8</formula>
    </cfRule>
  </conditionalFormatting>
  <conditionalFormatting sqref="P148:P154">
    <cfRule type="cellIs" dxfId="11816" priority="2072" operator="greaterThan">
      <formula>0</formula>
    </cfRule>
  </conditionalFormatting>
  <conditionalFormatting sqref="Q148:Q154">
    <cfRule type="cellIs" dxfId="11815" priority="2077" operator="lessThan">
      <formula>0</formula>
    </cfRule>
  </conditionalFormatting>
  <conditionalFormatting sqref="Q148:Q154">
    <cfRule type="cellIs" dxfId="11814" priority="2066" operator="lessThan">
      <formula>0</formula>
    </cfRule>
  </conditionalFormatting>
  <conditionalFormatting sqref="P148:P154">
    <cfRule type="cellIs" dxfId="11813" priority="2067" operator="greaterThan">
      <formula>0</formula>
    </cfRule>
  </conditionalFormatting>
  <conditionalFormatting sqref="R148:R154">
    <cfRule type="cellIs" dxfId="11812" priority="2070" operator="lessThan">
      <formula>0.8</formula>
    </cfRule>
    <cfRule type="cellIs" dxfId="11811" priority="2071" operator="greaterThan">
      <formula>1</formula>
    </cfRule>
  </conditionalFormatting>
  <conditionalFormatting sqref="R148:R154">
    <cfRule type="cellIs" dxfId="11810" priority="2068" operator="greaterThan">
      <formula>1</formula>
    </cfRule>
    <cfRule type="cellIs" dxfId="11809" priority="2069" operator="lessThan">
      <formula>0.8</formula>
    </cfRule>
  </conditionalFormatting>
  <conditionalFormatting sqref="Q148:Q154">
    <cfRule type="cellIs" dxfId="11808" priority="2060" operator="lessThan">
      <formula>0</formula>
    </cfRule>
  </conditionalFormatting>
  <conditionalFormatting sqref="R148:R154">
    <cfRule type="cellIs" dxfId="11807" priority="2064" operator="lessThan">
      <formula>0.8</formula>
    </cfRule>
    <cfRule type="cellIs" dxfId="11806" priority="2065" operator="greaterThan">
      <formula>1</formula>
    </cfRule>
  </conditionalFormatting>
  <conditionalFormatting sqref="R148:R154">
    <cfRule type="cellIs" dxfId="11805" priority="2062" operator="greaterThan">
      <formula>1</formula>
    </cfRule>
    <cfRule type="cellIs" dxfId="11804" priority="2063" operator="lessThan">
      <formula>0.8</formula>
    </cfRule>
  </conditionalFormatting>
  <conditionalFormatting sqref="P148:P154">
    <cfRule type="cellIs" dxfId="11803" priority="2061" operator="greaterThan">
      <formula>0</formula>
    </cfRule>
  </conditionalFormatting>
  <conditionalFormatting sqref="Q148:Q154">
    <cfRule type="cellIs" dxfId="11802" priority="2059" operator="lessThan">
      <formula>0</formula>
    </cfRule>
  </conditionalFormatting>
  <conditionalFormatting sqref="R148:R154">
    <cfRule type="cellIs" dxfId="11801" priority="2057" operator="lessThan">
      <formula>0.8</formula>
    </cfRule>
    <cfRule type="cellIs" dxfId="11800" priority="2058" operator="greaterThan">
      <formula>1</formula>
    </cfRule>
  </conditionalFormatting>
  <conditionalFormatting sqref="R148:R154">
    <cfRule type="cellIs" dxfId="11799" priority="2055" operator="greaterThan">
      <formula>1</formula>
    </cfRule>
    <cfRule type="cellIs" dxfId="11798" priority="2056" operator="lessThan">
      <formula>0.8</formula>
    </cfRule>
  </conditionalFormatting>
  <conditionalFormatting sqref="P148:P154">
    <cfRule type="cellIs" dxfId="11797" priority="2054" operator="greaterThan">
      <formula>0</formula>
    </cfRule>
  </conditionalFormatting>
  <conditionalFormatting sqref="Q148:Q154">
    <cfRule type="cellIs" dxfId="11796" priority="2053" operator="lessThan">
      <formula>0</formula>
    </cfRule>
  </conditionalFormatting>
  <conditionalFormatting sqref="R148:R154">
    <cfRule type="cellIs" dxfId="11795" priority="2051" operator="lessThan">
      <formula>0.8</formula>
    </cfRule>
    <cfRule type="cellIs" dxfId="11794" priority="2052" operator="greaterThan">
      <formula>1</formula>
    </cfRule>
  </conditionalFormatting>
  <conditionalFormatting sqref="R148:R154">
    <cfRule type="cellIs" dxfId="11793" priority="2049" operator="greaterThan">
      <formula>1</formula>
    </cfRule>
    <cfRule type="cellIs" dxfId="11792" priority="2050" operator="lessThan">
      <formula>0.8</formula>
    </cfRule>
  </conditionalFormatting>
  <conditionalFormatting sqref="P148:P154">
    <cfRule type="cellIs" dxfId="11791" priority="2048" operator="greaterThan">
      <formula>0</formula>
    </cfRule>
  </conditionalFormatting>
  <conditionalFormatting sqref="Q148:Q154">
    <cfRule type="cellIs" dxfId="11790" priority="2047" operator="lessThan">
      <formula>0</formula>
    </cfRule>
  </conditionalFormatting>
  <conditionalFormatting sqref="R148:R154">
    <cfRule type="cellIs" dxfId="11789" priority="2045" operator="lessThan">
      <formula>0.8</formula>
    </cfRule>
    <cfRule type="cellIs" dxfId="11788" priority="2046" operator="greaterThan">
      <formula>1</formula>
    </cfRule>
  </conditionalFormatting>
  <conditionalFormatting sqref="R148:R154">
    <cfRule type="cellIs" dxfId="11787" priority="2043" operator="greaterThan">
      <formula>1</formula>
    </cfRule>
    <cfRule type="cellIs" dxfId="11786" priority="2044" operator="lessThan">
      <formula>0.8</formula>
    </cfRule>
  </conditionalFormatting>
  <conditionalFormatting sqref="P148:P154">
    <cfRule type="cellIs" dxfId="11785" priority="2042" operator="greaterThan">
      <formula>0</formula>
    </cfRule>
  </conditionalFormatting>
  <conditionalFormatting sqref="Q148:Q154">
    <cfRule type="cellIs" dxfId="11784" priority="2041" operator="lessThan">
      <formula>0</formula>
    </cfRule>
  </conditionalFormatting>
  <conditionalFormatting sqref="R148:R154">
    <cfRule type="cellIs" dxfId="11783" priority="2039" operator="lessThan">
      <formula>0.8</formula>
    </cfRule>
    <cfRule type="cellIs" dxfId="11782" priority="2040" operator="greaterThan">
      <formula>1</formula>
    </cfRule>
  </conditionalFormatting>
  <conditionalFormatting sqref="R148:R154">
    <cfRule type="cellIs" dxfId="11781" priority="2037" operator="greaterThan">
      <formula>1</formula>
    </cfRule>
    <cfRule type="cellIs" dxfId="11780" priority="2038" operator="lessThan">
      <formula>0.8</formula>
    </cfRule>
  </conditionalFormatting>
  <conditionalFormatting sqref="P148:P154">
    <cfRule type="cellIs" dxfId="11779" priority="2036" operator="greaterThan">
      <formula>0</formula>
    </cfRule>
  </conditionalFormatting>
  <conditionalFormatting sqref="Q124 Q127 Q130">
    <cfRule type="cellIs" dxfId="11778" priority="2030" operator="lessThan">
      <formula>0</formula>
    </cfRule>
  </conditionalFormatting>
  <conditionalFormatting sqref="P124 P127 P130">
    <cfRule type="cellIs" dxfId="11777" priority="2031" operator="greaterThan">
      <formula>0</formula>
    </cfRule>
  </conditionalFormatting>
  <conditionalFormatting sqref="R124 R127 R130">
    <cfRule type="cellIs" dxfId="11776" priority="2034" operator="lessThan">
      <formula>0.8</formula>
    </cfRule>
    <cfRule type="cellIs" dxfId="11775" priority="2035" operator="greaterThan">
      <formula>1</formula>
    </cfRule>
  </conditionalFormatting>
  <conditionalFormatting sqref="R124 R127 R130">
    <cfRule type="cellIs" dxfId="11774" priority="2032" operator="greaterThan">
      <formula>1</formula>
    </cfRule>
    <cfRule type="cellIs" dxfId="11773" priority="2033" operator="lessThan">
      <formula>0.8</formula>
    </cfRule>
  </conditionalFormatting>
  <conditionalFormatting sqref="Q124 Q127 Q130">
    <cfRule type="cellIs" dxfId="11772" priority="2024" operator="lessThan">
      <formula>0</formula>
    </cfRule>
  </conditionalFormatting>
  <conditionalFormatting sqref="R124 R127 R130">
    <cfRule type="cellIs" dxfId="11771" priority="2028" operator="lessThan">
      <formula>0.8</formula>
    </cfRule>
    <cfRule type="cellIs" dxfId="11770" priority="2029" operator="greaterThan">
      <formula>1</formula>
    </cfRule>
  </conditionalFormatting>
  <conditionalFormatting sqref="R124 R127 R130">
    <cfRule type="cellIs" dxfId="11769" priority="2026" operator="greaterThan">
      <formula>1</formula>
    </cfRule>
    <cfRule type="cellIs" dxfId="11768" priority="2027" operator="lessThan">
      <formula>0.8</formula>
    </cfRule>
  </conditionalFormatting>
  <conditionalFormatting sqref="P124 P127 P130">
    <cfRule type="cellIs" dxfId="11767" priority="2025" operator="greaterThan">
      <formula>0</formula>
    </cfRule>
  </conditionalFormatting>
  <conditionalFormatting sqref="Q124 Q127 Q130">
    <cfRule type="cellIs" dxfId="11766" priority="2023" operator="lessThan">
      <formula>0</formula>
    </cfRule>
  </conditionalFormatting>
  <conditionalFormatting sqref="R124 R127 R130">
    <cfRule type="cellIs" dxfId="11765" priority="2021" operator="lessThan">
      <formula>0.8</formula>
    </cfRule>
    <cfRule type="cellIs" dxfId="11764" priority="2022" operator="greaterThan">
      <formula>1</formula>
    </cfRule>
  </conditionalFormatting>
  <conditionalFormatting sqref="R124 R127 R130">
    <cfRule type="cellIs" dxfId="11763" priority="2019" operator="greaterThan">
      <formula>1</formula>
    </cfRule>
    <cfRule type="cellIs" dxfId="11762" priority="2020" operator="lessThan">
      <formula>0.8</formula>
    </cfRule>
  </conditionalFormatting>
  <conditionalFormatting sqref="P124 P127 P130">
    <cfRule type="cellIs" dxfId="11761" priority="2018" operator="greaterThan">
      <formula>0</formula>
    </cfRule>
  </conditionalFormatting>
  <conditionalFormatting sqref="Q124 Q127 Q130">
    <cfRule type="cellIs" dxfId="11760" priority="2017" operator="lessThan">
      <formula>0</formula>
    </cfRule>
  </conditionalFormatting>
  <conditionalFormatting sqref="R124 R127 R130">
    <cfRule type="cellIs" dxfId="11759" priority="2015" operator="lessThan">
      <formula>0.8</formula>
    </cfRule>
    <cfRule type="cellIs" dxfId="11758" priority="2016" operator="greaterThan">
      <formula>1</formula>
    </cfRule>
  </conditionalFormatting>
  <conditionalFormatting sqref="R124 R127 R130">
    <cfRule type="cellIs" dxfId="11757" priority="2013" operator="greaterThan">
      <formula>1</formula>
    </cfRule>
    <cfRule type="cellIs" dxfId="11756" priority="2014" operator="lessThan">
      <formula>0.8</formula>
    </cfRule>
  </conditionalFormatting>
  <conditionalFormatting sqref="P124 P127 P130">
    <cfRule type="cellIs" dxfId="11755" priority="2012" operator="greaterThan">
      <formula>0</formula>
    </cfRule>
  </conditionalFormatting>
  <conditionalFormatting sqref="Q124 Q127 Q130">
    <cfRule type="cellIs" dxfId="11754" priority="2011" operator="lessThan">
      <formula>0</formula>
    </cfRule>
  </conditionalFormatting>
  <conditionalFormatting sqref="R124 R127 R130">
    <cfRule type="cellIs" dxfId="11753" priority="2009" operator="lessThan">
      <formula>0.8</formula>
    </cfRule>
    <cfRule type="cellIs" dxfId="11752" priority="2010" operator="greaterThan">
      <formula>1</formula>
    </cfRule>
  </conditionalFormatting>
  <conditionalFormatting sqref="R124 R127 R130">
    <cfRule type="cellIs" dxfId="11751" priority="2007" operator="greaterThan">
      <formula>1</formula>
    </cfRule>
    <cfRule type="cellIs" dxfId="11750" priority="2008" operator="lessThan">
      <formula>0.8</formula>
    </cfRule>
  </conditionalFormatting>
  <conditionalFormatting sqref="P124 P127 P130">
    <cfRule type="cellIs" dxfId="11749" priority="2006" operator="greaterThan">
      <formula>0</formula>
    </cfRule>
  </conditionalFormatting>
  <conditionalFormatting sqref="Q124 Q127 Q130">
    <cfRule type="cellIs" dxfId="11748" priority="2005" operator="lessThan">
      <formula>0</formula>
    </cfRule>
  </conditionalFormatting>
  <conditionalFormatting sqref="R124 R127 R130">
    <cfRule type="cellIs" dxfId="11747" priority="2003" operator="lessThan">
      <formula>0.8</formula>
    </cfRule>
    <cfRule type="cellIs" dxfId="11746" priority="2004" operator="greaterThan">
      <formula>1</formula>
    </cfRule>
  </conditionalFormatting>
  <conditionalFormatting sqref="R124 R127 R130">
    <cfRule type="cellIs" dxfId="11745" priority="2001" operator="greaterThan">
      <formula>1</formula>
    </cfRule>
    <cfRule type="cellIs" dxfId="11744" priority="2002" operator="lessThan">
      <formula>0.8</formula>
    </cfRule>
  </conditionalFormatting>
  <conditionalFormatting sqref="P124 P127 P130">
    <cfRule type="cellIs" dxfId="11743" priority="2000" operator="greaterThan">
      <formula>0</formula>
    </cfRule>
  </conditionalFormatting>
  <conditionalFormatting sqref="Q124 Q127 Q130">
    <cfRule type="cellIs" dxfId="11742" priority="1999" operator="lessThan">
      <formula>0</formula>
    </cfRule>
  </conditionalFormatting>
  <conditionalFormatting sqref="R124 R127 R130">
    <cfRule type="cellIs" dxfId="11741" priority="1997" operator="lessThan">
      <formula>0.8</formula>
    </cfRule>
    <cfRule type="cellIs" dxfId="11740" priority="1998" operator="greaterThan">
      <formula>1</formula>
    </cfRule>
  </conditionalFormatting>
  <conditionalFormatting sqref="R124 R127 R130">
    <cfRule type="cellIs" dxfId="11739" priority="1995" operator="greaterThan">
      <formula>1</formula>
    </cfRule>
    <cfRule type="cellIs" dxfId="11738" priority="1996" operator="lessThan">
      <formula>0.8</formula>
    </cfRule>
  </conditionalFormatting>
  <conditionalFormatting sqref="P124 P127 P130">
    <cfRule type="cellIs" dxfId="11737" priority="1994" operator="greaterThan">
      <formula>0</formula>
    </cfRule>
  </conditionalFormatting>
  <conditionalFormatting sqref="Q124 Q127 Q130">
    <cfRule type="cellIs" dxfId="11736" priority="1993" operator="lessThan">
      <formula>0</formula>
    </cfRule>
  </conditionalFormatting>
  <conditionalFormatting sqref="R124 R127 R130">
    <cfRule type="cellIs" dxfId="11735" priority="1991" operator="lessThan">
      <formula>0.8</formula>
    </cfRule>
    <cfRule type="cellIs" dxfId="11734" priority="1992" operator="greaterThan">
      <formula>1</formula>
    </cfRule>
  </conditionalFormatting>
  <conditionalFormatting sqref="R124 R127 R130">
    <cfRule type="cellIs" dxfId="11733" priority="1989" operator="greaterThan">
      <formula>1</formula>
    </cfRule>
    <cfRule type="cellIs" dxfId="11732" priority="1990" operator="lessThan">
      <formula>0.8</formula>
    </cfRule>
  </conditionalFormatting>
  <conditionalFormatting sqref="P124 P127 P130">
    <cfRule type="cellIs" dxfId="11731" priority="1988" operator="greaterThan">
      <formula>0</formula>
    </cfRule>
  </conditionalFormatting>
  <conditionalFormatting sqref="Q124 Q127 Q130">
    <cfRule type="cellIs" dxfId="11730" priority="1987" operator="lessThan">
      <formula>0</formula>
    </cfRule>
  </conditionalFormatting>
  <conditionalFormatting sqref="R124 R127 R130">
    <cfRule type="cellIs" dxfId="11729" priority="1985" operator="lessThan">
      <formula>0.8</formula>
    </cfRule>
    <cfRule type="cellIs" dxfId="11728" priority="1986" operator="greaterThan">
      <formula>1</formula>
    </cfRule>
  </conditionalFormatting>
  <conditionalFormatting sqref="R124 R127 R130">
    <cfRule type="cellIs" dxfId="11727" priority="1983" operator="greaterThan">
      <formula>1</formula>
    </cfRule>
    <cfRule type="cellIs" dxfId="11726" priority="1984" operator="lessThan">
      <formula>0.8</formula>
    </cfRule>
  </conditionalFormatting>
  <conditionalFormatting sqref="P124 P127 P130">
    <cfRule type="cellIs" dxfId="11725" priority="1982" operator="greaterThan">
      <formula>0</formula>
    </cfRule>
  </conditionalFormatting>
  <conditionalFormatting sqref="P124 P127 P130">
    <cfRule type="cellIs" dxfId="11724" priority="1976" operator="greaterThan">
      <formula>0</formula>
    </cfRule>
  </conditionalFormatting>
  <conditionalFormatting sqref="Q124 Q127 Q130">
    <cfRule type="cellIs" dxfId="11723" priority="1981" operator="lessThan">
      <formula>0</formula>
    </cfRule>
  </conditionalFormatting>
  <conditionalFormatting sqref="R124 R127 R130">
    <cfRule type="cellIs" dxfId="11722" priority="1979" operator="lessThan">
      <formula>0.8</formula>
    </cfRule>
    <cfRule type="cellIs" dxfId="11721" priority="1980" operator="greaterThan">
      <formula>1</formula>
    </cfRule>
  </conditionalFormatting>
  <conditionalFormatting sqref="R124 R127 R130">
    <cfRule type="cellIs" dxfId="11720" priority="1977" operator="greaterThan">
      <formula>1</formula>
    </cfRule>
    <cfRule type="cellIs" dxfId="11719" priority="1978" operator="lessThan">
      <formula>0.8</formula>
    </cfRule>
  </conditionalFormatting>
  <conditionalFormatting sqref="P124 P127 P130">
    <cfRule type="cellIs" dxfId="11718" priority="1970" operator="greaterThan">
      <formula>0</formula>
    </cfRule>
  </conditionalFormatting>
  <conditionalFormatting sqref="Q124 Q127 Q130">
    <cfRule type="cellIs" dxfId="11717" priority="1975" operator="lessThan">
      <formula>0</formula>
    </cfRule>
  </conditionalFormatting>
  <conditionalFormatting sqref="R124 R127 R130">
    <cfRule type="cellIs" dxfId="11716" priority="1973" operator="lessThan">
      <formula>0.8</formula>
    </cfRule>
    <cfRule type="cellIs" dxfId="11715" priority="1974" operator="greaterThan">
      <formula>1</formula>
    </cfRule>
  </conditionalFormatting>
  <conditionalFormatting sqref="R124 R127 R130">
    <cfRule type="cellIs" dxfId="11714" priority="1971" operator="greaterThan">
      <formula>1</formula>
    </cfRule>
    <cfRule type="cellIs" dxfId="11713" priority="1972" operator="lessThan">
      <formula>0.8</formula>
    </cfRule>
  </conditionalFormatting>
  <conditionalFormatting sqref="R124 R127 R130">
    <cfRule type="cellIs" dxfId="11712" priority="1967" operator="lessThan">
      <formula>0.8</formula>
    </cfRule>
    <cfRule type="cellIs" dxfId="11711" priority="1968" operator="greaterThan">
      <formula>1</formula>
    </cfRule>
  </conditionalFormatting>
  <conditionalFormatting sqref="R124 R127 R130">
    <cfRule type="cellIs" dxfId="11710" priority="1965" operator="greaterThan">
      <formula>1</formula>
    </cfRule>
    <cfRule type="cellIs" dxfId="11709" priority="1966" operator="lessThan">
      <formula>0.8</formula>
    </cfRule>
  </conditionalFormatting>
  <conditionalFormatting sqref="P124 P127 P130">
    <cfRule type="cellIs" dxfId="11708" priority="1964" operator="greaterThan">
      <formula>0</formula>
    </cfRule>
  </conditionalFormatting>
  <conditionalFormatting sqref="Q124 Q127 Q130">
    <cfRule type="cellIs" dxfId="11707" priority="1969" operator="lessThan">
      <formula>0</formula>
    </cfRule>
  </conditionalFormatting>
  <conditionalFormatting sqref="Q124 Q127 Q130">
    <cfRule type="cellIs" dxfId="11706" priority="1963" operator="lessThan">
      <formula>0</formula>
    </cfRule>
  </conditionalFormatting>
  <conditionalFormatting sqref="R124 R127 R130">
    <cfRule type="cellIs" dxfId="11705" priority="1961" operator="lessThan">
      <formula>0.8</formula>
    </cfRule>
    <cfRule type="cellIs" dxfId="11704" priority="1962" operator="greaterThan">
      <formula>1</formula>
    </cfRule>
  </conditionalFormatting>
  <conditionalFormatting sqref="R124 R127 R130">
    <cfRule type="cellIs" dxfId="11703" priority="1959" operator="greaterThan">
      <formula>1</formula>
    </cfRule>
    <cfRule type="cellIs" dxfId="11702" priority="1960" operator="lessThan">
      <formula>0.8</formula>
    </cfRule>
  </conditionalFormatting>
  <conditionalFormatting sqref="P124 P127 P130">
    <cfRule type="cellIs" dxfId="11701" priority="1958" operator="greaterThan">
      <formula>0</formula>
    </cfRule>
  </conditionalFormatting>
  <conditionalFormatting sqref="P124 P127 P130">
    <cfRule type="cellIs" dxfId="11700" priority="1952" operator="greaterThan">
      <formula>0</formula>
    </cfRule>
  </conditionalFormatting>
  <conditionalFormatting sqref="Q124 Q127 Q130">
    <cfRule type="cellIs" dxfId="11699" priority="1957" operator="lessThan">
      <formula>0</formula>
    </cfRule>
  </conditionalFormatting>
  <conditionalFormatting sqref="R124 R127 R130">
    <cfRule type="cellIs" dxfId="11698" priority="1955" operator="lessThan">
      <formula>0.8</formula>
    </cfRule>
    <cfRule type="cellIs" dxfId="11697" priority="1956" operator="greaterThan">
      <formula>1</formula>
    </cfRule>
  </conditionalFormatting>
  <conditionalFormatting sqref="R124 R127 R130">
    <cfRule type="cellIs" dxfId="11696" priority="1953" operator="greaterThan">
      <formula>1</formula>
    </cfRule>
    <cfRule type="cellIs" dxfId="11695" priority="1954" operator="lessThan">
      <formula>0.8</formula>
    </cfRule>
  </conditionalFormatting>
  <conditionalFormatting sqref="P124 P127 P130">
    <cfRule type="cellIs" dxfId="11694" priority="1946" operator="greaterThan">
      <formula>0</formula>
    </cfRule>
  </conditionalFormatting>
  <conditionalFormatting sqref="Q124 Q127 Q130">
    <cfRule type="cellIs" dxfId="11693" priority="1951" operator="lessThan">
      <formula>0</formula>
    </cfRule>
  </conditionalFormatting>
  <conditionalFormatting sqref="R124 R127 R130">
    <cfRule type="cellIs" dxfId="11692" priority="1949" operator="lessThan">
      <formula>0.8</formula>
    </cfRule>
    <cfRule type="cellIs" dxfId="11691" priority="1950" operator="greaterThan">
      <formula>1</formula>
    </cfRule>
  </conditionalFormatting>
  <conditionalFormatting sqref="R124 R127 R130">
    <cfRule type="cellIs" dxfId="11690" priority="1947" operator="greaterThan">
      <formula>1</formula>
    </cfRule>
    <cfRule type="cellIs" dxfId="11689" priority="1948" operator="lessThan">
      <formula>0.8</formula>
    </cfRule>
  </conditionalFormatting>
  <conditionalFormatting sqref="R124 R127 R130">
    <cfRule type="cellIs" dxfId="11688" priority="1943" operator="lessThan">
      <formula>0.8</formula>
    </cfRule>
    <cfRule type="cellIs" dxfId="11687" priority="1944" operator="greaterThan">
      <formula>1</formula>
    </cfRule>
  </conditionalFormatting>
  <conditionalFormatting sqref="R124 R127 R130">
    <cfRule type="cellIs" dxfId="11686" priority="1941" operator="greaterThan">
      <formula>1</formula>
    </cfRule>
    <cfRule type="cellIs" dxfId="11685" priority="1942" operator="lessThan">
      <formula>0.8</formula>
    </cfRule>
  </conditionalFormatting>
  <conditionalFormatting sqref="P124 P127 P130">
    <cfRule type="cellIs" dxfId="11684" priority="1940" operator="greaterThan">
      <formula>0</formula>
    </cfRule>
  </conditionalFormatting>
  <conditionalFormatting sqref="Q124 Q127 Q130">
    <cfRule type="cellIs" dxfId="11683" priority="1945" operator="lessThan">
      <formula>0</formula>
    </cfRule>
  </conditionalFormatting>
  <conditionalFormatting sqref="P124 P127 P130">
    <cfRule type="cellIs" dxfId="11682" priority="1934" operator="greaterThan">
      <formula>0</formula>
    </cfRule>
  </conditionalFormatting>
  <conditionalFormatting sqref="Q124 Q127 Q130">
    <cfRule type="cellIs" dxfId="11681" priority="1939" operator="lessThan">
      <formula>0</formula>
    </cfRule>
  </conditionalFormatting>
  <conditionalFormatting sqref="R124 R127 R130">
    <cfRule type="cellIs" dxfId="11680" priority="1937" operator="lessThan">
      <formula>0.8</formula>
    </cfRule>
    <cfRule type="cellIs" dxfId="11679" priority="1938" operator="greaterThan">
      <formula>1</formula>
    </cfRule>
  </conditionalFormatting>
  <conditionalFormatting sqref="R124 R127 R130">
    <cfRule type="cellIs" dxfId="11678" priority="1935" operator="greaterThan">
      <formula>1</formula>
    </cfRule>
    <cfRule type="cellIs" dxfId="11677" priority="1936" operator="lessThan">
      <formula>0.8</formula>
    </cfRule>
  </conditionalFormatting>
  <conditionalFormatting sqref="R124 R127 R130">
    <cfRule type="cellIs" dxfId="11676" priority="1931" operator="lessThan">
      <formula>0.8</formula>
    </cfRule>
    <cfRule type="cellIs" dxfId="11675" priority="1932" operator="greaterThan">
      <formula>1</formula>
    </cfRule>
  </conditionalFormatting>
  <conditionalFormatting sqref="R124 R127 R130">
    <cfRule type="cellIs" dxfId="11674" priority="1929" operator="greaterThan">
      <formula>1</formula>
    </cfRule>
    <cfRule type="cellIs" dxfId="11673" priority="1930" operator="lessThan">
      <formula>0.8</formula>
    </cfRule>
  </conditionalFormatting>
  <conditionalFormatting sqref="P124 P127 P130">
    <cfRule type="cellIs" dxfId="11672" priority="1928" operator="greaterThan">
      <formula>0</formula>
    </cfRule>
  </conditionalFormatting>
  <conditionalFormatting sqref="Q124 Q127 Q130">
    <cfRule type="cellIs" dxfId="11671" priority="1933" operator="lessThan">
      <formula>0</formula>
    </cfRule>
  </conditionalFormatting>
  <conditionalFormatting sqref="R124 R127 R130">
    <cfRule type="cellIs" dxfId="11670" priority="1925" operator="lessThan">
      <formula>0.8</formula>
    </cfRule>
    <cfRule type="cellIs" dxfId="11669" priority="1926" operator="greaterThan">
      <formula>1</formula>
    </cfRule>
  </conditionalFormatting>
  <conditionalFormatting sqref="R124 R127 R130">
    <cfRule type="cellIs" dxfId="11668" priority="1923" operator="greaterThan">
      <formula>1</formula>
    </cfRule>
    <cfRule type="cellIs" dxfId="11667" priority="1924" operator="lessThan">
      <formula>0.8</formula>
    </cfRule>
  </conditionalFormatting>
  <conditionalFormatting sqref="P124 P127 P130">
    <cfRule type="cellIs" dxfId="11666" priority="1922" operator="greaterThan">
      <formula>0</formula>
    </cfRule>
  </conditionalFormatting>
  <conditionalFormatting sqref="Q124 Q127 Q130">
    <cfRule type="cellIs" dxfId="11665" priority="1927" operator="lessThan">
      <formula>0</formula>
    </cfRule>
  </conditionalFormatting>
  <conditionalFormatting sqref="Q124 Q127 Q130">
    <cfRule type="cellIs" dxfId="11664" priority="1921" operator="lessThan">
      <formula>0</formula>
    </cfRule>
  </conditionalFormatting>
  <conditionalFormatting sqref="R124 R127 R130">
    <cfRule type="cellIs" dxfId="11663" priority="1919" operator="lessThan">
      <formula>0.8</formula>
    </cfRule>
    <cfRule type="cellIs" dxfId="11662" priority="1920" operator="greaterThan">
      <formula>1</formula>
    </cfRule>
  </conditionalFormatting>
  <conditionalFormatting sqref="R124 R127 R130">
    <cfRule type="cellIs" dxfId="11661" priority="1917" operator="greaterThan">
      <formula>1</formula>
    </cfRule>
    <cfRule type="cellIs" dxfId="11660" priority="1918" operator="lessThan">
      <formula>0.8</formula>
    </cfRule>
  </conditionalFormatting>
  <conditionalFormatting sqref="P124 P127 P130">
    <cfRule type="cellIs" dxfId="11659" priority="1916" operator="greaterThan">
      <formula>0</formula>
    </cfRule>
  </conditionalFormatting>
  <conditionalFormatting sqref="Q124 Q127 Q130">
    <cfRule type="cellIs" dxfId="11658" priority="1910" operator="lessThan">
      <formula>0</formula>
    </cfRule>
  </conditionalFormatting>
  <conditionalFormatting sqref="R124 R127 R130">
    <cfRule type="cellIs" dxfId="11657" priority="1914" operator="lessThan">
      <formula>0.8</formula>
    </cfRule>
    <cfRule type="cellIs" dxfId="11656" priority="1915" operator="greaterThan">
      <formula>1</formula>
    </cfRule>
  </conditionalFormatting>
  <conditionalFormatting sqref="R124 R127 R130">
    <cfRule type="cellIs" dxfId="11655" priority="1912" operator="greaterThan">
      <formula>1</formula>
    </cfRule>
    <cfRule type="cellIs" dxfId="11654" priority="1913" operator="lessThan">
      <formula>0.8</formula>
    </cfRule>
  </conditionalFormatting>
  <conditionalFormatting sqref="P124 P127 P130">
    <cfRule type="cellIs" dxfId="11653" priority="1911" operator="greaterThan">
      <formula>0</formula>
    </cfRule>
  </conditionalFormatting>
  <conditionalFormatting sqref="Q124 Q127 Q130">
    <cfRule type="cellIs" dxfId="11652" priority="1909" operator="lessThan">
      <formula>0</formula>
    </cfRule>
  </conditionalFormatting>
  <conditionalFormatting sqref="R124 R127 R130">
    <cfRule type="cellIs" dxfId="11651" priority="1907" operator="lessThan">
      <formula>0.8</formula>
    </cfRule>
    <cfRule type="cellIs" dxfId="11650" priority="1908" operator="greaterThan">
      <formula>1</formula>
    </cfRule>
  </conditionalFormatting>
  <conditionalFormatting sqref="R124 R127 R130">
    <cfRule type="cellIs" dxfId="11649" priority="1905" operator="greaterThan">
      <formula>1</formula>
    </cfRule>
    <cfRule type="cellIs" dxfId="11648" priority="1906" operator="lessThan">
      <formula>0.8</formula>
    </cfRule>
  </conditionalFormatting>
  <conditionalFormatting sqref="P124 P127 P130">
    <cfRule type="cellIs" dxfId="11647" priority="1904" operator="greaterThan">
      <formula>0</formula>
    </cfRule>
  </conditionalFormatting>
  <conditionalFormatting sqref="Q124 Q127 Q130">
    <cfRule type="cellIs" dxfId="11646" priority="1903" operator="lessThan">
      <formula>0</formula>
    </cfRule>
  </conditionalFormatting>
  <conditionalFormatting sqref="R124 R127 R130">
    <cfRule type="cellIs" dxfId="11645" priority="1901" operator="lessThan">
      <formula>0.8</formula>
    </cfRule>
    <cfRule type="cellIs" dxfId="11644" priority="1902" operator="greaterThan">
      <formula>1</formula>
    </cfRule>
  </conditionalFormatting>
  <conditionalFormatting sqref="R124 R127 R130">
    <cfRule type="cellIs" dxfId="11643" priority="1899" operator="greaterThan">
      <formula>1</formula>
    </cfRule>
    <cfRule type="cellIs" dxfId="11642" priority="1900" operator="lessThan">
      <formula>0.8</formula>
    </cfRule>
  </conditionalFormatting>
  <conditionalFormatting sqref="P124 P127 P130">
    <cfRule type="cellIs" dxfId="11641" priority="1898" operator="greaterThan">
      <formula>0</formula>
    </cfRule>
  </conditionalFormatting>
  <conditionalFormatting sqref="Q124 Q127 Q130">
    <cfRule type="cellIs" dxfId="11640" priority="1897" operator="lessThan">
      <formula>0</formula>
    </cfRule>
  </conditionalFormatting>
  <conditionalFormatting sqref="R124 R127 R130">
    <cfRule type="cellIs" dxfId="11639" priority="1895" operator="lessThan">
      <formula>0.8</formula>
    </cfRule>
    <cfRule type="cellIs" dxfId="11638" priority="1896" operator="greaterThan">
      <formula>1</formula>
    </cfRule>
  </conditionalFormatting>
  <conditionalFormatting sqref="R124 R127 R130">
    <cfRule type="cellIs" dxfId="11637" priority="1893" operator="greaterThan">
      <formula>1</formula>
    </cfRule>
    <cfRule type="cellIs" dxfId="11636" priority="1894" operator="lessThan">
      <formula>0.8</formula>
    </cfRule>
  </conditionalFormatting>
  <conditionalFormatting sqref="P124 P127 P130">
    <cfRule type="cellIs" dxfId="11635" priority="1892" operator="greaterThan">
      <formula>0</formula>
    </cfRule>
  </conditionalFormatting>
  <conditionalFormatting sqref="Q124 Q127 Q130">
    <cfRule type="cellIs" dxfId="11634" priority="1891" operator="lessThan">
      <formula>0</formula>
    </cfRule>
  </conditionalFormatting>
  <conditionalFormatting sqref="R124 R127 R130">
    <cfRule type="cellIs" dxfId="11633" priority="1889" operator="lessThan">
      <formula>0.8</formula>
    </cfRule>
    <cfRule type="cellIs" dxfId="11632" priority="1890" operator="greaterThan">
      <formula>1</formula>
    </cfRule>
  </conditionalFormatting>
  <conditionalFormatting sqref="R124 R127 R130">
    <cfRule type="cellIs" dxfId="11631" priority="1887" operator="greaterThan">
      <formula>1</formula>
    </cfRule>
    <cfRule type="cellIs" dxfId="11630" priority="1888" operator="lessThan">
      <formula>0.8</formula>
    </cfRule>
  </conditionalFormatting>
  <conditionalFormatting sqref="P124 P127 P130">
    <cfRule type="cellIs" dxfId="11629" priority="1886" operator="greaterThan">
      <formula>0</formula>
    </cfRule>
  </conditionalFormatting>
  <conditionalFormatting sqref="Q124 Q127 Q130">
    <cfRule type="cellIs" dxfId="11628" priority="1885" operator="lessThan">
      <formula>0</formula>
    </cfRule>
  </conditionalFormatting>
  <conditionalFormatting sqref="R124 R127 R130">
    <cfRule type="cellIs" dxfId="11627" priority="1883" operator="lessThan">
      <formula>0.8</formula>
    </cfRule>
    <cfRule type="cellIs" dxfId="11626" priority="1884" operator="greaterThan">
      <formula>1</formula>
    </cfRule>
  </conditionalFormatting>
  <conditionalFormatting sqref="R124 R127 R130">
    <cfRule type="cellIs" dxfId="11625" priority="1881" operator="greaterThan">
      <formula>1</formula>
    </cfRule>
    <cfRule type="cellIs" dxfId="11624" priority="1882" operator="lessThan">
      <formula>0.8</formula>
    </cfRule>
  </conditionalFormatting>
  <conditionalFormatting sqref="P124 P127 P130">
    <cfRule type="cellIs" dxfId="11623" priority="1880" operator="greaterThan">
      <formula>0</formula>
    </cfRule>
  </conditionalFormatting>
  <conditionalFormatting sqref="P124 P127 P130">
    <cfRule type="cellIs" dxfId="11622" priority="1874" operator="greaterThan">
      <formula>0</formula>
    </cfRule>
  </conditionalFormatting>
  <conditionalFormatting sqref="Q124 Q127 Q130">
    <cfRule type="cellIs" dxfId="11621" priority="1879" operator="lessThan">
      <formula>0</formula>
    </cfRule>
  </conditionalFormatting>
  <conditionalFormatting sqref="R124 R127 R130">
    <cfRule type="cellIs" dxfId="11620" priority="1877" operator="lessThan">
      <formula>0.8</formula>
    </cfRule>
    <cfRule type="cellIs" dxfId="11619" priority="1878" operator="greaterThan">
      <formula>1</formula>
    </cfRule>
  </conditionalFormatting>
  <conditionalFormatting sqref="R124 R127 R130">
    <cfRule type="cellIs" dxfId="11618" priority="1875" operator="greaterThan">
      <formula>1</formula>
    </cfRule>
    <cfRule type="cellIs" dxfId="11617" priority="1876" operator="lessThan">
      <formula>0.8</formula>
    </cfRule>
  </conditionalFormatting>
  <conditionalFormatting sqref="P124 P127 P130">
    <cfRule type="cellIs" dxfId="11616" priority="1868" operator="greaterThan">
      <formula>0</formula>
    </cfRule>
  </conditionalFormatting>
  <conditionalFormatting sqref="Q124 Q127 Q130">
    <cfRule type="cellIs" dxfId="11615" priority="1873" operator="lessThan">
      <formula>0</formula>
    </cfRule>
  </conditionalFormatting>
  <conditionalFormatting sqref="R124 R127 R130">
    <cfRule type="cellIs" dxfId="11614" priority="1871" operator="lessThan">
      <formula>0.8</formula>
    </cfRule>
    <cfRule type="cellIs" dxfId="11613" priority="1872" operator="greaterThan">
      <formula>1</formula>
    </cfRule>
  </conditionalFormatting>
  <conditionalFormatting sqref="R124 R127 R130">
    <cfRule type="cellIs" dxfId="11612" priority="1869" operator="greaterThan">
      <formula>1</formula>
    </cfRule>
    <cfRule type="cellIs" dxfId="11611" priority="1870" operator="lessThan">
      <formula>0.8</formula>
    </cfRule>
  </conditionalFormatting>
  <conditionalFormatting sqref="R124 R127 R130">
    <cfRule type="cellIs" dxfId="11610" priority="1865" operator="lessThan">
      <formula>0.8</formula>
    </cfRule>
    <cfRule type="cellIs" dxfId="11609" priority="1866" operator="greaterThan">
      <formula>1</formula>
    </cfRule>
  </conditionalFormatting>
  <conditionalFormatting sqref="R124 R127 R130">
    <cfRule type="cellIs" dxfId="11608" priority="1863" operator="greaterThan">
      <formula>1</formula>
    </cfRule>
    <cfRule type="cellIs" dxfId="11607" priority="1864" operator="lessThan">
      <formula>0.8</formula>
    </cfRule>
  </conditionalFormatting>
  <conditionalFormatting sqref="P124 P127 P130">
    <cfRule type="cellIs" dxfId="11606" priority="1862" operator="greaterThan">
      <formula>0</formula>
    </cfRule>
  </conditionalFormatting>
  <conditionalFormatting sqref="Q124 Q127 Q130">
    <cfRule type="cellIs" dxfId="11605" priority="1867" operator="lessThan">
      <formula>0</formula>
    </cfRule>
  </conditionalFormatting>
  <conditionalFormatting sqref="Q5:Q14">
    <cfRule type="cellIs" dxfId="11604" priority="1861" operator="lessThan">
      <formula>0</formula>
    </cfRule>
  </conditionalFormatting>
  <conditionalFormatting sqref="R5:R14">
    <cfRule type="cellIs" dxfId="11603" priority="1859" operator="lessThan">
      <formula>0.8</formula>
    </cfRule>
    <cfRule type="cellIs" dxfId="11602" priority="1860" operator="greaterThan">
      <formula>1</formula>
    </cfRule>
  </conditionalFormatting>
  <conditionalFormatting sqref="R5:R14">
    <cfRule type="cellIs" dxfId="11601" priority="1857" operator="greaterThan">
      <formula>1</formula>
    </cfRule>
    <cfRule type="cellIs" dxfId="11600" priority="1858" operator="lessThan">
      <formula>0.8</formula>
    </cfRule>
  </conditionalFormatting>
  <conditionalFormatting sqref="P5:P14">
    <cfRule type="cellIs" dxfId="11599" priority="1856" operator="greaterThan">
      <formula>0</formula>
    </cfRule>
  </conditionalFormatting>
  <conditionalFormatting sqref="Q83">
    <cfRule type="cellIs" dxfId="11598" priority="1855" operator="lessThan">
      <formula>0</formula>
    </cfRule>
  </conditionalFormatting>
  <conditionalFormatting sqref="R83">
    <cfRule type="cellIs" dxfId="11597" priority="1853" operator="lessThan">
      <formula>0.8</formula>
    </cfRule>
    <cfRule type="cellIs" dxfId="11596" priority="1854" operator="greaterThan">
      <formula>1</formula>
    </cfRule>
  </conditionalFormatting>
  <conditionalFormatting sqref="R83">
    <cfRule type="cellIs" dxfId="11595" priority="1851" operator="greaterThan">
      <formula>1</formula>
    </cfRule>
    <cfRule type="cellIs" dxfId="11594" priority="1852" operator="lessThan">
      <formula>0.8</formula>
    </cfRule>
  </conditionalFormatting>
  <conditionalFormatting sqref="P83">
    <cfRule type="cellIs" dxfId="11593" priority="1850" operator="greaterThan">
      <formula>0</formula>
    </cfRule>
  </conditionalFormatting>
  <conditionalFormatting sqref="Q83">
    <cfRule type="cellIs" dxfId="11592" priority="1849" operator="lessThan">
      <formula>0</formula>
    </cfRule>
  </conditionalFormatting>
  <conditionalFormatting sqref="R83">
    <cfRule type="cellIs" dxfId="11591" priority="1847" operator="lessThan">
      <formula>0.8</formula>
    </cfRule>
    <cfRule type="cellIs" dxfId="11590" priority="1848" operator="greaterThan">
      <formula>1</formula>
    </cfRule>
  </conditionalFormatting>
  <conditionalFormatting sqref="R83">
    <cfRule type="cellIs" dxfId="11589" priority="1845" operator="greaterThan">
      <formula>1</formula>
    </cfRule>
    <cfRule type="cellIs" dxfId="11588" priority="1846" operator="lessThan">
      <formula>0.8</formula>
    </cfRule>
  </conditionalFormatting>
  <conditionalFormatting sqref="P83">
    <cfRule type="cellIs" dxfId="11587" priority="1844" operator="greaterThan">
      <formula>0</formula>
    </cfRule>
  </conditionalFormatting>
  <conditionalFormatting sqref="Q83">
    <cfRule type="cellIs" dxfId="11586" priority="1843" operator="lessThan">
      <formula>0</formula>
    </cfRule>
  </conditionalFormatting>
  <conditionalFormatting sqref="R83">
    <cfRule type="cellIs" dxfId="11585" priority="1841" operator="lessThan">
      <formula>0.8</formula>
    </cfRule>
    <cfRule type="cellIs" dxfId="11584" priority="1842" operator="greaterThan">
      <formula>1</formula>
    </cfRule>
  </conditionalFormatting>
  <conditionalFormatting sqref="R83">
    <cfRule type="cellIs" dxfId="11583" priority="1839" operator="greaterThan">
      <formula>1</formula>
    </cfRule>
    <cfRule type="cellIs" dxfId="11582" priority="1840" operator="lessThan">
      <formula>0.8</formula>
    </cfRule>
  </conditionalFormatting>
  <conditionalFormatting sqref="P83">
    <cfRule type="cellIs" dxfId="11581" priority="1838" operator="greaterThan">
      <formula>0</formula>
    </cfRule>
  </conditionalFormatting>
  <conditionalFormatting sqref="Q83">
    <cfRule type="cellIs" dxfId="11580" priority="1837" operator="lessThan">
      <formula>0</formula>
    </cfRule>
  </conditionalFormatting>
  <conditionalFormatting sqref="R83">
    <cfRule type="cellIs" dxfId="11579" priority="1835" operator="lessThan">
      <formula>0.8</formula>
    </cfRule>
    <cfRule type="cellIs" dxfId="11578" priority="1836" operator="greaterThan">
      <formula>1</formula>
    </cfRule>
  </conditionalFormatting>
  <conditionalFormatting sqref="R83">
    <cfRule type="cellIs" dxfId="11577" priority="1833" operator="greaterThan">
      <formula>1</formula>
    </cfRule>
    <cfRule type="cellIs" dxfId="11576" priority="1834" operator="lessThan">
      <formula>0.8</formula>
    </cfRule>
  </conditionalFormatting>
  <conditionalFormatting sqref="P83">
    <cfRule type="cellIs" dxfId="11575" priority="1832" operator="greaterThan">
      <formula>0</formula>
    </cfRule>
  </conditionalFormatting>
  <conditionalFormatting sqref="P83">
    <cfRule type="cellIs" dxfId="11574" priority="1826" operator="greaterThan">
      <formula>0</formula>
    </cfRule>
  </conditionalFormatting>
  <conditionalFormatting sqref="Q83">
    <cfRule type="cellIs" dxfId="11573" priority="1831" operator="lessThan">
      <formula>0</formula>
    </cfRule>
  </conditionalFormatting>
  <conditionalFormatting sqref="R83">
    <cfRule type="cellIs" dxfId="11572" priority="1829" operator="lessThan">
      <formula>0.8</formula>
    </cfRule>
    <cfRule type="cellIs" dxfId="11571" priority="1830" operator="greaterThan">
      <formula>1</formula>
    </cfRule>
  </conditionalFormatting>
  <conditionalFormatting sqref="R83">
    <cfRule type="cellIs" dxfId="11570" priority="1827" operator="greaterThan">
      <formula>1</formula>
    </cfRule>
    <cfRule type="cellIs" dxfId="11569" priority="1828" operator="lessThan">
      <formula>0.8</formula>
    </cfRule>
  </conditionalFormatting>
  <conditionalFormatting sqref="P83">
    <cfRule type="cellIs" dxfId="11568" priority="1820" operator="greaterThan">
      <formula>0</formula>
    </cfRule>
  </conditionalFormatting>
  <conditionalFormatting sqref="Q83">
    <cfRule type="cellIs" dxfId="11567" priority="1825" operator="lessThan">
      <formula>0</formula>
    </cfRule>
  </conditionalFormatting>
  <conditionalFormatting sqref="R83">
    <cfRule type="cellIs" dxfId="11566" priority="1823" operator="lessThan">
      <formula>0.8</formula>
    </cfRule>
    <cfRule type="cellIs" dxfId="11565" priority="1824" operator="greaterThan">
      <formula>1</formula>
    </cfRule>
  </conditionalFormatting>
  <conditionalFormatting sqref="R83">
    <cfRule type="cellIs" dxfId="11564" priority="1821" operator="greaterThan">
      <formula>1</formula>
    </cfRule>
    <cfRule type="cellIs" dxfId="11563" priority="1822" operator="lessThan">
      <formula>0.8</formula>
    </cfRule>
  </conditionalFormatting>
  <conditionalFormatting sqref="R83">
    <cfRule type="cellIs" dxfId="11562" priority="1817" operator="lessThan">
      <formula>0.8</formula>
    </cfRule>
    <cfRule type="cellIs" dxfId="11561" priority="1818" operator="greaterThan">
      <formula>1</formula>
    </cfRule>
  </conditionalFormatting>
  <conditionalFormatting sqref="R83">
    <cfRule type="cellIs" dxfId="11560" priority="1815" operator="greaterThan">
      <formula>1</formula>
    </cfRule>
    <cfRule type="cellIs" dxfId="11559" priority="1816" operator="lessThan">
      <formula>0.8</formula>
    </cfRule>
  </conditionalFormatting>
  <conditionalFormatting sqref="P83">
    <cfRule type="cellIs" dxfId="11558" priority="1814" operator="greaterThan">
      <formula>0</formula>
    </cfRule>
  </conditionalFormatting>
  <conditionalFormatting sqref="Q83">
    <cfRule type="cellIs" dxfId="11557" priority="1819" operator="lessThan">
      <formula>0</formula>
    </cfRule>
  </conditionalFormatting>
  <conditionalFormatting sqref="Q83">
    <cfRule type="cellIs" dxfId="11556" priority="1813" operator="lessThan">
      <formula>0</formula>
    </cfRule>
  </conditionalFormatting>
  <conditionalFormatting sqref="R83">
    <cfRule type="cellIs" dxfId="11555" priority="1811" operator="lessThan">
      <formula>0.8</formula>
    </cfRule>
    <cfRule type="cellIs" dxfId="11554" priority="1812" operator="greaterThan">
      <formula>1</formula>
    </cfRule>
  </conditionalFormatting>
  <conditionalFormatting sqref="R83">
    <cfRule type="cellIs" dxfId="11553" priority="1809" operator="greaterThan">
      <formula>1</formula>
    </cfRule>
    <cfRule type="cellIs" dxfId="11552" priority="1810" operator="lessThan">
      <formula>0.8</formula>
    </cfRule>
  </conditionalFormatting>
  <conditionalFormatting sqref="P83">
    <cfRule type="cellIs" dxfId="11551" priority="1808" operator="greaterThan">
      <formula>0</formula>
    </cfRule>
  </conditionalFormatting>
  <conditionalFormatting sqref="P83">
    <cfRule type="cellIs" dxfId="11550" priority="1802" operator="greaterThan">
      <formula>0</formula>
    </cfRule>
  </conditionalFormatting>
  <conditionalFormatting sqref="Q83">
    <cfRule type="cellIs" dxfId="11549" priority="1807" operator="lessThan">
      <formula>0</formula>
    </cfRule>
  </conditionalFormatting>
  <conditionalFormatting sqref="R83">
    <cfRule type="cellIs" dxfId="11548" priority="1805" operator="lessThan">
      <formula>0.8</formula>
    </cfRule>
    <cfRule type="cellIs" dxfId="11547" priority="1806" operator="greaterThan">
      <formula>1</formula>
    </cfRule>
  </conditionalFormatting>
  <conditionalFormatting sqref="R83">
    <cfRule type="cellIs" dxfId="11546" priority="1803" operator="greaterThan">
      <formula>1</formula>
    </cfRule>
    <cfRule type="cellIs" dxfId="11545" priority="1804" operator="lessThan">
      <formula>0.8</formula>
    </cfRule>
  </conditionalFormatting>
  <conditionalFormatting sqref="P83">
    <cfRule type="cellIs" dxfId="11544" priority="1796" operator="greaterThan">
      <formula>0</formula>
    </cfRule>
  </conditionalFormatting>
  <conditionalFormatting sqref="Q83">
    <cfRule type="cellIs" dxfId="11543" priority="1801" operator="lessThan">
      <formula>0</formula>
    </cfRule>
  </conditionalFormatting>
  <conditionalFormatting sqref="R83">
    <cfRule type="cellIs" dxfId="11542" priority="1799" operator="lessThan">
      <formula>0.8</formula>
    </cfRule>
    <cfRule type="cellIs" dxfId="11541" priority="1800" operator="greaterThan">
      <formula>1</formula>
    </cfRule>
  </conditionalFormatting>
  <conditionalFormatting sqref="R83">
    <cfRule type="cellIs" dxfId="11540" priority="1797" operator="greaterThan">
      <formula>1</formula>
    </cfRule>
    <cfRule type="cellIs" dxfId="11539" priority="1798" operator="lessThan">
      <formula>0.8</formula>
    </cfRule>
  </conditionalFormatting>
  <conditionalFormatting sqref="R83">
    <cfRule type="cellIs" dxfId="11538" priority="1793" operator="lessThan">
      <formula>0.8</formula>
    </cfRule>
    <cfRule type="cellIs" dxfId="11537" priority="1794" operator="greaterThan">
      <formula>1</formula>
    </cfRule>
  </conditionalFormatting>
  <conditionalFormatting sqref="R83">
    <cfRule type="cellIs" dxfId="11536" priority="1791" operator="greaterThan">
      <formula>1</formula>
    </cfRule>
    <cfRule type="cellIs" dxfId="11535" priority="1792" operator="lessThan">
      <formula>0.8</formula>
    </cfRule>
  </conditionalFormatting>
  <conditionalFormatting sqref="P83">
    <cfRule type="cellIs" dxfId="11534" priority="1790" operator="greaterThan">
      <formula>0</formula>
    </cfRule>
  </conditionalFormatting>
  <conditionalFormatting sqref="Q83">
    <cfRule type="cellIs" dxfId="11533" priority="1795" operator="lessThan">
      <formula>0</formula>
    </cfRule>
  </conditionalFormatting>
  <conditionalFormatting sqref="P83">
    <cfRule type="cellIs" dxfId="11532" priority="1784" operator="greaterThan">
      <formula>0</formula>
    </cfRule>
  </conditionalFormatting>
  <conditionalFormatting sqref="Q83">
    <cfRule type="cellIs" dxfId="11531" priority="1789" operator="lessThan">
      <formula>0</formula>
    </cfRule>
  </conditionalFormatting>
  <conditionalFormatting sqref="R83">
    <cfRule type="cellIs" dxfId="11530" priority="1787" operator="lessThan">
      <formula>0.8</formula>
    </cfRule>
    <cfRule type="cellIs" dxfId="11529" priority="1788" operator="greaterThan">
      <formula>1</formula>
    </cfRule>
  </conditionalFormatting>
  <conditionalFormatting sqref="R83">
    <cfRule type="cellIs" dxfId="11528" priority="1785" operator="greaterThan">
      <formula>1</formula>
    </cfRule>
    <cfRule type="cellIs" dxfId="11527" priority="1786" operator="lessThan">
      <formula>0.8</formula>
    </cfRule>
  </conditionalFormatting>
  <conditionalFormatting sqref="R83">
    <cfRule type="cellIs" dxfId="11526" priority="1781" operator="lessThan">
      <formula>0.8</formula>
    </cfRule>
    <cfRule type="cellIs" dxfId="11525" priority="1782" operator="greaterThan">
      <formula>1</formula>
    </cfRule>
  </conditionalFormatting>
  <conditionalFormatting sqref="R83">
    <cfRule type="cellIs" dxfId="11524" priority="1779" operator="greaterThan">
      <formula>1</formula>
    </cfRule>
    <cfRule type="cellIs" dxfId="11523" priority="1780" operator="lessThan">
      <formula>0.8</formula>
    </cfRule>
  </conditionalFormatting>
  <conditionalFormatting sqref="P83">
    <cfRule type="cellIs" dxfId="11522" priority="1778" operator="greaterThan">
      <formula>0</formula>
    </cfRule>
  </conditionalFormatting>
  <conditionalFormatting sqref="Q83">
    <cfRule type="cellIs" dxfId="11521" priority="1783" operator="lessThan">
      <formula>0</formula>
    </cfRule>
  </conditionalFormatting>
  <conditionalFormatting sqref="R83">
    <cfRule type="cellIs" dxfId="11520" priority="1775" operator="lessThan">
      <formula>0.8</formula>
    </cfRule>
    <cfRule type="cellIs" dxfId="11519" priority="1776" operator="greaterThan">
      <formula>1</formula>
    </cfRule>
  </conditionalFormatting>
  <conditionalFormatting sqref="R83">
    <cfRule type="cellIs" dxfId="11518" priority="1773" operator="greaterThan">
      <formula>1</formula>
    </cfRule>
    <cfRule type="cellIs" dxfId="11517" priority="1774" operator="lessThan">
      <formula>0.8</formula>
    </cfRule>
  </conditionalFormatting>
  <conditionalFormatting sqref="P83">
    <cfRule type="cellIs" dxfId="11516" priority="1772" operator="greaterThan">
      <formula>0</formula>
    </cfRule>
  </conditionalFormatting>
  <conditionalFormatting sqref="Q83">
    <cfRule type="cellIs" dxfId="11515" priority="1777" operator="lessThan">
      <formula>0</formula>
    </cfRule>
  </conditionalFormatting>
  <conditionalFormatting sqref="Q83">
    <cfRule type="cellIs" dxfId="11514" priority="1771" operator="lessThan">
      <formula>0</formula>
    </cfRule>
  </conditionalFormatting>
  <conditionalFormatting sqref="R83">
    <cfRule type="cellIs" dxfId="11513" priority="1769" operator="lessThan">
      <formula>0.8</formula>
    </cfRule>
    <cfRule type="cellIs" dxfId="11512" priority="1770" operator="greaterThan">
      <formula>1</formula>
    </cfRule>
  </conditionalFormatting>
  <conditionalFormatting sqref="R83">
    <cfRule type="cellIs" dxfId="11511" priority="1767" operator="greaterThan">
      <formula>1</formula>
    </cfRule>
    <cfRule type="cellIs" dxfId="11510" priority="1768" operator="lessThan">
      <formula>0.8</formula>
    </cfRule>
  </conditionalFormatting>
  <conditionalFormatting sqref="P83">
    <cfRule type="cellIs" dxfId="11509" priority="1766" operator="greaterThan">
      <formula>0</formula>
    </cfRule>
  </conditionalFormatting>
  <conditionalFormatting sqref="Q83">
    <cfRule type="cellIs" dxfId="11508" priority="1760" operator="lessThan">
      <formula>0</formula>
    </cfRule>
  </conditionalFormatting>
  <conditionalFormatting sqref="R83">
    <cfRule type="cellIs" dxfId="11507" priority="1764" operator="lessThan">
      <formula>0.8</formula>
    </cfRule>
    <cfRule type="cellIs" dxfId="11506" priority="1765" operator="greaterThan">
      <formula>1</formula>
    </cfRule>
  </conditionalFormatting>
  <conditionalFormatting sqref="R83">
    <cfRule type="cellIs" dxfId="11505" priority="1762" operator="greaterThan">
      <formula>1</formula>
    </cfRule>
    <cfRule type="cellIs" dxfId="11504" priority="1763" operator="lessThan">
      <formula>0.8</formula>
    </cfRule>
  </conditionalFormatting>
  <conditionalFormatting sqref="P83">
    <cfRule type="cellIs" dxfId="11503" priority="1761" operator="greaterThan">
      <formula>0</formula>
    </cfRule>
  </conditionalFormatting>
  <conditionalFormatting sqref="Q83">
    <cfRule type="cellIs" dxfId="11502" priority="1759" operator="lessThan">
      <formula>0</formula>
    </cfRule>
  </conditionalFormatting>
  <conditionalFormatting sqref="R83">
    <cfRule type="cellIs" dxfId="11501" priority="1757" operator="lessThan">
      <formula>0.8</formula>
    </cfRule>
    <cfRule type="cellIs" dxfId="11500" priority="1758" operator="greaterThan">
      <formula>1</formula>
    </cfRule>
  </conditionalFormatting>
  <conditionalFormatting sqref="R83">
    <cfRule type="cellIs" dxfId="11499" priority="1755" operator="greaterThan">
      <formula>1</formula>
    </cfRule>
    <cfRule type="cellIs" dxfId="11498" priority="1756" operator="lessThan">
      <formula>0.8</formula>
    </cfRule>
  </conditionalFormatting>
  <conditionalFormatting sqref="P83">
    <cfRule type="cellIs" dxfId="11497" priority="1754" operator="greaterThan">
      <formula>0</formula>
    </cfRule>
  </conditionalFormatting>
  <conditionalFormatting sqref="Q83">
    <cfRule type="cellIs" dxfId="11496" priority="1753" operator="lessThan">
      <formula>0</formula>
    </cfRule>
  </conditionalFormatting>
  <conditionalFormatting sqref="R83">
    <cfRule type="cellIs" dxfId="11495" priority="1751" operator="lessThan">
      <formula>0.8</formula>
    </cfRule>
    <cfRule type="cellIs" dxfId="11494" priority="1752" operator="greaterThan">
      <formula>1</formula>
    </cfRule>
  </conditionalFormatting>
  <conditionalFormatting sqref="R83">
    <cfRule type="cellIs" dxfId="11493" priority="1749" operator="greaterThan">
      <formula>1</formula>
    </cfRule>
    <cfRule type="cellIs" dxfId="11492" priority="1750" operator="lessThan">
      <formula>0.8</formula>
    </cfRule>
  </conditionalFormatting>
  <conditionalFormatting sqref="P83">
    <cfRule type="cellIs" dxfId="11491" priority="1748" operator="greaterThan">
      <formula>0</formula>
    </cfRule>
  </conditionalFormatting>
  <conditionalFormatting sqref="Q83">
    <cfRule type="cellIs" dxfId="11490" priority="1747" operator="lessThan">
      <formula>0</formula>
    </cfRule>
  </conditionalFormatting>
  <conditionalFormatting sqref="R83">
    <cfRule type="cellIs" dxfId="11489" priority="1745" operator="lessThan">
      <formula>0.8</formula>
    </cfRule>
    <cfRule type="cellIs" dxfId="11488" priority="1746" operator="greaterThan">
      <formula>1</formula>
    </cfRule>
  </conditionalFormatting>
  <conditionalFormatting sqref="R83">
    <cfRule type="cellIs" dxfId="11487" priority="1743" operator="greaterThan">
      <formula>1</formula>
    </cfRule>
    <cfRule type="cellIs" dxfId="11486" priority="1744" operator="lessThan">
      <formula>0.8</formula>
    </cfRule>
  </conditionalFormatting>
  <conditionalFormatting sqref="P83">
    <cfRule type="cellIs" dxfId="11485" priority="1742" operator="greaterThan">
      <formula>0</formula>
    </cfRule>
  </conditionalFormatting>
  <conditionalFormatting sqref="Q83">
    <cfRule type="cellIs" dxfId="11484" priority="1741" operator="lessThan">
      <formula>0</formula>
    </cfRule>
  </conditionalFormatting>
  <conditionalFormatting sqref="R83">
    <cfRule type="cellIs" dxfId="11483" priority="1739" operator="lessThan">
      <formula>0.8</formula>
    </cfRule>
    <cfRule type="cellIs" dxfId="11482" priority="1740" operator="greaterThan">
      <formula>1</formula>
    </cfRule>
  </conditionalFormatting>
  <conditionalFormatting sqref="R83">
    <cfRule type="cellIs" dxfId="11481" priority="1737" operator="greaterThan">
      <formula>1</formula>
    </cfRule>
    <cfRule type="cellIs" dxfId="11480" priority="1738" operator="lessThan">
      <formula>0.8</formula>
    </cfRule>
  </conditionalFormatting>
  <conditionalFormatting sqref="P83">
    <cfRule type="cellIs" dxfId="11479" priority="1736" operator="greaterThan">
      <formula>0</formula>
    </cfRule>
  </conditionalFormatting>
  <conditionalFormatting sqref="Q83">
    <cfRule type="cellIs" dxfId="11478" priority="1735" operator="lessThan">
      <formula>0</formula>
    </cfRule>
  </conditionalFormatting>
  <conditionalFormatting sqref="R83">
    <cfRule type="cellIs" dxfId="11477" priority="1733" operator="lessThan">
      <formula>0.8</formula>
    </cfRule>
    <cfRule type="cellIs" dxfId="11476" priority="1734" operator="greaterThan">
      <formula>1</formula>
    </cfRule>
  </conditionalFormatting>
  <conditionalFormatting sqref="R83">
    <cfRule type="cellIs" dxfId="11475" priority="1731" operator="greaterThan">
      <formula>1</formula>
    </cfRule>
    <cfRule type="cellIs" dxfId="11474" priority="1732" operator="lessThan">
      <formula>0.8</formula>
    </cfRule>
  </conditionalFormatting>
  <conditionalFormatting sqref="P83">
    <cfRule type="cellIs" dxfId="11473" priority="1730" operator="greaterThan">
      <formula>0</formula>
    </cfRule>
  </conditionalFormatting>
  <conditionalFormatting sqref="P83">
    <cfRule type="cellIs" dxfId="11472" priority="1724" operator="greaterThan">
      <formula>0</formula>
    </cfRule>
  </conditionalFormatting>
  <conditionalFormatting sqref="Q83">
    <cfRule type="cellIs" dxfId="11471" priority="1729" operator="lessThan">
      <formula>0</formula>
    </cfRule>
  </conditionalFormatting>
  <conditionalFormatting sqref="R83">
    <cfRule type="cellIs" dxfId="11470" priority="1727" operator="lessThan">
      <formula>0.8</formula>
    </cfRule>
    <cfRule type="cellIs" dxfId="11469" priority="1728" operator="greaterThan">
      <formula>1</formula>
    </cfRule>
  </conditionalFormatting>
  <conditionalFormatting sqref="R83">
    <cfRule type="cellIs" dxfId="11468" priority="1725" operator="greaterThan">
      <formula>1</formula>
    </cfRule>
    <cfRule type="cellIs" dxfId="11467" priority="1726" operator="lessThan">
      <formula>0.8</formula>
    </cfRule>
  </conditionalFormatting>
  <conditionalFormatting sqref="P83">
    <cfRule type="cellIs" dxfId="11466" priority="1718" operator="greaterThan">
      <formula>0</formula>
    </cfRule>
  </conditionalFormatting>
  <conditionalFormatting sqref="Q83">
    <cfRule type="cellIs" dxfId="11465" priority="1723" operator="lessThan">
      <formula>0</formula>
    </cfRule>
  </conditionalFormatting>
  <conditionalFormatting sqref="R83">
    <cfRule type="cellIs" dxfId="11464" priority="1721" operator="lessThan">
      <formula>0.8</formula>
    </cfRule>
    <cfRule type="cellIs" dxfId="11463" priority="1722" operator="greaterThan">
      <formula>1</formula>
    </cfRule>
  </conditionalFormatting>
  <conditionalFormatting sqref="R83">
    <cfRule type="cellIs" dxfId="11462" priority="1719" operator="greaterThan">
      <formula>1</formula>
    </cfRule>
    <cfRule type="cellIs" dxfId="11461" priority="1720" operator="lessThan">
      <formula>0.8</formula>
    </cfRule>
  </conditionalFormatting>
  <conditionalFormatting sqref="R83">
    <cfRule type="cellIs" dxfId="11460" priority="1715" operator="lessThan">
      <formula>0.8</formula>
    </cfRule>
    <cfRule type="cellIs" dxfId="11459" priority="1716" operator="greaterThan">
      <formula>1</formula>
    </cfRule>
  </conditionalFormatting>
  <conditionalFormatting sqref="R83">
    <cfRule type="cellIs" dxfId="11458" priority="1713" operator="greaterThan">
      <formula>1</formula>
    </cfRule>
    <cfRule type="cellIs" dxfId="11457" priority="1714" operator="lessThan">
      <formula>0.8</formula>
    </cfRule>
  </conditionalFormatting>
  <conditionalFormatting sqref="P83">
    <cfRule type="cellIs" dxfId="11456" priority="1712" operator="greaterThan">
      <formula>0</formula>
    </cfRule>
  </conditionalFormatting>
  <conditionalFormatting sqref="Q83">
    <cfRule type="cellIs" dxfId="11455" priority="1717" operator="lessThan">
      <formula>0</formula>
    </cfRule>
  </conditionalFormatting>
  <conditionalFormatting sqref="Q83">
    <cfRule type="cellIs" dxfId="11454" priority="1706" operator="lessThan">
      <formula>0</formula>
    </cfRule>
  </conditionalFormatting>
  <conditionalFormatting sqref="P83">
    <cfRule type="cellIs" dxfId="11453" priority="1707" operator="greaterThan">
      <formula>0</formula>
    </cfRule>
  </conditionalFormatting>
  <conditionalFormatting sqref="R83">
    <cfRule type="cellIs" dxfId="11452" priority="1710" operator="lessThan">
      <formula>0.8</formula>
    </cfRule>
    <cfRule type="cellIs" dxfId="11451" priority="1711" operator="greaterThan">
      <formula>1</formula>
    </cfRule>
  </conditionalFormatting>
  <conditionalFormatting sqref="R83">
    <cfRule type="cellIs" dxfId="11450" priority="1708" operator="greaterThan">
      <formula>1</formula>
    </cfRule>
    <cfRule type="cellIs" dxfId="11449" priority="1709" operator="lessThan">
      <formula>0.8</formula>
    </cfRule>
  </conditionalFormatting>
  <conditionalFormatting sqref="Q83">
    <cfRule type="cellIs" dxfId="11448" priority="1700" operator="lessThan">
      <formula>0</formula>
    </cfRule>
  </conditionalFormatting>
  <conditionalFormatting sqref="R83">
    <cfRule type="cellIs" dxfId="11447" priority="1704" operator="lessThan">
      <formula>0.8</formula>
    </cfRule>
    <cfRule type="cellIs" dxfId="11446" priority="1705" operator="greaterThan">
      <formula>1</formula>
    </cfRule>
  </conditionalFormatting>
  <conditionalFormatting sqref="R83">
    <cfRule type="cellIs" dxfId="11445" priority="1702" operator="greaterThan">
      <formula>1</formula>
    </cfRule>
    <cfRule type="cellIs" dxfId="11444" priority="1703" operator="lessThan">
      <formula>0.8</formula>
    </cfRule>
  </conditionalFormatting>
  <conditionalFormatting sqref="P83">
    <cfRule type="cellIs" dxfId="11443" priority="1701" operator="greaterThan">
      <formula>0</formula>
    </cfRule>
  </conditionalFormatting>
  <conditionalFormatting sqref="Q83">
    <cfRule type="cellIs" dxfId="11442" priority="1699" operator="lessThan">
      <formula>0</formula>
    </cfRule>
  </conditionalFormatting>
  <conditionalFormatting sqref="R83">
    <cfRule type="cellIs" dxfId="11441" priority="1697" operator="lessThan">
      <formula>0.8</formula>
    </cfRule>
    <cfRule type="cellIs" dxfId="11440" priority="1698" operator="greaterThan">
      <formula>1</formula>
    </cfRule>
  </conditionalFormatting>
  <conditionalFormatting sqref="R83">
    <cfRule type="cellIs" dxfId="11439" priority="1695" operator="greaterThan">
      <formula>1</formula>
    </cfRule>
    <cfRule type="cellIs" dxfId="11438" priority="1696" operator="lessThan">
      <formula>0.8</formula>
    </cfRule>
  </conditionalFormatting>
  <conditionalFormatting sqref="P83">
    <cfRule type="cellIs" dxfId="11437" priority="1694" operator="greaterThan">
      <formula>0</formula>
    </cfRule>
  </conditionalFormatting>
  <conditionalFormatting sqref="Q83">
    <cfRule type="cellIs" dxfId="11436" priority="1693" operator="lessThan">
      <formula>0</formula>
    </cfRule>
  </conditionalFormatting>
  <conditionalFormatting sqref="R83">
    <cfRule type="cellIs" dxfId="11435" priority="1691" operator="lessThan">
      <formula>0.8</formula>
    </cfRule>
    <cfRule type="cellIs" dxfId="11434" priority="1692" operator="greaterThan">
      <formula>1</formula>
    </cfRule>
  </conditionalFormatting>
  <conditionalFormatting sqref="R83">
    <cfRule type="cellIs" dxfId="11433" priority="1689" operator="greaterThan">
      <formula>1</formula>
    </cfRule>
    <cfRule type="cellIs" dxfId="11432" priority="1690" operator="lessThan">
      <formula>0.8</formula>
    </cfRule>
  </conditionalFormatting>
  <conditionalFormatting sqref="P83">
    <cfRule type="cellIs" dxfId="11431" priority="1688" operator="greaterThan">
      <formula>0</formula>
    </cfRule>
  </conditionalFormatting>
  <conditionalFormatting sqref="Q83">
    <cfRule type="cellIs" dxfId="11430" priority="1687" operator="lessThan">
      <formula>0</formula>
    </cfRule>
  </conditionalFormatting>
  <conditionalFormatting sqref="R83">
    <cfRule type="cellIs" dxfId="11429" priority="1685" operator="lessThan">
      <formula>0.8</formula>
    </cfRule>
    <cfRule type="cellIs" dxfId="11428" priority="1686" operator="greaterThan">
      <formula>1</formula>
    </cfRule>
  </conditionalFormatting>
  <conditionalFormatting sqref="R83">
    <cfRule type="cellIs" dxfId="11427" priority="1683" operator="greaterThan">
      <formula>1</formula>
    </cfRule>
    <cfRule type="cellIs" dxfId="11426" priority="1684" operator="lessThan">
      <formula>0.8</formula>
    </cfRule>
  </conditionalFormatting>
  <conditionalFormatting sqref="P83">
    <cfRule type="cellIs" dxfId="11425" priority="1682" operator="greaterThan">
      <formula>0</formula>
    </cfRule>
  </conditionalFormatting>
  <conditionalFormatting sqref="Q32:Q39">
    <cfRule type="cellIs" dxfId="11424" priority="1676" operator="lessThan">
      <formula>0</formula>
    </cfRule>
  </conditionalFormatting>
  <conditionalFormatting sqref="P39">
    <cfRule type="cellIs" dxfId="11423" priority="1677" operator="greaterThan">
      <formula>0</formula>
    </cfRule>
  </conditionalFormatting>
  <conditionalFormatting sqref="R32:R39">
    <cfRule type="cellIs" dxfId="11422" priority="1680" operator="lessThan">
      <formula>0.8</formula>
    </cfRule>
    <cfRule type="cellIs" dxfId="11421" priority="1681" operator="greaterThan">
      <formula>1</formula>
    </cfRule>
  </conditionalFormatting>
  <conditionalFormatting sqref="R32:R39">
    <cfRule type="cellIs" dxfId="11420" priority="1678" operator="greaterThan">
      <formula>1</formula>
    </cfRule>
    <cfRule type="cellIs" dxfId="11419" priority="1679" operator="lessThan">
      <formula>0.8</formula>
    </cfRule>
  </conditionalFormatting>
  <conditionalFormatting sqref="Q32:Q39">
    <cfRule type="cellIs" dxfId="11418" priority="1670" operator="lessThan">
      <formula>0</formula>
    </cfRule>
  </conditionalFormatting>
  <conditionalFormatting sqref="R32:R39">
    <cfRule type="cellIs" dxfId="11417" priority="1674" operator="lessThan">
      <formula>0.8</formula>
    </cfRule>
    <cfRule type="cellIs" dxfId="11416" priority="1675" operator="greaterThan">
      <formula>1</formula>
    </cfRule>
  </conditionalFormatting>
  <conditionalFormatting sqref="R32:R39">
    <cfRule type="cellIs" dxfId="11415" priority="1672" operator="greaterThan">
      <formula>1</formula>
    </cfRule>
    <cfRule type="cellIs" dxfId="11414" priority="1673" operator="lessThan">
      <formula>0.8</formula>
    </cfRule>
  </conditionalFormatting>
  <conditionalFormatting sqref="P39">
    <cfRule type="cellIs" dxfId="11413" priority="1671" operator="greaterThan">
      <formula>0</formula>
    </cfRule>
  </conditionalFormatting>
  <conditionalFormatting sqref="Q32:Q39">
    <cfRule type="cellIs" dxfId="11412" priority="1669" operator="lessThan">
      <formula>0</formula>
    </cfRule>
  </conditionalFormatting>
  <conditionalFormatting sqref="R32:R39">
    <cfRule type="cellIs" dxfId="11411" priority="1667" operator="lessThan">
      <formula>0.8</formula>
    </cfRule>
    <cfRule type="cellIs" dxfId="11410" priority="1668" operator="greaterThan">
      <formula>1</formula>
    </cfRule>
  </conditionalFormatting>
  <conditionalFormatting sqref="R32:R39">
    <cfRule type="cellIs" dxfId="11409" priority="1665" operator="greaterThan">
      <formula>1</formula>
    </cfRule>
    <cfRule type="cellIs" dxfId="11408" priority="1666" operator="lessThan">
      <formula>0.8</formula>
    </cfRule>
  </conditionalFormatting>
  <conditionalFormatting sqref="P39">
    <cfRule type="cellIs" dxfId="11407" priority="1664" operator="greaterThan">
      <formula>0</formula>
    </cfRule>
  </conditionalFormatting>
  <conditionalFormatting sqref="Q32:Q39">
    <cfRule type="cellIs" dxfId="11406" priority="1663" operator="lessThan">
      <formula>0</formula>
    </cfRule>
  </conditionalFormatting>
  <conditionalFormatting sqref="R32:R39">
    <cfRule type="cellIs" dxfId="11405" priority="1661" operator="lessThan">
      <formula>0.8</formula>
    </cfRule>
    <cfRule type="cellIs" dxfId="11404" priority="1662" operator="greaterThan">
      <formula>1</formula>
    </cfRule>
  </conditionalFormatting>
  <conditionalFormatting sqref="R32:R39">
    <cfRule type="cellIs" dxfId="11403" priority="1659" operator="greaterThan">
      <formula>1</formula>
    </cfRule>
    <cfRule type="cellIs" dxfId="11402" priority="1660" operator="lessThan">
      <formula>0.8</formula>
    </cfRule>
  </conditionalFormatting>
  <conditionalFormatting sqref="P39">
    <cfRule type="cellIs" dxfId="11401" priority="1658" operator="greaterThan">
      <formula>0</formula>
    </cfRule>
  </conditionalFormatting>
  <conditionalFormatting sqref="Q32:Q39">
    <cfRule type="cellIs" dxfId="11400" priority="1652" operator="lessThan">
      <formula>0</formula>
    </cfRule>
  </conditionalFormatting>
  <conditionalFormatting sqref="R32:R39">
    <cfRule type="cellIs" dxfId="11399" priority="1656" operator="lessThan">
      <formula>0.8</formula>
    </cfRule>
    <cfRule type="cellIs" dxfId="11398" priority="1657" operator="greaterThan">
      <formula>1</formula>
    </cfRule>
  </conditionalFormatting>
  <conditionalFormatting sqref="R32:R39">
    <cfRule type="cellIs" dxfId="11397" priority="1654" operator="greaterThan">
      <formula>1</formula>
    </cfRule>
    <cfRule type="cellIs" dxfId="11396" priority="1655" operator="lessThan">
      <formula>0.8</formula>
    </cfRule>
  </conditionalFormatting>
  <conditionalFormatting sqref="P39">
    <cfRule type="cellIs" dxfId="11395" priority="1653" operator="greaterThan">
      <formula>0</formula>
    </cfRule>
  </conditionalFormatting>
  <conditionalFormatting sqref="Q32:Q39">
    <cfRule type="cellIs" dxfId="11394" priority="1651" operator="lessThan">
      <formula>0</formula>
    </cfRule>
  </conditionalFormatting>
  <conditionalFormatting sqref="R32:R39">
    <cfRule type="cellIs" dxfId="11393" priority="1649" operator="lessThan">
      <formula>0.8</formula>
    </cfRule>
    <cfRule type="cellIs" dxfId="11392" priority="1650" operator="greaterThan">
      <formula>1</formula>
    </cfRule>
  </conditionalFormatting>
  <conditionalFormatting sqref="R32:R39">
    <cfRule type="cellIs" dxfId="11391" priority="1647" operator="greaterThan">
      <formula>1</formula>
    </cfRule>
    <cfRule type="cellIs" dxfId="11390" priority="1648" operator="lessThan">
      <formula>0.8</formula>
    </cfRule>
  </conditionalFormatting>
  <conditionalFormatting sqref="P39">
    <cfRule type="cellIs" dxfId="11389" priority="1646" operator="greaterThan">
      <formula>0</formula>
    </cfRule>
  </conditionalFormatting>
  <conditionalFormatting sqref="Q32:Q39">
    <cfRule type="cellIs" dxfId="11388" priority="1645" operator="lessThan">
      <formula>0</formula>
    </cfRule>
  </conditionalFormatting>
  <conditionalFormatting sqref="R32:R39">
    <cfRule type="cellIs" dxfId="11387" priority="1643" operator="lessThan">
      <formula>0.8</formula>
    </cfRule>
    <cfRule type="cellIs" dxfId="11386" priority="1644" operator="greaterThan">
      <formula>1</formula>
    </cfRule>
  </conditionalFormatting>
  <conditionalFormatting sqref="R32:R39">
    <cfRule type="cellIs" dxfId="11385" priority="1641" operator="greaterThan">
      <formula>1</formula>
    </cfRule>
    <cfRule type="cellIs" dxfId="11384" priority="1642" operator="lessThan">
      <formula>0.8</formula>
    </cfRule>
  </conditionalFormatting>
  <conditionalFormatting sqref="P39">
    <cfRule type="cellIs" dxfId="11383" priority="1640" operator="greaterThan">
      <formula>0</formula>
    </cfRule>
  </conditionalFormatting>
  <conditionalFormatting sqref="Q32:Q39">
    <cfRule type="cellIs" dxfId="11382" priority="1639" operator="lessThan">
      <formula>0</formula>
    </cfRule>
  </conditionalFormatting>
  <conditionalFormatting sqref="R32:R39">
    <cfRule type="cellIs" dxfId="11381" priority="1637" operator="lessThan">
      <formula>0.8</formula>
    </cfRule>
    <cfRule type="cellIs" dxfId="11380" priority="1638" operator="greaterThan">
      <formula>1</formula>
    </cfRule>
  </conditionalFormatting>
  <conditionalFormatting sqref="R32:R39">
    <cfRule type="cellIs" dxfId="11379" priority="1635" operator="greaterThan">
      <formula>1</formula>
    </cfRule>
    <cfRule type="cellIs" dxfId="11378" priority="1636" operator="lessThan">
      <formula>0.8</formula>
    </cfRule>
  </conditionalFormatting>
  <conditionalFormatting sqref="P39">
    <cfRule type="cellIs" dxfId="11377" priority="1634" operator="greaterThan">
      <formula>0</formula>
    </cfRule>
  </conditionalFormatting>
  <conditionalFormatting sqref="Q32:Q39">
    <cfRule type="cellIs" dxfId="11376" priority="1633" operator="lessThan">
      <formula>0</formula>
    </cfRule>
  </conditionalFormatting>
  <conditionalFormatting sqref="R32:R39">
    <cfRule type="cellIs" dxfId="11375" priority="1631" operator="lessThan">
      <formula>0.8</formula>
    </cfRule>
    <cfRule type="cellIs" dxfId="11374" priority="1632" operator="greaterThan">
      <formula>1</formula>
    </cfRule>
  </conditionalFormatting>
  <conditionalFormatting sqref="R32:R39">
    <cfRule type="cellIs" dxfId="11373" priority="1629" operator="greaterThan">
      <formula>1</formula>
    </cfRule>
    <cfRule type="cellIs" dxfId="11372" priority="1630" operator="lessThan">
      <formula>0.8</formula>
    </cfRule>
  </conditionalFormatting>
  <conditionalFormatting sqref="P39">
    <cfRule type="cellIs" dxfId="11371" priority="1628" operator="greaterThan">
      <formula>0</formula>
    </cfRule>
  </conditionalFormatting>
  <conditionalFormatting sqref="Q32:Q39">
    <cfRule type="cellIs" dxfId="11370" priority="1627" operator="lessThan">
      <formula>0</formula>
    </cfRule>
  </conditionalFormatting>
  <conditionalFormatting sqref="R32:R39">
    <cfRule type="cellIs" dxfId="11369" priority="1625" operator="lessThan">
      <formula>0.8</formula>
    </cfRule>
    <cfRule type="cellIs" dxfId="11368" priority="1626" operator="greaterThan">
      <formula>1</formula>
    </cfRule>
  </conditionalFormatting>
  <conditionalFormatting sqref="R32:R39">
    <cfRule type="cellIs" dxfId="11367" priority="1623" operator="greaterThan">
      <formula>1</formula>
    </cfRule>
    <cfRule type="cellIs" dxfId="11366" priority="1624" operator="lessThan">
      <formula>0.8</formula>
    </cfRule>
  </conditionalFormatting>
  <conditionalFormatting sqref="P39">
    <cfRule type="cellIs" dxfId="11365" priority="1622" operator="greaterThan">
      <formula>0</formula>
    </cfRule>
  </conditionalFormatting>
  <conditionalFormatting sqref="P39">
    <cfRule type="cellIs" dxfId="11364" priority="1616" operator="greaterThan">
      <formula>0</formula>
    </cfRule>
  </conditionalFormatting>
  <conditionalFormatting sqref="Q32:Q39">
    <cfRule type="cellIs" dxfId="11363" priority="1621" operator="lessThan">
      <formula>0</formula>
    </cfRule>
  </conditionalFormatting>
  <conditionalFormatting sqref="R32:R39">
    <cfRule type="cellIs" dxfId="11362" priority="1619" operator="lessThan">
      <formula>0.8</formula>
    </cfRule>
    <cfRule type="cellIs" dxfId="11361" priority="1620" operator="greaterThan">
      <formula>1</formula>
    </cfRule>
  </conditionalFormatting>
  <conditionalFormatting sqref="R32:R39">
    <cfRule type="cellIs" dxfId="11360" priority="1617" operator="greaterThan">
      <formula>1</formula>
    </cfRule>
    <cfRule type="cellIs" dxfId="11359" priority="1618" operator="lessThan">
      <formula>0.8</formula>
    </cfRule>
  </conditionalFormatting>
  <conditionalFormatting sqref="P39">
    <cfRule type="cellIs" dxfId="11358" priority="1610" operator="greaterThan">
      <formula>0</formula>
    </cfRule>
  </conditionalFormatting>
  <conditionalFormatting sqref="Q32:Q39">
    <cfRule type="cellIs" dxfId="11357" priority="1615" operator="lessThan">
      <formula>0</formula>
    </cfRule>
  </conditionalFormatting>
  <conditionalFormatting sqref="R32:R39">
    <cfRule type="cellIs" dxfId="11356" priority="1613" operator="lessThan">
      <formula>0.8</formula>
    </cfRule>
    <cfRule type="cellIs" dxfId="11355" priority="1614" operator="greaterThan">
      <formula>1</formula>
    </cfRule>
  </conditionalFormatting>
  <conditionalFormatting sqref="R32:R39">
    <cfRule type="cellIs" dxfId="11354" priority="1611" operator="greaterThan">
      <formula>1</formula>
    </cfRule>
    <cfRule type="cellIs" dxfId="11353" priority="1612" operator="lessThan">
      <formula>0.8</formula>
    </cfRule>
  </conditionalFormatting>
  <conditionalFormatting sqref="R32:R39">
    <cfRule type="cellIs" dxfId="11352" priority="1607" operator="lessThan">
      <formula>0.8</formula>
    </cfRule>
    <cfRule type="cellIs" dxfId="11351" priority="1608" operator="greaterThan">
      <formula>1</formula>
    </cfRule>
  </conditionalFormatting>
  <conditionalFormatting sqref="R32:R39">
    <cfRule type="cellIs" dxfId="11350" priority="1605" operator="greaterThan">
      <formula>1</formula>
    </cfRule>
    <cfRule type="cellIs" dxfId="11349" priority="1606" operator="lessThan">
      <formula>0.8</formula>
    </cfRule>
  </conditionalFormatting>
  <conditionalFormatting sqref="P39">
    <cfRule type="cellIs" dxfId="11348" priority="1604" operator="greaterThan">
      <formula>0</formula>
    </cfRule>
  </conditionalFormatting>
  <conditionalFormatting sqref="Q32:Q39">
    <cfRule type="cellIs" dxfId="11347" priority="1609" operator="lessThan">
      <formula>0</formula>
    </cfRule>
  </conditionalFormatting>
  <conditionalFormatting sqref="Q32:Q39">
    <cfRule type="cellIs" dxfId="11346" priority="1598" operator="lessThan">
      <formula>0</formula>
    </cfRule>
  </conditionalFormatting>
  <conditionalFormatting sqref="P39">
    <cfRule type="cellIs" dxfId="11345" priority="1599" operator="greaterThan">
      <formula>0</formula>
    </cfRule>
  </conditionalFormatting>
  <conditionalFormatting sqref="R32:R39">
    <cfRule type="cellIs" dxfId="11344" priority="1602" operator="lessThan">
      <formula>0.8</formula>
    </cfRule>
    <cfRule type="cellIs" dxfId="11343" priority="1603" operator="greaterThan">
      <formula>1</formula>
    </cfRule>
  </conditionalFormatting>
  <conditionalFormatting sqref="R32:R39">
    <cfRule type="cellIs" dxfId="11342" priority="1600" operator="greaterThan">
      <formula>1</formula>
    </cfRule>
    <cfRule type="cellIs" dxfId="11341" priority="1601" operator="lessThan">
      <formula>0.8</formula>
    </cfRule>
  </conditionalFormatting>
  <conditionalFormatting sqref="Q32:Q39">
    <cfRule type="cellIs" dxfId="11340" priority="1592" operator="lessThan">
      <formula>0</formula>
    </cfRule>
  </conditionalFormatting>
  <conditionalFormatting sqref="R32:R39">
    <cfRule type="cellIs" dxfId="11339" priority="1596" operator="lessThan">
      <formula>0.8</formula>
    </cfRule>
    <cfRule type="cellIs" dxfId="11338" priority="1597" operator="greaterThan">
      <formula>1</formula>
    </cfRule>
  </conditionalFormatting>
  <conditionalFormatting sqref="R32:R39">
    <cfRule type="cellIs" dxfId="11337" priority="1594" operator="greaterThan">
      <formula>1</formula>
    </cfRule>
    <cfRule type="cellIs" dxfId="11336" priority="1595" operator="lessThan">
      <formula>0.8</formula>
    </cfRule>
  </conditionalFormatting>
  <conditionalFormatting sqref="P39">
    <cfRule type="cellIs" dxfId="11335" priority="1593" operator="greaterThan">
      <formula>0</formula>
    </cfRule>
  </conditionalFormatting>
  <conditionalFormatting sqref="Q32:Q39">
    <cfRule type="cellIs" dxfId="11334" priority="1591" operator="lessThan">
      <formula>0</formula>
    </cfRule>
  </conditionalFormatting>
  <conditionalFormatting sqref="R32:R39">
    <cfRule type="cellIs" dxfId="11333" priority="1589" operator="lessThan">
      <formula>0.8</formula>
    </cfRule>
    <cfRule type="cellIs" dxfId="11332" priority="1590" operator="greaterThan">
      <formula>1</formula>
    </cfRule>
  </conditionalFormatting>
  <conditionalFormatting sqref="R32:R39">
    <cfRule type="cellIs" dxfId="11331" priority="1587" operator="greaterThan">
      <formula>1</formula>
    </cfRule>
    <cfRule type="cellIs" dxfId="11330" priority="1588" operator="lessThan">
      <formula>0.8</formula>
    </cfRule>
  </conditionalFormatting>
  <conditionalFormatting sqref="P39">
    <cfRule type="cellIs" dxfId="11329" priority="1586" operator="greaterThan">
      <formula>0</formula>
    </cfRule>
  </conditionalFormatting>
  <conditionalFormatting sqref="Q32:Q39">
    <cfRule type="cellIs" dxfId="11328" priority="1585" operator="lessThan">
      <formula>0</formula>
    </cfRule>
  </conditionalFormatting>
  <conditionalFormatting sqref="R32:R39">
    <cfRule type="cellIs" dxfId="11327" priority="1583" operator="lessThan">
      <formula>0.8</formula>
    </cfRule>
    <cfRule type="cellIs" dxfId="11326" priority="1584" operator="greaterThan">
      <formula>1</formula>
    </cfRule>
  </conditionalFormatting>
  <conditionalFormatting sqref="R32:R39">
    <cfRule type="cellIs" dxfId="11325" priority="1581" operator="greaterThan">
      <formula>1</formula>
    </cfRule>
    <cfRule type="cellIs" dxfId="11324" priority="1582" operator="lessThan">
      <formula>0.8</formula>
    </cfRule>
  </conditionalFormatting>
  <conditionalFormatting sqref="P39">
    <cfRule type="cellIs" dxfId="11323" priority="1580" operator="greaterThan">
      <formula>0</formula>
    </cfRule>
  </conditionalFormatting>
  <conditionalFormatting sqref="Q32:Q39">
    <cfRule type="cellIs" dxfId="11322" priority="1574" operator="lessThan">
      <formula>0</formula>
    </cfRule>
  </conditionalFormatting>
  <conditionalFormatting sqref="P39">
    <cfRule type="cellIs" dxfId="11321" priority="1575" operator="greaterThan">
      <formula>0</formula>
    </cfRule>
  </conditionalFormatting>
  <conditionalFormatting sqref="R32:R39">
    <cfRule type="cellIs" dxfId="11320" priority="1578" operator="lessThan">
      <formula>0.8</formula>
    </cfRule>
    <cfRule type="cellIs" dxfId="11319" priority="1579" operator="greaterThan">
      <formula>1</formula>
    </cfRule>
  </conditionalFormatting>
  <conditionalFormatting sqref="R32:R39">
    <cfRule type="cellIs" dxfId="11318" priority="1576" operator="greaterThan">
      <formula>1</formula>
    </cfRule>
    <cfRule type="cellIs" dxfId="11317" priority="1577" operator="lessThan">
      <formula>0.8</formula>
    </cfRule>
  </conditionalFormatting>
  <conditionalFormatting sqref="Q32:Q39">
    <cfRule type="cellIs" dxfId="11316" priority="1568" operator="lessThan">
      <formula>0</formula>
    </cfRule>
  </conditionalFormatting>
  <conditionalFormatting sqref="R32:R39">
    <cfRule type="cellIs" dxfId="11315" priority="1572" operator="lessThan">
      <formula>0.8</formula>
    </cfRule>
    <cfRule type="cellIs" dxfId="11314" priority="1573" operator="greaterThan">
      <formula>1</formula>
    </cfRule>
  </conditionalFormatting>
  <conditionalFormatting sqref="R32:R39">
    <cfRule type="cellIs" dxfId="11313" priority="1570" operator="greaterThan">
      <formula>1</formula>
    </cfRule>
    <cfRule type="cellIs" dxfId="11312" priority="1571" operator="lessThan">
      <formula>0.8</formula>
    </cfRule>
  </conditionalFormatting>
  <conditionalFormatting sqref="P39">
    <cfRule type="cellIs" dxfId="11311" priority="1569" operator="greaterThan">
      <formula>0</formula>
    </cfRule>
  </conditionalFormatting>
  <conditionalFormatting sqref="Q32:Q39">
    <cfRule type="cellIs" dxfId="11310" priority="1567" operator="lessThan">
      <formula>0</formula>
    </cfRule>
  </conditionalFormatting>
  <conditionalFormatting sqref="R32:R39">
    <cfRule type="cellIs" dxfId="11309" priority="1565" operator="lessThan">
      <formula>0.8</formula>
    </cfRule>
    <cfRule type="cellIs" dxfId="11308" priority="1566" operator="greaterThan">
      <formula>1</formula>
    </cfRule>
  </conditionalFormatting>
  <conditionalFormatting sqref="R32:R39">
    <cfRule type="cellIs" dxfId="11307" priority="1563" operator="greaterThan">
      <formula>1</formula>
    </cfRule>
    <cfRule type="cellIs" dxfId="11306" priority="1564" operator="lessThan">
      <formula>0.8</formula>
    </cfRule>
  </conditionalFormatting>
  <conditionalFormatting sqref="P39">
    <cfRule type="cellIs" dxfId="11305" priority="1562" operator="greaterThan">
      <formula>0</formula>
    </cfRule>
  </conditionalFormatting>
  <conditionalFormatting sqref="Q32:Q39">
    <cfRule type="cellIs" dxfId="11304" priority="1561" operator="lessThan">
      <formula>0</formula>
    </cfRule>
  </conditionalFormatting>
  <conditionalFormatting sqref="R32:R39">
    <cfRule type="cellIs" dxfId="11303" priority="1559" operator="lessThan">
      <formula>0.8</formula>
    </cfRule>
    <cfRule type="cellIs" dxfId="11302" priority="1560" operator="greaterThan">
      <formula>1</formula>
    </cfRule>
  </conditionalFormatting>
  <conditionalFormatting sqref="R32:R39">
    <cfRule type="cellIs" dxfId="11301" priority="1557" operator="greaterThan">
      <formula>1</formula>
    </cfRule>
    <cfRule type="cellIs" dxfId="11300" priority="1558" operator="lessThan">
      <formula>0.8</formula>
    </cfRule>
  </conditionalFormatting>
  <conditionalFormatting sqref="P39">
    <cfRule type="cellIs" dxfId="11299" priority="1556" operator="greaterThan">
      <formula>0</formula>
    </cfRule>
  </conditionalFormatting>
  <conditionalFormatting sqref="Q19:Q25">
    <cfRule type="cellIs" dxfId="11298" priority="1555" operator="lessThan">
      <formula>0</formula>
    </cfRule>
  </conditionalFormatting>
  <conditionalFormatting sqref="R19:R25">
    <cfRule type="cellIs" dxfId="11297" priority="1553" operator="lessThan">
      <formula>0.8</formula>
    </cfRule>
    <cfRule type="cellIs" dxfId="11296" priority="1554" operator="greaterThan">
      <formula>1</formula>
    </cfRule>
  </conditionalFormatting>
  <conditionalFormatting sqref="R19:R25">
    <cfRule type="cellIs" dxfId="11295" priority="1551" operator="greaterThan">
      <formula>1</formula>
    </cfRule>
    <cfRule type="cellIs" dxfId="11294" priority="1552" operator="lessThan">
      <formula>0.8</formula>
    </cfRule>
  </conditionalFormatting>
  <conditionalFormatting sqref="P19:P25">
    <cfRule type="cellIs" dxfId="11293" priority="1550" operator="greaterThan">
      <formula>0</formula>
    </cfRule>
  </conditionalFormatting>
  <conditionalFormatting sqref="R19:R25">
    <cfRule type="cellIs" dxfId="11292" priority="1547" operator="lessThan">
      <formula>0.8</formula>
    </cfRule>
    <cfRule type="cellIs" dxfId="11291" priority="1548" operator="greaterThan">
      <formula>1</formula>
    </cfRule>
  </conditionalFormatting>
  <conditionalFormatting sqref="R19:R25">
    <cfRule type="cellIs" dxfId="11290" priority="1545" operator="greaterThan">
      <formula>1</formula>
    </cfRule>
    <cfRule type="cellIs" dxfId="11289" priority="1546" operator="lessThan">
      <formula>0.8</formula>
    </cfRule>
  </conditionalFormatting>
  <conditionalFormatting sqref="P19:P25">
    <cfRule type="cellIs" dxfId="11288" priority="1544" operator="greaterThan">
      <formula>0</formula>
    </cfRule>
  </conditionalFormatting>
  <conditionalFormatting sqref="Q19:Q25">
    <cfRule type="cellIs" dxfId="11287" priority="1549" operator="lessThan">
      <formula>0</formula>
    </cfRule>
  </conditionalFormatting>
  <conditionalFormatting sqref="R19:R25">
    <cfRule type="cellIs" dxfId="11286" priority="1541" operator="lessThan">
      <formula>0.8</formula>
    </cfRule>
    <cfRule type="cellIs" dxfId="11285" priority="1542" operator="greaterThan">
      <formula>1</formula>
    </cfRule>
  </conditionalFormatting>
  <conditionalFormatting sqref="R19:R25">
    <cfRule type="cellIs" dxfId="11284" priority="1539" operator="greaterThan">
      <formula>1</formula>
    </cfRule>
    <cfRule type="cellIs" dxfId="11283" priority="1540" operator="lessThan">
      <formula>0.8</formula>
    </cfRule>
  </conditionalFormatting>
  <conditionalFormatting sqref="P19:P25">
    <cfRule type="cellIs" dxfId="11282" priority="1538" operator="greaterThan">
      <formula>0</formula>
    </cfRule>
  </conditionalFormatting>
  <conditionalFormatting sqref="Q19:Q25">
    <cfRule type="cellIs" dxfId="11281" priority="1543" operator="lessThan">
      <formula>0</formula>
    </cfRule>
  </conditionalFormatting>
  <conditionalFormatting sqref="Q19:Q25">
    <cfRule type="cellIs" dxfId="11280" priority="1537" operator="lessThan">
      <formula>0</formula>
    </cfRule>
  </conditionalFormatting>
  <conditionalFormatting sqref="R19:R25">
    <cfRule type="cellIs" dxfId="11279" priority="1535" operator="lessThan">
      <formula>0.8</formula>
    </cfRule>
    <cfRule type="cellIs" dxfId="11278" priority="1536" operator="greaterThan">
      <formula>1</formula>
    </cfRule>
  </conditionalFormatting>
  <conditionalFormatting sqref="R19:R25">
    <cfRule type="cellIs" dxfId="11277" priority="1533" operator="greaterThan">
      <formula>1</formula>
    </cfRule>
    <cfRule type="cellIs" dxfId="11276" priority="1534" operator="lessThan">
      <formula>0.8</formula>
    </cfRule>
  </conditionalFormatting>
  <conditionalFormatting sqref="P19:P25">
    <cfRule type="cellIs" dxfId="11275" priority="1532" operator="greaterThan">
      <formula>0</formula>
    </cfRule>
  </conditionalFormatting>
  <conditionalFormatting sqref="Q135:Q136">
    <cfRule type="cellIs" dxfId="11274" priority="1531" operator="lessThan">
      <formula>0</formula>
    </cfRule>
  </conditionalFormatting>
  <conditionalFormatting sqref="R135:R136 R139:R144">
    <cfRule type="cellIs" dxfId="11273" priority="1529" operator="lessThan">
      <formula>0.8</formula>
    </cfRule>
    <cfRule type="cellIs" dxfId="11272" priority="1530" operator="greaterThan">
      <formula>1</formula>
    </cfRule>
  </conditionalFormatting>
  <conditionalFormatting sqref="R135:R136 R139:R144">
    <cfRule type="cellIs" dxfId="11271" priority="1527" operator="greaterThan">
      <formula>1</formula>
    </cfRule>
    <cfRule type="cellIs" dxfId="11270" priority="1528" operator="lessThan">
      <formula>0.8</formula>
    </cfRule>
  </conditionalFormatting>
  <conditionalFormatting sqref="P135:P136 P139">
    <cfRule type="cellIs" dxfId="11269" priority="1526" operator="greaterThan">
      <formula>0</formula>
    </cfRule>
  </conditionalFormatting>
  <conditionalFormatting sqref="P135:P136 P139">
    <cfRule type="cellIs" dxfId="11268" priority="1520" operator="greaterThan">
      <formula>0</formula>
    </cfRule>
  </conditionalFormatting>
  <conditionalFormatting sqref="Q135:Q136">
    <cfRule type="cellIs" dxfId="11267" priority="1525" operator="lessThan">
      <formula>0</formula>
    </cfRule>
  </conditionalFormatting>
  <conditionalFormatting sqref="R135:R136 R139:R144">
    <cfRule type="cellIs" dxfId="11266" priority="1523" operator="lessThan">
      <formula>0.8</formula>
    </cfRule>
    <cfRule type="cellIs" dxfId="11265" priority="1524" operator="greaterThan">
      <formula>1</formula>
    </cfRule>
  </conditionalFormatting>
  <conditionalFormatting sqref="R135:R136 R139:R144">
    <cfRule type="cellIs" dxfId="11264" priority="1521" operator="greaterThan">
      <formula>1</formula>
    </cfRule>
    <cfRule type="cellIs" dxfId="11263" priority="1522" operator="lessThan">
      <formula>0.8</formula>
    </cfRule>
  </conditionalFormatting>
  <conditionalFormatting sqref="P19:P25">
    <cfRule type="cellIs" dxfId="11262" priority="1514" operator="greaterThan">
      <formula>0</formula>
    </cfRule>
  </conditionalFormatting>
  <conditionalFormatting sqref="Q19:Q25">
    <cfRule type="cellIs" dxfId="11261" priority="1519" operator="lessThan">
      <formula>0</formula>
    </cfRule>
  </conditionalFormatting>
  <conditionalFormatting sqref="R19:R25">
    <cfRule type="cellIs" dxfId="11260" priority="1517" operator="lessThan">
      <formula>0.8</formula>
    </cfRule>
    <cfRule type="cellIs" dxfId="11259" priority="1518" operator="greaterThan">
      <formula>1</formula>
    </cfRule>
  </conditionalFormatting>
  <conditionalFormatting sqref="R19:R25">
    <cfRule type="cellIs" dxfId="11258" priority="1515" operator="greaterThan">
      <formula>1</formula>
    </cfRule>
    <cfRule type="cellIs" dxfId="11257" priority="1516" operator="lessThan">
      <formula>0.8</formula>
    </cfRule>
  </conditionalFormatting>
  <conditionalFormatting sqref="Q19:Q25">
    <cfRule type="cellIs" dxfId="11256" priority="1513" operator="lessThan">
      <formula>0</formula>
    </cfRule>
  </conditionalFormatting>
  <conditionalFormatting sqref="R19:R25">
    <cfRule type="cellIs" dxfId="11255" priority="1511" operator="lessThan">
      <formula>0.8</formula>
    </cfRule>
    <cfRule type="cellIs" dxfId="11254" priority="1512" operator="greaterThan">
      <formula>1</formula>
    </cfRule>
  </conditionalFormatting>
  <conditionalFormatting sqref="R19:R25">
    <cfRule type="cellIs" dxfId="11253" priority="1509" operator="greaterThan">
      <formula>1</formula>
    </cfRule>
    <cfRule type="cellIs" dxfId="11252" priority="1510" operator="lessThan">
      <formula>0.8</formula>
    </cfRule>
  </conditionalFormatting>
  <conditionalFormatting sqref="P19:P25">
    <cfRule type="cellIs" dxfId="11251" priority="1508" operator="greaterThan">
      <formula>0</formula>
    </cfRule>
  </conditionalFormatting>
  <conditionalFormatting sqref="Q19:Q25">
    <cfRule type="cellIs" dxfId="11250" priority="1507" operator="lessThan">
      <formula>0</formula>
    </cfRule>
  </conditionalFormatting>
  <conditionalFormatting sqref="R19:R25">
    <cfRule type="cellIs" dxfId="11249" priority="1505" operator="lessThan">
      <formula>0.8</formula>
    </cfRule>
    <cfRule type="cellIs" dxfId="11248" priority="1506" operator="greaterThan">
      <formula>1</formula>
    </cfRule>
  </conditionalFormatting>
  <conditionalFormatting sqref="R19:R25">
    <cfRule type="cellIs" dxfId="11247" priority="1503" operator="greaterThan">
      <formula>1</formula>
    </cfRule>
    <cfRule type="cellIs" dxfId="11246" priority="1504" operator="lessThan">
      <formula>0.8</formula>
    </cfRule>
  </conditionalFormatting>
  <conditionalFormatting sqref="P19:P25">
    <cfRule type="cellIs" dxfId="11245" priority="1502" operator="greaterThan">
      <formula>0</formula>
    </cfRule>
  </conditionalFormatting>
  <conditionalFormatting sqref="Q19:Q25">
    <cfRule type="cellIs" dxfId="11244" priority="1501" operator="lessThan">
      <formula>0</formula>
    </cfRule>
  </conditionalFormatting>
  <conditionalFormatting sqref="R19:R25">
    <cfRule type="cellIs" dxfId="11243" priority="1499" operator="lessThan">
      <formula>0.8</formula>
    </cfRule>
    <cfRule type="cellIs" dxfId="11242" priority="1500" operator="greaterThan">
      <formula>1</formula>
    </cfRule>
  </conditionalFormatting>
  <conditionalFormatting sqref="R19:R25">
    <cfRule type="cellIs" dxfId="11241" priority="1497" operator="greaterThan">
      <formula>1</formula>
    </cfRule>
    <cfRule type="cellIs" dxfId="11240" priority="1498" operator="lessThan">
      <formula>0.8</formula>
    </cfRule>
  </conditionalFormatting>
  <conditionalFormatting sqref="P19:P25">
    <cfRule type="cellIs" dxfId="11239" priority="1496" operator="greaterThan">
      <formula>0</formula>
    </cfRule>
  </conditionalFormatting>
  <conditionalFormatting sqref="R19:R25">
    <cfRule type="cellIs" dxfId="11238" priority="1493" operator="lessThan">
      <formula>0.8</formula>
    </cfRule>
    <cfRule type="cellIs" dxfId="11237" priority="1494" operator="greaterThan">
      <formula>1</formula>
    </cfRule>
  </conditionalFormatting>
  <conditionalFormatting sqref="R19:R25">
    <cfRule type="cellIs" dxfId="11236" priority="1491" operator="greaterThan">
      <formula>1</formula>
    </cfRule>
    <cfRule type="cellIs" dxfId="11235" priority="1492" operator="lessThan">
      <formula>0.8</formula>
    </cfRule>
  </conditionalFormatting>
  <conditionalFormatting sqref="P19:P25">
    <cfRule type="cellIs" dxfId="11234" priority="1490" operator="greaterThan">
      <formula>0</formula>
    </cfRule>
  </conditionalFormatting>
  <conditionalFormatting sqref="Q19:Q25">
    <cfRule type="cellIs" dxfId="11233" priority="1495" operator="lessThan">
      <formula>0</formula>
    </cfRule>
  </conditionalFormatting>
  <conditionalFormatting sqref="Q19:Q25">
    <cfRule type="cellIs" dxfId="11232" priority="1489" operator="lessThan">
      <formula>0</formula>
    </cfRule>
  </conditionalFormatting>
  <conditionalFormatting sqref="R19:R25">
    <cfRule type="cellIs" dxfId="11231" priority="1487" operator="lessThan">
      <formula>0.8</formula>
    </cfRule>
    <cfRule type="cellIs" dxfId="11230" priority="1488" operator="greaterThan">
      <formula>1</formula>
    </cfRule>
  </conditionalFormatting>
  <conditionalFormatting sqref="R19:R25">
    <cfRule type="cellIs" dxfId="11229" priority="1485" operator="greaterThan">
      <formula>1</formula>
    </cfRule>
    <cfRule type="cellIs" dxfId="11228" priority="1486" operator="lessThan">
      <formula>0.8</formula>
    </cfRule>
  </conditionalFormatting>
  <conditionalFormatting sqref="P19:P25">
    <cfRule type="cellIs" dxfId="11227" priority="1484" operator="greaterThan">
      <formula>0</formula>
    </cfRule>
  </conditionalFormatting>
  <conditionalFormatting sqref="P19:P25">
    <cfRule type="cellIs" dxfId="11226" priority="1478" operator="greaterThan">
      <formula>0</formula>
    </cfRule>
  </conditionalFormatting>
  <conditionalFormatting sqref="Q19:Q25">
    <cfRule type="cellIs" dxfId="11225" priority="1483" operator="lessThan">
      <formula>0</formula>
    </cfRule>
  </conditionalFormatting>
  <conditionalFormatting sqref="R19:R25">
    <cfRule type="cellIs" dxfId="11224" priority="1481" operator="lessThan">
      <formula>0.8</formula>
    </cfRule>
    <cfRule type="cellIs" dxfId="11223" priority="1482" operator="greaterThan">
      <formula>1</formula>
    </cfRule>
  </conditionalFormatting>
  <conditionalFormatting sqref="R19:R25">
    <cfRule type="cellIs" dxfId="11222" priority="1479" operator="greaterThan">
      <formula>1</formula>
    </cfRule>
    <cfRule type="cellIs" dxfId="11221" priority="1480" operator="lessThan">
      <formula>0.8</formula>
    </cfRule>
  </conditionalFormatting>
  <conditionalFormatting sqref="P19:P25">
    <cfRule type="cellIs" dxfId="11220" priority="1472" operator="greaterThan">
      <formula>0</formula>
    </cfRule>
  </conditionalFormatting>
  <conditionalFormatting sqref="Q19:Q25">
    <cfRule type="cellIs" dxfId="11219" priority="1477" operator="lessThan">
      <formula>0</formula>
    </cfRule>
  </conditionalFormatting>
  <conditionalFormatting sqref="R19:R25">
    <cfRule type="cellIs" dxfId="11218" priority="1475" operator="lessThan">
      <formula>0.8</formula>
    </cfRule>
    <cfRule type="cellIs" dxfId="11217" priority="1476" operator="greaterThan">
      <formula>1</formula>
    </cfRule>
  </conditionalFormatting>
  <conditionalFormatting sqref="R19:R25">
    <cfRule type="cellIs" dxfId="11216" priority="1473" operator="greaterThan">
      <formula>1</formula>
    </cfRule>
    <cfRule type="cellIs" dxfId="11215" priority="1474" operator="lessThan">
      <formula>0.8</formula>
    </cfRule>
  </conditionalFormatting>
  <conditionalFormatting sqref="Q19:Q25">
    <cfRule type="cellIs" dxfId="11214" priority="1471" operator="lessThan">
      <formula>0</formula>
    </cfRule>
  </conditionalFormatting>
  <conditionalFormatting sqref="R19:R25">
    <cfRule type="cellIs" dxfId="11213" priority="1469" operator="lessThan">
      <formula>0.8</formula>
    </cfRule>
    <cfRule type="cellIs" dxfId="11212" priority="1470" operator="greaterThan">
      <formula>1</formula>
    </cfRule>
  </conditionalFormatting>
  <conditionalFormatting sqref="R19:R25">
    <cfRule type="cellIs" dxfId="11211" priority="1467" operator="greaterThan">
      <formula>1</formula>
    </cfRule>
    <cfRule type="cellIs" dxfId="11210" priority="1468" operator="lessThan">
      <formula>0.8</formula>
    </cfRule>
  </conditionalFormatting>
  <conditionalFormatting sqref="P19:P25">
    <cfRule type="cellIs" dxfId="11209" priority="1466" operator="greaterThan">
      <formula>0</formula>
    </cfRule>
  </conditionalFormatting>
  <conditionalFormatting sqref="Q19:Q25">
    <cfRule type="cellIs" dxfId="11208" priority="1465" operator="lessThan">
      <formula>0</formula>
    </cfRule>
  </conditionalFormatting>
  <conditionalFormatting sqref="R19:R25">
    <cfRule type="cellIs" dxfId="11207" priority="1463" operator="lessThan">
      <formula>0.8</formula>
    </cfRule>
    <cfRule type="cellIs" dxfId="11206" priority="1464" operator="greaterThan">
      <formula>1</formula>
    </cfRule>
  </conditionalFormatting>
  <conditionalFormatting sqref="R19:R25">
    <cfRule type="cellIs" dxfId="11205" priority="1461" operator="greaterThan">
      <formula>1</formula>
    </cfRule>
    <cfRule type="cellIs" dxfId="11204" priority="1462" operator="lessThan">
      <formula>0.8</formula>
    </cfRule>
  </conditionalFormatting>
  <conditionalFormatting sqref="P19:P25">
    <cfRule type="cellIs" dxfId="11203" priority="1460" operator="greaterThan">
      <formula>0</formula>
    </cfRule>
  </conditionalFormatting>
  <conditionalFormatting sqref="P19:P25">
    <cfRule type="cellIs" dxfId="11202" priority="1454" operator="greaterThan">
      <formula>0</formula>
    </cfRule>
  </conditionalFormatting>
  <conditionalFormatting sqref="Q19:Q25">
    <cfRule type="cellIs" dxfId="11201" priority="1459" operator="lessThan">
      <formula>0</formula>
    </cfRule>
  </conditionalFormatting>
  <conditionalFormatting sqref="R19:R25">
    <cfRule type="cellIs" dxfId="11200" priority="1457" operator="lessThan">
      <formula>0.8</formula>
    </cfRule>
    <cfRule type="cellIs" dxfId="11199" priority="1458" operator="greaterThan">
      <formula>1</formula>
    </cfRule>
  </conditionalFormatting>
  <conditionalFormatting sqref="R19:R25">
    <cfRule type="cellIs" dxfId="11198" priority="1455" operator="greaterThan">
      <formula>1</formula>
    </cfRule>
    <cfRule type="cellIs" dxfId="11197" priority="1456" operator="lessThan">
      <formula>0.8</formula>
    </cfRule>
  </conditionalFormatting>
  <conditionalFormatting sqref="Q19:Q25">
    <cfRule type="cellIs" dxfId="11196" priority="1453" operator="lessThan">
      <formula>0</formula>
    </cfRule>
  </conditionalFormatting>
  <conditionalFormatting sqref="R19:R25">
    <cfRule type="cellIs" dxfId="11195" priority="1451" operator="lessThan">
      <formula>0.8</formula>
    </cfRule>
    <cfRule type="cellIs" dxfId="11194" priority="1452" operator="greaterThan">
      <formula>1</formula>
    </cfRule>
  </conditionalFormatting>
  <conditionalFormatting sqref="R19:R25">
    <cfRule type="cellIs" dxfId="11193" priority="1449" operator="greaterThan">
      <formula>1</formula>
    </cfRule>
    <cfRule type="cellIs" dxfId="11192" priority="1450" operator="lessThan">
      <formula>0.8</formula>
    </cfRule>
  </conditionalFormatting>
  <conditionalFormatting sqref="P19:P25">
    <cfRule type="cellIs" dxfId="11191" priority="1448" operator="greaterThan">
      <formula>0</formula>
    </cfRule>
  </conditionalFormatting>
  <conditionalFormatting sqref="Q19:Q25">
    <cfRule type="cellIs" dxfId="11190" priority="1447" operator="lessThan">
      <formula>0</formula>
    </cfRule>
  </conditionalFormatting>
  <conditionalFormatting sqref="R19:R25">
    <cfRule type="cellIs" dxfId="11189" priority="1445" operator="lessThan">
      <formula>0.8</formula>
    </cfRule>
    <cfRule type="cellIs" dxfId="11188" priority="1446" operator="greaterThan">
      <formula>1</formula>
    </cfRule>
  </conditionalFormatting>
  <conditionalFormatting sqref="R19:R25">
    <cfRule type="cellIs" dxfId="11187" priority="1443" operator="greaterThan">
      <formula>1</formula>
    </cfRule>
    <cfRule type="cellIs" dxfId="11186" priority="1444" operator="lessThan">
      <formula>0.8</formula>
    </cfRule>
  </conditionalFormatting>
  <conditionalFormatting sqref="P19:P25">
    <cfRule type="cellIs" dxfId="11185" priority="1442" operator="greaterThan">
      <formula>0</formula>
    </cfRule>
  </conditionalFormatting>
  <conditionalFormatting sqref="Q19:Q25">
    <cfRule type="cellIs" dxfId="11184" priority="1441" operator="lessThan">
      <formula>0</formula>
    </cfRule>
  </conditionalFormatting>
  <conditionalFormatting sqref="R19:R25">
    <cfRule type="cellIs" dxfId="11183" priority="1439" operator="lessThan">
      <formula>0.8</formula>
    </cfRule>
    <cfRule type="cellIs" dxfId="11182" priority="1440" operator="greaterThan">
      <formula>1</formula>
    </cfRule>
  </conditionalFormatting>
  <conditionalFormatting sqref="R19:R25">
    <cfRule type="cellIs" dxfId="11181" priority="1437" operator="greaterThan">
      <formula>1</formula>
    </cfRule>
    <cfRule type="cellIs" dxfId="11180" priority="1438" operator="lessThan">
      <formula>0.8</formula>
    </cfRule>
  </conditionalFormatting>
  <conditionalFormatting sqref="P19:P25">
    <cfRule type="cellIs" dxfId="11179" priority="1436" operator="greaterThan">
      <formula>0</formula>
    </cfRule>
  </conditionalFormatting>
  <conditionalFormatting sqref="R19:R25">
    <cfRule type="cellIs" dxfId="11178" priority="1433" operator="lessThan">
      <formula>0.8</formula>
    </cfRule>
    <cfRule type="cellIs" dxfId="11177" priority="1434" operator="greaterThan">
      <formula>1</formula>
    </cfRule>
  </conditionalFormatting>
  <conditionalFormatting sqref="R19:R25">
    <cfRule type="cellIs" dxfId="11176" priority="1431" operator="greaterThan">
      <formula>1</formula>
    </cfRule>
    <cfRule type="cellIs" dxfId="11175" priority="1432" operator="lessThan">
      <formula>0.8</formula>
    </cfRule>
  </conditionalFormatting>
  <conditionalFormatting sqref="P19:P25">
    <cfRule type="cellIs" dxfId="11174" priority="1430" operator="greaterThan">
      <formula>0</formula>
    </cfRule>
  </conditionalFormatting>
  <conditionalFormatting sqref="Q19:Q25">
    <cfRule type="cellIs" dxfId="11173" priority="1435" operator="lessThan">
      <formula>0</formula>
    </cfRule>
  </conditionalFormatting>
  <conditionalFormatting sqref="Q40">
    <cfRule type="cellIs" dxfId="11172" priority="1429" operator="lessThan">
      <formula>0</formula>
    </cfRule>
  </conditionalFormatting>
  <conditionalFormatting sqref="R40">
    <cfRule type="cellIs" dxfId="11171" priority="1427" operator="lessThan">
      <formula>0.8</formula>
    </cfRule>
    <cfRule type="cellIs" dxfId="11170" priority="1428" operator="greaterThan">
      <formula>1</formula>
    </cfRule>
  </conditionalFormatting>
  <conditionalFormatting sqref="R40">
    <cfRule type="cellIs" dxfId="11169" priority="1425" operator="greaterThan">
      <formula>1</formula>
    </cfRule>
    <cfRule type="cellIs" dxfId="11168" priority="1426" operator="lessThan">
      <formula>0.8</formula>
    </cfRule>
  </conditionalFormatting>
  <conditionalFormatting sqref="P40">
    <cfRule type="cellIs" dxfId="11167" priority="1424" operator="greaterThan">
      <formula>0</formula>
    </cfRule>
  </conditionalFormatting>
  <conditionalFormatting sqref="P40">
    <cfRule type="cellIs" dxfId="11166" priority="1418" operator="greaterThan">
      <formula>0</formula>
    </cfRule>
  </conditionalFormatting>
  <conditionalFormatting sqref="Q40">
    <cfRule type="cellIs" dxfId="11165" priority="1423" operator="lessThan">
      <formula>0</formula>
    </cfRule>
  </conditionalFormatting>
  <conditionalFormatting sqref="R40">
    <cfRule type="cellIs" dxfId="11164" priority="1421" operator="lessThan">
      <formula>0.8</formula>
    </cfRule>
    <cfRule type="cellIs" dxfId="11163" priority="1422" operator="greaterThan">
      <formula>1</formula>
    </cfRule>
  </conditionalFormatting>
  <conditionalFormatting sqref="R40">
    <cfRule type="cellIs" dxfId="11162" priority="1419" operator="greaterThan">
      <formula>1</formula>
    </cfRule>
    <cfRule type="cellIs" dxfId="11161" priority="1420" operator="lessThan">
      <formula>0.8</formula>
    </cfRule>
  </conditionalFormatting>
  <conditionalFormatting sqref="P40">
    <cfRule type="cellIs" dxfId="11160" priority="1412" operator="greaterThan">
      <formula>0</formula>
    </cfRule>
  </conditionalFormatting>
  <conditionalFormatting sqref="Q40">
    <cfRule type="cellIs" dxfId="11159" priority="1417" operator="lessThan">
      <formula>0</formula>
    </cfRule>
  </conditionalFormatting>
  <conditionalFormatting sqref="R40">
    <cfRule type="cellIs" dxfId="11158" priority="1415" operator="lessThan">
      <formula>0.8</formula>
    </cfRule>
    <cfRule type="cellIs" dxfId="11157" priority="1416" operator="greaterThan">
      <formula>1</formula>
    </cfRule>
  </conditionalFormatting>
  <conditionalFormatting sqref="R40">
    <cfRule type="cellIs" dxfId="11156" priority="1413" operator="greaterThan">
      <formula>1</formula>
    </cfRule>
    <cfRule type="cellIs" dxfId="11155" priority="1414" operator="lessThan">
      <formula>0.8</formula>
    </cfRule>
  </conditionalFormatting>
  <conditionalFormatting sqref="Q40">
    <cfRule type="cellIs" dxfId="11154" priority="1411" operator="lessThan">
      <formula>0</formula>
    </cfRule>
  </conditionalFormatting>
  <conditionalFormatting sqref="R40">
    <cfRule type="cellIs" dxfId="11153" priority="1409" operator="lessThan">
      <formula>0.8</formula>
    </cfRule>
    <cfRule type="cellIs" dxfId="11152" priority="1410" operator="greaterThan">
      <formula>1</formula>
    </cfRule>
  </conditionalFormatting>
  <conditionalFormatting sqref="R40">
    <cfRule type="cellIs" dxfId="11151" priority="1407" operator="greaterThan">
      <formula>1</formula>
    </cfRule>
    <cfRule type="cellIs" dxfId="11150" priority="1408" operator="lessThan">
      <formula>0.8</formula>
    </cfRule>
  </conditionalFormatting>
  <conditionalFormatting sqref="P40">
    <cfRule type="cellIs" dxfId="11149" priority="1406" operator="greaterThan">
      <formula>0</formula>
    </cfRule>
  </conditionalFormatting>
  <conditionalFormatting sqref="P40">
    <cfRule type="cellIs" dxfId="11148" priority="1400" operator="greaterThan">
      <formula>0</formula>
    </cfRule>
  </conditionalFormatting>
  <conditionalFormatting sqref="Q40">
    <cfRule type="cellIs" dxfId="11147" priority="1405" operator="lessThan">
      <formula>0</formula>
    </cfRule>
  </conditionalFormatting>
  <conditionalFormatting sqref="R40">
    <cfRule type="cellIs" dxfId="11146" priority="1403" operator="lessThan">
      <formula>0.8</formula>
    </cfRule>
    <cfRule type="cellIs" dxfId="11145" priority="1404" operator="greaterThan">
      <formula>1</formula>
    </cfRule>
  </conditionalFormatting>
  <conditionalFormatting sqref="R40">
    <cfRule type="cellIs" dxfId="11144" priority="1401" operator="greaterThan">
      <formula>1</formula>
    </cfRule>
    <cfRule type="cellIs" dxfId="11143" priority="1402" operator="lessThan">
      <formula>0.8</formula>
    </cfRule>
  </conditionalFormatting>
  <conditionalFormatting sqref="P40">
    <cfRule type="cellIs" dxfId="11142" priority="1394" operator="greaterThan">
      <formula>0</formula>
    </cfRule>
  </conditionalFormatting>
  <conditionalFormatting sqref="Q40">
    <cfRule type="cellIs" dxfId="11141" priority="1399" operator="lessThan">
      <formula>0</formula>
    </cfRule>
  </conditionalFormatting>
  <conditionalFormatting sqref="R40">
    <cfRule type="cellIs" dxfId="11140" priority="1397" operator="lessThan">
      <formula>0.8</formula>
    </cfRule>
    <cfRule type="cellIs" dxfId="11139" priority="1398" operator="greaterThan">
      <formula>1</formula>
    </cfRule>
  </conditionalFormatting>
  <conditionalFormatting sqref="R40">
    <cfRule type="cellIs" dxfId="11138" priority="1395" operator="greaterThan">
      <formula>1</formula>
    </cfRule>
    <cfRule type="cellIs" dxfId="11137" priority="1396" operator="lessThan">
      <formula>0.8</formula>
    </cfRule>
  </conditionalFormatting>
  <conditionalFormatting sqref="P40">
    <cfRule type="cellIs" dxfId="11136" priority="1388" operator="greaterThan">
      <formula>0</formula>
    </cfRule>
  </conditionalFormatting>
  <conditionalFormatting sqref="Q40">
    <cfRule type="cellIs" dxfId="11135" priority="1393" operator="lessThan">
      <formula>0</formula>
    </cfRule>
  </conditionalFormatting>
  <conditionalFormatting sqref="R40">
    <cfRule type="cellIs" dxfId="11134" priority="1391" operator="lessThan">
      <formula>0.8</formula>
    </cfRule>
    <cfRule type="cellIs" dxfId="11133" priority="1392" operator="greaterThan">
      <formula>1</formula>
    </cfRule>
  </conditionalFormatting>
  <conditionalFormatting sqref="R40">
    <cfRule type="cellIs" dxfId="11132" priority="1389" operator="greaterThan">
      <formula>1</formula>
    </cfRule>
    <cfRule type="cellIs" dxfId="11131" priority="1390" operator="lessThan">
      <formula>0.8</formula>
    </cfRule>
  </conditionalFormatting>
  <conditionalFormatting sqref="Q40">
    <cfRule type="cellIs" dxfId="11130" priority="1382" operator="lessThan">
      <formula>0</formula>
    </cfRule>
  </conditionalFormatting>
  <conditionalFormatting sqref="P40">
    <cfRule type="cellIs" dxfId="11129" priority="1383" operator="greaterThan">
      <formula>0</formula>
    </cfRule>
  </conditionalFormatting>
  <conditionalFormatting sqref="R40">
    <cfRule type="cellIs" dxfId="11128" priority="1386" operator="lessThan">
      <formula>0.8</formula>
    </cfRule>
    <cfRule type="cellIs" dxfId="11127" priority="1387" operator="greaterThan">
      <formula>1</formula>
    </cfRule>
  </conditionalFormatting>
  <conditionalFormatting sqref="R40">
    <cfRule type="cellIs" dxfId="11126" priority="1384" operator="greaterThan">
      <formula>1</formula>
    </cfRule>
    <cfRule type="cellIs" dxfId="11125" priority="1385" operator="lessThan">
      <formula>0.8</formula>
    </cfRule>
  </conditionalFormatting>
  <conditionalFormatting sqref="Q40">
    <cfRule type="cellIs" dxfId="11124" priority="1376" operator="lessThan">
      <formula>0</formula>
    </cfRule>
  </conditionalFormatting>
  <conditionalFormatting sqref="R40">
    <cfRule type="cellIs" dxfId="11123" priority="1380" operator="lessThan">
      <formula>0.8</formula>
    </cfRule>
    <cfRule type="cellIs" dxfId="11122" priority="1381" operator="greaterThan">
      <formula>1</formula>
    </cfRule>
  </conditionalFormatting>
  <conditionalFormatting sqref="R40">
    <cfRule type="cellIs" dxfId="11121" priority="1378" operator="greaterThan">
      <formula>1</formula>
    </cfRule>
    <cfRule type="cellIs" dxfId="11120" priority="1379" operator="lessThan">
      <formula>0.8</formula>
    </cfRule>
  </conditionalFormatting>
  <conditionalFormatting sqref="P40">
    <cfRule type="cellIs" dxfId="11119" priority="1377" operator="greaterThan">
      <formula>0</formula>
    </cfRule>
  </conditionalFormatting>
  <conditionalFormatting sqref="Q40">
    <cfRule type="cellIs" dxfId="11118" priority="1375" operator="lessThan">
      <formula>0</formula>
    </cfRule>
  </conditionalFormatting>
  <conditionalFormatting sqref="R40">
    <cfRule type="cellIs" dxfId="11117" priority="1373" operator="lessThan">
      <formula>0.8</formula>
    </cfRule>
    <cfRule type="cellIs" dxfId="11116" priority="1374" operator="greaterThan">
      <formula>1</formula>
    </cfRule>
  </conditionalFormatting>
  <conditionalFormatting sqref="R40">
    <cfRule type="cellIs" dxfId="11115" priority="1371" operator="greaterThan">
      <formula>1</formula>
    </cfRule>
    <cfRule type="cellIs" dxfId="11114" priority="1372" operator="lessThan">
      <formula>0.8</formula>
    </cfRule>
  </conditionalFormatting>
  <conditionalFormatting sqref="P40">
    <cfRule type="cellIs" dxfId="11113" priority="1370" operator="greaterThan">
      <formula>0</formula>
    </cfRule>
  </conditionalFormatting>
  <conditionalFormatting sqref="Q40">
    <cfRule type="cellIs" dxfId="11112" priority="1369" operator="lessThan">
      <formula>0</formula>
    </cfRule>
  </conditionalFormatting>
  <conditionalFormatting sqref="R40">
    <cfRule type="cellIs" dxfId="11111" priority="1367" operator="lessThan">
      <formula>0.8</formula>
    </cfRule>
    <cfRule type="cellIs" dxfId="11110" priority="1368" operator="greaterThan">
      <formula>1</formula>
    </cfRule>
  </conditionalFormatting>
  <conditionalFormatting sqref="R40">
    <cfRule type="cellIs" dxfId="11109" priority="1365" operator="greaterThan">
      <formula>1</formula>
    </cfRule>
    <cfRule type="cellIs" dxfId="11108" priority="1366" operator="lessThan">
      <formula>0.8</formula>
    </cfRule>
  </conditionalFormatting>
  <conditionalFormatting sqref="P40">
    <cfRule type="cellIs" dxfId="11107" priority="1364" operator="greaterThan">
      <formula>0</formula>
    </cfRule>
  </conditionalFormatting>
  <conditionalFormatting sqref="Q32:Q39">
    <cfRule type="cellIs" dxfId="11106" priority="1363" operator="lessThan">
      <formula>0</formula>
    </cfRule>
  </conditionalFormatting>
  <conditionalFormatting sqref="R32:R39">
    <cfRule type="cellIs" dxfId="11105" priority="1361" operator="lessThan">
      <formula>0.8</formula>
    </cfRule>
    <cfRule type="cellIs" dxfId="11104" priority="1362" operator="greaterThan">
      <formula>1</formula>
    </cfRule>
  </conditionalFormatting>
  <conditionalFormatting sqref="R32:R39">
    <cfRule type="cellIs" dxfId="11103" priority="1359" operator="greaterThan">
      <formula>1</formula>
    </cfRule>
    <cfRule type="cellIs" dxfId="11102" priority="1360" operator="lessThan">
      <formula>0.8</formula>
    </cfRule>
  </conditionalFormatting>
  <conditionalFormatting sqref="P39">
    <cfRule type="cellIs" dxfId="11101" priority="1358" operator="greaterThan">
      <formula>0</formula>
    </cfRule>
  </conditionalFormatting>
  <conditionalFormatting sqref="Q32:Q39">
    <cfRule type="cellIs" dxfId="11100" priority="1357" operator="lessThan">
      <formula>0</formula>
    </cfRule>
  </conditionalFormatting>
  <conditionalFormatting sqref="R32:R39">
    <cfRule type="cellIs" dxfId="11099" priority="1355" operator="lessThan">
      <formula>0.8</formula>
    </cfRule>
    <cfRule type="cellIs" dxfId="11098" priority="1356" operator="greaterThan">
      <formula>1</formula>
    </cfRule>
  </conditionalFormatting>
  <conditionalFormatting sqref="R32:R39">
    <cfRule type="cellIs" dxfId="11097" priority="1353" operator="greaterThan">
      <formula>1</formula>
    </cfRule>
    <cfRule type="cellIs" dxfId="11096" priority="1354" operator="lessThan">
      <formula>0.8</formula>
    </cfRule>
  </conditionalFormatting>
  <conditionalFormatting sqref="P39">
    <cfRule type="cellIs" dxfId="11095" priority="1352" operator="greaterThan">
      <formula>0</formula>
    </cfRule>
  </conditionalFormatting>
  <conditionalFormatting sqref="Q32:Q39">
    <cfRule type="cellIs" dxfId="11094" priority="1351" operator="lessThan">
      <formula>0</formula>
    </cfRule>
  </conditionalFormatting>
  <conditionalFormatting sqref="R32:R39">
    <cfRule type="cellIs" dxfId="11093" priority="1349" operator="lessThan">
      <formula>0.8</formula>
    </cfRule>
    <cfRule type="cellIs" dxfId="11092" priority="1350" operator="greaterThan">
      <formula>1</formula>
    </cfRule>
  </conditionalFormatting>
  <conditionalFormatting sqref="R32:R39">
    <cfRule type="cellIs" dxfId="11091" priority="1347" operator="greaterThan">
      <formula>1</formula>
    </cfRule>
    <cfRule type="cellIs" dxfId="11090" priority="1348" operator="lessThan">
      <formula>0.8</formula>
    </cfRule>
  </conditionalFormatting>
  <conditionalFormatting sqref="P39">
    <cfRule type="cellIs" dxfId="11089" priority="1346" operator="greaterThan">
      <formula>0</formula>
    </cfRule>
  </conditionalFormatting>
  <conditionalFormatting sqref="Q32:Q39">
    <cfRule type="cellIs" dxfId="11088" priority="1345" operator="lessThan">
      <formula>0</formula>
    </cfRule>
  </conditionalFormatting>
  <conditionalFormatting sqref="R32:R39">
    <cfRule type="cellIs" dxfId="11087" priority="1343" operator="lessThan">
      <formula>0.8</formula>
    </cfRule>
    <cfRule type="cellIs" dxfId="11086" priority="1344" operator="greaterThan">
      <formula>1</formula>
    </cfRule>
  </conditionalFormatting>
  <conditionalFormatting sqref="R32:R39">
    <cfRule type="cellIs" dxfId="11085" priority="1341" operator="greaterThan">
      <formula>1</formula>
    </cfRule>
    <cfRule type="cellIs" dxfId="11084" priority="1342" operator="lessThan">
      <formula>0.8</formula>
    </cfRule>
  </conditionalFormatting>
  <conditionalFormatting sqref="P39">
    <cfRule type="cellIs" dxfId="11083" priority="1340" operator="greaterThan">
      <formula>0</formula>
    </cfRule>
  </conditionalFormatting>
  <conditionalFormatting sqref="P39">
    <cfRule type="cellIs" dxfId="11082" priority="1334" operator="greaterThan">
      <formula>0</formula>
    </cfRule>
  </conditionalFormatting>
  <conditionalFormatting sqref="Q32:Q39">
    <cfRule type="cellIs" dxfId="11081" priority="1339" operator="lessThan">
      <formula>0</formula>
    </cfRule>
  </conditionalFormatting>
  <conditionalFormatting sqref="R32:R39">
    <cfRule type="cellIs" dxfId="11080" priority="1337" operator="lessThan">
      <formula>0.8</formula>
    </cfRule>
    <cfRule type="cellIs" dxfId="11079" priority="1338" operator="greaterThan">
      <formula>1</formula>
    </cfRule>
  </conditionalFormatting>
  <conditionalFormatting sqref="R32:R39">
    <cfRule type="cellIs" dxfId="11078" priority="1335" operator="greaterThan">
      <formula>1</formula>
    </cfRule>
    <cfRule type="cellIs" dxfId="11077" priority="1336" operator="lessThan">
      <formula>0.8</formula>
    </cfRule>
  </conditionalFormatting>
  <conditionalFormatting sqref="P39">
    <cfRule type="cellIs" dxfId="11076" priority="1328" operator="greaterThan">
      <formula>0</formula>
    </cfRule>
  </conditionalFormatting>
  <conditionalFormatting sqref="Q32:Q39">
    <cfRule type="cellIs" dxfId="11075" priority="1333" operator="lessThan">
      <formula>0</formula>
    </cfRule>
  </conditionalFormatting>
  <conditionalFormatting sqref="R32:R39">
    <cfRule type="cellIs" dxfId="11074" priority="1331" operator="lessThan">
      <formula>0.8</formula>
    </cfRule>
    <cfRule type="cellIs" dxfId="11073" priority="1332" operator="greaterThan">
      <formula>1</formula>
    </cfRule>
  </conditionalFormatting>
  <conditionalFormatting sqref="R32:R39">
    <cfRule type="cellIs" dxfId="11072" priority="1329" operator="greaterThan">
      <formula>1</formula>
    </cfRule>
    <cfRule type="cellIs" dxfId="11071" priority="1330" operator="lessThan">
      <formula>0.8</formula>
    </cfRule>
  </conditionalFormatting>
  <conditionalFormatting sqref="R32:R39">
    <cfRule type="cellIs" dxfId="11070" priority="1325" operator="lessThan">
      <formula>0.8</formula>
    </cfRule>
    <cfRule type="cellIs" dxfId="11069" priority="1326" operator="greaterThan">
      <formula>1</formula>
    </cfRule>
  </conditionalFormatting>
  <conditionalFormatting sqref="R32:R39">
    <cfRule type="cellIs" dxfId="11068" priority="1323" operator="greaterThan">
      <formula>1</formula>
    </cfRule>
    <cfRule type="cellIs" dxfId="11067" priority="1324" operator="lessThan">
      <formula>0.8</formula>
    </cfRule>
  </conditionalFormatting>
  <conditionalFormatting sqref="P39">
    <cfRule type="cellIs" dxfId="11066" priority="1322" operator="greaterThan">
      <formula>0</formula>
    </cfRule>
  </conditionalFormatting>
  <conditionalFormatting sqref="Q32:Q39">
    <cfRule type="cellIs" dxfId="11065" priority="1327" operator="lessThan">
      <formula>0</formula>
    </cfRule>
  </conditionalFormatting>
  <conditionalFormatting sqref="Q32:Q39">
    <cfRule type="cellIs" dxfId="11064" priority="1321" operator="lessThan">
      <formula>0</formula>
    </cfRule>
  </conditionalFormatting>
  <conditionalFormatting sqref="R32:R39">
    <cfRule type="cellIs" dxfId="11063" priority="1319" operator="lessThan">
      <formula>0.8</formula>
    </cfRule>
    <cfRule type="cellIs" dxfId="11062" priority="1320" operator="greaterThan">
      <formula>1</formula>
    </cfRule>
  </conditionalFormatting>
  <conditionalFormatting sqref="R32:R39">
    <cfRule type="cellIs" dxfId="11061" priority="1317" operator="greaterThan">
      <formula>1</formula>
    </cfRule>
    <cfRule type="cellIs" dxfId="11060" priority="1318" operator="lessThan">
      <formula>0.8</formula>
    </cfRule>
  </conditionalFormatting>
  <conditionalFormatting sqref="P39">
    <cfRule type="cellIs" dxfId="11059" priority="1316" operator="greaterThan">
      <formula>0</formula>
    </cfRule>
  </conditionalFormatting>
  <conditionalFormatting sqref="P39">
    <cfRule type="cellIs" dxfId="11058" priority="1310" operator="greaterThan">
      <formula>0</formula>
    </cfRule>
  </conditionalFormatting>
  <conditionalFormatting sqref="Q32:Q39">
    <cfRule type="cellIs" dxfId="11057" priority="1315" operator="lessThan">
      <formula>0</formula>
    </cfRule>
  </conditionalFormatting>
  <conditionalFormatting sqref="R32:R39">
    <cfRule type="cellIs" dxfId="11056" priority="1313" operator="lessThan">
      <formula>0.8</formula>
    </cfRule>
    <cfRule type="cellIs" dxfId="11055" priority="1314" operator="greaterThan">
      <formula>1</formula>
    </cfRule>
  </conditionalFormatting>
  <conditionalFormatting sqref="R32:R39">
    <cfRule type="cellIs" dxfId="11054" priority="1311" operator="greaterThan">
      <formula>1</formula>
    </cfRule>
    <cfRule type="cellIs" dxfId="11053" priority="1312" operator="lessThan">
      <formula>0.8</formula>
    </cfRule>
  </conditionalFormatting>
  <conditionalFormatting sqref="P39">
    <cfRule type="cellIs" dxfId="11052" priority="1304" operator="greaterThan">
      <formula>0</formula>
    </cfRule>
  </conditionalFormatting>
  <conditionalFormatting sqref="Q32:Q39">
    <cfRule type="cellIs" dxfId="11051" priority="1309" operator="lessThan">
      <formula>0</formula>
    </cfRule>
  </conditionalFormatting>
  <conditionalFormatting sqref="R32:R39">
    <cfRule type="cellIs" dxfId="11050" priority="1307" operator="lessThan">
      <formula>0.8</formula>
    </cfRule>
    <cfRule type="cellIs" dxfId="11049" priority="1308" operator="greaterThan">
      <formula>1</formula>
    </cfRule>
  </conditionalFormatting>
  <conditionalFormatting sqref="R32:R39">
    <cfRule type="cellIs" dxfId="11048" priority="1305" operator="greaterThan">
      <formula>1</formula>
    </cfRule>
    <cfRule type="cellIs" dxfId="11047" priority="1306" operator="lessThan">
      <formula>0.8</formula>
    </cfRule>
  </conditionalFormatting>
  <conditionalFormatting sqref="R32:R39">
    <cfRule type="cellIs" dxfId="11046" priority="1301" operator="lessThan">
      <formula>0.8</formula>
    </cfRule>
    <cfRule type="cellIs" dxfId="11045" priority="1302" operator="greaterThan">
      <formula>1</formula>
    </cfRule>
  </conditionalFormatting>
  <conditionalFormatting sqref="R32:R39">
    <cfRule type="cellIs" dxfId="11044" priority="1299" operator="greaterThan">
      <formula>1</formula>
    </cfRule>
    <cfRule type="cellIs" dxfId="11043" priority="1300" operator="lessThan">
      <formula>0.8</formula>
    </cfRule>
  </conditionalFormatting>
  <conditionalFormatting sqref="P39">
    <cfRule type="cellIs" dxfId="11042" priority="1298" operator="greaterThan">
      <formula>0</formula>
    </cfRule>
  </conditionalFormatting>
  <conditionalFormatting sqref="Q32:Q39">
    <cfRule type="cellIs" dxfId="11041" priority="1303" operator="lessThan">
      <formula>0</formula>
    </cfRule>
  </conditionalFormatting>
  <conditionalFormatting sqref="P39">
    <cfRule type="cellIs" dxfId="11040" priority="1292" operator="greaterThan">
      <formula>0</formula>
    </cfRule>
  </conditionalFormatting>
  <conditionalFormatting sqref="Q32:Q39">
    <cfRule type="cellIs" dxfId="11039" priority="1297" operator="lessThan">
      <formula>0</formula>
    </cfRule>
  </conditionalFormatting>
  <conditionalFormatting sqref="R32:R39">
    <cfRule type="cellIs" dxfId="11038" priority="1295" operator="lessThan">
      <formula>0.8</formula>
    </cfRule>
    <cfRule type="cellIs" dxfId="11037" priority="1296" operator="greaterThan">
      <formula>1</formula>
    </cfRule>
  </conditionalFormatting>
  <conditionalFormatting sqref="R32:R39">
    <cfRule type="cellIs" dxfId="11036" priority="1293" operator="greaterThan">
      <formula>1</formula>
    </cfRule>
    <cfRule type="cellIs" dxfId="11035" priority="1294" operator="lessThan">
      <formula>0.8</formula>
    </cfRule>
  </conditionalFormatting>
  <conditionalFormatting sqref="R32:R39">
    <cfRule type="cellIs" dxfId="11034" priority="1289" operator="lessThan">
      <formula>0.8</formula>
    </cfRule>
    <cfRule type="cellIs" dxfId="11033" priority="1290" operator="greaterThan">
      <formula>1</formula>
    </cfRule>
  </conditionalFormatting>
  <conditionalFormatting sqref="R32:R39">
    <cfRule type="cellIs" dxfId="11032" priority="1287" operator="greaterThan">
      <formula>1</formula>
    </cfRule>
    <cfRule type="cellIs" dxfId="11031" priority="1288" operator="lessThan">
      <formula>0.8</formula>
    </cfRule>
  </conditionalFormatting>
  <conditionalFormatting sqref="P39">
    <cfRule type="cellIs" dxfId="11030" priority="1286" operator="greaterThan">
      <formula>0</formula>
    </cfRule>
  </conditionalFormatting>
  <conditionalFormatting sqref="Q32:Q39">
    <cfRule type="cellIs" dxfId="11029" priority="1291" operator="lessThan">
      <formula>0</formula>
    </cfRule>
  </conditionalFormatting>
  <conditionalFormatting sqref="R32:R39">
    <cfRule type="cellIs" dxfId="11028" priority="1283" operator="lessThan">
      <formula>0.8</formula>
    </cfRule>
    <cfRule type="cellIs" dxfId="11027" priority="1284" operator="greaterThan">
      <formula>1</formula>
    </cfRule>
  </conditionalFormatting>
  <conditionalFormatting sqref="R32:R39">
    <cfRule type="cellIs" dxfId="11026" priority="1281" operator="greaterThan">
      <formula>1</formula>
    </cfRule>
    <cfRule type="cellIs" dxfId="11025" priority="1282" operator="lessThan">
      <formula>0.8</formula>
    </cfRule>
  </conditionalFormatting>
  <conditionalFormatting sqref="P39">
    <cfRule type="cellIs" dxfId="11024" priority="1280" operator="greaterThan">
      <formula>0</formula>
    </cfRule>
  </conditionalFormatting>
  <conditionalFormatting sqref="Q32:Q39">
    <cfRule type="cellIs" dxfId="11023" priority="1285" operator="lessThan">
      <formula>0</formula>
    </cfRule>
  </conditionalFormatting>
  <conditionalFormatting sqref="Q32:Q39">
    <cfRule type="cellIs" dxfId="11022" priority="1279" operator="lessThan">
      <formula>0</formula>
    </cfRule>
  </conditionalFormatting>
  <conditionalFormatting sqref="R32:R39">
    <cfRule type="cellIs" dxfId="11021" priority="1277" operator="lessThan">
      <formula>0.8</formula>
    </cfRule>
    <cfRule type="cellIs" dxfId="11020" priority="1278" operator="greaterThan">
      <formula>1</formula>
    </cfRule>
  </conditionalFormatting>
  <conditionalFormatting sqref="R32:R39">
    <cfRule type="cellIs" dxfId="11019" priority="1275" operator="greaterThan">
      <formula>1</formula>
    </cfRule>
    <cfRule type="cellIs" dxfId="11018" priority="1276" operator="lessThan">
      <formula>0.8</formula>
    </cfRule>
  </conditionalFormatting>
  <conditionalFormatting sqref="P39">
    <cfRule type="cellIs" dxfId="11017" priority="1274" operator="greaterThan">
      <formula>0</formula>
    </cfRule>
  </conditionalFormatting>
  <conditionalFormatting sqref="Q32:Q39">
    <cfRule type="cellIs" dxfId="11016" priority="1268" operator="lessThan">
      <formula>0</formula>
    </cfRule>
  </conditionalFormatting>
  <conditionalFormatting sqref="R32:R39">
    <cfRule type="cellIs" dxfId="11015" priority="1272" operator="lessThan">
      <formula>0.8</formula>
    </cfRule>
    <cfRule type="cellIs" dxfId="11014" priority="1273" operator="greaterThan">
      <formula>1</formula>
    </cfRule>
  </conditionalFormatting>
  <conditionalFormatting sqref="R32:R39">
    <cfRule type="cellIs" dxfId="11013" priority="1270" operator="greaterThan">
      <formula>1</formula>
    </cfRule>
    <cfRule type="cellIs" dxfId="11012" priority="1271" operator="lessThan">
      <formula>0.8</formula>
    </cfRule>
  </conditionalFormatting>
  <conditionalFormatting sqref="P39">
    <cfRule type="cellIs" dxfId="11011" priority="1269" operator="greaterThan">
      <formula>0</formula>
    </cfRule>
  </conditionalFormatting>
  <conditionalFormatting sqref="Q32:Q39">
    <cfRule type="cellIs" dxfId="11010" priority="1267" operator="lessThan">
      <formula>0</formula>
    </cfRule>
  </conditionalFormatting>
  <conditionalFormatting sqref="R32:R39">
    <cfRule type="cellIs" dxfId="11009" priority="1265" operator="lessThan">
      <formula>0.8</formula>
    </cfRule>
    <cfRule type="cellIs" dxfId="11008" priority="1266" operator="greaterThan">
      <formula>1</formula>
    </cfRule>
  </conditionalFormatting>
  <conditionalFormatting sqref="R32:R39">
    <cfRule type="cellIs" dxfId="11007" priority="1263" operator="greaterThan">
      <formula>1</formula>
    </cfRule>
    <cfRule type="cellIs" dxfId="11006" priority="1264" operator="lessThan">
      <formula>0.8</formula>
    </cfRule>
  </conditionalFormatting>
  <conditionalFormatting sqref="P39">
    <cfRule type="cellIs" dxfId="11005" priority="1262" operator="greaterThan">
      <formula>0</formula>
    </cfRule>
  </conditionalFormatting>
  <conditionalFormatting sqref="Q32:Q39">
    <cfRule type="cellIs" dxfId="11004" priority="1261" operator="lessThan">
      <formula>0</formula>
    </cfRule>
  </conditionalFormatting>
  <conditionalFormatting sqref="R32:R39">
    <cfRule type="cellIs" dxfId="11003" priority="1259" operator="lessThan">
      <formula>0.8</formula>
    </cfRule>
    <cfRule type="cellIs" dxfId="11002" priority="1260" operator="greaterThan">
      <formula>1</formula>
    </cfRule>
  </conditionalFormatting>
  <conditionalFormatting sqref="R32:R39">
    <cfRule type="cellIs" dxfId="11001" priority="1257" operator="greaterThan">
      <formula>1</formula>
    </cfRule>
    <cfRule type="cellIs" dxfId="11000" priority="1258" operator="lessThan">
      <formula>0.8</formula>
    </cfRule>
  </conditionalFormatting>
  <conditionalFormatting sqref="P39">
    <cfRule type="cellIs" dxfId="10999" priority="1256" operator="greaterThan">
      <formula>0</formula>
    </cfRule>
  </conditionalFormatting>
  <conditionalFormatting sqref="Q32:Q39">
    <cfRule type="cellIs" dxfId="10998" priority="1255" operator="lessThan">
      <formula>0</formula>
    </cfRule>
  </conditionalFormatting>
  <conditionalFormatting sqref="R32:R39">
    <cfRule type="cellIs" dxfId="10997" priority="1253" operator="lessThan">
      <formula>0.8</formula>
    </cfRule>
    <cfRule type="cellIs" dxfId="10996" priority="1254" operator="greaterThan">
      <formula>1</formula>
    </cfRule>
  </conditionalFormatting>
  <conditionalFormatting sqref="R32:R39">
    <cfRule type="cellIs" dxfId="10995" priority="1251" operator="greaterThan">
      <formula>1</formula>
    </cfRule>
    <cfRule type="cellIs" dxfId="10994" priority="1252" operator="lessThan">
      <formula>0.8</formula>
    </cfRule>
  </conditionalFormatting>
  <conditionalFormatting sqref="P39">
    <cfRule type="cellIs" dxfId="10993" priority="1250" operator="greaterThan">
      <formula>0</formula>
    </cfRule>
  </conditionalFormatting>
  <conditionalFormatting sqref="Q32:Q39">
    <cfRule type="cellIs" dxfId="10992" priority="1249" operator="lessThan">
      <formula>0</formula>
    </cfRule>
  </conditionalFormatting>
  <conditionalFormatting sqref="R32:R39">
    <cfRule type="cellIs" dxfId="10991" priority="1247" operator="lessThan">
      <formula>0.8</formula>
    </cfRule>
    <cfRule type="cellIs" dxfId="10990" priority="1248" operator="greaterThan">
      <formula>1</formula>
    </cfRule>
  </conditionalFormatting>
  <conditionalFormatting sqref="R32:R39">
    <cfRule type="cellIs" dxfId="10989" priority="1245" operator="greaterThan">
      <formula>1</formula>
    </cfRule>
    <cfRule type="cellIs" dxfId="10988" priority="1246" operator="lessThan">
      <formula>0.8</formula>
    </cfRule>
  </conditionalFormatting>
  <conditionalFormatting sqref="P39">
    <cfRule type="cellIs" dxfId="10987" priority="1244" operator="greaterThan">
      <formula>0</formula>
    </cfRule>
  </conditionalFormatting>
  <conditionalFormatting sqref="Q32:Q39">
    <cfRule type="cellIs" dxfId="10986" priority="1243" operator="lessThan">
      <formula>0</formula>
    </cfRule>
  </conditionalFormatting>
  <conditionalFormatting sqref="R32:R39">
    <cfRule type="cellIs" dxfId="10985" priority="1241" operator="lessThan">
      <formula>0.8</formula>
    </cfRule>
    <cfRule type="cellIs" dxfId="10984" priority="1242" operator="greaterThan">
      <formula>1</formula>
    </cfRule>
  </conditionalFormatting>
  <conditionalFormatting sqref="R32:R39">
    <cfRule type="cellIs" dxfId="10983" priority="1239" operator="greaterThan">
      <formula>1</formula>
    </cfRule>
    <cfRule type="cellIs" dxfId="10982" priority="1240" operator="lessThan">
      <formula>0.8</formula>
    </cfRule>
  </conditionalFormatting>
  <conditionalFormatting sqref="P39">
    <cfRule type="cellIs" dxfId="10981" priority="1238" operator="greaterThan">
      <formula>0</formula>
    </cfRule>
  </conditionalFormatting>
  <conditionalFormatting sqref="P39">
    <cfRule type="cellIs" dxfId="10980" priority="1232" operator="greaterThan">
      <formula>0</formula>
    </cfRule>
  </conditionalFormatting>
  <conditionalFormatting sqref="Q32:Q39">
    <cfRule type="cellIs" dxfId="10979" priority="1237" operator="lessThan">
      <formula>0</formula>
    </cfRule>
  </conditionalFormatting>
  <conditionalFormatting sqref="R32:R39">
    <cfRule type="cellIs" dxfId="10978" priority="1235" operator="lessThan">
      <formula>0.8</formula>
    </cfRule>
    <cfRule type="cellIs" dxfId="10977" priority="1236" operator="greaterThan">
      <formula>1</formula>
    </cfRule>
  </conditionalFormatting>
  <conditionalFormatting sqref="R32:R39">
    <cfRule type="cellIs" dxfId="10976" priority="1233" operator="greaterThan">
      <formula>1</formula>
    </cfRule>
    <cfRule type="cellIs" dxfId="10975" priority="1234" operator="lessThan">
      <formula>0.8</formula>
    </cfRule>
  </conditionalFormatting>
  <conditionalFormatting sqref="P39">
    <cfRule type="cellIs" dxfId="10974" priority="1226" operator="greaterThan">
      <formula>0</formula>
    </cfRule>
  </conditionalFormatting>
  <conditionalFormatting sqref="Q32:Q39">
    <cfRule type="cellIs" dxfId="10973" priority="1231" operator="lessThan">
      <formula>0</formula>
    </cfRule>
  </conditionalFormatting>
  <conditionalFormatting sqref="R32:R39">
    <cfRule type="cellIs" dxfId="10972" priority="1229" operator="lessThan">
      <formula>0.8</formula>
    </cfRule>
    <cfRule type="cellIs" dxfId="10971" priority="1230" operator="greaterThan">
      <formula>1</formula>
    </cfRule>
  </conditionalFormatting>
  <conditionalFormatting sqref="R32:R39">
    <cfRule type="cellIs" dxfId="10970" priority="1227" operator="greaterThan">
      <formula>1</formula>
    </cfRule>
    <cfRule type="cellIs" dxfId="10969" priority="1228" operator="lessThan">
      <formula>0.8</formula>
    </cfRule>
  </conditionalFormatting>
  <conditionalFormatting sqref="R32:R39">
    <cfRule type="cellIs" dxfId="10968" priority="1223" operator="lessThan">
      <formula>0.8</formula>
    </cfRule>
    <cfRule type="cellIs" dxfId="10967" priority="1224" operator="greaterThan">
      <formula>1</formula>
    </cfRule>
  </conditionalFormatting>
  <conditionalFormatting sqref="R32:R39">
    <cfRule type="cellIs" dxfId="10966" priority="1221" operator="greaterThan">
      <formula>1</formula>
    </cfRule>
    <cfRule type="cellIs" dxfId="10965" priority="1222" operator="lessThan">
      <formula>0.8</formula>
    </cfRule>
  </conditionalFormatting>
  <conditionalFormatting sqref="P39">
    <cfRule type="cellIs" dxfId="10964" priority="1220" operator="greaterThan">
      <formula>0</formula>
    </cfRule>
  </conditionalFormatting>
  <conditionalFormatting sqref="Q32:Q39">
    <cfRule type="cellIs" dxfId="10963" priority="1225" operator="lessThan">
      <formula>0</formula>
    </cfRule>
  </conditionalFormatting>
  <conditionalFormatting sqref="Q32:Q39">
    <cfRule type="cellIs" dxfId="10962" priority="1214" operator="lessThan">
      <formula>0</formula>
    </cfRule>
  </conditionalFormatting>
  <conditionalFormatting sqref="P39">
    <cfRule type="cellIs" dxfId="10961" priority="1215" operator="greaterThan">
      <formula>0</formula>
    </cfRule>
  </conditionalFormatting>
  <conditionalFormatting sqref="R32:R39">
    <cfRule type="cellIs" dxfId="10960" priority="1218" operator="lessThan">
      <formula>0.8</formula>
    </cfRule>
    <cfRule type="cellIs" dxfId="10959" priority="1219" operator="greaterThan">
      <formula>1</formula>
    </cfRule>
  </conditionalFormatting>
  <conditionalFormatting sqref="R32:R39">
    <cfRule type="cellIs" dxfId="10958" priority="1216" operator="greaterThan">
      <formula>1</formula>
    </cfRule>
    <cfRule type="cellIs" dxfId="10957" priority="1217" operator="lessThan">
      <formula>0.8</formula>
    </cfRule>
  </conditionalFormatting>
  <conditionalFormatting sqref="Q32:Q39">
    <cfRule type="cellIs" dxfId="10956" priority="1208" operator="lessThan">
      <formula>0</formula>
    </cfRule>
  </conditionalFormatting>
  <conditionalFormatting sqref="R32:R39">
    <cfRule type="cellIs" dxfId="10955" priority="1212" operator="lessThan">
      <formula>0.8</formula>
    </cfRule>
    <cfRule type="cellIs" dxfId="10954" priority="1213" operator="greaterThan">
      <formula>1</formula>
    </cfRule>
  </conditionalFormatting>
  <conditionalFormatting sqref="R32:R39">
    <cfRule type="cellIs" dxfId="10953" priority="1210" operator="greaterThan">
      <formula>1</formula>
    </cfRule>
    <cfRule type="cellIs" dxfId="10952" priority="1211" operator="lessThan">
      <formula>0.8</formula>
    </cfRule>
  </conditionalFormatting>
  <conditionalFormatting sqref="P39">
    <cfRule type="cellIs" dxfId="10951" priority="1209" operator="greaterThan">
      <formula>0</formula>
    </cfRule>
  </conditionalFormatting>
  <conditionalFormatting sqref="Q32:Q39">
    <cfRule type="cellIs" dxfId="10950" priority="1207" operator="lessThan">
      <formula>0</formula>
    </cfRule>
  </conditionalFormatting>
  <conditionalFormatting sqref="R32:R39">
    <cfRule type="cellIs" dxfId="10949" priority="1205" operator="lessThan">
      <formula>0.8</formula>
    </cfRule>
    <cfRule type="cellIs" dxfId="10948" priority="1206" operator="greaterThan">
      <formula>1</formula>
    </cfRule>
  </conditionalFormatting>
  <conditionalFormatting sqref="R32:R39">
    <cfRule type="cellIs" dxfId="10947" priority="1203" operator="greaterThan">
      <formula>1</formula>
    </cfRule>
    <cfRule type="cellIs" dxfId="10946" priority="1204" operator="lessThan">
      <formula>0.8</formula>
    </cfRule>
  </conditionalFormatting>
  <conditionalFormatting sqref="P39">
    <cfRule type="cellIs" dxfId="10945" priority="1202" operator="greaterThan">
      <formula>0</formula>
    </cfRule>
  </conditionalFormatting>
  <conditionalFormatting sqref="Q32:Q39">
    <cfRule type="cellIs" dxfId="10944" priority="1201" operator="lessThan">
      <formula>0</formula>
    </cfRule>
  </conditionalFormatting>
  <conditionalFormatting sqref="R32:R39">
    <cfRule type="cellIs" dxfId="10943" priority="1199" operator="lessThan">
      <formula>0.8</formula>
    </cfRule>
    <cfRule type="cellIs" dxfId="10942" priority="1200" operator="greaterThan">
      <formula>1</formula>
    </cfRule>
  </conditionalFormatting>
  <conditionalFormatting sqref="R32:R39">
    <cfRule type="cellIs" dxfId="10941" priority="1197" operator="greaterThan">
      <formula>1</formula>
    </cfRule>
    <cfRule type="cellIs" dxfId="10940" priority="1198" operator="lessThan">
      <formula>0.8</formula>
    </cfRule>
  </conditionalFormatting>
  <conditionalFormatting sqref="P39">
    <cfRule type="cellIs" dxfId="10939" priority="1196" operator="greaterThan">
      <formula>0</formula>
    </cfRule>
  </conditionalFormatting>
  <conditionalFormatting sqref="Q32:Q39">
    <cfRule type="cellIs" dxfId="10938" priority="1195" operator="lessThan">
      <formula>0</formula>
    </cfRule>
  </conditionalFormatting>
  <conditionalFormatting sqref="R32:R39">
    <cfRule type="cellIs" dxfId="10937" priority="1193" operator="lessThan">
      <formula>0.8</formula>
    </cfRule>
    <cfRule type="cellIs" dxfId="10936" priority="1194" operator="greaterThan">
      <formula>1</formula>
    </cfRule>
  </conditionalFormatting>
  <conditionalFormatting sqref="R32:R39">
    <cfRule type="cellIs" dxfId="10935" priority="1191" operator="greaterThan">
      <formula>1</formula>
    </cfRule>
    <cfRule type="cellIs" dxfId="10934" priority="1192" operator="lessThan">
      <formula>0.8</formula>
    </cfRule>
  </conditionalFormatting>
  <conditionalFormatting sqref="P39">
    <cfRule type="cellIs" dxfId="10933" priority="1190" operator="greaterThan">
      <formula>0</formula>
    </cfRule>
  </conditionalFormatting>
  <conditionalFormatting sqref="Q32:Q39">
    <cfRule type="cellIs" dxfId="10932" priority="1189" operator="lessThan">
      <formula>0</formula>
    </cfRule>
  </conditionalFormatting>
  <conditionalFormatting sqref="R32:R39">
    <cfRule type="cellIs" dxfId="10931" priority="1187" operator="lessThan">
      <formula>0.8</formula>
    </cfRule>
    <cfRule type="cellIs" dxfId="10930" priority="1188" operator="greaterThan">
      <formula>1</formula>
    </cfRule>
  </conditionalFormatting>
  <conditionalFormatting sqref="R32:R39">
    <cfRule type="cellIs" dxfId="10929" priority="1185" operator="greaterThan">
      <formula>1</formula>
    </cfRule>
    <cfRule type="cellIs" dxfId="10928" priority="1186" operator="lessThan">
      <formula>0.8</formula>
    </cfRule>
  </conditionalFormatting>
  <conditionalFormatting sqref="P39">
    <cfRule type="cellIs" dxfId="10927" priority="1184" operator="greaterThan">
      <formula>0</formula>
    </cfRule>
  </conditionalFormatting>
  <conditionalFormatting sqref="Q96:Q105">
    <cfRule type="cellIs" dxfId="10926" priority="1178" operator="lessThan">
      <formula>0</formula>
    </cfRule>
  </conditionalFormatting>
  <conditionalFormatting sqref="P96:P105">
    <cfRule type="cellIs" dxfId="10925" priority="1179" operator="greaterThan">
      <formula>0</formula>
    </cfRule>
  </conditionalFormatting>
  <conditionalFormatting sqref="R96:R105">
    <cfRule type="cellIs" dxfId="10924" priority="1182" operator="lessThan">
      <formula>0.8</formula>
    </cfRule>
    <cfRule type="cellIs" dxfId="10923" priority="1183" operator="greaterThan">
      <formula>1</formula>
    </cfRule>
  </conditionalFormatting>
  <conditionalFormatting sqref="R96:R105">
    <cfRule type="cellIs" dxfId="10922" priority="1180" operator="greaterThan">
      <formula>1</formula>
    </cfRule>
    <cfRule type="cellIs" dxfId="10921" priority="1181" operator="lessThan">
      <formula>0.8</formula>
    </cfRule>
  </conditionalFormatting>
  <conditionalFormatting sqref="Q96:Q105">
    <cfRule type="cellIs" dxfId="10920" priority="1172" operator="lessThan">
      <formula>0</formula>
    </cfRule>
  </conditionalFormatting>
  <conditionalFormatting sqref="R96:R105">
    <cfRule type="cellIs" dxfId="10919" priority="1176" operator="lessThan">
      <formula>0.8</formula>
    </cfRule>
    <cfRule type="cellIs" dxfId="10918" priority="1177" operator="greaterThan">
      <formula>1</formula>
    </cfRule>
  </conditionalFormatting>
  <conditionalFormatting sqref="R96:R105">
    <cfRule type="cellIs" dxfId="10917" priority="1174" operator="greaterThan">
      <formula>1</formula>
    </cfRule>
    <cfRule type="cellIs" dxfId="10916" priority="1175" operator="lessThan">
      <formula>0.8</formula>
    </cfRule>
  </conditionalFormatting>
  <conditionalFormatting sqref="P96:P105">
    <cfRule type="cellIs" dxfId="10915" priority="1173" operator="greaterThan">
      <formula>0</formula>
    </cfRule>
  </conditionalFormatting>
  <conditionalFormatting sqref="Q96:Q105">
    <cfRule type="cellIs" dxfId="10914" priority="1171" operator="lessThan">
      <formula>0</formula>
    </cfRule>
  </conditionalFormatting>
  <conditionalFormatting sqref="R96:R105">
    <cfRule type="cellIs" dxfId="10913" priority="1169" operator="lessThan">
      <formula>0.8</formula>
    </cfRule>
    <cfRule type="cellIs" dxfId="10912" priority="1170" operator="greaterThan">
      <formula>1</formula>
    </cfRule>
  </conditionalFormatting>
  <conditionalFormatting sqref="R96:R105">
    <cfRule type="cellIs" dxfId="10911" priority="1167" operator="greaterThan">
      <formula>1</formula>
    </cfRule>
    <cfRule type="cellIs" dxfId="10910" priority="1168" operator="lessThan">
      <formula>0.8</formula>
    </cfRule>
  </conditionalFormatting>
  <conditionalFormatting sqref="P96:P105">
    <cfRule type="cellIs" dxfId="10909" priority="1166" operator="greaterThan">
      <formula>0</formula>
    </cfRule>
  </conditionalFormatting>
  <conditionalFormatting sqref="Q96:Q105">
    <cfRule type="cellIs" dxfId="10908" priority="1165" operator="lessThan">
      <formula>0</formula>
    </cfRule>
  </conditionalFormatting>
  <conditionalFormatting sqref="R96:R105">
    <cfRule type="cellIs" dxfId="10907" priority="1163" operator="lessThan">
      <formula>0.8</formula>
    </cfRule>
    <cfRule type="cellIs" dxfId="10906" priority="1164" operator="greaterThan">
      <formula>1</formula>
    </cfRule>
  </conditionalFormatting>
  <conditionalFormatting sqref="R96:R105">
    <cfRule type="cellIs" dxfId="10905" priority="1161" operator="greaterThan">
      <formula>1</formula>
    </cfRule>
    <cfRule type="cellIs" dxfId="10904" priority="1162" operator="lessThan">
      <formula>0.8</formula>
    </cfRule>
  </conditionalFormatting>
  <conditionalFormatting sqref="P96:P105">
    <cfRule type="cellIs" dxfId="10903" priority="1160" operator="greaterThan">
      <formula>0</formula>
    </cfRule>
  </conditionalFormatting>
  <conditionalFormatting sqref="Q96:Q105">
    <cfRule type="cellIs" dxfId="10902" priority="1154" operator="lessThan">
      <formula>0</formula>
    </cfRule>
  </conditionalFormatting>
  <conditionalFormatting sqref="R96:R105">
    <cfRule type="cellIs" dxfId="10901" priority="1158" operator="lessThan">
      <formula>0.8</formula>
    </cfRule>
    <cfRule type="cellIs" dxfId="10900" priority="1159" operator="greaterThan">
      <formula>1</formula>
    </cfRule>
  </conditionalFormatting>
  <conditionalFormatting sqref="R96:R105">
    <cfRule type="cellIs" dxfId="10899" priority="1156" operator="greaterThan">
      <formula>1</formula>
    </cfRule>
    <cfRule type="cellIs" dxfId="10898" priority="1157" operator="lessThan">
      <formula>0.8</formula>
    </cfRule>
  </conditionalFormatting>
  <conditionalFormatting sqref="P96:P105">
    <cfRule type="cellIs" dxfId="10897" priority="1155" operator="greaterThan">
      <formula>0</formula>
    </cfRule>
  </conditionalFormatting>
  <conditionalFormatting sqref="Q96:Q105">
    <cfRule type="cellIs" dxfId="10896" priority="1153" operator="lessThan">
      <formula>0</formula>
    </cfRule>
  </conditionalFormatting>
  <conditionalFormatting sqref="R96:R105">
    <cfRule type="cellIs" dxfId="10895" priority="1151" operator="lessThan">
      <formula>0.8</formula>
    </cfRule>
    <cfRule type="cellIs" dxfId="10894" priority="1152" operator="greaterThan">
      <formula>1</formula>
    </cfRule>
  </conditionalFormatting>
  <conditionalFormatting sqref="R96:R105">
    <cfRule type="cellIs" dxfId="10893" priority="1149" operator="greaterThan">
      <formula>1</formula>
    </cfRule>
    <cfRule type="cellIs" dxfId="10892" priority="1150" operator="lessThan">
      <formula>0.8</formula>
    </cfRule>
  </conditionalFormatting>
  <conditionalFormatting sqref="P96:P105">
    <cfRule type="cellIs" dxfId="10891" priority="1148" operator="greaterThan">
      <formula>0</formula>
    </cfRule>
  </conditionalFormatting>
  <conditionalFormatting sqref="Q96:Q105">
    <cfRule type="cellIs" dxfId="10890" priority="1147" operator="lessThan">
      <formula>0</formula>
    </cfRule>
  </conditionalFormatting>
  <conditionalFormatting sqref="R96:R105">
    <cfRule type="cellIs" dxfId="10889" priority="1145" operator="lessThan">
      <formula>0.8</formula>
    </cfRule>
    <cfRule type="cellIs" dxfId="10888" priority="1146" operator="greaterThan">
      <formula>1</formula>
    </cfRule>
  </conditionalFormatting>
  <conditionalFormatting sqref="R96:R105">
    <cfRule type="cellIs" dxfId="10887" priority="1143" operator="greaterThan">
      <formula>1</formula>
    </cfRule>
    <cfRule type="cellIs" dxfId="10886" priority="1144" operator="lessThan">
      <formula>0.8</formula>
    </cfRule>
  </conditionalFormatting>
  <conditionalFormatting sqref="P96:P105">
    <cfRule type="cellIs" dxfId="10885" priority="1142" operator="greaterThan">
      <formula>0</formula>
    </cfRule>
  </conditionalFormatting>
  <conditionalFormatting sqref="Q96:Q105">
    <cfRule type="cellIs" dxfId="10884" priority="1141" operator="lessThan">
      <formula>0</formula>
    </cfRule>
  </conditionalFormatting>
  <conditionalFormatting sqref="R96:R105">
    <cfRule type="cellIs" dxfId="10883" priority="1139" operator="lessThan">
      <formula>0.8</formula>
    </cfRule>
    <cfRule type="cellIs" dxfId="10882" priority="1140" operator="greaterThan">
      <formula>1</formula>
    </cfRule>
  </conditionalFormatting>
  <conditionalFormatting sqref="R96:R105">
    <cfRule type="cellIs" dxfId="10881" priority="1137" operator="greaterThan">
      <formula>1</formula>
    </cfRule>
    <cfRule type="cellIs" dxfId="10880" priority="1138" operator="lessThan">
      <formula>0.8</formula>
    </cfRule>
  </conditionalFormatting>
  <conditionalFormatting sqref="P96:P105">
    <cfRule type="cellIs" dxfId="10879" priority="1136" operator="greaterThan">
      <formula>0</formula>
    </cfRule>
  </conditionalFormatting>
  <conditionalFormatting sqref="Q96:Q105">
    <cfRule type="cellIs" dxfId="10878" priority="1135" operator="lessThan">
      <formula>0</formula>
    </cfRule>
  </conditionalFormatting>
  <conditionalFormatting sqref="R96:R105">
    <cfRule type="cellIs" dxfId="10877" priority="1133" operator="lessThan">
      <formula>0.8</formula>
    </cfRule>
    <cfRule type="cellIs" dxfId="10876" priority="1134" operator="greaterThan">
      <formula>1</formula>
    </cfRule>
  </conditionalFormatting>
  <conditionalFormatting sqref="R96:R105">
    <cfRule type="cellIs" dxfId="10875" priority="1131" operator="greaterThan">
      <formula>1</formula>
    </cfRule>
    <cfRule type="cellIs" dxfId="10874" priority="1132" operator="lessThan">
      <formula>0.8</formula>
    </cfRule>
  </conditionalFormatting>
  <conditionalFormatting sqref="P96:P105">
    <cfRule type="cellIs" dxfId="10873" priority="1130" operator="greaterThan">
      <formula>0</formula>
    </cfRule>
  </conditionalFormatting>
  <conditionalFormatting sqref="Q96:Q105">
    <cfRule type="cellIs" dxfId="10872" priority="1129" operator="lessThan">
      <formula>0</formula>
    </cfRule>
  </conditionalFormatting>
  <conditionalFormatting sqref="R96:R105">
    <cfRule type="cellIs" dxfId="10871" priority="1127" operator="lessThan">
      <formula>0.8</formula>
    </cfRule>
    <cfRule type="cellIs" dxfId="10870" priority="1128" operator="greaterThan">
      <formula>1</formula>
    </cfRule>
  </conditionalFormatting>
  <conditionalFormatting sqref="R96:R105">
    <cfRule type="cellIs" dxfId="10869" priority="1125" operator="greaterThan">
      <formula>1</formula>
    </cfRule>
    <cfRule type="cellIs" dxfId="10868" priority="1126" operator="lessThan">
      <formula>0.8</formula>
    </cfRule>
  </conditionalFormatting>
  <conditionalFormatting sqref="P96:P105">
    <cfRule type="cellIs" dxfId="10867" priority="1124" operator="greaterThan">
      <formula>0</formula>
    </cfRule>
  </conditionalFormatting>
  <conditionalFormatting sqref="P96:P105">
    <cfRule type="cellIs" dxfId="10866" priority="1118" operator="greaterThan">
      <formula>0</formula>
    </cfRule>
  </conditionalFormatting>
  <conditionalFormatting sqref="Q96:Q105">
    <cfRule type="cellIs" dxfId="10865" priority="1123" operator="lessThan">
      <formula>0</formula>
    </cfRule>
  </conditionalFormatting>
  <conditionalFormatting sqref="R96:R105">
    <cfRule type="cellIs" dxfId="10864" priority="1121" operator="lessThan">
      <formula>0.8</formula>
    </cfRule>
    <cfRule type="cellIs" dxfId="10863" priority="1122" operator="greaterThan">
      <formula>1</formula>
    </cfRule>
  </conditionalFormatting>
  <conditionalFormatting sqref="R96:R105">
    <cfRule type="cellIs" dxfId="10862" priority="1119" operator="greaterThan">
      <formula>1</formula>
    </cfRule>
    <cfRule type="cellIs" dxfId="10861" priority="1120" operator="lessThan">
      <formula>0.8</formula>
    </cfRule>
  </conditionalFormatting>
  <conditionalFormatting sqref="P96:P105">
    <cfRule type="cellIs" dxfId="10860" priority="1112" operator="greaterThan">
      <formula>0</formula>
    </cfRule>
  </conditionalFormatting>
  <conditionalFormatting sqref="Q96:Q105">
    <cfRule type="cellIs" dxfId="10859" priority="1117" operator="lessThan">
      <formula>0</formula>
    </cfRule>
  </conditionalFormatting>
  <conditionalFormatting sqref="R96:R105">
    <cfRule type="cellIs" dxfId="10858" priority="1115" operator="lessThan">
      <formula>0.8</formula>
    </cfRule>
    <cfRule type="cellIs" dxfId="10857" priority="1116" operator="greaterThan">
      <formula>1</formula>
    </cfRule>
  </conditionalFormatting>
  <conditionalFormatting sqref="R96:R105">
    <cfRule type="cellIs" dxfId="10856" priority="1113" operator="greaterThan">
      <formula>1</formula>
    </cfRule>
    <cfRule type="cellIs" dxfId="10855" priority="1114" operator="lessThan">
      <formula>0.8</formula>
    </cfRule>
  </conditionalFormatting>
  <conditionalFormatting sqref="R96:R105">
    <cfRule type="cellIs" dxfId="10854" priority="1109" operator="lessThan">
      <formula>0.8</formula>
    </cfRule>
    <cfRule type="cellIs" dxfId="10853" priority="1110" operator="greaterThan">
      <formula>1</formula>
    </cfRule>
  </conditionalFormatting>
  <conditionalFormatting sqref="R96:R105">
    <cfRule type="cellIs" dxfId="10852" priority="1107" operator="greaterThan">
      <formula>1</formula>
    </cfRule>
    <cfRule type="cellIs" dxfId="10851" priority="1108" operator="lessThan">
      <formula>0.8</formula>
    </cfRule>
  </conditionalFormatting>
  <conditionalFormatting sqref="P96:P105">
    <cfRule type="cellIs" dxfId="10850" priority="1106" operator="greaterThan">
      <formula>0</formula>
    </cfRule>
  </conditionalFormatting>
  <conditionalFormatting sqref="Q96:Q105">
    <cfRule type="cellIs" dxfId="10849" priority="1111" operator="lessThan">
      <formula>0</formula>
    </cfRule>
  </conditionalFormatting>
  <conditionalFormatting sqref="Q96:Q105">
    <cfRule type="cellIs" dxfId="10848" priority="1100" operator="lessThan">
      <formula>0</formula>
    </cfRule>
  </conditionalFormatting>
  <conditionalFormatting sqref="P96:P105">
    <cfRule type="cellIs" dxfId="10847" priority="1101" operator="greaterThan">
      <formula>0</formula>
    </cfRule>
  </conditionalFormatting>
  <conditionalFormatting sqref="R96:R105">
    <cfRule type="cellIs" dxfId="10846" priority="1104" operator="lessThan">
      <formula>0.8</formula>
    </cfRule>
    <cfRule type="cellIs" dxfId="10845" priority="1105" operator="greaterThan">
      <formula>1</formula>
    </cfRule>
  </conditionalFormatting>
  <conditionalFormatting sqref="R96:R105">
    <cfRule type="cellIs" dxfId="10844" priority="1102" operator="greaterThan">
      <formula>1</formula>
    </cfRule>
    <cfRule type="cellIs" dxfId="10843" priority="1103" operator="lessThan">
      <formula>0.8</formula>
    </cfRule>
  </conditionalFormatting>
  <conditionalFormatting sqref="Q96:Q105">
    <cfRule type="cellIs" dxfId="10842" priority="1094" operator="lessThan">
      <formula>0</formula>
    </cfRule>
  </conditionalFormatting>
  <conditionalFormatting sqref="R96:R105">
    <cfRule type="cellIs" dxfId="10841" priority="1098" operator="lessThan">
      <formula>0.8</formula>
    </cfRule>
    <cfRule type="cellIs" dxfId="10840" priority="1099" operator="greaterThan">
      <formula>1</formula>
    </cfRule>
  </conditionalFormatting>
  <conditionalFormatting sqref="R96:R105">
    <cfRule type="cellIs" dxfId="10839" priority="1096" operator="greaterThan">
      <formula>1</formula>
    </cfRule>
    <cfRule type="cellIs" dxfId="10838" priority="1097" operator="lessThan">
      <formula>0.8</formula>
    </cfRule>
  </conditionalFormatting>
  <conditionalFormatting sqref="P96:P105">
    <cfRule type="cellIs" dxfId="10837" priority="1095" operator="greaterThan">
      <formula>0</formula>
    </cfRule>
  </conditionalFormatting>
  <conditionalFormatting sqref="Q96:Q105">
    <cfRule type="cellIs" dxfId="10836" priority="1093" operator="lessThan">
      <formula>0</formula>
    </cfRule>
  </conditionalFormatting>
  <conditionalFormatting sqref="R96:R105">
    <cfRule type="cellIs" dxfId="10835" priority="1091" operator="lessThan">
      <formula>0.8</formula>
    </cfRule>
    <cfRule type="cellIs" dxfId="10834" priority="1092" operator="greaterThan">
      <formula>1</formula>
    </cfRule>
  </conditionalFormatting>
  <conditionalFormatting sqref="R96:R105">
    <cfRule type="cellIs" dxfId="10833" priority="1089" operator="greaterThan">
      <formula>1</formula>
    </cfRule>
    <cfRule type="cellIs" dxfId="10832" priority="1090" operator="lessThan">
      <formula>0.8</formula>
    </cfRule>
  </conditionalFormatting>
  <conditionalFormatting sqref="P96:P105">
    <cfRule type="cellIs" dxfId="10831" priority="1088" operator="greaterThan">
      <formula>0</formula>
    </cfRule>
  </conditionalFormatting>
  <conditionalFormatting sqref="Q96:Q105">
    <cfRule type="cellIs" dxfId="10830" priority="1087" operator="lessThan">
      <formula>0</formula>
    </cfRule>
  </conditionalFormatting>
  <conditionalFormatting sqref="R96:R105">
    <cfRule type="cellIs" dxfId="10829" priority="1085" operator="lessThan">
      <formula>0.8</formula>
    </cfRule>
    <cfRule type="cellIs" dxfId="10828" priority="1086" operator="greaterThan">
      <formula>1</formula>
    </cfRule>
  </conditionalFormatting>
  <conditionalFormatting sqref="R96:R105">
    <cfRule type="cellIs" dxfId="10827" priority="1083" operator="greaterThan">
      <formula>1</formula>
    </cfRule>
    <cfRule type="cellIs" dxfId="10826" priority="1084" operator="lessThan">
      <formula>0.8</formula>
    </cfRule>
  </conditionalFormatting>
  <conditionalFormatting sqref="P96:P105">
    <cfRule type="cellIs" dxfId="10825" priority="1082" operator="greaterThan">
      <formula>0</formula>
    </cfRule>
  </conditionalFormatting>
  <conditionalFormatting sqref="Q96:Q105">
    <cfRule type="cellIs" dxfId="10824" priority="1076" operator="lessThan">
      <formula>0</formula>
    </cfRule>
  </conditionalFormatting>
  <conditionalFormatting sqref="P96:P105">
    <cfRule type="cellIs" dxfId="10823" priority="1077" operator="greaterThan">
      <formula>0</formula>
    </cfRule>
  </conditionalFormatting>
  <conditionalFormatting sqref="R96:R105">
    <cfRule type="cellIs" dxfId="10822" priority="1080" operator="lessThan">
      <formula>0.8</formula>
    </cfRule>
    <cfRule type="cellIs" dxfId="10821" priority="1081" operator="greaterThan">
      <formula>1</formula>
    </cfRule>
  </conditionalFormatting>
  <conditionalFormatting sqref="R96:R105">
    <cfRule type="cellIs" dxfId="10820" priority="1078" operator="greaterThan">
      <formula>1</formula>
    </cfRule>
    <cfRule type="cellIs" dxfId="10819" priority="1079" operator="lessThan">
      <formula>0.8</formula>
    </cfRule>
  </conditionalFormatting>
  <conditionalFormatting sqref="Q96:Q105">
    <cfRule type="cellIs" dxfId="10818" priority="1070" operator="lessThan">
      <formula>0</formula>
    </cfRule>
  </conditionalFormatting>
  <conditionalFormatting sqref="R96:R105">
    <cfRule type="cellIs" dxfId="10817" priority="1074" operator="lessThan">
      <formula>0.8</formula>
    </cfRule>
    <cfRule type="cellIs" dxfId="10816" priority="1075" operator="greaterThan">
      <formula>1</formula>
    </cfRule>
  </conditionalFormatting>
  <conditionalFormatting sqref="R96:R105">
    <cfRule type="cellIs" dxfId="10815" priority="1072" operator="greaterThan">
      <formula>1</formula>
    </cfRule>
    <cfRule type="cellIs" dxfId="10814" priority="1073" operator="lessThan">
      <formula>0.8</formula>
    </cfRule>
  </conditionalFormatting>
  <conditionalFormatting sqref="P96:P105">
    <cfRule type="cellIs" dxfId="10813" priority="1071" operator="greaterThan">
      <formula>0</formula>
    </cfRule>
  </conditionalFormatting>
  <conditionalFormatting sqref="Q96:Q105">
    <cfRule type="cellIs" dxfId="10812" priority="1069" operator="lessThan">
      <formula>0</formula>
    </cfRule>
  </conditionalFormatting>
  <conditionalFormatting sqref="R96:R105">
    <cfRule type="cellIs" dxfId="10811" priority="1067" operator="lessThan">
      <formula>0.8</formula>
    </cfRule>
    <cfRule type="cellIs" dxfId="10810" priority="1068" operator="greaterThan">
      <formula>1</formula>
    </cfRule>
  </conditionalFormatting>
  <conditionalFormatting sqref="R96:R105">
    <cfRule type="cellIs" dxfId="10809" priority="1065" operator="greaterThan">
      <formula>1</formula>
    </cfRule>
    <cfRule type="cellIs" dxfId="10808" priority="1066" operator="lessThan">
      <formula>0.8</formula>
    </cfRule>
  </conditionalFormatting>
  <conditionalFormatting sqref="P96:P105">
    <cfRule type="cellIs" dxfId="10807" priority="1064" operator="greaterThan">
      <formula>0</formula>
    </cfRule>
  </conditionalFormatting>
  <conditionalFormatting sqref="Q96:Q105">
    <cfRule type="cellIs" dxfId="10806" priority="1063" operator="lessThan">
      <formula>0</formula>
    </cfRule>
  </conditionalFormatting>
  <conditionalFormatting sqref="R96:R105">
    <cfRule type="cellIs" dxfId="10805" priority="1061" operator="lessThan">
      <formula>0.8</formula>
    </cfRule>
    <cfRule type="cellIs" dxfId="10804" priority="1062" operator="greaterThan">
      <formula>1</formula>
    </cfRule>
  </conditionalFormatting>
  <conditionalFormatting sqref="R96:R105">
    <cfRule type="cellIs" dxfId="10803" priority="1059" operator="greaterThan">
      <formula>1</formula>
    </cfRule>
    <cfRule type="cellIs" dxfId="10802" priority="1060" operator="lessThan">
      <formula>0.8</formula>
    </cfRule>
  </conditionalFormatting>
  <conditionalFormatting sqref="P96:P105">
    <cfRule type="cellIs" dxfId="10801" priority="1058" operator="greaterThan">
      <formula>0</formula>
    </cfRule>
  </conditionalFormatting>
  <conditionalFormatting sqref="P124 P127 P130">
    <cfRule type="cellIs" dxfId="10800" priority="1052" operator="greaterThan">
      <formula>0</formula>
    </cfRule>
  </conditionalFormatting>
  <conditionalFormatting sqref="Q124 Q127 Q130">
    <cfRule type="cellIs" dxfId="10799" priority="1057" operator="lessThan">
      <formula>0</formula>
    </cfRule>
  </conditionalFormatting>
  <conditionalFormatting sqref="R124 R127 R130">
    <cfRule type="cellIs" dxfId="10798" priority="1055" operator="lessThan">
      <formula>0.8</formula>
    </cfRule>
    <cfRule type="cellIs" dxfId="10797" priority="1056" operator="greaterThan">
      <formula>1</formula>
    </cfRule>
  </conditionalFormatting>
  <conditionalFormatting sqref="R124 R127 R130">
    <cfRule type="cellIs" dxfId="10796" priority="1053" operator="greaterThan">
      <formula>1</formula>
    </cfRule>
    <cfRule type="cellIs" dxfId="10795" priority="1054" operator="lessThan">
      <formula>0.8</formula>
    </cfRule>
  </conditionalFormatting>
  <conditionalFormatting sqref="Q124 Q127 Q130">
    <cfRule type="cellIs" dxfId="10794" priority="1051" operator="lessThan">
      <formula>0</formula>
    </cfRule>
  </conditionalFormatting>
  <conditionalFormatting sqref="R124 R127 R130">
    <cfRule type="cellIs" dxfId="10793" priority="1049" operator="lessThan">
      <formula>0.8</formula>
    </cfRule>
    <cfRule type="cellIs" dxfId="10792" priority="1050" operator="greaterThan">
      <formula>1</formula>
    </cfRule>
  </conditionalFormatting>
  <conditionalFormatting sqref="R124 R127 R130">
    <cfRule type="cellIs" dxfId="10791" priority="1047" operator="greaterThan">
      <formula>1</formula>
    </cfRule>
    <cfRule type="cellIs" dxfId="10790" priority="1048" operator="lessThan">
      <formula>0.8</formula>
    </cfRule>
  </conditionalFormatting>
  <conditionalFormatting sqref="P124 P127 P130">
    <cfRule type="cellIs" dxfId="10789" priority="1046" operator="greaterThan">
      <formula>0</formula>
    </cfRule>
  </conditionalFormatting>
  <conditionalFormatting sqref="Q123 Q125:Q126 Q131 Q128:Q129">
    <cfRule type="cellIs" dxfId="10788" priority="1045" operator="lessThan">
      <formula>0</formula>
    </cfRule>
  </conditionalFormatting>
  <conditionalFormatting sqref="R123 R125:R126 R131 R128:R129">
    <cfRule type="cellIs" dxfId="10787" priority="1043" operator="lessThan">
      <formula>0.8</formula>
    </cfRule>
    <cfRule type="cellIs" dxfId="10786" priority="1044" operator="greaterThan">
      <formula>1</formula>
    </cfRule>
  </conditionalFormatting>
  <conditionalFormatting sqref="R123 R125:R126 R131 R128:R129">
    <cfRule type="cellIs" dxfId="10785" priority="1041" operator="greaterThan">
      <formula>1</formula>
    </cfRule>
    <cfRule type="cellIs" dxfId="10784" priority="1042" operator="lessThan">
      <formula>0.8</formula>
    </cfRule>
  </conditionalFormatting>
  <conditionalFormatting sqref="P123 P125:P126 P131 P128:P129">
    <cfRule type="cellIs" dxfId="10783" priority="1040" operator="greaterThan">
      <formula>0</formula>
    </cfRule>
  </conditionalFormatting>
  <conditionalFormatting sqref="P123 P125:P126 P131 P128:P129">
    <cfRule type="cellIs" dxfId="10782" priority="1034" operator="greaterThan">
      <formula>0</formula>
    </cfRule>
  </conditionalFormatting>
  <conditionalFormatting sqref="Q123 Q125:Q126 Q131 Q128:Q129">
    <cfRule type="cellIs" dxfId="10781" priority="1039" operator="lessThan">
      <formula>0</formula>
    </cfRule>
  </conditionalFormatting>
  <conditionalFormatting sqref="R123 R125:R126 R131 R128:R129">
    <cfRule type="cellIs" dxfId="10780" priority="1037" operator="lessThan">
      <formula>0.8</formula>
    </cfRule>
    <cfRule type="cellIs" dxfId="10779" priority="1038" operator="greaterThan">
      <formula>1</formula>
    </cfRule>
  </conditionalFormatting>
  <conditionalFormatting sqref="R123 R125:R126 R131 R128:R129">
    <cfRule type="cellIs" dxfId="10778" priority="1035" operator="greaterThan">
      <formula>1</formula>
    </cfRule>
    <cfRule type="cellIs" dxfId="10777" priority="1036" operator="lessThan">
      <formula>0.8</formula>
    </cfRule>
  </conditionalFormatting>
  <conditionalFormatting sqref="P122">
    <cfRule type="cellIs" dxfId="10776" priority="1028" operator="greaterThan">
      <formula>0</formula>
    </cfRule>
  </conditionalFormatting>
  <conditionalFormatting sqref="Q122">
    <cfRule type="cellIs" dxfId="10775" priority="1033" operator="lessThan">
      <formula>0</formula>
    </cfRule>
  </conditionalFormatting>
  <conditionalFormatting sqref="R122">
    <cfRule type="cellIs" dxfId="10774" priority="1031" operator="lessThan">
      <formula>0.8</formula>
    </cfRule>
    <cfRule type="cellIs" dxfId="10773" priority="1032" operator="greaterThan">
      <formula>1</formula>
    </cfRule>
  </conditionalFormatting>
  <conditionalFormatting sqref="R122">
    <cfRule type="cellIs" dxfId="10772" priority="1029" operator="greaterThan">
      <formula>1</formula>
    </cfRule>
    <cfRule type="cellIs" dxfId="10771" priority="1030" operator="lessThan">
      <formula>0.8</formula>
    </cfRule>
  </conditionalFormatting>
  <conditionalFormatting sqref="P137 P140 P142 P144">
    <cfRule type="cellIs" dxfId="10770" priority="1027" operator="greaterThan">
      <formula>0</formula>
    </cfRule>
  </conditionalFormatting>
  <conditionalFormatting sqref="Q137:Q144">
    <cfRule type="cellIs" dxfId="10769" priority="1026" operator="lessThan">
      <formula>0</formula>
    </cfRule>
  </conditionalFormatting>
  <conditionalFormatting sqref="R137">
    <cfRule type="cellIs" dxfId="10768" priority="1024" operator="lessThan">
      <formula>0.8</formula>
    </cfRule>
    <cfRule type="cellIs" dxfId="10767" priority="1025" operator="greaterThan">
      <formula>1</formula>
    </cfRule>
  </conditionalFormatting>
  <conditionalFormatting sqref="R137">
    <cfRule type="cellIs" dxfId="10766" priority="1022" operator="greaterThan">
      <formula>1</formula>
    </cfRule>
    <cfRule type="cellIs" dxfId="10765" priority="1023" operator="lessThan">
      <formula>0.8</formula>
    </cfRule>
  </conditionalFormatting>
  <conditionalFormatting sqref="P137 P140 P142 P144">
    <cfRule type="cellIs" dxfId="10764" priority="1021" operator="greaterThan">
      <formula>0</formula>
    </cfRule>
  </conditionalFormatting>
  <conditionalFormatting sqref="Q137:Q144">
    <cfRule type="cellIs" dxfId="10763" priority="1020" operator="lessThan">
      <formula>0</formula>
    </cfRule>
  </conditionalFormatting>
  <conditionalFormatting sqref="R137">
    <cfRule type="cellIs" dxfId="10762" priority="1018" operator="lessThan">
      <formula>0.8</formula>
    </cfRule>
    <cfRule type="cellIs" dxfId="10761" priority="1019" operator="greaterThan">
      <formula>1</formula>
    </cfRule>
  </conditionalFormatting>
  <conditionalFormatting sqref="R137">
    <cfRule type="cellIs" dxfId="10760" priority="1016" operator="greaterThan">
      <formula>1</formula>
    </cfRule>
    <cfRule type="cellIs" dxfId="10759" priority="1017" operator="lessThan">
      <formula>0.8</formula>
    </cfRule>
  </conditionalFormatting>
  <conditionalFormatting sqref="P137 P140 P142 P144">
    <cfRule type="cellIs" dxfId="10758" priority="1015" operator="greaterThan">
      <formula>0</formula>
    </cfRule>
  </conditionalFormatting>
  <conditionalFormatting sqref="P137 P140 P142 P144">
    <cfRule type="cellIs" dxfId="10757" priority="1009" operator="greaterThan">
      <formula>0</formula>
    </cfRule>
  </conditionalFormatting>
  <conditionalFormatting sqref="Q137:Q144">
    <cfRule type="cellIs" dxfId="10756" priority="1014" operator="lessThan">
      <formula>0</formula>
    </cfRule>
  </conditionalFormatting>
  <conditionalFormatting sqref="R137">
    <cfRule type="cellIs" dxfId="10755" priority="1012" operator="lessThan">
      <formula>0.8</formula>
    </cfRule>
    <cfRule type="cellIs" dxfId="10754" priority="1013" operator="greaterThan">
      <formula>1</formula>
    </cfRule>
  </conditionalFormatting>
  <conditionalFormatting sqref="R137">
    <cfRule type="cellIs" dxfId="10753" priority="1010" operator="greaterThan">
      <formula>1</formula>
    </cfRule>
    <cfRule type="cellIs" dxfId="10752" priority="1011" operator="lessThan">
      <formula>0.8</formula>
    </cfRule>
  </conditionalFormatting>
  <conditionalFormatting sqref="Q137:Q144">
    <cfRule type="cellIs" dxfId="10751" priority="1008" operator="lessThan">
      <formula>0</formula>
    </cfRule>
  </conditionalFormatting>
  <conditionalFormatting sqref="R137">
    <cfRule type="cellIs" dxfId="10750" priority="1006" operator="lessThan">
      <formula>0.8</formula>
    </cfRule>
    <cfRule type="cellIs" dxfId="10749" priority="1007" operator="greaterThan">
      <formula>1</formula>
    </cfRule>
  </conditionalFormatting>
  <conditionalFormatting sqref="R137">
    <cfRule type="cellIs" dxfId="10748" priority="1004" operator="greaterThan">
      <formula>1</formula>
    </cfRule>
    <cfRule type="cellIs" dxfId="10747" priority="1005" operator="lessThan">
      <formula>0.8</formula>
    </cfRule>
  </conditionalFormatting>
  <conditionalFormatting sqref="P137 P140 P142 P144">
    <cfRule type="cellIs" dxfId="10746" priority="1003" operator="greaterThan">
      <formula>0</formula>
    </cfRule>
  </conditionalFormatting>
  <conditionalFormatting sqref="Q137:Q144">
    <cfRule type="cellIs" dxfId="10745" priority="1002" operator="lessThan">
      <formula>0</formula>
    </cfRule>
  </conditionalFormatting>
  <conditionalFormatting sqref="R137">
    <cfRule type="cellIs" dxfId="10744" priority="1000" operator="lessThan">
      <formula>0.8</formula>
    </cfRule>
    <cfRule type="cellIs" dxfId="10743" priority="1001" operator="greaterThan">
      <formula>1</formula>
    </cfRule>
  </conditionalFormatting>
  <conditionalFormatting sqref="R137">
    <cfRule type="cellIs" dxfId="10742" priority="998" operator="greaterThan">
      <formula>1</formula>
    </cfRule>
    <cfRule type="cellIs" dxfId="10741" priority="999" operator="lessThan">
      <formula>0.8</formula>
    </cfRule>
  </conditionalFormatting>
  <conditionalFormatting sqref="P137 P140 P142 P144">
    <cfRule type="cellIs" dxfId="10740" priority="997" operator="greaterThan">
      <formula>0</formula>
    </cfRule>
  </conditionalFormatting>
  <conditionalFormatting sqref="P137 P140 P142 P144">
    <cfRule type="cellIs" dxfId="10739" priority="991" operator="greaterThan">
      <formula>0</formula>
    </cfRule>
  </conditionalFormatting>
  <conditionalFormatting sqref="Q137:Q144">
    <cfRule type="cellIs" dxfId="10738" priority="996" operator="lessThan">
      <formula>0</formula>
    </cfRule>
  </conditionalFormatting>
  <conditionalFormatting sqref="R137">
    <cfRule type="cellIs" dxfId="10737" priority="994" operator="lessThan">
      <formula>0.8</formula>
    </cfRule>
    <cfRule type="cellIs" dxfId="10736" priority="995" operator="greaterThan">
      <formula>1</formula>
    </cfRule>
  </conditionalFormatting>
  <conditionalFormatting sqref="R137">
    <cfRule type="cellIs" dxfId="10735" priority="992" operator="greaterThan">
      <formula>1</formula>
    </cfRule>
    <cfRule type="cellIs" dxfId="10734" priority="993" operator="lessThan">
      <formula>0.8</formula>
    </cfRule>
  </conditionalFormatting>
  <conditionalFormatting sqref="Q137:Q144">
    <cfRule type="cellIs" dxfId="10733" priority="990" operator="lessThan">
      <formula>0</formula>
    </cfRule>
  </conditionalFormatting>
  <conditionalFormatting sqref="R137">
    <cfRule type="cellIs" dxfId="10732" priority="988" operator="lessThan">
      <formula>0.8</formula>
    </cfRule>
    <cfRule type="cellIs" dxfId="10731" priority="989" operator="greaterThan">
      <formula>1</formula>
    </cfRule>
  </conditionalFormatting>
  <conditionalFormatting sqref="R137">
    <cfRule type="cellIs" dxfId="10730" priority="986" operator="greaterThan">
      <formula>1</formula>
    </cfRule>
    <cfRule type="cellIs" dxfId="10729" priority="987" operator="lessThan">
      <formula>0.8</formula>
    </cfRule>
  </conditionalFormatting>
  <conditionalFormatting sqref="P137 P140 P142 P144">
    <cfRule type="cellIs" dxfId="10728" priority="985" operator="greaterThan">
      <formula>0</formula>
    </cfRule>
  </conditionalFormatting>
  <conditionalFormatting sqref="Q137:Q144">
    <cfRule type="cellIs" dxfId="10727" priority="984" operator="lessThan">
      <formula>0</formula>
    </cfRule>
  </conditionalFormatting>
  <conditionalFormatting sqref="R137">
    <cfRule type="cellIs" dxfId="10726" priority="982" operator="lessThan">
      <formula>0.8</formula>
    </cfRule>
    <cfRule type="cellIs" dxfId="10725" priority="983" operator="greaterThan">
      <formula>1</formula>
    </cfRule>
  </conditionalFormatting>
  <conditionalFormatting sqref="R137">
    <cfRule type="cellIs" dxfId="10724" priority="980" operator="greaterThan">
      <formula>1</formula>
    </cfRule>
    <cfRule type="cellIs" dxfId="10723" priority="981" operator="lessThan">
      <formula>0.8</formula>
    </cfRule>
  </conditionalFormatting>
  <conditionalFormatting sqref="P137 P140 P142 P144">
    <cfRule type="cellIs" dxfId="10722" priority="979" operator="greaterThan">
      <formula>0</formula>
    </cfRule>
  </conditionalFormatting>
  <conditionalFormatting sqref="P137 P140 P142 P144">
    <cfRule type="cellIs" dxfId="10721" priority="973" operator="greaterThan">
      <formula>0</formula>
    </cfRule>
  </conditionalFormatting>
  <conditionalFormatting sqref="Q137:Q144">
    <cfRule type="cellIs" dxfId="10720" priority="978" operator="lessThan">
      <formula>0</formula>
    </cfRule>
  </conditionalFormatting>
  <conditionalFormatting sqref="R137">
    <cfRule type="cellIs" dxfId="10719" priority="976" operator="lessThan">
      <formula>0.8</formula>
    </cfRule>
    <cfRule type="cellIs" dxfId="10718" priority="977" operator="greaterThan">
      <formula>1</formula>
    </cfRule>
  </conditionalFormatting>
  <conditionalFormatting sqref="R137">
    <cfRule type="cellIs" dxfId="10717" priority="974" operator="greaterThan">
      <formula>1</formula>
    </cfRule>
    <cfRule type="cellIs" dxfId="10716" priority="975" operator="lessThan">
      <formula>0.8</formula>
    </cfRule>
  </conditionalFormatting>
  <conditionalFormatting sqref="Q137:Q144">
    <cfRule type="cellIs" dxfId="10715" priority="972" operator="lessThan">
      <formula>0</formula>
    </cfRule>
  </conditionalFormatting>
  <conditionalFormatting sqref="R137">
    <cfRule type="cellIs" dxfId="10714" priority="970" operator="lessThan">
      <formula>0.8</formula>
    </cfRule>
    <cfRule type="cellIs" dxfId="10713" priority="971" operator="greaterThan">
      <formula>1</formula>
    </cfRule>
  </conditionalFormatting>
  <conditionalFormatting sqref="R137">
    <cfRule type="cellIs" dxfId="10712" priority="968" operator="greaterThan">
      <formula>1</formula>
    </cfRule>
    <cfRule type="cellIs" dxfId="10711" priority="969" operator="lessThan">
      <formula>0.8</formula>
    </cfRule>
  </conditionalFormatting>
  <conditionalFormatting sqref="P137 P140 P142 P144">
    <cfRule type="cellIs" dxfId="10710" priority="967" operator="greaterThan">
      <formula>0</formula>
    </cfRule>
  </conditionalFormatting>
  <conditionalFormatting sqref="P138 P141 P143">
    <cfRule type="cellIs" dxfId="10709" priority="962" operator="greaterThan">
      <formula>0</formula>
    </cfRule>
  </conditionalFormatting>
  <conditionalFormatting sqref="R138">
    <cfRule type="cellIs" dxfId="10708" priority="965" operator="lessThan">
      <formula>0.8</formula>
    </cfRule>
    <cfRule type="cellIs" dxfId="10707" priority="966" operator="greaterThan">
      <formula>1</formula>
    </cfRule>
  </conditionalFormatting>
  <conditionalFormatting sqref="R138">
    <cfRule type="cellIs" dxfId="10706" priority="963" operator="greaterThan">
      <formula>1</formula>
    </cfRule>
    <cfRule type="cellIs" dxfId="10705" priority="964" operator="lessThan">
      <formula>0.8</formula>
    </cfRule>
  </conditionalFormatting>
  <conditionalFormatting sqref="R138">
    <cfRule type="cellIs" dxfId="10704" priority="960" operator="lessThan">
      <formula>0.8</formula>
    </cfRule>
    <cfRule type="cellIs" dxfId="10703" priority="961" operator="greaterThan">
      <formula>1</formula>
    </cfRule>
  </conditionalFormatting>
  <conditionalFormatting sqref="R138">
    <cfRule type="cellIs" dxfId="10702" priority="958" operator="greaterThan">
      <formula>1</formula>
    </cfRule>
    <cfRule type="cellIs" dxfId="10701" priority="959" operator="lessThan">
      <formula>0.8</formula>
    </cfRule>
  </conditionalFormatting>
  <conditionalFormatting sqref="P138 P141 P143">
    <cfRule type="cellIs" dxfId="10700" priority="957" operator="greaterThan">
      <formula>0</formula>
    </cfRule>
  </conditionalFormatting>
  <conditionalFormatting sqref="R138">
    <cfRule type="cellIs" dxfId="10699" priority="955" operator="lessThan">
      <formula>0.8</formula>
    </cfRule>
    <cfRule type="cellIs" dxfId="10698" priority="956" operator="greaterThan">
      <formula>1</formula>
    </cfRule>
  </conditionalFormatting>
  <conditionalFormatting sqref="R138">
    <cfRule type="cellIs" dxfId="10697" priority="953" operator="greaterThan">
      <formula>1</formula>
    </cfRule>
    <cfRule type="cellIs" dxfId="10696" priority="954" operator="lessThan">
      <formula>0.8</formula>
    </cfRule>
  </conditionalFormatting>
  <conditionalFormatting sqref="P138 P141 P143">
    <cfRule type="cellIs" dxfId="10695" priority="952" operator="greaterThan">
      <formula>0</formula>
    </cfRule>
  </conditionalFormatting>
  <conditionalFormatting sqref="R138">
    <cfRule type="cellIs" dxfId="10694" priority="950" operator="lessThan">
      <formula>0.8</formula>
    </cfRule>
    <cfRule type="cellIs" dxfId="10693" priority="951" operator="greaterThan">
      <formula>1</formula>
    </cfRule>
  </conditionalFormatting>
  <conditionalFormatting sqref="R138">
    <cfRule type="cellIs" dxfId="10692" priority="948" operator="greaterThan">
      <formula>1</formula>
    </cfRule>
    <cfRule type="cellIs" dxfId="10691" priority="949" operator="lessThan">
      <formula>0.8</formula>
    </cfRule>
  </conditionalFormatting>
  <conditionalFormatting sqref="P138 P141 P143">
    <cfRule type="cellIs" dxfId="10690" priority="947" operator="greaterThan">
      <formula>0</formula>
    </cfRule>
  </conditionalFormatting>
  <conditionalFormatting sqref="R138">
    <cfRule type="cellIs" dxfId="10689" priority="945" operator="lessThan">
      <formula>0.8</formula>
    </cfRule>
    <cfRule type="cellIs" dxfId="10688" priority="946" operator="greaterThan">
      <formula>1</formula>
    </cfRule>
  </conditionalFormatting>
  <conditionalFormatting sqref="R138">
    <cfRule type="cellIs" dxfId="10687" priority="943" operator="greaterThan">
      <formula>1</formula>
    </cfRule>
    <cfRule type="cellIs" dxfId="10686" priority="944" operator="lessThan">
      <formula>0.8</formula>
    </cfRule>
  </conditionalFormatting>
  <conditionalFormatting sqref="R138">
    <cfRule type="cellIs" dxfId="10685" priority="941" operator="lessThan">
      <formula>0.8</formula>
    </cfRule>
    <cfRule type="cellIs" dxfId="10684" priority="942" operator="greaterThan">
      <formula>1</formula>
    </cfRule>
  </conditionalFormatting>
  <conditionalFormatting sqref="R138">
    <cfRule type="cellIs" dxfId="10683" priority="939" operator="greaterThan">
      <formula>1</formula>
    </cfRule>
    <cfRule type="cellIs" dxfId="10682" priority="940" operator="lessThan">
      <formula>0.8</formula>
    </cfRule>
  </conditionalFormatting>
  <conditionalFormatting sqref="P138 P141 P143">
    <cfRule type="cellIs" dxfId="10681" priority="938" operator="greaterThan">
      <formula>0</formula>
    </cfRule>
  </conditionalFormatting>
  <conditionalFormatting sqref="P138 P141 P143">
    <cfRule type="cellIs" dxfId="10680" priority="933" operator="greaterThan">
      <formula>0</formula>
    </cfRule>
  </conditionalFormatting>
  <conditionalFormatting sqref="R138">
    <cfRule type="cellIs" dxfId="10679" priority="936" operator="lessThan">
      <formula>0.8</formula>
    </cfRule>
    <cfRule type="cellIs" dxfId="10678" priority="937" operator="greaterThan">
      <formula>1</formula>
    </cfRule>
  </conditionalFormatting>
  <conditionalFormatting sqref="R138">
    <cfRule type="cellIs" dxfId="10677" priority="934" operator="greaterThan">
      <formula>1</formula>
    </cfRule>
    <cfRule type="cellIs" dxfId="10676" priority="935" operator="lessThan">
      <formula>0.8</formula>
    </cfRule>
  </conditionalFormatting>
  <conditionalFormatting sqref="R138">
    <cfRule type="cellIs" dxfId="10675" priority="931" operator="lessThan">
      <formula>0.8</formula>
    </cfRule>
    <cfRule type="cellIs" dxfId="10674" priority="932" operator="greaterThan">
      <formula>1</formula>
    </cfRule>
  </conditionalFormatting>
  <conditionalFormatting sqref="R138">
    <cfRule type="cellIs" dxfId="10673" priority="929" operator="greaterThan">
      <formula>1</formula>
    </cfRule>
    <cfRule type="cellIs" dxfId="10672" priority="930" operator="lessThan">
      <formula>0.8</formula>
    </cfRule>
  </conditionalFormatting>
  <conditionalFormatting sqref="P138 P141 P143">
    <cfRule type="cellIs" dxfId="10671" priority="928" operator="greaterThan">
      <formula>0</formula>
    </cfRule>
  </conditionalFormatting>
  <conditionalFormatting sqref="Q148:Q154">
    <cfRule type="cellIs" dxfId="10670" priority="927" operator="lessThan">
      <formula>0</formula>
    </cfRule>
  </conditionalFormatting>
  <conditionalFormatting sqref="R148:R154">
    <cfRule type="cellIs" dxfId="10669" priority="925" operator="lessThan">
      <formula>0.8</formula>
    </cfRule>
    <cfRule type="cellIs" dxfId="10668" priority="926" operator="greaterThan">
      <formula>1</formula>
    </cfRule>
  </conditionalFormatting>
  <conditionalFormatting sqref="R148:R154">
    <cfRule type="cellIs" dxfId="10667" priority="923" operator="greaterThan">
      <formula>1</formula>
    </cfRule>
    <cfRule type="cellIs" dxfId="10666" priority="924" operator="lessThan">
      <formula>0.8</formula>
    </cfRule>
  </conditionalFormatting>
  <conditionalFormatting sqref="P148:P154">
    <cfRule type="cellIs" dxfId="10665" priority="922" operator="greaterThan">
      <formula>0</formula>
    </cfRule>
  </conditionalFormatting>
  <conditionalFormatting sqref="P148:P154">
    <cfRule type="cellIs" dxfId="10664" priority="916" operator="greaterThan">
      <formula>0</formula>
    </cfRule>
  </conditionalFormatting>
  <conditionalFormatting sqref="Q148:Q154">
    <cfRule type="cellIs" dxfId="10663" priority="921" operator="lessThan">
      <formula>0</formula>
    </cfRule>
  </conditionalFormatting>
  <conditionalFormatting sqref="R148:R154">
    <cfRule type="cellIs" dxfId="10662" priority="919" operator="lessThan">
      <formula>0.8</formula>
    </cfRule>
    <cfRule type="cellIs" dxfId="10661" priority="920" operator="greaterThan">
      <formula>1</formula>
    </cfRule>
  </conditionalFormatting>
  <conditionalFormatting sqref="R148:R154">
    <cfRule type="cellIs" dxfId="10660" priority="917" operator="greaterThan">
      <formula>1</formula>
    </cfRule>
    <cfRule type="cellIs" dxfId="10659" priority="918" operator="lessThan">
      <formula>0.8</formula>
    </cfRule>
  </conditionalFormatting>
  <conditionalFormatting sqref="Q148:Q154">
    <cfRule type="cellIs" dxfId="10658" priority="915" operator="lessThan">
      <formula>0</formula>
    </cfRule>
  </conditionalFormatting>
  <conditionalFormatting sqref="R148:R154">
    <cfRule type="cellIs" dxfId="10657" priority="913" operator="lessThan">
      <formula>0.8</formula>
    </cfRule>
    <cfRule type="cellIs" dxfId="10656" priority="914" operator="greaterThan">
      <formula>1</formula>
    </cfRule>
  </conditionalFormatting>
  <conditionalFormatting sqref="R148:R154">
    <cfRule type="cellIs" dxfId="10655" priority="911" operator="greaterThan">
      <formula>1</formula>
    </cfRule>
    <cfRule type="cellIs" dxfId="10654" priority="912" operator="lessThan">
      <formula>0.8</formula>
    </cfRule>
  </conditionalFormatting>
  <conditionalFormatting sqref="P148:P154">
    <cfRule type="cellIs" dxfId="10653" priority="910" operator="greaterThan">
      <formula>0</formula>
    </cfRule>
  </conditionalFormatting>
  <conditionalFormatting sqref="Q148:Q154">
    <cfRule type="cellIs" dxfId="10652" priority="909" operator="lessThan">
      <formula>0</formula>
    </cfRule>
  </conditionalFormatting>
  <conditionalFormatting sqref="R148:R154">
    <cfRule type="cellIs" dxfId="10651" priority="907" operator="lessThan">
      <formula>0.8</formula>
    </cfRule>
    <cfRule type="cellIs" dxfId="10650" priority="908" operator="greaterThan">
      <formula>1</formula>
    </cfRule>
  </conditionalFormatting>
  <conditionalFormatting sqref="R148:R154">
    <cfRule type="cellIs" dxfId="10649" priority="905" operator="greaterThan">
      <formula>1</formula>
    </cfRule>
    <cfRule type="cellIs" dxfId="10648" priority="906" operator="lessThan">
      <formula>0.8</formula>
    </cfRule>
  </conditionalFormatting>
  <conditionalFormatting sqref="P148:P154">
    <cfRule type="cellIs" dxfId="10647" priority="904" operator="greaterThan">
      <formula>0</formula>
    </cfRule>
  </conditionalFormatting>
  <conditionalFormatting sqref="P148:P154">
    <cfRule type="cellIs" dxfId="10646" priority="898" operator="greaterThan">
      <formula>0</formula>
    </cfRule>
  </conditionalFormatting>
  <conditionalFormatting sqref="Q148:Q154">
    <cfRule type="cellIs" dxfId="10645" priority="903" operator="lessThan">
      <formula>0</formula>
    </cfRule>
  </conditionalFormatting>
  <conditionalFormatting sqref="R148:R154">
    <cfRule type="cellIs" dxfId="10644" priority="901" operator="lessThan">
      <formula>0.8</formula>
    </cfRule>
    <cfRule type="cellIs" dxfId="10643" priority="902" operator="greaterThan">
      <formula>1</formula>
    </cfRule>
  </conditionalFormatting>
  <conditionalFormatting sqref="R148:R154">
    <cfRule type="cellIs" dxfId="10642" priority="899" operator="greaterThan">
      <formula>1</formula>
    </cfRule>
    <cfRule type="cellIs" dxfId="10641" priority="900" operator="lessThan">
      <formula>0.8</formula>
    </cfRule>
  </conditionalFormatting>
  <conditionalFormatting sqref="Q148:Q154">
    <cfRule type="cellIs" dxfId="10640" priority="897" operator="lessThan">
      <formula>0</formula>
    </cfRule>
  </conditionalFormatting>
  <conditionalFormatting sqref="R148:R154">
    <cfRule type="cellIs" dxfId="10639" priority="895" operator="lessThan">
      <formula>0.8</formula>
    </cfRule>
    <cfRule type="cellIs" dxfId="10638" priority="896" operator="greaterThan">
      <formula>1</formula>
    </cfRule>
  </conditionalFormatting>
  <conditionalFormatting sqref="R148:R154">
    <cfRule type="cellIs" dxfId="10637" priority="893" operator="greaterThan">
      <formula>1</formula>
    </cfRule>
    <cfRule type="cellIs" dxfId="10636" priority="894" operator="lessThan">
      <formula>0.8</formula>
    </cfRule>
  </conditionalFormatting>
  <conditionalFormatting sqref="P148:P154">
    <cfRule type="cellIs" dxfId="10635" priority="892" operator="greaterThan">
      <formula>0</formula>
    </cfRule>
  </conditionalFormatting>
  <conditionalFormatting sqref="Q148:Q154">
    <cfRule type="cellIs" dxfId="10634" priority="886" operator="lessThan">
      <formula>0</formula>
    </cfRule>
  </conditionalFormatting>
  <conditionalFormatting sqref="P148:P154">
    <cfRule type="cellIs" dxfId="10633" priority="887" operator="greaterThan">
      <formula>0</formula>
    </cfRule>
  </conditionalFormatting>
  <conditionalFormatting sqref="R148:R154">
    <cfRule type="cellIs" dxfId="10632" priority="890" operator="lessThan">
      <formula>0.8</formula>
    </cfRule>
    <cfRule type="cellIs" dxfId="10631" priority="891" operator="greaterThan">
      <formula>1</formula>
    </cfRule>
  </conditionalFormatting>
  <conditionalFormatting sqref="R148:R154">
    <cfRule type="cellIs" dxfId="10630" priority="888" operator="greaterThan">
      <formula>1</formula>
    </cfRule>
    <cfRule type="cellIs" dxfId="10629" priority="889" operator="lessThan">
      <formula>0.8</formula>
    </cfRule>
  </conditionalFormatting>
  <conditionalFormatting sqref="Q148:Q154">
    <cfRule type="cellIs" dxfId="10628" priority="880" operator="lessThan">
      <formula>0</formula>
    </cfRule>
  </conditionalFormatting>
  <conditionalFormatting sqref="R148:R154">
    <cfRule type="cellIs" dxfId="10627" priority="884" operator="lessThan">
      <formula>0.8</formula>
    </cfRule>
    <cfRule type="cellIs" dxfId="10626" priority="885" operator="greaterThan">
      <formula>1</formula>
    </cfRule>
  </conditionalFormatting>
  <conditionalFormatting sqref="R148:R154">
    <cfRule type="cellIs" dxfId="10625" priority="882" operator="greaterThan">
      <formula>1</formula>
    </cfRule>
    <cfRule type="cellIs" dxfId="10624" priority="883" operator="lessThan">
      <formula>0.8</formula>
    </cfRule>
  </conditionalFormatting>
  <conditionalFormatting sqref="P148:P154">
    <cfRule type="cellIs" dxfId="10623" priority="881" operator="greaterThan">
      <formula>0</formula>
    </cfRule>
  </conditionalFormatting>
  <conditionalFormatting sqref="Q148:Q154">
    <cfRule type="cellIs" dxfId="10622" priority="879" operator="lessThan">
      <formula>0</formula>
    </cfRule>
  </conditionalFormatting>
  <conditionalFormatting sqref="R148:R154">
    <cfRule type="cellIs" dxfId="10621" priority="877" operator="lessThan">
      <formula>0.8</formula>
    </cfRule>
    <cfRule type="cellIs" dxfId="10620" priority="878" operator="greaterThan">
      <formula>1</formula>
    </cfRule>
  </conditionalFormatting>
  <conditionalFormatting sqref="R148:R154">
    <cfRule type="cellIs" dxfId="10619" priority="875" operator="greaterThan">
      <formula>1</formula>
    </cfRule>
    <cfRule type="cellIs" dxfId="10618" priority="876" operator="lessThan">
      <formula>0.8</formula>
    </cfRule>
  </conditionalFormatting>
  <conditionalFormatting sqref="P148:P154">
    <cfRule type="cellIs" dxfId="10617" priority="874" operator="greaterThan">
      <formula>0</formula>
    </cfRule>
  </conditionalFormatting>
  <conditionalFormatting sqref="Q148:Q154">
    <cfRule type="cellIs" dxfId="10616" priority="873" operator="lessThan">
      <formula>0</formula>
    </cfRule>
  </conditionalFormatting>
  <conditionalFormatting sqref="R148:R154">
    <cfRule type="cellIs" dxfId="10615" priority="871" operator="lessThan">
      <formula>0.8</formula>
    </cfRule>
    <cfRule type="cellIs" dxfId="10614" priority="872" operator="greaterThan">
      <formula>1</formula>
    </cfRule>
  </conditionalFormatting>
  <conditionalFormatting sqref="R148:R154">
    <cfRule type="cellIs" dxfId="10613" priority="869" operator="greaterThan">
      <formula>1</formula>
    </cfRule>
    <cfRule type="cellIs" dxfId="10612" priority="870" operator="lessThan">
      <formula>0.8</formula>
    </cfRule>
  </conditionalFormatting>
  <conditionalFormatting sqref="P148:P154">
    <cfRule type="cellIs" dxfId="10611" priority="868" operator="greaterThan">
      <formula>0</formula>
    </cfRule>
  </conditionalFormatting>
  <conditionalFormatting sqref="Q148:Q154">
    <cfRule type="cellIs" dxfId="10610" priority="867" operator="lessThan">
      <formula>0</formula>
    </cfRule>
  </conditionalFormatting>
  <conditionalFormatting sqref="R148:R154">
    <cfRule type="cellIs" dxfId="10609" priority="865" operator="lessThan">
      <formula>0.8</formula>
    </cfRule>
    <cfRule type="cellIs" dxfId="10608" priority="866" operator="greaterThan">
      <formula>1</formula>
    </cfRule>
  </conditionalFormatting>
  <conditionalFormatting sqref="R148:R154">
    <cfRule type="cellIs" dxfId="10607" priority="863" operator="greaterThan">
      <formula>1</formula>
    </cfRule>
    <cfRule type="cellIs" dxfId="10606" priority="864" operator="lessThan">
      <formula>0.8</formula>
    </cfRule>
  </conditionalFormatting>
  <conditionalFormatting sqref="P148:P154">
    <cfRule type="cellIs" dxfId="10605" priority="862" operator="greaterThan">
      <formula>0</formula>
    </cfRule>
  </conditionalFormatting>
  <conditionalFormatting sqref="Q148:Q154">
    <cfRule type="cellIs" dxfId="10604" priority="861" operator="lessThan">
      <formula>0</formula>
    </cfRule>
  </conditionalFormatting>
  <conditionalFormatting sqref="R148:R154">
    <cfRule type="cellIs" dxfId="10603" priority="859" operator="lessThan">
      <formula>0.8</formula>
    </cfRule>
    <cfRule type="cellIs" dxfId="10602" priority="860" operator="greaterThan">
      <formula>1</formula>
    </cfRule>
  </conditionalFormatting>
  <conditionalFormatting sqref="R148:R154">
    <cfRule type="cellIs" dxfId="10601" priority="857" operator="greaterThan">
      <formula>1</formula>
    </cfRule>
    <cfRule type="cellIs" dxfId="10600" priority="858" operator="lessThan">
      <formula>0.8</formula>
    </cfRule>
  </conditionalFormatting>
  <conditionalFormatting sqref="P148:P154">
    <cfRule type="cellIs" dxfId="10599" priority="856" operator="greaterThan">
      <formula>0</formula>
    </cfRule>
  </conditionalFormatting>
  <conditionalFormatting sqref="Q148:Q154">
    <cfRule type="cellIs" dxfId="10598" priority="855" operator="lessThan">
      <formula>0</formula>
    </cfRule>
  </conditionalFormatting>
  <conditionalFormatting sqref="R148:R154">
    <cfRule type="cellIs" dxfId="10597" priority="853" operator="lessThan">
      <formula>0.8</formula>
    </cfRule>
    <cfRule type="cellIs" dxfId="10596" priority="854" operator="greaterThan">
      <formula>1</formula>
    </cfRule>
  </conditionalFormatting>
  <conditionalFormatting sqref="R148:R154">
    <cfRule type="cellIs" dxfId="10595" priority="851" operator="greaterThan">
      <formula>1</formula>
    </cfRule>
    <cfRule type="cellIs" dxfId="10594" priority="852" operator="lessThan">
      <formula>0.8</formula>
    </cfRule>
  </conditionalFormatting>
  <conditionalFormatting sqref="P148:P154">
    <cfRule type="cellIs" dxfId="10593" priority="850" operator="greaterThan">
      <formula>0</formula>
    </cfRule>
  </conditionalFormatting>
  <conditionalFormatting sqref="Q148:Q154">
    <cfRule type="cellIs" dxfId="10592" priority="849" operator="lessThan">
      <formula>0</formula>
    </cfRule>
  </conditionalFormatting>
  <conditionalFormatting sqref="R148:R154">
    <cfRule type="cellIs" dxfId="10591" priority="847" operator="lessThan">
      <formula>0.8</formula>
    </cfRule>
    <cfRule type="cellIs" dxfId="10590" priority="848" operator="greaterThan">
      <formula>1</formula>
    </cfRule>
  </conditionalFormatting>
  <conditionalFormatting sqref="R148:R154">
    <cfRule type="cellIs" dxfId="10589" priority="845" operator="greaterThan">
      <formula>1</formula>
    </cfRule>
    <cfRule type="cellIs" dxfId="10588" priority="846" operator="lessThan">
      <formula>0.8</formula>
    </cfRule>
  </conditionalFormatting>
  <conditionalFormatting sqref="P148:P154">
    <cfRule type="cellIs" dxfId="10587" priority="844" operator="greaterThan">
      <formula>0</formula>
    </cfRule>
  </conditionalFormatting>
  <conditionalFormatting sqref="Q148:Q154">
    <cfRule type="cellIs" dxfId="10586" priority="843" operator="lessThan">
      <formula>0</formula>
    </cfRule>
  </conditionalFormatting>
  <conditionalFormatting sqref="R148:R154">
    <cfRule type="cellIs" dxfId="10585" priority="841" operator="lessThan">
      <formula>0.8</formula>
    </cfRule>
    <cfRule type="cellIs" dxfId="10584" priority="842" operator="greaterThan">
      <formula>1</formula>
    </cfRule>
  </conditionalFormatting>
  <conditionalFormatting sqref="R148:R154">
    <cfRule type="cellIs" dxfId="10583" priority="839" operator="greaterThan">
      <formula>1</formula>
    </cfRule>
    <cfRule type="cellIs" dxfId="10582" priority="840" operator="lessThan">
      <formula>0.8</formula>
    </cfRule>
  </conditionalFormatting>
  <conditionalFormatting sqref="P148:P154">
    <cfRule type="cellIs" dxfId="10581" priority="838" operator="greaterThan">
      <formula>0</formula>
    </cfRule>
  </conditionalFormatting>
  <conditionalFormatting sqref="P148:P154">
    <cfRule type="cellIs" dxfId="10580" priority="832" operator="greaterThan">
      <formula>0</formula>
    </cfRule>
  </conditionalFormatting>
  <conditionalFormatting sqref="Q148:Q154">
    <cfRule type="cellIs" dxfId="10579" priority="837" operator="lessThan">
      <formula>0</formula>
    </cfRule>
  </conditionalFormatting>
  <conditionalFormatting sqref="R148:R154">
    <cfRule type="cellIs" dxfId="10578" priority="835" operator="lessThan">
      <formula>0.8</formula>
    </cfRule>
    <cfRule type="cellIs" dxfId="10577" priority="836" operator="greaterThan">
      <formula>1</formula>
    </cfRule>
  </conditionalFormatting>
  <conditionalFormatting sqref="R148:R154">
    <cfRule type="cellIs" dxfId="10576" priority="833" operator="greaterThan">
      <formula>1</formula>
    </cfRule>
    <cfRule type="cellIs" dxfId="10575" priority="834" operator="lessThan">
      <formula>0.8</formula>
    </cfRule>
  </conditionalFormatting>
  <conditionalFormatting sqref="P148:P154">
    <cfRule type="cellIs" dxfId="10574" priority="826" operator="greaterThan">
      <formula>0</formula>
    </cfRule>
  </conditionalFormatting>
  <conditionalFormatting sqref="Q148:Q154">
    <cfRule type="cellIs" dxfId="10573" priority="831" operator="lessThan">
      <formula>0</formula>
    </cfRule>
  </conditionalFormatting>
  <conditionalFormatting sqref="R148:R154">
    <cfRule type="cellIs" dxfId="10572" priority="829" operator="lessThan">
      <formula>0.8</formula>
    </cfRule>
    <cfRule type="cellIs" dxfId="10571" priority="830" operator="greaterThan">
      <formula>1</formula>
    </cfRule>
  </conditionalFormatting>
  <conditionalFormatting sqref="R148:R154">
    <cfRule type="cellIs" dxfId="10570" priority="827" operator="greaterThan">
      <formula>1</formula>
    </cfRule>
    <cfRule type="cellIs" dxfId="10569" priority="828" operator="lessThan">
      <formula>0.8</formula>
    </cfRule>
  </conditionalFormatting>
  <conditionalFormatting sqref="R148:R154">
    <cfRule type="cellIs" dxfId="10568" priority="823" operator="lessThan">
      <formula>0.8</formula>
    </cfRule>
    <cfRule type="cellIs" dxfId="10567" priority="824" operator="greaterThan">
      <formula>1</formula>
    </cfRule>
  </conditionalFormatting>
  <conditionalFormatting sqref="R148:R154">
    <cfRule type="cellIs" dxfId="10566" priority="821" operator="greaterThan">
      <formula>1</formula>
    </cfRule>
    <cfRule type="cellIs" dxfId="10565" priority="822" operator="lessThan">
      <formula>0.8</formula>
    </cfRule>
  </conditionalFormatting>
  <conditionalFormatting sqref="P148:P154">
    <cfRule type="cellIs" dxfId="10564" priority="820" operator="greaterThan">
      <formula>0</formula>
    </cfRule>
  </conditionalFormatting>
  <conditionalFormatting sqref="Q148:Q154">
    <cfRule type="cellIs" dxfId="10563" priority="825" operator="lessThan">
      <formula>0</formula>
    </cfRule>
  </conditionalFormatting>
  <conditionalFormatting sqref="Q148:Q154">
    <cfRule type="cellIs" dxfId="10562" priority="819" operator="lessThan">
      <formula>0</formula>
    </cfRule>
  </conditionalFormatting>
  <conditionalFormatting sqref="R148:R154">
    <cfRule type="cellIs" dxfId="10561" priority="817" operator="lessThan">
      <formula>0.8</formula>
    </cfRule>
    <cfRule type="cellIs" dxfId="10560" priority="818" operator="greaterThan">
      <formula>1</formula>
    </cfRule>
  </conditionalFormatting>
  <conditionalFormatting sqref="R148:R154">
    <cfRule type="cellIs" dxfId="10559" priority="815" operator="greaterThan">
      <formula>1</formula>
    </cfRule>
    <cfRule type="cellIs" dxfId="10558" priority="816" operator="lessThan">
      <formula>0.8</formula>
    </cfRule>
  </conditionalFormatting>
  <conditionalFormatting sqref="P148:P154">
    <cfRule type="cellIs" dxfId="10557" priority="814" operator="greaterThan">
      <formula>0</formula>
    </cfRule>
  </conditionalFormatting>
  <conditionalFormatting sqref="P148:P154">
    <cfRule type="cellIs" dxfId="10556" priority="808" operator="greaterThan">
      <formula>0</formula>
    </cfRule>
  </conditionalFormatting>
  <conditionalFormatting sqref="Q148:Q154">
    <cfRule type="cellIs" dxfId="10555" priority="813" operator="lessThan">
      <formula>0</formula>
    </cfRule>
  </conditionalFormatting>
  <conditionalFormatting sqref="R148:R154">
    <cfRule type="cellIs" dxfId="10554" priority="811" operator="lessThan">
      <formula>0.8</formula>
    </cfRule>
    <cfRule type="cellIs" dxfId="10553" priority="812" operator="greaterThan">
      <formula>1</formula>
    </cfRule>
  </conditionalFormatting>
  <conditionalFormatting sqref="R148:R154">
    <cfRule type="cellIs" dxfId="10552" priority="809" operator="greaterThan">
      <formula>1</formula>
    </cfRule>
    <cfRule type="cellIs" dxfId="10551" priority="810" operator="lessThan">
      <formula>0.8</formula>
    </cfRule>
  </conditionalFormatting>
  <conditionalFormatting sqref="P148:P154">
    <cfRule type="cellIs" dxfId="10550" priority="802" operator="greaterThan">
      <formula>0</formula>
    </cfRule>
  </conditionalFormatting>
  <conditionalFormatting sqref="Q148:Q154">
    <cfRule type="cellIs" dxfId="10549" priority="807" operator="lessThan">
      <formula>0</formula>
    </cfRule>
  </conditionalFormatting>
  <conditionalFormatting sqref="R148:R154">
    <cfRule type="cellIs" dxfId="10548" priority="805" operator="lessThan">
      <formula>0.8</formula>
    </cfRule>
    <cfRule type="cellIs" dxfId="10547" priority="806" operator="greaterThan">
      <formula>1</formula>
    </cfRule>
  </conditionalFormatting>
  <conditionalFormatting sqref="R148:R154">
    <cfRule type="cellIs" dxfId="10546" priority="803" operator="greaterThan">
      <formula>1</formula>
    </cfRule>
    <cfRule type="cellIs" dxfId="10545" priority="804" operator="lessThan">
      <formula>0.8</formula>
    </cfRule>
  </conditionalFormatting>
  <conditionalFormatting sqref="R148:R154">
    <cfRule type="cellIs" dxfId="10544" priority="799" operator="lessThan">
      <formula>0.8</formula>
    </cfRule>
    <cfRule type="cellIs" dxfId="10543" priority="800" operator="greaterThan">
      <formula>1</formula>
    </cfRule>
  </conditionalFormatting>
  <conditionalFormatting sqref="R148:R154">
    <cfRule type="cellIs" dxfId="10542" priority="797" operator="greaterThan">
      <formula>1</formula>
    </cfRule>
    <cfRule type="cellIs" dxfId="10541" priority="798" operator="lessThan">
      <formula>0.8</formula>
    </cfRule>
  </conditionalFormatting>
  <conditionalFormatting sqref="P148:P154">
    <cfRule type="cellIs" dxfId="10540" priority="796" operator="greaterThan">
      <formula>0</formula>
    </cfRule>
  </conditionalFormatting>
  <conditionalFormatting sqref="Q148:Q154">
    <cfRule type="cellIs" dxfId="10539" priority="801" operator="lessThan">
      <formula>0</formula>
    </cfRule>
  </conditionalFormatting>
  <conditionalFormatting sqref="P148:P154">
    <cfRule type="cellIs" dxfId="10538" priority="790" operator="greaterThan">
      <formula>0</formula>
    </cfRule>
  </conditionalFormatting>
  <conditionalFormatting sqref="Q148:Q154">
    <cfRule type="cellIs" dxfId="10537" priority="795" operator="lessThan">
      <formula>0</formula>
    </cfRule>
  </conditionalFormatting>
  <conditionalFormatting sqref="R148:R154">
    <cfRule type="cellIs" dxfId="10536" priority="793" operator="lessThan">
      <formula>0.8</formula>
    </cfRule>
    <cfRule type="cellIs" dxfId="10535" priority="794" operator="greaterThan">
      <formula>1</formula>
    </cfRule>
  </conditionalFormatting>
  <conditionalFormatting sqref="R148:R154">
    <cfRule type="cellIs" dxfId="10534" priority="791" operator="greaterThan">
      <formula>1</formula>
    </cfRule>
    <cfRule type="cellIs" dxfId="10533" priority="792" operator="lessThan">
      <formula>0.8</formula>
    </cfRule>
  </conditionalFormatting>
  <conditionalFormatting sqref="R148:R154">
    <cfRule type="cellIs" dxfId="10532" priority="787" operator="lessThan">
      <formula>0.8</formula>
    </cfRule>
    <cfRule type="cellIs" dxfId="10531" priority="788" operator="greaterThan">
      <formula>1</formula>
    </cfRule>
  </conditionalFormatting>
  <conditionalFormatting sqref="R148:R154">
    <cfRule type="cellIs" dxfId="10530" priority="785" operator="greaterThan">
      <formula>1</formula>
    </cfRule>
    <cfRule type="cellIs" dxfId="10529" priority="786" operator="lessThan">
      <formula>0.8</formula>
    </cfRule>
  </conditionalFormatting>
  <conditionalFormatting sqref="P148:P154">
    <cfRule type="cellIs" dxfId="10528" priority="784" operator="greaterThan">
      <formula>0</formula>
    </cfRule>
  </conditionalFormatting>
  <conditionalFormatting sqref="Q148:Q154">
    <cfRule type="cellIs" dxfId="10527" priority="789" operator="lessThan">
      <formula>0</formula>
    </cfRule>
  </conditionalFormatting>
  <conditionalFormatting sqref="R148:R154">
    <cfRule type="cellIs" dxfId="10526" priority="781" operator="lessThan">
      <formula>0.8</formula>
    </cfRule>
    <cfRule type="cellIs" dxfId="10525" priority="782" operator="greaterThan">
      <formula>1</formula>
    </cfRule>
  </conditionalFormatting>
  <conditionalFormatting sqref="R148:R154">
    <cfRule type="cellIs" dxfId="10524" priority="779" operator="greaterThan">
      <formula>1</formula>
    </cfRule>
    <cfRule type="cellIs" dxfId="10523" priority="780" operator="lessThan">
      <formula>0.8</formula>
    </cfRule>
  </conditionalFormatting>
  <conditionalFormatting sqref="P148:P154">
    <cfRule type="cellIs" dxfId="10522" priority="778" operator="greaterThan">
      <formula>0</formula>
    </cfRule>
  </conditionalFormatting>
  <conditionalFormatting sqref="Q148:Q154">
    <cfRule type="cellIs" dxfId="10521" priority="783" operator="lessThan">
      <formula>0</formula>
    </cfRule>
  </conditionalFormatting>
  <conditionalFormatting sqref="Q148:Q154">
    <cfRule type="cellIs" dxfId="10520" priority="777" operator="lessThan">
      <formula>0</formula>
    </cfRule>
  </conditionalFormatting>
  <conditionalFormatting sqref="R148:R154">
    <cfRule type="cellIs" dxfId="10519" priority="775" operator="lessThan">
      <formula>0.8</formula>
    </cfRule>
    <cfRule type="cellIs" dxfId="10518" priority="776" operator="greaterThan">
      <formula>1</formula>
    </cfRule>
  </conditionalFormatting>
  <conditionalFormatting sqref="R148:R154">
    <cfRule type="cellIs" dxfId="10517" priority="773" operator="greaterThan">
      <formula>1</formula>
    </cfRule>
    <cfRule type="cellIs" dxfId="10516" priority="774" operator="lessThan">
      <formula>0.8</formula>
    </cfRule>
  </conditionalFormatting>
  <conditionalFormatting sqref="P148:P154">
    <cfRule type="cellIs" dxfId="10515" priority="772" operator="greaterThan">
      <formula>0</formula>
    </cfRule>
  </conditionalFormatting>
  <conditionalFormatting sqref="Q148:Q154">
    <cfRule type="cellIs" dxfId="10514" priority="766" operator="lessThan">
      <formula>0</formula>
    </cfRule>
  </conditionalFormatting>
  <conditionalFormatting sqref="R148:R154">
    <cfRule type="cellIs" dxfId="10513" priority="770" operator="lessThan">
      <formula>0.8</formula>
    </cfRule>
    <cfRule type="cellIs" dxfId="10512" priority="771" operator="greaterThan">
      <formula>1</formula>
    </cfRule>
  </conditionalFormatting>
  <conditionalFormatting sqref="R148:R154">
    <cfRule type="cellIs" dxfId="10511" priority="768" operator="greaterThan">
      <formula>1</formula>
    </cfRule>
    <cfRule type="cellIs" dxfId="10510" priority="769" operator="lessThan">
      <formula>0.8</formula>
    </cfRule>
  </conditionalFormatting>
  <conditionalFormatting sqref="P148:P154">
    <cfRule type="cellIs" dxfId="10509" priority="767" operator="greaterThan">
      <formula>0</formula>
    </cfRule>
  </conditionalFormatting>
  <conditionalFormatting sqref="Q148:Q154">
    <cfRule type="cellIs" dxfId="10508" priority="765" operator="lessThan">
      <formula>0</formula>
    </cfRule>
  </conditionalFormatting>
  <conditionalFormatting sqref="R148:R154">
    <cfRule type="cellIs" dxfId="10507" priority="763" operator="lessThan">
      <formula>0.8</formula>
    </cfRule>
    <cfRule type="cellIs" dxfId="10506" priority="764" operator="greaterThan">
      <formula>1</formula>
    </cfRule>
  </conditionalFormatting>
  <conditionalFormatting sqref="R148:R154">
    <cfRule type="cellIs" dxfId="10505" priority="761" operator="greaterThan">
      <formula>1</formula>
    </cfRule>
    <cfRule type="cellIs" dxfId="10504" priority="762" operator="lessThan">
      <formula>0.8</formula>
    </cfRule>
  </conditionalFormatting>
  <conditionalFormatting sqref="P148:P154">
    <cfRule type="cellIs" dxfId="10503" priority="760" operator="greaterThan">
      <formula>0</formula>
    </cfRule>
  </conditionalFormatting>
  <conditionalFormatting sqref="Q148:Q154">
    <cfRule type="cellIs" dxfId="10502" priority="759" operator="lessThan">
      <formula>0</formula>
    </cfRule>
  </conditionalFormatting>
  <conditionalFormatting sqref="R148:R154">
    <cfRule type="cellIs" dxfId="10501" priority="757" operator="lessThan">
      <formula>0.8</formula>
    </cfRule>
    <cfRule type="cellIs" dxfId="10500" priority="758" operator="greaterThan">
      <formula>1</formula>
    </cfRule>
  </conditionalFormatting>
  <conditionalFormatting sqref="R148:R154">
    <cfRule type="cellIs" dxfId="10499" priority="755" operator="greaterThan">
      <formula>1</formula>
    </cfRule>
    <cfRule type="cellIs" dxfId="10498" priority="756" operator="lessThan">
      <formula>0.8</formula>
    </cfRule>
  </conditionalFormatting>
  <conditionalFormatting sqref="P148:P154">
    <cfRule type="cellIs" dxfId="10497" priority="754" operator="greaterThan">
      <formula>0</formula>
    </cfRule>
  </conditionalFormatting>
  <conditionalFormatting sqref="Q148:Q154">
    <cfRule type="cellIs" dxfId="10496" priority="753" operator="lessThan">
      <formula>0</formula>
    </cfRule>
  </conditionalFormatting>
  <conditionalFormatting sqref="R148:R154">
    <cfRule type="cellIs" dxfId="10495" priority="751" operator="lessThan">
      <formula>0.8</formula>
    </cfRule>
    <cfRule type="cellIs" dxfId="10494" priority="752" operator="greaterThan">
      <formula>1</formula>
    </cfRule>
  </conditionalFormatting>
  <conditionalFormatting sqref="R148:R154">
    <cfRule type="cellIs" dxfId="10493" priority="749" operator="greaterThan">
      <formula>1</formula>
    </cfRule>
    <cfRule type="cellIs" dxfId="10492" priority="750" operator="lessThan">
      <formula>0.8</formula>
    </cfRule>
  </conditionalFormatting>
  <conditionalFormatting sqref="P148:P154">
    <cfRule type="cellIs" dxfId="10491" priority="748" operator="greaterThan">
      <formula>0</formula>
    </cfRule>
  </conditionalFormatting>
  <conditionalFormatting sqref="Q148:Q154">
    <cfRule type="cellIs" dxfId="10490" priority="747" operator="lessThan">
      <formula>0</formula>
    </cfRule>
  </conditionalFormatting>
  <conditionalFormatting sqref="R148:R154">
    <cfRule type="cellIs" dxfId="10489" priority="745" operator="lessThan">
      <formula>0.8</formula>
    </cfRule>
    <cfRule type="cellIs" dxfId="10488" priority="746" operator="greaterThan">
      <formula>1</formula>
    </cfRule>
  </conditionalFormatting>
  <conditionalFormatting sqref="R148:R154">
    <cfRule type="cellIs" dxfId="10487" priority="743" operator="greaterThan">
      <formula>1</formula>
    </cfRule>
    <cfRule type="cellIs" dxfId="10486" priority="744" operator="lessThan">
      <formula>0.8</formula>
    </cfRule>
  </conditionalFormatting>
  <conditionalFormatting sqref="P148:P154">
    <cfRule type="cellIs" dxfId="10485" priority="742" operator="greaterThan">
      <formula>0</formula>
    </cfRule>
  </conditionalFormatting>
  <conditionalFormatting sqref="Q148:Q154">
    <cfRule type="cellIs" dxfId="10484" priority="741" operator="lessThan">
      <formula>0</formula>
    </cfRule>
  </conditionalFormatting>
  <conditionalFormatting sqref="R148:R154">
    <cfRule type="cellIs" dxfId="10483" priority="739" operator="lessThan">
      <formula>0.8</formula>
    </cfRule>
    <cfRule type="cellIs" dxfId="10482" priority="740" operator="greaterThan">
      <formula>1</formula>
    </cfRule>
  </conditionalFormatting>
  <conditionalFormatting sqref="R148:R154">
    <cfRule type="cellIs" dxfId="10481" priority="737" operator="greaterThan">
      <formula>1</formula>
    </cfRule>
    <cfRule type="cellIs" dxfId="10480" priority="738" operator="lessThan">
      <formula>0.8</formula>
    </cfRule>
  </conditionalFormatting>
  <conditionalFormatting sqref="P148:P154">
    <cfRule type="cellIs" dxfId="10479" priority="736" operator="greaterThan">
      <formula>0</formula>
    </cfRule>
  </conditionalFormatting>
  <conditionalFormatting sqref="P148:P154">
    <cfRule type="cellIs" dxfId="10478" priority="730" operator="greaterThan">
      <formula>0</formula>
    </cfRule>
  </conditionalFormatting>
  <conditionalFormatting sqref="Q148:Q154">
    <cfRule type="cellIs" dxfId="10477" priority="735" operator="lessThan">
      <formula>0</formula>
    </cfRule>
  </conditionalFormatting>
  <conditionalFormatting sqref="R148:R154">
    <cfRule type="cellIs" dxfId="10476" priority="733" operator="lessThan">
      <formula>0.8</formula>
    </cfRule>
    <cfRule type="cellIs" dxfId="10475" priority="734" operator="greaterThan">
      <formula>1</formula>
    </cfRule>
  </conditionalFormatting>
  <conditionalFormatting sqref="R148:R154">
    <cfRule type="cellIs" dxfId="10474" priority="731" operator="greaterThan">
      <formula>1</formula>
    </cfRule>
    <cfRule type="cellIs" dxfId="10473" priority="732" operator="lessThan">
      <formula>0.8</formula>
    </cfRule>
  </conditionalFormatting>
  <conditionalFormatting sqref="P148:P154">
    <cfRule type="cellIs" dxfId="10472" priority="724" operator="greaterThan">
      <formula>0</formula>
    </cfRule>
  </conditionalFormatting>
  <conditionalFormatting sqref="Q148:Q154">
    <cfRule type="cellIs" dxfId="10471" priority="729" operator="lessThan">
      <formula>0</formula>
    </cfRule>
  </conditionalFormatting>
  <conditionalFormatting sqref="R148:R154">
    <cfRule type="cellIs" dxfId="10470" priority="727" operator="lessThan">
      <formula>0.8</formula>
    </cfRule>
    <cfRule type="cellIs" dxfId="10469" priority="728" operator="greaterThan">
      <formula>1</formula>
    </cfRule>
  </conditionalFormatting>
  <conditionalFormatting sqref="R148:R154">
    <cfRule type="cellIs" dxfId="10468" priority="725" operator="greaterThan">
      <formula>1</formula>
    </cfRule>
    <cfRule type="cellIs" dxfId="10467" priority="726" operator="lessThan">
      <formula>0.8</formula>
    </cfRule>
  </conditionalFormatting>
  <conditionalFormatting sqref="R148:R154">
    <cfRule type="cellIs" dxfId="10466" priority="721" operator="lessThan">
      <formula>0.8</formula>
    </cfRule>
    <cfRule type="cellIs" dxfId="10465" priority="722" operator="greaterThan">
      <formula>1</formula>
    </cfRule>
  </conditionalFormatting>
  <conditionalFormatting sqref="R148:R154">
    <cfRule type="cellIs" dxfId="10464" priority="719" operator="greaterThan">
      <formula>1</formula>
    </cfRule>
    <cfRule type="cellIs" dxfId="10463" priority="720" operator="lessThan">
      <formula>0.8</formula>
    </cfRule>
  </conditionalFormatting>
  <conditionalFormatting sqref="P148:P154">
    <cfRule type="cellIs" dxfId="10462" priority="718" operator="greaterThan">
      <formula>0</formula>
    </cfRule>
  </conditionalFormatting>
  <conditionalFormatting sqref="Q148:Q154">
    <cfRule type="cellIs" dxfId="10461" priority="723" operator="lessThan">
      <formula>0</formula>
    </cfRule>
  </conditionalFormatting>
  <conditionalFormatting sqref="P44:P51">
    <cfRule type="cellIs" dxfId="10460" priority="712" operator="greaterThan">
      <formula>0</formula>
    </cfRule>
  </conditionalFormatting>
  <conditionalFormatting sqref="Q44:Q51">
    <cfRule type="cellIs" dxfId="10459" priority="717" operator="lessThan">
      <formula>0</formula>
    </cfRule>
  </conditionalFormatting>
  <conditionalFormatting sqref="R44:R51">
    <cfRule type="cellIs" dxfId="10458" priority="715" operator="lessThan">
      <formula>0.8</formula>
    </cfRule>
    <cfRule type="cellIs" dxfId="10457" priority="716" operator="greaterThan">
      <formula>1</formula>
    </cfRule>
  </conditionalFormatting>
  <conditionalFormatting sqref="R44:R51">
    <cfRule type="cellIs" dxfId="10456" priority="713" operator="greaterThan">
      <formula>1</formula>
    </cfRule>
    <cfRule type="cellIs" dxfId="10455" priority="714" operator="lessThan">
      <formula>0.8</formula>
    </cfRule>
  </conditionalFormatting>
  <conditionalFormatting sqref="Q84:Q91">
    <cfRule type="cellIs" dxfId="10454" priority="711" operator="lessThan">
      <formula>0</formula>
    </cfRule>
  </conditionalFormatting>
  <conditionalFormatting sqref="R84:R91">
    <cfRule type="cellIs" dxfId="10453" priority="709" operator="lessThan">
      <formula>0.8</formula>
    </cfRule>
    <cfRule type="cellIs" dxfId="10452" priority="710" operator="greaterThan">
      <formula>1</formula>
    </cfRule>
  </conditionalFormatting>
  <conditionalFormatting sqref="R84:R91">
    <cfRule type="cellIs" dxfId="10451" priority="707" operator="greaterThan">
      <formula>1</formula>
    </cfRule>
    <cfRule type="cellIs" dxfId="10450" priority="708" operator="lessThan">
      <formula>0.8</formula>
    </cfRule>
  </conditionalFormatting>
  <conditionalFormatting sqref="P84:P91">
    <cfRule type="cellIs" dxfId="10449" priority="706" operator="greaterThan">
      <formula>0</formula>
    </cfRule>
  </conditionalFormatting>
  <conditionalFormatting sqref="Q84:Q91">
    <cfRule type="cellIs" dxfId="10448" priority="705" operator="lessThan">
      <formula>0</formula>
    </cfRule>
  </conditionalFormatting>
  <conditionalFormatting sqref="R84:R91">
    <cfRule type="cellIs" dxfId="10447" priority="703" operator="lessThan">
      <formula>0.8</formula>
    </cfRule>
    <cfRule type="cellIs" dxfId="10446" priority="704" operator="greaterThan">
      <formula>1</formula>
    </cfRule>
  </conditionalFormatting>
  <conditionalFormatting sqref="R84:R91">
    <cfRule type="cellIs" dxfId="10445" priority="701" operator="greaterThan">
      <formula>1</formula>
    </cfRule>
    <cfRule type="cellIs" dxfId="10444" priority="702" operator="lessThan">
      <formula>0.8</formula>
    </cfRule>
  </conditionalFormatting>
  <conditionalFormatting sqref="P84:P91">
    <cfRule type="cellIs" dxfId="10443" priority="700" operator="greaterThan">
      <formula>0</formula>
    </cfRule>
  </conditionalFormatting>
  <conditionalFormatting sqref="Q84:Q91">
    <cfRule type="cellIs" dxfId="10442" priority="699" operator="lessThan">
      <formula>0</formula>
    </cfRule>
  </conditionalFormatting>
  <conditionalFormatting sqref="R84:R91">
    <cfRule type="cellIs" dxfId="10441" priority="697" operator="lessThan">
      <formula>0.8</formula>
    </cfRule>
    <cfRule type="cellIs" dxfId="10440" priority="698" operator="greaterThan">
      <formula>1</formula>
    </cfRule>
  </conditionalFormatting>
  <conditionalFormatting sqref="R84:R91">
    <cfRule type="cellIs" dxfId="10439" priority="695" operator="greaterThan">
      <formula>1</formula>
    </cfRule>
    <cfRule type="cellIs" dxfId="10438" priority="696" operator="lessThan">
      <formula>0.8</formula>
    </cfRule>
  </conditionalFormatting>
  <conditionalFormatting sqref="P84:P91">
    <cfRule type="cellIs" dxfId="10437" priority="694" operator="greaterThan">
      <formula>0</formula>
    </cfRule>
  </conditionalFormatting>
  <conditionalFormatting sqref="Q84:Q91">
    <cfRule type="cellIs" dxfId="10436" priority="693" operator="lessThan">
      <formula>0</formula>
    </cfRule>
  </conditionalFormatting>
  <conditionalFormatting sqref="R84:R91">
    <cfRule type="cellIs" dxfId="10435" priority="691" operator="lessThan">
      <formula>0.8</formula>
    </cfRule>
    <cfRule type="cellIs" dxfId="10434" priority="692" operator="greaterThan">
      <formula>1</formula>
    </cfRule>
  </conditionalFormatting>
  <conditionalFormatting sqref="R84:R91">
    <cfRule type="cellIs" dxfId="10433" priority="689" operator="greaterThan">
      <formula>1</formula>
    </cfRule>
    <cfRule type="cellIs" dxfId="10432" priority="690" operator="lessThan">
      <formula>0.8</formula>
    </cfRule>
  </conditionalFormatting>
  <conditionalFormatting sqref="P84:P91">
    <cfRule type="cellIs" dxfId="10431" priority="688" operator="greaterThan">
      <formula>0</formula>
    </cfRule>
  </conditionalFormatting>
  <conditionalFormatting sqref="P84:P91">
    <cfRule type="cellIs" dxfId="10430" priority="682" operator="greaterThan">
      <formula>0</formula>
    </cfRule>
  </conditionalFormatting>
  <conditionalFormatting sqref="Q84:Q91">
    <cfRule type="cellIs" dxfId="10429" priority="687" operator="lessThan">
      <formula>0</formula>
    </cfRule>
  </conditionalFormatting>
  <conditionalFormatting sqref="R84:R91">
    <cfRule type="cellIs" dxfId="10428" priority="685" operator="lessThan">
      <formula>0.8</formula>
    </cfRule>
    <cfRule type="cellIs" dxfId="10427" priority="686" operator="greaterThan">
      <formula>1</formula>
    </cfRule>
  </conditionalFormatting>
  <conditionalFormatting sqref="R84:R91">
    <cfRule type="cellIs" dxfId="10426" priority="683" operator="greaterThan">
      <formula>1</formula>
    </cfRule>
    <cfRule type="cellIs" dxfId="10425" priority="684" operator="lessThan">
      <formula>0.8</formula>
    </cfRule>
  </conditionalFormatting>
  <conditionalFormatting sqref="P84:P91">
    <cfRule type="cellIs" dxfId="10424" priority="676" operator="greaterThan">
      <formula>0</formula>
    </cfRule>
  </conditionalFormatting>
  <conditionalFormatting sqref="Q84:Q91">
    <cfRule type="cellIs" dxfId="10423" priority="681" operator="lessThan">
      <formula>0</formula>
    </cfRule>
  </conditionalFormatting>
  <conditionalFormatting sqref="R84:R91">
    <cfRule type="cellIs" dxfId="10422" priority="679" operator="lessThan">
      <formula>0.8</formula>
    </cfRule>
    <cfRule type="cellIs" dxfId="10421" priority="680" operator="greaterThan">
      <formula>1</formula>
    </cfRule>
  </conditionalFormatting>
  <conditionalFormatting sqref="R84:R91">
    <cfRule type="cellIs" dxfId="10420" priority="677" operator="greaterThan">
      <formula>1</formula>
    </cfRule>
    <cfRule type="cellIs" dxfId="10419" priority="678" operator="lessThan">
      <formula>0.8</formula>
    </cfRule>
  </conditionalFormatting>
  <conditionalFormatting sqref="R84:R91">
    <cfRule type="cellIs" dxfId="10418" priority="673" operator="lessThan">
      <formula>0.8</formula>
    </cfRule>
    <cfRule type="cellIs" dxfId="10417" priority="674" operator="greaterThan">
      <formula>1</formula>
    </cfRule>
  </conditionalFormatting>
  <conditionalFormatting sqref="R84:R91">
    <cfRule type="cellIs" dxfId="10416" priority="671" operator="greaterThan">
      <formula>1</formula>
    </cfRule>
    <cfRule type="cellIs" dxfId="10415" priority="672" operator="lessThan">
      <formula>0.8</formula>
    </cfRule>
  </conditionalFormatting>
  <conditionalFormatting sqref="P84:P91">
    <cfRule type="cellIs" dxfId="10414" priority="670" operator="greaterThan">
      <formula>0</formula>
    </cfRule>
  </conditionalFormatting>
  <conditionalFormatting sqref="Q84:Q91">
    <cfRule type="cellIs" dxfId="10413" priority="675" operator="lessThan">
      <formula>0</formula>
    </cfRule>
  </conditionalFormatting>
  <conditionalFormatting sqref="Q84:Q91">
    <cfRule type="cellIs" dxfId="10412" priority="669" operator="lessThan">
      <formula>0</formula>
    </cfRule>
  </conditionalFormatting>
  <conditionalFormatting sqref="R84:R91">
    <cfRule type="cellIs" dxfId="10411" priority="667" operator="lessThan">
      <formula>0.8</formula>
    </cfRule>
    <cfRule type="cellIs" dxfId="10410" priority="668" operator="greaterThan">
      <formula>1</formula>
    </cfRule>
  </conditionalFormatting>
  <conditionalFormatting sqref="R84:R91">
    <cfRule type="cellIs" dxfId="10409" priority="665" operator="greaterThan">
      <formula>1</formula>
    </cfRule>
    <cfRule type="cellIs" dxfId="10408" priority="666" operator="lessThan">
      <formula>0.8</formula>
    </cfRule>
  </conditionalFormatting>
  <conditionalFormatting sqref="P84:P91">
    <cfRule type="cellIs" dxfId="10407" priority="664" operator="greaterThan">
      <formula>0</formula>
    </cfRule>
  </conditionalFormatting>
  <conditionalFormatting sqref="P84:P91">
    <cfRule type="cellIs" dxfId="10406" priority="658" operator="greaterThan">
      <formula>0</formula>
    </cfRule>
  </conditionalFormatting>
  <conditionalFormatting sqref="Q84:Q91">
    <cfRule type="cellIs" dxfId="10405" priority="663" operator="lessThan">
      <formula>0</formula>
    </cfRule>
  </conditionalFormatting>
  <conditionalFormatting sqref="R84:R91">
    <cfRule type="cellIs" dxfId="10404" priority="661" operator="lessThan">
      <formula>0.8</formula>
    </cfRule>
    <cfRule type="cellIs" dxfId="10403" priority="662" operator="greaterThan">
      <formula>1</formula>
    </cfRule>
  </conditionalFormatting>
  <conditionalFormatting sqref="R84:R91">
    <cfRule type="cellIs" dxfId="10402" priority="659" operator="greaterThan">
      <formula>1</formula>
    </cfRule>
    <cfRule type="cellIs" dxfId="10401" priority="660" operator="lessThan">
      <formula>0.8</formula>
    </cfRule>
  </conditionalFormatting>
  <conditionalFormatting sqref="P84:P91">
    <cfRule type="cellIs" dxfId="10400" priority="652" operator="greaterThan">
      <formula>0</formula>
    </cfRule>
  </conditionalFormatting>
  <conditionalFormatting sqref="Q84:Q91">
    <cfRule type="cellIs" dxfId="10399" priority="657" operator="lessThan">
      <formula>0</formula>
    </cfRule>
  </conditionalFormatting>
  <conditionalFormatting sqref="R84:R91">
    <cfRule type="cellIs" dxfId="10398" priority="655" operator="lessThan">
      <formula>0.8</formula>
    </cfRule>
    <cfRule type="cellIs" dxfId="10397" priority="656" operator="greaterThan">
      <formula>1</formula>
    </cfRule>
  </conditionalFormatting>
  <conditionalFormatting sqref="R84:R91">
    <cfRule type="cellIs" dxfId="10396" priority="653" operator="greaterThan">
      <formula>1</formula>
    </cfRule>
    <cfRule type="cellIs" dxfId="10395" priority="654" operator="lessThan">
      <formula>0.8</formula>
    </cfRule>
  </conditionalFormatting>
  <conditionalFormatting sqref="R84:R91">
    <cfRule type="cellIs" dxfId="10394" priority="649" operator="lessThan">
      <formula>0.8</formula>
    </cfRule>
    <cfRule type="cellIs" dxfId="10393" priority="650" operator="greaterThan">
      <formula>1</formula>
    </cfRule>
  </conditionalFormatting>
  <conditionalFormatting sqref="R84:R91">
    <cfRule type="cellIs" dxfId="10392" priority="647" operator="greaterThan">
      <formula>1</formula>
    </cfRule>
    <cfRule type="cellIs" dxfId="10391" priority="648" operator="lessThan">
      <formula>0.8</formula>
    </cfRule>
  </conditionalFormatting>
  <conditionalFormatting sqref="P84:P91">
    <cfRule type="cellIs" dxfId="10390" priority="646" operator="greaterThan">
      <formula>0</formula>
    </cfRule>
  </conditionalFormatting>
  <conditionalFormatting sqref="Q84:Q91">
    <cfRule type="cellIs" dxfId="10389" priority="651" operator="lessThan">
      <formula>0</formula>
    </cfRule>
  </conditionalFormatting>
  <conditionalFormatting sqref="P84:P91">
    <cfRule type="cellIs" dxfId="10388" priority="640" operator="greaterThan">
      <formula>0</formula>
    </cfRule>
  </conditionalFormatting>
  <conditionalFormatting sqref="Q84:Q91">
    <cfRule type="cellIs" dxfId="10387" priority="645" operator="lessThan">
      <formula>0</formula>
    </cfRule>
  </conditionalFormatting>
  <conditionalFormatting sqref="R84:R91">
    <cfRule type="cellIs" dxfId="10386" priority="643" operator="lessThan">
      <formula>0.8</formula>
    </cfRule>
    <cfRule type="cellIs" dxfId="10385" priority="644" operator="greaterThan">
      <formula>1</formula>
    </cfRule>
  </conditionalFormatting>
  <conditionalFormatting sqref="R84:R91">
    <cfRule type="cellIs" dxfId="10384" priority="641" operator="greaterThan">
      <formula>1</formula>
    </cfRule>
    <cfRule type="cellIs" dxfId="10383" priority="642" operator="lessThan">
      <formula>0.8</formula>
    </cfRule>
  </conditionalFormatting>
  <conditionalFormatting sqref="R84:R91">
    <cfRule type="cellIs" dxfId="10382" priority="637" operator="lessThan">
      <formula>0.8</formula>
    </cfRule>
    <cfRule type="cellIs" dxfId="10381" priority="638" operator="greaterThan">
      <formula>1</formula>
    </cfRule>
  </conditionalFormatting>
  <conditionalFormatting sqref="R84:R91">
    <cfRule type="cellIs" dxfId="10380" priority="635" operator="greaterThan">
      <formula>1</formula>
    </cfRule>
    <cfRule type="cellIs" dxfId="10379" priority="636" operator="lessThan">
      <formula>0.8</formula>
    </cfRule>
  </conditionalFormatting>
  <conditionalFormatting sqref="P84:P91">
    <cfRule type="cellIs" dxfId="10378" priority="634" operator="greaterThan">
      <formula>0</formula>
    </cfRule>
  </conditionalFormatting>
  <conditionalFormatting sqref="Q84:Q91">
    <cfRule type="cellIs" dxfId="10377" priority="639" operator="lessThan">
      <formula>0</formula>
    </cfRule>
  </conditionalFormatting>
  <conditionalFormatting sqref="R84:R91">
    <cfRule type="cellIs" dxfId="10376" priority="631" operator="lessThan">
      <formula>0.8</formula>
    </cfRule>
    <cfRule type="cellIs" dxfId="10375" priority="632" operator="greaterThan">
      <formula>1</formula>
    </cfRule>
  </conditionalFormatting>
  <conditionalFormatting sqref="R84:R91">
    <cfRule type="cellIs" dxfId="10374" priority="629" operator="greaterThan">
      <formula>1</formula>
    </cfRule>
    <cfRule type="cellIs" dxfId="10373" priority="630" operator="lessThan">
      <formula>0.8</formula>
    </cfRule>
  </conditionalFormatting>
  <conditionalFormatting sqref="P84:P91">
    <cfRule type="cellIs" dxfId="10372" priority="628" operator="greaterThan">
      <formula>0</formula>
    </cfRule>
  </conditionalFormatting>
  <conditionalFormatting sqref="Q84:Q91">
    <cfRule type="cellIs" dxfId="10371" priority="633" operator="lessThan">
      <formula>0</formula>
    </cfRule>
  </conditionalFormatting>
  <conditionalFormatting sqref="Q84:Q91">
    <cfRule type="cellIs" dxfId="10370" priority="627" operator="lessThan">
      <formula>0</formula>
    </cfRule>
  </conditionalFormatting>
  <conditionalFormatting sqref="R84:R91">
    <cfRule type="cellIs" dxfId="10369" priority="625" operator="lessThan">
      <formula>0.8</formula>
    </cfRule>
    <cfRule type="cellIs" dxfId="10368" priority="626" operator="greaterThan">
      <formula>1</formula>
    </cfRule>
  </conditionalFormatting>
  <conditionalFormatting sqref="R84:R91">
    <cfRule type="cellIs" dxfId="10367" priority="623" operator="greaterThan">
      <formula>1</formula>
    </cfRule>
    <cfRule type="cellIs" dxfId="10366" priority="624" operator="lessThan">
      <formula>0.8</formula>
    </cfRule>
  </conditionalFormatting>
  <conditionalFormatting sqref="P84:P91">
    <cfRule type="cellIs" dxfId="10365" priority="622" operator="greaterThan">
      <formula>0</formula>
    </cfRule>
  </conditionalFormatting>
  <conditionalFormatting sqref="Q84:Q91">
    <cfRule type="cellIs" dxfId="10364" priority="616" operator="lessThan">
      <formula>0</formula>
    </cfRule>
  </conditionalFormatting>
  <conditionalFormatting sqref="R84:R91">
    <cfRule type="cellIs" dxfId="10363" priority="620" operator="lessThan">
      <formula>0.8</formula>
    </cfRule>
    <cfRule type="cellIs" dxfId="10362" priority="621" operator="greaterThan">
      <formula>1</formula>
    </cfRule>
  </conditionalFormatting>
  <conditionalFormatting sqref="R84:R91">
    <cfRule type="cellIs" dxfId="10361" priority="618" operator="greaterThan">
      <formula>1</formula>
    </cfRule>
    <cfRule type="cellIs" dxfId="10360" priority="619" operator="lessThan">
      <formula>0.8</formula>
    </cfRule>
  </conditionalFormatting>
  <conditionalFormatting sqref="P84:P91">
    <cfRule type="cellIs" dxfId="10359" priority="617" operator="greaterThan">
      <formula>0</formula>
    </cfRule>
  </conditionalFormatting>
  <conditionalFormatting sqref="Q84:Q91">
    <cfRule type="cellIs" dxfId="10358" priority="615" operator="lessThan">
      <formula>0</formula>
    </cfRule>
  </conditionalFormatting>
  <conditionalFormatting sqref="R84:R91">
    <cfRule type="cellIs" dxfId="10357" priority="613" operator="lessThan">
      <formula>0.8</formula>
    </cfRule>
    <cfRule type="cellIs" dxfId="10356" priority="614" operator="greaterThan">
      <formula>1</formula>
    </cfRule>
  </conditionalFormatting>
  <conditionalFormatting sqref="R84:R91">
    <cfRule type="cellIs" dxfId="10355" priority="611" operator="greaterThan">
      <formula>1</formula>
    </cfRule>
    <cfRule type="cellIs" dxfId="10354" priority="612" operator="lessThan">
      <formula>0.8</formula>
    </cfRule>
  </conditionalFormatting>
  <conditionalFormatting sqref="P84:P91">
    <cfRule type="cellIs" dxfId="10353" priority="610" operator="greaterThan">
      <formula>0</formula>
    </cfRule>
  </conditionalFormatting>
  <conditionalFormatting sqref="Q84:Q91">
    <cfRule type="cellIs" dxfId="10352" priority="609" operator="lessThan">
      <formula>0</formula>
    </cfRule>
  </conditionalFormatting>
  <conditionalFormatting sqref="R84:R91">
    <cfRule type="cellIs" dxfId="10351" priority="607" operator="lessThan">
      <formula>0.8</formula>
    </cfRule>
    <cfRule type="cellIs" dxfId="10350" priority="608" operator="greaterThan">
      <formula>1</formula>
    </cfRule>
  </conditionalFormatting>
  <conditionalFormatting sqref="R84:R91">
    <cfRule type="cellIs" dxfId="10349" priority="605" operator="greaterThan">
      <formula>1</formula>
    </cfRule>
    <cfRule type="cellIs" dxfId="10348" priority="606" operator="lessThan">
      <formula>0.8</formula>
    </cfRule>
  </conditionalFormatting>
  <conditionalFormatting sqref="P84:P91">
    <cfRule type="cellIs" dxfId="10347" priority="604" operator="greaterThan">
      <formula>0</formula>
    </cfRule>
  </conditionalFormatting>
  <conditionalFormatting sqref="Q84:Q91">
    <cfRule type="cellIs" dxfId="10346" priority="603" operator="lessThan">
      <formula>0</formula>
    </cfRule>
  </conditionalFormatting>
  <conditionalFormatting sqref="R84:R91">
    <cfRule type="cellIs" dxfId="10345" priority="601" operator="lessThan">
      <formula>0.8</formula>
    </cfRule>
    <cfRule type="cellIs" dxfId="10344" priority="602" operator="greaterThan">
      <formula>1</formula>
    </cfRule>
  </conditionalFormatting>
  <conditionalFormatting sqref="R84:R91">
    <cfRule type="cellIs" dxfId="10343" priority="599" operator="greaterThan">
      <formula>1</formula>
    </cfRule>
    <cfRule type="cellIs" dxfId="10342" priority="600" operator="lessThan">
      <formula>0.8</formula>
    </cfRule>
  </conditionalFormatting>
  <conditionalFormatting sqref="P84:P91">
    <cfRule type="cellIs" dxfId="10341" priority="598" operator="greaterThan">
      <formula>0</formula>
    </cfRule>
  </conditionalFormatting>
  <conditionalFormatting sqref="Q84:Q91">
    <cfRule type="cellIs" dxfId="10340" priority="597" operator="lessThan">
      <formula>0</formula>
    </cfRule>
  </conditionalFormatting>
  <conditionalFormatting sqref="R84:R91">
    <cfRule type="cellIs" dxfId="10339" priority="595" operator="lessThan">
      <formula>0.8</formula>
    </cfRule>
    <cfRule type="cellIs" dxfId="10338" priority="596" operator="greaterThan">
      <formula>1</formula>
    </cfRule>
  </conditionalFormatting>
  <conditionalFormatting sqref="R84:R91">
    <cfRule type="cellIs" dxfId="10337" priority="593" operator="greaterThan">
      <formula>1</formula>
    </cfRule>
    <cfRule type="cellIs" dxfId="10336" priority="594" operator="lessThan">
      <formula>0.8</formula>
    </cfRule>
  </conditionalFormatting>
  <conditionalFormatting sqref="P84:P91">
    <cfRule type="cellIs" dxfId="10335" priority="592" operator="greaterThan">
      <formula>0</formula>
    </cfRule>
  </conditionalFormatting>
  <conditionalFormatting sqref="Q84:Q91">
    <cfRule type="cellIs" dxfId="10334" priority="591" operator="lessThan">
      <formula>0</formula>
    </cfRule>
  </conditionalFormatting>
  <conditionalFormatting sqref="R84:R91">
    <cfRule type="cellIs" dxfId="10333" priority="589" operator="lessThan">
      <formula>0.8</formula>
    </cfRule>
    <cfRule type="cellIs" dxfId="10332" priority="590" operator="greaterThan">
      <formula>1</formula>
    </cfRule>
  </conditionalFormatting>
  <conditionalFormatting sqref="R84:R91">
    <cfRule type="cellIs" dxfId="10331" priority="587" operator="greaterThan">
      <formula>1</formula>
    </cfRule>
    <cfRule type="cellIs" dxfId="10330" priority="588" operator="lessThan">
      <formula>0.8</formula>
    </cfRule>
  </conditionalFormatting>
  <conditionalFormatting sqref="P84:P91">
    <cfRule type="cellIs" dxfId="10329" priority="586" operator="greaterThan">
      <formula>0</formula>
    </cfRule>
  </conditionalFormatting>
  <conditionalFormatting sqref="P84:P91">
    <cfRule type="cellIs" dxfId="10328" priority="580" operator="greaterThan">
      <formula>0</formula>
    </cfRule>
  </conditionalFormatting>
  <conditionalFormatting sqref="Q84:Q91">
    <cfRule type="cellIs" dxfId="10327" priority="585" operator="lessThan">
      <formula>0</formula>
    </cfRule>
  </conditionalFormatting>
  <conditionalFormatting sqref="R84:R91">
    <cfRule type="cellIs" dxfId="10326" priority="583" operator="lessThan">
      <formula>0.8</formula>
    </cfRule>
    <cfRule type="cellIs" dxfId="10325" priority="584" operator="greaterThan">
      <formula>1</formula>
    </cfRule>
  </conditionalFormatting>
  <conditionalFormatting sqref="R84:R91">
    <cfRule type="cellIs" dxfId="10324" priority="581" operator="greaterThan">
      <formula>1</formula>
    </cfRule>
    <cfRule type="cellIs" dxfId="10323" priority="582" operator="lessThan">
      <formula>0.8</formula>
    </cfRule>
  </conditionalFormatting>
  <conditionalFormatting sqref="P84:P91">
    <cfRule type="cellIs" dxfId="10322" priority="574" operator="greaterThan">
      <formula>0</formula>
    </cfRule>
  </conditionalFormatting>
  <conditionalFormatting sqref="Q84:Q91">
    <cfRule type="cellIs" dxfId="10321" priority="579" operator="lessThan">
      <formula>0</formula>
    </cfRule>
  </conditionalFormatting>
  <conditionalFormatting sqref="R84:R91">
    <cfRule type="cellIs" dxfId="10320" priority="577" operator="lessThan">
      <formula>0.8</formula>
    </cfRule>
    <cfRule type="cellIs" dxfId="10319" priority="578" operator="greaterThan">
      <formula>1</formula>
    </cfRule>
  </conditionalFormatting>
  <conditionalFormatting sqref="R84:R91">
    <cfRule type="cellIs" dxfId="10318" priority="575" operator="greaterThan">
      <formula>1</formula>
    </cfRule>
    <cfRule type="cellIs" dxfId="10317" priority="576" operator="lessThan">
      <formula>0.8</formula>
    </cfRule>
  </conditionalFormatting>
  <conditionalFormatting sqref="R84:R91">
    <cfRule type="cellIs" dxfId="10316" priority="571" operator="lessThan">
      <formula>0.8</formula>
    </cfRule>
    <cfRule type="cellIs" dxfId="10315" priority="572" operator="greaterThan">
      <formula>1</formula>
    </cfRule>
  </conditionalFormatting>
  <conditionalFormatting sqref="R84:R91">
    <cfRule type="cellIs" dxfId="10314" priority="569" operator="greaterThan">
      <formula>1</formula>
    </cfRule>
    <cfRule type="cellIs" dxfId="10313" priority="570" operator="lessThan">
      <formula>0.8</formula>
    </cfRule>
  </conditionalFormatting>
  <conditionalFormatting sqref="P84:P91">
    <cfRule type="cellIs" dxfId="10312" priority="568" operator="greaterThan">
      <formula>0</formula>
    </cfRule>
  </conditionalFormatting>
  <conditionalFormatting sqref="Q84:Q91">
    <cfRule type="cellIs" dxfId="10311" priority="573" operator="lessThan">
      <formula>0</formula>
    </cfRule>
  </conditionalFormatting>
  <conditionalFormatting sqref="Q84:Q91">
    <cfRule type="cellIs" dxfId="10310" priority="567" operator="lessThan">
      <formula>0</formula>
    </cfRule>
  </conditionalFormatting>
  <conditionalFormatting sqref="R84:R91">
    <cfRule type="cellIs" dxfId="10309" priority="565" operator="lessThan">
      <formula>0.8</formula>
    </cfRule>
    <cfRule type="cellIs" dxfId="10308" priority="566" operator="greaterThan">
      <formula>1</formula>
    </cfRule>
  </conditionalFormatting>
  <conditionalFormatting sqref="R84:R91">
    <cfRule type="cellIs" dxfId="10307" priority="563" operator="greaterThan">
      <formula>1</formula>
    </cfRule>
    <cfRule type="cellIs" dxfId="10306" priority="564" operator="lessThan">
      <formula>0.8</formula>
    </cfRule>
  </conditionalFormatting>
  <conditionalFormatting sqref="P84:P91">
    <cfRule type="cellIs" dxfId="10305" priority="562" operator="greaterThan">
      <formula>0</formula>
    </cfRule>
  </conditionalFormatting>
  <conditionalFormatting sqref="Q84:Q91">
    <cfRule type="cellIs" dxfId="10304" priority="561" operator="lessThan">
      <formula>0</formula>
    </cfRule>
  </conditionalFormatting>
  <conditionalFormatting sqref="R84:R91">
    <cfRule type="cellIs" dxfId="10303" priority="559" operator="lessThan">
      <formula>0.8</formula>
    </cfRule>
    <cfRule type="cellIs" dxfId="10302" priority="560" operator="greaterThan">
      <formula>1</formula>
    </cfRule>
  </conditionalFormatting>
  <conditionalFormatting sqref="R84:R91">
    <cfRule type="cellIs" dxfId="10301" priority="557" operator="greaterThan">
      <formula>1</formula>
    </cfRule>
    <cfRule type="cellIs" dxfId="10300" priority="558" operator="lessThan">
      <formula>0.8</formula>
    </cfRule>
  </conditionalFormatting>
  <conditionalFormatting sqref="P84:P91">
    <cfRule type="cellIs" dxfId="10299" priority="556" operator="greaterThan">
      <formula>0</formula>
    </cfRule>
  </conditionalFormatting>
  <conditionalFormatting sqref="Q84:Q91">
    <cfRule type="cellIs" dxfId="10298" priority="555" operator="lessThan">
      <formula>0</formula>
    </cfRule>
  </conditionalFormatting>
  <conditionalFormatting sqref="R84:R91">
    <cfRule type="cellIs" dxfId="10297" priority="553" operator="lessThan">
      <formula>0.8</formula>
    </cfRule>
    <cfRule type="cellIs" dxfId="10296" priority="554" operator="greaterThan">
      <formula>1</formula>
    </cfRule>
  </conditionalFormatting>
  <conditionalFormatting sqref="R84:R91">
    <cfRule type="cellIs" dxfId="10295" priority="551" operator="greaterThan">
      <formula>1</formula>
    </cfRule>
    <cfRule type="cellIs" dxfId="10294" priority="552" operator="lessThan">
      <formula>0.8</formula>
    </cfRule>
  </conditionalFormatting>
  <conditionalFormatting sqref="P84:P91">
    <cfRule type="cellIs" dxfId="10293" priority="550" operator="greaterThan">
      <formula>0</formula>
    </cfRule>
  </conditionalFormatting>
  <conditionalFormatting sqref="Q84:Q91">
    <cfRule type="cellIs" dxfId="10292" priority="549" operator="lessThan">
      <formula>0</formula>
    </cfRule>
  </conditionalFormatting>
  <conditionalFormatting sqref="R84:R91">
    <cfRule type="cellIs" dxfId="10291" priority="547" operator="lessThan">
      <formula>0.8</formula>
    </cfRule>
    <cfRule type="cellIs" dxfId="10290" priority="548" operator="greaterThan">
      <formula>1</formula>
    </cfRule>
  </conditionalFormatting>
  <conditionalFormatting sqref="R84:R91">
    <cfRule type="cellIs" dxfId="10289" priority="545" operator="greaterThan">
      <formula>1</formula>
    </cfRule>
    <cfRule type="cellIs" dxfId="10288" priority="546" operator="lessThan">
      <formula>0.8</formula>
    </cfRule>
  </conditionalFormatting>
  <conditionalFormatting sqref="P84:P91">
    <cfRule type="cellIs" dxfId="10287" priority="544" operator="greaterThan">
      <formula>0</formula>
    </cfRule>
  </conditionalFormatting>
  <conditionalFormatting sqref="P84:P91">
    <cfRule type="cellIs" dxfId="10286" priority="538" operator="greaterThan">
      <formula>0</formula>
    </cfRule>
  </conditionalFormatting>
  <conditionalFormatting sqref="Q84:Q91">
    <cfRule type="cellIs" dxfId="10285" priority="543" operator="lessThan">
      <formula>0</formula>
    </cfRule>
  </conditionalFormatting>
  <conditionalFormatting sqref="R84:R91">
    <cfRule type="cellIs" dxfId="10284" priority="541" operator="lessThan">
      <formula>0.8</formula>
    </cfRule>
    <cfRule type="cellIs" dxfId="10283" priority="542" operator="greaterThan">
      <formula>1</formula>
    </cfRule>
  </conditionalFormatting>
  <conditionalFormatting sqref="R84:R91">
    <cfRule type="cellIs" dxfId="10282" priority="539" operator="greaterThan">
      <formula>1</formula>
    </cfRule>
    <cfRule type="cellIs" dxfId="10281" priority="540" operator="lessThan">
      <formula>0.8</formula>
    </cfRule>
  </conditionalFormatting>
  <conditionalFormatting sqref="P84:P91">
    <cfRule type="cellIs" dxfId="10280" priority="532" operator="greaterThan">
      <formula>0</formula>
    </cfRule>
  </conditionalFormatting>
  <conditionalFormatting sqref="Q84:Q91">
    <cfRule type="cellIs" dxfId="10279" priority="537" operator="lessThan">
      <formula>0</formula>
    </cfRule>
  </conditionalFormatting>
  <conditionalFormatting sqref="R84:R91">
    <cfRule type="cellIs" dxfId="10278" priority="535" operator="lessThan">
      <formula>0.8</formula>
    </cfRule>
    <cfRule type="cellIs" dxfId="10277" priority="536" operator="greaterThan">
      <formula>1</formula>
    </cfRule>
  </conditionalFormatting>
  <conditionalFormatting sqref="R84:R91">
    <cfRule type="cellIs" dxfId="10276" priority="533" operator="greaterThan">
      <formula>1</formula>
    </cfRule>
    <cfRule type="cellIs" dxfId="10275" priority="534" operator="lessThan">
      <formula>0.8</formula>
    </cfRule>
  </conditionalFormatting>
  <conditionalFormatting sqref="R84:R91">
    <cfRule type="cellIs" dxfId="10274" priority="529" operator="lessThan">
      <formula>0.8</formula>
    </cfRule>
    <cfRule type="cellIs" dxfId="10273" priority="530" operator="greaterThan">
      <formula>1</formula>
    </cfRule>
  </conditionalFormatting>
  <conditionalFormatting sqref="R84:R91">
    <cfRule type="cellIs" dxfId="10272" priority="527" operator="greaterThan">
      <formula>1</formula>
    </cfRule>
    <cfRule type="cellIs" dxfId="10271" priority="528" operator="lessThan">
      <formula>0.8</formula>
    </cfRule>
  </conditionalFormatting>
  <conditionalFormatting sqref="P84:P91">
    <cfRule type="cellIs" dxfId="10270" priority="526" operator="greaterThan">
      <formula>0</formula>
    </cfRule>
  </conditionalFormatting>
  <conditionalFormatting sqref="Q84:Q91">
    <cfRule type="cellIs" dxfId="10269" priority="531" operator="lessThan">
      <formula>0</formula>
    </cfRule>
  </conditionalFormatting>
  <conditionalFormatting sqref="Q84:Q91">
    <cfRule type="cellIs" dxfId="10268" priority="525" operator="lessThan">
      <formula>0</formula>
    </cfRule>
  </conditionalFormatting>
  <conditionalFormatting sqref="R84:R91">
    <cfRule type="cellIs" dxfId="10267" priority="523" operator="lessThan">
      <formula>0.8</formula>
    </cfRule>
    <cfRule type="cellIs" dxfId="10266" priority="524" operator="greaterThan">
      <formula>1</formula>
    </cfRule>
  </conditionalFormatting>
  <conditionalFormatting sqref="R84:R91">
    <cfRule type="cellIs" dxfId="10265" priority="521" operator="greaterThan">
      <formula>1</formula>
    </cfRule>
    <cfRule type="cellIs" dxfId="10264" priority="522" operator="lessThan">
      <formula>0.8</formula>
    </cfRule>
  </conditionalFormatting>
  <conditionalFormatting sqref="P84:P91">
    <cfRule type="cellIs" dxfId="10263" priority="520" operator="greaterThan">
      <formula>0</formula>
    </cfRule>
  </conditionalFormatting>
  <conditionalFormatting sqref="P84:P91">
    <cfRule type="cellIs" dxfId="10262" priority="514" operator="greaterThan">
      <formula>0</formula>
    </cfRule>
  </conditionalFormatting>
  <conditionalFormatting sqref="Q84:Q91">
    <cfRule type="cellIs" dxfId="10261" priority="519" operator="lessThan">
      <formula>0</formula>
    </cfRule>
  </conditionalFormatting>
  <conditionalFormatting sqref="R84:R91">
    <cfRule type="cellIs" dxfId="10260" priority="517" operator="lessThan">
      <formula>0.8</formula>
    </cfRule>
    <cfRule type="cellIs" dxfId="10259" priority="518" operator="greaterThan">
      <formula>1</formula>
    </cfRule>
  </conditionalFormatting>
  <conditionalFormatting sqref="R84:R91">
    <cfRule type="cellIs" dxfId="10258" priority="515" operator="greaterThan">
      <formula>1</formula>
    </cfRule>
    <cfRule type="cellIs" dxfId="10257" priority="516" operator="lessThan">
      <formula>0.8</formula>
    </cfRule>
  </conditionalFormatting>
  <conditionalFormatting sqref="P84:P91">
    <cfRule type="cellIs" dxfId="10256" priority="508" operator="greaterThan">
      <formula>0</formula>
    </cfRule>
  </conditionalFormatting>
  <conditionalFormatting sqref="Q84:Q91">
    <cfRule type="cellIs" dxfId="10255" priority="513" operator="lessThan">
      <formula>0</formula>
    </cfRule>
  </conditionalFormatting>
  <conditionalFormatting sqref="R84:R91">
    <cfRule type="cellIs" dxfId="10254" priority="511" operator="lessThan">
      <formula>0.8</formula>
    </cfRule>
    <cfRule type="cellIs" dxfId="10253" priority="512" operator="greaterThan">
      <formula>1</formula>
    </cfRule>
  </conditionalFormatting>
  <conditionalFormatting sqref="R84:R91">
    <cfRule type="cellIs" dxfId="10252" priority="509" operator="greaterThan">
      <formula>1</formula>
    </cfRule>
    <cfRule type="cellIs" dxfId="10251" priority="510" operator="lessThan">
      <formula>0.8</formula>
    </cfRule>
  </conditionalFormatting>
  <conditionalFormatting sqref="R84:R91">
    <cfRule type="cellIs" dxfId="10250" priority="505" operator="lessThan">
      <formula>0.8</formula>
    </cfRule>
    <cfRule type="cellIs" dxfId="10249" priority="506" operator="greaterThan">
      <formula>1</formula>
    </cfRule>
  </conditionalFormatting>
  <conditionalFormatting sqref="R84:R91">
    <cfRule type="cellIs" dxfId="10248" priority="503" operator="greaterThan">
      <formula>1</formula>
    </cfRule>
    <cfRule type="cellIs" dxfId="10247" priority="504" operator="lessThan">
      <formula>0.8</formula>
    </cfRule>
  </conditionalFormatting>
  <conditionalFormatting sqref="P84:P91">
    <cfRule type="cellIs" dxfId="10246" priority="502" operator="greaterThan">
      <formula>0</formula>
    </cfRule>
  </conditionalFormatting>
  <conditionalFormatting sqref="Q84:Q91">
    <cfRule type="cellIs" dxfId="10245" priority="507" operator="lessThan">
      <formula>0</formula>
    </cfRule>
  </conditionalFormatting>
  <conditionalFormatting sqref="P84:P91">
    <cfRule type="cellIs" dxfId="10244" priority="496" operator="greaterThan">
      <formula>0</formula>
    </cfRule>
  </conditionalFormatting>
  <conditionalFormatting sqref="Q84:Q91">
    <cfRule type="cellIs" dxfId="10243" priority="501" operator="lessThan">
      <formula>0</formula>
    </cfRule>
  </conditionalFormatting>
  <conditionalFormatting sqref="R84:R91">
    <cfRule type="cellIs" dxfId="10242" priority="499" operator="lessThan">
      <formula>0.8</formula>
    </cfRule>
    <cfRule type="cellIs" dxfId="10241" priority="500" operator="greaterThan">
      <formula>1</formula>
    </cfRule>
  </conditionalFormatting>
  <conditionalFormatting sqref="R84:R91">
    <cfRule type="cellIs" dxfId="10240" priority="497" operator="greaterThan">
      <formula>1</formula>
    </cfRule>
    <cfRule type="cellIs" dxfId="10239" priority="498" operator="lessThan">
      <formula>0.8</formula>
    </cfRule>
  </conditionalFormatting>
  <conditionalFormatting sqref="R84:R91">
    <cfRule type="cellIs" dxfId="10238" priority="493" operator="lessThan">
      <formula>0.8</formula>
    </cfRule>
    <cfRule type="cellIs" dxfId="10237" priority="494" operator="greaterThan">
      <formula>1</formula>
    </cfRule>
  </conditionalFormatting>
  <conditionalFormatting sqref="R84:R91">
    <cfRule type="cellIs" dxfId="10236" priority="491" operator="greaterThan">
      <formula>1</formula>
    </cfRule>
    <cfRule type="cellIs" dxfId="10235" priority="492" operator="lessThan">
      <formula>0.8</formula>
    </cfRule>
  </conditionalFormatting>
  <conditionalFormatting sqref="P84:P91">
    <cfRule type="cellIs" dxfId="10234" priority="490" operator="greaterThan">
      <formula>0</formula>
    </cfRule>
  </conditionalFormatting>
  <conditionalFormatting sqref="Q84:Q91">
    <cfRule type="cellIs" dxfId="10233" priority="495" operator="lessThan">
      <formula>0</formula>
    </cfRule>
  </conditionalFormatting>
  <conditionalFormatting sqref="R84:R91">
    <cfRule type="cellIs" dxfId="10232" priority="487" operator="lessThan">
      <formula>0.8</formula>
    </cfRule>
    <cfRule type="cellIs" dxfId="10231" priority="488" operator="greaterThan">
      <formula>1</formula>
    </cfRule>
  </conditionalFormatting>
  <conditionalFormatting sqref="R84:R91">
    <cfRule type="cellIs" dxfId="10230" priority="485" operator="greaterThan">
      <formula>1</formula>
    </cfRule>
    <cfRule type="cellIs" dxfId="10229" priority="486" operator="lessThan">
      <formula>0.8</formula>
    </cfRule>
  </conditionalFormatting>
  <conditionalFormatting sqref="P84:P91">
    <cfRule type="cellIs" dxfId="10228" priority="484" operator="greaterThan">
      <formula>0</formula>
    </cfRule>
  </conditionalFormatting>
  <conditionalFormatting sqref="Q84:Q91">
    <cfRule type="cellIs" dxfId="10227" priority="489" operator="lessThan">
      <formula>0</formula>
    </cfRule>
  </conditionalFormatting>
  <conditionalFormatting sqref="Q84:Q91">
    <cfRule type="cellIs" dxfId="10226" priority="483" operator="lessThan">
      <formula>0</formula>
    </cfRule>
  </conditionalFormatting>
  <conditionalFormatting sqref="R84:R91">
    <cfRule type="cellIs" dxfId="10225" priority="481" operator="lessThan">
      <formula>0.8</formula>
    </cfRule>
    <cfRule type="cellIs" dxfId="10224" priority="482" operator="greaterThan">
      <formula>1</formula>
    </cfRule>
  </conditionalFormatting>
  <conditionalFormatting sqref="R84:R91">
    <cfRule type="cellIs" dxfId="10223" priority="479" operator="greaterThan">
      <formula>1</formula>
    </cfRule>
    <cfRule type="cellIs" dxfId="10222" priority="480" operator="lessThan">
      <formula>0.8</formula>
    </cfRule>
  </conditionalFormatting>
  <conditionalFormatting sqref="P84:P91">
    <cfRule type="cellIs" dxfId="10221" priority="478" operator="greaterThan">
      <formula>0</formula>
    </cfRule>
  </conditionalFormatting>
  <conditionalFormatting sqref="Q84:Q91">
    <cfRule type="cellIs" dxfId="10220" priority="472" operator="lessThan">
      <formula>0</formula>
    </cfRule>
  </conditionalFormatting>
  <conditionalFormatting sqref="R84:R91">
    <cfRule type="cellIs" dxfId="10219" priority="476" operator="lessThan">
      <formula>0.8</formula>
    </cfRule>
    <cfRule type="cellIs" dxfId="10218" priority="477" operator="greaterThan">
      <formula>1</formula>
    </cfRule>
  </conditionalFormatting>
  <conditionalFormatting sqref="R84:R91">
    <cfRule type="cellIs" dxfId="10217" priority="474" operator="greaterThan">
      <formula>1</formula>
    </cfRule>
    <cfRule type="cellIs" dxfId="10216" priority="475" operator="lessThan">
      <formula>0.8</formula>
    </cfRule>
  </conditionalFormatting>
  <conditionalFormatting sqref="P84:P91">
    <cfRule type="cellIs" dxfId="10215" priority="473" operator="greaterThan">
      <formula>0</formula>
    </cfRule>
  </conditionalFormatting>
  <conditionalFormatting sqref="Q84:Q91">
    <cfRule type="cellIs" dxfId="10214" priority="471" operator="lessThan">
      <formula>0</formula>
    </cfRule>
  </conditionalFormatting>
  <conditionalFormatting sqref="R84:R91">
    <cfRule type="cellIs" dxfId="10213" priority="469" operator="lessThan">
      <formula>0.8</formula>
    </cfRule>
    <cfRule type="cellIs" dxfId="10212" priority="470" operator="greaterThan">
      <formula>1</formula>
    </cfRule>
  </conditionalFormatting>
  <conditionalFormatting sqref="R84:R91">
    <cfRule type="cellIs" dxfId="10211" priority="467" operator="greaterThan">
      <formula>1</formula>
    </cfRule>
    <cfRule type="cellIs" dxfId="10210" priority="468" operator="lessThan">
      <formula>0.8</formula>
    </cfRule>
  </conditionalFormatting>
  <conditionalFormatting sqref="P84:P91">
    <cfRule type="cellIs" dxfId="10209" priority="466" operator="greaterThan">
      <formula>0</formula>
    </cfRule>
  </conditionalFormatting>
  <conditionalFormatting sqref="Q84:Q91">
    <cfRule type="cellIs" dxfId="10208" priority="465" operator="lessThan">
      <formula>0</formula>
    </cfRule>
  </conditionalFormatting>
  <conditionalFormatting sqref="R84:R91">
    <cfRule type="cellIs" dxfId="10207" priority="463" operator="lessThan">
      <formula>0.8</formula>
    </cfRule>
    <cfRule type="cellIs" dxfId="10206" priority="464" operator="greaterThan">
      <formula>1</formula>
    </cfRule>
  </conditionalFormatting>
  <conditionalFormatting sqref="R84:R91">
    <cfRule type="cellIs" dxfId="10205" priority="461" operator="greaterThan">
      <formula>1</formula>
    </cfRule>
    <cfRule type="cellIs" dxfId="10204" priority="462" operator="lessThan">
      <formula>0.8</formula>
    </cfRule>
  </conditionalFormatting>
  <conditionalFormatting sqref="P84:P91">
    <cfRule type="cellIs" dxfId="10203" priority="460" operator="greaterThan">
      <formula>0</formula>
    </cfRule>
  </conditionalFormatting>
  <conditionalFormatting sqref="Q84:Q91">
    <cfRule type="cellIs" dxfId="10202" priority="459" operator="lessThan">
      <formula>0</formula>
    </cfRule>
  </conditionalFormatting>
  <conditionalFormatting sqref="R84:R91">
    <cfRule type="cellIs" dxfId="10201" priority="457" operator="lessThan">
      <formula>0.8</formula>
    </cfRule>
    <cfRule type="cellIs" dxfId="10200" priority="458" operator="greaterThan">
      <formula>1</formula>
    </cfRule>
  </conditionalFormatting>
  <conditionalFormatting sqref="R84:R91">
    <cfRule type="cellIs" dxfId="10199" priority="455" operator="greaterThan">
      <formula>1</formula>
    </cfRule>
    <cfRule type="cellIs" dxfId="10198" priority="456" operator="lessThan">
      <formula>0.8</formula>
    </cfRule>
  </conditionalFormatting>
  <conditionalFormatting sqref="P84:P91">
    <cfRule type="cellIs" dxfId="10197" priority="454" operator="greaterThan">
      <formula>0</formula>
    </cfRule>
  </conditionalFormatting>
  <conditionalFormatting sqref="Q84:Q91">
    <cfRule type="cellIs" dxfId="10196" priority="453" operator="lessThan">
      <formula>0</formula>
    </cfRule>
  </conditionalFormatting>
  <conditionalFormatting sqref="R84:R91">
    <cfRule type="cellIs" dxfId="10195" priority="451" operator="lessThan">
      <formula>0.8</formula>
    </cfRule>
    <cfRule type="cellIs" dxfId="10194" priority="452" operator="greaterThan">
      <formula>1</formula>
    </cfRule>
  </conditionalFormatting>
  <conditionalFormatting sqref="R84:R91">
    <cfRule type="cellIs" dxfId="10193" priority="449" operator="greaterThan">
      <formula>1</formula>
    </cfRule>
    <cfRule type="cellIs" dxfId="10192" priority="450" operator="lessThan">
      <formula>0.8</formula>
    </cfRule>
  </conditionalFormatting>
  <conditionalFormatting sqref="P84:P91">
    <cfRule type="cellIs" dxfId="10191" priority="448" operator="greaterThan">
      <formula>0</formula>
    </cfRule>
  </conditionalFormatting>
  <conditionalFormatting sqref="Q84:Q91">
    <cfRule type="cellIs" dxfId="10190" priority="447" operator="lessThan">
      <formula>0</formula>
    </cfRule>
  </conditionalFormatting>
  <conditionalFormatting sqref="R84:R91">
    <cfRule type="cellIs" dxfId="10189" priority="445" operator="lessThan">
      <formula>0.8</formula>
    </cfRule>
    <cfRule type="cellIs" dxfId="10188" priority="446" operator="greaterThan">
      <formula>1</formula>
    </cfRule>
  </conditionalFormatting>
  <conditionalFormatting sqref="R84:R91">
    <cfRule type="cellIs" dxfId="10187" priority="443" operator="greaterThan">
      <formula>1</formula>
    </cfRule>
    <cfRule type="cellIs" dxfId="10186" priority="444" operator="lessThan">
      <formula>0.8</formula>
    </cfRule>
  </conditionalFormatting>
  <conditionalFormatting sqref="P84:P91">
    <cfRule type="cellIs" dxfId="10185" priority="442" operator="greaterThan">
      <formula>0</formula>
    </cfRule>
  </conditionalFormatting>
  <conditionalFormatting sqref="P84:P91">
    <cfRule type="cellIs" dxfId="10184" priority="436" operator="greaterThan">
      <formula>0</formula>
    </cfRule>
  </conditionalFormatting>
  <conditionalFormatting sqref="Q84:Q91">
    <cfRule type="cellIs" dxfId="10183" priority="441" operator="lessThan">
      <formula>0</formula>
    </cfRule>
  </conditionalFormatting>
  <conditionalFormatting sqref="R84:R91">
    <cfRule type="cellIs" dxfId="10182" priority="439" operator="lessThan">
      <formula>0.8</formula>
    </cfRule>
    <cfRule type="cellIs" dxfId="10181" priority="440" operator="greaterThan">
      <formula>1</formula>
    </cfRule>
  </conditionalFormatting>
  <conditionalFormatting sqref="R84:R91">
    <cfRule type="cellIs" dxfId="10180" priority="437" operator="greaterThan">
      <formula>1</formula>
    </cfRule>
    <cfRule type="cellIs" dxfId="10179" priority="438" operator="lessThan">
      <formula>0.8</formula>
    </cfRule>
  </conditionalFormatting>
  <conditionalFormatting sqref="P84:P91">
    <cfRule type="cellIs" dxfId="10178" priority="430" operator="greaterThan">
      <formula>0</formula>
    </cfRule>
  </conditionalFormatting>
  <conditionalFormatting sqref="Q84:Q91">
    <cfRule type="cellIs" dxfId="10177" priority="435" operator="lessThan">
      <formula>0</formula>
    </cfRule>
  </conditionalFormatting>
  <conditionalFormatting sqref="R84:R91">
    <cfRule type="cellIs" dxfId="10176" priority="433" operator="lessThan">
      <formula>0.8</formula>
    </cfRule>
    <cfRule type="cellIs" dxfId="10175" priority="434" operator="greaterThan">
      <formula>1</formula>
    </cfRule>
  </conditionalFormatting>
  <conditionalFormatting sqref="R84:R91">
    <cfRule type="cellIs" dxfId="10174" priority="431" operator="greaterThan">
      <formula>1</formula>
    </cfRule>
    <cfRule type="cellIs" dxfId="10173" priority="432" operator="lessThan">
      <formula>0.8</formula>
    </cfRule>
  </conditionalFormatting>
  <conditionalFormatting sqref="R84:R91">
    <cfRule type="cellIs" dxfId="10172" priority="427" operator="lessThan">
      <formula>0.8</formula>
    </cfRule>
    <cfRule type="cellIs" dxfId="10171" priority="428" operator="greaterThan">
      <formula>1</formula>
    </cfRule>
  </conditionalFormatting>
  <conditionalFormatting sqref="R84:R91">
    <cfRule type="cellIs" dxfId="10170" priority="425" operator="greaterThan">
      <formula>1</formula>
    </cfRule>
    <cfRule type="cellIs" dxfId="10169" priority="426" operator="lessThan">
      <formula>0.8</formula>
    </cfRule>
  </conditionalFormatting>
  <conditionalFormatting sqref="P84:P91">
    <cfRule type="cellIs" dxfId="10168" priority="424" operator="greaterThan">
      <formula>0</formula>
    </cfRule>
  </conditionalFormatting>
  <conditionalFormatting sqref="Q84:Q91">
    <cfRule type="cellIs" dxfId="10167" priority="429" operator="lessThan">
      <formula>0</formula>
    </cfRule>
  </conditionalFormatting>
  <conditionalFormatting sqref="Q84:Q91">
    <cfRule type="cellIs" dxfId="10166" priority="418" operator="lessThan">
      <formula>0</formula>
    </cfRule>
  </conditionalFormatting>
  <conditionalFormatting sqref="P84:P91">
    <cfRule type="cellIs" dxfId="10165" priority="419" operator="greaterThan">
      <formula>0</formula>
    </cfRule>
  </conditionalFormatting>
  <conditionalFormatting sqref="R84:R91">
    <cfRule type="cellIs" dxfId="10164" priority="422" operator="lessThan">
      <formula>0.8</formula>
    </cfRule>
    <cfRule type="cellIs" dxfId="10163" priority="423" operator="greaterThan">
      <formula>1</formula>
    </cfRule>
  </conditionalFormatting>
  <conditionalFormatting sqref="R84:R91">
    <cfRule type="cellIs" dxfId="10162" priority="420" operator="greaterThan">
      <formula>1</formula>
    </cfRule>
    <cfRule type="cellIs" dxfId="10161" priority="421" operator="lessThan">
      <formula>0.8</formula>
    </cfRule>
  </conditionalFormatting>
  <conditionalFormatting sqref="Q84:Q91">
    <cfRule type="cellIs" dxfId="10160" priority="412" operator="lessThan">
      <formula>0</formula>
    </cfRule>
  </conditionalFormatting>
  <conditionalFormatting sqref="R84:R91">
    <cfRule type="cellIs" dxfId="10159" priority="416" operator="lessThan">
      <formula>0.8</formula>
    </cfRule>
    <cfRule type="cellIs" dxfId="10158" priority="417" operator="greaterThan">
      <formula>1</formula>
    </cfRule>
  </conditionalFormatting>
  <conditionalFormatting sqref="R84:R91">
    <cfRule type="cellIs" dxfId="10157" priority="414" operator="greaterThan">
      <formula>1</formula>
    </cfRule>
    <cfRule type="cellIs" dxfId="10156" priority="415" operator="lessThan">
      <formula>0.8</formula>
    </cfRule>
  </conditionalFormatting>
  <conditionalFormatting sqref="P84:P91">
    <cfRule type="cellIs" dxfId="10155" priority="413" operator="greaterThan">
      <formula>0</formula>
    </cfRule>
  </conditionalFormatting>
  <conditionalFormatting sqref="Q84:Q91">
    <cfRule type="cellIs" dxfId="10154" priority="411" operator="lessThan">
      <formula>0</formula>
    </cfRule>
  </conditionalFormatting>
  <conditionalFormatting sqref="R84:R91">
    <cfRule type="cellIs" dxfId="10153" priority="409" operator="lessThan">
      <formula>0.8</formula>
    </cfRule>
    <cfRule type="cellIs" dxfId="10152" priority="410" operator="greaterThan">
      <formula>1</formula>
    </cfRule>
  </conditionalFormatting>
  <conditionalFormatting sqref="R84:R91">
    <cfRule type="cellIs" dxfId="10151" priority="407" operator="greaterThan">
      <formula>1</formula>
    </cfRule>
    <cfRule type="cellIs" dxfId="10150" priority="408" operator="lessThan">
      <formula>0.8</formula>
    </cfRule>
  </conditionalFormatting>
  <conditionalFormatting sqref="P84:P91">
    <cfRule type="cellIs" dxfId="10149" priority="406" operator="greaterThan">
      <formula>0</formula>
    </cfRule>
  </conditionalFormatting>
  <conditionalFormatting sqref="Q84:Q91">
    <cfRule type="cellIs" dxfId="10148" priority="405" operator="lessThan">
      <formula>0</formula>
    </cfRule>
  </conditionalFormatting>
  <conditionalFormatting sqref="R84:R91">
    <cfRule type="cellIs" dxfId="10147" priority="403" operator="lessThan">
      <formula>0.8</formula>
    </cfRule>
    <cfRule type="cellIs" dxfId="10146" priority="404" operator="greaterThan">
      <formula>1</formula>
    </cfRule>
  </conditionalFormatting>
  <conditionalFormatting sqref="R84:R91">
    <cfRule type="cellIs" dxfId="10145" priority="401" operator="greaterThan">
      <formula>1</formula>
    </cfRule>
    <cfRule type="cellIs" dxfId="10144" priority="402" operator="lessThan">
      <formula>0.8</formula>
    </cfRule>
  </conditionalFormatting>
  <conditionalFormatting sqref="P84:P91">
    <cfRule type="cellIs" dxfId="10143" priority="400" operator="greaterThan">
      <formula>0</formula>
    </cfRule>
  </conditionalFormatting>
  <conditionalFormatting sqref="Q84:Q91">
    <cfRule type="cellIs" dxfId="10142" priority="399" operator="lessThan">
      <formula>0</formula>
    </cfRule>
  </conditionalFormatting>
  <conditionalFormatting sqref="R84:R91">
    <cfRule type="cellIs" dxfId="10141" priority="397" operator="lessThan">
      <formula>0.8</formula>
    </cfRule>
    <cfRule type="cellIs" dxfId="10140" priority="398" operator="greaterThan">
      <formula>1</formula>
    </cfRule>
  </conditionalFormatting>
  <conditionalFormatting sqref="R84:R91">
    <cfRule type="cellIs" dxfId="10139" priority="395" operator="greaterThan">
      <formula>1</formula>
    </cfRule>
    <cfRule type="cellIs" dxfId="10138" priority="396" operator="lessThan">
      <formula>0.8</formula>
    </cfRule>
  </conditionalFormatting>
  <conditionalFormatting sqref="P84:P91">
    <cfRule type="cellIs" dxfId="10137" priority="394" operator="greaterThan">
      <formula>0</formula>
    </cfRule>
  </conditionalFormatting>
  <conditionalFormatting sqref="Q84:Q91">
    <cfRule type="cellIs" dxfId="10136" priority="393" operator="lessThan">
      <formula>0</formula>
    </cfRule>
  </conditionalFormatting>
  <conditionalFormatting sqref="R84:R91">
    <cfRule type="cellIs" dxfId="10135" priority="391" operator="lessThan">
      <formula>0.8</formula>
    </cfRule>
    <cfRule type="cellIs" dxfId="10134" priority="392" operator="greaterThan">
      <formula>1</formula>
    </cfRule>
  </conditionalFormatting>
  <conditionalFormatting sqref="R84:R91">
    <cfRule type="cellIs" dxfId="10133" priority="389" operator="greaterThan">
      <formula>1</formula>
    </cfRule>
    <cfRule type="cellIs" dxfId="10132" priority="390" operator="lessThan">
      <formula>0.8</formula>
    </cfRule>
  </conditionalFormatting>
  <conditionalFormatting sqref="P84:P91">
    <cfRule type="cellIs" dxfId="10131" priority="388" operator="greaterThan">
      <formula>0</formula>
    </cfRule>
  </conditionalFormatting>
  <conditionalFormatting sqref="Q84:Q91">
    <cfRule type="cellIs" dxfId="10130" priority="387" operator="lessThan">
      <formula>0</formula>
    </cfRule>
  </conditionalFormatting>
  <conditionalFormatting sqref="R84:R91">
    <cfRule type="cellIs" dxfId="10129" priority="385" operator="lessThan">
      <formula>0.8</formula>
    </cfRule>
    <cfRule type="cellIs" dxfId="10128" priority="386" operator="greaterThan">
      <formula>1</formula>
    </cfRule>
  </conditionalFormatting>
  <conditionalFormatting sqref="R84:R91">
    <cfRule type="cellIs" dxfId="10127" priority="383" operator="greaterThan">
      <formula>1</formula>
    </cfRule>
    <cfRule type="cellIs" dxfId="10126" priority="384" operator="lessThan">
      <formula>0.8</formula>
    </cfRule>
  </conditionalFormatting>
  <conditionalFormatting sqref="P84:P91">
    <cfRule type="cellIs" dxfId="10125" priority="382" operator="greaterThan">
      <formula>0</formula>
    </cfRule>
  </conditionalFormatting>
  <conditionalFormatting sqref="Q84:Q91">
    <cfRule type="cellIs" dxfId="10124" priority="381" operator="lessThan">
      <formula>0</formula>
    </cfRule>
  </conditionalFormatting>
  <conditionalFormatting sqref="R84:R91">
    <cfRule type="cellIs" dxfId="10123" priority="379" operator="lessThan">
      <formula>0.8</formula>
    </cfRule>
    <cfRule type="cellIs" dxfId="10122" priority="380" operator="greaterThan">
      <formula>1</formula>
    </cfRule>
  </conditionalFormatting>
  <conditionalFormatting sqref="R84:R91">
    <cfRule type="cellIs" dxfId="10121" priority="377" operator="greaterThan">
      <formula>1</formula>
    </cfRule>
    <cfRule type="cellIs" dxfId="10120" priority="378" operator="lessThan">
      <formula>0.8</formula>
    </cfRule>
  </conditionalFormatting>
  <conditionalFormatting sqref="P84:P91">
    <cfRule type="cellIs" dxfId="10119" priority="376" operator="greaterThan">
      <formula>0</formula>
    </cfRule>
  </conditionalFormatting>
  <conditionalFormatting sqref="Q84:Q91">
    <cfRule type="cellIs" dxfId="10118" priority="375" operator="lessThan">
      <formula>0</formula>
    </cfRule>
  </conditionalFormatting>
  <conditionalFormatting sqref="R84:R91">
    <cfRule type="cellIs" dxfId="10117" priority="373" operator="lessThan">
      <formula>0.8</formula>
    </cfRule>
    <cfRule type="cellIs" dxfId="10116" priority="374" operator="greaterThan">
      <formula>1</formula>
    </cfRule>
  </conditionalFormatting>
  <conditionalFormatting sqref="R84:R91">
    <cfRule type="cellIs" dxfId="10115" priority="371" operator="greaterThan">
      <formula>1</formula>
    </cfRule>
    <cfRule type="cellIs" dxfId="10114" priority="372" operator="lessThan">
      <formula>0.8</formula>
    </cfRule>
  </conditionalFormatting>
  <conditionalFormatting sqref="P84:P91">
    <cfRule type="cellIs" dxfId="10113" priority="370" operator="greaterThan">
      <formula>0</formula>
    </cfRule>
  </conditionalFormatting>
  <conditionalFormatting sqref="P84:P91">
    <cfRule type="cellIs" dxfId="10112" priority="364" operator="greaterThan">
      <formula>0</formula>
    </cfRule>
  </conditionalFormatting>
  <conditionalFormatting sqref="Q84:Q91">
    <cfRule type="cellIs" dxfId="10111" priority="369" operator="lessThan">
      <formula>0</formula>
    </cfRule>
  </conditionalFormatting>
  <conditionalFormatting sqref="R84:R91">
    <cfRule type="cellIs" dxfId="10110" priority="367" operator="lessThan">
      <formula>0.8</formula>
    </cfRule>
    <cfRule type="cellIs" dxfId="10109" priority="368" operator="greaterThan">
      <formula>1</formula>
    </cfRule>
  </conditionalFormatting>
  <conditionalFormatting sqref="R84:R91">
    <cfRule type="cellIs" dxfId="10108" priority="365" operator="greaterThan">
      <formula>1</formula>
    </cfRule>
    <cfRule type="cellIs" dxfId="10107" priority="366" operator="lessThan">
      <formula>0.8</formula>
    </cfRule>
  </conditionalFormatting>
  <conditionalFormatting sqref="P84:P91">
    <cfRule type="cellIs" dxfId="10106" priority="358" operator="greaterThan">
      <formula>0</formula>
    </cfRule>
  </conditionalFormatting>
  <conditionalFormatting sqref="Q84:Q91">
    <cfRule type="cellIs" dxfId="10105" priority="363" operator="lessThan">
      <formula>0</formula>
    </cfRule>
  </conditionalFormatting>
  <conditionalFormatting sqref="R84:R91">
    <cfRule type="cellIs" dxfId="10104" priority="361" operator="lessThan">
      <formula>0.8</formula>
    </cfRule>
    <cfRule type="cellIs" dxfId="10103" priority="362" operator="greaterThan">
      <formula>1</formula>
    </cfRule>
  </conditionalFormatting>
  <conditionalFormatting sqref="R84:R91">
    <cfRule type="cellIs" dxfId="10102" priority="359" operator="greaterThan">
      <formula>1</formula>
    </cfRule>
    <cfRule type="cellIs" dxfId="10101" priority="360" operator="lessThan">
      <formula>0.8</formula>
    </cfRule>
  </conditionalFormatting>
  <conditionalFormatting sqref="R84:R91">
    <cfRule type="cellIs" dxfId="10100" priority="355" operator="lessThan">
      <formula>0.8</formula>
    </cfRule>
    <cfRule type="cellIs" dxfId="10099" priority="356" operator="greaterThan">
      <formula>1</formula>
    </cfRule>
  </conditionalFormatting>
  <conditionalFormatting sqref="R84:R91">
    <cfRule type="cellIs" dxfId="10098" priority="353" operator="greaterThan">
      <formula>1</formula>
    </cfRule>
    <cfRule type="cellIs" dxfId="10097" priority="354" operator="lessThan">
      <formula>0.8</formula>
    </cfRule>
  </conditionalFormatting>
  <conditionalFormatting sqref="P84:P91">
    <cfRule type="cellIs" dxfId="10096" priority="352" operator="greaterThan">
      <formula>0</formula>
    </cfRule>
  </conditionalFormatting>
  <conditionalFormatting sqref="Q84:Q91">
    <cfRule type="cellIs" dxfId="10095" priority="357" operator="lessThan">
      <formula>0</formula>
    </cfRule>
  </conditionalFormatting>
  <conditionalFormatting sqref="Q84:Q91">
    <cfRule type="cellIs" dxfId="10094" priority="351" operator="lessThan">
      <formula>0</formula>
    </cfRule>
  </conditionalFormatting>
  <conditionalFormatting sqref="R84:R91">
    <cfRule type="cellIs" dxfId="10093" priority="349" operator="lessThan">
      <formula>0.8</formula>
    </cfRule>
    <cfRule type="cellIs" dxfId="10092" priority="350" operator="greaterThan">
      <formula>1</formula>
    </cfRule>
  </conditionalFormatting>
  <conditionalFormatting sqref="R84:R91">
    <cfRule type="cellIs" dxfId="10091" priority="347" operator="greaterThan">
      <formula>1</formula>
    </cfRule>
    <cfRule type="cellIs" dxfId="10090" priority="348" operator="lessThan">
      <formula>0.8</formula>
    </cfRule>
  </conditionalFormatting>
  <conditionalFormatting sqref="P84:P91">
    <cfRule type="cellIs" dxfId="10089" priority="346" operator="greaterThan">
      <formula>0</formula>
    </cfRule>
  </conditionalFormatting>
  <conditionalFormatting sqref="P84:P91">
    <cfRule type="cellIs" dxfId="10088" priority="340" operator="greaterThan">
      <formula>0</formula>
    </cfRule>
  </conditionalFormatting>
  <conditionalFormatting sqref="Q84:Q91">
    <cfRule type="cellIs" dxfId="10087" priority="345" operator="lessThan">
      <formula>0</formula>
    </cfRule>
  </conditionalFormatting>
  <conditionalFormatting sqref="R84:R91">
    <cfRule type="cellIs" dxfId="10086" priority="343" operator="lessThan">
      <formula>0.8</formula>
    </cfRule>
    <cfRule type="cellIs" dxfId="10085" priority="344" operator="greaterThan">
      <formula>1</formula>
    </cfRule>
  </conditionalFormatting>
  <conditionalFormatting sqref="R84:R91">
    <cfRule type="cellIs" dxfId="10084" priority="341" operator="greaterThan">
      <formula>1</formula>
    </cfRule>
    <cfRule type="cellIs" dxfId="10083" priority="342" operator="lessThan">
      <formula>0.8</formula>
    </cfRule>
  </conditionalFormatting>
  <conditionalFormatting sqref="P84:P91">
    <cfRule type="cellIs" dxfId="10082" priority="334" operator="greaterThan">
      <formula>0</formula>
    </cfRule>
  </conditionalFormatting>
  <conditionalFormatting sqref="Q84:Q91">
    <cfRule type="cellIs" dxfId="10081" priority="339" operator="lessThan">
      <formula>0</formula>
    </cfRule>
  </conditionalFormatting>
  <conditionalFormatting sqref="R84:R91">
    <cfRule type="cellIs" dxfId="10080" priority="337" operator="lessThan">
      <formula>0.8</formula>
    </cfRule>
    <cfRule type="cellIs" dxfId="10079" priority="338" operator="greaterThan">
      <formula>1</formula>
    </cfRule>
  </conditionalFormatting>
  <conditionalFormatting sqref="R84:R91">
    <cfRule type="cellIs" dxfId="10078" priority="335" operator="greaterThan">
      <formula>1</formula>
    </cfRule>
    <cfRule type="cellIs" dxfId="10077" priority="336" operator="lessThan">
      <formula>0.8</formula>
    </cfRule>
  </conditionalFormatting>
  <conditionalFormatting sqref="R84:R91">
    <cfRule type="cellIs" dxfId="10076" priority="331" operator="lessThan">
      <formula>0.8</formula>
    </cfRule>
    <cfRule type="cellIs" dxfId="10075" priority="332" operator="greaterThan">
      <formula>1</formula>
    </cfRule>
  </conditionalFormatting>
  <conditionalFormatting sqref="R84:R91">
    <cfRule type="cellIs" dxfId="10074" priority="329" operator="greaterThan">
      <formula>1</formula>
    </cfRule>
    <cfRule type="cellIs" dxfId="10073" priority="330" operator="lessThan">
      <formula>0.8</formula>
    </cfRule>
  </conditionalFormatting>
  <conditionalFormatting sqref="P84:P91">
    <cfRule type="cellIs" dxfId="10072" priority="328" operator="greaterThan">
      <formula>0</formula>
    </cfRule>
  </conditionalFormatting>
  <conditionalFormatting sqref="Q84:Q91">
    <cfRule type="cellIs" dxfId="10071" priority="333" operator="lessThan">
      <formula>0</formula>
    </cfRule>
  </conditionalFormatting>
  <conditionalFormatting sqref="P84:P91">
    <cfRule type="cellIs" dxfId="10070" priority="322" operator="greaterThan">
      <formula>0</formula>
    </cfRule>
  </conditionalFormatting>
  <conditionalFormatting sqref="Q84:Q91">
    <cfRule type="cellIs" dxfId="10069" priority="327" operator="lessThan">
      <formula>0</formula>
    </cfRule>
  </conditionalFormatting>
  <conditionalFormatting sqref="R84:R91">
    <cfRule type="cellIs" dxfId="10068" priority="325" operator="lessThan">
      <formula>0.8</formula>
    </cfRule>
    <cfRule type="cellIs" dxfId="10067" priority="326" operator="greaterThan">
      <formula>1</formula>
    </cfRule>
  </conditionalFormatting>
  <conditionalFormatting sqref="R84:R91">
    <cfRule type="cellIs" dxfId="10066" priority="323" operator="greaterThan">
      <formula>1</formula>
    </cfRule>
    <cfRule type="cellIs" dxfId="10065" priority="324" operator="lessThan">
      <formula>0.8</formula>
    </cfRule>
  </conditionalFormatting>
  <conditionalFormatting sqref="R84:R91">
    <cfRule type="cellIs" dxfId="10064" priority="319" operator="lessThan">
      <formula>0.8</formula>
    </cfRule>
    <cfRule type="cellIs" dxfId="10063" priority="320" operator="greaterThan">
      <formula>1</formula>
    </cfRule>
  </conditionalFormatting>
  <conditionalFormatting sqref="R84:R91">
    <cfRule type="cellIs" dxfId="10062" priority="317" operator="greaterThan">
      <formula>1</formula>
    </cfRule>
    <cfRule type="cellIs" dxfId="10061" priority="318" operator="lessThan">
      <formula>0.8</formula>
    </cfRule>
  </conditionalFormatting>
  <conditionalFormatting sqref="P84:P91">
    <cfRule type="cellIs" dxfId="10060" priority="316" operator="greaterThan">
      <formula>0</formula>
    </cfRule>
  </conditionalFormatting>
  <conditionalFormatting sqref="Q84:Q91">
    <cfRule type="cellIs" dxfId="10059" priority="321" operator="lessThan">
      <formula>0</formula>
    </cfRule>
  </conditionalFormatting>
  <conditionalFormatting sqref="R84:R91">
    <cfRule type="cellIs" dxfId="10058" priority="313" operator="lessThan">
      <formula>0.8</formula>
    </cfRule>
    <cfRule type="cellIs" dxfId="10057" priority="314" operator="greaterThan">
      <formula>1</formula>
    </cfRule>
  </conditionalFormatting>
  <conditionalFormatting sqref="R84:R91">
    <cfRule type="cellIs" dxfId="10056" priority="311" operator="greaterThan">
      <formula>1</formula>
    </cfRule>
    <cfRule type="cellIs" dxfId="10055" priority="312" operator="lessThan">
      <formula>0.8</formula>
    </cfRule>
  </conditionalFormatting>
  <conditionalFormatting sqref="P84:P91">
    <cfRule type="cellIs" dxfId="10054" priority="310" operator="greaterThan">
      <formula>0</formula>
    </cfRule>
  </conditionalFormatting>
  <conditionalFormatting sqref="Q84:Q91">
    <cfRule type="cellIs" dxfId="10053" priority="315" operator="lessThan">
      <formula>0</formula>
    </cfRule>
  </conditionalFormatting>
  <conditionalFormatting sqref="Q84:Q91">
    <cfRule type="cellIs" dxfId="10052" priority="309" operator="lessThan">
      <formula>0</formula>
    </cfRule>
  </conditionalFormatting>
  <conditionalFormatting sqref="R84:R91">
    <cfRule type="cellIs" dxfId="10051" priority="307" operator="lessThan">
      <formula>0.8</formula>
    </cfRule>
    <cfRule type="cellIs" dxfId="10050" priority="308" operator="greaterThan">
      <formula>1</formula>
    </cfRule>
  </conditionalFormatting>
  <conditionalFormatting sqref="R84:R91">
    <cfRule type="cellIs" dxfId="10049" priority="305" operator="greaterThan">
      <formula>1</formula>
    </cfRule>
    <cfRule type="cellIs" dxfId="10048" priority="306" operator="lessThan">
      <formula>0.8</formula>
    </cfRule>
  </conditionalFormatting>
  <conditionalFormatting sqref="P84:P91">
    <cfRule type="cellIs" dxfId="10047" priority="304" operator="greaterThan">
      <formula>0</formula>
    </cfRule>
  </conditionalFormatting>
  <conditionalFormatting sqref="Q84:Q91">
    <cfRule type="cellIs" dxfId="10046" priority="298" operator="lessThan">
      <formula>0</formula>
    </cfRule>
  </conditionalFormatting>
  <conditionalFormatting sqref="R84:R91">
    <cfRule type="cellIs" dxfId="10045" priority="302" operator="lessThan">
      <formula>0.8</formula>
    </cfRule>
    <cfRule type="cellIs" dxfId="10044" priority="303" operator="greaterThan">
      <formula>1</formula>
    </cfRule>
  </conditionalFormatting>
  <conditionalFormatting sqref="R84:R91">
    <cfRule type="cellIs" dxfId="10043" priority="300" operator="greaterThan">
      <formula>1</formula>
    </cfRule>
    <cfRule type="cellIs" dxfId="10042" priority="301" operator="lessThan">
      <formula>0.8</formula>
    </cfRule>
  </conditionalFormatting>
  <conditionalFormatting sqref="P84:P91">
    <cfRule type="cellIs" dxfId="10041" priority="299" operator="greaterThan">
      <formula>0</formula>
    </cfRule>
  </conditionalFormatting>
  <conditionalFormatting sqref="Q84:Q91">
    <cfRule type="cellIs" dxfId="10040" priority="297" operator="lessThan">
      <formula>0</formula>
    </cfRule>
  </conditionalFormatting>
  <conditionalFormatting sqref="R84:R91">
    <cfRule type="cellIs" dxfId="10039" priority="295" operator="lessThan">
      <formula>0.8</formula>
    </cfRule>
    <cfRule type="cellIs" dxfId="10038" priority="296" operator="greaterThan">
      <formula>1</formula>
    </cfRule>
  </conditionalFormatting>
  <conditionalFormatting sqref="R84:R91">
    <cfRule type="cellIs" dxfId="10037" priority="293" operator="greaterThan">
      <formula>1</formula>
    </cfRule>
    <cfRule type="cellIs" dxfId="10036" priority="294" operator="lessThan">
      <formula>0.8</formula>
    </cfRule>
  </conditionalFormatting>
  <conditionalFormatting sqref="P84:P91">
    <cfRule type="cellIs" dxfId="10035" priority="292" operator="greaterThan">
      <formula>0</formula>
    </cfRule>
  </conditionalFormatting>
  <conditionalFormatting sqref="Q84:Q91">
    <cfRule type="cellIs" dxfId="10034" priority="291" operator="lessThan">
      <formula>0</formula>
    </cfRule>
  </conditionalFormatting>
  <conditionalFormatting sqref="R84:R91">
    <cfRule type="cellIs" dxfId="10033" priority="289" operator="lessThan">
      <formula>0.8</formula>
    </cfRule>
    <cfRule type="cellIs" dxfId="10032" priority="290" operator="greaterThan">
      <formula>1</formula>
    </cfRule>
  </conditionalFormatting>
  <conditionalFormatting sqref="R84:R91">
    <cfRule type="cellIs" dxfId="10031" priority="287" operator="greaterThan">
      <formula>1</formula>
    </cfRule>
    <cfRule type="cellIs" dxfId="10030" priority="288" operator="lessThan">
      <formula>0.8</formula>
    </cfRule>
  </conditionalFormatting>
  <conditionalFormatting sqref="P84:P91">
    <cfRule type="cellIs" dxfId="10029" priority="286" operator="greaterThan">
      <formula>0</formula>
    </cfRule>
  </conditionalFormatting>
  <conditionalFormatting sqref="Q84:Q91">
    <cfRule type="cellIs" dxfId="10028" priority="285" operator="lessThan">
      <formula>0</formula>
    </cfRule>
  </conditionalFormatting>
  <conditionalFormatting sqref="R84:R91">
    <cfRule type="cellIs" dxfId="10027" priority="283" operator="lessThan">
      <formula>0.8</formula>
    </cfRule>
    <cfRule type="cellIs" dxfId="10026" priority="284" operator="greaterThan">
      <formula>1</formula>
    </cfRule>
  </conditionalFormatting>
  <conditionalFormatting sqref="R84:R91">
    <cfRule type="cellIs" dxfId="10025" priority="281" operator="greaterThan">
      <formula>1</formula>
    </cfRule>
    <cfRule type="cellIs" dxfId="10024" priority="282" operator="lessThan">
      <formula>0.8</formula>
    </cfRule>
  </conditionalFormatting>
  <conditionalFormatting sqref="P84:P91">
    <cfRule type="cellIs" dxfId="10023" priority="280" operator="greaterThan">
      <formula>0</formula>
    </cfRule>
  </conditionalFormatting>
  <conditionalFormatting sqref="Q84:Q91">
    <cfRule type="cellIs" dxfId="10022" priority="279" operator="lessThan">
      <formula>0</formula>
    </cfRule>
  </conditionalFormatting>
  <conditionalFormatting sqref="R84:R91">
    <cfRule type="cellIs" dxfId="10021" priority="277" operator="lessThan">
      <formula>0.8</formula>
    </cfRule>
    <cfRule type="cellIs" dxfId="10020" priority="278" operator="greaterThan">
      <formula>1</formula>
    </cfRule>
  </conditionalFormatting>
  <conditionalFormatting sqref="R84:R91">
    <cfRule type="cellIs" dxfId="10019" priority="275" operator="greaterThan">
      <formula>1</formula>
    </cfRule>
    <cfRule type="cellIs" dxfId="10018" priority="276" operator="lessThan">
      <formula>0.8</formula>
    </cfRule>
  </conditionalFormatting>
  <conditionalFormatting sqref="P84:P91">
    <cfRule type="cellIs" dxfId="10017" priority="274" operator="greaterThan">
      <formula>0</formula>
    </cfRule>
  </conditionalFormatting>
  <conditionalFormatting sqref="Q84:Q91">
    <cfRule type="cellIs" dxfId="10016" priority="273" operator="lessThan">
      <formula>0</formula>
    </cfRule>
  </conditionalFormatting>
  <conditionalFormatting sqref="R84:R91">
    <cfRule type="cellIs" dxfId="10015" priority="271" operator="lessThan">
      <formula>0.8</formula>
    </cfRule>
    <cfRule type="cellIs" dxfId="10014" priority="272" operator="greaterThan">
      <formula>1</formula>
    </cfRule>
  </conditionalFormatting>
  <conditionalFormatting sqref="R84:R91">
    <cfRule type="cellIs" dxfId="10013" priority="269" operator="greaterThan">
      <formula>1</formula>
    </cfRule>
    <cfRule type="cellIs" dxfId="10012" priority="270" operator="lessThan">
      <formula>0.8</formula>
    </cfRule>
  </conditionalFormatting>
  <conditionalFormatting sqref="P84:P91">
    <cfRule type="cellIs" dxfId="10011" priority="268" operator="greaterThan">
      <formula>0</formula>
    </cfRule>
  </conditionalFormatting>
  <conditionalFormatting sqref="P84:P91">
    <cfRule type="cellIs" dxfId="10010" priority="262" operator="greaterThan">
      <formula>0</formula>
    </cfRule>
  </conditionalFormatting>
  <conditionalFormatting sqref="Q84:Q91">
    <cfRule type="cellIs" dxfId="10009" priority="267" operator="lessThan">
      <formula>0</formula>
    </cfRule>
  </conditionalFormatting>
  <conditionalFormatting sqref="R84:R91">
    <cfRule type="cellIs" dxfId="10008" priority="265" operator="lessThan">
      <formula>0.8</formula>
    </cfRule>
    <cfRule type="cellIs" dxfId="10007" priority="266" operator="greaterThan">
      <formula>1</formula>
    </cfRule>
  </conditionalFormatting>
  <conditionalFormatting sqref="R84:R91">
    <cfRule type="cellIs" dxfId="10006" priority="263" operator="greaterThan">
      <formula>1</formula>
    </cfRule>
    <cfRule type="cellIs" dxfId="10005" priority="264" operator="lessThan">
      <formula>0.8</formula>
    </cfRule>
  </conditionalFormatting>
  <conditionalFormatting sqref="P84:P91">
    <cfRule type="cellIs" dxfId="10004" priority="256" operator="greaterThan">
      <formula>0</formula>
    </cfRule>
  </conditionalFormatting>
  <conditionalFormatting sqref="Q84:Q91">
    <cfRule type="cellIs" dxfId="10003" priority="261" operator="lessThan">
      <formula>0</formula>
    </cfRule>
  </conditionalFormatting>
  <conditionalFormatting sqref="R84:R91">
    <cfRule type="cellIs" dxfId="10002" priority="259" operator="lessThan">
      <formula>0.8</formula>
    </cfRule>
    <cfRule type="cellIs" dxfId="10001" priority="260" operator="greaterThan">
      <formula>1</formula>
    </cfRule>
  </conditionalFormatting>
  <conditionalFormatting sqref="R84:R91">
    <cfRule type="cellIs" dxfId="10000" priority="257" operator="greaterThan">
      <formula>1</formula>
    </cfRule>
    <cfRule type="cellIs" dxfId="9999" priority="258" operator="lessThan">
      <formula>0.8</formula>
    </cfRule>
  </conditionalFormatting>
  <conditionalFormatting sqref="R84:R91">
    <cfRule type="cellIs" dxfId="9998" priority="253" operator="lessThan">
      <formula>0.8</formula>
    </cfRule>
    <cfRule type="cellIs" dxfId="9997" priority="254" operator="greaterThan">
      <formula>1</formula>
    </cfRule>
  </conditionalFormatting>
  <conditionalFormatting sqref="R84:R91">
    <cfRule type="cellIs" dxfId="9996" priority="251" operator="greaterThan">
      <formula>1</formula>
    </cfRule>
    <cfRule type="cellIs" dxfId="9995" priority="252" operator="lessThan">
      <formula>0.8</formula>
    </cfRule>
  </conditionalFormatting>
  <conditionalFormatting sqref="P84:P91">
    <cfRule type="cellIs" dxfId="9994" priority="250" operator="greaterThan">
      <formula>0</formula>
    </cfRule>
  </conditionalFormatting>
  <conditionalFormatting sqref="Q84:Q91">
    <cfRule type="cellIs" dxfId="9993" priority="255" operator="lessThan">
      <formula>0</formula>
    </cfRule>
  </conditionalFormatting>
  <conditionalFormatting sqref="Q84:Q91">
    <cfRule type="cellIs" dxfId="9992" priority="249" operator="lessThan">
      <formula>0</formula>
    </cfRule>
  </conditionalFormatting>
  <conditionalFormatting sqref="R84:R91">
    <cfRule type="cellIs" dxfId="9991" priority="247" operator="lessThan">
      <formula>0.8</formula>
    </cfRule>
    <cfRule type="cellIs" dxfId="9990" priority="248" operator="greaterThan">
      <formula>1</formula>
    </cfRule>
  </conditionalFormatting>
  <conditionalFormatting sqref="R84:R91">
    <cfRule type="cellIs" dxfId="9989" priority="245" operator="greaterThan">
      <formula>1</formula>
    </cfRule>
    <cfRule type="cellIs" dxfId="9988" priority="246" operator="lessThan">
      <formula>0.8</formula>
    </cfRule>
  </conditionalFormatting>
  <conditionalFormatting sqref="P84:P91">
    <cfRule type="cellIs" dxfId="9987" priority="244" operator="greaterThan">
      <formula>0</formula>
    </cfRule>
  </conditionalFormatting>
  <conditionalFormatting sqref="Q84:Q91">
    <cfRule type="cellIs" dxfId="9986" priority="243" operator="lessThan">
      <formula>0</formula>
    </cfRule>
  </conditionalFormatting>
  <conditionalFormatting sqref="R84:R91">
    <cfRule type="cellIs" dxfId="9985" priority="241" operator="lessThan">
      <formula>0.8</formula>
    </cfRule>
    <cfRule type="cellIs" dxfId="9984" priority="242" operator="greaterThan">
      <formula>1</formula>
    </cfRule>
  </conditionalFormatting>
  <conditionalFormatting sqref="R84:R91">
    <cfRule type="cellIs" dxfId="9983" priority="239" operator="greaterThan">
      <formula>1</formula>
    </cfRule>
    <cfRule type="cellIs" dxfId="9982" priority="240" operator="lessThan">
      <formula>0.8</formula>
    </cfRule>
  </conditionalFormatting>
  <conditionalFormatting sqref="P84:P91">
    <cfRule type="cellIs" dxfId="9981" priority="238" operator="greaterThan">
      <formula>0</formula>
    </cfRule>
  </conditionalFormatting>
  <conditionalFormatting sqref="Q84:Q91">
    <cfRule type="cellIs" dxfId="9980" priority="237" operator="lessThan">
      <formula>0</formula>
    </cfRule>
  </conditionalFormatting>
  <conditionalFormatting sqref="R84:R91">
    <cfRule type="cellIs" dxfId="9979" priority="235" operator="lessThan">
      <formula>0.8</formula>
    </cfRule>
    <cfRule type="cellIs" dxfId="9978" priority="236" operator="greaterThan">
      <formula>1</formula>
    </cfRule>
  </conditionalFormatting>
  <conditionalFormatting sqref="R84:R91">
    <cfRule type="cellIs" dxfId="9977" priority="233" operator="greaterThan">
      <formula>1</formula>
    </cfRule>
    <cfRule type="cellIs" dxfId="9976" priority="234" operator="lessThan">
      <formula>0.8</formula>
    </cfRule>
  </conditionalFormatting>
  <conditionalFormatting sqref="P84:P91">
    <cfRule type="cellIs" dxfId="9975" priority="232" operator="greaterThan">
      <formula>0</formula>
    </cfRule>
  </conditionalFormatting>
  <conditionalFormatting sqref="Q84:Q91">
    <cfRule type="cellIs" dxfId="9974" priority="231" operator="lessThan">
      <formula>0</formula>
    </cfRule>
  </conditionalFormatting>
  <conditionalFormatting sqref="R84:R91">
    <cfRule type="cellIs" dxfId="9973" priority="229" operator="lessThan">
      <formula>0.8</formula>
    </cfRule>
    <cfRule type="cellIs" dxfId="9972" priority="230" operator="greaterThan">
      <formula>1</formula>
    </cfRule>
  </conditionalFormatting>
  <conditionalFormatting sqref="R84:R91">
    <cfRule type="cellIs" dxfId="9971" priority="227" operator="greaterThan">
      <formula>1</formula>
    </cfRule>
    <cfRule type="cellIs" dxfId="9970" priority="228" operator="lessThan">
      <formula>0.8</formula>
    </cfRule>
  </conditionalFormatting>
  <conditionalFormatting sqref="P84:P91">
    <cfRule type="cellIs" dxfId="9969" priority="226" operator="greaterThan">
      <formula>0</formula>
    </cfRule>
  </conditionalFormatting>
  <conditionalFormatting sqref="P84:P91">
    <cfRule type="cellIs" dxfId="9968" priority="220" operator="greaterThan">
      <formula>0</formula>
    </cfRule>
  </conditionalFormatting>
  <conditionalFormatting sqref="Q84:Q91">
    <cfRule type="cellIs" dxfId="9967" priority="225" operator="lessThan">
      <formula>0</formula>
    </cfRule>
  </conditionalFormatting>
  <conditionalFormatting sqref="R84:R91">
    <cfRule type="cellIs" dxfId="9966" priority="223" operator="lessThan">
      <formula>0.8</formula>
    </cfRule>
    <cfRule type="cellIs" dxfId="9965" priority="224" operator="greaterThan">
      <formula>1</formula>
    </cfRule>
  </conditionalFormatting>
  <conditionalFormatting sqref="R84:R91">
    <cfRule type="cellIs" dxfId="9964" priority="221" operator="greaterThan">
      <formula>1</formula>
    </cfRule>
    <cfRule type="cellIs" dxfId="9963" priority="222" operator="lessThan">
      <formula>0.8</formula>
    </cfRule>
  </conditionalFormatting>
  <conditionalFormatting sqref="P84:P91">
    <cfRule type="cellIs" dxfId="9962" priority="214" operator="greaterThan">
      <formula>0</formula>
    </cfRule>
  </conditionalFormatting>
  <conditionalFormatting sqref="Q84:Q91">
    <cfRule type="cellIs" dxfId="9961" priority="219" operator="lessThan">
      <formula>0</formula>
    </cfRule>
  </conditionalFormatting>
  <conditionalFormatting sqref="R84:R91">
    <cfRule type="cellIs" dxfId="9960" priority="217" operator="lessThan">
      <formula>0.8</formula>
    </cfRule>
    <cfRule type="cellIs" dxfId="9959" priority="218" operator="greaterThan">
      <formula>1</formula>
    </cfRule>
  </conditionalFormatting>
  <conditionalFormatting sqref="R84:R91">
    <cfRule type="cellIs" dxfId="9958" priority="215" operator="greaterThan">
      <formula>1</formula>
    </cfRule>
    <cfRule type="cellIs" dxfId="9957" priority="216" operator="lessThan">
      <formula>0.8</formula>
    </cfRule>
  </conditionalFormatting>
  <conditionalFormatting sqref="R84:R91">
    <cfRule type="cellIs" dxfId="9956" priority="211" operator="lessThan">
      <formula>0.8</formula>
    </cfRule>
    <cfRule type="cellIs" dxfId="9955" priority="212" operator="greaterThan">
      <formula>1</formula>
    </cfRule>
  </conditionalFormatting>
  <conditionalFormatting sqref="R84:R91">
    <cfRule type="cellIs" dxfId="9954" priority="209" operator="greaterThan">
      <formula>1</formula>
    </cfRule>
    <cfRule type="cellIs" dxfId="9953" priority="210" operator="lessThan">
      <formula>0.8</formula>
    </cfRule>
  </conditionalFormatting>
  <conditionalFormatting sqref="P84:P91">
    <cfRule type="cellIs" dxfId="9952" priority="208" operator="greaterThan">
      <formula>0</formula>
    </cfRule>
  </conditionalFormatting>
  <conditionalFormatting sqref="Q84:Q91">
    <cfRule type="cellIs" dxfId="9951" priority="213" operator="lessThan">
      <formula>0</formula>
    </cfRule>
  </conditionalFormatting>
  <conditionalFormatting sqref="Q84:Q91">
    <cfRule type="cellIs" dxfId="9950" priority="207" operator="lessThan">
      <formula>0</formula>
    </cfRule>
  </conditionalFormatting>
  <conditionalFormatting sqref="R84:R91">
    <cfRule type="cellIs" dxfId="9949" priority="205" operator="lessThan">
      <formula>0.8</formula>
    </cfRule>
    <cfRule type="cellIs" dxfId="9948" priority="206" operator="greaterThan">
      <formula>1</formula>
    </cfRule>
  </conditionalFormatting>
  <conditionalFormatting sqref="R84:R91">
    <cfRule type="cellIs" dxfId="9947" priority="203" operator="greaterThan">
      <formula>1</formula>
    </cfRule>
    <cfRule type="cellIs" dxfId="9946" priority="204" operator="lessThan">
      <formula>0.8</formula>
    </cfRule>
  </conditionalFormatting>
  <conditionalFormatting sqref="P84:P91">
    <cfRule type="cellIs" dxfId="9945" priority="202" operator="greaterThan">
      <formula>0</formula>
    </cfRule>
  </conditionalFormatting>
  <conditionalFormatting sqref="P84:P91">
    <cfRule type="cellIs" dxfId="9944" priority="196" operator="greaterThan">
      <formula>0</formula>
    </cfRule>
  </conditionalFormatting>
  <conditionalFormatting sqref="Q84:Q91">
    <cfRule type="cellIs" dxfId="9943" priority="201" operator="lessThan">
      <formula>0</formula>
    </cfRule>
  </conditionalFormatting>
  <conditionalFormatting sqref="R84:R91">
    <cfRule type="cellIs" dxfId="9942" priority="199" operator="lessThan">
      <formula>0.8</formula>
    </cfRule>
    <cfRule type="cellIs" dxfId="9941" priority="200" operator="greaterThan">
      <formula>1</formula>
    </cfRule>
  </conditionalFormatting>
  <conditionalFormatting sqref="R84:R91">
    <cfRule type="cellIs" dxfId="9940" priority="197" operator="greaterThan">
      <formula>1</formula>
    </cfRule>
    <cfRule type="cellIs" dxfId="9939" priority="198" operator="lessThan">
      <formula>0.8</formula>
    </cfRule>
  </conditionalFormatting>
  <conditionalFormatting sqref="P84:P91">
    <cfRule type="cellIs" dxfId="9938" priority="190" operator="greaterThan">
      <formula>0</formula>
    </cfRule>
  </conditionalFormatting>
  <conditionalFormatting sqref="Q84:Q91">
    <cfRule type="cellIs" dxfId="9937" priority="195" operator="lessThan">
      <formula>0</formula>
    </cfRule>
  </conditionalFormatting>
  <conditionalFormatting sqref="R84:R91">
    <cfRule type="cellIs" dxfId="9936" priority="193" operator="lessThan">
      <formula>0.8</formula>
    </cfRule>
    <cfRule type="cellIs" dxfId="9935" priority="194" operator="greaterThan">
      <formula>1</formula>
    </cfRule>
  </conditionalFormatting>
  <conditionalFormatting sqref="R84:R91">
    <cfRule type="cellIs" dxfId="9934" priority="191" operator="greaterThan">
      <formula>1</formula>
    </cfRule>
    <cfRule type="cellIs" dxfId="9933" priority="192" operator="lessThan">
      <formula>0.8</formula>
    </cfRule>
  </conditionalFormatting>
  <conditionalFormatting sqref="R84:R91">
    <cfRule type="cellIs" dxfId="9932" priority="187" operator="lessThan">
      <formula>0.8</formula>
    </cfRule>
    <cfRule type="cellIs" dxfId="9931" priority="188" operator="greaterThan">
      <formula>1</formula>
    </cfRule>
  </conditionalFormatting>
  <conditionalFormatting sqref="R84:R91">
    <cfRule type="cellIs" dxfId="9930" priority="185" operator="greaterThan">
      <formula>1</formula>
    </cfRule>
    <cfRule type="cellIs" dxfId="9929" priority="186" operator="lessThan">
      <formula>0.8</formula>
    </cfRule>
  </conditionalFormatting>
  <conditionalFormatting sqref="P84:P91">
    <cfRule type="cellIs" dxfId="9928" priority="184" operator="greaterThan">
      <formula>0</formula>
    </cfRule>
  </conditionalFormatting>
  <conditionalFormatting sqref="Q84:Q91">
    <cfRule type="cellIs" dxfId="9927" priority="189" operator="lessThan">
      <formula>0</formula>
    </cfRule>
  </conditionalFormatting>
  <conditionalFormatting sqref="P84:P91">
    <cfRule type="cellIs" dxfId="9926" priority="178" operator="greaterThan">
      <formula>0</formula>
    </cfRule>
  </conditionalFormatting>
  <conditionalFormatting sqref="Q84:Q91">
    <cfRule type="cellIs" dxfId="9925" priority="183" operator="lessThan">
      <formula>0</formula>
    </cfRule>
  </conditionalFormatting>
  <conditionalFormatting sqref="R84:R91">
    <cfRule type="cellIs" dxfId="9924" priority="181" operator="lessThan">
      <formula>0.8</formula>
    </cfRule>
    <cfRule type="cellIs" dxfId="9923" priority="182" operator="greaterThan">
      <formula>1</formula>
    </cfRule>
  </conditionalFormatting>
  <conditionalFormatting sqref="R84:R91">
    <cfRule type="cellIs" dxfId="9922" priority="179" operator="greaterThan">
      <formula>1</formula>
    </cfRule>
    <cfRule type="cellIs" dxfId="9921" priority="180" operator="lessThan">
      <formula>0.8</formula>
    </cfRule>
  </conditionalFormatting>
  <conditionalFormatting sqref="R84:R91">
    <cfRule type="cellIs" dxfId="9920" priority="175" operator="lessThan">
      <formula>0.8</formula>
    </cfRule>
    <cfRule type="cellIs" dxfId="9919" priority="176" operator="greaterThan">
      <formula>1</formula>
    </cfRule>
  </conditionalFormatting>
  <conditionalFormatting sqref="R84:R91">
    <cfRule type="cellIs" dxfId="9918" priority="173" operator="greaterThan">
      <formula>1</formula>
    </cfRule>
    <cfRule type="cellIs" dxfId="9917" priority="174" operator="lessThan">
      <formula>0.8</formula>
    </cfRule>
  </conditionalFormatting>
  <conditionalFormatting sqref="P84:P91">
    <cfRule type="cellIs" dxfId="9916" priority="172" operator="greaterThan">
      <formula>0</formula>
    </cfRule>
  </conditionalFormatting>
  <conditionalFormatting sqref="Q84:Q91">
    <cfRule type="cellIs" dxfId="9915" priority="177" operator="lessThan">
      <formula>0</formula>
    </cfRule>
  </conditionalFormatting>
  <conditionalFormatting sqref="R84:R91">
    <cfRule type="cellIs" dxfId="9914" priority="169" operator="lessThan">
      <formula>0.8</formula>
    </cfRule>
    <cfRule type="cellIs" dxfId="9913" priority="170" operator="greaterThan">
      <formula>1</formula>
    </cfRule>
  </conditionalFormatting>
  <conditionalFormatting sqref="R84:R91">
    <cfRule type="cellIs" dxfId="9912" priority="167" operator="greaterThan">
      <formula>1</formula>
    </cfRule>
    <cfRule type="cellIs" dxfId="9911" priority="168" operator="lessThan">
      <formula>0.8</formula>
    </cfRule>
  </conditionalFormatting>
  <conditionalFormatting sqref="P84:P91">
    <cfRule type="cellIs" dxfId="9910" priority="166" operator="greaterThan">
      <formula>0</formula>
    </cfRule>
  </conditionalFormatting>
  <conditionalFormatting sqref="Q84:Q91">
    <cfRule type="cellIs" dxfId="9909" priority="171" operator="lessThan">
      <formula>0</formula>
    </cfRule>
  </conditionalFormatting>
  <conditionalFormatting sqref="Q84:Q91">
    <cfRule type="cellIs" dxfId="9908" priority="165" operator="lessThan">
      <formula>0</formula>
    </cfRule>
  </conditionalFormatting>
  <conditionalFormatting sqref="R84:R91">
    <cfRule type="cellIs" dxfId="9907" priority="163" operator="lessThan">
      <formula>0.8</formula>
    </cfRule>
    <cfRule type="cellIs" dxfId="9906" priority="164" operator="greaterThan">
      <formula>1</formula>
    </cfRule>
  </conditionalFormatting>
  <conditionalFormatting sqref="R84:R91">
    <cfRule type="cellIs" dxfId="9905" priority="161" operator="greaterThan">
      <formula>1</formula>
    </cfRule>
    <cfRule type="cellIs" dxfId="9904" priority="162" operator="lessThan">
      <formula>0.8</formula>
    </cfRule>
  </conditionalFormatting>
  <conditionalFormatting sqref="P84:P91">
    <cfRule type="cellIs" dxfId="9903" priority="160" operator="greaterThan">
      <formula>0</formula>
    </cfRule>
  </conditionalFormatting>
  <conditionalFormatting sqref="Q84:Q91">
    <cfRule type="cellIs" dxfId="9902" priority="154" operator="lessThan">
      <formula>0</formula>
    </cfRule>
  </conditionalFormatting>
  <conditionalFormatting sqref="R84:R91">
    <cfRule type="cellIs" dxfId="9901" priority="158" operator="lessThan">
      <formula>0.8</formula>
    </cfRule>
    <cfRule type="cellIs" dxfId="9900" priority="159" operator="greaterThan">
      <formula>1</formula>
    </cfRule>
  </conditionalFormatting>
  <conditionalFormatting sqref="R84:R91">
    <cfRule type="cellIs" dxfId="9899" priority="156" operator="greaterThan">
      <formula>1</formula>
    </cfRule>
    <cfRule type="cellIs" dxfId="9898" priority="157" operator="lessThan">
      <formula>0.8</formula>
    </cfRule>
  </conditionalFormatting>
  <conditionalFormatting sqref="P84:P91">
    <cfRule type="cellIs" dxfId="9897" priority="155" operator="greaterThan">
      <formula>0</formula>
    </cfRule>
  </conditionalFormatting>
  <conditionalFormatting sqref="Q84:Q91">
    <cfRule type="cellIs" dxfId="9896" priority="153" operator="lessThan">
      <formula>0</formula>
    </cfRule>
  </conditionalFormatting>
  <conditionalFormatting sqref="R84:R91">
    <cfRule type="cellIs" dxfId="9895" priority="151" operator="lessThan">
      <formula>0.8</formula>
    </cfRule>
    <cfRule type="cellIs" dxfId="9894" priority="152" operator="greaterThan">
      <formula>1</formula>
    </cfRule>
  </conditionalFormatting>
  <conditionalFormatting sqref="R84:R91">
    <cfRule type="cellIs" dxfId="9893" priority="149" operator="greaterThan">
      <formula>1</formula>
    </cfRule>
    <cfRule type="cellIs" dxfId="9892" priority="150" operator="lessThan">
      <formula>0.8</formula>
    </cfRule>
  </conditionalFormatting>
  <conditionalFormatting sqref="P84:P91">
    <cfRule type="cellIs" dxfId="9891" priority="148" operator="greaterThan">
      <formula>0</formula>
    </cfRule>
  </conditionalFormatting>
  <conditionalFormatting sqref="Q84:Q91">
    <cfRule type="cellIs" dxfId="9890" priority="147" operator="lessThan">
      <formula>0</formula>
    </cfRule>
  </conditionalFormatting>
  <conditionalFormatting sqref="R84:R91">
    <cfRule type="cellIs" dxfId="9889" priority="145" operator="lessThan">
      <formula>0.8</formula>
    </cfRule>
    <cfRule type="cellIs" dxfId="9888" priority="146" operator="greaterThan">
      <formula>1</formula>
    </cfRule>
  </conditionalFormatting>
  <conditionalFormatting sqref="R84:R91">
    <cfRule type="cellIs" dxfId="9887" priority="143" operator="greaterThan">
      <formula>1</formula>
    </cfRule>
    <cfRule type="cellIs" dxfId="9886" priority="144" operator="lessThan">
      <formula>0.8</formula>
    </cfRule>
  </conditionalFormatting>
  <conditionalFormatting sqref="P84:P91">
    <cfRule type="cellIs" dxfId="9885" priority="142" operator="greaterThan">
      <formula>0</formula>
    </cfRule>
  </conditionalFormatting>
  <conditionalFormatting sqref="Q84:Q91">
    <cfRule type="cellIs" dxfId="9884" priority="141" operator="lessThan">
      <formula>0</formula>
    </cfRule>
  </conditionalFormatting>
  <conditionalFormatting sqref="R84:R91">
    <cfRule type="cellIs" dxfId="9883" priority="139" operator="lessThan">
      <formula>0.8</formula>
    </cfRule>
    <cfRule type="cellIs" dxfId="9882" priority="140" operator="greaterThan">
      <formula>1</formula>
    </cfRule>
  </conditionalFormatting>
  <conditionalFormatting sqref="R84:R91">
    <cfRule type="cellIs" dxfId="9881" priority="137" operator="greaterThan">
      <formula>1</formula>
    </cfRule>
    <cfRule type="cellIs" dxfId="9880" priority="138" operator="lessThan">
      <formula>0.8</formula>
    </cfRule>
  </conditionalFormatting>
  <conditionalFormatting sqref="P84:P91">
    <cfRule type="cellIs" dxfId="9879" priority="136" operator="greaterThan">
      <formula>0</formula>
    </cfRule>
  </conditionalFormatting>
  <conditionalFormatting sqref="Q84:Q91">
    <cfRule type="cellIs" dxfId="9878" priority="135" operator="lessThan">
      <formula>0</formula>
    </cfRule>
  </conditionalFormatting>
  <conditionalFormatting sqref="R84:R91">
    <cfRule type="cellIs" dxfId="9877" priority="133" operator="lessThan">
      <formula>0.8</formula>
    </cfRule>
    <cfRule type="cellIs" dxfId="9876" priority="134" operator="greaterThan">
      <formula>1</formula>
    </cfRule>
  </conditionalFormatting>
  <conditionalFormatting sqref="R84:R91">
    <cfRule type="cellIs" dxfId="9875" priority="131" operator="greaterThan">
      <formula>1</formula>
    </cfRule>
    <cfRule type="cellIs" dxfId="9874" priority="132" operator="lessThan">
      <formula>0.8</formula>
    </cfRule>
  </conditionalFormatting>
  <conditionalFormatting sqref="P84:P91">
    <cfRule type="cellIs" dxfId="9873" priority="130" operator="greaterThan">
      <formula>0</formula>
    </cfRule>
  </conditionalFormatting>
  <conditionalFormatting sqref="Q84:Q91">
    <cfRule type="cellIs" dxfId="9872" priority="129" operator="lessThan">
      <formula>0</formula>
    </cfRule>
  </conditionalFormatting>
  <conditionalFormatting sqref="R84:R91">
    <cfRule type="cellIs" dxfId="9871" priority="127" operator="lessThan">
      <formula>0.8</formula>
    </cfRule>
    <cfRule type="cellIs" dxfId="9870" priority="128" operator="greaterThan">
      <formula>1</formula>
    </cfRule>
  </conditionalFormatting>
  <conditionalFormatting sqref="R84:R91">
    <cfRule type="cellIs" dxfId="9869" priority="125" operator="greaterThan">
      <formula>1</formula>
    </cfRule>
    <cfRule type="cellIs" dxfId="9868" priority="126" operator="lessThan">
      <formula>0.8</formula>
    </cfRule>
  </conditionalFormatting>
  <conditionalFormatting sqref="P84:P91">
    <cfRule type="cellIs" dxfId="9867" priority="124" operator="greaterThan">
      <formula>0</formula>
    </cfRule>
  </conditionalFormatting>
  <conditionalFormatting sqref="P84:P91">
    <cfRule type="cellIs" dxfId="9866" priority="118" operator="greaterThan">
      <formula>0</formula>
    </cfRule>
  </conditionalFormatting>
  <conditionalFormatting sqref="Q84:Q91">
    <cfRule type="cellIs" dxfId="9865" priority="123" operator="lessThan">
      <formula>0</formula>
    </cfRule>
  </conditionalFormatting>
  <conditionalFormatting sqref="R84:R91">
    <cfRule type="cellIs" dxfId="9864" priority="121" operator="lessThan">
      <formula>0.8</formula>
    </cfRule>
    <cfRule type="cellIs" dxfId="9863" priority="122" operator="greaterThan">
      <formula>1</formula>
    </cfRule>
  </conditionalFormatting>
  <conditionalFormatting sqref="R84:R91">
    <cfRule type="cellIs" dxfId="9862" priority="119" operator="greaterThan">
      <formula>1</formula>
    </cfRule>
    <cfRule type="cellIs" dxfId="9861" priority="120" operator="lessThan">
      <formula>0.8</formula>
    </cfRule>
  </conditionalFormatting>
  <conditionalFormatting sqref="P84:P91">
    <cfRule type="cellIs" dxfId="9860" priority="112" operator="greaterThan">
      <formula>0</formula>
    </cfRule>
  </conditionalFormatting>
  <conditionalFormatting sqref="Q84:Q91">
    <cfRule type="cellIs" dxfId="9859" priority="117" operator="lessThan">
      <formula>0</formula>
    </cfRule>
  </conditionalFormatting>
  <conditionalFormatting sqref="R84:R91">
    <cfRule type="cellIs" dxfId="9858" priority="115" operator="lessThan">
      <formula>0.8</formula>
    </cfRule>
    <cfRule type="cellIs" dxfId="9857" priority="116" operator="greaterThan">
      <formula>1</formula>
    </cfRule>
  </conditionalFormatting>
  <conditionalFormatting sqref="R84:R91">
    <cfRule type="cellIs" dxfId="9856" priority="113" operator="greaterThan">
      <formula>1</formula>
    </cfRule>
    <cfRule type="cellIs" dxfId="9855" priority="114" operator="lessThan">
      <formula>0.8</formula>
    </cfRule>
  </conditionalFormatting>
  <conditionalFormatting sqref="R84:R91">
    <cfRule type="cellIs" dxfId="9854" priority="109" operator="lessThan">
      <formula>0.8</formula>
    </cfRule>
    <cfRule type="cellIs" dxfId="9853" priority="110" operator="greaterThan">
      <formula>1</formula>
    </cfRule>
  </conditionalFormatting>
  <conditionalFormatting sqref="R84:R91">
    <cfRule type="cellIs" dxfId="9852" priority="107" operator="greaterThan">
      <formula>1</formula>
    </cfRule>
    <cfRule type="cellIs" dxfId="9851" priority="108" operator="lessThan">
      <formula>0.8</formula>
    </cfRule>
  </conditionalFormatting>
  <conditionalFormatting sqref="P84:P91">
    <cfRule type="cellIs" dxfId="9850" priority="106" operator="greaterThan">
      <formula>0</formula>
    </cfRule>
  </conditionalFormatting>
  <conditionalFormatting sqref="Q84:Q91">
    <cfRule type="cellIs" dxfId="9849" priority="111" operator="lessThan">
      <formula>0</formula>
    </cfRule>
  </conditionalFormatting>
  <conditionalFormatting sqref="Q84:Q91">
    <cfRule type="cellIs" dxfId="9848" priority="100" operator="lessThan">
      <formula>0</formula>
    </cfRule>
  </conditionalFormatting>
  <conditionalFormatting sqref="P84:P91">
    <cfRule type="cellIs" dxfId="9847" priority="101" operator="greaterThan">
      <formula>0</formula>
    </cfRule>
  </conditionalFormatting>
  <conditionalFormatting sqref="R84:R91">
    <cfRule type="cellIs" dxfId="9846" priority="104" operator="lessThan">
      <formula>0.8</formula>
    </cfRule>
    <cfRule type="cellIs" dxfId="9845" priority="105" operator="greaterThan">
      <formula>1</formula>
    </cfRule>
  </conditionalFormatting>
  <conditionalFormatting sqref="R84:R91">
    <cfRule type="cellIs" dxfId="9844" priority="102" operator="greaterThan">
      <formula>1</formula>
    </cfRule>
    <cfRule type="cellIs" dxfId="9843" priority="103" operator="lessThan">
      <formula>0.8</formula>
    </cfRule>
  </conditionalFormatting>
  <conditionalFormatting sqref="Q84:Q91">
    <cfRule type="cellIs" dxfId="9842" priority="94" operator="lessThan">
      <formula>0</formula>
    </cfRule>
  </conditionalFormatting>
  <conditionalFormatting sqref="R84:R91">
    <cfRule type="cellIs" dxfId="9841" priority="98" operator="lessThan">
      <formula>0.8</formula>
    </cfRule>
    <cfRule type="cellIs" dxfId="9840" priority="99" operator="greaterThan">
      <formula>1</formula>
    </cfRule>
  </conditionalFormatting>
  <conditionalFormatting sqref="R84:R91">
    <cfRule type="cellIs" dxfId="9839" priority="96" operator="greaterThan">
      <formula>1</formula>
    </cfRule>
    <cfRule type="cellIs" dxfId="9838" priority="97" operator="lessThan">
      <formula>0.8</formula>
    </cfRule>
  </conditionalFormatting>
  <conditionalFormatting sqref="P84:P91">
    <cfRule type="cellIs" dxfId="9837" priority="95" operator="greaterThan">
      <formula>0</formula>
    </cfRule>
  </conditionalFormatting>
  <conditionalFormatting sqref="Q84:Q91">
    <cfRule type="cellIs" dxfId="9836" priority="93" operator="lessThan">
      <formula>0</formula>
    </cfRule>
  </conditionalFormatting>
  <conditionalFormatting sqref="R84:R91">
    <cfRule type="cellIs" dxfId="9835" priority="91" operator="lessThan">
      <formula>0.8</formula>
    </cfRule>
    <cfRule type="cellIs" dxfId="9834" priority="92" operator="greaterThan">
      <formula>1</formula>
    </cfRule>
  </conditionalFormatting>
  <conditionalFormatting sqref="R84:R91">
    <cfRule type="cellIs" dxfId="9833" priority="89" operator="greaterThan">
      <formula>1</formula>
    </cfRule>
    <cfRule type="cellIs" dxfId="9832" priority="90" operator="lessThan">
      <formula>0.8</formula>
    </cfRule>
  </conditionalFormatting>
  <conditionalFormatting sqref="P84:P91">
    <cfRule type="cellIs" dxfId="9831" priority="88" operator="greaterThan">
      <formula>0</formula>
    </cfRule>
  </conditionalFormatting>
  <conditionalFormatting sqref="Q84:Q91">
    <cfRule type="cellIs" dxfId="9830" priority="87" operator="lessThan">
      <formula>0</formula>
    </cfRule>
  </conditionalFormatting>
  <conditionalFormatting sqref="R84:R91">
    <cfRule type="cellIs" dxfId="9829" priority="85" operator="lessThan">
      <formula>0.8</formula>
    </cfRule>
    <cfRule type="cellIs" dxfId="9828" priority="86" operator="greaterThan">
      <formula>1</formula>
    </cfRule>
  </conditionalFormatting>
  <conditionalFormatting sqref="R84:R91">
    <cfRule type="cellIs" dxfId="9827" priority="83" operator="greaterThan">
      <formula>1</formula>
    </cfRule>
    <cfRule type="cellIs" dxfId="9826" priority="84" operator="lessThan">
      <formula>0.8</formula>
    </cfRule>
  </conditionalFormatting>
  <conditionalFormatting sqref="P84:P91">
    <cfRule type="cellIs" dxfId="9825" priority="82" operator="greaterThan">
      <formula>0</formula>
    </cfRule>
  </conditionalFormatting>
  <conditionalFormatting sqref="Q84:Q91">
    <cfRule type="cellIs" dxfId="9824" priority="81" operator="lessThan">
      <formula>0</formula>
    </cfRule>
  </conditionalFormatting>
  <conditionalFormatting sqref="R84:R91">
    <cfRule type="cellIs" dxfId="9823" priority="79" operator="lessThan">
      <formula>0.8</formula>
    </cfRule>
    <cfRule type="cellIs" dxfId="9822" priority="80" operator="greaterThan">
      <formula>1</formula>
    </cfRule>
  </conditionalFormatting>
  <conditionalFormatting sqref="R84:R91">
    <cfRule type="cellIs" dxfId="9821" priority="77" operator="greaterThan">
      <formula>1</formula>
    </cfRule>
    <cfRule type="cellIs" dxfId="9820" priority="78" operator="lessThan">
      <formula>0.8</formula>
    </cfRule>
  </conditionalFormatting>
  <conditionalFormatting sqref="P84:P91">
    <cfRule type="cellIs" dxfId="9819" priority="76" operator="greaterThan">
      <formula>0</formula>
    </cfRule>
  </conditionalFormatting>
  <conditionalFormatting sqref="Q162:Q167">
    <cfRule type="cellIs" dxfId="9818" priority="75" operator="lessThan">
      <formula>0</formula>
    </cfRule>
  </conditionalFormatting>
  <conditionalFormatting sqref="R162:R167">
    <cfRule type="cellIs" dxfId="9817" priority="73" operator="lessThan">
      <formula>0.8</formula>
    </cfRule>
    <cfRule type="cellIs" dxfId="9816" priority="74" operator="greaterThan">
      <formula>1</formula>
    </cfRule>
  </conditionalFormatting>
  <conditionalFormatting sqref="R162:R167">
    <cfRule type="cellIs" dxfId="9815" priority="71" operator="greaterThan">
      <formula>1</formula>
    </cfRule>
    <cfRule type="cellIs" dxfId="9814" priority="72" operator="lessThan">
      <formula>0.8</formula>
    </cfRule>
  </conditionalFormatting>
  <conditionalFormatting sqref="P162:P167">
    <cfRule type="cellIs" dxfId="9813" priority="70" operator="greaterThan">
      <formula>0</formula>
    </cfRule>
  </conditionalFormatting>
  <conditionalFormatting sqref="P168">
    <cfRule type="cellIs" dxfId="9812" priority="64" operator="greaterThan">
      <formula>0</formula>
    </cfRule>
  </conditionalFormatting>
  <conditionalFormatting sqref="R168">
    <cfRule type="cellIs" dxfId="9811" priority="67" operator="lessThan">
      <formula>0.8</formula>
    </cfRule>
    <cfRule type="cellIs" dxfId="9810" priority="68" operator="greaterThan">
      <formula>1</formula>
    </cfRule>
  </conditionalFormatting>
  <conditionalFormatting sqref="R168">
    <cfRule type="cellIs" dxfId="9809" priority="65" operator="greaterThan">
      <formula>1</formula>
    </cfRule>
    <cfRule type="cellIs" dxfId="9808" priority="66" operator="lessThan">
      <formula>0.8</formula>
    </cfRule>
  </conditionalFormatting>
  <conditionalFormatting sqref="Q168">
    <cfRule type="cellIs" dxfId="9807" priority="69" operator="lessThan">
      <formula>0</formula>
    </cfRule>
  </conditionalFormatting>
  <conditionalFormatting sqref="Q161">
    <cfRule type="cellIs" dxfId="9806" priority="63" operator="lessThan">
      <formula>0</formula>
    </cfRule>
  </conditionalFormatting>
  <conditionalFormatting sqref="R161">
    <cfRule type="cellIs" dxfId="9805" priority="61" operator="lessThan">
      <formula>0.8</formula>
    </cfRule>
    <cfRule type="cellIs" dxfId="9804" priority="62" operator="greaterThan">
      <formula>1</formula>
    </cfRule>
  </conditionalFormatting>
  <conditionalFormatting sqref="R161">
    <cfRule type="cellIs" dxfId="9803" priority="59" operator="greaterThan">
      <formula>1</formula>
    </cfRule>
    <cfRule type="cellIs" dxfId="9802" priority="60" operator="lessThan">
      <formula>0.8</formula>
    </cfRule>
  </conditionalFormatting>
  <conditionalFormatting sqref="P161">
    <cfRule type="cellIs" dxfId="9801" priority="58" operator="greaterThan">
      <formula>0</formula>
    </cfRule>
  </conditionalFormatting>
  <conditionalFormatting sqref="Q162:Q167">
    <cfRule type="cellIs" dxfId="9800" priority="57" operator="lessThan">
      <formula>0</formula>
    </cfRule>
  </conditionalFormatting>
  <conditionalFormatting sqref="R162:R167">
    <cfRule type="cellIs" dxfId="9799" priority="55" operator="lessThan">
      <formula>0.8</formula>
    </cfRule>
    <cfRule type="cellIs" dxfId="9798" priority="56" operator="greaterThan">
      <formula>1</formula>
    </cfRule>
  </conditionalFormatting>
  <conditionalFormatting sqref="R162:R167">
    <cfRule type="cellIs" dxfId="9797" priority="53" operator="greaterThan">
      <formula>1</formula>
    </cfRule>
    <cfRule type="cellIs" dxfId="9796" priority="54" operator="lessThan">
      <formula>0.8</formula>
    </cfRule>
  </conditionalFormatting>
  <conditionalFormatting sqref="P162:P167">
    <cfRule type="cellIs" dxfId="9795" priority="52" operator="greaterThan">
      <formula>0</formula>
    </cfRule>
  </conditionalFormatting>
  <conditionalFormatting sqref="Q162:Q167">
    <cfRule type="cellIs" dxfId="9794" priority="51" operator="lessThan">
      <formula>0</formula>
    </cfRule>
  </conditionalFormatting>
  <conditionalFormatting sqref="R162:R167">
    <cfRule type="cellIs" dxfId="9793" priority="49" operator="lessThan">
      <formula>0.8</formula>
    </cfRule>
    <cfRule type="cellIs" dxfId="9792" priority="50" operator="greaterThan">
      <formula>1</formula>
    </cfRule>
  </conditionalFormatting>
  <conditionalFormatting sqref="R162:R167">
    <cfRule type="cellIs" dxfId="9791" priority="47" operator="greaterThan">
      <formula>1</formula>
    </cfRule>
    <cfRule type="cellIs" dxfId="9790" priority="48" operator="lessThan">
      <formula>0.8</formula>
    </cfRule>
  </conditionalFormatting>
  <conditionalFormatting sqref="P162:P167">
    <cfRule type="cellIs" dxfId="9789" priority="46" operator="greaterThan">
      <formula>0</formula>
    </cfRule>
  </conditionalFormatting>
  <conditionalFormatting sqref="Q168">
    <cfRule type="cellIs" dxfId="9788" priority="45" operator="lessThan">
      <formula>0</formula>
    </cfRule>
  </conditionalFormatting>
  <conditionalFormatting sqref="R168">
    <cfRule type="cellIs" dxfId="9787" priority="43" operator="lessThan">
      <formula>0.8</formula>
    </cfRule>
    <cfRule type="cellIs" dxfId="9786" priority="44" operator="greaterThan">
      <formula>1</formula>
    </cfRule>
  </conditionalFormatting>
  <conditionalFormatting sqref="R168">
    <cfRule type="cellIs" dxfId="9785" priority="41" operator="greaterThan">
      <formula>1</formula>
    </cfRule>
    <cfRule type="cellIs" dxfId="9784" priority="42" operator="lessThan">
      <formula>0.8</formula>
    </cfRule>
  </conditionalFormatting>
  <conditionalFormatting sqref="P168">
    <cfRule type="cellIs" dxfId="9783" priority="40" operator="greaterThan">
      <formula>0</formula>
    </cfRule>
  </conditionalFormatting>
  <conditionalFormatting sqref="Q161">
    <cfRule type="cellIs" dxfId="9782" priority="39" operator="lessThan">
      <formula>0</formula>
    </cfRule>
  </conditionalFormatting>
  <conditionalFormatting sqref="R161">
    <cfRule type="cellIs" dxfId="9781" priority="37" operator="lessThan">
      <formula>0.8</formula>
    </cfRule>
    <cfRule type="cellIs" dxfId="9780" priority="38" operator="greaterThan">
      <formula>1</formula>
    </cfRule>
  </conditionalFormatting>
  <conditionalFormatting sqref="R161">
    <cfRule type="cellIs" dxfId="9779" priority="35" operator="greaterThan">
      <formula>1</formula>
    </cfRule>
    <cfRule type="cellIs" dxfId="9778" priority="36" operator="lessThan">
      <formula>0.8</formula>
    </cfRule>
  </conditionalFormatting>
  <conditionalFormatting sqref="P161">
    <cfRule type="cellIs" dxfId="9777" priority="34" operator="greaterThan">
      <formula>0</formula>
    </cfRule>
  </conditionalFormatting>
  <conditionalFormatting sqref="Q162:Q167">
    <cfRule type="cellIs" dxfId="9776" priority="33" operator="lessThan">
      <formula>0</formula>
    </cfRule>
  </conditionalFormatting>
  <conditionalFormatting sqref="R162:R167">
    <cfRule type="cellIs" dxfId="9775" priority="31" operator="lessThan">
      <formula>0.8</formula>
    </cfRule>
    <cfRule type="cellIs" dxfId="9774" priority="32" operator="greaterThan">
      <formula>1</formula>
    </cfRule>
  </conditionalFormatting>
  <conditionalFormatting sqref="R162:R167">
    <cfRule type="cellIs" dxfId="9773" priority="29" operator="greaterThan">
      <formula>1</formula>
    </cfRule>
    <cfRule type="cellIs" dxfId="9772" priority="30" operator="lessThan">
      <formula>0.8</formula>
    </cfRule>
  </conditionalFormatting>
  <conditionalFormatting sqref="P162:P167">
    <cfRule type="cellIs" dxfId="9771" priority="28" operator="greaterThan">
      <formula>0</formula>
    </cfRule>
  </conditionalFormatting>
  <conditionalFormatting sqref="Q161">
    <cfRule type="cellIs" dxfId="9770" priority="27" operator="lessThan">
      <formula>0</formula>
    </cfRule>
  </conditionalFormatting>
  <conditionalFormatting sqref="R161">
    <cfRule type="cellIs" dxfId="9769" priority="25" operator="lessThan">
      <formula>0.8</formula>
    </cfRule>
    <cfRule type="cellIs" dxfId="9768" priority="26" operator="greaterThan">
      <formula>1</formula>
    </cfRule>
  </conditionalFormatting>
  <conditionalFormatting sqref="R161">
    <cfRule type="cellIs" dxfId="9767" priority="23" operator="greaterThan">
      <formula>1</formula>
    </cfRule>
    <cfRule type="cellIs" dxfId="9766" priority="24" operator="lessThan">
      <formula>0.8</formula>
    </cfRule>
  </conditionalFormatting>
  <conditionalFormatting sqref="P161">
    <cfRule type="cellIs" dxfId="9765" priority="22" operator="greaterThan">
      <formula>0</formula>
    </cfRule>
  </conditionalFormatting>
  <conditionalFormatting sqref="Q162:Q167">
    <cfRule type="cellIs" dxfId="9764" priority="21" operator="lessThan">
      <formula>0</formula>
    </cfRule>
  </conditionalFormatting>
  <conditionalFormatting sqref="R162:R167">
    <cfRule type="cellIs" dxfId="9763" priority="19" operator="lessThan">
      <formula>0.8</formula>
    </cfRule>
    <cfRule type="cellIs" dxfId="9762" priority="20" operator="greaterThan">
      <formula>1</formula>
    </cfRule>
  </conditionalFormatting>
  <conditionalFormatting sqref="R162:R167">
    <cfRule type="cellIs" dxfId="9761" priority="17" operator="greaterThan">
      <formula>1</formula>
    </cfRule>
    <cfRule type="cellIs" dxfId="9760" priority="18" operator="lessThan">
      <formula>0.8</formula>
    </cfRule>
  </conditionalFormatting>
  <conditionalFormatting sqref="P162:P167">
    <cfRule type="cellIs" dxfId="9759" priority="16" operator="greaterThan">
      <formula>0</formula>
    </cfRule>
  </conditionalFormatting>
  <conditionalFormatting sqref="Q161">
    <cfRule type="cellIs" dxfId="9758" priority="15" operator="lessThan">
      <formula>0</formula>
    </cfRule>
  </conditionalFormatting>
  <conditionalFormatting sqref="R161">
    <cfRule type="cellIs" dxfId="9757" priority="13" operator="lessThan">
      <formula>0.8</formula>
    </cfRule>
    <cfRule type="cellIs" dxfId="9756" priority="14" operator="greaterThan">
      <formula>1</formula>
    </cfRule>
  </conditionalFormatting>
  <conditionalFormatting sqref="R161">
    <cfRule type="cellIs" dxfId="9755" priority="11" operator="greaterThan">
      <formula>1</formula>
    </cfRule>
    <cfRule type="cellIs" dxfId="9754" priority="12" operator="lessThan">
      <formula>0.8</formula>
    </cfRule>
  </conditionalFormatting>
  <conditionalFormatting sqref="P161">
    <cfRule type="cellIs" dxfId="9753" priority="10" operator="greaterThan">
      <formula>0</formula>
    </cfRule>
  </conditionalFormatting>
  <conditionalFormatting sqref="P168">
    <cfRule type="cellIs" dxfId="9752" priority="4" operator="greaterThan">
      <formula>0</formula>
    </cfRule>
  </conditionalFormatting>
  <conditionalFormatting sqref="R168">
    <cfRule type="cellIs" dxfId="9751" priority="7" operator="lessThan">
      <formula>0.8</formula>
    </cfRule>
    <cfRule type="cellIs" dxfId="9750" priority="8" operator="greaterThan">
      <formula>1</formula>
    </cfRule>
  </conditionalFormatting>
  <conditionalFormatting sqref="R168">
    <cfRule type="cellIs" dxfId="9749" priority="5" operator="greaterThan">
      <formula>1</formula>
    </cfRule>
    <cfRule type="cellIs" dxfId="9748" priority="6" operator="lessThan">
      <formula>0.8</formula>
    </cfRule>
  </conditionalFormatting>
  <conditionalFormatting sqref="Q168">
    <cfRule type="cellIs" dxfId="9747" priority="9" operator="lessThan">
      <formula>0</formula>
    </cfRule>
  </conditionalFormatting>
  <conditionalFormatting sqref="AF30">
    <cfRule type="cellIs" dxfId="9746" priority="3" operator="lessThan">
      <formula>0</formula>
    </cfRule>
  </conditionalFormatting>
  <conditionalFormatting sqref="AG30">
    <cfRule type="cellIs" dxfId="9745" priority="1" operator="greaterThan">
      <formula>1</formula>
    </cfRule>
    <cfRule type="cellIs" dxfId="974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50" t="s">
        <v>0</v>
      </c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2"/>
      <c r="N1" s="1"/>
      <c r="O1" s="1"/>
    </row>
    <row r="2" spans="2:17" ht="27.75" customHeight="1">
      <c r="B2" s="550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1"/>
      <c r="O2" s="1"/>
    </row>
    <row r="3" spans="2:17" ht="46.5" customHeight="1">
      <c r="B3" s="543" t="s">
        <v>1</v>
      </c>
      <c r="C3" s="504"/>
      <c r="D3" s="553" t="s">
        <v>365</v>
      </c>
      <c r="E3" s="554"/>
      <c r="F3" s="543" t="s">
        <v>2</v>
      </c>
      <c r="G3" s="504"/>
      <c r="H3" s="555">
        <v>232079.2</v>
      </c>
      <c r="I3" s="556"/>
      <c r="J3" s="543" t="s">
        <v>3</v>
      </c>
      <c r="K3" s="504"/>
      <c r="L3" s="548">
        <v>7727049.2932234444</v>
      </c>
      <c r="M3" s="549"/>
      <c r="N3" s="378"/>
      <c r="O3" s="378"/>
      <c r="P3" s="378"/>
      <c r="Q3" s="378"/>
    </row>
    <row r="4" spans="2:17" ht="24" customHeight="1">
      <c r="B4" s="543" t="s">
        <v>150</v>
      </c>
      <c r="C4" s="504"/>
      <c r="D4" s="535" t="s">
        <v>150</v>
      </c>
      <c r="E4" s="536"/>
      <c r="F4" s="546" t="s">
        <v>151</v>
      </c>
      <c r="G4" s="547"/>
      <c r="H4" s="546" t="s">
        <v>152</v>
      </c>
      <c r="I4" s="547"/>
      <c r="J4" s="546" t="s">
        <v>153</v>
      </c>
      <c r="K4" s="547"/>
      <c r="L4" s="548" t="s">
        <v>154</v>
      </c>
      <c r="M4" s="549"/>
      <c r="N4" s="529" t="s">
        <v>4</v>
      </c>
      <c r="O4" s="530"/>
      <c r="P4" s="530" t="s">
        <v>5</v>
      </c>
      <c r="Q4" s="530"/>
    </row>
    <row r="5" spans="2:17" ht="24" customHeight="1">
      <c r="B5" s="531" t="s">
        <v>35</v>
      </c>
      <c r="C5" s="510"/>
      <c r="D5" s="535" t="s">
        <v>155</v>
      </c>
      <c r="E5" s="536"/>
      <c r="F5" s="535" t="s">
        <v>6</v>
      </c>
      <c r="G5" s="536"/>
      <c r="H5" s="537" t="s">
        <v>7</v>
      </c>
      <c r="I5" s="538"/>
      <c r="J5" s="539" t="s">
        <v>8</v>
      </c>
      <c r="K5" s="540"/>
      <c r="L5" s="541" t="s">
        <v>9</v>
      </c>
      <c r="M5" s="542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532"/>
      <c r="C6" s="533"/>
      <c r="D6" s="543" t="s">
        <v>10</v>
      </c>
      <c r="E6" s="504"/>
      <c r="F6" s="544">
        <f>AVERAGE(D13:O13,P13:Q13,D30:E30,G30:H30,J30:M30)</f>
        <v>383.05311767231234</v>
      </c>
      <c r="G6" s="545"/>
      <c r="H6" s="523">
        <f>AVERAGE(D13:P13,Q13)</f>
        <v>139.79775634220508</v>
      </c>
      <c r="I6" s="524"/>
      <c r="J6" s="523">
        <f>AVERAGE(D30:E30,G30:H30)</f>
        <v>736.25</v>
      </c>
      <c r="K6" s="524"/>
      <c r="L6" s="525">
        <f>AVERAGE(J30:M30)</f>
        <v>881.25</v>
      </c>
      <c r="M6" s="526"/>
      <c r="N6" s="527">
        <v>0</v>
      </c>
      <c r="O6" s="512">
        <v>0</v>
      </c>
      <c r="P6" s="528">
        <v>6</v>
      </c>
      <c r="Q6" s="512">
        <v>5</v>
      </c>
    </row>
    <row r="7" spans="2:17" s="5" customFormat="1" ht="39.6" customHeight="1">
      <c r="B7" s="532"/>
      <c r="C7" s="533"/>
      <c r="D7" s="513" t="s">
        <v>11</v>
      </c>
      <c r="E7" s="514"/>
      <c r="F7" s="515">
        <f>AVERAGE(D14:O14,P14:Q14,D31:E31,J31:M31,G31:H31)</f>
        <v>364.66302978027329</v>
      </c>
      <c r="G7" s="516"/>
      <c r="H7" s="517">
        <f>AVERAGE(D14:P14,Q14)</f>
        <v>126.33672222689003</v>
      </c>
      <c r="I7" s="518"/>
      <c r="J7" s="517">
        <f>AVERAGE(D31:E31,G31:H31)</f>
        <v>691.14629130278672</v>
      </c>
      <c r="K7" s="518"/>
      <c r="L7" s="519">
        <f>AVERAGE(J31:M31)</f>
        <v>872.3218446946014</v>
      </c>
      <c r="M7" s="520"/>
      <c r="N7" s="527"/>
      <c r="O7" s="512"/>
      <c r="P7" s="528"/>
      <c r="Q7" s="512"/>
    </row>
    <row r="8" spans="2:17" s="5" customFormat="1" ht="39.6" customHeight="1">
      <c r="B8" s="534"/>
      <c r="C8" s="511"/>
      <c r="D8" s="513" t="s">
        <v>12</v>
      </c>
      <c r="E8" s="514"/>
      <c r="F8" s="521">
        <f>AVERAGE(D15:O15,P15:Q15,D32:E32,G32:H32,J32:M32)</f>
        <v>0.92136303289878041</v>
      </c>
      <c r="G8" s="522"/>
      <c r="H8" s="521">
        <f>AVERAGE(D15:O15,P15:Q15)</f>
        <v>0.9006184084673261</v>
      </c>
      <c r="I8" s="522"/>
      <c r="J8" s="521">
        <f>AVERAGE(D32:E32,G32:H32)</f>
        <v>0.92148979760657923</v>
      </c>
      <c r="K8" s="522"/>
      <c r="L8" s="521">
        <f>AVERAGE(J32:M32)</f>
        <v>0.99384245370107216</v>
      </c>
      <c r="M8" s="522"/>
      <c r="N8" s="527"/>
      <c r="O8" s="512"/>
      <c r="P8" s="528"/>
      <c r="Q8" s="512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00" t="s">
        <v>192</v>
      </c>
      <c r="C10" s="506"/>
      <c r="D10" s="507" t="s">
        <v>193</v>
      </c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8"/>
      <c r="Q10" s="509"/>
    </row>
    <row r="11" spans="2:17" ht="17.25" customHeight="1">
      <c r="B11" s="491" t="s">
        <v>194</v>
      </c>
      <c r="C11" s="510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493"/>
      <c r="C12" s="511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495" t="s">
        <v>35</v>
      </c>
      <c r="C13" s="14" t="s">
        <v>208</v>
      </c>
      <c r="D13" s="19">
        <v>146.62538699690401</v>
      </c>
      <c r="E13" s="19">
        <v>110.28529411764706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75.601503759398497</v>
      </c>
      <c r="K13" s="19">
        <v>105.72949530689469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496"/>
      <c r="C14" s="14" t="s">
        <v>209</v>
      </c>
      <c r="D14" s="19">
        <v>131.12439361777624</v>
      </c>
      <c r="E14" s="19">
        <v>101.39521942347258</v>
      </c>
      <c r="F14" s="19">
        <v>101.89505825880998</v>
      </c>
      <c r="G14" s="19">
        <v>314.40120026314344</v>
      </c>
      <c r="H14" s="19">
        <v>223.35332376470296</v>
      </c>
      <c r="I14" s="19">
        <v>83.363412329562607</v>
      </c>
      <c r="J14" s="19">
        <v>68.848236325279757</v>
      </c>
      <c r="K14" s="19">
        <v>97.40449499461819</v>
      </c>
      <c r="L14" s="19">
        <v>93.671720482417868</v>
      </c>
      <c r="M14" s="19">
        <v>75.133651631480589</v>
      </c>
      <c r="N14" s="19">
        <v>78.400303965299003</v>
      </c>
      <c r="O14" s="19">
        <v>73.087974594911586</v>
      </c>
      <c r="P14" s="19">
        <v>198.19242136799949</v>
      </c>
      <c r="Q14" s="9">
        <v>128.44270015698586</v>
      </c>
    </row>
    <row r="15" spans="2:17" ht="39.9" customHeight="1">
      <c r="B15" s="497"/>
      <c r="C15" s="379" t="s">
        <v>210</v>
      </c>
      <c r="D15" s="10">
        <f t="shared" ref="D15:Q15" si="0">D14/D13</f>
        <v>0.89428165410772231</v>
      </c>
      <c r="E15" s="10">
        <f t="shared" si="0"/>
        <v>0.91939020732273724</v>
      </c>
      <c r="F15" s="10">
        <f t="shared" si="0"/>
        <v>0.86318447160261169</v>
      </c>
      <c r="G15" s="10">
        <f t="shared" si="0"/>
        <v>0.89308167031269736</v>
      </c>
      <c r="H15" s="10">
        <f t="shared" si="0"/>
        <v>0.9771707914705754</v>
      </c>
      <c r="I15" s="10">
        <f t="shared" si="0"/>
        <v>0.91358933680276633</v>
      </c>
      <c r="J15" s="10">
        <f t="shared" si="0"/>
        <v>0.9106728424925119</v>
      </c>
      <c r="K15" s="10">
        <f t="shared" si="0"/>
        <v>0.92126132553539564</v>
      </c>
      <c r="L15" s="10">
        <f t="shared" si="0"/>
        <v>0.8935891188783156</v>
      </c>
      <c r="M15" s="10">
        <f t="shared" si="0"/>
        <v>0.91343102085577088</v>
      </c>
      <c r="N15" s="10">
        <f t="shared" si="0"/>
        <v>0.91082194517035875</v>
      </c>
      <c r="O15" s="10">
        <f t="shared" si="0"/>
        <v>0.83348470759265425</v>
      </c>
      <c r="P15" s="381">
        <f t="shared" si="0"/>
        <v>0.90841395868520758</v>
      </c>
      <c r="Q15" s="11">
        <f t="shared" si="0"/>
        <v>0.85628466771323908</v>
      </c>
    </row>
    <row r="16" spans="2:17" ht="22.8" customHeight="1">
      <c r="B16" s="498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499"/>
      <c r="C17" s="379" t="s">
        <v>36</v>
      </c>
      <c r="D17" s="12">
        <v>0.63749999999999996</v>
      </c>
      <c r="E17" s="12">
        <v>0.54027777777777775</v>
      </c>
      <c r="F17" s="12">
        <v>0.60138888888888875</v>
      </c>
      <c r="G17" s="12">
        <v>0.62847222222222221</v>
      </c>
      <c r="H17" s="12">
        <v>0.62152777777777779</v>
      </c>
      <c r="I17" s="12">
        <v>0.66319444444444442</v>
      </c>
      <c r="J17" s="12">
        <v>0.7090277777777777</v>
      </c>
      <c r="K17" s="12">
        <v>0.67291666666666661</v>
      </c>
      <c r="L17" s="12">
        <v>0.89583333333333337</v>
      </c>
      <c r="M17" s="12">
        <v>0.91319444444444442</v>
      </c>
      <c r="N17" s="12">
        <v>0.94791666666666663</v>
      </c>
      <c r="O17" s="22">
        <v>0.91736111111111107</v>
      </c>
      <c r="P17" s="12">
        <v>0.58263888888888882</v>
      </c>
      <c r="Q17" s="382">
        <v>0.54513888888888895</v>
      </c>
    </row>
    <row r="18" spans="2:17" ht="22.8" customHeight="1">
      <c r="B18" s="502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503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502" t="s">
        <v>16</v>
      </c>
      <c r="C20" s="383" t="s">
        <v>213</v>
      </c>
      <c r="D20" s="384" t="s">
        <v>15</v>
      </c>
      <c r="E20" s="384" t="s">
        <v>15</v>
      </c>
      <c r="F20" s="384">
        <v>1</v>
      </c>
      <c r="G20" s="384">
        <v>1</v>
      </c>
      <c r="H20" s="384">
        <v>1</v>
      </c>
      <c r="I20" s="384" t="s">
        <v>15</v>
      </c>
      <c r="J20" s="384">
        <v>1</v>
      </c>
      <c r="K20" s="384" t="s">
        <v>15</v>
      </c>
      <c r="L20" s="384">
        <v>1</v>
      </c>
      <c r="M20" s="384" t="s">
        <v>15</v>
      </c>
      <c r="N20" s="384" t="s">
        <v>15</v>
      </c>
      <c r="O20" s="384">
        <v>1</v>
      </c>
      <c r="P20" s="384" t="s">
        <v>15</v>
      </c>
      <c r="Q20" s="385"/>
    </row>
    <row r="21" spans="2:17" ht="22.8" customHeight="1">
      <c r="B21" s="503"/>
      <c r="C21" s="383" t="s">
        <v>215</v>
      </c>
      <c r="D21" s="384">
        <v>1</v>
      </c>
      <c r="E21" s="384">
        <v>1</v>
      </c>
      <c r="F21" s="384">
        <v>1</v>
      </c>
      <c r="G21" s="384" t="s">
        <v>15</v>
      </c>
      <c r="H21" s="384" t="s">
        <v>15</v>
      </c>
      <c r="I21" s="384">
        <v>1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>
        <v>1</v>
      </c>
      <c r="P21" s="384" t="s">
        <v>15</v>
      </c>
      <c r="Q21" s="385"/>
    </row>
    <row r="22" spans="2:17" ht="22.8" customHeight="1">
      <c r="B22" s="481" t="s">
        <v>216</v>
      </c>
      <c r="C22" s="504"/>
      <c r="D22" s="386">
        <v>18.5</v>
      </c>
      <c r="E22" s="386">
        <v>17.399999999999999</v>
      </c>
      <c r="F22" s="386">
        <v>15.142857142857142</v>
      </c>
      <c r="G22" s="386">
        <v>5.7142857142857144</v>
      </c>
      <c r="H22" s="386">
        <v>6.6</v>
      </c>
      <c r="I22" s="386">
        <v>16.285714285714285</v>
      </c>
      <c r="J22" s="386">
        <v>19</v>
      </c>
      <c r="K22" s="386">
        <v>16.142857142857142</v>
      </c>
      <c r="L22" s="386">
        <v>14.5</v>
      </c>
      <c r="M22" s="386">
        <v>18.5</v>
      </c>
      <c r="N22" s="386">
        <v>17.5</v>
      </c>
      <c r="O22" s="386">
        <v>17.166666666666668</v>
      </c>
      <c r="P22" s="386">
        <v>11.333333333333334</v>
      </c>
      <c r="Q22" s="387">
        <v>12</v>
      </c>
    </row>
    <row r="23" spans="2:17" ht="22.8" customHeight="1">
      <c r="B23" s="481" t="s">
        <v>217</v>
      </c>
      <c r="C23" s="50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481" t="s">
        <v>218</v>
      </c>
      <c r="C24" s="50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483" t="s">
        <v>219</v>
      </c>
      <c r="C25" s="505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00"/>
      <c r="C27" s="501"/>
      <c r="D27" s="485" t="s">
        <v>220</v>
      </c>
      <c r="E27" s="486"/>
      <c r="F27" s="486"/>
      <c r="G27" s="486"/>
      <c r="H27" s="487"/>
      <c r="I27" s="488" t="s">
        <v>221</v>
      </c>
      <c r="J27" s="489"/>
      <c r="K27" s="489"/>
      <c r="L27" s="489"/>
      <c r="M27" s="490"/>
      <c r="N27" s="378"/>
      <c r="O27" s="378"/>
      <c r="P27" s="378"/>
      <c r="Q27" s="378"/>
    </row>
    <row r="28" spans="2:17" ht="17.25" customHeight="1">
      <c r="B28" s="491" t="s">
        <v>194</v>
      </c>
      <c r="C28" s="492"/>
      <c r="D28" s="388">
        <v>1</v>
      </c>
      <c r="E28" s="416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493"/>
      <c r="C29" s="494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495" t="s">
        <v>35</v>
      </c>
      <c r="C30" s="392" t="s">
        <v>208</v>
      </c>
      <c r="D30" s="20">
        <v>320</v>
      </c>
      <c r="E30" s="417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496"/>
      <c r="C31" s="392" t="s">
        <v>209</v>
      </c>
      <c r="D31" s="394">
        <v>266.99999999999977</v>
      </c>
      <c r="E31" s="8">
        <v>757.24666789792866</v>
      </c>
      <c r="F31" s="8">
        <v>0</v>
      </c>
      <c r="G31" s="8">
        <v>772.23793363499146</v>
      </c>
      <c r="H31" s="395">
        <v>968.10056367822688</v>
      </c>
      <c r="I31" s="394">
        <v>0</v>
      </c>
      <c r="J31" s="8">
        <v>974.00000000000352</v>
      </c>
      <c r="K31" s="8">
        <v>673.99999999999977</v>
      </c>
      <c r="L31" s="8">
        <v>913.73262627121062</v>
      </c>
      <c r="M31" s="395">
        <v>927.55475250719144</v>
      </c>
      <c r="N31" s="378"/>
      <c r="O31" s="378"/>
      <c r="P31" s="378"/>
      <c r="Q31" s="378"/>
    </row>
    <row r="32" spans="2:17" ht="39.9" customHeight="1">
      <c r="B32" s="497"/>
      <c r="C32" s="415" t="s">
        <v>210</v>
      </c>
      <c r="D32" s="396">
        <f t="shared" ref="D32:M32" si="1">D31/D30</f>
        <v>0.83437499999999931</v>
      </c>
      <c r="E32" s="10">
        <f t="shared" si="1"/>
        <v>0.91787474896718624</v>
      </c>
      <c r="F32" s="10">
        <f t="shared" si="1"/>
        <v>0</v>
      </c>
      <c r="G32" s="10">
        <f t="shared" si="1"/>
        <v>0.85804214848332383</v>
      </c>
      <c r="H32" s="10">
        <f t="shared" si="1"/>
        <v>1.0756672929758075</v>
      </c>
      <c r="I32" s="394">
        <f t="shared" si="1"/>
        <v>0</v>
      </c>
      <c r="J32" s="10">
        <f t="shared" si="1"/>
        <v>1.1806060606060649</v>
      </c>
      <c r="K32" s="10">
        <f t="shared" si="1"/>
        <v>0.7488888888888886</v>
      </c>
      <c r="L32" s="10">
        <f t="shared" si="1"/>
        <v>1.0152584736346784</v>
      </c>
      <c r="M32" s="11">
        <f t="shared" si="1"/>
        <v>1.0306163916746571</v>
      </c>
      <c r="N32" s="378"/>
      <c r="O32" s="378"/>
      <c r="P32" s="378"/>
      <c r="Q32" s="378"/>
    </row>
    <row r="33" spans="2:17" ht="25.8" customHeight="1">
      <c r="B33" s="498" t="s">
        <v>211</v>
      </c>
      <c r="C33" s="415" t="s">
        <v>212</v>
      </c>
      <c r="D33" s="397">
        <v>0.18055555555555555</v>
      </c>
      <c r="E33" s="12">
        <v>0.18055555555555555</v>
      </c>
      <c r="F33" s="12">
        <v>0</v>
      </c>
      <c r="G33" s="12">
        <v>2452.9411764705851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8"/>
      <c r="O33" s="378"/>
      <c r="P33" s="378"/>
      <c r="Q33" s="378"/>
    </row>
    <row r="34" spans="2:17" ht="25.8" customHeight="1">
      <c r="B34" s="499"/>
      <c r="C34" s="415" t="s">
        <v>36</v>
      </c>
      <c r="D34" s="397">
        <v>0.21319444444444444</v>
      </c>
      <c r="E34" s="12">
        <v>0.28402777777777777</v>
      </c>
      <c r="F34" s="12">
        <v>0</v>
      </c>
      <c r="G34" s="12">
        <v>996.9230769230744</v>
      </c>
      <c r="H34" s="382">
        <v>0.48958333333333331</v>
      </c>
      <c r="I34" s="23">
        <v>0</v>
      </c>
      <c r="J34" s="12">
        <v>0.74305555555555547</v>
      </c>
      <c r="K34" s="12">
        <v>0.79166666666666663</v>
      </c>
      <c r="L34" s="12">
        <v>46145.048611111109</v>
      </c>
      <c r="M34" s="13">
        <v>46145.017361111109</v>
      </c>
      <c r="N34" s="378"/>
      <c r="O34" s="378"/>
      <c r="P34" s="378"/>
      <c r="Q34" s="378"/>
    </row>
    <row r="35" spans="2:17" ht="25.8" customHeight="1">
      <c r="B35" s="481" t="s">
        <v>216</v>
      </c>
      <c r="C35" s="482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481" t="s">
        <v>217</v>
      </c>
      <c r="C36" s="482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481" t="s">
        <v>218</v>
      </c>
      <c r="C37" s="482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483" t="s">
        <v>219</v>
      </c>
      <c r="C38" s="484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9743" priority="4" operator="lessThan">
      <formula>0.8</formula>
    </cfRule>
  </conditionalFormatting>
  <conditionalFormatting sqref="J32:L32">
    <cfRule type="cellIs" dxfId="9742" priority="3" operator="lessThan">
      <formula>0.8</formula>
    </cfRule>
  </conditionalFormatting>
  <conditionalFormatting sqref="M32">
    <cfRule type="cellIs" dxfId="9741" priority="2" operator="lessThan">
      <formula>0.8</formula>
    </cfRule>
  </conditionalFormatting>
  <conditionalFormatting sqref="H32">
    <cfRule type="cellIs" dxfId="974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27" sqref="G27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264</v>
      </c>
      <c r="E1" s="284">
        <f>SUM(G5:G124)</f>
        <v>78948</v>
      </c>
      <c r="F1" s="285" t="s">
        <v>3</v>
      </c>
      <c r="G1" s="286">
        <f>SUM(H5:H124)</f>
        <v>1544385.1864935067</v>
      </c>
      <c r="H1" s="287" t="s">
        <v>324</v>
      </c>
      <c r="I1" s="288">
        <f>+J16+J64+J24+J38+J51+J81+J100+J91+J57+J124+J111</f>
        <v>42.923809523809531</v>
      </c>
      <c r="J1" s="557" t="s">
        <v>325</v>
      </c>
      <c r="K1" s="558"/>
      <c r="L1" s="559"/>
      <c r="M1" s="557" t="s">
        <v>266</v>
      </c>
      <c r="N1" s="558"/>
      <c r="O1" s="558"/>
      <c r="P1" s="558"/>
      <c r="Q1" s="558"/>
      <c r="R1" s="559"/>
    </row>
    <row r="2" spans="1:18" ht="26.25" customHeight="1" thickBot="1">
      <c r="A2" s="563" t="s">
        <v>362</v>
      </c>
      <c r="B2" s="564"/>
      <c r="C2" s="290"/>
      <c r="D2" s="422" t="s">
        <v>273</v>
      </c>
      <c r="E2" s="291">
        <f>AVERAGE(L16,L24,L38,L51,L100,L111,L91)</f>
        <v>619.07033238768804</v>
      </c>
      <c r="F2" s="292" t="s">
        <v>40</v>
      </c>
      <c r="G2" s="293">
        <f>G1/E1</f>
        <v>19.562055865804158</v>
      </c>
      <c r="H2" s="294" t="s">
        <v>327</v>
      </c>
      <c r="I2" s="295">
        <f>COUNT(I5:I124)</f>
        <v>0</v>
      </c>
      <c r="J2" s="560"/>
      <c r="K2" s="561"/>
      <c r="L2" s="562"/>
      <c r="M2" s="560"/>
      <c r="N2" s="561"/>
      <c r="O2" s="561"/>
      <c r="P2" s="561"/>
      <c r="Q2" s="561"/>
      <c r="R2" s="562"/>
    </row>
    <row r="3" spans="1:18" ht="23.25" customHeight="1">
      <c r="A3" s="565" t="s">
        <v>274</v>
      </c>
      <c r="B3" s="567" t="s">
        <v>328</v>
      </c>
      <c r="C3" s="424"/>
      <c r="D3" s="568" t="s">
        <v>275</v>
      </c>
      <c r="E3" s="568"/>
      <c r="F3" s="569" t="s">
        <v>43</v>
      </c>
      <c r="G3" s="570" t="s">
        <v>329</v>
      </c>
      <c r="H3" s="571" t="s">
        <v>330</v>
      </c>
      <c r="I3" s="572" t="s">
        <v>276</v>
      </c>
      <c r="J3" s="574" t="s">
        <v>278</v>
      </c>
      <c r="K3" s="587" t="s">
        <v>277</v>
      </c>
      <c r="L3" s="589" t="s">
        <v>273</v>
      </c>
      <c r="M3" s="591" t="s">
        <v>48</v>
      </c>
      <c r="N3" s="591"/>
      <c r="O3" s="574" t="s">
        <v>121</v>
      </c>
      <c r="P3" s="592" t="s">
        <v>281</v>
      </c>
      <c r="Q3" s="574" t="s">
        <v>282</v>
      </c>
      <c r="R3" s="574"/>
    </row>
    <row r="4" spans="1:18" ht="15.75" customHeight="1">
      <c r="A4" s="566"/>
      <c r="B4" s="567"/>
      <c r="C4" s="424"/>
      <c r="D4" s="568"/>
      <c r="E4" s="568"/>
      <c r="F4" s="569"/>
      <c r="G4" s="570"/>
      <c r="H4" s="571"/>
      <c r="I4" s="573"/>
      <c r="J4" s="586"/>
      <c r="K4" s="588"/>
      <c r="L4" s="590"/>
      <c r="M4" s="428" t="s">
        <v>50</v>
      </c>
      <c r="N4" s="428" t="s">
        <v>51</v>
      </c>
      <c r="O4" s="586"/>
      <c r="P4" s="593"/>
      <c r="Q4" s="296" t="s">
        <v>286</v>
      </c>
      <c r="R4" s="296" t="s">
        <v>331</v>
      </c>
    </row>
    <row r="5" spans="1:18">
      <c r="A5" s="575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424">
        <v>1820</v>
      </c>
      <c r="H5" s="300">
        <f>F5*G5</f>
        <v>0</v>
      </c>
      <c r="I5" s="426"/>
      <c r="J5" s="301">
        <v>9</v>
      </c>
      <c r="K5" s="302">
        <f t="shared" ref="K5:K11" si="0">G5/P5*60</f>
        <v>1560.0000000000009</v>
      </c>
      <c r="L5" s="303">
        <f t="shared" ref="L5:L11" si="1">K5/J5</f>
        <v>173.33333333333343</v>
      </c>
      <c r="M5" s="304">
        <v>0.17361111111111113</v>
      </c>
      <c r="N5" s="304">
        <v>0.22222222222222221</v>
      </c>
      <c r="O5" s="296">
        <v>10</v>
      </c>
      <c r="P5" s="419">
        <f t="shared" ref="P5:P11" si="2">(N5-M5)*24*60</f>
        <v>69.999999999999957</v>
      </c>
      <c r="Q5" s="305"/>
      <c r="R5" s="305"/>
    </row>
    <row r="6" spans="1:18">
      <c r="A6" s="575"/>
      <c r="B6" s="297">
        <v>0</v>
      </c>
      <c r="C6" s="297"/>
      <c r="D6" s="298" t="s">
        <v>257</v>
      </c>
      <c r="E6" s="298"/>
      <c r="F6" s="299" t="s">
        <v>148</v>
      </c>
      <c r="G6" s="424">
        <v>1700</v>
      </c>
      <c r="H6" s="300">
        <f t="shared" ref="H6:H15" si="3">F6*G6</f>
        <v>0</v>
      </c>
      <c r="I6" s="426"/>
      <c r="J6" s="301">
        <v>9</v>
      </c>
      <c r="K6" s="302">
        <f t="shared" si="0"/>
        <v>1569.2307692307697</v>
      </c>
      <c r="L6" s="303">
        <f t="shared" si="1"/>
        <v>174.35897435897442</v>
      </c>
      <c r="M6" s="304">
        <v>0.22569444444444445</v>
      </c>
      <c r="N6" s="304">
        <v>0.27083333333333331</v>
      </c>
      <c r="O6" s="296">
        <v>5</v>
      </c>
      <c r="P6" s="419">
        <f t="shared" si="2"/>
        <v>64.999999999999972</v>
      </c>
      <c r="Q6" s="296"/>
      <c r="R6" s="296"/>
    </row>
    <row r="7" spans="1:18">
      <c r="A7" s="575"/>
      <c r="B7" s="297" t="s">
        <v>149</v>
      </c>
      <c r="C7" s="297"/>
      <c r="D7" s="298" t="s">
        <v>258</v>
      </c>
      <c r="E7" s="298"/>
      <c r="F7" s="299">
        <v>36.450000000000003</v>
      </c>
      <c r="G7" s="424">
        <v>3201</v>
      </c>
      <c r="H7" s="300">
        <f t="shared" si="3"/>
        <v>116676.45000000001</v>
      </c>
      <c r="I7" s="426"/>
      <c r="J7" s="301">
        <v>15</v>
      </c>
      <c r="K7" s="302">
        <f t="shared" si="0"/>
        <v>1477.3846153846152</v>
      </c>
      <c r="L7" s="303">
        <f t="shared" si="1"/>
        <v>98.492307692307676</v>
      </c>
      <c r="M7" s="304">
        <v>0.27430555555555552</v>
      </c>
      <c r="N7" s="304">
        <v>0.36458333333333331</v>
      </c>
      <c r="O7" s="296">
        <v>5</v>
      </c>
      <c r="P7" s="419">
        <f t="shared" si="2"/>
        <v>130.00000000000003</v>
      </c>
      <c r="Q7" s="305">
        <v>0.37152777777777773</v>
      </c>
      <c r="R7" s="305">
        <v>0.40277777777777773</v>
      </c>
    </row>
    <row r="8" spans="1:18">
      <c r="A8" s="575"/>
      <c r="B8" s="297" t="s">
        <v>149</v>
      </c>
      <c r="C8" s="297"/>
      <c r="D8" s="298" t="s">
        <v>259</v>
      </c>
      <c r="E8" s="298"/>
      <c r="F8" s="299">
        <v>29.85</v>
      </c>
      <c r="G8" s="424">
        <v>1820</v>
      </c>
      <c r="H8" s="300">
        <f t="shared" si="3"/>
        <v>54327</v>
      </c>
      <c r="I8" s="426"/>
      <c r="J8" s="301">
        <v>12</v>
      </c>
      <c r="K8" s="302">
        <f t="shared" si="0"/>
        <v>1819.9999999999991</v>
      </c>
      <c r="L8" s="303">
        <f t="shared" si="1"/>
        <v>151.6666666666666</v>
      </c>
      <c r="M8" s="304">
        <v>0.40625</v>
      </c>
      <c r="N8" s="304">
        <v>0.44791666666666669</v>
      </c>
      <c r="O8" s="296">
        <v>5</v>
      </c>
      <c r="P8" s="419">
        <f t="shared" si="2"/>
        <v>60.000000000000028</v>
      </c>
      <c r="Q8" s="305"/>
      <c r="R8" s="305"/>
    </row>
    <row r="9" spans="1:18">
      <c r="A9" s="575"/>
      <c r="B9" s="297" t="s">
        <v>149</v>
      </c>
      <c r="C9" s="297"/>
      <c r="D9" s="298" t="s">
        <v>260</v>
      </c>
      <c r="E9" s="298"/>
      <c r="F9" s="299">
        <v>29.52</v>
      </c>
      <c r="G9" s="306">
        <v>1700</v>
      </c>
      <c r="H9" s="300">
        <f t="shared" si="3"/>
        <v>50184</v>
      </c>
      <c r="I9" s="426"/>
      <c r="J9" s="301">
        <v>12</v>
      </c>
      <c r="K9" s="302">
        <f t="shared" si="0"/>
        <v>1699.9999999999993</v>
      </c>
      <c r="L9" s="303">
        <f t="shared" si="1"/>
        <v>141.6666666666666</v>
      </c>
      <c r="M9" s="304">
        <v>0.4513888888888889</v>
      </c>
      <c r="N9" s="304">
        <v>0.49305555555555558</v>
      </c>
      <c r="O9" s="296">
        <v>5</v>
      </c>
      <c r="P9" s="419">
        <f t="shared" si="2"/>
        <v>60.000000000000028</v>
      </c>
      <c r="Q9" s="305"/>
      <c r="R9" s="305"/>
    </row>
    <row r="10" spans="1:18">
      <c r="A10" s="575"/>
      <c r="B10" s="297" t="s">
        <v>149</v>
      </c>
      <c r="C10" s="297"/>
      <c r="D10" s="298" t="s">
        <v>261</v>
      </c>
      <c r="E10" s="298"/>
      <c r="F10" s="299">
        <v>23.19</v>
      </c>
      <c r="G10" s="306">
        <v>596</v>
      </c>
      <c r="H10" s="300">
        <f t="shared" si="3"/>
        <v>13821.240000000002</v>
      </c>
      <c r="I10" s="426"/>
      <c r="J10" s="301">
        <v>15</v>
      </c>
      <c r="K10" s="302">
        <f t="shared" si="0"/>
        <v>1192.0000000000011</v>
      </c>
      <c r="L10" s="303">
        <f t="shared" si="1"/>
        <v>79.46666666666674</v>
      </c>
      <c r="M10" s="304">
        <v>0.49652777777777773</v>
      </c>
      <c r="N10" s="304">
        <v>0.51736111111111105</v>
      </c>
      <c r="O10" s="296">
        <v>5</v>
      </c>
      <c r="P10" s="419">
        <f t="shared" si="2"/>
        <v>29.999999999999972</v>
      </c>
      <c r="Q10" s="305"/>
      <c r="R10" s="305"/>
    </row>
    <row r="11" spans="1:18">
      <c r="A11" s="575"/>
      <c r="B11" s="297" t="s">
        <v>149</v>
      </c>
      <c r="C11" s="297"/>
      <c r="D11" s="298" t="s">
        <v>262</v>
      </c>
      <c r="E11" s="298"/>
      <c r="F11" s="299">
        <v>23.55</v>
      </c>
      <c r="G11" s="306">
        <v>701</v>
      </c>
      <c r="H11" s="300">
        <f t="shared" si="3"/>
        <v>16508.55</v>
      </c>
      <c r="I11" s="426"/>
      <c r="J11" s="301">
        <v>15</v>
      </c>
      <c r="K11" s="302">
        <f t="shared" si="0"/>
        <v>1201.7142857142844</v>
      </c>
      <c r="L11" s="303">
        <f t="shared" si="1"/>
        <v>80.114285714285629</v>
      </c>
      <c r="M11" s="304">
        <v>0.52083333333333337</v>
      </c>
      <c r="N11" s="304">
        <v>0.54513888888888895</v>
      </c>
      <c r="O11" s="296">
        <v>5</v>
      </c>
      <c r="P11" s="419">
        <f t="shared" si="2"/>
        <v>35.000000000000036</v>
      </c>
      <c r="Q11" s="305"/>
      <c r="R11" s="305"/>
    </row>
    <row r="12" spans="1:18">
      <c r="A12" s="576"/>
      <c r="B12" s="297">
        <v>0</v>
      </c>
      <c r="C12" s="425"/>
      <c r="D12" s="298"/>
      <c r="E12" s="298"/>
      <c r="F12" s="299" t="s">
        <v>148</v>
      </c>
      <c r="G12" s="423"/>
      <c r="H12" s="300">
        <f t="shared" si="3"/>
        <v>0</v>
      </c>
      <c r="I12" s="426"/>
      <c r="J12" s="301"/>
      <c r="K12" s="302"/>
      <c r="L12" s="303"/>
      <c r="M12" s="304"/>
      <c r="N12" s="304"/>
      <c r="O12" s="296"/>
      <c r="P12" s="419"/>
      <c r="Q12" s="305"/>
      <c r="R12" s="296"/>
    </row>
    <row r="13" spans="1:18">
      <c r="A13" s="576"/>
      <c r="B13" s="297">
        <v>0</v>
      </c>
      <c r="C13" s="297"/>
      <c r="D13" s="420"/>
      <c r="E13" s="421"/>
      <c r="F13" s="299" t="s">
        <v>148</v>
      </c>
      <c r="G13" s="306"/>
      <c r="H13" s="300">
        <f t="shared" si="3"/>
        <v>0</v>
      </c>
      <c r="I13" s="426"/>
      <c r="J13" s="301"/>
      <c r="K13" s="302"/>
      <c r="L13" s="303"/>
      <c r="M13" s="304"/>
      <c r="N13" s="304"/>
      <c r="O13" s="296"/>
      <c r="P13" s="419"/>
      <c r="Q13" s="296"/>
      <c r="R13" s="296"/>
    </row>
    <row r="14" spans="1:18">
      <c r="A14" s="576"/>
      <c r="B14" s="297">
        <v>0</v>
      </c>
      <c r="C14" s="297"/>
      <c r="D14" s="420"/>
      <c r="E14" s="421"/>
      <c r="F14" s="299" t="s">
        <v>148</v>
      </c>
      <c r="G14" s="306"/>
      <c r="H14" s="300">
        <f t="shared" si="3"/>
        <v>0</v>
      </c>
      <c r="I14" s="426"/>
      <c r="J14" s="301"/>
      <c r="K14" s="302"/>
      <c r="L14" s="303"/>
      <c r="M14" s="304"/>
      <c r="N14" s="304"/>
      <c r="O14" s="296"/>
      <c r="P14" s="419"/>
      <c r="Q14" s="296"/>
      <c r="R14" s="296"/>
    </row>
    <row r="15" spans="1:18">
      <c r="A15" s="576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26"/>
      <c r="J15" s="301"/>
      <c r="K15" s="302"/>
      <c r="L15" s="303"/>
      <c r="M15" s="304"/>
      <c r="N15" s="304"/>
      <c r="O15" s="296"/>
      <c r="P15" s="419"/>
      <c r="Q15" s="296"/>
      <c r="R15" s="296"/>
    </row>
    <row r="16" spans="1:18" ht="15.75" customHeight="1">
      <c r="A16" s="577"/>
      <c r="B16" s="297">
        <v>0</v>
      </c>
      <c r="C16" s="308" t="s">
        <v>333</v>
      </c>
      <c r="D16" s="578" t="s">
        <v>293</v>
      </c>
      <c r="E16" s="578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1502.9042386185242</v>
      </c>
      <c r="L16" s="314">
        <f>AVERAGE(L5:L15)</f>
        <v>128.44270015698586</v>
      </c>
      <c r="M16" s="304"/>
      <c r="N16" s="304"/>
      <c r="O16" s="302"/>
      <c r="P16" s="302"/>
      <c r="Q16" s="303"/>
      <c r="R16" s="303"/>
    </row>
    <row r="17" spans="1:18" ht="15.75" customHeight="1">
      <c r="A17" s="579" t="s">
        <v>334</v>
      </c>
      <c r="B17" s="297" t="s">
        <v>149</v>
      </c>
      <c r="C17" s="425"/>
      <c r="D17" s="582" t="s">
        <v>335</v>
      </c>
      <c r="E17" s="583"/>
      <c r="F17" s="299">
        <v>14.03</v>
      </c>
      <c r="G17" s="424">
        <v>246</v>
      </c>
      <c r="H17" s="315">
        <f t="shared" ref="H17:H23" si="4">F17*G17</f>
        <v>3451.3799999999997</v>
      </c>
      <c r="I17" s="316"/>
      <c r="J17" s="301">
        <v>6</v>
      </c>
      <c r="K17" s="302">
        <f>G17/P17*60</f>
        <v>1475.9999999999995</v>
      </c>
      <c r="L17" s="303">
        <f>K17/J17</f>
        <v>245.99999999999991</v>
      </c>
      <c r="M17" s="304">
        <v>0.18055555555555555</v>
      </c>
      <c r="N17" s="304">
        <v>0.1875</v>
      </c>
      <c r="O17" s="296">
        <v>20</v>
      </c>
      <c r="P17" s="419">
        <f>(N17-M17)*24*60</f>
        <v>10.000000000000004</v>
      </c>
      <c r="Q17" s="296"/>
      <c r="R17" s="296"/>
    </row>
    <row r="18" spans="1:18" ht="15.75" customHeight="1">
      <c r="A18" s="579"/>
      <c r="B18" s="297" t="s">
        <v>146</v>
      </c>
      <c r="C18" s="425"/>
      <c r="D18" s="584" t="s">
        <v>336</v>
      </c>
      <c r="E18" s="585"/>
      <c r="F18" s="299">
        <v>14.49</v>
      </c>
      <c r="G18" s="423">
        <v>408</v>
      </c>
      <c r="H18" s="300">
        <f t="shared" si="4"/>
        <v>5911.92</v>
      </c>
      <c r="I18" s="426"/>
      <c r="J18" s="301">
        <v>5</v>
      </c>
      <c r="K18" s="302">
        <f>G18/P18*60</f>
        <v>1439.9999999999982</v>
      </c>
      <c r="L18" s="303">
        <f>K18/J18</f>
        <v>287.99999999999966</v>
      </c>
      <c r="M18" s="304">
        <v>0.20138888888888887</v>
      </c>
      <c r="N18" s="304">
        <v>0.21319444444444444</v>
      </c>
      <c r="O18" s="296">
        <v>20</v>
      </c>
      <c r="P18" s="419">
        <f t="shared" ref="P18" si="5">(N18-M18)*24*60</f>
        <v>17.000000000000021</v>
      </c>
      <c r="Q18" s="305"/>
      <c r="R18" s="305"/>
    </row>
    <row r="19" spans="1:18" ht="15.75" customHeight="1">
      <c r="A19" s="579"/>
      <c r="B19" s="297">
        <v>0</v>
      </c>
      <c r="C19" s="425"/>
      <c r="D19" s="584"/>
      <c r="E19" s="585"/>
      <c r="F19" s="299" t="s">
        <v>148</v>
      </c>
      <c r="G19" s="423"/>
      <c r="H19" s="300">
        <f t="shared" si="4"/>
        <v>0</v>
      </c>
      <c r="I19" s="426"/>
      <c r="J19" s="301"/>
      <c r="K19" s="302"/>
      <c r="L19" s="303"/>
      <c r="M19" s="304"/>
      <c r="N19" s="304"/>
      <c r="O19" s="296"/>
      <c r="P19" s="419"/>
      <c r="Q19" s="305"/>
      <c r="R19" s="305"/>
    </row>
    <row r="20" spans="1:18" ht="15.75" customHeight="1">
      <c r="A20" s="580"/>
      <c r="B20" s="297">
        <v>0</v>
      </c>
      <c r="C20" s="425"/>
      <c r="D20" s="317"/>
      <c r="E20" s="421"/>
      <c r="F20" s="299" t="s">
        <v>148</v>
      </c>
      <c r="G20" s="423"/>
      <c r="H20" s="300">
        <f t="shared" si="4"/>
        <v>0</v>
      </c>
      <c r="I20" s="426"/>
      <c r="J20" s="301"/>
      <c r="K20" s="302"/>
      <c r="L20" s="303"/>
      <c r="M20" s="304"/>
      <c r="N20" s="304"/>
      <c r="O20" s="296"/>
      <c r="P20" s="419"/>
      <c r="Q20" s="296"/>
      <c r="R20" s="296"/>
    </row>
    <row r="21" spans="1:18" ht="15.75" customHeight="1">
      <c r="A21" s="580"/>
      <c r="B21" s="297">
        <v>0</v>
      </c>
      <c r="C21" s="425"/>
      <c r="D21" s="317"/>
      <c r="E21" s="421"/>
      <c r="F21" s="299" t="s">
        <v>148</v>
      </c>
      <c r="G21" s="423"/>
      <c r="H21" s="300">
        <f t="shared" si="4"/>
        <v>0</v>
      </c>
      <c r="I21" s="426"/>
      <c r="J21" s="301"/>
      <c r="K21" s="302"/>
      <c r="L21" s="303"/>
      <c r="M21" s="304"/>
      <c r="N21" s="304"/>
      <c r="O21" s="296"/>
      <c r="P21" s="419"/>
      <c r="Q21" s="296"/>
      <c r="R21" s="296"/>
    </row>
    <row r="22" spans="1:18" ht="15.75" customHeight="1">
      <c r="A22" s="580"/>
      <c r="B22" s="297">
        <v>0</v>
      </c>
      <c r="C22" s="425"/>
      <c r="D22" s="317"/>
      <c r="E22" s="421"/>
      <c r="F22" s="299" t="s">
        <v>148</v>
      </c>
      <c r="G22" s="423"/>
      <c r="H22" s="300">
        <f t="shared" si="4"/>
        <v>0</v>
      </c>
      <c r="I22" s="426"/>
      <c r="J22" s="301"/>
      <c r="K22" s="302"/>
      <c r="L22" s="303"/>
      <c r="M22" s="304"/>
      <c r="N22" s="304"/>
      <c r="O22" s="296"/>
      <c r="P22" s="419"/>
      <c r="Q22" s="296"/>
      <c r="R22" s="296"/>
    </row>
    <row r="23" spans="1:18" ht="15.75" customHeight="1">
      <c r="A23" s="580"/>
      <c r="B23" s="297">
        <v>0</v>
      </c>
      <c r="C23" s="425"/>
      <c r="D23" s="317"/>
      <c r="E23" s="421"/>
      <c r="F23" s="299" t="s">
        <v>148</v>
      </c>
      <c r="G23" s="423"/>
      <c r="H23" s="300">
        <f t="shared" si="4"/>
        <v>0</v>
      </c>
      <c r="I23" s="426"/>
      <c r="J23" s="301"/>
      <c r="K23" s="302"/>
      <c r="L23" s="303"/>
      <c r="M23" s="304"/>
      <c r="N23" s="304"/>
      <c r="O23" s="296"/>
      <c r="P23" s="419"/>
      <c r="Q23" s="296"/>
      <c r="R23" s="296"/>
    </row>
    <row r="24" spans="1:18" ht="17.399999999999999" customHeight="1">
      <c r="A24" s="581"/>
      <c r="B24" s="297">
        <v>0</v>
      </c>
      <c r="C24" s="6" t="s">
        <v>337</v>
      </c>
      <c r="D24" s="578" t="s">
        <v>293</v>
      </c>
      <c r="E24" s="578"/>
      <c r="F24" s="309"/>
      <c r="G24" s="318"/>
      <c r="H24" s="311"/>
      <c r="I24" s="312"/>
      <c r="J24" s="313">
        <f>AVERAGE(J17:J23)</f>
        <v>5.5</v>
      </c>
      <c r="K24" s="313">
        <f>AVERAGE(K17:K23)</f>
        <v>1457.9999999999989</v>
      </c>
      <c r="L24" s="314">
        <f>AVERAGE(L17:L23)</f>
        <v>266.99999999999977</v>
      </c>
      <c r="M24" s="304"/>
      <c r="N24" s="304"/>
      <c r="O24" s="296"/>
      <c r="P24" s="296"/>
      <c r="Q24" s="296"/>
      <c r="R24" s="296"/>
    </row>
    <row r="25" spans="1:18">
      <c r="A25" s="594" t="s">
        <v>338</v>
      </c>
      <c r="B25" s="297" t="s">
        <v>146</v>
      </c>
      <c r="C25" s="319"/>
      <c r="D25" s="321" t="s">
        <v>339</v>
      </c>
      <c r="E25" s="320"/>
      <c r="F25" s="299">
        <v>15.03</v>
      </c>
      <c r="G25" s="424">
        <v>1169</v>
      </c>
      <c r="H25" s="300">
        <f t="shared" ref="H25:H37" si="6">F25*G25</f>
        <v>17570.07</v>
      </c>
      <c r="I25" s="426"/>
      <c r="J25" s="301">
        <v>4</v>
      </c>
      <c r="K25" s="302">
        <f t="shared" ref="K25:K27" si="7">G25/P25*60</f>
        <v>2697.6923076923094</v>
      </c>
      <c r="L25" s="303">
        <f t="shared" ref="L25:L27" si="8">K25/J25</f>
        <v>674.42307692307736</v>
      </c>
      <c r="M25" s="304">
        <v>0.18055555555555555</v>
      </c>
      <c r="N25" s="304">
        <v>0.1986111111111111</v>
      </c>
      <c r="O25" s="296">
        <v>20</v>
      </c>
      <c r="P25" s="419">
        <f t="shared" ref="P25:P27" si="9">(N25-M25)*24*60</f>
        <v>25.999999999999986</v>
      </c>
      <c r="Q25" s="305"/>
      <c r="R25" s="305"/>
    </row>
    <row r="26" spans="1:18">
      <c r="A26" s="594"/>
      <c r="B26" s="297" t="s">
        <v>146</v>
      </c>
      <c r="C26" s="319"/>
      <c r="D26" s="317" t="s">
        <v>122</v>
      </c>
      <c r="E26" s="322"/>
      <c r="F26" s="299">
        <v>18.18</v>
      </c>
      <c r="G26" s="424">
        <v>2251</v>
      </c>
      <c r="H26" s="300">
        <f t="shared" si="6"/>
        <v>40923.18</v>
      </c>
      <c r="I26" s="426"/>
      <c r="J26" s="301">
        <v>4</v>
      </c>
      <c r="K26" s="302">
        <f t="shared" si="7"/>
        <v>2756.326530612243</v>
      </c>
      <c r="L26" s="303">
        <f t="shared" si="8"/>
        <v>689.08163265306075</v>
      </c>
      <c r="M26" s="304">
        <v>0.21249999999999999</v>
      </c>
      <c r="N26" s="304">
        <v>0.24652777777777779</v>
      </c>
      <c r="O26" s="296">
        <v>20</v>
      </c>
      <c r="P26" s="419">
        <f t="shared" si="9"/>
        <v>49.000000000000028</v>
      </c>
      <c r="Q26" s="305"/>
      <c r="R26" s="305"/>
    </row>
    <row r="27" spans="1:18">
      <c r="A27" s="594"/>
      <c r="B27" s="297" t="s">
        <v>146</v>
      </c>
      <c r="C27" s="319"/>
      <c r="D27" s="321" t="s">
        <v>124</v>
      </c>
      <c r="E27" s="322"/>
      <c r="F27" s="299">
        <v>18.53</v>
      </c>
      <c r="G27" s="424">
        <v>1544</v>
      </c>
      <c r="H27" s="300">
        <f t="shared" si="6"/>
        <v>28610.320000000003</v>
      </c>
      <c r="I27" s="426"/>
      <c r="J27" s="301">
        <v>3</v>
      </c>
      <c r="K27" s="302">
        <f t="shared" si="7"/>
        <v>2724.7058823529446</v>
      </c>
      <c r="L27" s="303">
        <f t="shared" si="8"/>
        <v>908.23529411764821</v>
      </c>
      <c r="M27" s="304">
        <v>0.26041666666666669</v>
      </c>
      <c r="N27" s="304">
        <v>0.28402777777777777</v>
      </c>
      <c r="O27" s="296">
        <v>20</v>
      </c>
      <c r="P27" s="419">
        <f t="shared" si="9"/>
        <v>33.999999999999957</v>
      </c>
      <c r="Q27" s="305"/>
      <c r="R27" s="305"/>
    </row>
    <row r="28" spans="1:18">
      <c r="A28" s="594"/>
      <c r="B28" s="297">
        <v>0</v>
      </c>
      <c r="C28" s="425"/>
      <c r="D28" s="317"/>
      <c r="E28" s="322"/>
      <c r="F28" s="299" t="s">
        <v>148</v>
      </c>
      <c r="G28" s="424"/>
      <c r="H28" s="300">
        <f t="shared" si="6"/>
        <v>0</v>
      </c>
      <c r="I28" s="426"/>
      <c r="J28" s="301"/>
      <c r="K28" s="302"/>
      <c r="L28" s="303"/>
      <c r="M28" s="304"/>
      <c r="N28" s="304"/>
      <c r="O28" s="296"/>
      <c r="P28" s="419"/>
      <c r="Q28" s="305"/>
      <c r="R28" s="305"/>
    </row>
    <row r="29" spans="1:18">
      <c r="A29" s="594"/>
      <c r="B29" s="297">
        <v>0</v>
      </c>
      <c r="C29" s="424"/>
      <c r="D29" s="321"/>
      <c r="E29" s="322"/>
      <c r="F29" s="299" t="s">
        <v>148</v>
      </c>
      <c r="G29" s="424"/>
      <c r="H29" s="300">
        <f t="shared" si="6"/>
        <v>0</v>
      </c>
      <c r="I29" s="426"/>
      <c r="J29" s="301"/>
      <c r="K29" s="302"/>
      <c r="L29" s="303"/>
      <c r="M29" s="304"/>
      <c r="N29" s="304"/>
      <c r="O29" s="296"/>
      <c r="P29" s="419"/>
      <c r="Q29" s="305"/>
      <c r="R29" s="305"/>
    </row>
    <row r="30" spans="1:18">
      <c r="A30" s="594"/>
      <c r="B30" s="297">
        <v>0</v>
      </c>
      <c r="C30" s="424"/>
      <c r="D30" s="323"/>
      <c r="E30" s="322"/>
      <c r="F30" s="299" t="s">
        <v>148</v>
      </c>
      <c r="G30" s="424"/>
      <c r="H30" s="300">
        <f t="shared" si="6"/>
        <v>0</v>
      </c>
      <c r="I30" s="426"/>
      <c r="J30" s="301"/>
      <c r="K30" s="302"/>
      <c r="L30" s="303"/>
      <c r="M30" s="304"/>
      <c r="N30" s="304"/>
      <c r="O30" s="296"/>
      <c r="P30" s="419"/>
      <c r="Q30" s="305"/>
      <c r="R30" s="305"/>
    </row>
    <row r="31" spans="1:18" ht="15.75" customHeight="1">
      <c r="A31" s="594"/>
      <c r="B31" s="297">
        <v>0</v>
      </c>
      <c r="C31" s="425"/>
      <c r="D31" s="317"/>
      <c r="E31" s="322"/>
      <c r="F31" s="299" t="s">
        <v>148</v>
      </c>
      <c r="G31" s="424"/>
      <c r="H31" s="300">
        <f t="shared" si="6"/>
        <v>0</v>
      </c>
      <c r="I31" s="426"/>
      <c r="J31" s="301"/>
      <c r="K31" s="302"/>
      <c r="L31" s="303"/>
      <c r="M31" s="304"/>
      <c r="N31" s="304"/>
      <c r="O31" s="296"/>
      <c r="P31" s="419"/>
      <c r="Q31" s="305"/>
      <c r="R31" s="305"/>
    </row>
    <row r="32" spans="1:18">
      <c r="A32" s="594"/>
      <c r="B32" s="297">
        <v>0</v>
      </c>
      <c r="C32" s="425"/>
      <c r="D32" s="317"/>
      <c r="E32" s="421"/>
      <c r="F32" s="299" t="s">
        <v>148</v>
      </c>
      <c r="G32" s="424"/>
      <c r="H32" s="300">
        <f t="shared" si="6"/>
        <v>0</v>
      </c>
      <c r="I32" s="426"/>
      <c r="J32" s="301"/>
      <c r="K32" s="302"/>
      <c r="L32" s="303"/>
      <c r="M32" s="304"/>
      <c r="N32" s="304"/>
      <c r="O32" s="296"/>
      <c r="P32" s="419"/>
      <c r="Q32" s="305"/>
      <c r="R32" s="305"/>
    </row>
    <row r="33" spans="1:18">
      <c r="A33" s="594"/>
      <c r="B33" s="297">
        <v>0</v>
      </c>
      <c r="C33" s="424"/>
      <c r="D33" s="321"/>
      <c r="E33" s="322"/>
      <c r="F33" s="299" t="s">
        <v>148</v>
      </c>
      <c r="G33" s="424"/>
      <c r="H33" s="300">
        <f t="shared" si="6"/>
        <v>0</v>
      </c>
      <c r="I33" s="426"/>
      <c r="J33" s="301"/>
      <c r="K33" s="302"/>
      <c r="L33" s="303"/>
      <c r="M33" s="304"/>
      <c r="N33" s="304"/>
      <c r="O33" s="296"/>
      <c r="P33" s="419"/>
      <c r="Q33" s="305"/>
      <c r="R33" s="305"/>
    </row>
    <row r="34" spans="1:18">
      <c r="A34" s="594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26"/>
      <c r="J34" s="301"/>
      <c r="K34" s="302"/>
      <c r="L34" s="303"/>
      <c r="M34" s="304"/>
      <c r="N34" s="304"/>
      <c r="O34" s="296"/>
      <c r="P34" s="419"/>
      <c r="Q34" s="305"/>
      <c r="R34" s="305"/>
    </row>
    <row r="35" spans="1:18">
      <c r="A35" s="594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26"/>
      <c r="J35" s="301"/>
      <c r="K35" s="302"/>
      <c r="L35" s="303"/>
      <c r="M35" s="304"/>
      <c r="N35" s="304"/>
      <c r="O35" s="296"/>
      <c r="P35" s="419"/>
      <c r="Q35" s="305"/>
      <c r="R35" s="305"/>
    </row>
    <row r="36" spans="1:18">
      <c r="A36" s="594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26"/>
      <c r="J36" s="301"/>
      <c r="K36" s="302"/>
      <c r="L36" s="303"/>
      <c r="M36" s="304"/>
      <c r="N36" s="304"/>
      <c r="O36" s="296"/>
      <c r="P36" s="419"/>
      <c r="Q36" s="305"/>
      <c r="R36" s="305"/>
    </row>
    <row r="37" spans="1:18">
      <c r="A37" s="594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26"/>
      <c r="J37" s="301"/>
      <c r="K37" s="302"/>
      <c r="L37" s="303"/>
      <c r="M37" s="304"/>
      <c r="N37" s="304"/>
      <c r="O37" s="296"/>
      <c r="P37" s="419"/>
      <c r="Q37" s="305"/>
      <c r="R37" s="305"/>
    </row>
    <row r="38" spans="1:18" ht="17.399999999999999" customHeight="1">
      <c r="A38" s="595"/>
      <c r="B38" s="297">
        <v>0</v>
      </c>
      <c r="C38" s="6" t="s">
        <v>27</v>
      </c>
      <c r="D38" s="596" t="s">
        <v>123</v>
      </c>
      <c r="E38" s="596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2726.2415735524992</v>
      </c>
      <c r="L38" s="314">
        <f>AVERAGE(L25:L37)</f>
        <v>757.24666789792866</v>
      </c>
      <c r="M38" s="304"/>
      <c r="N38" s="304"/>
      <c r="O38" s="302"/>
      <c r="P38" s="302"/>
      <c r="Q38" s="303"/>
      <c r="R38" s="303"/>
    </row>
    <row r="39" spans="1:18" ht="16.2" customHeight="1">
      <c r="A39" s="597" t="s">
        <v>340</v>
      </c>
      <c r="B39" s="297">
        <v>0</v>
      </c>
      <c r="C39" s="425"/>
      <c r="D39" s="320"/>
      <c r="E39" s="421"/>
      <c r="F39" s="299" t="s">
        <v>148</v>
      </c>
      <c r="G39" s="424"/>
      <c r="H39" s="300">
        <f t="shared" ref="H39:H47" si="10">F39*G39</f>
        <v>0</v>
      </c>
      <c r="I39" s="426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598"/>
      <c r="B40" s="297">
        <v>0</v>
      </c>
      <c r="C40" s="425"/>
      <c r="D40" s="320"/>
      <c r="E40" s="421"/>
      <c r="F40" s="299" t="s">
        <v>148</v>
      </c>
      <c r="G40" s="424"/>
      <c r="H40" s="300">
        <f t="shared" si="10"/>
        <v>0</v>
      </c>
      <c r="I40" s="426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598"/>
      <c r="B41" s="297">
        <v>0</v>
      </c>
      <c r="C41" s="425"/>
      <c r="D41" s="320"/>
      <c r="E41" s="421"/>
      <c r="F41" s="299" t="s">
        <v>148</v>
      </c>
      <c r="G41" s="424"/>
      <c r="H41" s="300">
        <f t="shared" si="10"/>
        <v>0</v>
      </c>
      <c r="I41" s="426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598"/>
      <c r="B42" s="297">
        <v>0</v>
      </c>
      <c r="C42" s="425"/>
      <c r="D42" s="338"/>
      <c r="E42" s="421"/>
      <c r="F42" s="299" t="s">
        <v>148</v>
      </c>
      <c r="G42" s="424"/>
      <c r="H42" s="300">
        <f t="shared" si="10"/>
        <v>0</v>
      </c>
      <c r="I42" s="426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598"/>
      <c r="B43" s="297">
        <v>0</v>
      </c>
      <c r="C43" s="425"/>
      <c r="D43" s="321"/>
      <c r="E43" s="421"/>
      <c r="F43" s="299" t="s">
        <v>148</v>
      </c>
      <c r="G43" s="424"/>
      <c r="H43" s="300">
        <f t="shared" si="10"/>
        <v>0</v>
      </c>
      <c r="I43" s="426"/>
      <c r="J43" s="301"/>
      <c r="K43" s="302"/>
      <c r="L43" s="303"/>
      <c r="M43" s="304"/>
      <c r="N43" s="304"/>
      <c r="O43" s="296"/>
      <c r="P43" s="419"/>
      <c r="Q43" s="305"/>
      <c r="R43" s="305"/>
    </row>
    <row r="44" spans="1:18">
      <c r="A44" s="598"/>
      <c r="B44" s="297">
        <v>0</v>
      </c>
      <c r="C44" s="425"/>
      <c r="D44" s="321"/>
      <c r="E44" s="327"/>
      <c r="F44" s="299" t="s">
        <v>148</v>
      </c>
      <c r="G44" s="328"/>
      <c r="H44" s="329">
        <f t="shared" si="10"/>
        <v>0</v>
      </c>
      <c r="I44" s="427"/>
      <c r="J44" s="301"/>
      <c r="K44" s="302"/>
      <c r="L44" s="303"/>
      <c r="M44" s="304"/>
      <c r="N44" s="304"/>
      <c r="O44" s="296"/>
      <c r="P44" s="419"/>
      <c r="Q44" s="305"/>
      <c r="R44" s="305"/>
    </row>
    <row r="45" spans="1:18">
      <c r="A45" s="598"/>
      <c r="B45" s="297">
        <v>0</v>
      </c>
      <c r="C45" s="425"/>
      <c r="D45" s="321"/>
      <c r="E45" s="322"/>
      <c r="F45" s="299" t="s">
        <v>148</v>
      </c>
      <c r="G45" s="424"/>
      <c r="H45" s="300">
        <f t="shared" si="10"/>
        <v>0</v>
      </c>
      <c r="I45" s="426"/>
      <c r="J45" s="301"/>
      <c r="K45" s="302"/>
      <c r="L45" s="303"/>
      <c r="M45" s="304"/>
      <c r="N45" s="304"/>
      <c r="O45" s="296"/>
      <c r="P45" s="419"/>
      <c r="Q45" s="305"/>
      <c r="R45" s="305"/>
    </row>
    <row r="46" spans="1:18">
      <c r="A46" s="598"/>
      <c r="B46" s="297">
        <v>0</v>
      </c>
      <c r="C46" s="425"/>
      <c r="D46" s="337"/>
      <c r="E46" s="327"/>
      <c r="F46" s="299" t="s">
        <v>148</v>
      </c>
      <c r="G46" s="328"/>
      <c r="H46" s="329">
        <f t="shared" si="10"/>
        <v>0</v>
      </c>
      <c r="I46" s="427"/>
      <c r="J46" s="301"/>
      <c r="K46" s="302"/>
      <c r="L46" s="303"/>
      <c r="M46" s="304"/>
      <c r="N46" s="304"/>
      <c r="O46" s="296"/>
      <c r="P46" s="419"/>
      <c r="Q46" s="305"/>
      <c r="R46" s="305"/>
    </row>
    <row r="47" spans="1:18">
      <c r="A47" s="598"/>
      <c r="B47" s="297">
        <v>0</v>
      </c>
      <c r="C47" s="425"/>
      <c r="D47" s="320"/>
      <c r="E47" s="322"/>
      <c r="F47" s="299" t="s">
        <v>148</v>
      </c>
      <c r="G47" s="424"/>
      <c r="H47" s="300">
        <f t="shared" si="10"/>
        <v>0</v>
      </c>
      <c r="I47" s="426"/>
      <c r="J47" s="301"/>
      <c r="K47" s="302"/>
      <c r="L47" s="303"/>
      <c r="M47" s="304"/>
      <c r="N47" s="304"/>
      <c r="O47" s="296"/>
      <c r="P47" s="419"/>
      <c r="Q47" s="305"/>
      <c r="R47" s="305"/>
    </row>
    <row r="48" spans="1:18">
      <c r="A48" s="599"/>
      <c r="B48" s="297">
        <v>0</v>
      </c>
      <c r="C48" s="424"/>
      <c r="D48" s="337"/>
      <c r="E48" s="376"/>
      <c r="F48" s="299" t="s">
        <v>148</v>
      </c>
      <c r="G48" s="424"/>
      <c r="H48" s="300"/>
      <c r="I48" s="426"/>
      <c r="J48" s="301"/>
      <c r="K48" s="302"/>
      <c r="L48" s="303"/>
      <c r="M48" s="304"/>
      <c r="N48" s="304"/>
      <c r="O48" s="296"/>
      <c r="P48" s="419"/>
      <c r="Q48" s="305"/>
      <c r="R48" s="305"/>
    </row>
    <row r="49" spans="1:18">
      <c r="A49" s="599"/>
      <c r="B49" s="297">
        <v>0</v>
      </c>
      <c r="C49" s="424"/>
      <c r="D49" s="330"/>
      <c r="E49" s="331"/>
      <c r="F49" s="299" t="s">
        <v>148</v>
      </c>
      <c r="G49" s="296"/>
      <c r="H49" s="329">
        <f>F49*G49</f>
        <v>0</v>
      </c>
      <c r="I49" s="419"/>
      <c r="J49" s="301"/>
      <c r="K49" s="302"/>
      <c r="L49" s="303"/>
      <c r="M49" s="304"/>
      <c r="N49" s="304"/>
      <c r="O49" s="296"/>
      <c r="P49" s="419"/>
      <c r="Q49" s="305"/>
      <c r="R49" s="305"/>
    </row>
    <row r="50" spans="1:18">
      <c r="A50" s="599"/>
      <c r="B50" s="297">
        <v>0</v>
      </c>
      <c r="C50" s="424"/>
      <c r="D50" s="330"/>
      <c r="E50" s="331"/>
      <c r="F50" s="299" t="s">
        <v>148</v>
      </c>
      <c r="G50" s="296"/>
      <c r="H50" s="329">
        <f>F50*G50</f>
        <v>0</v>
      </c>
      <c r="I50" s="419"/>
      <c r="J50" s="301"/>
      <c r="K50" s="302"/>
      <c r="L50" s="303"/>
      <c r="M50" s="304"/>
      <c r="N50" s="304"/>
      <c r="O50" s="296"/>
      <c r="P50" s="419"/>
      <c r="Q50" s="305"/>
      <c r="R50" s="305"/>
    </row>
    <row r="51" spans="1:18" ht="15.75" customHeight="1">
      <c r="A51" s="600"/>
      <c r="B51" s="297">
        <v>0</v>
      </c>
      <c r="C51" s="6" t="s">
        <v>28</v>
      </c>
      <c r="D51" s="578" t="s">
        <v>293</v>
      </c>
      <c r="E51" s="578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01" t="s">
        <v>341</v>
      </c>
      <c r="B52" s="297" t="s">
        <v>146</v>
      </c>
      <c r="C52" s="425"/>
      <c r="D52" s="320" t="s">
        <v>129</v>
      </c>
      <c r="E52" s="335"/>
      <c r="F52" s="299">
        <v>18.18</v>
      </c>
      <c r="G52" s="424">
        <v>648</v>
      </c>
      <c r="H52" s="300">
        <f>F52*G52</f>
        <v>11780.64</v>
      </c>
      <c r="I52" s="426"/>
      <c r="J52" s="301">
        <v>3</v>
      </c>
      <c r="K52" s="302">
        <f>G52/P52*60</f>
        <v>2990.7692307692232</v>
      </c>
      <c r="L52" s="303">
        <f>K52/J52</f>
        <v>996.9230769230744</v>
      </c>
      <c r="M52" s="304">
        <v>0.30555555555555552</v>
      </c>
      <c r="N52" s="304">
        <v>0.31458333333333333</v>
      </c>
      <c r="O52" s="302">
        <v>10</v>
      </c>
      <c r="P52" s="419">
        <f>(N52-M52)*24*60</f>
        <v>13.000000000000034</v>
      </c>
      <c r="Q52" s="305"/>
      <c r="R52" s="305"/>
    </row>
    <row r="53" spans="1:18" ht="15.6" customHeight="1">
      <c r="A53" s="602"/>
      <c r="B53" s="297" t="s">
        <v>146</v>
      </c>
      <c r="C53" s="425"/>
      <c r="D53" s="320" t="s">
        <v>125</v>
      </c>
      <c r="E53" s="336"/>
      <c r="F53" s="299">
        <v>25.03</v>
      </c>
      <c r="G53" s="306">
        <v>610</v>
      </c>
      <c r="H53" s="300">
        <f t="shared" ref="H53:H116" si="11">F53*G53</f>
        <v>15268.300000000001</v>
      </c>
      <c r="I53" s="426"/>
      <c r="J53" s="301">
        <v>4</v>
      </c>
      <c r="K53" s="302">
        <f t="shared" ref="K53:K57" si="12">G53/P53*60</f>
        <v>3049.9999999999905</v>
      </c>
      <c r="L53" s="303">
        <f t="shared" ref="L53:L57" si="13">K53/J53</f>
        <v>762.49999999999761</v>
      </c>
      <c r="M53" s="304">
        <v>0.32847222222222222</v>
      </c>
      <c r="N53" s="304">
        <v>0.33680555555555558</v>
      </c>
      <c r="O53" s="302">
        <v>20</v>
      </c>
      <c r="P53" s="419">
        <f t="shared" ref="P53:P57" si="14">(N53-M53)*24*60</f>
        <v>12.000000000000037</v>
      </c>
      <c r="Q53" s="305"/>
      <c r="R53" s="305"/>
    </row>
    <row r="54" spans="1:18" ht="15.6" customHeight="1">
      <c r="A54" s="602"/>
      <c r="B54" s="297" t="s">
        <v>146</v>
      </c>
      <c r="C54" s="425"/>
      <c r="D54" s="320" t="s">
        <v>126</v>
      </c>
      <c r="E54" s="421"/>
      <c r="F54" s="299">
        <v>24.82</v>
      </c>
      <c r="G54" s="306">
        <v>695</v>
      </c>
      <c r="H54" s="300">
        <f t="shared" si="11"/>
        <v>17249.900000000001</v>
      </c>
      <c r="I54" s="426"/>
      <c r="J54" s="301">
        <v>4</v>
      </c>
      <c r="K54" s="302">
        <f t="shared" si="12"/>
        <v>2452.9411764705851</v>
      </c>
      <c r="L54" s="303">
        <f t="shared" si="13"/>
        <v>613.23529411764628</v>
      </c>
      <c r="M54" s="304">
        <v>0.35069444444444442</v>
      </c>
      <c r="N54" s="304">
        <v>0.36249999999999999</v>
      </c>
      <c r="O54" s="302">
        <v>20</v>
      </c>
      <c r="P54" s="419">
        <f t="shared" si="14"/>
        <v>17.000000000000021</v>
      </c>
      <c r="Q54" s="305"/>
      <c r="R54" s="305"/>
    </row>
    <row r="55" spans="1:18" ht="15.6" customHeight="1">
      <c r="A55" s="602"/>
      <c r="B55" s="297" t="s">
        <v>146</v>
      </c>
      <c r="C55" s="425"/>
      <c r="D55" s="320" t="s">
        <v>127</v>
      </c>
      <c r="E55" s="322"/>
      <c r="F55" s="299">
        <v>30</v>
      </c>
      <c r="G55" s="306">
        <v>1155</v>
      </c>
      <c r="H55" s="300">
        <f t="shared" si="11"/>
        <v>34650</v>
      </c>
      <c r="I55" s="426"/>
      <c r="J55" s="301">
        <v>4</v>
      </c>
      <c r="K55" s="302">
        <f t="shared" si="12"/>
        <v>3150</v>
      </c>
      <c r="L55" s="303">
        <f t="shared" si="13"/>
        <v>787.5</v>
      </c>
      <c r="M55" s="304">
        <v>0.37638888888888888</v>
      </c>
      <c r="N55" s="304">
        <v>0.39166666666666666</v>
      </c>
      <c r="O55" s="302">
        <v>20</v>
      </c>
      <c r="P55" s="419">
        <f t="shared" si="14"/>
        <v>22</v>
      </c>
      <c r="Q55" s="305">
        <v>0.39166666666666666</v>
      </c>
      <c r="R55" s="305">
        <v>0.43333333333333335</v>
      </c>
    </row>
    <row r="56" spans="1:18" ht="15.6" customHeight="1">
      <c r="A56" s="602"/>
      <c r="B56" s="297" t="s">
        <v>146</v>
      </c>
      <c r="C56" s="425"/>
      <c r="D56" s="321" t="s">
        <v>342</v>
      </c>
      <c r="E56" s="322"/>
      <c r="F56" s="299">
        <v>23.72</v>
      </c>
      <c r="G56" s="306">
        <v>1913</v>
      </c>
      <c r="H56" s="300">
        <f t="shared" si="11"/>
        <v>45376.36</v>
      </c>
      <c r="I56" s="426"/>
      <c r="J56" s="301">
        <v>4</v>
      </c>
      <c r="K56" s="302">
        <f t="shared" si="12"/>
        <v>2943.0769230769215</v>
      </c>
      <c r="L56" s="303">
        <f t="shared" si="13"/>
        <v>735.76923076923038</v>
      </c>
      <c r="M56" s="304">
        <v>0.45069444444444445</v>
      </c>
      <c r="N56" s="304">
        <v>0.4777777777777778</v>
      </c>
      <c r="O56" s="302">
        <v>20</v>
      </c>
      <c r="P56" s="419">
        <f t="shared" si="14"/>
        <v>39.000000000000021</v>
      </c>
      <c r="Q56" s="305"/>
      <c r="R56" s="305"/>
    </row>
    <row r="57" spans="1:18" ht="15.75" customHeight="1">
      <c r="A57" s="602"/>
      <c r="B57" s="297" t="s">
        <v>146</v>
      </c>
      <c r="C57" s="6" t="s">
        <v>31</v>
      </c>
      <c r="D57" s="338" t="s">
        <v>343</v>
      </c>
      <c r="E57" s="322"/>
      <c r="F57" s="299">
        <v>27.48</v>
      </c>
      <c r="G57" s="306">
        <v>2360</v>
      </c>
      <c r="H57" s="300">
        <f t="shared" si="11"/>
        <v>64852.800000000003</v>
      </c>
      <c r="I57" s="426"/>
      <c r="J57" s="301">
        <v>4</v>
      </c>
      <c r="K57" s="302">
        <f t="shared" si="12"/>
        <v>2950.0000000000009</v>
      </c>
      <c r="L57" s="303">
        <f t="shared" si="13"/>
        <v>737.50000000000023</v>
      </c>
      <c r="M57" s="304">
        <v>0.4916666666666667</v>
      </c>
      <c r="N57" s="304">
        <v>0.52500000000000002</v>
      </c>
      <c r="O57" s="302">
        <v>20</v>
      </c>
      <c r="P57" s="419">
        <f t="shared" si="14"/>
        <v>47.999999999999986</v>
      </c>
      <c r="Q57" s="305"/>
      <c r="R57" s="305"/>
    </row>
    <row r="58" spans="1:18" ht="15.6" customHeight="1">
      <c r="A58" s="602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26"/>
      <c r="J58" s="301"/>
      <c r="K58" s="302"/>
      <c r="L58" s="303"/>
      <c r="M58" s="304"/>
      <c r="N58" s="304"/>
      <c r="O58" s="302"/>
      <c r="P58" s="419"/>
      <c r="Q58" s="305"/>
      <c r="R58" s="305"/>
    </row>
    <row r="59" spans="1:18" ht="15.6" customHeight="1">
      <c r="A59" s="602"/>
      <c r="B59" s="297">
        <v>0</v>
      </c>
      <c r="C59" s="425"/>
      <c r="D59" s="337"/>
      <c r="E59" s="322"/>
      <c r="F59" s="299" t="s">
        <v>148</v>
      </c>
      <c r="G59" s="306"/>
      <c r="H59" s="300">
        <f t="shared" si="11"/>
        <v>0</v>
      </c>
      <c r="I59" s="426"/>
      <c r="J59" s="301"/>
      <c r="K59" s="302"/>
      <c r="L59" s="303"/>
      <c r="M59" s="304"/>
      <c r="N59" s="304"/>
      <c r="O59" s="302"/>
      <c r="P59" s="419"/>
      <c r="Q59" s="305"/>
      <c r="R59" s="305"/>
    </row>
    <row r="60" spans="1:18" ht="15.6" customHeight="1">
      <c r="A60" s="602"/>
      <c r="B60" s="297">
        <v>0</v>
      </c>
      <c r="C60" s="425"/>
      <c r="D60" s="338"/>
      <c r="E60" s="341"/>
      <c r="F60" s="299" t="s">
        <v>148</v>
      </c>
      <c r="G60" s="306"/>
      <c r="H60" s="300">
        <f t="shared" si="11"/>
        <v>0</v>
      </c>
      <c r="I60" s="426"/>
      <c r="J60" s="301"/>
      <c r="K60" s="302"/>
      <c r="L60" s="303"/>
      <c r="M60" s="304"/>
      <c r="N60" s="304"/>
      <c r="O60" s="302"/>
      <c r="P60" s="419"/>
      <c r="Q60" s="305"/>
      <c r="R60" s="305"/>
    </row>
    <row r="61" spans="1:18" ht="15.6" customHeight="1">
      <c r="A61" s="602"/>
      <c r="B61" s="297">
        <v>0</v>
      </c>
      <c r="C61" s="425"/>
      <c r="D61" s="320"/>
      <c r="E61" s="322"/>
      <c r="F61" s="299" t="s">
        <v>148</v>
      </c>
      <c r="G61" s="306"/>
      <c r="H61" s="300">
        <f t="shared" si="11"/>
        <v>0</v>
      </c>
      <c r="I61" s="426"/>
      <c r="J61" s="301"/>
      <c r="K61" s="302"/>
      <c r="L61" s="303"/>
      <c r="M61" s="304"/>
      <c r="N61" s="304"/>
      <c r="O61" s="302"/>
      <c r="P61" s="419"/>
      <c r="Q61" s="305"/>
      <c r="R61" s="305"/>
    </row>
    <row r="62" spans="1:18" ht="15.6" customHeight="1">
      <c r="A62" s="602"/>
      <c r="B62" s="297">
        <v>0</v>
      </c>
      <c r="C62" s="425"/>
      <c r="D62" s="337"/>
      <c r="E62" s="342"/>
      <c r="F62" s="299" t="s">
        <v>148</v>
      </c>
      <c r="G62" s="306"/>
      <c r="H62" s="300">
        <f t="shared" si="11"/>
        <v>0</v>
      </c>
      <c r="I62" s="426"/>
      <c r="J62" s="301"/>
      <c r="K62" s="302"/>
      <c r="L62" s="303"/>
      <c r="M62" s="304"/>
      <c r="N62" s="304"/>
      <c r="O62" s="302"/>
      <c r="P62" s="419"/>
      <c r="Q62" s="305"/>
      <c r="R62" s="305"/>
    </row>
    <row r="63" spans="1:18" ht="15.6" customHeight="1">
      <c r="A63" s="602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27"/>
      <c r="J63" s="301"/>
      <c r="K63" s="302"/>
      <c r="L63" s="303"/>
      <c r="M63" s="304"/>
      <c r="N63" s="304"/>
      <c r="O63" s="296"/>
      <c r="P63" s="419"/>
      <c r="Q63" s="305"/>
      <c r="R63" s="305"/>
    </row>
    <row r="64" spans="1:18" ht="15.75" customHeight="1">
      <c r="A64" s="603"/>
      <c r="B64" s="297">
        <v>0</v>
      </c>
      <c r="C64" s="6" t="s">
        <v>344</v>
      </c>
      <c r="D64" s="578" t="s">
        <v>293</v>
      </c>
      <c r="E64" s="578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2922.7978883861201</v>
      </c>
      <c r="L64" s="314">
        <f>AVERAGE(L52:L63)</f>
        <v>772.23793363499146</v>
      </c>
      <c r="M64" s="304"/>
      <c r="N64" s="304"/>
      <c r="O64" s="296"/>
      <c r="P64" s="296"/>
      <c r="Q64" s="296"/>
      <c r="R64" s="296"/>
    </row>
    <row r="65" spans="1:18" ht="15.6" customHeight="1">
      <c r="A65" s="604" t="s">
        <v>345</v>
      </c>
      <c r="B65" s="297" t="s">
        <v>146</v>
      </c>
      <c r="C65" s="425"/>
      <c r="D65" s="321" t="s">
        <v>346</v>
      </c>
      <c r="E65" s="335"/>
      <c r="F65" s="299">
        <v>22.281818181818181</v>
      </c>
      <c r="G65" s="424">
        <v>477</v>
      </c>
      <c r="H65" s="300">
        <f>F65*G65</f>
        <v>10628.427272727273</v>
      </c>
      <c r="I65" s="426"/>
      <c r="J65" s="301">
        <v>4</v>
      </c>
      <c r="K65" s="302">
        <f t="shared" ref="K65:K71" si="15">G65/P65*60</f>
        <v>3179.9999999999973</v>
      </c>
      <c r="L65" s="303">
        <f t="shared" ref="L65:L71" si="16">K65/J65</f>
        <v>794.99999999999932</v>
      </c>
      <c r="M65" s="304">
        <v>0.18055555555555555</v>
      </c>
      <c r="N65" s="304">
        <v>0.18680555555555556</v>
      </c>
      <c r="O65" s="302">
        <v>20</v>
      </c>
      <c r="P65" s="419">
        <f>(N65-M65)*24*60</f>
        <v>9.0000000000000071</v>
      </c>
      <c r="Q65" s="305"/>
      <c r="R65" s="305"/>
    </row>
    <row r="66" spans="1:18" ht="15.6" customHeight="1">
      <c r="A66" s="605"/>
      <c r="B66" s="297" t="s">
        <v>146</v>
      </c>
      <c r="C66" s="425"/>
      <c r="D66" s="321" t="s">
        <v>130</v>
      </c>
      <c r="E66" s="336"/>
      <c r="F66" s="299">
        <v>18.18</v>
      </c>
      <c r="G66" s="306">
        <v>1266</v>
      </c>
      <c r="H66" s="300">
        <f t="shared" ref="H66:H74" si="17">F66*G66</f>
        <v>23015.88</v>
      </c>
      <c r="I66" s="426"/>
      <c r="J66" s="301">
        <v>3</v>
      </c>
      <c r="K66" s="302">
        <f t="shared" si="15"/>
        <v>3164.9999999999955</v>
      </c>
      <c r="L66" s="303">
        <f t="shared" si="16"/>
        <v>1054.9999999999984</v>
      </c>
      <c r="M66" s="304">
        <v>0.20069444444444443</v>
      </c>
      <c r="N66" s="304">
        <v>0.21736111111111112</v>
      </c>
      <c r="O66" s="302">
        <v>20</v>
      </c>
      <c r="P66" s="419">
        <f t="shared" ref="P66:P71" si="18">(N66-M66)*24*60</f>
        <v>24.000000000000036</v>
      </c>
      <c r="Q66" s="305"/>
      <c r="R66" s="305"/>
    </row>
    <row r="67" spans="1:18" ht="15.6" customHeight="1">
      <c r="A67" s="605"/>
      <c r="B67" s="297" t="s">
        <v>146</v>
      </c>
      <c r="C67" s="425"/>
      <c r="D67" s="337" t="s">
        <v>347</v>
      </c>
      <c r="E67" s="322"/>
      <c r="F67" s="299">
        <v>17.890909090909091</v>
      </c>
      <c r="G67" s="306">
        <v>1392</v>
      </c>
      <c r="H67" s="300">
        <f t="shared" si="17"/>
        <v>24904.145454545454</v>
      </c>
      <c r="I67" s="426"/>
      <c r="J67" s="301">
        <v>3</v>
      </c>
      <c r="K67" s="302">
        <f t="shared" si="15"/>
        <v>3093.3333333333303</v>
      </c>
      <c r="L67" s="303">
        <f t="shared" si="16"/>
        <v>1031.1111111111102</v>
      </c>
      <c r="M67" s="304">
        <v>0.23124999999999998</v>
      </c>
      <c r="N67" s="304">
        <v>0.25</v>
      </c>
      <c r="O67" s="302">
        <v>20</v>
      </c>
      <c r="P67" s="419">
        <f t="shared" si="18"/>
        <v>27.000000000000025</v>
      </c>
      <c r="Q67" s="305">
        <v>0.25</v>
      </c>
      <c r="R67" s="305">
        <v>0.29166666666666669</v>
      </c>
    </row>
    <row r="68" spans="1:18" ht="15.6" customHeight="1">
      <c r="A68" s="605"/>
      <c r="B68" s="297" t="s">
        <v>146</v>
      </c>
      <c r="C68" s="425"/>
      <c r="D68" s="337" t="s">
        <v>131</v>
      </c>
      <c r="E68" s="322"/>
      <c r="F68" s="299">
        <v>14.285714285714283</v>
      </c>
      <c r="G68" s="306">
        <v>3231</v>
      </c>
      <c r="H68" s="300">
        <f t="shared" si="17"/>
        <v>46157.142857142848</v>
      </c>
      <c r="I68" s="426"/>
      <c r="J68" s="301">
        <v>3</v>
      </c>
      <c r="K68" s="302">
        <f t="shared" si="15"/>
        <v>2937.2727272727234</v>
      </c>
      <c r="L68" s="303">
        <f t="shared" si="16"/>
        <v>979.09090909090776</v>
      </c>
      <c r="M68" s="304">
        <v>0.30555555555555552</v>
      </c>
      <c r="N68" s="304">
        <v>0.35138888888888892</v>
      </c>
      <c r="O68" s="302">
        <v>20</v>
      </c>
      <c r="P68" s="419">
        <f t="shared" si="18"/>
        <v>66.000000000000085</v>
      </c>
      <c r="Q68" s="305"/>
      <c r="R68" s="305"/>
    </row>
    <row r="69" spans="1:18" ht="15.6" customHeight="1">
      <c r="A69" s="605"/>
      <c r="B69" s="297" t="s">
        <v>146</v>
      </c>
      <c r="C69" s="425"/>
      <c r="D69" s="321" t="s">
        <v>348</v>
      </c>
      <c r="E69" s="322"/>
      <c r="F69" s="299">
        <v>16.66</v>
      </c>
      <c r="G69" s="306">
        <v>2162</v>
      </c>
      <c r="H69" s="300">
        <f t="shared" si="17"/>
        <v>36018.92</v>
      </c>
      <c r="I69" s="426"/>
      <c r="J69" s="301">
        <v>4</v>
      </c>
      <c r="K69" s="302">
        <f t="shared" si="15"/>
        <v>3163.9024390243949</v>
      </c>
      <c r="L69" s="303">
        <f t="shared" si="16"/>
        <v>790.97560975609872</v>
      </c>
      <c r="M69" s="304">
        <v>0.36527777777777781</v>
      </c>
      <c r="N69" s="304">
        <v>0.39374999999999999</v>
      </c>
      <c r="O69" s="302">
        <v>20</v>
      </c>
      <c r="P69" s="419">
        <f t="shared" si="18"/>
        <v>40.999999999999936</v>
      </c>
      <c r="Q69" s="305"/>
      <c r="R69" s="305"/>
    </row>
    <row r="70" spans="1:18" ht="15.75" customHeight="1">
      <c r="A70" s="605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3195</v>
      </c>
      <c r="H70" s="300">
        <f t="shared" si="17"/>
        <v>44825.85</v>
      </c>
      <c r="I70" s="426"/>
      <c r="J70" s="301">
        <v>3</v>
      </c>
      <c r="K70" s="302">
        <f t="shared" si="15"/>
        <v>3194.9999999999982</v>
      </c>
      <c r="L70" s="303">
        <f t="shared" si="16"/>
        <v>1064.9999999999993</v>
      </c>
      <c r="M70" s="304">
        <v>0.40763888888888888</v>
      </c>
      <c r="N70" s="304">
        <v>0.44930555555555557</v>
      </c>
      <c r="O70" s="302">
        <v>20</v>
      </c>
      <c r="P70" s="419">
        <f t="shared" si="18"/>
        <v>60.000000000000028</v>
      </c>
      <c r="Q70" s="305"/>
      <c r="R70" s="305"/>
    </row>
    <row r="71" spans="1:18" ht="15.6" customHeight="1">
      <c r="A71" s="605"/>
      <c r="B71" s="297" t="s">
        <v>146</v>
      </c>
      <c r="C71" s="339"/>
      <c r="D71" s="337" t="s">
        <v>349</v>
      </c>
      <c r="E71" s="322"/>
      <c r="F71" s="299">
        <v>25.2</v>
      </c>
      <c r="G71" s="340">
        <v>2015</v>
      </c>
      <c r="H71" s="300">
        <f t="shared" si="17"/>
        <v>50778</v>
      </c>
      <c r="I71" s="426"/>
      <c r="J71" s="301">
        <v>3</v>
      </c>
      <c r="K71" s="302">
        <f t="shared" si="15"/>
        <v>3181.5789473684258</v>
      </c>
      <c r="L71" s="303">
        <f t="shared" si="16"/>
        <v>1060.5263157894753</v>
      </c>
      <c r="M71" s="304">
        <v>0.46319444444444446</v>
      </c>
      <c r="N71" s="304">
        <v>0.48958333333333331</v>
      </c>
      <c r="O71" s="302">
        <v>20</v>
      </c>
      <c r="P71" s="419">
        <f t="shared" si="18"/>
        <v>37.999999999999943</v>
      </c>
      <c r="Q71" s="305"/>
      <c r="R71" s="305"/>
    </row>
    <row r="72" spans="1:18" ht="15.6" customHeight="1">
      <c r="A72" s="605"/>
      <c r="B72" s="297">
        <v>0</v>
      </c>
      <c r="C72" s="425"/>
      <c r="D72" s="337"/>
      <c r="E72" s="322"/>
      <c r="F72" s="299" t="s">
        <v>148</v>
      </c>
      <c r="G72" s="306"/>
      <c r="H72" s="300">
        <f t="shared" si="17"/>
        <v>0</v>
      </c>
      <c r="I72" s="426"/>
      <c r="J72" s="301"/>
      <c r="K72" s="302"/>
      <c r="L72" s="303"/>
      <c r="M72" s="304"/>
      <c r="N72" s="304"/>
      <c r="O72" s="302"/>
      <c r="P72" s="419"/>
      <c r="Q72" s="305"/>
      <c r="R72" s="305"/>
    </row>
    <row r="73" spans="1:18" ht="15.6" customHeight="1">
      <c r="A73" s="605"/>
      <c r="B73" s="297">
        <v>0</v>
      </c>
      <c r="C73" s="425"/>
      <c r="D73" s="337"/>
      <c r="E73" s="322"/>
      <c r="F73" s="299" t="s">
        <v>148</v>
      </c>
      <c r="G73" s="306"/>
      <c r="H73" s="300">
        <f t="shared" si="17"/>
        <v>0</v>
      </c>
      <c r="I73" s="426"/>
      <c r="J73" s="301"/>
      <c r="K73" s="302"/>
      <c r="L73" s="303"/>
      <c r="M73" s="304"/>
      <c r="N73" s="304"/>
      <c r="O73" s="302"/>
      <c r="P73" s="419"/>
      <c r="Q73" s="305"/>
      <c r="R73" s="305"/>
    </row>
    <row r="74" spans="1:18" ht="15.6" customHeight="1">
      <c r="A74" s="605"/>
      <c r="B74" s="297">
        <v>0</v>
      </c>
      <c r="C74" s="425"/>
      <c r="D74" s="337"/>
      <c r="E74" s="322"/>
      <c r="F74" s="299" t="s">
        <v>148</v>
      </c>
      <c r="G74" s="306"/>
      <c r="H74" s="300">
        <f t="shared" si="17"/>
        <v>0</v>
      </c>
      <c r="I74" s="426"/>
      <c r="J74" s="301"/>
      <c r="K74" s="302"/>
      <c r="L74" s="303"/>
      <c r="M74" s="304"/>
      <c r="N74" s="304"/>
      <c r="O74" s="302"/>
      <c r="P74" s="419"/>
      <c r="Q74" s="305"/>
      <c r="R74" s="305"/>
    </row>
    <row r="75" spans="1:18" ht="15.75" customHeight="1">
      <c r="A75" s="606"/>
      <c r="B75" s="297">
        <v>0</v>
      </c>
      <c r="C75" s="6" t="s">
        <v>350</v>
      </c>
      <c r="D75" s="578" t="s">
        <v>293</v>
      </c>
      <c r="E75" s="578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3130.8696352855518</v>
      </c>
      <c r="L75" s="314">
        <f>AVERAGE(L65:L74)</f>
        <v>968.10056367822688</v>
      </c>
      <c r="M75" s="304"/>
      <c r="N75" s="304"/>
      <c r="O75" s="296"/>
      <c r="P75" s="296"/>
      <c r="Q75" s="296"/>
      <c r="R75" s="296"/>
    </row>
    <row r="76" spans="1:18" ht="16.2" customHeight="1">
      <c r="A76" s="607" t="s">
        <v>132</v>
      </c>
      <c r="B76" s="297">
        <v>0</v>
      </c>
      <c r="C76" s="308"/>
      <c r="D76" s="608"/>
      <c r="E76" s="609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19"/>
      <c r="Q76" s="305"/>
      <c r="R76" s="305"/>
    </row>
    <row r="77" spans="1:18">
      <c r="A77" s="607"/>
      <c r="B77" s="297">
        <v>0</v>
      </c>
      <c r="C77" s="308"/>
      <c r="D77" s="608"/>
      <c r="E77" s="609"/>
      <c r="F77" s="299" t="s">
        <v>148</v>
      </c>
      <c r="G77" s="424"/>
      <c r="H77" s="300">
        <f t="shared" si="11"/>
        <v>0</v>
      </c>
      <c r="I77" s="426"/>
      <c r="J77" s="301"/>
      <c r="K77" s="302"/>
      <c r="L77" s="303"/>
      <c r="M77" s="304"/>
      <c r="N77" s="304"/>
      <c r="O77" s="296"/>
      <c r="P77" s="419"/>
      <c r="Q77" s="296"/>
      <c r="R77" s="296"/>
    </row>
    <row r="78" spans="1:18">
      <c r="A78" s="607"/>
      <c r="B78" s="297">
        <v>0</v>
      </c>
      <c r="C78" s="308"/>
      <c r="D78" s="418"/>
      <c r="E78" s="418"/>
      <c r="F78" s="299" t="s">
        <v>148</v>
      </c>
      <c r="G78" s="324"/>
      <c r="H78" s="300">
        <f t="shared" si="11"/>
        <v>0</v>
      </c>
      <c r="I78" s="426"/>
      <c r="J78" s="301"/>
      <c r="K78" s="302"/>
      <c r="L78" s="303"/>
      <c r="M78" s="304"/>
      <c r="N78" s="304"/>
      <c r="O78" s="296"/>
      <c r="P78" s="419"/>
      <c r="Q78" s="296"/>
      <c r="R78" s="296"/>
    </row>
    <row r="79" spans="1:18">
      <c r="A79" s="607"/>
      <c r="B79" s="297">
        <v>0</v>
      </c>
      <c r="C79" s="308"/>
      <c r="D79" s="418"/>
      <c r="E79" s="418"/>
      <c r="F79" s="299" t="s">
        <v>148</v>
      </c>
      <c r="G79" s="324"/>
      <c r="H79" s="300">
        <f t="shared" si="11"/>
        <v>0</v>
      </c>
      <c r="I79" s="426"/>
      <c r="J79" s="301"/>
      <c r="K79" s="302"/>
      <c r="L79" s="303"/>
      <c r="M79" s="304"/>
      <c r="N79" s="304"/>
      <c r="O79" s="296"/>
      <c r="P79" s="419"/>
      <c r="Q79" s="296"/>
      <c r="R79" s="296"/>
    </row>
    <row r="80" spans="1:18">
      <c r="A80" s="607"/>
      <c r="B80" s="297">
        <v>0</v>
      </c>
      <c r="C80" s="308"/>
      <c r="D80" s="418"/>
      <c r="E80" s="418"/>
      <c r="F80" s="299" t="s">
        <v>148</v>
      </c>
      <c r="G80" s="324"/>
      <c r="H80" s="300">
        <f t="shared" si="11"/>
        <v>0</v>
      </c>
      <c r="I80" s="426"/>
      <c r="J80" s="301"/>
      <c r="K80" s="302"/>
      <c r="L80" s="303"/>
      <c r="M80" s="304"/>
      <c r="N80" s="304"/>
      <c r="O80" s="296"/>
      <c r="P80" s="419"/>
      <c r="Q80" s="296"/>
      <c r="R80" s="296"/>
    </row>
    <row r="81" spans="1:18" ht="15.75" customHeight="1">
      <c r="A81" s="607"/>
      <c r="B81" s="297">
        <v>0</v>
      </c>
      <c r="C81" s="6" t="s">
        <v>31</v>
      </c>
      <c r="D81" s="596" t="s">
        <v>293</v>
      </c>
      <c r="E81" s="596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12" t="s">
        <v>351</v>
      </c>
      <c r="B82" s="297" t="s">
        <v>146</v>
      </c>
      <c r="C82" s="319"/>
      <c r="D82" s="320" t="s">
        <v>352</v>
      </c>
      <c r="E82" s="346"/>
      <c r="F82" s="299">
        <v>17.22</v>
      </c>
      <c r="G82" s="324">
        <v>1461</v>
      </c>
      <c r="H82" s="347">
        <f t="shared" ref="H82:H90" si="19">F82*G82</f>
        <v>25158.42</v>
      </c>
      <c r="I82" s="426"/>
      <c r="J82" s="301">
        <v>3</v>
      </c>
      <c r="K82" s="302">
        <f t="shared" ref="K82" si="20">G82/P82*60</f>
        <v>2922.0000000000105</v>
      </c>
      <c r="L82" s="303">
        <f t="shared" ref="L82" si="21">K82/J82</f>
        <v>974.00000000000352</v>
      </c>
      <c r="M82" s="304">
        <v>0.72222222222222221</v>
      </c>
      <c r="N82" s="304">
        <v>0.74305555555555547</v>
      </c>
      <c r="O82" s="302">
        <v>20</v>
      </c>
      <c r="P82" s="419">
        <f t="shared" ref="P82" si="22">(N82-M82)*24*60</f>
        <v>29.999999999999893</v>
      </c>
      <c r="Q82" s="305"/>
      <c r="R82" s="305"/>
    </row>
    <row r="83" spans="1:18">
      <c r="A83" s="613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26"/>
      <c r="J83" s="301"/>
      <c r="K83" s="302"/>
      <c r="L83" s="303"/>
      <c r="M83" s="304"/>
      <c r="N83" s="304"/>
      <c r="O83" s="302"/>
      <c r="P83" s="419"/>
      <c r="Q83" s="305"/>
      <c r="R83" s="305"/>
    </row>
    <row r="84" spans="1:18">
      <c r="A84" s="613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26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13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26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13"/>
      <c r="B86" s="297">
        <v>0</v>
      </c>
      <c r="C86" s="319"/>
      <c r="D86" s="320"/>
      <c r="E86" s="346"/>
      <c r="F86" s="299" t="s">
        <v>148</v>
      </c>
      <c r="G86" s="424"/>
      <c r="H86" s="348">
        <f t="shared" si="19"/>
        <v>0</v>
      </c>
      <c r="I86" s="426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13"/>
      <c r="B87" s="297"/>
      <c r="C87" s="319"/>
      <c r="D87" s="320"/>
      <c r="E87" s="346"/>
      <c r="F87" s="299" t="s">
        <v>148</v>
      </c>
      <c r="G87" s="424"/>
      <c r="H87" s="348">
        <f t="shared" si="19"/>
        <v>0</v>
      </c>
      <c r="I87" s="426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13"/>
      <c r="B88" s="297">
        <v>0</v>
      </c>
      <c r="C88" s="319"/>
      <c r="D88" s="320"/>
      <c r="E88" s="346"/>
      <c r="F88" s="299" t="s">
        <v>148</v>
      </c>
      <c r="G88" s="424"/>
      <c r="H88" s="348">
        <f t="shared" si="19"/>
        <v>0</v>
      </c>
      <c r="I88" s="426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13"/>
      <c r="B89" s="297">
        <v>0</v>
      </c>
      <c r="C89" s="319"/>
      <c r="D89" s="320"/>
      <c r="E89" s="346"/>
      <c r="F89" s="299" t="s">
        <v>148</v>
      </c>
      <c r="G89" s="424"/>
      <c r="H89" s="348">
        <f t="shared" si="19"/>
        <v>0</v>
      </c>
      <c r="I89" s="426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13"/>
      <c r="B90" s="297">
        <v>0</v>
      </c>
      <c r="C90" s="319"/>
      <c r="D90" s="320"/>
      <c r="E90" s="346"/>
      <c r="F90" s="299" t="s">
        <v>148</v>
      </c>
      <c r="G90" s="424"/>
      <c r="H90" s="348">
        <f t="shared" si="19"/>
        <v>0</v>
      </c>
      <c r="I90" s="426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13"/>
      <c r="B91" s="297">
        <v>0</v>
      </c>
      <c r="C91" s="6" t="s">
        <v>338</v>
      </c>
      <c r="D91" s="614" t="s">
        <v>293</v>
      </c>
      <c r="E91" s="614"/>
      <c r="F91" s="309"/>
      <c r="G91" s="350"/>
      <c r="H91" s="351"/>
      <c r="I91" s="312"/>
      <c r="J91" s="313">
        <f>AVERAGE(J82:J90)</f>
        <v>3</v>
      </c>
      <c r="K91" s="313">
        <f>AVERAGE(K82:K90)</f>
        <v>2922.0000000000105</v>
      </c>
      <c r="L91" s="314">
        <f>AVERAGE(L82:L90)</f>
        <v>974.00000000000352</v>
      </c>
      <c r="M91" s="304"/>
      <c r="N91" s="304"/>
      <c r="O91" s="302"/>
      <c r="P91" s="302"/>
      <c r="Q91" s="303"/>
      <c r="R91" s="303"/>
    </row>
    <row r="92" spans="1:18" ht="16.2" customHeight="1">
      <c r="A92" s="615" t="s">
        <v>353</v>
      </c>
      <c r="B92" s="297" t="s">
        <v>146</v>
      </c>
      <c r="C92" s="308"/>
      <c r="D92" s="352" t="s">
        <v>354</v>
      </c>
      <c r="E92" s="346"/>
      <c r="F92" s="299">
        <v>24.54</v>
      </c>
      <c r="G92" s="424">
        <v>1514</v>
      </c>
      <c r="H92" s="300">
        <f t="shared" ref="H92:H99" si="23">F92*G92</f>
        <v>37153.56</v>
      </c>
      <c r="I92" s="426"/>
      <c r="J92" s="301">
        <v>3</v>
      </c>
      <c r="K92" s="302">
        <f>G92/P92*60</f>
        <v>2270.9999999999991</v>
      </c>
      <c r="L92" s="303">
        <f t="shared" ref="L92:L93" si="24">K92/J92</f>
        <v>756.99999999999966</v>
      </c>
      <c r="M92" s="304">
        <v>0.72222222222222221</v>
      </c>
      <c r="N92" s="304">
        <v>0.75</v>
      </c>
      <c r="O92" s="296">
        <v>20</v>
      </c>
      <c r="P92" s="419">
        <f>(N92-M92)*24*60</f>
        <v>40.000000000000014</v>
      </c>
      <c r="Q92" s="305"/>
      <c r="R92" s="305"/>
    </row>
    <row r="93" spans="1:18">
      <c r="A93" s="616"/>
      <c r="B93" s="297" t="s">
        <v>146</v>
      </c>
      <c r="C93" s="308"/>
      <c r="D93" s="320" t="s">
        <v>355</v>
      </c>
      <c r="E93" s="341"/>
      <c r="F93" s="299">
        <v>23.27</v>
      </c>
      <c r="G93" s="306">
        <v>1576</v>
      </c>
      <c r="H93" s="300">
        <f t="shared" si="23"/>
        <v>36673.519999999997</v>
      </c>
      <c r="I93" s="426"/>
      <c r="J93" s="301">
        <v>4</v>
      </c>
      <c r="K93" s="302">
        <f t="shared" ref="K93" si="25">G93/P93*60</f>
        <v>2363.9999999999991</v>
      </c>
      <c r="L93" s="303">
        <f t="shared" si="24"/>
        <v>590.99999999999977</v>
      </c>
      <c r="M93" s="304">
        <v>0.76388888888888884</v>
      </c>
      <c r="N93" s="304">
        <v>0.79166666666666663</v>
      </c>
      <c r="O93" s="296">
        <v>20</v>
      </c>
      <c r="P93" s="419">
        <f>(N93-M93)*24*60</f>
        <v>40.000000000000014</v>
      </c>
      <c r="Q93" s="305"/>
      <c r="R93" s="305"/>
    </row>
    <row r="94" spans="1:18">
      <c r="A94" s="616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26"/>
      <c r="J94" s="301">
        <v>4</v>
      </c>
      <c r="K94" s="302"/>
      <c r="L94" s="303"/>
      <c r="M94" s="304"/>
      <c r="N94" s="304"/>
      <c r="O94" s="296"/>
      <c r="P94" s="419"/>
      <c r="Q94" s="305"/>
      <c r="R94" s="305"/>
    </row>
    <row r="95" spans="1:18">
      <c r="A95" s="617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26"/>
      <c r="J95" s="301"/>
      <c r="K95" s="302"/>
      <c r="L95" s="303"/>
      <c r="M95" s="304"/>
      <c r="N95" s="304"/>
      <c r="O95" s="296"/>
      <c r="P95" s="419"/>
      <c r="Q95" s="305"/>
      <c r="R95" s="305"/>
    </row>
    <row r="96" spans="1:18">
      <c r="A96" s="617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26"/>
      <c r="J96" s="301"/>
      <c r="K96" s="302"/>
      <c r="L96" s="303"/>
      <c r="M96" s="304"/>
      <c r="N96" s="304"/>
      <c r="O96" s="296"/>
      <c r="P96" s="419"/>
      <c r="Q96" s="305"/>
      <c r="R96" s="305"/>
    </row>
    <row r="97" spans="1:18">
      <c r="A97" s="617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26"/>
      <c r="J97" s="301"/>
      <c r="K97" s="302"/>
      <c r="L97" s="303"/>
      <c r="M97" s="304"/>
      <c r="N97" s="304"/>
      <c r="O97" s="296"/>
      <c r="P97" s="419"/>
      <c r="Q97" s="305"/>
      <c r="R97" s="305"/>
    </row>
    <row r="98" spans="1:18">
      <c r="A98" s="617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26"/>
      <c r="J98" s="301"/>
      <c r="K98" s="302"/>
      <c r="L98" s="303"/>
      <c r="M98" s="304"/>
      <c r="N98" s="304"/>
      <c r="O98" s="296"/>
      <c r="P98" s="419"/>
      <c r="Q98" s="305"/>
      <c r="R98" s="305"/>
    </row>
    <row r="99" spans="1:18">
      <c r="A99" s="617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26"/>
      <c r="J99" s="301"/>
      <c r="K99" s="302"/>
      <c r="L99" s="303"/>
      <c r="M99" s="304"/>
      <c r="N99" s="304"/>
      <c r="O99" s="296"/>
      <c r="P99" s="419"/>
      <c r="Q99" s="305"/>
      <c r="R99" s="305"/>
    </row>
    <row r="100" spans="1:18" ht="15.75" customHeight="1">
      <c r="A100" s="617"/>
      <c r="B100" s="297">
        <v>0</v>
      </c>
      <c r="C100" s="6" t="s">
        <v>356</v>
      </c>
      <c r="D100" s="618" t="s">
        <v>293</v>
      </c>
      <c r="E100" s="619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2317.4999999999991</v>
      </c>
      <c r="L100" s="314">
        <f>AVERAGE(L92:L99)</f>
        <v>673.99999999999977</v>
      </c>
      <c r="M100" s="304"/>
      <c r="N100" s="304"/>
      <c r="O100" s="302"/>
      <c r="P100" s="302"/>
      <c r="Q100" s="303"/>
      <c r="R100" s="303"/>
    </row>
    <row r="101" spans="1:18" ht="16.2" customHeight="1">
      <c r="A101" s="620" t="s">
        <v>357</v>
      </c>
      <c r="B101" s="297" t="s">
        <v>146</v>
      </c>
      <c r="C101" s="6"/>
      <c r="D101" s="341" t="s">
        <v>137</v>
      </c>
      <c r="E101" s="354"/>
      <c r="F101" s="299">
        <v>25.03</v>
      </c>
      <c r="G101" s="424">
        <v>1241</v>
      </c>
      <c r="H101" s="300">
        <f t="shared" ref="H101:H110" si="26">F101*G101</f>
        <v>31062.230000000003</v>
      </c>
      <c r="I101" s="426"/>
      <c r="J101" s="301">
        <v>4</v>
      </c>
      <c r="K101" s="302">
        <f>G101/P101*60</f>
        <v>2978.3999999999915</v>
      </c>
      <c r="L101" s="303">
        <f t="shared" ref="L101:L105" si="27">K101/J101</f>
        <v>744.59999999999786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620"/>
      <c r="B102" s="297" t="s">
        <v>146</v>
      </c>
      <c r="C102" s="6"/>
      <c r="D102" s="320" t="s">
        <v>138</v>
      </c>
      <c r="E102" s="354"/>
      <c r="F102" s="299">
        <v>24.82</v>
      </c>
      <c r="G102" s="424">
        <v>1954</v>
      </c>
      <c r="H102" s="300">
        <f t="shared" si="26"/>
        <v>48498.28</v>
      </c>
      <c r="I102" s="426"/>
      <c r="J102" s="301">
        <v>4</v>
      </c>
      <c r="K102" s="302">
        <f t="shared" ref="K102:K105" si="29">G102/P102*60</f>
        <v>2930.9999999999986</v>
      </c>
      <c r="L102" s="303">
        <f t="shared" si="27"/>
        <v>732.74999999999966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620"/>
      <c r="B103" s="297" t="s">
        <v>146</v>
      </c>
      <c r="C103" s="6"/>
      <c r="D103" s="320" t="s">
        <v>358</v>
      </c>
      <c r="E103" s="320"/>
      <c r="F103" s="299">
        <v>30</v>
      </c>
      <c r="G103" s="424">
        <v>2222</v>
      </c>
      <c r="H103" s="300">
        <f t="shared" si="26"/>
        <v>66660</v>
      </c>
      <c r="I103" s="426"/>
      <c r="J103" s="301">
        <v>3</v>
      </c>
      <c r="K103" s="302">
        <f t="shared" si="29"/>
        <v>2962.666666666667</v>
      </c>
      <c r="L103" s="303">
        <f t="shared" si="27"/>
        <v>987.55555555555566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620"/>
      <c r="B104" s="297" t="s">
        <v>146</v>
      </c>
      <c r="C104" s="6"/>
      <c r="D104" s="337" t="s">
        <v>139</v>
      </c>
      <c r="E104" s="341"/>
      <c r="F104" s="299">
        <v>28.57</v>
      </c>
      <c r="G104" s="424">
        <v>2997</v>
      </c>
      <c r="H104" s="300">
        <f t="shared" si="26"/>
        <v>85624.29</v>
      </c>
      <c r="I104" s="426"/>
      <c r="J104" s="301">
        <v>3</v>
      </c>
      <c r="K104" s="302">
        <f t="shared" si="29"/>
        <v>3269.4545454545478</v>
      </c>
      <c r="L104" s="303">
        <f t="shared" si="27"/>
        <v>1089.8181818181827</v>
      </c>
      <c r="M104" s="304">
        <v>0.84027777777777779</v>
      </c>
      <c r="N104" s="304">
        <v>0.87847222222222221</v>
      </c>
      <c r="O104" s="296">
        <v>20</v>
      </c>
      <c r="P104" s="302">
        <f>(N104-M104)*24*60</f>
        <v>54.999999999999964</v>
      </c>
      <c r="Q104" s="305">
        <v>0.87847222222222221</v>
      </c>
      <c r="R104" s="305">
        <v>0.92013888888888884</v>
      </c>
    </row>
    <row r="105" spans="1:18">
      <c r="A105" s="620"/>
      <c r="B105" s="297" t="s">
        <v>146</v>
      </c>
      <c r="C105" s="6"/>
      <c r="D105" s="320" t="s">
        <v>140</v>
      </c>
      <c r="E105" s="337"/>
      <c r="F105" s="299">
        <v>14.285714285714283</v>
      </c>
      <c r="G105" s="424">
        <v>8365</v>
      </c>
      <c r="H105" s="300">
        <f t="shared" si="26"/>
        <v>119499.99999999997</v>
      </c>
      <c r="I105" s="426"/>
      <c r="J105" s="301">
        <v>3</v>
      </c>
      <c r="K105" s="302">
        <f t="shared" si="29"/>
        <v>3041.818181946951</v>
      </c>
      <c r="L105" s="303">
        <f t="shared" si="27"/>
        <v>1013.939393982317</v>
      </c>
      <c r="M105" s="304">
        <v>46144.934027777781</v>
      </c>
      <c r="N105" s="304">
        <v>46145.048611111109</v>
      </c>
      <c r="O105" s="296">
        <v>20</v>
      </c>
      <c r="P105" s="302">
        <f>(N105-M105)*24*60</f>
        <v>164.99999999301508</v>
      </c>
      <c r="Q105" s="303"/>
      <c r="R105" s="305"/>
    </row>
    <row r="106" spans="1:18">
      <c r="A106" s="620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26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20"/>
      <c r="B107" s="297">
        <v>0</v>
      </c>
      <c r="C107" s="6"/>
      <c r="D107" s="320"/>
      <c r="E107" s="337"/>
      <c r="F107" s="299" t="s">
        <v>148</v>
      </c>
      <c r="G107" s="424"/>
      <c r="H107" s="300">
        <f t="shared" si="26"/>
        <v>0</v>
      </c>
      <c r="I107" s="426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20"/>
      <c r="B108" s="297">
        <v>0</v>
      </c>
      <c r="C108" s="6"/>
      <c r="D108" s="320"/>
      <c r="E108" s="337"/>
      <c r="F108" s="299" t="s">
        <v>148</v>
      </c>
      <c r="G108" s="424"/>
      <c r="H108" s="300">
        <f t="shared" si="26"/>
        <v>0</v>
      </c>
      <c r="I108" s="426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20"/>
      <c r="B109" s="297">
        <v>0</v>
      </c>
      <c r="C109" s="308"/>
      <c r="D109" s="320"/>
      <c r="E109" s="337"/>
      <c r="F109" s="299" t="s">
        <v>148</v>
      </c>
      <c r="G109" s="424"/>
      <c r="H109" s="300">
        <f t="shared" si="26"/>
        <v>0</v>
      </c>
      <c r="I109" s="426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20"/>
      <c r="B110" s="297">
        <v>0</v>
      </c>
      <c r="C110" s="308"/>
      <c r="D110" s="320"/>
      <c r="E110" s="337"/>
      <c r="F110" s="299" t="s">
        <v>148</v>
      </c>
      <c r="G110" s="424"/>
      <c r="H110" s="300">
        <f t="shared" si="26"/>
        <v>0</v>
      </c>
      <c r="I110" s="426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20"/>
      <c r="B111" s="297">
        <v>0</v>
      </c>
      <c r="C111" s="6" t="s">
        <v>344</v>
      </c>
      <c r="D111" s="596" t="s">
        <v>293</v>
      </c>
      <c r="E111" s="621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3036.6678788136314</v>
      </c>
      <c r="L111" s="314">
        <f>AVERAGE(L101:L110)</f>
        <v>913.73262627121062</v>
      </c>
      <c r="M111" s="304"/>
      <c r="N111" s="304"/>
      <c r="O111" s="302"/>
      <c r="P111" s="302"/>
      <c r="Q111" s="303"/>
      <c r="R111" s="296"/>
    </row>
    <row r="112" spans="1:18" ht="16.2" customHeight="1">
      <c r="A112" s="610" t="s">
        <v>359</v>
      </c>
      <c r="B112" s="297" t="s">
        <v>146</v>
      </c>
      <c r="C112" s="6"/>
      <c r="D112" s="337" t="s">
        <v>134</v>
      </c>
      <c r="E112" s="357"/>
      <c r="F112" s="299">
        <v>16.7</v>
      </c>
      <c r="G112" s="424">
        <v>1083</v>
      </c>
      <c r="H112" s="347">
        <f t="shared" si="11"/>
        <v>18086.099999999999</v>
      </c>
      <c r="I112" s="426"/>
      <c r="J112" s="301">
        <v>3</v>
      </c>
      <c r="K112" s="302">
        <f t="shared" ref="K112:K118" si="30">G112/P112*60</f>
        <v>3248.9999999999854</v>
      </c>
      <c r="L112" s="303">
        <f t="shared" ref="L112:L118" si="31">K112/J112</f>
        <v>1082.9999999999952</v>
      </c>
      <c r="M112" s="304">
        <v>0.72222222222222221</v>
      </c>
      <c r="N112" s="304">
        <v>0.73611111111111116</v>
      </c>
      <c r="O112" s="296">
        <v>20</v>
      </c>
      <c r="P112" s="419">
        <f t="shared" ref="P112:P118" si="32">(N112-M112)*24*60</f>
        <v>20.000000000000089</v>
      </c>
      <c r="Q112" s="296"/>
      <c r="R112" s="296"/>
    </row>
    <row r="113" spans="1:18">
      <c r="A113" s="610"/>
      <c r="B113" s="297" t="s">
        <v>146</v>
      </c>
      <c r="C113" s="319"/>
      <c r="D113" s="418" t="s">
        <v>141</v>
      </c>
      <c r="E113" s="418"/>
      <c r="F113" s="299">
        <v>18.18</v>
      </c>
      <c r="G113" s="424">
        <v>990</v>
      </c>
      <c r="H113" s="347">
        <f t="shared" si="11"/>
        <v>17998.2</v>
      </c>
      <c r="I113" s="426"/>
      <c r="J113" s="301">
        <v>4</v>
      </c>
      <c r="K113" s="302">
        <f t="shared" si="30"/>
        <v>2970.0000000000105</v>
      </c>
      <c r="L113" s="303">
        <f t="shared" si="31"/>
        <v>742.50000000000261</v>
      </c>
      <c r="M113" s="304">
        <v>0.75</v>
      </c>
      <c r="N113" s="304">
        <v>0.76388888888888884</v>
      </c>
      <c r="O113" s="296">
        <v>20</v>
      </c>
      <c r="P113" s="419">
        <f t="shared" si="32"/>
        <v>19.999999999999929</v>
      </c>
      <c r="Q113" s="305"/>
      <c r="R113" s="305"/>
    </row>
    <row r="114" spans="1:18">
      <c r="A114" s="610"/>
      <c r="B114" s="297" t="s">
        <v>146</v>
      </c>
      <c r="C114" s="319"/>
      <c r="D114" s="418" t="s">
        <v>360</v>
      </c>
      <c r="E114" s="320"/>
      <c r="F114" s="299">
        <v>18.18</v>
      </c>
      <c r="G114" s="424">
        <v>1118</v>
      </c>
      <c r="H114" s="347">
        <f t="shared" si="11"/>
        <v>20325.239999999998</v>
      </c>
      <c r="I114" s="426"/>
      <c r="J114" s="301">
        <v>3</v>
      </c>
      <c r="K114" s="302">
        <f t="shared" si="30"/>
        <v>3354.0000000000118</v>
      </c>
      <c r="L114" s="303">
        <f t="shared" si="31"/>
        <v>1118.0000000000039</v>
      </c>
      <c r="M114" s="304">
        <v>0.77777777777777779</v>
      </c>
      <c r="N114" s="304">
        <v>0.79166666666666663</v>
      </c>
      <c r="O114" s="296">
        <v>20</v>
      </c>
      <c r="P114" s="419">
        <f t="shared" si="32"/>
        <v>19.999999999999929</v>
      </c>
      <c r="Q114" s="305"/>
      <c r="R114" s="305"/>
    </row>
    <row r="115" spans="1:18">
      <c r="A115" s="610"/>
      <c r="B115" s="297" t="s">
        <v>146</v>
      </c>
      <c r="C115" s="319"/>
      <c r="D115" s="320" t="s">
        <v>133</v>
      </c>
      <c r="E115" s="341"/>
      <c r="F115" s="299">
        <v>16.66</v>
      </c>
      <c r="G115" s="424">
        <v>5505</v>
      </c>
      <c r="H115" s="347">
        <f t="shared" si="11"/>
        <v>91713.3</v>
      </c>
      <c r="I115" s="426"/>
      <c r="J115" s="301">
        <v>4</v>
      </c>
      <c r="K115" s="302">
        <f t="shared" si="30"/>
        <v>3002.7272727272657</v>
      </c>
      <c r="L115" s="303">
        <f t="shared" si="31"/>
        <v>750.68181818181642</v>
      </c>
      <c r="M115" s="304">
        <v>0.80555555555555547</v>
      </c>
      <c r="N115" s="304">
        <v>0.88194444444444453</v>
      </c>
      <c r="O115" s="296">
        <v>20</v>
      </c>
      <c r="P115" s="419">
        <f t="shared" si="32"/>
        <v>110.00000000000026</v>
      </c>
      <c r="Q115" s="305"/>
      <c r="R115" s="305"/>
    </row>
    <row r="116" spans="1:18">
      <c r="A116" s="610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24">
        <v>1040</v>
      </c>
      <c r="H116" s="347">
        <f t="shared" si="11"/>
        <v>23173.090909090908</v>
      </c>
      <c r="I116" s="426"/>
      <c r="J116" s="301">
        <v>4</v>
      </c>
      <c r="K116" s="302">
        <f t="shared" si="30"/>
        <v>3120.0000000000109</v>
      </c>
      <c r="L116" s="303">
        <f t="shared" si="31"/>
        <v>780.00000000000273</v>
      </c>
      <c r="M116" s="304">
        <v>0.89583333333333337</v>
      </c>
      <c r="N116" s="349">
        <v>0.90972222222222221</v>
      </c>
      <c r="O116" s="296">
        <v>20</v>
      </c>
      <c r="P116" s="419">
        <f t="shared" si="32"/>
        <v>19.999999999999929</v>
      </c>
      <c r="Q116" s="305">
        <v>0.90972222222222221</v>
      </c>
      <c r="R116" s="305">
        <v>0.95138888888888884</v>
      </c>
    </row>
    <row r="117" spans="1:18">
      <c r="A117" s="610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24">
        <v>3751</v>
      </c>
      <c r="H117" s="347">
        <f t="shared" ref="H117:H123" si="33">F117*G117</f>
        <v>67108.800000000003</v>
      </c>
      <c r="I117" s="426"/>
      <c r="J117" s="301">
        <v>3</v>
      </c>
      <c r="K117" s="302">
        <f t="shared" si="30"/>
        <v>3000.8000002794711</v>
      </c>
      <c r="L117" s="303">
        <f t="shared" si="31"/>
        <v>1000.2666667598237</v>
      </c>
      <c r="M117" s="304">
        <v>46144.965277777781</v>
      </c>
      <c r="N117" s="304">
        <v>46145.017361111109</v>
      </c>
      <c r="O117" s="302">
        <v>20</v>
      </c>
      <c r="P117" s="419">
        <f t="shared" si="32"/>
        <v>74.999999993015081</v>
      </c>
      <c r="Q117" s="305"/>
      <c r="R117" s="305"/>
    </row>
    <row r="118" spans="1:18">
      <c r="A118" s="610"/>
      <c r="B118" s="297" t="s">
        <v>146</v>
      </c>
      <c r="C118" s="319"/>
      <c r="D118" s="320" t="s">
        <v>361</v>
      </c>
      <c r="E118" s="336"/>
      <c r="F118" s="299">
        <v>14.03</v>
      </c>
      <c r="G118" s="424">
        <v>5856</v>
      </c>
      <c r="H118" s="347">
        <f t="shared" si="33"/>
        <v>82159.679999999993</v>
      </c>
      <c r="I118" s="426"/>
      <c r="J118" s="301">
        <v>3</v>
      </c>
      <c r="K118" s="302">
        <f t="shared" si="30"/>
        <v>3055.304347826087</v>
      </c>
      <c r="L118" s="303">
        <f t="shared" si="31"/>
        <v>1018.4347826086956</v>
      </c>
      <c r="M118" s="304">
        <v>3.125E-2</v>
      </c>
      <c r="N118" s="304">
        <v>0.1111111111111111</v>
      </c>
      <c r="O118" s="302">
        <v>20</v>
      </c>
      <c r="P118" s="419">
        <f t="shared" si="32"/>
        <v>114.99999999999999</v>
      </c>
      <c r="Q118" s="305"/>
      <c r="R118" s="305"/>
    </row>
    <row r="119" spans="1:18">
      <c r="A119" s="610"/>
      <c r="B119" s="297">
        <v>0</v>
      </c>
      <c r="C119" s="319"/>
      <c r="D119" s="337"/>
      <c r="E119" s="336"/>
      <c r="F119" s="299" t="s">
        <v>148</v>
      </c>
      <c r="G119" s="424"/>
      <c r="H119" s="347">
        <f t="shared" si="33"/>
        <v>0</v>
      </c>
      <c r="I119" s="426"/>
      <c r="J119" s="301"/>
      <c r="K119" s="302"/>
      <c r="L119" s="303"/>
      <c r="M119" s="304"/>
      <c r="N119" s="304"/>
      <c r="O119" s="296"/>
      <c r="P119" s="419"/>
      <c r="Q119" s="305"/>
      <c r="R119" s="305"/>
    </row>
    <row r="120" spans="1:18">
      <c r="A120" s="610"/>
      <c r="B120" s="297">
        <v>0</v>
      </c>
      <c r="C120" s="319"/>
      <c r="D120" s="337"/>
      <c r="E120" s="336"/>
      <c r="F120" s="299" t="s">
        <v>148</v>
      </c>
      <c r="G120" s="424"/>
      <c r="H120" s="347">
        <f t="shared" si="33"/>
        <v>0</v>
      </c>
      <c r="I120" s="426"/>
      <c r="J120" s="301"/>
      <c r="K120" s="302"/>
      <c r="L120" s="303"/>
      <c r="M120" s="304"/>
      <c r="N120" s="304"/>
      <c r="O120" s="296"/>
      <c r="P120" s="419"/>
      <c r="Q120" s="305"/>
      <c r="R120" s="305"/>
    </row>
    <row r="121" spans="1:18">
      <c r="A121" s="610"/>
      <c r="B121" s="297">
        <v>0</v>
      </c>
      <c r="C121" s="319"/>
      <c r="D121" s="337"/>
      <c r="E121" s="336"/>
      <c r="F121" s="299" t="s">
        <v>148</v>
      </c>
      <c r="G121" s="424"/>
      <c r="H121" s="347">
        <f t="shared" si="33"/>
        <v>0</v>
      </c>
      <c r="I121" s="426"/>
      <c r="J121" s="301"/>
      <c r="K121" s="302"/>
      <c r="L121" s="303"/>
      <c r="M121" s="304"/>
      <c r="N121" s="304"/>
      <c r="O121" s="296"/>
      <c r="P121" s="419"/>
      <c r="Q121" s="305"/>
      <c r="R121" s="305"/>
    </row>
    <row r="122" spans="1:18" ht="15.6" customHeight="1">
      <c r="A122" s="610"/>
      <c r="B122" s="297">
        <v>0</v>
      </c>
      <c r="C122" s="319"/>
      <c r="D122" s="337"/>
      <c r="E122" s="336"/>
      <c r="F122" s="299" t="s">
        <v>148</v>
      </c>
      <c r="G122" s="424"/>
      <c r="H122" s="347">
        <f t="shared" si="33"/>
        <v>0</v>
      </c>
      <c r="I122" s="426"/>
      <c r="J122" s="301"/>
      <c r="K122" s="302"/>
      <c r="L122" s="303"/>
      <c r="M122" s="304"/>
      <c r="N122" s="304"/>
      <c r="O122" s="296"/>
      <c r="P122" s="419"/>
      <c r="Q122" s="305"/>
      <c r="R122" s="305"/>
    </row>
    <row r="123" spans="1:18">
      <c r="A123" s="610"/>
      <c r="B123" s="297">
        <v>0</v>
      </c>
      <c r="C123" s="319"/>
      <c r="D123" s="337"/>
      <c r="E123" s="336"/>
      <c r="F123" s="299" t="s">
        <v>148</v>
      </c>
      <c r="G123" s="424"/>
      <c r="H123" s="347">
        <f t="shared" si="33"/>
        <v>0</v>
      </c>
      <c r="I123" s="426"/>
      <c r="J123" s="301"/>
      <c r="K123" s="302"/>
      <c r="L123" s="303"/>
      <c r="M123" s="304"/>
      <c r="N123" s="304"/>
      <c r="O123" s="296"/>
      <c r="P123" s="419"/>
      <c r="Q123" s="305"/>
      <c r="R123" s="305"/>
    </row>
    <row r="124" spans="1:18" ht="17.399999999999999" customHeight="1">
      <c r="A124" s="610"/>
      <c r="B124" s="308">
        <v>0</v>
      </c>
      <c r="C124" s="6" t="s">
        <v>350</v>
      </c>
      <c r="D124" s="611" t="s">
        <v>293</v>
      </c>
      <c r="E124" s="611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3107.4045172618348</v>
      </c>
      <c r="L124" s="314">
        <f>AVERAGE(L112:L123)</f>
        <v>927.55475250719144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activeCell="N9" sqref="N9"/>
      <selection pane="bottomLeft" activeCell="N9" sqref="N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163</v>
      </c>
      <c r="B1" s="28"/>
      <c r="C1" s="28"/>
      <c r="D1" s="447" t="s">
        <v>113</v>
      </c>
      <c r="E1" s="29">
        <f>SUM(G5:G173)</f>
        <v>153131.20000000001</v>
      </c>
      <c r="F1" s="431" t="s">
        <v>3</v>
      </c>
      <c r="G1" s="30">
        <f>SUM(H5:H173)</f>
        <v>6182664.1067299377</v>
      </c>
      <c r="H1" s="446" t="s">
        <v>37</v>
      </c>
      <c r="I1" s="31">
        <f>M17+M30+M43+M56+M69+M82+M95+M108+M121+M134+M147+M160+M173</f>
        <v>193.78571428571428</v>
      </c>
      <c r="J1" s="622" t="s">
        <v>38</v>
      </c>
      <c r="K1" s="622"/>
      <c r="L1" s="622"/>
      <c r="M1" s="622" t="s">
        <v>39</v>
      </c>
      <c r="N1" s="622"/>
      <c r="O1" s="622"/>
      <c r="P1" s="622" t="s">
        <v>224</v>
      </c>
      <c r="Q1" s="622"/>
      <c r="R1" s="622"/>
      <c r="S1" s="622"/>
      <c r="T1" s="622" t="s">
        <v>156</v>
      </c>
      <c r="U1" s="622"/>
      <c r="V1" s="622"/>
      <c r="W1" s="622"/>
      <c r="X1" s="622"/>
      <c r="Y1" s="622"/>
      <c r="Z1" s="32" t="s">
        <v>164</v>
      </c>
      <c r="AA1" s="32" t="s">
        <v>183</v>
      </c>
      <c r="AB1" s="623" t="s">
        <v>181</v>
      </c>
      <c r="AC1" s="624"/>
      <c r="AD1" s="32" t="s">
        <v>164</v>
      </c>
      <c r="AE1" s="32" t="s">
        <v>165</v>
      </c>
      <c r="AF1" s="622" t="s">
        <v>166</v>
      </c>
      <c r="AG1" s="627"/>
      <c r="AH1" s="627"/>
    </row>
    <row r="2" spans="1:34" ht="26.25" customHeight="1">
      <c r="A2" s="632" t="s">
        <v>321</v>
      </c>
      <c r="B2" s="632"/>
      <c r="C2" s="447"/>
      <c r="D2" s="447" t="s">
        <v>225</v>
      </c>
      <c r="E2" s="34">
        <f>AVERAGE(O17,O30,O43,O56,O69,O82,O95,O108,O121,O134,O147,O160,O173)</f>
        <v>126.17472392457496</v>
      </c>
      <c r="F2" s="35" t="s">
        <v>40</v>
      </c>
      <c r="G2" s="36">
        <f>G1/E1</f>
        <v>40.37494714813139</v>
      </c>
      <c r="H2" s="446" t="s">
        <v>41</v>
      </c>
      <c r="I2" s="446">
        <f>COUNT(I5:I173)</f>
        <v>6</v>
      </c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25"/>
      <c r="AC2" s="626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627"/>
      <c r="AG2" s="627"/>
      <c r="AH2" s="627"/>
    </row>
    <row r="3" spans="1:34" ht="30.6" customHeight="1">
      <c r="A3" s="633" t="s">
        <v>114</v>
      </c>
      <c r="B3" s="633" t="s">
        <v>42</v>
      </c>
      <c r="C3" s="634"/>
      <c r="D3" s="633" t="s">
        <v>115</v>
      </c>
      <c r="E3" s="633"/>
      <c r="F3" s="634" t="s">
        <v>43</v>
      </c>
      <c r="G3" s="647" t="s">
        <v>44</v>
      </c>
      <c r="H3" s="634" t="s">
        <v>45</v>
      </c>
      <c r="I3" s="628" t="s">
        <v>157</v>
      </c>
      <c r="J3" s="629" t="s">
        <v>46</v>
      </c>
      <c r="K3" s="630" t="s">
        <v>47</v>
      </c>
      <c r="L3" s="631" t="s">
        <v>35</v>
      </c>
      <c r="M3" s="647" t="s">
        <v>46</v>
      </c>
      <c r="N3" s="630" t="s">
        <v>116</v>
      </c>
      <c r="O3" s="631" t="s">
        <v>225</v>
      </c>
      <c r="P3" s="629" t="s">
        <v>117</v>
      </c>
      <c r="Q3" s="631" t="s">
        <v>225</v>
      </c>
      <c r="R3" s="640" t="s">
        <v>167</v>
      </c>
      <c r="S3" s="641" t="s">
        <v>168</v>
      </c>
      <c r="T3" s="647" t="s">
        <v>48</v>
      </c>
      <c r="U3" s="647"/>
      <c r="V3" s="648" t="s">
        <v>49</v>
      </c>
      <c r="W3" s="628" t="s">
        <v>118</v>
      </c>
      <c r="X3" s="647" t="s">
        <v>119</v>
      </c>
      <c r="Y3" s="647"/>
      <c r="Z3" s="649" t="s">
        <v>184</v>
      </c>
      <c r="AA3" s="650"/>
      <c r="AB3" s="636" t="s">
        <v>169</v>
      </c>
      <c r="AC3" s="637"/>
      <c r="AD3" s="638" t="s">
        <v>185</v>
      </c>
      <c r="AE3" s="639"/>
      <c r="AF3" s="630" t="s">
        <v>116</v>
      </c>
      <c r="AG3" s="640" t="s">
        <v>167</v>
      </c>
      <c r="AH3" s="641" t="s">
        <v>168</v>
      </c>
    </row>
    <row r="4" spans="1:34" ht="30.6" customHeight="1">
      <c r="A4" s="634"/>
      <c r="B4" s="633"/>
      <c r="C4" s="635"/>
      <c r="D4" s="633"/>
      <c r="E4" s="633"/>
      <c r="F4" s="635"/>
      <c r="G4" s="647"/>
      <c r="H4" s="635"/>
      <c r="I4" s="628"/>
      <c r="J4" s="629"/>
      <c r="K4" s="630"/>
      <c r="L4" s="631"/>
      <c r="M4" s="647"/>
      <c r="N4" s="630"/>
      <c r="O4" s="631"/>
      <c r="P4" s="629"/>
      <c r="Q4" s="631"/>
      <c r="R4" s="640"/>
      <c r="S4" s="641"/>
      <c r="T4" s="441" t="s">
        <v>50</v>
      </c>
      <c r="U4" s="441" t="s">
        <v>51</v>
      </c>
      <c r="V4" s="647"/>
      <c r="W4" s="628"/>
      <c r="X4" s="431" t="s">
        <v>158</v>
      </c>
      <c r="Y4" s="431" t="s">
        <v>36</v>
      </c>
      <c r="Z4" s="441" t="s">
        <v>170</v>
      </c>
      <c r="AA4" s="441" t="s">
        <v>226</v>
      </c>
      <c r="AB4" s="637"/>
      <c r="AC4" s="637"/>
      <c r="AD4" s="441" t="s">
        <v>227</v>
      </c>
      <c r="AE4" s="39" t="s">
        <v>171</v>
      </c>
      <c r="AF4" s="630"/>
      <c r="AG4" s="640"/>
      <c r="AH4" s="641"/>
    </row>
    <row r="5" spans="1:34" ht="18.75" customHeight="1">
      <c r="A5" s="642" t="s">
        <v>228</v>
      </c>
      <c r="B5" s="40" t="s">
        <v>142</v>
      </c>
      <c r="C5" s="41"/>
      <c r="D5" s="42" t="s">
        <v>52</v>
      </c>
      <c r="E5" s="43"/>
      <c r="F5" s="361">
        <v>37.83</v>
      </c>
      <c r="G5" s="44">
        <v>5511</v>
      </c>
      <c r="H5" s="45">
        <f t="shared" ref="H5:H16" si="0">F5*G5</f>
        <v>208481.13</v>
      </c>
      <c r="I5" s="442"/>
      <c r="J5" s="46">
        <v>20</v>
      </c>
      <c r="K5" s="44">
        <v>2400</v>
      </c>
      <c r="L5" s="47">
        <v>120</v>
      </c>
      <c r="M5" s="443">
        <v>20</v>
      </c>
      <c r="N5" s="44">
        <f t="shared" ref="N5:N10" si="1">G5/W5*60</f>
        <v>2264.7945205479455</v>
      </c>
      <c r="O5" s="47">
        <f t="shared" ref="O5:O10" si="2">N5/M5</f>
        <v>113.23972602739727</v>
      </c>
      <c r="P5" s="48">
        <f t="shared" ref="P5:P10" si="3">M5-J5</f>
        <v>0</v>
      </c>
      <c r="Q5" s="49">
        <f t="shared" ref="Q5:Q10" si="4">O5-L5</f>
        <v>-6.7602739726027323</v>
      </c>
      <c r="R5" s="433">
        <f t="shared" ref="R5:R10" si="5">O5/L5</f>
        <v>0.94366438356164395</v>
      </c>
      <c r="S5" s="645">
        <f>R17</f>
        <v>0.89428165410772231</v>
      </c>
      <c r="T5" s="89">
        <v>0.25</v>
      </c>
      <c r="U5" s="89">
        <v>0.35138888888888886</v>
      </c>
      <c r="V5" s="431">
        <v>5</v>
      </c>
      <c r="W5" s="442">
        <f>(U5-T5)*24*60</f>
        <v>145.99999999999997</v>
      </c>
      <c r="X5" s="431"/>
      <c r="Y5" s="431"/>
      <c r="Z5" s="51"/>
      <c r="AA5" s="51"/>
      <c r="AB5" s="633"/>
      <c r="AC5" s="633"/>
      <c r="AD5" s="52"/>
      <c r="AE5" s="52"/>
      <c r="AF5" s="48">
        <f t="shared" ref="AF5:AF70" si="6">N5-K5</f>
        <v>-135.20547945205453</v>
      </c>
      <c r="AG5" s="433">
        <f t="shared" ref="AG5:AG70" si="7">N5/K5</f>
        <v>0.94366438356164395</v>
      </c>
      <c r="AH5" s="645">
        <f>AG17</f>
        <v>0.91237201797658596</v>
      </c>
    </row>
    <row r="6" spans="1:34" ht="19.2" customHeight="1">
      <c r="A6" s="643"/>
      <c r="B6" s="40" t="s">
        <v>142</v>
      </c>
      <c r="C6" s="41"/>
      <c r="D6" s="42" t="s">
        <v>252</v>
      </c>
      <c r="E6" s="43"/>
      <c r="F6" s="361">
        <v>38.99</v>
      </c>
      <c r="G6" s="44">
        <v>1462</v>
      </c>
      <c r="H6" s="45">
        <f t="shared" si="0"/>
        <v>57003.380000000005</v>
      </c>
      <c r="I6" s="442"/>
      <c r="J6" s="46">
        <v>17</v>
      </c>
      <c r="K6" s="44">
        <v>2700</v>
      </c>
      <c r="L6" s="47">
        <v>158.8235294117647</v>
      </c>
      <c r="M6" s="443">
        <v>17</v>
      </c>
      <c r="N6" s="44">
        <f t="shared" si="1"/>
        <v>2370.810810810809</v>
      </c>
      <c r="O6" s="47">
        <f t="shared" si="2"/>
        <v>139.45945945945937</v>
      </c>
      <c r="P6" s="48">
        <f t="shared" si="3"/>
        <v>0</v>
      </c>
      <c r="Q6" s="49">
        <f t="shared" si="4"/>
        <v>-19.364069952305329</v>
      </c>
      <c r="R6" s="433">
        <f t="shared" si="5"/>
        <v>0.87807807807807758</v>
      </c>
      <c r="S6" s="645"/>
      <c r="T6" s="89">
        <v>0.36736111111111108</v>
      </c>
      <c r="U6" s="89">
        <v>0.39305555555555555</v>
      </c>
      <c r="V6" s="431">
        <v>23</v>
      </c>
      <c r="W6" s="442">
        <f t="shared" ref="W6:W17" si="8">(U6-T6)*24*60</f>
        <v>37.000000000000028</v>
      </c>
      <c r="X6" s="53">
        <v>0.35625000000000001</v>
      </c>
      <c r="Y6" s="53">
        <v>0.3666666666666667</v>
      </c>
      <c r="Z6" s="54"/>
      <c r="AA6" s="54"/>
      <c r="AB6" s="633"/>
      <c r="AC6" s="633"/>
      <c r="AD6" s="429"/>
      <c r="AE6" s="429">
        <v>1</v>
      </c>
      <c r="AF6" s="48">
        <f t="shared" si="6"/>
        <v>-329.18918918919098</v>
      </c>
      <c r="AG6" s="433">
        <f t="shared" si="7"/>
        <v>0.87807807807807736</v>
      </c>
      <c r="AH6" s="645"/>
    </row>
    <row r="7" spans="1:34" ht="19.2" customHeight="1">
      <c r="A7" s="643"/>
      <c r="B7" s="40" t="s">
        <v>142</v>
      </c>
      <c r="C7" s="41"/>
      <c r="D7" s="42" t="s">
        <v>246</v>
      </c>
      <c r="E7" s="43"/>
      <c r="F7" s="361">
        <v>28.86</v>
      </c>
      <c r="G7" s="44">
        <v>1680</v>
      </c>
      <c r="H7" s="45">
        <f t="shared" si="0"/>
        <v>48484.799999999996</v>
      </c>
      <c r="I7" s="442"/>
      <c r="J7" s="46">
        <v>17</v>
      </c>
      <c r="K7" s="44">
        <v>2700</v>
      </c>
      <c r="L7" s="47">
        <v>158.8235294117647</v>
      </c>
      <c r="M7" s="443">
        <v>17</v>
      </c>
      <c r="N7" s="44">
        <f t="shared" si="1"/>
        <v>2344.1860465116274</v>
      </c>
      <c r="O7" s="47">
        <f t="shared" si="2"/>
        <v>137.89329685362515</v>
      </c>
      <c r="P7" s="48">
        <f t="shared" si="3"/>
        <v>0</v>
      </c>
      <c r="Q7" s="49">
        <f t="shared" si="4"/>
        <v>-20.930232558139551</v>
      </c>
      <c r="R7" s="433">
        <f t="shared" si="5"/>
        <v>0.86821705426356577</v>
      </c>
      <c r="S7" s="645"/>
      <c r="T7" s="89">
        <v>0.39791666666666664</v>
      </c>
      <c r="U7" s="89">
        <v>0.42777777777777776</v>
      </c>
      <c r="V7" s="431">
        <v>7</v>
      </c>
      <c r="W7" s="442">
        <f t="shared" si="8"/>
        <v>43.000000000000007</v>
      </c>
      <c r="X7" s="53"/>
      <c r="Y7" s="53"/>
      <c r="Z7" s="54"/>
      <c r="AA7" s="54"/>
      <c r="AB7" s="633"/>
      <c r="AC7" s="633"/>
      <c r="AD7" s="429"/>
      <c r="AE7" s="429"/>
      <c r="AF7" s="48">
        <f t="shared" si="6"/>
        <v>-355.81395348837259</v>
      </c>
      <c r="AG7" s="433">
        <f t="shared" si="7"/>
        <v>0.86821705426356566</v>
      </c>
      <c r="AH7" s="645"/>
    </row>
    <row r="8" spans="1:34" ht="19.2" customHeight="1">
      <c r="A8" s="643"/>
      <c r="B8" s="40" t="s">
        <v>142</v>
      </c>
      <c r="C8" s="41"/>
      <c r="D8" s="42" t="s">
        <v>53</v>
      </c>
      <c r="E8" s="43"/>
      <c r="F8" s="361">
        <v>31.11</v>
      </c>
      <c r="G8" s="44">
        <v>2206</v>
      </c>
      <c r="H8" s="45">
        <f t="shared" si="0"/>
        <v>68628.66</v>
      </c>
      <c r="I8" s="442"/>
      <c r="J8" s="46">
        <v>18</v>
      </c>
      <c r="K8" s="44">
        <v>2700</v>
      </c>
      <c r="L8" s="47">
        <v>150</v>
      </c>
      <c r="M8" s="443">
        <v>19</v>
      </c>
      <c r="N8" s="44">
        <f t="shared" si="1"/>
        <v>2497.3584905660355</v>
      </c>
      <c r="O8" s="47">
        <f t="shared" si="2"/>
        <v>131.43992055610713</v>
      </c>
      <c r="P8" s="48">
        <f t="shared" si="3"/>
        <v>1</v>
      </c>
      <c r="Q8" s="49">
        <f t="shared" si="4"/>
        <v>-18.560079443892874</v>
      </c>
      <c r="R8" s="433">
        <f t="shared" si="5"/>
        <v>0.87626613704071421</v>
      </c>
      <c r="S8" s="645"/>
      <c r="T8" s="89">
        <v>0.4680555555555555</v>
      </c>
      <c r="U8" s="89">
        <v>0.50486111111111109</v>
      </c>
      <c r="V8" s="431">
        <v>5</v>
      </c>
      <c r="W8" s="442">
        <f t="shared" si="8"/>
        <v>53.00000000000005</v>
      </c>
      <c r="X8" s="53"/>
      <c r="Y8" s="53"/>
      <c r="Z8" s="54"/>
      <c r="AA8" s="54"/>
      <c r="AB8" s="633"/>
      <c r="AC8" s="633"/>
      <c r="AD8" s="429"/>
      <c r="AE8" s="429"/>
      <c r="AF8" s="48">
        <f t="shared" si="6"/>
        <v>-202.64150943396453</v>
      </c>
      <c r="AG8" s="433">
        <f t="shared" si="7"/>
        <v>0.9249475890985317</v>
      </c>
      <c r="AH8" s="645"/>
    </row>
    <row r="9" spans="1:34" ht="19.2" customHeight="1">
      <c r="A9" s="643"/>
      <c r="B9" s="40" t="s">
        <v>142</v>
      </c>
      <c r="C9" s="55"/>
      <c r="D9" s="42" t="s">
        <v>54</v>
      </c>
      <c r="E9" s="56"/>
      <c r="F9" s="361">
        <v>38.479999999999997</v>
      </c>
      <c r="G9" s="57">
        <v>2901</v>
      </c>
      <c r="H9" s="45">
        <f t="shared" si="0"/>
        <v>111630.48</v>
      </c>
      <c r="I9" s="429"/>
      <c r="J9" s="46">
        <v>18</v>
      </c>
      <c r="K9" s="44">
        <v>2700</v>
      </c>
      <c r="L9" s="47">
        <v>150</v>
      </c>
      <c r="M9" s="443">
        <v>19</v>
      </c>
      <c r="N9" s="44">
        <f t="shared" si="1"/>
        <v>2522.6086956521713</v>
      </c>
      <c r="O9" s="47">
        <f t="shared" si="2"/>
        <v>132.76887871853532</v>
      </c>
      <c r="P9" s="48">
        <f t="shared" si="3"/>
        <v>1</v>
      </c>
      <c r="Q9" s="49">
        <f t="shared" si="4"/>
        <v>-17.231121281464681</v>
      </c>
      <c r="R9" s="433">
        <f t="shared" si="5"/>
        <v>0.88512585812356881</v>
      </c>
      <c r="S9" s="645"/>
      <c r="T9" s="89">
        <v>0.51041666666666663</v>
      </c>
      <c r="U9" s="89">
        <v>0.55833333333333335</v>
      </c>
      <c r="V9" s="431">
        <v>8</v>
      </c>
      <c r="W9" s="442">
        <f t="shared" si="8"/>
        <v>69.000000000000071</v>
      </c>
      <c r="X9" s="53"/>
      <c r="Y9" s="53"/>
      <c r="Z9" s="54"/>
      <c r="AA9" s="54"/>
      <c r="AB9" s="633"/>
      <c r="AC9" s="633"/>
      <c r="AD9" s="429"/>
      <c r="AE9" s="429"/>
      <c r="AF9" s="48">
        <f t="shared" si="6"/>
        <v>-177.39130434782874</v>
      </c>
      <c r="AG9" s="433">
        <f t="shared" si="7"/>
        <v>0.93429951690821156</v>
      </c>
      <c r="AH9" s="645"/>
    </row>
    <row r="10" spans="1:34" ht="19.2" customHeight="1">
      <c r="A10" s="644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3844</v>
      </c>
      <c r="H10" s="45">
        <f t="shared" si="0"/>
        <v>145303.19999999998</v>
      </c>
      <c r="I10" s="442"/>
      <c r="J10" s="46">
        <v>19</v>
      </c>
      <c r="K10" s="44">
        <v>2700</v>
      </c>
      <c r="L10" s="47">
        <v>142.10526315789474</v>
      </c>
      <c r="M10" s="443">
        <v>19</v>
      </c>
      <c r="N10" s="44">
        <f t="shared" si="1"/>
        <v>2506.9565217391305</v>
      </c>
      <c r="O10" s="47">
        <f t="shared" si="2"/>
        <v>131.94508009153319</v>
      </c>
      <c r="P10" s="48">
        <f t="shared" si="3"/>
        <v>0</v>
      </c>
      <c r="Q10" s="49">
        <f t="shared" si="4"/>
        <v>-10.160183066361554</v>
      </c>
      <c r="R10" s="433">
        <f t="shared" si="5"/>
        <v>0.92850241545893719</v>
      </c>
      <c r="S10" s="646"/>
      <c r="T10" s="89">
        <v>0.57361111111111107</v>
      </c>
      <c r="U10" s="89">
        <v>0.63749999999999996</v>
      </c>
      <c r="V10" s="431">
        <v>22</v>
      </c>
      <c r="W10" s="442">
        <f t="shared" si="8"/>
        <v>92</v>
      </c>
      <c r="X10" s="53">
        <v>0.5625</v>
      </c>
      <c r="Y10" s="53">
        <v>0.57291666666666663</v>
      </c>
      <c r="Z10" s="54"/>
      <c r="AA10" s="54"/>
      <c r="AB10" s="633"/>
      <c r="AC10" s="633"/>
      <c r="AD10" s="429"/>
      <c r="AE10" s="429"/>
      <c r="AF10" s="48">
        <f t="shared" si="6"/>
        <v>-193.04347826086951</v>
      </c>
      <c r="AG10" s="433">
        <f t="shared" si="7"/>
        <v>0.92850241545893719</v>
      </c>
      <c r="AH10" s="646"/>
    </row>
    <row r="11" spans="1:34" ht="19.2" customHeight="1">
      <c r="A11" s="644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442"/>
      <c r="J11" s="46"/>
      <c r="K11" s="44"/>
      <c r="L11" s="47"/>
      <c r="M11" s="443"/>
      <c r="N11" s="44"/>
      <c r="O11" s="47"/>
      <c r="P11" s="48"/>
      <c r="Q11" s="49"/>
      <c r="R11" s="433"/>
      <c r="S11" s="646"/>
      <c r="T11" s="89"/>
      <c r="U11" s="89"/>
      <c r="V11" s="431"/>
      <c r="W11" s="442">
        <f t="shared" si="8"/>
        <v>0</v>
      </c>
      <c r="X11" s="53"/>
      <c r="Y11" s="53"/>
      <c r="Z11" s="54"/>
      <c r="AA11" s="54"/>
      <c r="AB11" s="633"/>
      <c r="AC11" s="633"/>
      <c r="AD11" s="429"/>
      <c r="AE11" s="429"/>
      <c r="AF11" s="48">
        <f t="shared" si="6"/>
        <v>0</v>
      </c>
      <c r="AG11" s="433" t="e">
        <f t="shared" si="7"/>
        <v>#DIV/0!</v>
      </c>
      <c r="AH11" s="646"/>
    </row>
    <row r="12" spans="1:34" ht="19.2" customHeight="1">
      <c r="A12" s="644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442"/>
      <c r="J12" s="46"/>
      <c r="K12" s="44"/>
      <c r="L12" s="47"/>
      <c r="M12" s="443"/>
      <c r="N12" s="44"/>
      <c r="O12" s="47"/>
      <c r="P12" s="48"/>
      <c r="Q12" s="49"/>
      <c r="R12" s="433"/>
      <c r="S12" s="646"/>
      <c r="T12" s="89"/>
      <c r="U12" s="89"/>
      <c r="V12" s="431"/>
      <c r="W12" s="442">
        <f t="shared" si="8"/>
        <v>0</v>
      </c>
      <c r="X12" s="53"/>
      <c r="Y12" s="53"/>
      <c r="Z12" s="54"/>
      <c r="AA12" s="54"/>
      <c r="AB12" s="633"/>
      <c r="AC12" s="633"/>
      <c r="AD12" s="429"/>
      <c r="AE12" s="429"/>
      <c r="AF12" s="48">
        <f t="shared" si="6"/>
        <v>0</v>
      </c>
      <c r="AG12" s="433" t="e">
        <f t="shared" si="7"/>
        <v>#DIV/0!</v>
      </c>
      <c r="AH12" s="646"/>
    </row>
    <row r="13" spans="1:34" ht="19.2" customHeight="1">
      <c r="A13" s="644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444"/>
      <c r="J13" s="46"/>
      <c r="K13" s="44"/>
      <c r="L13" s="47"/>
      <c r="M13" s="62"/>
      <c r="N13" s="44"/>
      <c r="O13" s="47"/>
      <c r="P13" s="48"/>
      <c r="Q13" s="49"/>
      <c r="R13" s="433"/>
      <c r="S13" s="646"/>
      <c r="T13" s="89"/>
      <c r="U13" s="89"/>
      <c r="V13" s="444"/>
      <c r="W13" s="442">
        <f t="shared" si="8"/>
        <v>0</v>
      </c>
      <c r="X13" s="64"/>
      <c r="Y13" s="64"/>
      <c r="Z13" s="54"/>
      <c r="AA13" s="54"/>
      <c r="AB13" s="633"/>
      <c r="AC13" s="633"/>
      <c r="AD13" s="429"/>
      <c r="AE13" s="429"/>
      <c r="AF13" s="48">
        <f t="shared" si="6"/>
        <v>0</v>
      </c>
      <c r="AG13" s="433" t="e">
        <f t="shared" si="7"/>
        <v>#DIV/0!</v>
      </c>
      <c r="AH13" s="646"/>
    </row>
    <row r="14" spans="1:34" ht="19.2" customHeight="1">
      <c r="A14" s="644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444"/>
      <c r="J14" s="46"/>
      <c r="K14" s="44"/>
      <c r="L14" s="47"/>
      <c r="M14" s="62"/>
      <c r="N14" s="44"/>
      <c r="O14" s="47"/>
      <c r="P14" s="48"/>
      <c r="Q14" s="49"/>
      <c r="R14" s="433"/>
      <c r="S14" s="646"/>
      <c r="T14" s="89"/>
      <c r="U14" s="89"/>
      <c r="V14" s="444"/>
      <c r="W14" s="442">
        <f t="shared" si="8"/>
        <v>0</v>
      </c>
      <c r="X14" s="64"/>
      <c r="Y14" s="64"/>
      <c r="Z14" s="54"/>
      <c r="AA14" s="54"/>
      <c r="AB14" s="633"/>
      <c r="AC14" s="633"/>
      <c r="AD14" s="429"/>
      <c r="AE14" s="429"/>
      <c r="AF14" s="65"/>
      <c r="AG14" s="433" t="e">
        <f t="shared" si="7"/>
        <v>#DIV/0!</v>
      </c>
      <c r="AH14" s="646"/>
    </row>
    <row r="15" spans="1:34" ht="19.2" customHeight="1">
      <c r="A15" s="644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444"/>
      <c r="J15" s="46"/>
      <c r="K15" s="44"/>
      <c r="L15" s="47"/>
      <c r="M15" s="62"/>
      <c r="N15" s="68"/>
      <c r="O15" s="47"/>
      <c r="P15" s="48"/>
      <c r="Q15" s="49"/>
      <c r="R15" s="433"/>
      <c r="S15" s="646"/>
      <c r="T15" s="89"/>
      <c r="U15" s="89"/>
      <c r="V15" s="444"/>
      <c r="W15" s="442">
        <f t="shared" si="8"/>
        <v>0</v>
      </c>
      <c r="X15" s="64"/>
      <c r="Y15" s="64"/>
      <c r="Z15" s="54"/>
      <c r="AA15" s="54"/>
      <c r="AB15" s="633"/>
      <c r="AC15" s="633"/>
      <c r="AD15" s="429"/>
      <c r="AE15" s="429"/>
      <c r="AF15" s="65"/>
      <c r="AG15" s="433" t="e">
        <f t="shared" si="7"/>
        <v>#DIV/0!</v>
      </c>
      <c r="AH15" s="646"/>
    </row>
    <row r="16" spans="1:34" ht="19.2" customHeight="1">
      <c r="A16" s="644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444"/>
      <c r="J16" s="46"/>
      <c r="K16" s="44"/>
      <c r="L16" s="47"/>
      <c r="M16" s="62"/>
      <c r="N16" s="68"/>
      <c r="O16" s="47"/>
      <c r="P16" s="48"/>
      <c r="Q16" s="49"/>
      <c r="R16" s="433"/>
      <c r="S16" s="646"/>
      <c r="T16" s="89"/>
      <c r="U16" s="89"/>
      <c r="V16" s="444"/>
      <c r="W16" s="442">
        <f t="shared" si="8"/>
        <v>0</v>
      </c>
      <c r="X16" s="64"/>
      <c r="Y16" s="64"/>
      <c r="Z16" s="54"/>
      <c r="AA16" s="54"/>
      <c r="AB16" s="633"/>
      <c r="AC16" s="633"/>
      <c r="AD16" s="429"/>
      <c r="AE16" s="429"/>
      <c r="AF16" s="65"/>
      <c r="AG16" s="433" t="e">
        <f t="shared" si="7"/>
        <v>#DIV/0!</v>
      </c>
      <c r="AH16" s="646"/>
    </row>
    <row r="17" spans="1:34" ht="19.2" customHeight="1">
      <c r="A17" s="644"/>
      <c r="B17" s="69">
        <v>0</v>
      </c>
      <c r="C17" s="69" t="s">
        <v>229</v>
      </c>
      <c r="D17" s="651" t="s">
        <v>120</v>
      </c>
      <c r="E17" s="651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2417.7858476379529</v>
      </c>
      <c r="O17" s="73">
        <f t="shared" si="9"/>
        <v>131.12439361777624</v>
      </c>
      <c r="P17" s="65">
        <f t="shared" ref="P17:P22" si="10">M17-J17</f>
        <v>0.33333333333333215</v>
      </c>
      <c r="Q17" s="74">
        <f t="shared" ref="Q17:Q22" si="11">O17-L17</f>
        <v>-15.500993379127777</v>
      </c>
      <c r="R17" s="75">
        <f>O17/L17</f>
        <v>0.89428165410772231</v>
      </c>
      <c r="S17" s="646"/>
      <c r="T17" s="89"/>
      <c r="U17" s="89"/>
      <c r="V17" s="4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33"/>
      <c r="AC17" s="633"/>
      <c r="AD17" s="79">
        <f>SUM(AD5:AD16)</f>
        <v>0</v>
      </c>
      <c r="AE17" s="79">
        <f>SUM(AE5:AE16)</f>
        <v>1</v>
      </c>
      <c r="AF17" s="65">
        <f t="shared" si="6"/>
        <v>-232.21415236204712</v>
      </c>
      <c r="AG17" s="434">
        <f t="shared" si="7"/>
        <v>0.91237201797658596</v>
      </c>
      <c r="AH17" s="646"/>
    </row>
    <row r="18" spans="1:34" ht="19.2" customHeight="1">
      <c r="A18" s="653" t="s">
        <v>187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2641.6</v>
      </c>
      <c r="H18" s="84">
        <f t="shared" ref="H18:H29" si="12">F18*G18</f>
        <v>97369.375999999989</v>
      </c>
      <c r="I18" s="429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2232.3380281690143</v>
      </c>
      <c r="O18" s="86">
        <f t="shared" ref="O18:O22" si="14">N18/M18</f>
        <v>124.01877934272301</v>
      </c>
      <c r="P18" s="54">
        <f t="shared" si="10"/>
        <v>1</v>
      </c>
      <c r="Q18" s="88">
        <f t="shared" si="11"/>
        <v>-8.3341618337475722</v>
      </c>
      <c r="R18" s="430">
        <f t="shared" ref="R18:R22" si="15">O18/L18</f>
        <v>0.93703077725612949</v>
      </c>
      <c r="S18" s="654">
        <f>R30</f>
        <v>0.91939020732273724</v>
      </c>
      <c r="T18" s="89">
        <v>0.16666666666666666</v>
      </c>
      <c r="U18" s="89">
        <v>0.2159722222222222</v>
      </c>
      <c r="V18" s="429">
        <v>5</v>
      </c>
      <c r="W18" s="90">
        <f>(U18-T18)*24*60</f>
        <v>70.999999999999986</v>
      </c>
      <c r="X18" s="86"/>
      <c r="Y18" s="86"/>
      <c r="Z18" s="54"/>
      <c r="AA18" s="54"/>
      <c r="AB18" s="633"/>
      <c r="AC18" s="633"/>
      <c r="AD18" s="429"/>
      <c r="AE18" s="429"/>
      <c r="AF18" s="91">
        <f t="shared" si="6"/>
        <v>-17.661971830985749</v>
      </c>
      <c r="AG18" s="92">
        <f t="shared" si="7"/>
        <v>0.9921502347417841</v>
      </c>
      <c r="AH18" s="655">
        <f>AG30</f>
        <v>0.95636155739457007</v>
      </c>
    </row>
    <row r="19" spans="1:34" ht="19.2" customHeight="1">
      <c r="A19" s="653"/>
      <c r="B19" s="439" t="s">
        <v>144</v>
      </c>
      <c r="C19" s="438"/>
      <c r="D19" s="82" t="s">
        <v>62</v>
      </c>
      <c r="E19" s="83"/>
      <c r="F19" s="361">
        <v>38.39</v>
      </c>
      <c r="G19" s="57">
        <v>1690</v>
      </c>
      <c r="H19" s="84">
        <f t="shared" si="12"/>
        <v>64879.1</v>
      </c>
      <c r="I19" s="429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1448.5714285714289</v>
      </c>
      <c r="O19" s="95">
        <f t="shared" si="14"/>
        <v>85.21008403361347</v>
      </c>
      <c r="P19" s="54">
        <f t="shared" si="10"/>
        <v>1</v>
      </c>
      <c r="Q19" s="88">
        <f t="shared" si="11"/>
        <v>-17.03991596638653</v>
      </c>
      <c r="R19" s="430">
        <f t="shared" si="15"/>
        <v>0.83335045509646422</v>
      </c>
      <c r="S19" s="654"/>
      <c r="T19" s="89">
        <v>0.22083333333333333</v>
      </c>
      <c r="U19" s="89">
        <v>0.26944444444444443</v>
      </c>
      <c r="V19" s="429">
        <v>7</v>
      </c>
      <c r="W19" s="90">
        <f>(U19-T19)*24*60</f>
        <v>69.999999999999986</v>
      </c>
      <c r="X19" s="96"/>
      <c r="Y19" s="96"/>
      <c r="Z19" s="54"/>
      <c r="AA19" s="54"/>
      <c r="AB19" s="633"/>
      <c r="AC19" s="633"/>
      <c r="AD19" s="429"/>
      <c r="AE19" s="429"/>
      <c r="AF19" s="48">
        <f t="shared" si="6"/>
        <v>-187.4285714285711</v>
      </c>
      <c r="AG19" s="433">
        <f t="shared" si="7"/>
        <v>0.88543485853999326</v>
      </c>
      <c r="AH19" s="656"/>
    </row>
    <row r="20" spans="1:34" ht="19.2" customHeight="1">
      <c r="A20" s="653"/>
      <c r="B20" s="439" t="s">
        <v>144</v>
      </c>
      <c r="C20" s="55"/>
      <c r="D20" s="42" t="s">
        <v>247</v>
      </c>
      <c r="E20" s="83"/>
      <c r="F20" s="361">
        <v>49.91</v>
      </c>
      <c r="G20" s="57">
        <v>3335</v>
      </c>
      <c r="H20" s="84">
        <f t="shared" si="12"/>
        <v>166449.84999999998</v>
      </c>
      <c r="I20" s="429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1471.3235294117649</v>
      </c>
      <c r="O20" s="95">
        <f t="shared" si="14"/>
        <v>86.548442906574408</v>
      </c>
      <c r="P20" s="54">
        <f t="shared" si="10"/>
        <v>0</v>
      </c>
      <c r="Q20" s="88">
        <f t="shared" si="11"/>
        <v>-1.6868512110726499</v>
      </c>
      <c r="R20" s="430">
        <f t="shared" si="15"/>
        <v>0.98088235294117665</v>
      </c>
      <c r="S20" s="654"/>
      <c r="T20" s="89">
        <v>0.28472222222222221</v>
      </c>
      <c r="U20" s="89">
        <v>0.37916666666666665</v>
      </c>
      <c r="V20" s="429">
        <v>22</v>
      </c>
      <c r="W20" s="90">
        <f t="shared" ref="W20:W29" si="16">(U20-T20)*24*60</f>
        <v>136</v>
      </c>
      <c r="X20" s="96">
        <v>0.27430555555555552</v>
      </c>
      <c r="Y20" s="96">
        <v>0.28333333333333333</v>
      </c>
      <c r="Z20" s="54"/>
      <c r="AA20" s="54"/>
      <c r="AB20" s="633"/>
      <c r="AC20" s="633"/>
      <c r="AD20" s="429"/>
      <c r="AE20" s="429"/>
      <c r="AF20" s="91">
        <f t="shared" si="6"/>
        <v>-28.676470588235134</v>
      </c>
      <c r="AG20" s="92">
        <f t="shared" si="7"/>
        <v>0.98088235294117654</v>
      </c>
      <c r="AH20" s="656"/>
    </row>
    <row r="21" spans="1:34" ht="19.2" customHeight="1">
      <c r="A21" s="653"/>
      <c r="B21" s="439" t="s">
        <v>144</v>
      </c>
      <c r="C21" s="97"/>
      <c r="D21" s="98" t="s">
        <v>253</v>
      </c>
      <c r="E21" s="43"/>
      <c r="F21" s="361">
        <v>56.43</v>
      </c>
      <c r="G21" s="44">
        <v>2767.1</v>
      </c>
      <c r="H21" s="84">
        <f t="shared" si="12"/>
        <v>156147.45300000001</v>
      </c>
      <c r="I21" s="431"/>
      <c r="J21" s="93">
        <v>17</v>
      </c>
      <c r="K21" s="44">
        <v>1636</v>
      </c>
      <c r="L21" s="47">
        <v>96.235294117647058</v>
      </c>
      <c r="M21" s="443">
        <v>17</v>
      </c>
      <c r="N21" s="94">
        <f t="shared" si="13"/>
        <v>1469.2566371681417</v>
      </c>
      <c r="O21" s="95">
        <f t="shared" si="14"/>
        <v>86.426861009890686</v>
      </c>
      <c r="P21" s="54">
        <f t="shared" si="10"/>
        <v>0</v>
      </c>
      <c r="Q21" s="88">
        <f t="shared" si="11"/>
        <v>-9.8084331077563718</v>
      </c>
      <c r="R21" s="430">
        <f t="shared" si="15"/>
        <v>0.89807862907588121</v>
      </c>
      <c r="S21" s="654"/>
      <c r="T21" s="89">
        <v>0.39513888888888887</v>
      </c>
      <c r="U21" s="89">
        <v>0.47361111111111109</v>
      </c>
      <c r="V21" s="429">
        <v>23</v>
      </c>
      <c r="W21" s="90">
        <f t="shared" si="16"/>
        <v>113</v>
      </c>
      <c r="X21" s="96">
        <v>0.3833333333333333</v>
      </c>
      <c r="Y21" s="96">
        <v>0.39444444444444443</v>
      </c>
      <c r="Z21" s="54"/>
      <c r="AA21" s="54"/>
      <c r="AB21" s="633"/>
      <c r="AC21" s="633"/>
      <c r="AD21" s="429"/>
      <c r="AE21" s="429">
        <v>1</v>
      </c>
      <c r="AF21" s="48">
        <f t="shared" si="6"/>
        <v>-166.74336283185835</v>
      </c>
      <c r="AG21" s="433">
        <f t="shared" si="7"/>
        <v>0.89807862907588121</v>
      </c>
      <c r="AH21" s="657"/>
    </row>
    <row r="22" spans="1:34" ht="19.2" customHeight="1">
      <c r="A22" s="653"/>
      <c r="B22" s="439" t="s">
        <v>142</v>
      </c>
      <c r="C22" s="97"/>
      <c r="D22" s="42" t="s">
        <v>60</v>
      </c>
      <c r="E22" s="43"/>
      <c r="F22" s="361">
        <v>36.86</v>
      </c>
      <c r="G22" s="44">
        <v>1422.3999999999999</v>
      </c>
      <c r="H22" s="84">
        <f t="shared" si="12"/>
        <v>52429.663999999997</v>
      </c>
      <c r="I22" s="431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2245.8947368421032</v>
      </c>
      <c r="O22" s="95">
        <f t="shared" si="14"/>
        <v>124.77192982456128</v>
      </c>
      <c r="P22" s="54">
        <f t="shared" si="10"/>
        <v>1</v>
      </c>
      <c r="Q22" s="88">
        <f t="shared" si="11"/>
        <v>-7.5810113519092965</v>
      </c>
      <c r="R22" s="430">
        <f t="shared" si="15"/>
        <v>0.94272124756335196</v>
      </c>
      <c r="S22" s="654"/>
      <c r="T22" s="89">
        <v>0.51388888888888884</v>
      </c>
      <c r="U22" s="89">
        <v>0.54027777777777775</v>
      </c>
      <c r="V22" s="429">
        <v>5</v>
      </c>
      <c r="W22" s="90">
        <f t="shared" si="16"/>
        <v>38.000000000000028</v>
      </c>
      <c r="X22" s="96"/>
      <c r="Y22" s="96"/>
      <c r="Z22" s="54"/>
      <c r="AA22" s="54"/>
      <c r="AB22" s="633"/>
      <c r="AC22" s="633"/>
      <c r="AD22" s="429"/>
      <c r="AE22" s="429"/>
      <c r="AF22" s="91">
        <f t="shared" si="6"/>
        <v>-4.105263157896843</v>
      </c>
      <c r="AG22" s="92">
        <f t="shared" si="7"/>
        <v>0.99817543859649027</v>
      </c>
      <c r="AH22" s="657"/>
    </row>
    <row r="23" spans="1:34" ht="19.2" customHeight="1">
      <c r="A23" s="653"/>
      <c r="B23" s="439">
        <v>0</v>
      </c>
      <c r="C23" s="97"/>
      <c r="D23" s="42"/>
      <c r="E23" s="43"/>
      <c r="F23" s="361" t="s">
        <v>148</v>
      </c>
      <c r="G23" s="44"/>
      <c r="H23" s="84">
        <f t="shared" si="12"/>
        <v>0</v>
      </c>
      <c r="I23" s="431"/>
      <c r="J23" s="93"/>
      <c r="K23" s="44"/>
      <c r="L23" s="47"/>
      <c r="M23" s="443"/>
      <c r="N23" s="94"/>
      <c r="O23" s="95"/>
      <c r="P23" s="54"/>
      <c r="Q23" s="88"/>
      <c r="R23" s="430"/>
      <c r="S23" s="654"/>
      <c r="T23" s="89"/>
      <c r="U23" s="89"/>
      <c r="V23" s="429"/>
      <c r="W23" s="90">
        <f t="shared" si="16"/>
        <v>0</v>
      </c>
      <c r="X23" s="96"/>
      <c r="Y23" s="96"/>
      <c r="Z23" s="54"/>
      <c r="AA23" s="54"/>
      <c r="AB23" s="633"/>
      <c r="AC23" s="633"/>
      <c r="AD23" s="429"/>
      <c r="AE23" s="429"/>
      <c r="AF23" s="48">
        <f t="shared" si="6"/>
        <v>0</v>
      </c>
      <c r="AG23" s="433" t="e">
        <f t="shared" si="7"/>
        <v>#DIV/0!</v>
      </c>
      <c r="AH23" s="657"/>
    </row>
    <row r="24" spans="1:34" ht="19.2" customHeight="1">
      <c r="A24" s="653"/>
      <c r="B24" s="439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0"/>
      <c r="S24" s="654"/>
      <c r="T24" s="89"/>
      <c r="U24" s="89"/>
      <c r="V24" s="429"/>
      <c r="W24" s="90">
        <f t="shared" si="16"/>
        <v>0</v>
      </c>
      <c r="X24" s="429"/>
      <c r="Y24" s="429"/>
      <c r="Z24" s="54"/>
      <c r="AA24" s="54"/>
      <c r="AB24" s="633"/>
      <c r="AC24" s="633"/>
      <c r="AD24" s="429"/>
      <c r="AE24" s="429"/>
      <c r="AF24" s="91">
        <f t="shared" si="6"/>
        <v>0</v>
      </c>
      <c r="AG24" s="92" t="e">
        <f t="shared" si="7"/>
        <v>#DIV/0!</v>
      </c>
      <c r="AH24" s="657"/>
    </row>
    <row r="25" spans="1:34" ht="19.2" customHeight="1">
      <c r="A25" s="653"/>
      <c r="B25" s="439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0"/>
      <c r="S25" s="654"/>
      <c r="T25" s="89"/>
      <c r="U25" s="89"/>
      <c r="V25" s="429"/>
      <c r="W25" s="90">
        <f t="shared" si="16"/>
        <v>0</v>
      </c>
      <c r="X25" s="429"/>
      <c r="Y25" s="429"/>
      <c r="Z25" s="54"/>
      <c r="AA25" s="54"/>
      <c r="AB25" s="633"/>
      <c r="AC25" s="633"/>
      <c r="AD25" s="429"/>
      <c r="AE25" s="429"/>
      <c r="AF25" s="48">
        <f t="shared" si="6"/>
        <v>0</v>
      </c>
      <c r="AG25" s="433" t="e">
        <f t="shared" si="7"/>
        <v>#DIV/0!</v>
      </c>
      <c r="AH25" s="657"/>
    </row>
    <row r="26" spans="1:34" ht="19.2" customHeight="1">
      <c r="A26" s="653"/>
      <c r="B26" s="439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654"/>
      <c r="T26" s="89"/>
      <c r="U26" s="89"/>
      <c r="V26" s="429"/>
      <c r="W26" s="90">
        <f t="shared" si="16"/>
        <v>0</v>
      </c>
      <c r="X26" s="429"/>
      <c r="Y26" s="429"/>
      <c r="Z26" s="54"/>
      <c r="AA26" s="54"/>
      <c r="AB26" s="633"/>
      <c r="AC26" s="633"/>
      <c r="AD26" s="429"/>
      <c r="AE26" s="429"/>
      <c r="AF26" s="91">
        <f t="shared" si="6"/>
        <v>0</v>
      </c>
      <c r="AG26" s="92" t="e">
        <f t="shared" si="7"/>
        <v>#DIV/0!</v>
      </c>
      <c r="AH26" s="657"/>
    </row>
    <row r="27" spans="1:34" ht="19.2" customHeight="1">
      <c r="A27" s="653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654"/>
      <c r="T27" s="89"/>
      <c r="U27" s="89"/>
      <c r="V27" s="429"/>
      <c r="W27" s="90">
        <f t="shared" si="16"/>
        <v>0</v>
      </c>
      <c r="X27" s="429"/>
      <c r="Y27" s="429"/>
      <c r="Z27" s="54"/>
      <c r="AA27" s="54"/>
      <c r="AB27" s="633"/>
      <c r="AC27" s="633"/>
      <c r="AD27" s="429"/>
      <c r="AE27" s="429"/>
      <c r="AF27" s="48">
        <f t="shared" si="6"/>
        <v>0</v>
      </c>
      <c r="AG27" s="433" t="e">
        <f t="shared" si="7"/>
        <v>#DIV/0!</v>
      </c>
      <c r="AH27" s="657"/>
    </row>
    <row r="28" spans="1:34" ht="19.2" customHeight="1">
      <c r="A28" s="653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654"/>
      <c r="T28" s="89"/>
      <c r="U28" s="89"/>
      <c r="V28" s="429"/>
      <c r="W28" s="90">
        <f t="shared" si="16"/>
        <v>0</v>
      </c>
      <c r="X28" s="429"/>
      <c r="Y28" s="429"/>
      <c r="Z28" s="54"/>
      <c r="AA28" s="54"/>
      <c r="AB28" s="633"/>
      <c r="AC28" s="633"/>
      <c r="AD28" s="429"/>
      <c r="AE28" s="429"/>
      <c r="AF28" s="91">
        <f t="shared" si="6"/>
        <v>0</v>
      </c>
      <c r="AG28" s="92" t="e">
        <f t="shared" si="7"/>
        <v>#DIV/0!</v>
      </c>
      <c r="AH28" s="657"/>
    </row>
    <row r="29" spans="1:34" ht="19.2" customHeight="1">
      <c r="A29" s="653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654"/>
      <c r="T29" s="89"/>
      <c r="U29" s="89"/>
      <c r="V29" s="429"/>
      <c r="W29" s="90">
        <f t="shared" si="16"/>
        <v>0</v>
      </c>
      <c r="X29" s="429"/>
      <c r="Y29" s="429"/>
      <c r="Z29" s="54"/>
      <c r="AA29" s="54"/>
      <c r="AB29" s="633"/>
      <c r="AC29" s="633"/>
      <c r="AD29" s="429"/>
      <c r="AE29" s="429"/>
      <c r="AF29" s="48">
        <f t="shared" si="6"/>
        <v>0</v>
      </c>
      <c r="AG29" s="433"/>
      <c r="AH29" s="657"/>
    </row>
    <row r="30" spans="1:34" ht="19.2" customHeight="1">
      <c r="A30" s="653"/>
      <c r="B30" s="99">
        <v>0</v>
      </c>
      <c r="C30" s="100" t="s">
        <v>172</v>
      </c>
      <c r="D30" s="652" t="s">
        <v>120</v>
      </c>
      <c r="E30" s="652"/>
      <c r="F30" s="365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17.399999999999999</v>
      </c>
      <c r="N30" s="101">
        <f t="shared" si="17"/>
        <v>1773.4768720324907</v>
      </c>
      <c r="O30" s="104">
        <f t="shared" si="17"/>
        <v>101.39521942347258</v>
      </c>
      <c r="P30" s="54">
        <f t="shared" ref="P30:P38" si="18">M30-J30</f>
        <v>0.59999999999999787</v>
      </c>
      <c r="Q30" s="88">
        <f t="shared" ref="Q30:Q37" si="19">O30-L30</f>
        <v>-8.8900746941744728</v>
      </c>
      <c r="R30" s="105">
        <f t="shared" ref="R30:R37" si="20">O30/L30</f>
        <v>0.91939020732273724</v>
      </c>
      <c r="S30" s="654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33"/>
      <c r="AC30" s="633"/>
      <c r="AD30" s="107">
        <f>SUM(AD18:AD29)</f>
        <v>0</v>
      </c>
      <c r="AE30" s="107">
        <f>SUM(AE18:AE29)</f>
        <v>1</v>
      </c>
      <c r="AF30" s="108">
        <f t="shared" si="6"/>
        <v>-80.923127967509345</v>
      </c>
      <c r="AG30" s="109">
        <f t="shared" ref="AG30" si="21">N30/K30</f>
        <v>0.95636155739457007</v>
      </c>
      <c r="AH30" s="658"/>
    </row>
    <row r="31" spans="1:34" ht="19.2" customHeight="1">
      <c r="A31" s="661" t="s">
        <v>188</v>
      </c>
      <c r="B31" s="110" t="s">
        <v>146</v>
      </c>
      <c r="C31" s="66"/>
      <c r="D31" s="111" t="s">
        <v>63</v>
      </c>
      <c r="E31" s="112"/>
      <c r="F31" s="366">
        <v>35.33</v>
      </c>
      <c r="G31" s="94">
        <v>2064</v>
      </c>
      <c r="H31" s="113">
        <f t="shared" ref="H31:H40" si="22">F31*G31</f>
        <v>72921.119999999995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1876.3636363636365</v>
      </c>
      <c r="O31" s="116">
        <f t="shared" ref="O31:O37" si="24">N31/M31</f>
        <v>156.36363636363637</v>
      </c>
      <c r="P31" s="117">
        <f t="shared" si="18"/>
        <v>0</v>
      </c>
      <c r="Q31" s="118">
        <f t="shared" si="19"/>
        <v>-20.136363636363626</v>
      </c>
      <c r="R31" s="432">
        <f t="shared" si="20"/>
        <v>0.8859129539016225</v>
      </c>
      <c r="S31" s="663">
        <f>R43</f>
        <v>0.86318447160261169</v>
      </c>
      <c r="T31" s="119">
        <v>0.16666666666666666</v>
      </c>
      <c r="U31" s="119">
        <v>0.21249999999999999</v>
      </c>
      <c r="V31" s="52">
        <v>5</v>
      </c>
      <c r="W31" s="120">
        <f t="shared" ref="W31:W42" si="25">(U31-T31)*24*60</f>
        <v>66</v>
      </c>
      <c r="X31" s="52"/>
      <c r="Y31" s="52"/>
      <c r="Z31" s="51"/>
      <c r="AA31" s="51"/>
      <c r="AB31" s="633"/>
      <c r="AC31" s="633"/>
      <c r="AD31" s="52"/>
      <c r="AE31" s="52"/>
      <c r="AF31" s="117">
        <f t="shared" si="6"/>
        <v>-241.63636363636351</v>
      </c>
      <c r="AG31" s="121">
        <f t="shared" si="7"/>
        <v>0.8859129539016225</v>
      </c>
      <c r="AH31" s="659">
        <f>AG43</f>
        <v>0.86549078686138303</v>
      </c>
    </row>
    <row r="32" spans="1:34" ht="19.2" customHeight="1">
      <c r="A32" s="662"/>
      <c r="B32" s="122" t="s">
        <v>146</v>
      </c>
      <c r="C32" s="123"/>
      <c r="D32" s="98" t="s">
        <v>101</v>
      </c>
      <c r="E32" s="43"/>
      <c r="F32" s="361">
        <v>34.229999999999997</v>
      </c>
      <c r="G32" s="44">
        <v>1789</v>
      </c>
      <c r="H32" s="84">
        <f t="shared" si="22"/>
        <v>61237.469999999994</v>
      </c>
      <c r="I32" s="442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1883.1578947368437</v>
      </c>
      <c r="O32" s="47">
        <f t="shared" si="24"/>
        <v>156.92982456140365</v>
      </c>
      <c r="P32" s="117">
        <f t="shared" si="18"/>
        <v>0</v>
      </c>
      <c r="Q32" s="49">
        <f t="shared" si="19"/>
        <v>-19.570175438596351</v>
      </c>
      <c r="R32" s="433">
        <f t="shared" si="20"/>
        <v>0.88912081904477991</v>
      </c>
      <c r="S32" s="654"/>
      <c r="T32" s="89">
        <v>0.21666666666666667</v>
      </c>
      <c r="U32" s="89">
        <v>0.25624999999999998</v>
      </c>
      <c r="V32" s="429">
        <v>6</v>
      </c>
      <c r="W32" s="90">
        <f t="shared" si="25"/>
        <v>56.999999999999957</v>
      </c>
      <c r="X32" s="124"/>
      <c r="Y32" s="124"/>
      <c r="Z32" s="125"/>
      <c r="AA32" s="125"/>
      <c r="AB32" s="633"/>
      <c r="AC32" s="633"/>
      <c r="AD32" s="429">
        <v>1</v>
      </c>
      <c r="AE32" s="429">
        <v>1</v>
      </c>
      <c r="AF32" s="48">
        <f t="shared" si="6"/>
        <v>-234.84210526315633</v>
      </c>
      <c r="AG32" s="433">
        <f t="shared" si="7"/>
        <v>0.8891208190447798</v>
      </c>
      <c r="AH32" s="645"/>
    </row>
    <row r="33" spans="1:34" ht="19.2" customHeight="1">
      <c r="A33" s="662"/>
      <c r="B33" s="122" t="s">
        <v>147</v>
      </c>
      <c r="C33" s="429"/>
      <c r="D33" s="82" t="s">
        <v>186</v>
      </c>
      <c r="E33" s="83"/>
      <c r="F33" s="361">
        <v>54.09</v>
      </c>
      <c r="G33" s="57">
        <v>813.3</v>
      </c>
      <c r="H33" s="84">
        <f t="shared" si="22"/>
        <v>43991.396999999997</v>
      </c>
      <c r="I33" s="429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1251.2307692307686</v>
      </c>
      <c r="O33" s="47">
        <f t="shared" si="24"/>
        <v>69.512820512820483</v>
      </c>
      <c r="P33" s="117">
        <f t="shared" si="18"/>
        <v>0</v>
      </c>
      <c r="Q33" s="49">
        <f t="shared" si="19"/>
        <v>-13.820512820512846</v>
      </c>
      <c r="R33" s="433">
        <f t="shared" si="20"/>
        <v>0.8341538461538458</v>
      </c>
      <c r="S33" s="654"/>
      <c r="T33" s="89">
        <v>0.27152777777777776</v>
      </c>
      <c r="U33" s="89">
        <v>0.2986111111111111</v>
      </c>
      <c r="V33" s="429">
        <v>22</v>
      </c>
      <c r="W33" s="90">
        <f t="shared" si="25"/>
        <v>39.000000000000021</v>
      </c>
      <c r="X33" s="124">
        <v>0.25972222222222224</v>
      </c>
      <c r="Y33" s="124">
        <v>0.27083333333333331</v>
      </c>
      <c r="Z33" s="125"/>
      <c r="AA33" s="125"/>
      <c r="AB33" s="633"/>
      <c r="AC33" s="633"/>
      <c r="AD33" s="429"/>
      <c r="AE33" s="429"/>
      <c r="AF33" s="48">
        <f t="shared" si="6"/>
        <v>-248.7692307692314</v>
      </c>
      <c r="AG33" s="126">
        <f t="shared" si="7"/>
        <v>0.83415384615384569</v>
      </c>
      <c r="AH33" s="645"/>
    </row>
    <row r="34" spans="1:34" ht="19.2" customHeight="1">
      <c r="A34" s="662"/>
      <c r="B34" s="122" t="s">
        <v>144</v>
      </c>
      <c r="C34" s="127"/>
      <c r="D34" s="82" t="s">
        <v>241</v>
      </c>
      <c r="E34" s="83"/>
      <c r="F34" s="361">
        <v>49.91</v>
      </c>
      <c r="G34" s="57">
        <v>2328.9500000000003</v>
      </c>
      <c r="H34" s="84">
        <f t="shared" si="22"/>
        <v>116237.89450000001</v>
      </c>
      <c r="I34" s="429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1330.8285714285712</v>
      </c>
      <c r="O34" s="47">
        <f t="shared" si="24"/>
        <v>88.721904761904753</v>
      </c>
      <c r="P34" s="117">
        <f t="shared" si="18"/>
        <v>0</v>
      </c>
      <c r="Q34" s="49">
        <f t="shared" si="19"/>
        <v>-11.278095238095247</v>
      </c>
      <c r="R34" s="433">
        <f t="shared" si="20"/>
        <v>0.88721904761904757</v>
      </c>
      <c r="S34" s="654"/>
      <c r="T34" s="89">
        <v>0.30416666666666664</v>
      </c>
      <c r="U34" s="89">
        <v>0.37708333333333333</v>
      </c>
      <c r="V34" s="429">
        <v>8</v>
      </c>
      <c r="W34" s="90">
        <f t="shared" si="25"/>
        <v>105.00000000000003</v>
      </c>
      <c r="X34" s="124"/>
      <c r="Y34" s="124"/>
      <c r="Z34" s="125"/>
      <c r="AA34" s="125"/>
      <c r="AB34" s="633"/>
      <c r="AC34" s="633"/>
      <c r="AD34" s="429"/>
      <c r="AE34" s="429"/>
      <c r="AF34" s="48">
        <f t="shared" si="6"/>
        <v>-169.17142857142881</v>
      </c>
      <c r="AG34" s="126">
        <f t="shared" si="7"/>
        <v>0.88721904761904746</v>
      </c>
      <c r="AH34" s="645"/>
    </row>
    <row r="35" spans="1:34" ht="19.2" customHeight="1">
      <c r="A35" s="662"/>
      <c r="B35" s="122" t="s">
        <v>144</v>
      </c>
      <c r="C35" s="41"/>
      <c r="D35" s="42" t="s">
        <v>250</v>
      </c>
      <c r="E35" s="43"/>
      <c r="F35" s="361">
        <v>56.43</v>
      </c>
      <c r="G35" s="128">
        <v>2678</v>
      </c>
      <c r="H35" s="84">
        <f t="shared" si="22"/>
        <v>151119.54</v>
      </c>
      <c r="I35" s="431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1295.8064516129036</v>
      </c>
      <c r="O35" s="47">
        <f t="shared" si="24"/>
        <v>76.223908918406096</v>
      </c>
      <c r="P35" s="117">
        <f t="shared" si="18"/>
        <v>1</v>
      </c>
      <c r="Q35" s="49">
        <f t="shared" si="19"/>
        <v>-17.526091081593904</v>
      </c>
      <c r="R35" s="433">
        <f t="shared" si="20"/>
        <v>0.81305502846299837</v>
      </c>
      <c r="S35" s="654"/>
      <c r="T35" s="89">
        <v>0.39305555555555555</v>
      </c>
      <c r="U35" s="89">
        <v>0.47916666666666663</v>
      </c>
      <c r="V35" s="429">
        <v>23</v>
      </c>
      <c r="W35" s="90">
        <f t="shared" si="25"/>
        <v>123.99999999999996</v>
      </c>
      <c r="X35" s="124">
        <v>0.38194444444444442</v>
      </c>
      <c r="Y35" s="124">
        <v>0.3923611111111111</v>
      </c>
      <c r="Z35" s="125"/>
      <c r="AA35" s="125"/>
      <c r="AB35" s="633"/>
      <c r="AC35" s="633"/>
      <c r="AD35" s="429"/>
      <c r="AE35" s="429"/>
      <c r="AF35" s="117">
        <f t="shared" si="6"/>
        <v>-204.19354838709637</v>
      </c>
      <c r="AG35" s="121">
        <f t="shared" si="7"/>
        <v>0.86387096774193572</v>
      </c>
      <c r="AH35" s="646"/>
    </row>
    <row r="36" spans="1:34" ht="19.2" customHeight="1">
      <c r="A36" s="662"/>
      <c r="B36" s="122" t="s">
        <v>144</v>
      </c>
      <c r="C36" s="129"/>
      <c r="D36" s="42" t="s">
        <v>253</v>
      </c>
      <c r="E36" s="83"/>
      <c r="F36" s="361">
        <v>56.43</v>
      </c>
      <c r="G36" s="57">
        <v>1185.8999999999999</v>
      </c>
      <c r="H36" s="84">
        <f t="shared" si="22"/>
        <v>66920.336999999985</v>
      </c>
      <c r="I36" s="429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1317.6666666666672</v>
      </c>
      <c r="O36" s="47">
        <f t="shared" si="24"/>
        <v>77.509803921568661</v>
      </c>
      <c r="P36" s="117">
        <f t="shared" si="18"/>
        <v>0</v>
      </c>
      <c r="Q36" s="49">
        <f t="shared" si="19"/>
        <v>-18.725490196078397</v>
      </c>
      <c r="R36" s="433">
        <f t="shared" si="20"/>
        <v>0.80541972290138586</v>
      </c>
      <c r="S36" s="654"/>
      <c r="T36" s="89">
        <v>0.51944444444444438</v>
      </c>
      <c r="U36" s="89">
        <v>0.55694444444444435</v>
      </c>
      <c r="V36" s="429">
        <v>5</v>
      </c>
      <c r="W36" s="90">
        <f t="shared" si="25"/>
        <v>53.999999999999972</v>
      </c>
      <c r="X36" s="124"/>
      <c r="Y36" s="124"/>
      <c r="Z36" s="125"/>
      <c r="AA36" s="125"/>
      <c r="AB36" s="633"/>
      <c r="AC36" s="633"/>
      <c r="AD36" s="429"/>
      <c r="AE36" s="429"/>
      <c r="AF36" s="48">
        <f t="shared" si="6"/>
        <v>-318.3333333333328</v>
      </c>
      <c r="AG36" s="433">
        <f t="shared" si="7"/>
        <v>0.80541972290138586</v>
      </c>
      <c r="AH36" s="646"/>
    </row>
    <row r="37" spans="1:34" ht="19.2" customHeight="1">
      <c r="A37" s="662"/>
      <c r="B37" s="122" t="s">
        <v>144</v>
      </c>
      <c r="C37" s="129"/>
      <c r="D37" s="82" t="s">
        <v>241</v>
      </c>
      <c r="E37" s="83"/>
      <c r="F37" s="361">
        <v>49.91</v>
      </c>
      <c r="G37" s="57">
        <v>1254.05</v>
      </c>
      <c r="H37" s="84">
        <f t="shared" si="22"/>
        <v>62589.635499999997</v>
      </c>
      <c r="I37" s="429">
        <v>1</v>
      </c>
      <c r="J37" s="46">
        <v>15</v>
      </c>
      <c r="K37" s="44">
        <v>1500</v>
      </c>
      <c r="L37" s="47">
        <v>100</v>
      </c>
      <c r="M37" s="46">
        <v>15</v>
      </c>
      <c r="N37" s="44">
        <f t="shared" si="23"/>
        <v>1320.0526315789484</v>
      </c>
      <c r="O37" s="47">
        <f t="shared" si="24"/>
        <v>88.003508771929901</v>
      </c>
      <c r="P37" s="117">
        <f t="shared" si="18"/>
        <v>0</v>
      </c>
      <c r="Q37" s="49">
        <f t="shared" si="19"/>
        <v>-11.996491228070099</v>
      </c>
      <c r="R37" s="433">
        <f t="shared" si="20"/>
        <v>0.88003508771929906</v>
      </c>
      <c r="S37" s="654"/>
      <c r="T37" s="89">
        <v>0.56180555555555545</v>
      </c>
      <c r="U37" s="89">
        <v>0.60138888888888875</v>
      </c>
      <c r="V37" s="429">
        <v>7</v>
      </c>
      <c r="W37" s="90">
        <f t="shared" si="25"/>
        <v>56.999999999999957</v>
      </c>
      <c r="X37" s="124"/>
      <c r="Y37" s="124"/>
      <c r="Z37" s="125"/>
      <c r="AA37" s="125"/>
      <c r="AB37" s="633"/>
      <c r="AC37" s="633"/>
      <c r="AD37" s="429"/>
      <c r="AE37" s="429"/>
      <c r="AF37" s="48">
        <f t="shared" si="6"/>
        <v>-179.94736842105158</v>
      </c>
      <c r="AG37" s="126">
        <f t="shared" si="7"/>
        <v>0.88003508771929895</v>
      </c>
      <c r="AH37" s="646"/>
    </row>
    <row r="38" spans="1:34" ht="19.2" customHeight="1">
      <c r="A38" s="662"/>
      <c r="B38" s="122">
        <v>0</v>
      </c>
      <c r="C38" s="129"/>
      <c r="D38" s="82"/>
      <c r="E38" s="83"/>
      <c r="F38" s="361" t="s">
        <v>148</v>
      </c>
      <c r="G38" s="57"/>
      <c r="H38" s="84">
        <f t="shared" si="22"/>
        <v>0</v>
      </c>
      <c r="I38" s="429"/>
      <c r="J38" s="46"/>
      <c r="K38" s="44"/>
      <c r="L38" s="47"/>
      <c r="M38" s="440"/>
      <c r="N38" s="44"/>
      <c r="O38" s="47"/>
      <c r="P38" s="117">
        <f t="shared" si="18"/>
        <v>0</v>
      </c>
      <c r="Q38" s="49"/>
      <c r="R38" s="433"/>
      <c r="S38" s="654"/>
      <c r="T38" s="89"/>
      <c r="U38" s="89"/>
      <c r="V38" s="429" t="s">
        <v>15</v>
      </c>
      <c r="W38" s="90">
        <f t="shared" si="25"/>
        <v>0</v>
      </c>
      <c r="X38" s="124"/>
      <c r="Y38" s="124"/>
      <c r="Z38" s="125"/>
      <c r="AA38" s="125"/>
      <c r="AB38" s="633"/>
      <c r="AC38" s="633"/>
      <c r="AD38" s="429"/>
      <c r="AE38" s="429"/>
      <c r="AF38" s="48">
        <f t="shared" si="6"/>
        <v>0</v>
      </c>
      <c r="AG38" s="126" t="e">
        <f t="shared" si="7"/>
        <v>#DIV/0!</v>
      </c>
      <c r="AH38" s="646"/>
    </row>
    <row r="39" spans="1:34" ht="19.2" customHeight="1">
      <c r="A39" s="662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429"/>
      <c r="J39" s="46"/>
      <c r="K39" s="44"/>
      <c r="L39" s="47"/>
      <c r="M39" s="440"/>
      <c r="N39" s="44"/>
      <c r="O39" s="47"/>
      <c r="P39" s="48"/>
      <c r="Q39" s="49"/>
      <c r="R39" s="433"/>
      <c r="S39" s="654"/>
      <c r="T39" s="89"/>
      <c r="U39" s="89"/>
      <c r="V39" s="429"/>
      <c r="W39" s="90">
        <f t="shared" si="25"/>
        <v>0</v>
      </c>
      <c r="X39" s="124"/>
      <c r="Y39" s="124"/>
      <c r="Z39" s="125"/>
      <c r="AA39" s="125"/>
      <c r="AB39" s="633"/>
      <c r="AC39" s="633"/>
      <c r="AD39" s="429"/>
      <c r="AE39" s="429"/>
      <c r="AF39" s="117">
        <f t="shared" si="6"/>
        <v>0</v>
      </c>
      <c r="AG39" s="121" t="e">
        <f t="shared" si="7"/>
        <v>#DIV/0!</v>
      </c>
      <c r="AH39" s="646"/>
    </row>
    <row r="40" spans="1:34" ht="19.2" customHeight="1">
      <c r="A40" s="662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31"/>
      <c r="J40" s="132"/>
      <c r="K40" s="133"/>
      <c r="L40" s="134"/>
      <c r="M40" s="443"/>
      <c r="N40" s="44"/>
      <c r="O40" s="47"/>
      <c r="P40" s="48"/>
      <c r="Q40" s="49"/>
      <c r="R40" s="433"/>
      <c r="S40" s="654"/>
      <c r="T40" s="89"/>
      <c r="U40" s="89"/>
      <c r="V40" s="429"/>
      <c r="W40" s="90">
        <f t="shared" si="25"/>
        <v>0</v>
      </c>
      <c r="X40" s="124"/>
      <c r="Y40" s="124"/>
      <c r="Z40" s="125"/>
      <c r="AA40" s="125"/>
      <c r="AB40" s="633"/>
      <c r="AC40" s="633"/>
      <c r="AD40" s="429"/>
      <c r="AE40" s="429"/>
      <c r="AF40" s="48">
        <f t="shared" si="6"/>
        <v>0</v>
      </c>
      <c r="AG40" s="433" t="e">
        <f t="shared" si="7"/>
        <v>#DIV/0!</v>
      </c>
      <c r="AH40" s="646"/>
    </row>
    <row r="41" spans="1:34" ht="19.2" customHeight="1">
      <c r="A41" s="662"/>
      <c r="B41" s="429">
        <v>0</v>
      </c>
      <c r="C41" s="55"/>
      <c r="D41" s="82"/>
      <c r="E41" s="83"/>
      <c r="F41" s="361" t="s">
        <v>148</v>
      </c>
      <c r="G41" s="57"/>
      <c r="H41" s="84"/>
      <c r="I41" s="429"/>
      <c r="J41" s="87"/>
      <c r="K41" s="57"/>
      <c r="L41" s="86"/>
      <c r="M41" s="440"/>
      <c r="N41" s="57"/>
      <c r="O41" s="86"/>
      <c r="P41" s="54"/>
      <c r="Q41" s="88"/>
      <c r="R41" s="430"/>
      <c r="S41" s="654"/>
      <c r="T41" s="89"/>
      <c r="U41" s="89"/>
      <c r="V41" s="429"/>
      <c r="W41" s="90">
        <f t="shared" si="25"/>
        <v>0</v>
      </c>
      <c r="X41" s="124"/>
      <c r="Y41" s="124"/>
      <c r="Z41" s="125"/>
      <c r="AA41" s="125"/>
      <c r="AB41" s="633"/>
      <c r="AC41" s="633"/>
      <c r="AD41" s="429"/>
      <c r="AE41" s="429"/>
      <c r="AF41" s="48"/>
      <c r="AG41" s="130"/>
      <c r="AH41" s="646"/>
    </row>
    <row r="42" spans="1:34" ht="19.2" customHeight="1">
      <c r="A42" s="662"/>
      <c r="B42" s="429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429"/>
      <c r="J42" s="87"/>
      <c r="K42" s="57"/>
      <c r="L42" s="86"/>
      <c r="M42" s="440"/>
      <c r="N42" s="57"/>
      <c r="O42" s="86"/>
      <c r="P42" s="54"/>
      <c r="Q42" s="88"/>
      <c r="R42" s="430"/>
      <c r="S42" s="654"/>
      <c r="T42" s="89"/>
      <c r="U42" s="89"/>
      <c r="V42" s="429"/>
      <c r="W42" s="90">
        <f t="shared" si="25"/>
        <v>0</v>
      </c>
      <c r="X42" s="124"/>
      <c r="Y42" s="124"/>
      <c r="Z42" s="125"/>
      <c r="AA42" s="125"/>
      <c r="AB42" s="633"/>
      <c r="AC42" s="633"/>
      <c r="AD42" s="429"/>
      <c r="AE42" s="429"/>
      <c r="AF42" s="48"/>
      <c r="AG42" s="130"/>
      <c r="AH42" s="646"/>
    </row>
    <row r="43" spans="1:34" ht="19.2" customHeight="1">
      <c r="A43" s="662"/>
      <c r="B43" s="122">
        <v>0</v>
      </c>
      <c r="C43" s="100" t="s">
        <v>230</v>
      </c>
      <c r="D43" s="660" t="s">
        <v>120</v>
      </c>
      <c r="E43" s="660"/>
      <c r="F43" s="365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15.142857142857142</v>
      </c>
      <c r="N43" s="101">
        <f t="shared" si="26"/>
        <v>1467.8723745169057</v>
      </c>
      <c r="O43" s="104">
        <f t="shared" si="26"/>
        <v>101.89505825880998</v>
      </c>
      <c r="P43" s="54">
        <f>M43-J43</f>
        <v>0.14285714285714235</v>
      </c>
      <c r="Q43" s="88">
        <f>N43-K43</f>
        <v>-228.12762548309433</v>
      </c>
      <c r="R43" s="105">
        <f t="shared" ref="R43:R50" si="27">O43/L43</f>
        <v>0.86318447160261169</v>
      </c>
      <c r="S43" s="654"/>
      <c r="T43" s="89"/>
      <c r="U43" s="89"/>
      <c r="V43" s="429"/>
      <c r="W43" s="429"/>
      <c r="X43" s="124"/>
      <c r="Y43" s="124"/>
      <c r="Z43" s="135">
        <f>SUM(Z31:Z42)</f>
        <v>0</v>
      </c>
      <c r="AA43" s="135">
        <f>SUM(AA31:AA42)</f>
        <v>0</v>
      </c>
      <c r="AB43" s="633"/>
      <c r="AC43" s="633"/>
      <c r="AD43" s="107">
        <f>SUM(AD31:AD42)</f>
        <v>1</v>
      </c>
      <c r="AE43" s="107">
        <f>SUM(AE31:AE42)</f>
        <v>1</v>
      </c>
      <c r="AF43" s="48">
        <f t="shared" ref="AF43:AF54" si="28">N43-K43</f>
        <v>-228.12762548309433</v>
      </c>
      <c r="AG43" s="434">
        <f t="shared" si="7"/>
        <v>0.86549078686138303</v>
      </c>
      <c r="AH43" s="646"/>
    </row>
    <row r="44" spans="1:34" s="148" customFormat="1" ht="19.2" customHeight="1">
      <c r="A44" s="664" t="s">
        <v>231</v>
      </c>
      <c r="B44" s="97" t="s">
        <v>146</v>
      </c>
      <c r="C44" s="136"/>
      <c r="D44" s="42" t="s">
        <v>77</v>
      </c>
      <c r="E44" s="43"/>
      <c r="F44" s="368">
        <v>24.73</v>
      </c>
      <c r="G44" s="137">
        <v>1814</v>
      </c>
      <c r="H44" s="45">
        <f>F44*G44</f>
        <v>44860.22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2176.7999999999993</v>
      </c>
      <c r="O44" s="141">
        <f t="shared" ref="O44:O50" si="30">N44/M44</f>
        <v>435.35999999999984</v>
      </c>
      <c r="P44" s="51">
        <f t="shared" ref="P44:P50" si="31">M44-J44</f>
        <v>1</v>
      </c>
      <c r="Q44" s="142">
        <f t="shared" ref="Q44:Q50" si="32">O44-L44</f>
        <v>-64.640000000000157</v>
      </c>
      <c r="R44" s="143">
        <f t="shared" si="27"/>
        <v>0.87071999999999972</v>
      </c>
      <c r="S44" s="645">
        <f>R56</f>
        <v>0.89308167031269736</v>
      </c>
      <c r="T44" s="119">
        <v>0.16666666666666666</v>
      </c>
      <c r="U44" s="119">
        <v>0.2013888888888889</v>
      </c>
      <c r="V44" s="145">
        <v>5</v>
      </c>
      <c r="W44" s="146">
        <f t="shared" ref="W44:W56" si="33">(U44-T44)*24*60</f>
        <v>50.000000000000021</v>
      </c>
      <c r="X44" s="124"/>
      <c r="Y44" s="124"/>
      <c r="Z44" s="125"/>
      <c r="AA44" s="125"/>
      <c r="AB44" s="633"/>
      <c r="AC44" s="633"/>
      <c r="AD44" s="429"/>
      <c r="AE44" s="429"/>
      <c r="AF44" s="147">
        <f t="shared" si="28"/>
        <v>176.79999999999927</v>
      </c>
      <c r="AG44" s="437">
        <f t="shared" si="7"/>
        <v>1.0883999999999996</v>
      </c>
      <c r="AH44" s="667">
        <f>AG56</f>
        <v>1.0133879290704899</v>
      </c>
    </row>
    <row r="45" spans="1:34" s="148" customFormat="1" ht="19.2" customHeight="1">
      <c r="A45" s="665"/>
      <c r="B45" s="97" t="s">
        <v>146</v>
      </c>
      <c r="C45" s="136"/>
      <c r="D45" s="42" t="s">
        <v>78</v>
      </c>
      <c r="E45" s="43"/>
      <c r="F45" s="368">
        <v>24.73</v>
      </c>
      <c r="G45" s="137">
        <v>1726</v>
      </c>
      <c r="H45" s="45">
        <f>F45*G45</f>
        <v>42683.98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2157.5000000000005</v>
      </c>
      <c r="O45" s="141">
        <f t="shared" si="30"/>
        <v>431.50000000000011</v>
      </c>
      <c r="P45" s="51">
        <f t="shared" si="31"/>
        <v>1</v>
      </c>
      <c r="Q45" s="142">
        <f t="shared" si="32"/>
        <v>-68.499999999999886</v>
      </c>
      <c r="R45" s="143">
        <f t="shared" si="27"/>
        <v>0.86300000000000021</v>
      </c>
      <c r="S45" s="645"/>
      <c r="T45" s="89">
        <v>0.2048611111111111</v>
      </c>
      <c r="U45" s="89">
        <v>0.23819444444444443</v>
      </c>
      <c r="V45" s="145">
        <v>5</v>
      </c>
      <c r="W45" s="146">
        <f t="shared" si="33"/>
        <v>47.999999999999986</v>
      </c>
      <c r="X45" s="124"/>
      <c r="Y45" s="124"/>
      <c r="Z45" s="125"/>
      <c r="AA45" s="125"/>
      <c r="AB45" s="633"/>
      <c r="AC45" s="633"/>
      <c r="AD45" s="429"/>
      <c r="AE45" s="429"/>
      <c r="AF45" s="147">
        <f t="shared" si="28"/>
        <v>157.50000000000045</v>
      </c>
      <c r="AG45" s="437">
        <f t="shared" si="7"/>
        <v>1.0787500000000003</v>
      </c>
      <c r="AH45" s="667"/>
    </row>
    <row r="46" spans="1:34" s="148" customFormat="1" ht="19.2" customHeight="1">
      <c r="A46" s="665"/>
      <c r="B46" s="97" t="s">
        <v>146</v>
      </c>
      <c r="C46" s="136"/>
      <c r="D46" s="42" t="s">
        <v>160</v>
      </c>
      <c r="E46" s="43"/>
      <c r="F46" s="368">
        <v>21.92</v>
      </c>
      <c r="G46" s="137">
        <v>486</v>
      </c>
      <c r="H46" s="45">
        <f t="shared" ref="H46:H50" si="34">F46*G46</f>
        <v>10653.12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1943.9999999999966</v>
      </c>
      <c r="O46" s="141">
        <f t="shared" si="30"/>
        <v>388.79999999999933</v>
      </c>
      <c r="P46" s="51">
        <f t="shared" si="31"/>
        <v>1</v>
      </c>
      <c r="Q46" s="142">
        <f t="shared" si="32"/>
        <v>-111.20000000000067</v>
      </c>
      <c r="R46" s="143">
        <f t="shared" si="27"/>
        <v>0.77759999999999863</v>
      </c>
      <c r="S46" s="645"/>
      <c r="T46" s="89">
        <v>0.24166666666666664</v>
      </c>
      <c r="U46" s="89">
        <v>0.25208333333333333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633"/>
      <c r="AC46" s="633"/>
      <c r="AD46" s="429"/>
      <c r="AE46" s="429"/>
      <c r="AF46" s="147">
        <f t="shared" si="28"/>
        <v>-56.000000000003411</v>
      </c>
      <c r="AG46" s="437">
        <f t="shared" si="7"/>
        <v>0.97199999999999831</v>
      </c>
      <c r="AH46" s="667"/>
    </row>
    <row r="47" spans="1:34" s="148" customFormat="1" ht="19.2" customHeight="1">
      <c r="A47" s="665"/>
      <c r="B47" s="97">
        <v>0</v>
      </c>
      <c r="C47" s="136"/>
      <c r="D47" s="150" t="s">
        <v>67</v>
      </c>
      <c r="E47" s="151"/>
      <c r="F47" s="368">
        <v>31.43</v>
      </c>
      <c r="G47" s="140">
        <v>1949</v>
      </c>
      <c r="H47" s="45">
        <f t="shared" si="34"/>
        <v>61257.07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1480.2531645569627</v>
      </c>
      <c r="O47" s="141">
        <f t="shared" si="30"/>
        <v>211.46473779385181</v>
      </c>
      <c r="P47" s="51">
        <f t="shared" si="31"/>
        <v>0</v>
      </c>
      <c r="Q47" s="142">
        <f t="shared" si="32"/>
        <v>-2.8209764918624671</v>
      </c>
      <c r="R47" s="143">
        <f t="shared" si="27"/>
        <v>0.9868354430379751</v>
      </c>
      <c r="S47" s="645"/>
      <c r="T47" s="89">
        <v>0.26597222222222222</v>
      </c>
      <c r="U47" s="89">
        <v>0.3208333333333333</v>
      </c>
      <c r="V47" s="140">
        <v>20</v>
      </c>
      <c r="W47" s="146">
        <f t="shared" si="33"/>
        <v>78.999999999999957</v>
      </c>
      <c r="X47" s="124">
        <v>0.25555555555555559</v>
      </c>
      <c r="Y47" s="124">
        <v>0.2638888888888889</v>
      </c>
      <c r="Z47" s="125"/>
      <c r="AA47" s="125"/>
      <c r="AB47" s="633"/>
      <c r="AC47" s="633"/>
      <c r="AD47" s="429">
        <v>1</v>
      </c>
      <c r="AE47" s="429"/>
      <c r="AF47" s="147">
        <f t="shared" si="28"/>
        <v>-19.746835443037298</v>
      </c>
      <c r="AG47" s="437">
        <f t="shared" si="7"/>
        <v>0.9868354430379751</v>
      </c>
      <c r="AH47" s="667"/>
    </row>
    <row r="48" spans="1:34" s="148" customFormat="1" ht="19.2" customHeight="1">
      <c r="A48" s="665"/>
      <c r="B48" s="97">
        <v>0</v>
      </c>
      <c r="C48" s="136"/>
      <c r="D48" s="153" t="s">
        <v>240</v>
      </c>
      <c r="E48" s="151"/>
      <c r="F48" s="368">
        <v>11.86</v>
      </c>
      <c r="G48" s="140">
        <v>2094</v>
      </c>
      <c r="H48" s="45">
        <f t="shared" si="34"/>
        <v>24834.84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1444.1379310344823</v>
      </c>
      <c r="O48" s="141">
        <f t="shared" si="30"/>
        <v>240.68965517241372</v>
      </c>
      <c r="P48" s="51">
        <f t="shared" si="31"/>
        <v>0</v>
      </c>
      <c r="Q48" s="142">
        <f t="shared" si="32"/>
        <v>-9.3103448275862775</v>
      </c>
      <c r="R48" s="143">
        <f t="shared" si="27"/>
        <v>0.9627586206896549</v>
      </c>
      <c r="S48" s="645"/>
      <c r="T48" s="89">
        <v>0.33819444444444441</v>
      </c>
      <c r="U48" s="89">
        <v>0.39861111111111108</v>
      </c>
      <c r="V48" s="137">
        <v>25</v>
      </c>
      <c r="W48" s="146">
        <f t="shared" si="33"/>
        <v>87.000000000000014</v>
      </c>
      <c r="X48" s="124">
        <v>0.32430555555555557</v>
      </c>
      <c r="Y48" s="124">
        <v>0.33680555555555558</v>
      </c>
      <c r="Z48" s="125"/>
      <c r="AA48" s="125"/>
      <c r="AB48" s="633"/>
      <c r="AC48" s="633"/>
      <c r="AD48" s="429"/>
      <c r="AE48" s="429"/>
      <c r="AF48" s="147">
        <f t="shared" si="28"/>
        <v>-55.862068965517665</v>
      </c>
      <c r="AG48" s="437">
        <f t="shared" si="7"/>
        <v>0.9627586206896549</v>
      </c>
      <c r="AH48" s="667"/>
    </row>
    <row r="49" spans="1:34" s="148" customFormat="1" ht="19.2" customHeight="1">
      <c r="A49" s="665"/>
      <c r="B49" s="97" t="s">
        <v>147</v>
      </c>
      <c r="C49" s="136"/>
      <c r="D49" s="153" t="s">
        <v>66</v>
      </c>
      <c r="E49" s="151"/>
      <c r="F49" s="368">
        <v>10.09</v>
      </c>
      <c r="G49" s="137">
        <v>2747.22</v>
      </c>
      <c r="H49" s="45">
        <f t="shared" si="34"/>
        <v>27719.449799999999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1471.7249999999999</v>
      </c>
      <c r="O49" s="141">
        <f t="shared" si="30"/>
        <v>245.28749999999999</v>
      </c>
      <c r="P49" s="51">
        <f t="shared" si="31"/>
        <v>0</v>
      </c>
      <c r="Q49" s="142">
        <f t="shared" si="32"/>
        <v>-4.7125000000000057</v>
      </c>
      <c r="R49" s="143">
        <f t="shared" si="27"/>
        <v>0.98114999999999997</v>
      </c>
      <c r="S49" s="645"/>
      <c r="T49" s="89">
        <v>0.41597222222222219</v>
      </c>
      <c r="U49" s="89">
        <v>0.49374999999999997</v>
      </c>
      <c r="V49" s="137">
        <v>25</v>
      </c>
      <c r="W49" s="146">
        <f t="shared" si="33"/>
        <v>112</v>
      </c>
      <c r="X49" s="155">
        <v>0.40208333333333335</v>
      </c>
      <c r="Y49" s="155">
        <v>0.4152777777777778</v>
      </c>
      <c r="Z49" s="156"/>
      <c r="AA49" s="125"/>
      <c r="AB49" s="633"/>
      <c r="AC49" s="633"/>
      <c r="AD49" s="429"/>
      <c r="AE49" s="429"/>
      <c r="AF49" s="147">
        <f t="shared" si="28"/>
        <v>-28.275000000000091</v>
      </c>
      <c r="AG49" s="437">
        <f t="shared" si="7"/>
        <v>0.98114999999999997</v>
      </c>
      <c r="AH49" s="667"/>
    </row>
    <row r="50" spans="1:34" s="148" customFormat="1" ht="19.2" customHeight="1">
      <c r="A50" s="665"/>
      <c r="B50" s="97" t="s">
        <v>147</v>
      </c>
      <c r="C50" s="136"/>
      <c r="D50" s="153" t="s">
        <v>66</v>
      </c>
      <c r="E50" s="151"/>
      <c r="F50" s="368">
        <v>10.09</v>
      </c>
      <c r="G50" s="137">
        <v>4186.24</v>
      </c>
      <c r="H50" s="45">
        <f t="shared" si="34"/>
        <v>42239.161599999999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1486.2390532544375</v>
      </c>
      <c r="O50" s="141">
        <f t="shared" si="30"/>
        <v>247.70650887573959</v>
      </c>
      <c r="P50" s="51">
        <f t="shared" si="31"/>
        <v>0</v>
      </c>
      <c r="Q50" s="142">
        <f t="shared" si="32"/>
        <v>-2.293491124260413</v>
      </c>
      <c r="R50" s="143">
        <f t="shared" si="27"/>
        <v>0.99082603550295834</v>
      </c>
      <c r="S50" s="645"/>
      <c r="T50" s="89">
        <v>0.51111111111111107</v>
      </c>
      <c r="U50" s="89">
        <v>0.62847222222222221</v>
      </c>
      <c r="V50" s="137">
        <v>25</v>
      </c>
      <c r="W50" s="146">
        <f t="shared" si="33"/>
        <v>169.00000000000003</v>
      </c>
      <c r="X50" s="155">
        <v>0.49722222222222223</v>
      </c>
      <c r="Y50" s="155">
        <v>0.51041666666666663</v>
      </c>
      <c r="Z50" s="156"/>
      <c r="AA50" s="156"/>
      <c r="AB50" s="633"/>
      <c r="AC50" s="633"/>
      <c r="AD50" s="429"/>
      <c r="AE50" s="429"/>
      <c r="AF50" s="147">
        <f t="shared" si="28"/>
        <v>-13.760946745562478</v>
      </c>
      <c r="AG50" s="437">
        <f t="shared" si="7"/>
        <v>0.99082603550295834</v>
      </c>
      <c r="AH50" s="667"/>
    </row>
    <row r="51" spans="1:34" s="148" customFormat="1" ht="19.2" customHeight="1">
      <c r="A51" s="665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45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633"/>
      <c r="AC51" s="633"/>
      <c r="AD51" s="429"/>
      <c r="AE51" s="429"/>
      <c r="AF51" s="147">
        <f t="shared" si="28"/>
        <v>0</v>
      </c>
      <c r="AG51" s="437" t="e">
        <f t="shared" si="7"/>
        <v>#DIV/0!</v>
      </c>
      <c r="AH51" s="667"/>
    </row>
    <row r="52" spans="1:34" s="148" customFormat="1" ht="19.2" customHeight="1">
      <c r="A52" s="665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0"/>
      <c r="S52" s="645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633"/>
      <c r="AC52" s="633"/>
      <c r="AD52" s="429"/>
      <c r="AE52" s="429"/>
      <c r="AF52" s="147">
        <f t="shared" si="28"/>
        <v>0</v>
      </c>
      <c r="AG52" s="437" t="e">
        <f t="shared" si="7"/>
        <v>#DIV/0!</v>
      </c>
      <c r="AH52" s="667"/>
    </row>
    <row r="53" spans="1:34" s="148" customFormat="1" ht="19.2" customHeight="1">
      <c r="A53" s="665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0"/>
      <c r="S53" s="645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33"/>
      <c r="AC53" s="633"/>
      <c r="AD53" s="429"/>
      <c r="AE53" s="429"/>
      <c r="AF53" s="147">
        <f t="shared" si="28"/>
        <v>0</v>
      </c>
      <c r="AG53" s="437" t="e">
        <f t="shared" si="7"/>
        <v>#DIV/0!</v>
      </c>
      <c r="AH53" s="667"/>
    </row>
    <row r="54" spans="1:34" s="148" customFormat="1" ht="19.2" customHeight="1">
      <c r="A54" s="665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0"/>
      <c r="S54" s="645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33"/>
      <c r="AC54" s="633"/>
      <c r="AD54" s="429"/>
      <c r="AE54" s="429"/>
      <c r="AF54" s="147">
        <f t="shared" si="28"/>
        <v>0</v>
      </c>
      <c r="AG54" s="437" t="e">
        <f t="shared" si="7"/>
        <v>#DIV/0!</v>
      </c>
      <c r="AH54" s="667"/>
    </row>
    <row r="55" spans="1:34" s="148" customFormat="1" ht="19.2" customHeight="1">
      <c r="A55" s="665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0"/>
      <c r="S55" s="645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33"/>
      <c r="AC55" s="633"/>
      <c r="AD55" s="429"/>
      <c r="AE55" s="429"/>
      <c r="AF55" s="147"/>
      <c r="AG55" s="437"/>
      <c r="AH55" s="667"/>
    </row>
    <row r="56" spans="1:34" ht="19.2" customHeight="1">
      <c r="A56" s="666"/>
      <c r="B56" s="160">
        <v>0</v>
      </c>
      <c r="C56" s="100" t="s">
        <v>232</v>
      </c>
      <c r="D56" s="660" t="s">
        <v>120</v>
      </c>
      <c r="E56" s="660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1737.2364498351255</v>
      </c>
      <c r="O56" s="104">
        <f t="shared" si="35"/>
        <v>314.40120026314344</v>
      </c>
      <c r="P56" s="161">
        <f>M56-J56</f>
        <v>0.42857142857142883</v>
      </c>
      <c r="Q56" s="118">
        <f>N56-K56</f>
        <v>22.95073554941132</v>
      </c>
      <c r="R56" s="162">
        <f t="shared" ref="R56:R61" si="36">O56/L56</f>
        <v>0.89308167031269736</v>
      </c>
      <c r="S56" s="645"/>
      <c r="T56" s="163"/>
      <c r="U56" s="163"/>
      <c r="V56" s="445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33"/>
      <c r="AC56" s="633"/>
      <c r="AD56" s="107">
        <f>SUM(AD44:AD55)</f>
        <v>1</v>
      </c>
      <c r="AE56" s="107">
        <f>SUM(AE44:AE55)</f>
        <v>0</v>
      </c>
      <c r="AF56" s="165">
        <f>N56-K56</f>
        <v>22.95073554941132</v>
      </c>
      <c r="AG56" s="430">
        <f>N56/K56</f>
        <v>1.0133879290704899</v>
      </c>
      <c r="AH56" s="667"/>
    </row>
    <row r="57" spans="1:34" ht="19.2" customHeight="1">
      <c r="A57" s="670" t="s">
        <v>189</v>
      </c>
      <c r="B57" s="97" t="s">
        <v>145</v>
      </c>
      <c r="C57" s="166"/>
      <c r="D57" s="167" t="s">
        <v>68</v>
      </c>
      <c r="E57" s="112"/>
      <c r="F57" s="361">
        <v>28.26</v>
      </c>
      <c r="G57" s="137">
        <v>1979</v>
      </c>
      <c r="H57" s="84">
        <f t="shared" ref="H57:H66" si="37">F57*G57</f>
        <v>55926.54</v>
      </c>
      <c r="I57" s="429"/>
      <c r="J57" s="87">
        <v>7</v>
      </c>
      <c r="K57" s="57">
        <v>1500</v>
      </c>
      <c r="L57" s="86">
        <v>214.28571428571428</v>
      </c>
      <c r="M57" s="440">
        <v>7</v>
      </c>
      <c r="N57" s="57">
        <f t="shared" ref="N57:N61" si="38">G57/W57*60</f>
        <v>1484.25</v>
      </c>
      <c r="O57" s="86">
        <f t="shared" ref="O57:O61" si="39">N57/M57</f>
        <v>212.03571428571428</v>
      </c>
      <c r="P57" s="168">
        <f t="shared" ref="P57:P61" si="40">M57-J57</f>
        <v>0</v>
      </c>
      <c r="Q57" s="49">
        <f t="shared" ref="Q57:Q61" si="41">O57-L57</f>
        <v>-2.25</v>
      </c>
      <c r="R57" s="433">
        <f t="shared" si="36"/>
        <v>0.98950000000000005</v>
      </c>
      <c r="S57" s="645">
        <f>R69</f>
        <v>0.9771707914705754</v>
      </c>
      <c r="T57" s="144">
        <v>0.16666666666666666</v>
      </c>
      <c r="U57" s="144">
        <v>0.22222222222222221</v>
      </c>
      <c r="V57" s="431">
        <v>5</v>
      </c>
      <c r="W57" s="442">
        <f>(U57-T57)*24*60</f>
        <v>80</v>
      </c>
      <c r="X57" s="53"/>
      <c r="Y57" s="53"/>
      <c r="Z57" s="54"/>
      <c r="AA57" s="54"/>
      <c r="AB57" s="633"/>
      <c r="AC57" s="633"/>
      <c r="AD57" s="429"/>
      <c r="AE57" s="429"/>
      <c r="AF57" s="48">
        <f t="shared" si="6"/>
        <v>-15.75</v>
      </c>
      <c r="AG57" s="432">
        <f t="shared" si="7"/>
        <v>0.98950000000000005</v>
      </c>
      <c r="AH57" s="659">
        <f>AG69</f>
        <v>0.97779075902224788</v>
      </c>
    </row>
    <row r="58" spans="1:34" ht="19.2" customHeight="1">
      <c r="A58" s="631"/>
      <c r="B58" s="97" t="s">
        <v>145</v>
      </c>
      <c r="C58" s="438"/>
      <c r="D58" s="42" t="s">
        <v>69</v>
      </c>
      <c r="E58" s="43"/>
      <c r="F58" s="361">
        <v>27.88</v>
      </c>
      <c r="G58" s="137">
        <v>2599</v>
      </c>
      <c r="H58" s="45">
        <f t="shared" si="37"/>
        <v>72460.12</v>
      </c>
      <c r="I58" s="431"/>
      <c r="J58" s="46">
        <v>7</v>
      </c>
      <c r="K58" s="44">
        <v>1500</v>
      </c>
      <c r="L58" s="86">
        <v>214.28571428571428</v>
      </c>
      <c r="M58" s="443">
        <v>7</v>
      </c>
      <c r="N58" s="44">
        <f t="shared" si="38"/>
        <v>1471.1320754716976</v>
      </c>
      <c r="O58" s="47">
        <f t="shared" si="39"/>
        <v>210.16172506738536</v>
      </c>
      <c r="P58" s="168">
        <f t="shared" si="40"/>
        <v>0</v>
      </c>
      <c r="Q58" s="49">
        <f t="shared" si="41"/>
        <v>-4.1239892183289157</v>
      </c>
      <c r="R58" s="433">
        <f t="shared" si="36"/>
        <v>0.9807547169811317</v>
      </c>
      <c r="S58" s="645"/>
      <c r="T58" s="169">
        <v>0.23958333333333331</v>
      </c>
      <c r="U58" s="169">
        <v>0.31319444444444444</v>
      </c>
      <c r="V58" s="431">
        <v>25</v>
      </c>
      <c r="W58" s="442">
        <f>(U58-T58)*24*60</f>
        <v>106.00000000000003</v>
      </c>
      <c r="X58" s="53">
        <v>0.22569444444444445</v>
      </c>
      <c r="Y58" s="53">
        <v>0.2388888888888889</v>
      </c>
      <c r="Z58" s="54"/>
      <c r="AA58" s="54"/>
      <c r="AB58" s="668"/>
      <c r="AC58" s="669"/>
      <c r="AD58" s="429"/>
      <c r="AE58" s="429"/>
      <c r="AF58" s="48">
        <f t="shared" si="6"/>
        <v>-28.86792452830241</v>
      </c>
      <c r="AG58" s="433">
        <f t="shared" si="7"/>
        <v>0.9807547169811317</v>
      </c>
      <c r="AH58" s="645"/>
    </row>
    <row r="59" spans="1:34" ht="19.2" customHeight="1">
      <c r="A59" s="631"/>
      <c r="B59" s="97" t="s">
        <v>145</v>
      </c>
      <c r="C59" s="438"/>
      <c r="D59" s="42" t="s">
        <v>70</v>
      </c>
      <c r="E59" s="43"/>
      <c r="F59" s="361">
        <v>28</v>
      </c>
      <c r="G59" s="137">
        <v>2826</v>
      </c>
      <c r="H59" s="45">
        <f t="shared" si="37"/>
        <v>79128</v>
      </c>
      <c r="I59" s="431"/>
      <c r="J59" s="46">
        <v>7</v>
      </c>
      <c r="K59" s="44">
        <v>1500</v>
      </c>
      <c r="L59" s="86">
        <v>214.28571428571428</v>
      </c>
      <c r="M59" s="443">
        <v>7</v>
      </c>
      <c r="N59" s="44">
        <f t="shared" si="38"/>
        <v>1474.4347826086957</v>
      </c>
      <c r="O59" s="47">
        <f t="shared" si="39"/>
        <v>210.63354037267081</v>
      </c>
      <c r="P59" s="168">
        <f t="shared" si="40"/>
        <v>0</v>
      </c>
      <c r="Q59" s="49">
        <f t="shared" si="41"/>
        <v>-3.6521739130434696</v>
      </c>
      <c r="R59" s="433">
        <f t="shared" si="36"/>
        <v>0.98295652173913051</v>
      </c>
      <c r="S59" s="645"/>
      <c r="T59" s="169">
        <v>0.33055555555555555</v>
      </c>
      <c r="U59" s="169">
        <v>0.41041666666666665</v>
      </c>
      <c r="V59" s="145">
        <v>25</v>
      </c>
      <c r="W59" s="442">
        <f t="shared" ref="W59:W69" si="42">(U59-T59)*24*60</f>
        <v>114.99999999999999</v>
      </c>
      <c r="X59" s="53">
        <v>0.31666666666666665</v>
      </c>
      <c r="Y59" s="53">
        <v>0.32916666666666666</v>
      </c>
      <c r="Z59" s="54"/>
      <c r="AA59" s="54"/>
      <c r="AB59" s="633"/>
      <c r="AC59" s="633"/>
      <c r="AD59" s="429"/>
      <c r="AE59" s="429"/>
      <c r="AF59" s="48">
        <f t="shared" si="6"/>
        <v>-25.565217391304259</v>
      </c>
      <c r="AG59" s="433">
        <f t="shared" si="7"/>
        <v>0.98295652173913051</v>
      </c>
      <c r="AH59" s="645"/>
    </row>
    <row r="60" spans="1:34" ht="19.2" customHeight="1">
      <c r="A60" s="631"/>
      <c r="B60" s="97" t="s">
        <v>147</v>
      </c>
      <c r="C60" s="438"/>
      <c r="D60" s="42" t="s">
        <v>66</v>
      </c>
      <c r="E60" s="43"/>
      <c r="F60" s="361">
        <v>10.09</v>
      </c>
      <c r="G60" s="137">
        <v>2747.22</v>
      </c>
      <c r="H60" s="45">
        <f t="shared" si="37"/>
        <v>27719.449799999999</v>
      </c>
      <c r="I60" s="4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1445.9052631578945</v>
      </c>
      <c r="O60" s="47">
        <f t="shared" si="39"/>
        <v>240.98421052631576</v>
      </c>
      <c r="P60" s="168">
        <f t="shared" si="40"/>
        <v>0</v>
      </c>
      <c r="Q60" s="49">
        <f t="shared" si="41"/>
        <v>-9.0157894736842366</v>
      </c>
      <c r="R60" s="433">
        <f t="shared" si="36"/>
        <v>0.96393684210526309</v>
      </c>
      <c r="S60" s="645"/>
      <c r="T60" s="169">
        <v>0.42777777777777776</v>
      </c>
      <c r="U60" s="169">
        <v>0.50694444444444442</v>
      </c>
      <c r="V60" s="145">
        <v>25</v>
      </c>
      <c r="W60" s="442">
        <f t="shared" si="42"/>
        <v>114</v>
      </c>
      <c r="X60" s="53">
        <v>0.41388888888888892</v>
      </c>
      <c r="Y60" s="53">
        <v>0.42499999999999999</v>
      </c>
      <c r="Z60" s="54"/>
      <c r="AA60" s="54"/>
      <c r="AB60" s="633"/>
      <c r="AC60" s="633"/>
      <c r="AD60" s="429">
        <v>1</v>
      </c>
      <c r="AE60" s="429"/>
      <c r="AF60" s="48">
        <f t="shared" si="6"/>
        <v>-54.094736842105476</v>
      </c>
      <c r="AG60" s="432">
        <f t="shared" si="7"/>
        <v>0.96393684210526298</v>
      </c>
      <c r="AH60" s="645"/>
    </row>
    <row r="61" spans="1:34" ht="19.2" customHeight="1">
      <c r="A61" s="631"/>
      <c r="B61" s="97" t="s">
        <v>147</v>
      </c>
      <c r="C61" s="438"/>
      <c r="D61" s="42" t="s">
        <v>66</v>
      </c>
      <c r="E61" s="43"/>
      <c r="F61" s="361">
        <v>10.09</v>
      </c>
      <c r="G61" s="137">
        <v>3401.32</v>
      </c>
      <c r="H61" s="45">
        <f t="shared" si="37"/>
        <v>34319.318800000001</v>
      </c>
      <c r="I61" s="4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1457.7085714285718</v>
      </c>
      <c r="O61" s="47">
        <f t="shared" si="39"/>
        <v>242.95142857142864</v>
      </c>
      <c r="P61" s="168">
        <f t="shared" si="40"/>
        <v>0</v>
      </c>
      <c r="Q61" s="49">
        <f t="shared" si="41"/>
        <v>-7.0485714285713641</v>
      </c>
      <c r="R61" s="433">
        <f t="shared" si="36"/>
        <v>0.97180571428571449</v>
      </c>
      <c r="S61" s="645"/>
      <c r="T61" s="169">
        <v>0.52430555555555558</v>
      </c>
      <c r="U61" s="169">
        <v>0.62152777777777779</v>
      </c>
      <c r="V61" s="145">
        <v>25</v>
      </c>
      <c r="W61" s="442">
        <f t="shared" si="42"/>
        <v>139.99999999999997</v>
      </c>
      <c r="X61" s="53">
        <v>0.51041666666666663</v>
      </c>
      <c r="Y61" s="53">
        <v>0.42708333333333331</v>
      </c>
      <c r="Z61" s="54"/>
      <c r="AA61" s="54"/>
      <c r="AB61" s="633"/>
      <c r="AC61" s="633"/>
      <c r="AD61" s="429"/>
      <c r="AE61" s="429"/>
      <c r="AF61" s="48">
        <f t="shared" si="6"/>
        <v>-42.291428571428241</v>
      </c>
      <c r="AG61" s="433">
        <f t="shared" si="7"/>
        <v>0.97180571428571449</v>
      </c>
      <c r="AH61" s="645"/>
    </row>
    <row r="62" spans="1:34" ht="19.2" customHeight="1">
      <c r="A62" s="631"/>
      <c r="B62" s="97">
        <v>0</v>
      </c>
      <c r="C62" s="438"/>
      <c r="D62" s="42"/>
      <c r="E62" s="43"/>
      <c r="F62" s="361" t="s">
        <v>148</v>
      </c>
      <c r="G62" s="137"/>
      <c r="H62" s="45">
        <f t="shared" si="37"/>
        <v>0</v>
      </c>
      <c r="I62" s="431"/>
      <c r="J62" s="170"/>
      <c r="K62" s="61"/>
      <c r="L62" s="86"/>
      <c r="M62" s="62"/>
      <c r="N62" s="44"/>
      <c r="O62" s="47"/>
      <c r="P62" s="168"/>
      <c r="Q62" s="49"/>
      <c r="R62" s="433"/>
      <c r="S62" s="645"/>
      <c r="T62" s="169"/>
      <c r="U62" s="169"/>
      <c r="V62" s="145"/>
      <c r="W62" s="442">
        <f t="shared" si="42"/>
        <v>0</v>
      </c>
      <c r="X62" s="53"/>
      <c r="Y62" s="53"/>
      <c r="Z62" s="54"/>
      <c r="AA62" s="54"/>
      <c r="AB62" s="633"/>
      <c r="AC62" s="633"/>
      <c r="AD62" s="429"/>
      <c r="AE62" s="429"/>
      <c r="AF62" s="48">
        <f t="shared" si="6"/>
        <v>0</v>
      </c>
      <c r="AG62" s="433" t="e">
        <f t="shared" si="7"/>
        <v>#DIV/0!</v>
      </c>
      <c r="AH62" s="645"/>
    </row>
    <row r="63" spans="1:34" ht="19.2" customHeight="1">
      <c r="A63" s="631"/>
      <c r="B63" s="97">
        <v>0</v>
      </c>
      <c r="C63" s="438"/>
      <c r="D63" s="42"/>
      <c r="E63" s="43"/>
      <c r="F63" s="361" t="s">
        <v>148</v>
      </c>
      <c r="G63" s="137"/>
      <c r="H63" s="45">
        <f t="shared" si="37"/>
        <v>0</v>
      </c>
      <c r="I63" s="431"/>
      <c r="J63" s="46"/>
      <c r="K63" s="44"/>
      <c r="L63" s="86"/>
      <c r="M63" s="62"/>
      <c r="N63" s="44"/>
      <c r="O63" s="47"/>
      <c r="P63" s="168"/>
      <c r="Q63" s="49"/>
      <c r="R63" s="433"/>
      <c r="S63" s="645"/>
      <c r="T63" s="169"/>
      <c r="U63" s="169"/>
      <c r="V63" s="145"/>
      <c r="W63" s="442">
        <f t="shared" si="42"/>
        <v>0</v>
      </c>
      <c r="X63" s="53"/>
      <c r="Y63" s="53"/>
      <c r="Z63" s="54"/>
      <c r="AA63" s="54"/>
      <c r="AB63" s="633"/>
      <c r="AC63" s="633"/>
      <c r="AD63" s="429"/>
      <c r="AE63" s="429"/>
      <c r="AF63" s="48">
        <f t="shared" si="6"/>
        <v>0</v>
      </c>
      <c r="AG63" s="432" t="e">
        <f t="shared" si="7"/>
        <v>#DIV/0!</v>
      </c>
      <c r="AH63" s="645"/>
    </row>
    <row r="64" spans="1:34" ht="19.2" customHeight="1">
      <c r="A64" s="631"/>
      <c r="B64" s="97">
        <v>0</v>
      </c>
      <c r="C64" s="438"/>
      <c r="D64" s="42"/>
      <c r="E64" s="43"/>
      <c r="F64" s="361" t="s">
        <v>148</v>
      </c>
      <c r="G64" s="137"/>
      <c r="H64" s="45">
        <f t="shared" si="37"/>
        <v>0</v>
      </c>
      <c r="I64" s="431"/>
      <c r="J64" s="170"/>
      <c r="K64" s="61"/>
      <c r="L64" s="86"/>
      <c r="M64" s="62"/>
      <c r="N64" s="44"/>
      <c r="O64" s="47"/>
      <c r="P64" s="168"/>
      <c r="Q64" s="49"/>
      <c r="R64" s="433"/>
      <c r="S64" s="645"/>
      <c r="T64" s="169"/>
      <c r="U64" s="169"/>
      <c r="V64" s="145"/>
      <c r="W64" s="442">
        <f t="shared" si="42"/>
        <v>0</v>
      </c>
      <c r="X64" s="431"/>
      <c r="Y64" s="431"/>
      <c r="Z64" s="54"/>
      <c r="AA64" s="54"/>
      <c r="AB64" s="633"/>
      <c r="AC64" s="633"/>
      <c r="AD64" s="429"/>
      <c r="AE64" s="429"/>
      <c r="AF64" s="48">
        <f t="shared" si="6"/>
        <v>0</v>
      </c>
      <c r="AG64" s="433" t="e">
        <f t="shared" si="7"/>
        <v>#DIV/0!</v>
      </c>
      <c r="AH64" s="645"/>
    </row>
    <row r="65" spans="1:34" ht="19.2" customHeight="1">
      <c r="A65" s="631"/>
      <c r="B65" s="97">
        <v>0</v>
      </c>
      <c r="C65" s="438"/>
      <c r="D65" s="42"/>
      <c r="E65" s="43"/>
      <c r="F65" s="361" t="s">
        <v>148</v>
      </c>
      <c r="G65" s="137"/>
      <c r="H65" s="45">
        <f t="shared" si="37"/>
        <v>0</v>
      </c>
      <c r="I65" s="431"/>
      <c r="J65" s="170"/>
      <c r="K65" s="61"/>
      <c r="L65" s="86"/>
      <c r="M65" s="62"/>
      <c r="N65" s="61"/>
      <c r="O65" s="77"/>
      <c r="P65" s="48"/>
      <c r="Q65" s="49"/>
      <c r="R65" s="433"/>
      <c r="S65" s="645"/>
      <c r="T65" s="169"/>
      <c r="U65" s="169"/>
      <c r="V65" s="145"/>
      <c r="W65" s="442">
        <f t="shared" si="42"/>
        <v>0</v>
      </c>
      <c r="X65" s="431"/>
      <c r="Y65" s="431"/>
      <c r="Z65" s="54"/>
      <c r="AA65" s="54"/>
      <c r="AB65" s="633"/>
      <c r="AC65" s="633"/>
      <c r="AD65" s="429"/>
      <c r="AE65" s="429"/>
      <c r="AF65" s="48">
        <f t="shared" si="6"/>
        <v>0</v>
      </c>
      <c r="AG65" s="433" t="e">
        <f t="shared" si="7"/>
        <v>#DIV/0!</v>
      </c>
      <c r="AH65" s="645"/>
    </row>
    <row r="66" spans="1:34" ht="19.2" customHeight="1">
      <c r="A66" s="631"/>
      <c r="B66" s="97">
        <v>0</v>
      </c>
      <c r="C66" s="438"/>
      <c r="D66" s="42"/>
      <c r="E66" s="43"/>
      <c r="F66" s="361" t="s">
        <v>148</v>
      </c>
      <c r="G66" s="137"/>
      <c r="H66" s="45">
        <f t="shared" si="37"/>
        <v>0</v>
      </c>
      <c r="I66" s="431"/>
      <c r="J66" s="170"/>
      <c r="K66" s="61"/>
      <c r="L66" s="86"/>
      <c r="M66" s="62"/>
      <c r="N66" s="61"/>
      <c r="O66" s="77"/>
      <c r="P66" s="48"/>
      <c r="Q66" s="49"/>
      <c r="R66" s="433"/>
      <c r="S66" s="645"/>
      <c r="T66" s="169"/>
      <c r="U66" s="169"/>
      <c r="V66" s="145"/>
      <c r="W66" s="442">
        <f t="shared" si="42"/>
        <v>0</v>
      </c>
      <c r="X66" s="431"/>
      <c r="Y66" s="431"/>
      <c r="Z66" s="54"/>
      <c r="AA66" s="54"/>
      <c r="AB66" s="633"/>
      <c r="AC66" s="633"/>
      <c r="AD66" s="429"/>
      <c r="AE66" s="429"/>
      <c r="AF66" s="48">
        <f t="shared" si="6"/>
        <v>0</v>
      </c>
      <c r="AG66" s="432" t="e">
        <f t="shared" si="7"/>
        <v>#DIV/0!</v>
      </c>
      <c r="AH66" s="645"/>
    </row>
    <row r="67" spans="1:34" ht="19.2" customHeight="1">
      <c r="A67" s="631"/>
      <c r="B67" s="97">
        <v>0</v>
      </c>
      <c r="C67" s="438"/>
      <c r="D67" s="42"/>
      <c r="E67" s="43"/>
      <c r="F67" s="361" t="s">
        <v>148</v>
      </c>
      <c r="G67" s="137"/>
      <c r="H67" s="45">
        <f>F67*G67</f>
        <v>0</v>
      </c>
      <c r="I67" s="431"/>
      <c r="J67" s="170"/>
      <c r="K67" s="61"/>
      <c r="L67" s="86"/>
      <c r="M67" s="62"/>
      <c r="N67" s="61"/>
      <c r="O67" s="77"/>
      <c r="P67" s="48"/>
      <c r="Q67" s="49"/>
      <c r="R67" s="433"/>
      <c r="S67" s="645"/>
      <c r="T67" s="169"/>
      <c r="U67" s="169"/>
      <c r="V67" s="145"/>
      <c r="W67" s="442">
        <f t="shared" si="42"/>
        <v>0</v>
      </c>
      <c r="X67" s="431"/>
      <c r="Y67" s="431"/>
      <c r="Z67" s="54"/>
      <c r="AA67" s="54"/>
      <c r="AB67" s="633"/>
      <c r="AC67" s="633"/>
      <c r="AD67" s="429"/>
      <c r="AE67" s="429"/>
      <c r="AF67" s="48">
        <f t="shared" si="6"/>
        <v>0</v>
      </c>
      <c r="AG67" s="433" t="e">
        <f t="shared" si="7"/>
        <v>#DIV/0!</v>
      </c>
      <c r="AH67" s="645"/>
    </row>
    <row r="68" spans="1:34" ht="19.2" customHeight="1">
      <c r="A68" s="631"/>
      <c r="B68" s="431">
        <v>0</v>
      </c>
      <c r="C68" s="438"/>
      <c r="D68" s="42"/>
      <c r="E68" s="43"/>
      <c r="F68" s="368" t="s">
        <v>148</v>
      </c>
      <c r="G68" s="137"/>
      <c r="H68" s="45">
        <f>F68*G68</f>
        <v>0</v>
      </c>
      <c r="I68" s="431"/>
      <c r="J68" s="170"/>
      <c r="K68" s="61"/>
      <c r="L68" s="86"/>
      <c r="M68" s="62"/>
      <c r="N68" s="61"/>
      <c r="O68" s="77"/>
      <c r="P68" s="48"/>
      <c r="Q68" s="49"/>
      <c r="R68" s="433"/>
      <c r="S68" s="645"/>
      <c r="T68" s="169"/>
      <c r="U68" s="169"/>
      <c r="V68" s="145"/>
      <c r="W68" s="442">
        <f t="shared" si="42"/>
        <v>0</v>
      </c>
      <c r="X68" s="431"/>
      <c r="Y68" s="431"/>
      <c r="Z68" s="54"/>
      <c r="AA68" s="54"/>
      <c r="AB68" s="633"/>
      <c r="AC68" s="633"/>
      <c r="AD68" s="429"/>
      <c r="AE68" s="429"/>
      <c r="AF68" s="48"/>
      <c r="AG68" s="433"/>
      <c r="AH68" s="645"/>
    </row>
    <row r="69" spans="1:34" ht="19.2" customHeight="1">
      <c r="A69" s="631"/>
      <c r="B69" s="171">
        <v>0</v>
      </c>
      <c r="C69" s="6" t="s">
        <v>173</v>
      </c>
      <c r="D69" s="660" t="s">
        <v>120</v>
      </c>
      <c r="E69" s="660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1466.6861385333718</v>
      </c>
      <c r="O69" s="73">
        <f t="shared" si="43"/>
        <v>223.35332376470296</v>
      </c>
      <c r="P69" s="48">
        <f>M69-J69</f>
        <v>0</v>
      </c>
      <c r="Q69" s="49">
        <f>N69-K69</f>
        <v>-33.313861466628168</v>
      </c>
      <c r="R69" s="175">
        <f t="shared" ref="R69:R76" si="44">O69/L69</f>
        <v>0.9771707914705754</v>
      </c>
      <c r="S69" s="645"/>
      <c r="T69" s="144"/>
      <c r="U69" s="144"/>
      <c r="V69" s="44"/>
      <c r="W69" s="44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33"/>
      <c r="AC69" s="633"/>
      <c r="AD69" s="107">
        <f>SUM(AD57:AD68)</f>
        <v>1</v>
      </c>
      <c r="AE69" s="107">
        <f>SUM(AE57:AE68)</f>
        <v>0</v>
      </c>
      <c r="AF69" s="48">
        <f t="shared" si="6"/>
        <v>-33.313861466628168</v>
      </c>
      <c r="AG69" s="433">
        <f t="shared" si="7"/>
        <v>0.97779075902224788</v>
      </c>
      <c r="AH69" s="645"/>
    </row>
    <row r="70" spans="1:34" ht="19.2" customHeight="1">
      <c r="A70" s="641" t="s">
        <v>233</v>
      </c>
      <c r="B70" s="431" t="s">
        <v>144</v>
      </c>
      <c r="C70" s="97"/>
      <c r="D70" s="42" t="s">
        <v>71</v>
      </c>
      <c r="E70" s="43"/>
      <c r="F70" s="361">
        <v>62.13</v>
      </c>
      <c r="G70" s="57">
        <v>408</v>
      </c>
      <c r="H70" s="45">
        <f>F70*G70</f>
        <v>25349.040000000001</v>
      </c>
      <c r="I70" s="431"/>
      <c r="J70" s="46">
        <v>14</v>
      </c>
      <c r="K70" s="44">
        <v>1500</v>
      </c>
      <c r="L70" s="47">
        <v>107.14285714285714</v>
      </c>
      <c r="M70" s="443">
        <v>14</v>
      </c>
      <c r="N70" s="44">
        <f t="shared" ref="N70:N76" si="45">G70/W70*60</f>
        <v>1223.9999999999995</v>
      </c>
      <c r="O70" s="47">
        <f t="shared" ref="O70:O76" si="46">N70/M70</f>
        <v>87.428571428571402</v>
      </c>
      <c r="P70" s="48">
        <f t="shared" ref="P70:P76" si="47">M70-J70</f>
        <v>0</v>
      </c>
      <c r="Q70" s="49">
        <f t="shared" ref="Q70:Q76" si="48">O70-L70</f>
        <v>-19.714285714285737</v>
      </c>
      <c r="R70" s="433">
        <f t="shared" si="44"/>
        <v>0.81599999999999984</v>
      </c>
      <c r="S70" s="645">
        <f>R82</f>
        <v>0.91358933680276633</v>
      </c>
      <c r="T70" s="50">
        <v>0.25</v>
      </c>
      <c r="U70" s="50">
        <v>0.2638888888888889</v>
      </c>
      <c r="V70" s="431">
        <v>5</v>
      </c>
      <c r="W70" s="442">
        <f>(U70-T70)*24*60</f>
        <v>20.000000000000007</v>
      </c>
      <c r="X70" s="431"/>
      <c r="Y70" s="431"/>
      <c r="Z70" s="54"/>
      <c r="AA70" s="54"/>
      <c r="AB70" s="633"/>
      <c r="AC70" s="633"/>
      <c r="AD70" s="429"/>
      <c r="AE70" s="429"/>
      <c r="AF70" s="48">
        <f t="shared" si="6"/>
        <v>-276.00000000000045</v>
      </c>
      <c r="AG70" s="433">
        <f t="shared" si="7"/>
        <v>0.81599999999999973</v>
      </c>
      <c r="AH70" s="645">
        <f>AG82</f>
        <v>0.91493727607582576</v>
      </c>
    </row>
    <row r="71" spans="1:34" ht="19.2" customHeight="1">
      <c r="A71" s="641"/>
      <c r="B71" s="431" t="s">
        <v>143</v>
      </c>
      <c r="C71" s="41"/>
      <c r="D71" s="176" t="s">
        <v>72</v>
      </c>
      <c r="E71" s="43"/>
      <c r="F71" s="361">
        <v>47.65</v>
      </c>
      <c r="G71" s="44">
        <v>1936</v>
      </c>
      <c r="H71" s="45">
        <f>F71*G71</f>
        <v>92250.4</v>
      </c>
      <c r="I71" s="431"/>
      <c r="J71" s="46">
        <v>18</v>
      </c>
      <c r="K71" s="177">
        <v>1440</v>
      </c>
      <c r="L71" s="47">
        <v>80</v>
      </c>
      <c r="M71" s="440">
        <v>18</v>
      </c>
      <c r="N71" s="44">
        <f t="shared" si="45"/>
        <v>1335.1724137931033</v>
      </c>
      <c r="O71" s="47">
        <f t="shared" si="46"/>
        <v>74.176245210727956</v>
      </c>
      <c r="P71" s="48">
        <f t="shared" si="47"/>
        <v>0</v>
      </c>
      <c r="Q71" s="49">
        <f t="shared" si="48"/>
        <v>-5.8237547892720443</v>
      </c>
      <c r="R71" s="433">
        <f t="shared" si="44"/>
        <v>0.92720306513409945</v>
      </c>
      <c r="S71" s="645"/>
      <c r="T71" s="50">
        <v>0.26944444444444443</v>
      </c>
      <c r="U71" s="50">
        <v>0.3298611111111111</v>
      </c>
      <c r="V71" s="431">
        <v>8</v>
      </c>
      <c r="W71" s="442">
        <f t="shared" ref="W71:W81" si="49">(U71-T71)*24*60</f>
        <v>87.000000000000014</v>
      </c>
      <c r="X71" s="53"/>
      <c r="Y71" s="53"/>
      <c r="Z71" s="54"/>
      <c r="AA71" s="54"/>
      <c r="AB71" s="633"/>
      <c r="AC71" s="633"/>
      <c r="AD71" s="429"/>
      <c r="AE71" s="429"/>
      <c r="AF71" s="48">
        <f>N71-K71</f>
        <v>-104.82758620689674</v>
      </c>
      <c r="AG71" s="433">
        <f>N71/K71</f>
        <v>0.92720306513409945</v>
      </c>
      <c r="AH71" s="645"/>
    </row>
    <row r="72" spans="1:34" ht="19.2" customHeight="1">
      <c r="A72" s="641"/>
      <c r="B72" s="431" t="s">
        <v>147</v>
      </c>
      <c r="C72" s="66"/>
      <c r="D72" s="176" t="s">
        <v>161</v>
      </c>
      <c r="E72" s="43"/>
      <c r="F72" s="361">
        <v>56.85</v>
      </c>
      <c r="G72" s="44">
        <v>1918</v>
      </c>
      <c r="H72" s="45">
        <f t="shared" ref="H72:H80" si="50">F72*G72</f>
        <v>109038.3</v>
      </c>
      <c r="I72" s="431"/>
      <c r="J72" s="87">
        <v>18</v>
      </c>
      <c r="K72" s="57">
        <v>1636</v>
      </c>
      <c r="L72" s="86">
        <v>90.888888888888886</v>
      </c>
      <c r="M72" s="443">
        <v>18</v>
      </c>
      <c r="N72" s="44">
        <f t="shared" si="45"/>
        <v>1456.7088607594928</v>
      </c>
      <c r="O72" s="47">
        <f t="shared" si="46"/>
        <v>80.928270042194043</v>
      </c>
      <c r="P72" s="48">
        <f t="shared" si="47"/>
        <v>0</v>
      </c>
      <c r="Q72" s="49">
        <f t="shared" si="48"/>
        <v>-9.9606188466948424</v>
      </c>
      <c r="R72" s="433">
        <f t="shared" si="44"/>
        <v>0.89040883909504454</v>
      </c>
      <c r="S72" s="645"/>
      <c r="T72" s="50">
        <v>0.34583333333333333</v>
      </c>
      <c r="U72" s="50">
        <v>0.40069444444444446</v>
      </c>
      <c r="V72" s="431">
        <v>23</v>
      </c>
      <c r="W72" s="442">
        <f t="shared" si="49"/>
        <v>79.000000000000043</v>
      </c>
      <c r="X72" s="53">
        <v>0.33333333333333331</v>
      </c>
      <c r="Y72" s="53">
        <v>0.3444444444444445</v>
      </c>
      <c r="Z72" s="54"/>
      <c r="AA72" s="54"/>
      <c r="AB72" s="633"/>
      <c r="AC72" s="633"/>
      <c r="AD72" s="429"/>
      <c r="AE72" s="429"/>
      <c r="AF72" s="48">
        <f>N72-K72</f>
        <v>-179.29113924050716</v>
      </c>
      <c r="AG72" s="433">
        <f>N72/K72</f>
        <v>0.89040883909504454</v>
      </c>
      <c r="AH72" s="645"/>
    </row>
    <row r="73" spans="1:34" ht="19.2" customHeight="1">
      <c r="A73" s="641"/>
      <c r="B73" s="431" t="s">
        <v>143</v>
      </c>
      <c r="C73" s="178"/>
      <c r="D73" s="179" t="s">
        <v>248</v>
      </c>
      <c r="E73" s="180"/>
      <c r="F73" s="361">
        <v>61.02</v>
      </c>
      <c r="G73" s="44">
        <v>2745</v>
      </c>
      <c r="H73" s="45">
        <f t="shared" si="50"/>
        <v>167499.9</v>
      </c>
      <c r="I73" s="429"/>
      <c r="J73" s="181">
        <v>15</v>
      </c>
      <c r="K73" s="182">
        <v>1440</v>
      </c>
      <c r="L73" s="86">
        <v>96</v>
      </c>
      <c r="M73" s="440">
        <v>15</v>
      </c>
      <c r="N73" s="44">
        <f t="shared" si="45"/>
        <v>1419.8275862068967</v>
      </c>
      <c r="O73" s="47">
        <f t="shared" si="46"/>
        <v>94.65517241379311</v>
      </c>
      <c r="P73" s="48">
        <f t="shared" si="47"/>
        <v>0</v>
      </c>
      <c r="Q73" s="49">
        <f t="shared" si="48"/>
        <v>-1.3448275862068897</v>
      </c>
      <c r="R73" s="433">
        <f t="shared" si="44"/>
        <v>0.98599137931034486</v>
      </c>
      <c r="S73" s="645"/>
      <c r="T73" s="50">
        <v>0.40555555555555556</v>
      </c>
      <c r="U73" s="50">
        <v>0.4861111111111111</v>
      </c>
      <c r="V73" s="431">
        <v>7</v>
      </c>
      <c r="W73" s="442">
        <f t="shared" si="49"/>
        <v>115.99999999999999</v>
      </c>
      <c r="X73" s="183"/>
      <c r="Y73" s="183"/>
      <c r="Z73" s="125"/>
      <c r="AA73" s="125"/>
      <c r="AB73" s="633"/>
      <c r="AC73" s="633"/>
      <c r="AD73" s="429"/>
      <c r="AE73" s="429"/>
      <c r="AF73" s="48">
        <f>N73-K73</f>
        <v>-20.17241379310326</v>
      </c>
      <c r="AG73" s="433">
        <f>N73/K73</f>
        <v>0.98599137931034497</v>
      </c>
      <c r="AH73" s="645"/>
    </row>
    <row r="74" spans="1:34" ht="19.2" customHeight="1">
      <c r="A74" s="641"/>
      <c r="B74" s="431" t="s">
        <v>143</v>
      </c>
      <c r="C74" s="178"/>
      <c r="D74" s="179" t="s">
        <v>74</v>
      </c>
      <c r="E74" s="180"/>
      <c r="F74" s="361">
        <v>53.76</v>
      </c>
      <c r="G74" s="44">
        <v>1218.5999999999999</v>
      </c>
      <c r="H74" s="45">
        <f t="shared" si="50"/>
        <v>65511.935999999994</v>
      </c>
      <c r="I74" s="431"/>
      <c r="J74" s="46">
        <v>16</v>
      </c>
      <c r="K74" s="177">
        <v>1440</v>
      </c>
      <c r="L74" s="47">
        <v>90</v>
      </c>
      <c r="M74" s="443">
        <v>16</v>
      </c>
      <c r="N74" s="44">
        <f t="shared" si="45"/>
        <v>1353.9999999999986</v>
      </c>
      <c r="O74" s="47">
        <f t="shared" si="46"/>
        <v>84.624999999999915</v>
      </c>
      <c r="P74" s="48">
        <f t="shared" si="47"/>
        <v>0</v>
      </c>
      <c r="Q74" s="49">
        <f t="shared" si="48"/>
        <v>-5.3750000000000853</v>
      </c>
      <c r="R74" s="433">
        <f t="shared" si="44"/>
        <v>0.94027777777777688</v>
      </c>
      <c r="S74" s="645"/>
      <c r="T74" s="50">
        <v>0.48958333333333331</v>
      </c>
      <c r="U74" s="50">
        <v>0.52708333333333335</v>
      </c>
      <c r="V74" s="431">
        <v>5</v>
      </c>
      <c r="W74" s="442">
        <f t="shared" si="49"/>
        <v>54.00000000000005</v>
      </c>
      <c r="X74" s="183"/>
      <c r="Y74" s="183"/>
      <c r="Z74" s="125"/>
      <c r="AA74" s="125"/>
      <c r="AB74" s="633"/>
      <c r="AC74" s="633"/>
      <c r="AD74" s="429"/>
      <c r="AE74" s="429"/>
      <c r="AF74" s="48">
        <f t="shared" ref="AF74:AF80" si="51">N74-K74</f>
        <v>-86.000000000001364</v>
      </c>
      <c r="AG74" s="433">
        <f t="shared" ref="AG74:AG80" si="52">N74/K74</f>
        <v>0.94027777777777688</v>
      </c>
      <c r="AH74" s="645"/>
    </row>
    <row r="75" spans="1:34" ht="19.2" customHeight="1">
      <c r="A75" s="641"/>
      <c r="B75" s="431" t="s">
        <v>143</v>
      </c>
      <c r="C75" s="66"/>
      <c r="D75" s="176" t="s">
        <v>75</v>
      </c>
      <c r="E75" s="43"/>
      <c r="F75" s="361">
        <v>47.51</v>
      </c>
      <c r="G75" s="57">
        <v>2092</v>
      </c>
      <c r="H75" s="45">
        <f t="shared" si="50"/>
        <v>99390.92</v>
      </c>
      <c r="I75" s="431"/>
      <c r="J75" s="87">
        <v>17</v>
      </c>
      <c r="K75" s="57">
        <v>1440</v>
      </c>
      <c r="L75" s="86">
        <v>84.705882352941174</v>
      </c>
      <c r="M75" s="443">
        <v>17</v>
      </c>
      <c r="N75" s="44">
        <f t="shared" si="45"/>
        <v>1349.677419354839</v>
      </c>
      <c r="O75" s="47">
        <f t="shared" si="46"/>
        <v>79.392789373814054</v>
      </c>
      <c r="P75" s="48">
        <f t="shared" si="47"/>
        <v>0</v>
      </c>
      <c r="Q75" s="49">
        <f t="shared" si="48"/>
        <v>-5.31309297912712</v>
      </c>
      <c r="R75" s="433">
        <f t="shared" si="44"/>
        <v>0.93727598566308257</v>
      </c>
      <c r="S75" s="645"/>
      <c r="T75" s="50">
        <v>0.56874999999999998</v>
      </c>
      <c r="U75" s="50">
        <v>0.6333333333333333</v>
      </c>
      <c r="V75" s="431">
        <v>7</v>
      </c>
      <c r="W75" s="442">
        <f t="shared" si="49"/>
        <v>92.999999999999986</v>
      </c>
      <c r="X75" s="183"/>
      <c r="Y75" s="183"/>
      <c r="Z75" s="125"/>
      <c r="AA75" s="125"/>
      <c r="AB75" s="633"/>
      <c r="AC75" s="633"/>
      <c r="AD75" s="429"/>
      <c r="AE75" s="429">
        <v>1</v>
      </c>
      <c r="AF75" s="48">
        <f t="shared" si="51"/>
        <v>-90.322580645160997</v>
      </c>
      <c r="AG75" s="433">
        <f t="shared" si="52"/>
        <v>0.93727598566308268</v>
      </c>
      <c r="AH75" s="645"/>
    </row>
    <row r="76" spans="1:34" ht="19.2" customHeight="1">
      <c r="A76" s="641"/>
      <c r="B76" s="431" t="s">
        <v>143</v>
      </c>
      <c r="C76" s="178"/>
      <c r="D76" s="179" t="s">
        <v>74</v>
      </c>
      <c r="E76" s="180"/>
      <c r="F76" s="361">
        <v>53.76</v>
      </c>
      <c r="G76" s="177">
        <v>812.40000000000009</v>
      </c>
      <c r="H76" s="45">
        <f t="shared" si="50"/>
        <v>43674.624000000003</v>
      </c>
      <c r="I76" s="431">
        <v>1</v>
      </c>
      <c r="J76" s="181">
        <v>16</v>
      </c>
      <c r="K76" s="182">
        <v>1440</v>
      </c>
      <c r="L76" s="86">
        <v>90</v>
      </c>
      <c r="M76" s="440">
        <v>16</v>
      </c>
      <c r="N76" s="44">
        <f t="shared" si="45"/>
        <v>1317.4054054054045</v>
      </c>
      <c r="O76" s="47">
        <f t="shared" si="46"/>
        <v>82.337837837837782</v>
      </c>
      <c r="P76" s="48">
        <f t="shared" si="47"/>
        <v>0</v>
      </c>
      <c r="Q76" s="49">
        <f t="shared" si="48"/>
        <v>-7.6621621621622182</v>
      </c>
      <c r="R76" s="433">
        <f t="shared" si="44"/>
        <v>0.91486486486486429</v>
      </c>
      <c r="S76" s="645"/>
      <c r="T76" s="50">
        <v>0.63749999999999996</v>
      </c>
      <c r="U76" s="50">
        <v>0.66319444444444442</v>
      </c>
      <c r="V76" s="431">
        <v>6</v>
      </c>
      <c r="W76" s="442">
        <f t="shared" si="49"/>
        <v>37.000000000000028</v>
      </c>
      <c r="X76" s="183"/>
      <c r="Y76" s="183"/>
      <c r="Z76" s="125"/>
      <c r="AA76" s="125"/>
      <c r="AB76" s="633"/>
      <c r="AC76" s="633"/>
      <c r="AD76" s="429"/>
      <c r="AE76" s="429"/>
      <c r="AF76" s="48">
        <f t="shared" si="51"/>
        <v>-122.59459459459549</v>
      </c>
      <c r="AG76" s="433">
        <f t="shared" si="52"/>
        <v>0.91486486486486429</v>
      </c>
      <c r="AH76" s="645"/>
    </row>
    <row r="77" spans="1:34" ht="19.2" customHeight="1">
      <c r="A77" s="641"/>
      <c r="B77" s="431">
        <v>0</v>
      </c>
      <c r="C77" s="438"/>
      <c r="D77" s="42"/>
      <c r="E77" s="43"/>
      <c r="F77" s="361" t="s">
        <v>148</v>
      </c>
      <c r="G77" s="177"/>
      <c r="H77" s="45">
        <f t="shared" si="50"/>
        <v>0</v>
      </c>
      <c r="I77" s="429"/>
      <c r="J77" s="87"/>
      <c r="K77" s="57"/>
      <c r="L77" s="86"/>
      <c r="M77" s="440"/>
      <c r="N77" s="44"/>
      <c r="O77" s="47"/>
      <c r="P77" s="48"/>
      <c r="Q77" s="49"/>
      <c r="R77" s="433"/>
      <c r="S77" s="645"/>
      <c r="T77" s="50"/>
      <c r="U77" s="50"/>
      <c r="V77" s="431"/>
      <c r="W77" s="442">
        <f t="shared" si="49"/>
        <v>0</v>
      </c>
      <c r="X77" s="183"/>
      <c r="Y77" s="183"/>
      <c r="Z77" s="125"/>
      <c r="AA77" s="125"/>
      <c r="AB77" s="633"/>
      <c r="AC77" s="633"/>
      <c r="AD77" s="429"/>
      <c r="AE77" s="429"/>
      <c r="AF77" s="48">
        <f t="shared" si="51"/>
        <v>0</v>
      </c>
      <c r="AG77" s="433" t="e">
        <f t="shared" si="52"/>
        <v>#DIV/0!</v>
      </c>
      <c r="AH77" s="645"/>
    </row>
    <row r="78" spans="1:34" ht="19.2" customHeight="1">
      <c r="A78" s="641"/>
      <c r="B78" s="431">
        <v>0</v>
      </c>
      <c r="C78" s="438"/>
      <c r="D78" s="42"/>
      <c r="E78" s="43"/>
      <c r="F78" s="361" t="s">
        <v>148</v>
      </c>
      <c r="G78" s="57"/>
      <c r="H78" s="45">
        <f t="shared" si="50"/>
        <v>0</v>
      </c>
      <c r="I78" s="429"/>
      <c r="J78" s="87"/>
      <c r="K78" s="57"/>
      <c r="L78" s="86"/>
      <c r="M78" s="440"/>
      <c r="N78" s="44"/>
      <c r="O78" s="47"/>
      <c r="P78" s="48"/>
      <c r="Q78" s="49"/>
      <c r="R78" s="433"/>
      <c r="S78" s="645"/>
      <c r="T78" s="50"/>
      <c r="U78" s="50"/>
      <c r="V78" s="431"/>
      <c r="W78" s="442">
        <f t="shared" si="49"/>
        <v>0</v>
      </c>
      <c r="X78" s="183"/>
      <c r="Y78" s="183"/>
      <c r="Z78" s="125"/>
      <c r="AA78" s="125"/>
      <c r="AB78" s="633"/>
      <c r="AC78" s="633"/>
      <c r="AD78" s="429"/>
      <c r="AE78" s="429"/>
      <c r="AF78" s="48">
        <f t="shared" si="51"/>
        <v>0</v>
      </c>
      <c r="AG78" s="433" t="e">
        <f t="shared" si="52"/>
        <v>#DIV/0!</v>
      </c>
      <c r="AH78" s="645"/>
    </row>
    <row r="79" spans="1:34" ht="19.2" customHeight="1">
      <c r="A79" s="641"/>
      <c r="B79" s="431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429"/>
      <c r="J79" s="87"/>
      <c r="K79" s="57"/>
      <c r="L79" s="86"/>
      <c r="M79" s="440"/>
      <c r="N79" s="57"/>
      <c r="O79" s="184"/>
      <c r="P79" s="108"/>
      <c r="Q79" s="185"/>
      <c r="R79" s="109"/>
      <c r="S79" s="645"/>
      <c r="T79" s="50"/>
      <c r="U79" s="50"/>
      <c r="V79" s="431"/>
      <c r="W79" s="442">
        <f t="shared" si="49"/>
        <v>0</v>
      </c>
      <c r="X79" s="183"/>
      <c r="Y79" s="183"/>
      <c r="Z79" s="125"/>
      <c r="AA79" s="125"/>
      <c r="AB79" s="633"/>
      <c r="AC79" s="633"/>
      <c r="AD79" s="429"/>
      <c r="AE79" s="429"/>
      <c r="AF79" s="48">
        <f t="shared" si="51"/>
        <v>0</v>
      </c>
      <c r="AG79" s="433" t="e">
        <f t="shared" si="52"/>
        <v>#DIV/0!</v>
      </c>
      <c r="AH79" s="645"/>
    </row>
    <row r="80" spans="1:34" ht="19.2" customHeight="1">
      <c r="A80" s="641"/>
      <c r="B80" s="431">
        <v>0</v>
      </c>
      <c r="C80" s="438"/>
      <c r="D80" s="42"/>
      <c r="E80" s="43"/>
      <c r="F80" s="361"/>
      <c r="G80" s="57"/>
      <c r="H80" s="45">
        <f t="shared" si="50"/>
        <v>0</v>
      </c>
      <c r="I80" s="429"/>
      <c r="J80" s="87"/>
      <c r="K80" s="57"/>
      <c r="L80" s="86"/>
      <c r="M80" s="440"/>
      <c r="N80" s="57"/>
      <c r="O80" s="186"/>
      <c r="P80" s="54"/>
      <c r="Q80" s="88"/>
      <c r="R80" s="435"/>
      <c r="S80" s="645"/>
      <c r="T80" s="50"/>
      <c r="U80" s="50"/>
      <c r="V80" s="431"/>
      <c r="W80" s="442">
        <f t="shared" si="49"/>
        <v>0</v>
      </c>
      <c r="X80" s="183"/>
      <c r="Y80" s="183"/>
      <c r="Z80" s="125"/>
      <c r="AA80" s="125"/>
      <c r="AB80" s="633"/>
      <c r="AC80" s="633"/>
      <c r="AD80" s="429"/>
      <c r="AE80" s="429"/>
      <c r="AF80" s="48">
        <f t="shared" si="51"/>
        <v>0</v>
      </c>
      <c r="AG80" s="433" t="e">
        <f t="shared" si="52"/>
        <v>#DIV/0!</v>
      </c>
      <c r="AH80" s="645"/>
    </row>
    <row r="81" spans="1:34" ht="19.2" customHeight="1">
      <c r="A81" s="641"/>
      <c r="B81" s="431">
        <v>0</v>
      </c>
      <c r="C81" s="438"/>
      <c r="D81" s="42"/>
      <c r="E81" s="43"/>
      <c r="F81" s="368"/>
      <c r="G81" s="57"/>
      <c r="H81" s="84"/>
      <c r="I81" s="429"/>
      <c r="J81" s="87"/>
      <c r="K81" s="57"/>
      <c r="L81" s="86"/>
      <c r="M81" s="440"/>
      <c r="N81" s="57"/>
      <c r="O81" s="186"/>
      <c r="P81" s="54"/>
      <c r="Q81" s="88"/>
      <c r="R81" s="435"/>
      <c r="S81" s="645"/>
      <c r="T81" s="50"/>
      <c r="U81" s="50"/>
      <c r="V81" s="431"/>
      <c r="W81" s="442">
        <f t="shared" si="49"/>
        <v>0</v>
      </c>
      <c r="X81" s="183"/>
      <c r="Y81" s="183"/>
      <c r="Z81" s="125"/>
      <c r="AA81" s="125"/>
      <c r="AB81" s="633"/>
      <c r="AC81" s="633"/>
      <c r="AD81" s="429"/>
      <c r="AE81" s="429"/>
      <c r="AF81" s="48"/>
      <c r="AG81" s="126"/>
      <c r="AH81" s="645"/>
    </row>
    <row r="82" spans="1:34" ht="19.2" customHeight="1">
      <c r="A82" s="671"/>
      <c r="B82" s="171">
        <v>0</v>
      </c>
      <c r="C82" s="100" t="s">
        <v>234</v>
      </c>
      <c r="D82" s="660" t="s">
        <v>120</v>
      </c>
      <c r="E82" s="660"/>
      <c r="F82" s="371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M82:O82" si="53">AVERAGE(M70:M81)</f>
        <v>16.285714285714285</v>
      </c>
      <c r="N82" s="101">
        <f t="shared" si="53"/>
        <v>1350.9702407885336</v>
      </c>
      <c r="O82" s="187">
        <f t="shared" si="53"/>
        <v>83.363412329562607</v>
      </c>
      <c r="P82" s="117">
        <f>M82-J82</f>
        <v>0</v>
      </c>
      <c r="Q82" s="118">
        <f>N82-K82</f>
        <v>-125.60118778289507</v>
      </c>
      <c r="R82" s="175">
        <f>O82/L82</f>
        <v>0.91358933680276633</v>
      </c>
      <c r="S82" s="645"/>
      <c r="T82" s="50"/>
      <c r="U82" s="50"/>
      <c r="V82" s="431"/>
      <c r="W82" s="44"/>
      <c r="X82" s="47"/>
      <c r="Y82" s="47"/>
      <c r="Z82" s="106">
        <f>SUM(Z70:Z81)</f>
        <v>0</v>
      </c>
      <c r="AA82" s="106">
        <f>SUM(AA70:AA81)</f>
        <v>0</v>
      </c>
      <c r="AB82" s="633"/>
      <c r="AC82" s="633"/>
      <c r="AD82" s="107">
        <f>SUM(AD70:AD81)</f>
        <v>0</v>
      </c>
      <c r="AE82" s="107">
        <f>SUM(AE70:AE81)</f>
        <v>1</v>
      </c>
      <c r="AF82" s="48">
        <f>N82-K82</f>
        <v>-125.60118778289507</v>
      </c>
      <c r="AG82" s="433">
        <f>N82/K82</f>
        <v>0.91493727607582576</v>
      </c>
      <c r="AH82" s="645"/>
    </row>
    <row r="83" spans="1:34" ht="19.2" customHeight="1">
      <c r="A83" s="672" t="s">
        <v>174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1745</v>
      </c>
      <c r="H83" s="84">
        <f t="shared" ref="H83:H94" si="54">F83*G83</f>
        <v>75279.3</v>
      </c>
      <c r="I83" s="429"/>
      <c r="J83" s="87">
        <v>16</v>
      </c>
      <c r="K83" s="57">
        <v>1440</v>
      </c>
      <c r="L83" s="86">
        <v>90</v>
      </c>
      <c r="M83" s="440">
        <v>16</v>
      </c>
      <c r="N83" s="57">
        <f t="shared" ref="N83:N87" si="55">G83/W83*60</f>
        <v>1396.0000000000007</v>
      </c>
      <c r="O83" s="186">
        <f t="shared" ref="O83:O87" si="56">N83/M83</f>
        <v>87.250000000000043</v>
      </c>
      <c r="P83" s="54">
        <f t="shared" ref="P83:P87" si="57">M83-J83</f>
        <v>0</v>
      </c>
      <c r="Q83" s="88">
        <f t="shared" ref="Q83:Q87" si="58">O83-L83</f>
        <v>-2.7499999999999574</v>
      </c>
      <c r="R83" s="188">
        <f t="shared" ref="R83:R87" si="59">O83/L83</f>
        <v>0.96944444444444489</v>
      </c>
      <c r="S83" s="645">
        <f>R95</f>
        <v>0.9106728424925119</v>
      </c>
      <c r="T83" s="50">
        <v>0.33333333333333331</v>
      </c>
      <c r="U83" s="50">
        <v>0.38541666666666663</v>
      </c>
      <c r="V83" s="431">
        <v>5</v>
      </c>
      <c r="W83" s="442">
        <f t="shared" ref="W83:W93" si="60">(U83-T83)*24*60</f>
        <v>74.999999999999972</v>
      </c>
      <c r="X83" s="53"/>
      <c r="Y83" s="53"/>
      <c r="Z83" s="54"/>
      <c r="AA83" s="54"/>
      <c r="AB83" s="633"/>
      <c r="AC83" s="633"/>
      <c r="AD83" s="429"/>
      <c r="AE83" s="429"/>
      <c r="AF83" s="48">
        <f t="shared" ref="AF83:AF173" si="61">N83-K83</f>
        <v>-43.999999999999318</v>
      </c>
      <c r="AG83" s="433">
        <f t="shared" ref="AG83:AG173" si="62">N83/K83</f>
        <v>0.96944444444444489</v>
      </c>
      <c r="AH83" s="645">
        <f>AG95</f>
        <v>0.90716167768939682</v>
      </c>
    </row>
    <row r="84" spans="1:34" ht="19.2" customHeight="1">
      <c r="A84" s="673"/>
      <c r="B84" s="110" t="s">
        <v>143</v>
      </c>
      <c r="C84" s="438"/>
      <c r="D84" s="189" t="s">
        <v>73</v>
      </c>
      <c r="E84" s="43"/>
      <c r="F84" s="368">
        <v>53.36</v>
      </c>
      <c r="G84" s="44">
        <v>3116.52</v>
      </c>
      <c r="H84" s="84">
        <f t="shared" si="54"/>
        <v>166297.50719999999</v>
      </c>
      <c r="I84" s="431"/>
      <c r="J84" s="87">
        <v>19</v>
      </c>
      <c r="K84" s="57">
        <v>1440</v>
      </c>
      <c r="L84" s="86">
        <v>75.78947368421052</v>
      </c>
      <c r="M84" s="440">
        <v>19</v>
      </c>
      <c r="N84" s="57">
        <f t="shared" si="55"/>
        <v>1326.1787234042556</v>
      </c>
      <c r="O84" s="186">
        <f t="shared" si="56"/>
        <v>69.798880179171348</v>
      </c>
      <c r="P84" s="54">
        <f t="shared" si="57"/>
        <v>0</v>
      </c>
      <c r="Q84" s="88">
        <f t="shared" si="58"/>
        <v>-5.9905935050391719</v>
      </c>
      <c r="R84" s="188">
        <f t="shared" si="59"/>
        <v>0.92095744680851088</v>
      </c>
      <c r="S84" s="645"/>
      <c r="T84" s="50">
        <v>0.40069444444444441</v>
      </c>
      <c r="U84" s="50">
        <v>0.49861111111111106</v>
      </c>
      <c r="V84" s="431">
        <v>22</v>
      </c>
      <c r="W84" s="442">
        <f t="shared" si="60"/>
        <v>140.99999999999997</v>
      </c>
      <c r="X84" s="53">
        <v>0.3888888888888889</v>
      </c>
      <c r="Y84" s="53">
        <v>0.39930555555555558</v>
      </c>
      <c r="Z84" s="54"/>
      <c r="AA84" s="54"/>
      <c r="AB84" s="633"/>
      <c r="AC84" s="633"/>
      <c r="AD84" s="429"/>
      <c r="AE84" s="429"/>
      <c r="AF84" s="48">
        <f t="shared" si="61"/>
        <v>-113.82127659574439</v>
      </c>
      <c r="AG84" s="433">
        <f t="shared" si="62"/>
        <v>0.92095744680851088</v>
      </c>
      <c r="AH84" s="645"/>
    </row>
    <row r="85" spans="1:34" ht="19.2" customHeight="1">
      <c r="A85" s="673"/>
      <c r="B85" s="110" t="s">
        <v>147</v>
      </c>
      <c r="C85" s="123"/>
      <c r="D85" s="189" t="s">
        <v>254</v>
      </c>
      <c r="E85" s="43"/>
      <c r="F85" s="368">
        <v>54.09</v>
      </c>
      <c r="G85" s="44">
        <v>1881</v>
      </c>
      <c r="H85" s="84">
        <f t="shared" si="54"/>
        <v>101743.29000000001</v>
      </c>
      <c r="I85" s="431"/>
      <c r="J85" s="87">
        <v>20</v>
      </c>
      <c r="K85" s="57">
        <v>1300</v>
      </c>
      <c r="L85" s="86">
        <v>65</v>
      </c>
      <c r="M85" s="440">
        <v>20</v>
      </c>
      <c r="N85" s="57">
        <f t="shared" si="55"/>
        <v>1106.4705882352946</v>
      </c>
      <c r="O85" s="186">
        <f t="shared" si="56"/>
        <v>55.323529411764731</v>
      </c>
      <c r="P85" s="54">
        <f t="shared" si="57"/>
        <v>0</v>
      </c>
      <c r="Q85" s="88">
        <f t="shared" si="58"/>
        <v>-9.6764705882352686</v>
      </c>
      <c r="R85" s="188">
        <f t="shared" si="59"/>
        <v>0.85113122171945743</v>
      </c>
      <c r="S85" s="645"/>
      <c r="T85" s="50">
        <v>0.53888888888888886</v>
      </c>
      <c r="U85" s="50">
        <v>0.60972222222222217</v>
      </c>
      <c r="V85" s="431">
        <v>5</v>
      </c>
      <c r="W85" s="442">
        <f t="shared" si="60"/>
        <v>101.99999999999996</v>
      </c>
      <c r="X85" s="53"/>
      <c r="Y85" s="53"/>
      <c r="Z85" s="54"/>
      <c r="AA85" s="54"/>
      <c r="AB85" s="633"/>
      <c r="AC85" s="633"/>
      <c r="AD85" s="429">
        <v>1</v>
      </c>
      <c r="AE85" s="429"/>
      <c r="AF85" s="48">
        <f t="shared" si="61"/>
        <v>-193.5294117647054</v>
      </c>
      <c r="AG85" s="433">
        <f t="shared" si="62"/>
        <v>0.85113122171945743</v>
      </c>
      <c r="AH85" s="645"/>
    </row>
    <row r="86" spans="1:34" ht="19.2" customHeight="1">
      <c r="A86" s="673"/>
      <c r="B86" s="110" t="s">
        <v>147</v>
      </c>
      <c r="C86" s="97"/>
      <c r="D86" s="189" t="s">
        <v>82</v>
      </c>
      <c r="E86" s="43"/>
      <c r="F86" s="368">
        <v>51.75</v>
      </c>
      <c r="G86" s="44">
        <v>852</v>
      </c>
      <c r="H86" s="84">
        <f t="shared" si="54"/>
        <v>44091</v>
      </c>
      <c r="I86" s="431"/>
      <c r="J86" s="87">
        <v>21</v>
      </c>
      <c r="K86" s="57">
        <v>1500</v>
      </c>
      <c r="L86" s="86">
        <v>71.428571428571431</v>
      </c>
      <c r="M86" s="440">
        <v>21</v>
      </c>
      <c r="N86" s="57">
        <f t="shared" si="55"/>
        <v>1310.76923076923</v>
      </c>
      <c r="O86" s="186">
        <f t="shared" si="56"/>
        <v>62.417582417582381</v>
      </c>
      <c r="P86" s="54">
        <f t="shared" si="57"/>
        <v>0</v>
      </c>
      <c r="Q86" s="88">
        <f t="shared" si="58"/>
        <v>-9.01098901098905</v>
      </c>
      <c r="R86" s="188">
        <f t="shared" si="59"/>
        <v>0.87384615384615327</v>
      </c>
      <c r="S86" s="645"/>
      <c r="T86" s="50">
        <v>0.62569444444444433</v>
      </c>
      <c r="U86" s="50">
        <v>0.65277777777777768</v>
      </c>
      <c r="V86" s="431">
        <v>23</v>
      </c>
      <c r="W86" s="442">
        <f t="shared" si="60"/>
        <v>39.000000000000021</v>
      </c>
      <c r="X86" s="53">
        <v>0.61319444444444449</v>
      </c>
      <c r="Y86" s="53">
        <v>0.625</v>
      </c>
      <c r="Z86" s="54"/>
      <c r="AA86" s="54"/>
      <c r="AB86" s="633"/>
      <c r="AC86" s="633"/>
      <c r="AD86" s="429"/>
      <c r="AE86" s="429"/>
      <c r="AF86" s="48">
        <f t="shared" si="61"/>
        <v>-189.23076923076997</v>
      </c>
      <c r="AG86" s="433">
        <f t="shared" si="62"/>
        <v>0.87384615384615338</v>
      </c>
      <c r="AH86" s="645"/>
    </row>
    <row r="87" spans="1:34" ht="19.2" customHeight="1">
      <c r="A87" s="673"/>
      <c r="B87" s="110" t="s">
        <v>143</v>
      </c>
      <c r="C87" s="97"/>
      <c r="D87" s="189" t="s">
        <v>73</v>
      </c>
      <c r="E87" s="43"/>
      <c r="F87" s="368">
        <v>53.36</v>
      </c>
      <c r="G87" s="44">
        <v>1605.48</v>
      </c>
      <c r="H87" s="84">
        <f t="shared" si="54"/>
        <v>85668.412800000006</v>
      </c>
      <c r="I87" s="431">
        <v>1</v>
      </c>
      <c r="J87" s="87">
        <v>19</v>
      </c>
      <c r="K87" s="57">
        <v>1440</v>
      </c>
      <c r="L87" s="86">
        <v>75.78947368421052</v>
      </c>
      <c r="M87" s="440">
        <v>19</v>
      </c>
      <c r="N87" s="57">
        <f t="shared" si="55"/>
        <v>1319.572602739725</v>
      </c>
      <c r="O87" s="186">
        <f t="shared" si="56"/>
        <v>69.45118961788026</v>
      </c>
      <c r="P87" s="54">
        <f t="shared" si="57"/>
        <v>0</v>
      </c>
      <c r="Q87" s="88">
        <f t="shared" si="58"/>
        <v>-6.3382840663302602</v>
      </c>
      <c r="R87" s="188">
        <f t="shared" si="59"/>
        <v>0.91636986301369794</v>
      </c>
      <c r="S87" s="645"/>
      <c r="T87" s="50">
        <v>0.65833333333333321</v>
      </c>
      <c r="U87" s="50">
        <v>0.7090277777777777</v>
      </c>
      <c r="V87" s="431">
        <v>8</v>
      </c>
      <c r="W87" s="442">
        <f t="shared" si="60"/>
        <v>73.000000000000057</v>
      </c>
      <c r="X87" s="53"/>
      <c r="Y87" s="53"/>
      <c r="Z87" s="54"/>
      <c r="AA87" s="54"/>
      <c r="AB87" s="633"/>
      <c r="AC87" s="633"/>
      <c r="AD87" s="429"/>
      <c r="AE87" s="429"/>
      <c r="AF87" s="48">
        <f t="shared" si="61"/>
        <v>-120.42739726027503</v>
      </c>
      <c r="AG87" s="433">
        <f t="shared" si="62"/>
        <v>0.91636986301369794</v>
      </c>
      <c r="AH87" s="645"/>
    </row>
    <row r="88" spans="1:34" ht="19.2" customHeight="1">
      <c r="A88" s="673"/>
      <c r="B88" s="110">
        <v>0</v>
      </c>
      <c r="C88" s="438"/>
      <c r="D88" s="189"/>
      <c r="E88" s="43"/>
      <c r="F88" s="368" t="s">
        <v>148</v>
      </c>
      <c r="G88" s="57"/>
      <c r="H88" s="84">
        <f t="shared" si="54"/>
        <v>0</v>
      </c>
      <c r="I88" s="431"/>
      <c r="J88" s="87"/>
      <c r="K88" s="57"/>
      <c r="L88" s="86"/>
      <c r="M88" s="440"/>
      <c r="N88" s="57"/>
      <c r="O88" s="186"/>
      <c r="P88" s="54"/>
      <c r="Q88" s="88"/>
      <c r="R88" s="188"/>
      <c r="S88" s="645"/>
      <c r="T88" s="50"/>
      <c r="U88" s="50"/>
      <c r="V88" s="431"/>
      <c r="W88" s="442">
        <f t="shared" si="60"/>
        <v>0</v>
      </c>
      <c r="X88" s="53"/>
      <c r="Y88" s="53"/>
      <c r="Z88" s="54"/>
      <c r="AA88" s="54"/>
      <c r="AB88" s="633"/>
      <c r="AC88" s="633"/>
      <c r="AD88" s="429"/>
      <c r="AE88" s="429"/>
      <c r="AF88" s="48">
        <f t="shared" si="61"/>
        <v>0</v>
      </c>
      <c r="AG88" s="433" t="e">
        <f t="shared" si="62"/>
        <v>#DIV/0!</v>
      </c>
      <c r="AH88" s="645"/>
    </row>
    <row r="89" spans="1:34" ht="19.2" customHeight="1">
      <c r="A89" s="673"/>
      <c r="B89" s="110">
        <v>0</v>
      </c>
      <c r="C89" s="438"/>
      <c r="D89" s="42"/>
      <c r="E89" s="43"/>
      <c r="F89" s="368" t="s">
        <v>148</v>
      </c>
      <c r="G89" s="115"/>
      <c r="H89" s="84">
        <f t="shared" si="54"/>
        <v>0</v>
      </c>
      <c r="I89" s="431"/>
      <c r="J89" s="87"/>
      <c r="K89" s="57"/>
      <c r="L89" s="86"/>
      <c r="M89" s="440"/>
      <c r="N89" s="57"/>
      <c r="O89" s="186"/>
      <c r="P89" s="54"/>
      <c r="Q89" s="88"/>
      <c r="R89" s="188"/>
      <c r="S89" s="645"/>
      <c r="T89" s="50"/>
      <c r="U89" s="50"/>
      <c r="V89" s="431"/>
      <c r="W89" s="442">
        <f t="shared" si="60"/>
        <v>0</v>
      </c>
      <c r="X89" s="53"/>
      <c r="Y89" s="53"/>
      <c r="Z89" s="54"/>
      <c r="AA89" s="54"/>
      <c r="AB89" s="633"/>
      <c r="AC89" s="633"/>
      <c r="AD89" s="429"/>
      <c r="AE89" s="429"/>
      <c r="AF89" s="48">
        <f t="shared" si="61"/>
        <v>0</v>
      </c>
      <c r="AG89" s="433" t="e">
        <f t="shared" si="62"/>
        <v>#DIV/0!</v>
      </c>
      <c r="AH89" s="645"/>
    </row>
    <row r="90" spans="1:34" ht="19.2" customHeight="1">
      <c r="A90" s="673"/>
      <c r="B90" s="110">
        <v>0</v>
      </c>
      <c r="C90" s="438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440"/>
      <c r="N90" s="57"/>
      <c r="O90" s="186"/>
      <c r="P90" s="54"/>
      <c r="Q90" s="88"/>
      <c r="R90" s="188"/>
      <c r="S90" s="645"/>
      <c r="T90" s="50"/>
      <c r="U90" s="50"/>
      <c r="V90" s="431"/>
      <c r="W90" s="442">
        <f t="shared" si="60"/>
        <v>0</v>
      </c>
      <c r="X90" s="191"/>
      <c r="Y90" s="191"/>
      <c r="Z90" s="54"/>
      <c r="AA90" s="54"/>
      <c r="AB90" s="633"/>
      <c r="AC90" s="633"/>
      <c r="AD90" s="429"/>
      <c r="AE90" s="429"/>
      <c r="AF90" s="48">
        <f t="shared" si="61"/>
        <v>0</v>
      </c>
      <c r="AG90" s="433" t="e">
        <f t="shared" si="62"/>
        <v>#DIV/0!</v>
      </c>
      <c r="AH90" s="645"/>
    </row>
    <row r="91" spans="1:34" ht="19.2" customHeight="1">
      <c r="A91" s="673"/>
      <c r="B91" s="110">
        <v>0</v>
      </c>
      <c r="C91" s="438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440" t="s">
        <v>15</v>
      </c>
      <c r="N91" s="57"/>
      <c r="O91" s="186"/>
      <c r="P91" s="54"/>
      <c r="Q91" s="88"/>
      <c r="R91" s="188"/>
      <c r="S91" s="646"/>
      <c r="T91" s="50"/>
      <c r="U91" s="50"/>
      <c r="V91" s="431"/>
      <c r="W91" s="442">
        <f t="shared" si="60"/>
        <v>0</v>
      </c>
      <c r="X91" s="116"/>
      <c r="Y91" s="116"/>
      <c r="Z91" s="54"/>
      <c r="AA91" s="54"/>
      <c r="AB91" s="633"/>
      <c r="AC91" s="633"/>
      <c r="AD91" s="429"/>
      <c r="AE91" s="429"/>
      <c r="AF91" s="48">
        <f t="shared" si="61"/>
        <v>0</v>
      </c>
      <c r="AG91" s="433" t="e">
        <f t="shared" si="62"/>
        <v>#DIV/0!</v>
      </c>
      <c r="AH91" s="646"/>
    </row>
    <row r="92" spans="1:34" ht="19.2" customHeight="1">
      <c r="A92" s="673"/>
      <c r="B92" s="110">
        <v>0</v>
      </c>
      <c r="C92" s="438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646"/>
      <c r="T92" s="50"/>
      <c r="U92" s="50"/>
      <c r="V92" s="431"/>
      <c r="W92" s="442">
        <f t="shared" si="60"/>
        <v>0</v>
      </c>
      <c r="X92" s="183"/>
      <c r="Y92" s="183"/>
      <c r="Z92" s="125"/>
      <c r="AA92" s="125"/>
      <c r="AB92" s="633"/>
      <c r="AC92" s="633"/>
      <c r="AD92" s="429"/>
      <c r="AE92" s="429"/>
      <c r="AF92" s="48">
        <f t="shared" si="61"/>
        <v>0</v>
      </c>
      <c r="AG92" s="433" t="e">
        <f t="shared" si="62"/>
        <v>#DIV/0!</v>
      </c>
      <c r="AH92" s="646"/>
    </row>
    <row r="93" spans="1:34" ht="19.2" customHeight="1">
      <c r="A93" s="673"/>
      <c r="B93" s="444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440"/>
      <c r="N93" s="57"/>
      <c r="O93" s="86"/>
      <c r="P93" s="54"/>
      <c r="Q93" s="88"/>
      <c r="R93" s="430"/>
      <c r="S93" s="674"/>
      <c r="T93" s="63"/>
      <c r="U93" s="63"/>
      <c r="V93" s="444"/>
      <c r="W93" s="442">
        <f t="shared" si="60"/>
        <v>0</v>
      </c>
      <c r="X93" s="200"/>
      <c r="Y93" s="200"/>
      <c r="Z93" s="125"/>
      <c r="AA93" s="125"/>
      <c r="AB93" s="633"/>
      <c r="AC93" s="633"/>
      <c r="AD93" s="429"/>
      <c r="AE93" s="429"/>
      <c r="AF93" s="48">
        <f t="shared" si="61"/>
        <v>0</v>
      </c>
      <c r="AG93" s="433" t="e">
        <f t="shared" si="62"/>
        <v>#DIV/0!</v>
      </c>
      <c r="AH93" s="646"/>
    </row>
    <row r="94" spans="1:34" ht="19.2" customHeight="1">
      <c r="A94" s="673"/>
      <c r="B94" s="444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0"/>
      <c r="S94" s="674"/>
      <c r="T94" s="63"/>
      <c r="U94" s="63"/>
      <c r="V94" s="444"/>
      <c r="W94" s="442">
        <f>(U94-T94)*24*60</f>
        <v>0</v>
      </c>
      <c r="X94" s="200"/>
      <c r="Y94" s="200"/>
      <c r="Z94" s="125"/>
      <c r="AA94" s="125"/>
      <c r="AB94" s="633"/>
      <c r="AC94" s="633"/>
      <c r="AD94" s="429"/>
      <c r="AE94" s="429"/>
      <c r="AF94" s="48">
        <f t="shared" si="61"/>
        <v>0</v>
      </c>
      <c r="AG94" s="433" t="e">
        <f t="shared" si="62"/>
        <v>#DIV/0!</v>
      </c>
      <c r="AH94" s="646"/>
    </row>
    <row r="95" spans="1:34" ht="19.2" customHeight="1">
      <c r="A95" s="673"/>
      <c r="B95" s="203">
        <v>0</v>
      </c>
      <c r="C95" s="100" t="s">
        <v>305</v>
      </c>
      <c r="D95" s="660" t="s">
        <v>293</v>
      </c>
      <c r="E95" s="660"/>
      <c r="F95" s="362"/>
      <c r="G95" s="70"/>
      <c r="H95" s="204"/>
      <c r="I95" s="103"/>
      <c r="J95" s="205">
        <v>19</v>
      </c>
      <c r="K95" s="205">
        <v>1424</v>
      </c>
      <c r="L95" s="206">
        <v>75.601503759398497</v>
      </c>
      <c r="M95" s="205">
        <f t="shared" ref="M95:O95" si="63">AVERAGE(M83:M94)</f>
        <v>19</v>
      </c>
      <c r="N95" s="205">
        <f t="shared" si="63"/>
        <v>1291.7982290297011</v>
      </c>
      <c r="O95" s="206">
        <f t="shared" si="63"/>
        <v>68.848236325279757</v>
      </c>
      <c r="P95" s="207">
        <f>M95-J95</f>
        <v>0</v>
      </c>
      <c r="Q95" s="208">
        <f t="shared" ref="Q95:Q102" si="64">O95-L95</f>
        <v>-6.7532674341187402</v>
      </c>
      <c r="R95" s="209">
        <f>O95/L95</f>
        <v>0.9106728424925119</v>
      </c>
      <c r="S95" s="646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33"/>
      <c r="AC95" s="633"/>
      <c r="AD95" s="107">
        <f>SUM(AD83:AD94)</f>
        <v>1</v>
      </c>
      <c r="AE95" s="107">
        <f>SUM(AE83:AE94)</f>
        <v>0</v>
      </c>
      <c r="AF95" s="65">
        <f t="shared" si="61"/>
        <v>-132.20177097029887</v>
      </c>
      <c r="AG95" s="434">
        <f t="shared" si="62"/>
        <v>0.90716167768939682</v>
      </c>
      <c r="AH95" s="646"/>
    </row>
    <row r="96" spans="1:34" ht="19.2" customHeight="1">
      <c r="A96" s="675" t="s">
        <v>306</v>
      </c>
      <c r="B96" s="431">
        <v>0</v>
      </c>
      <c r="C96" s="97"/>
      <c r="D96" s="42" t="s">
        <v>176</v>
      </c>
      <c r="E96" s="43"/>
      <c r="F96" s="361">
        <v>36.92</v>
      </c>
      <c r="G96" s="44">
        <v>2439</v>
      </c>
      <c r="H96" s="45">
        <f t="shared" ref="H96:H106" si="65">F96*G96</f>
        <v>90047.88</v>
      </c>
      <c r="I96" s="431"/>
      <c r="J96" s="46">
        <v>6</v>
      </c>
      <c r="K96" s="44">
        <v>1636</v>
      </c>
      <c r="L96" s="47">
        <v>272.66666666666669</v>
      </c>
      <c r="M96" s="443">
        <v>6</v>
      </c>
      <c r="N96" s="44">
        <f t="shared" ref="N96:N102" si="66">G96/W96*60</f>
        <v>1540.4210526315792</v>
      </c>
      <c r="O96" s="47">
        <f t="shared" ref="O96:O102" si="67">N96/M96</f>
        <v>256.73684210526318</v>
      </c>
      <c r="P96" s="48">
        <f t="shared" ref="P96:P102" si="68">M96-J96</f>
        <v>0</v>
      </c>
      <c r="Q96" s="49">
        <f t="shared" si="64"/>
        <v>-15.929824561403507</v>
      </c>
      <c r="R96" s="433">
        <f t="shared" ref="R96:R102" si="69">O96/L96</f>
        <v>0.94157766053274994</v>
      </c>
      <c r="S96" s="645">
        <f>R108</f>
        <v>0.92126132553539564</v>
      </c>
      <c r="T96" s="89">
        <v>0.33333333333333331</v>
      </c>
      <c r="U96" s="89">
        <v>0.39930555555555552</v>
      </c>
      <c r="V96" s="429">
        <v>5</v>
      </c>
      <c r="W96" s="90">
        <f t="shared" ref="W96:W133" si="70">(U96-T96)*24*60</f>
        <v>94.999999999999986</v>
      </c>
      <c r="X96" s="96"/>
      <c r="Y96" s="96"/>
      <c r="Z96" s="54"/>
      <c r="AA96" s="54"/>
      <c r="AB96" s="633"/>
      <c r="AC96" s="633"/>
      <c r="AD96" s="429"/>
      <c r="AE96" s="429"/>
      <c r="AF96" s="54">
        <f t="shared" si="61"/>
        <v>-95.578947368420813</v>
      </c>
      <c r="AG96" s="430">
        <f t="shared" si="62"/>
        <v>0.94157766053275016</v>
      </c>
      <c r="AH96" s="654">
        <f>AG108</f>
        <v>0.88184424050727794</v>
      </c>
    </row>
    <row r="97" spans="1:34" s="218" customFormat="1" ht="19.2" customHeight="1">
      <c r="A97" s="675"/>
      <c r="B97" s="431" t="s">
        <v>145</v>
      </c>
      <c r="C97" s="210"/>
      <c r="D97" s="211" t="s">
        <v>65</v>
      </c>
      <c r="E97" s="56"/>
      <c r="F97" s="372">
        <v>29.113149847094796</v>
      </c>
      <c r="G97" s="212">
        <v>2485.85</v>
      </c>
      <c r="H97" s="213">
        <f t="shared" si="65"/>
        <v>72370.923547400598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1331.705357142856</v>
      </c>
      <c r="O97" s="47">
        <f t="shared" si="67"/>
        <v>73.983630952380892</v>
      </c>
      <c r="P97" s="48">
        <f t="shared" si="68"/>
        <v>-2</v>
      </c>
      <c r="Q97" s="49">
        <f t="shared" si="64"/>
        <v>-1.0163690476191078</v>
      </c>
      <c r="R97" s="433">
        <f t="shared" si="69"/>
        <v>0.98644841269841188</v>
      </c>
      <c r="S97" s="645"/>
      <c r="T97" s="214">
        <v>0.41527777777777775</v>
      </c>
      <c r="U97" s="214">
        <v>0.49305555555555558</v>
      </c>
      <c r="V97" s="215">
        <v>23</v>
      </c>
      <c r="W97" s="90">
        <f t="shared" si="70"/>
        <v>112.00000000000009</v>
      </c>
      <c r="X97" s="53">
        <v>0.40277777777777773</v>
      </c>
      <c r="Y97" s="53">
        <v>0.4145833333333333</v>
      </c>
      <c r="Z97" s="54"/>
      <c r="AA97" s="54"/>
      <c r="AB97" s="633"/>
      <c r="AC97" s="633"/>
      <c r="AD97" s="215"/>
      <c r="AE97" s="215"/>
      <c r="AF97" s="216">
        <f t="shared" si="61"/>
        <v>-168.29464285714403</v>
      </c>
      <c r="AG97" s="217">
        <f t="shared" si="62"/>
        <v>0.88780357142857069</v>
      </c>
      <c r="AH97" s="654"/>
    </row>
    <row r="98" spans="1:34" s="221" customFormat="1" ht="19.2" customHeight="1">
      <c r="A98" s="675"/>
      <c r="B98" s="431" t="s">
        <v>143</v>
      </c>
      <c r="C98" s="55"/>
      <c r="D98" s="42" t="s">
        <v>235</v>
      </c>
      <c r="E98" s="83"/>
      <c r="F98" s="372">
        <v>77.349999999999994</v>
      </c>
      <c r="G98" s="57">
        <v>623</v>
      </c>
      <c r="H98" s="213">
        <f t="shared" si="65"/>
        <v>48189.049999999996</v>
      </c>
      <c r="I98" s="42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1288.9655172413768</v>
      </c>
      <c r="O98" s="47">
        <f t="shared" si="67"/>
        <v>71.60919540229871</v>
      </c>
      <c r="P98" s="48">
        <f t="shared" si="68"/>
        <v>-1</v>
      </c>
      <c r="Q98" s="49">
        <f t="shared" si="64"/>
        <v>-4.1802782819118107</v>
      </c>
      <c r="R98" s="433">
        <f t="shared" si="69"/>
        <v>0.94484355044699697</v>
      </c>
      <c r="S98" s="645"/>
      <c r="T98" s="89">
        <v>0.52847222222222212</v>
      </c>
      <c r="U98" s="89">
        <v>0.54861111111111105</v>
      </c>
      <c r="V98" s="429">
        <v>5</v>
      </c>
      <c r="W98" s="90">
        <f t="shared" si="70"/>
        <v>29.000000000000057</v>
      </c>
      <c r="X98" s="219"/>
      <c r="Y98" s="219"/>
      <c r="Z98" s="220"/>
      <c r="AA98" s="220"/>
      <c r="AB98" s="633"/>
      <c r="AC98" s="633"/>
      <c r="AD98" s="429"/>
      <c r="AE98" s="429"/>
      <c r="AF98" s="54">
        <f t="shared" si="61"/>
        <v>-151.0344827586232</v>
      </c>
      <c r="AG98" s="430">
        <f t="shared" si="62"/>
        <v>0.89511494252873391</v>
      </c>
      <c r="AH98" s="654"/>
    </row>
    <row r="99" spans="1:34" ht="19.2" customHeight="1">
      <c r="A99" s="675"/>
      <c r="B99" s="431" t="s">
        <v>143</v>
      </c>
      <c r="C99" s="81"/>
      <c r="D99" s="82" t="s">
        <v>58</v>
      </c>
      <c r="E99" s="83"/>
      <c r="F99" s="372">
        <v>77.34</v>
      </c>
      <c r="G99" s="57">
        <v>718</v>
      </c>
      <c r="H99" s="213">
        <f t="shared" si="65"/>
        <v>55530.12</v>
      </c>
      <c r="I99" s="429"/>
      <c r="J99" s="46">
        <v>18</v>
      </c>
      <c r="K99" s="44">
        <v>1440</v>
      </c>
      <c r="L99" s="47">
        <v>80</v>
      </c>
      <c r="M99" s="443">
        <v>18</v>
      </c>
      <c r="N99" s="44">
        <f t="shared" si="66"/>
        <v>1267.0588235294103</v>
      </c>
      <c r="O99" s="47">
        <f t="shared" si="67"/>
        <v>70.392156862745026</v>
      </c>
      <c r="P99" s="48">
        <f t="shared" si="68"/>
        <v>0</v>
      </c>
      <c r="Q99" s="49">
        <f t="shared" si="64"/>
        <v>-9.6078431372549744</v>
      </c>
      <c r="R99" s="433">
        <f t="shared" si="69"/>
        <v>0.87990196078431282</v>
      </c>
      <c r="S99" s="645"/>
      <c r="T99" s="89">
        <v>0.55347222222222214</v>
      </c>
      <c r="U99" s="89">
        <v>0.57708333333333328</v>
      </c>
      <c r="V99" s="429">
        <v>7</v>
      </c>
      <c r="W99" s="90">
        <f t="shared" si="70"/>
        <v>34.000000000000043</v>
      </c>
      <c r="X99" s="183"/>
      <c r="Y99" s="183"/>
      <c r="Z99" s="125"/>
      <c r="AA99" s="125"/>
      <c r="AB99" s="633"/>
      <c r="AC99" s="633"/>
      <c r="AD99" s="429"/>
      <c r="AE99" s="429"/>
      <c r="AF99" s="216">
        <f t="shared" si="61"/>
        <v>-172.94117647058965</v>
      </c>
      <c r="AG99" s="217">
        <f t="shared" si="62"/>
        <v>0.87990196078431271</v>
      </c>
      <c r="AH99" s="654"/>
    </row>
    <row r="100" spans="1:34" s="221" customFormat="1" ht="19.2" customHeight="1">
      <c r="A100" s="675"/>
      <c r="B100" s="431" t="s">
        <v>143</v>
      </c>
      <c r="C100" s="55"/>
      <c r="D100" s="42" t="s">
        <v>56</v>
      </c>
      <c r="E100" s="83"/>
      <c r="F100" s="372">
        <v>59.34</v>
      </c>
      <c r="G100" s="57">
        <v>765</v>
      </c>
      <c r="H100" s="213">
        <f t="shared" si="65"/>
        <v>45395.100000000006</v>
      </c>
      <c r="I100" s="429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1240.5405405405395</v>
      </c>
      <c r="O100" s="47">
        <f t="shared" si="67"/>
        <v>72.972972972972912</v>
      </c>
      <c r="P100" s="48">
        <f t="shared" si="68"/>
        <v>0</v>
      </c>
      <c r="Q100" s="49">
        <f t="shared" si="64"/>
        <v>-11.732909379968262</v>
      </c>
      <c r="R100" s="433">
        <f t="shared" si="69"/>
        <v>0.86148648648648574</v>
      </c>
      <c r="S100" s="645"/>
      <c r="T100" s="214">
        <v>0.58124999999999993</v>
      </c>
      <c r="U100" s="214">
        <v>0.6069444444444444</v>
      </c>
      <c r="V100" s="215">
        <v>6</v>
      </c>
      <c r="W100" s="90">
        <f t="shared" si="70"/>
        <v>37.000000000000028</v>
      </c>
      <c r="X100" s="222"/>
      <c r="Y100" s="222"/>
      <c r="Z100" s="220"/>
      <c r="AA100" s="220"/>
      <c r="AB100" s="633"/>
      <c r="AC100" s="633"/>
      <c r="AD100" s="429"/>
      <c r="AE100" s="429"/>
      <c r="AF100" s="54">
        <f t="shared" si="61"/>
        <v>-199.4594594594605</v>
      </c>
      <c r="AG100" s="430">
        <f t="shared" si="62"/>
        <v>0.86148648648648574</v>
      </c>
      <c r="AH100" s="654"/>
    </row>
    <row r="101" spans="1:34" s="221" customFormat="1" ht="19.2" customHeight="1">
      <c r="A101" s="675"/>
      <c r="B101" s="431" t="s">
        <v>143</v>
      </c>
      <c r="C101" s="55"/>
      <c r="D101" s="82" t="s">
        <v>57</v>
      </c>
      <c r="E101" s="83"/>
      <c r="F101" s="372">
        <v>71.55</v>
      </c>
      <c r="G101" s="57">
        <v>819</v>
      </c>
      <c r="H101" s="213">
        <f t="shared" si="65"/>
        <v>58599.45</v>
      </c>
      <c r="I101" s="42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1228.4999999999995</v>
      </c>
      <c r="O101" s="47">
        <f t="shared" si="67"/>
        <v>68.249999999999972</v>
      </c>
      <c r="P101" s="48">
        <f t="shared" si="68"/>
        <v>0</v>
      </c>
      <c r="Q101" s="49">
        <f t="shared" si="64"/>
        <v>-8.6944444444444713</v>
      </c>
      <c r="R101" s="433">
        <f t="shared" si="69"/>
        <v>0.88700361010830286</v>
      </c>
      <c r="S101" s="645"/>
      <c r="T101" s="214">
        <v>0.62222222222222212</v>
      </c>
      <c r="U101" s="89">
        <v>0.64999999999999991</v>
      </c>
      <c r="V101" s="215">
        <v>22</v>
      </c>
      <c r="W101" s="90">
        <f t="shared" si="70"/>
        <v>40.000000000000014</v>
      </c>
      <c r="X101" s="223">
        <v>0.61041666666666672</v>
      </c>
      <c r="Y101" s="223">
        <v>0.62152777777777779</v>
      </c>
      <c r="Z101" s="220"/>
      <c r="AA101" s="220"/>
      <c r="AB101" s="633"/>
      <c r="AC101" s="633"/>
      <c r="AD101" s="429"/>
      <c r="AE101" s="429"/>
      <c r="AF101" s="216">
        <f t="shared" si="61"/>
        <v>-156.50000000000045</v>
      </c>
      <c r="AG101" s="217">
        <f t="shared" si="62"/>
        <v>0.88700361010830298</v>
      </c>
      <c r="AH101" s="654"/>
    </row>
    <row r="102" spans="1:34" s="221" customFormat="1" ht="19.2" customHeight="1">
      <c r="A102" s="675"/>
      <c r="B102" s="431" t="s">
        <v>145</v>
      </c>
      <c r="C102" s="178"/>
      <c r="D102" s="179" t="s">
        <v>65</v>
      </c>
      <c r="E102" s="180"/>
      <c r="F102" s="372">
        <v>29.113149847094796</v>
      </c>
      <c r="G102" s="57">
        <v>509.15000000000003</v>
      </c>
      <c r="H102" s="213">
        <f t="shared" si="65"/>
        <v>14822.960244648317</v>
      </c>
      <c r="I102" s="431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1221.9599999999966</v>
      </c>
      <c r="O102" s="47">
        <f t="shared" si="67"/>
        <v>67.886666666666486</v>
      </c>
      <c r="P102" s="48">
        <f t="shared" si="68"/>
        <v>-2</v>
      </c>
      <c r="Q102" s="49">
        <f t="shared" si="64"/>
        <v>-7.1133333333335145</v>
      </c>
      <c r="R102" s="433">
        <f t="shared" si="69"/>
        <v>0.90515555555555316</v>
      </c>
      <c r="S102" s="645"/>
      <c r="T102" s="214">
        <v>0.65555555555555545</v>
      </c>
      <c r="U102" s="214">
        <v>0.67291666666666661</v>
      </c>
      <c r="V102" s="215">
        <v>8</v>
      </c>
      <c r="W102" s="90">
        <f t="shared" si="70"/>
        <v>25.000000000000071</v>
      </c>
      <c r="X102" s="223"/>
      <c r="Y102" s="223"/>
      <c r="Z102" s="220"/>
      <c r="AA102" s="220"/>
      <c r="AB102" s="633"/>
      <c r="AC102" s="633"/>
      <c r="AD102" s="429"/>
      <c r="AE102" s="429"/>
      <c r="AF102" s="54">
        <f t="shared" si="61"/>
        <v>-278.04000000000337</v>
      </c>
      <c r="AG102" s="430">
        <f t="shared" si="62"/>
        <v>0.8146399999999977</v>
      </c>
      <c r="AH102" s="654"/>
    </row>
    <row r="103" spans="1:34" s="221" customFormat="1" ht="19.2" customHeight="1">
      <c r="A103" s="675"/>
      <c r="B103" s="431">
        <v>0</v>
      </c>
      <c r="C103" s="224"/>
      <c r="D103" s="82"/>
      <c r="E103" s="83"/>
      <c r="F103" s="372" t="s">
        <v>148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33"/>
      <c r="S103" s="645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633"/>
      <c r="AC103" s="633"/>
      <c r="AD103" s="429"/>
      <c r="AE103" s="429"/>
      <c r="AF103" s="54">
        <f t="shared" si="61"/>
        <v>0</v>
      </c>
      <c r="AG103" s="430" t="e">
        <f t="shared" si="62"/>
        <v>#DIV/0!</v>
      </c>
      <c r="AH103" s="654"/>
    </row>
    <row r="104" spans="1:34" s="221" customFormat="1" ht="19.2" customHeight="1">
      <c r="A104" s="675"/>
      <c r="B104" s="431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33"/>
      <c r="S104" s="646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33"/>
      <c r="AC104" s="633"/>
      <c r="AD104" s="429"/>
      <c r="AE104" s="429"/>
      <c r="AF104" s="216">
        <f t="shared" si="61"/>
        <v>0</v>
      </c>
      <c r="AG104" s="217" t="e">
        <f t="shared" si="62"/>
        <v>#DIV/0!</v>
      </c>
      <c r="AH104" s="654"/>
    </row>
    <row r="105" spans="1:34" s="221" customFormat="1" ht="19.2" customHeight="1">
      <c r="A105" s="675"/>
      <c r="B105" s="431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33"/>
      <c r="S105" s="646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33"/>
      <c r="AC105" s="633"/>
      <c r="AD105" s="429"/>
      <c r="AE105" s="429"/>
      <c r="AF105" s="54">
        <f t="shared" si="61"/>
        <v>0</v>
      </c>
      <c r="AG105" s="430" t="e">
        <f t="shared" si="62"/>
        <v>#DIV/0!</v>
      </c>
      <c r="AH105" s="654"/>
    </row>
    <row r="106" spans="1:34" s="221" customFormat="1" ht="19.2" customHeight="1">
      <c r="A106" s="675"/>
      <c r="B106" s="431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0"/>
      <c r="S106" s="674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33"/>
      <c r="AC106" s="633"/>
      <c r="AD106" s="429"/>
      <c r="AE106" s="429"/>
      <c r="AF106" s="54">
        <f t="shared" si="61"/>
        <v>0</v>
      </c>
      <c r="AG106" s="430" t="e">
        <f t="shared" si="62"/>
        <v>#DIV/0!</v>
      </c>
      <c r="AH106" s="654"/>
    </row>
    <row r="107" spans="1:34" s="221" customFormat="1" ht="19.2" customHeight="1">
      <c r="A107" s="675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0"/>
      <c r="S107" s="674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33"/>
      <c r="AC107" s="633"/>
      <c r="AD107" s="429"/>
      <c r="AE107" s="429"/>
      <c r="AF107" s="220"/>
      <c r="AG107" s="430"/>
      <c r="AH107" s="654"/>
    </row>
    <row r="108" spans="1:34" ht="19.2" customHeight="1">
      <c r="A108" s="675"/>
      <c r="B108" s="110">
        <v>0</v>
      </c>
      <c r="C108" s="100" t="s">
        <v>307</v>
      </c>
      <c r="D108" s="660" t="s">
        <v>293</v>
      </c>
      <c r="E108" s="660"/>
      <c r="F108" s="373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M108:O108" si="71">AVERAGE(M96:M107)</f>
        <v>16.142857142857142</v>
      </c>
      <c r="N108" s="101">
        <f t="shared" si="71"/>
        <v>1302.7358987265372</v>
      </c>
      <c r="O108" s="104">
        <f t="shared" si="71"/>
        <v>97.40449499461819</v>
      </c>
      <c r="P108" s="54">
        <f t="shared" ref="P108:P116" si="72">M108-J108</f>
        <v>-0.7142857142857153</v>
      </c>
      <c r="Q108" s="88">
        <f t="shared" ref="Q108:Q116" si="73">O108-L108</f>
        <v>-8.3250003122765008</v>
      </c>
      <c r="R108" s="105">
        <f t="shared" ref="R108:R116" si="74">O108/L108</f>
        <v>0.92126132553539564</v>
      </c>
      <c r="S108" s="646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33"/>
      <c r="AC108" s="633"/>
      <c r="AD108" s="107">
        <f>SUM(AD96:AD107)</f>
        <v>0</v>
      </c>
      <c r="AE108" s="107">
        <f>SUM(AE96:AE107)</f>
        <v>0</v>
      </c>
      <c r="AF108" s="54">
        <f t="shared" si="61"/>
        <v>-174.54981555917698</v>
      </c>
      <c r="AG108" s="430">
        <f t="shared" si="62"/>
        <v>0.88184424050727794</v>
      </c>
      <c r="AH108" s="654"/>
    </row>
    <row r="109" spans="1:34" ht="19.2" customHeight="1">
      <c r="A109" s="676" t="s">
        <v>308</v>
      </c>
      <c r="B109" s="431" t="s">
        <v>149</v>
      </c>
      <c r="C109" s="438"/>
      <c r="D109" s="409" t="s">
        <v>242</v>
      </c>
      <c r="E109" s="43"/>
      <c r="F109" s="361">
        <v>25.64</v>
      </c>
      <c r="G109" s="44">
        <v>466</v>
      </c>
      <c r="H109" s="45">
        <f t="shared" ref="H109:H119" si="75">F109*G109</f>
        <v>11948.24</v>
      </c>
      <c r="I109" s="431"/>
      <c r="J109" s="46">
        <v>10</v>
      </c>
      <c r="K109" s="44">
        <v>1500</v>
      </c>
      <c r="L109" s="47">
        <v>150</v>
      </c>
      <c r="M109" s="443">
        <v>10</v>
      </c>
      <c r="N109" s="44">
        <f t="shared" ref="N109:N116" si="76">G109/W109*60</f>
        <v>1270.9090909090955</v>
      </c>
      <c r="O109" s="47">
        <f t="shared" ref="O109:O116" si="77">N109/M109</f>
        <v>127.09090909090955</v>
      </c>
      <c r="P109" s="48">
        <f t="shared" si="72"/>
        <v>0</v>
      </c>
      <c r="Q109" s="49">
        <f t="shared" si="73"/>
        <v>-22.909090909090452</v>
      </c>
      <c r="R109" s="433">
        <f t="shared" si="74"/>
        <v>0.84727272727273029</v>
      </c>
      <c r="S109" s="679">
        <f>R121</f>
        <v>0.8935891188783156</v>
      </c>
      <c r="T109" s="230">
        <v>0.5</v>
      </c>
      <c r="U109" s="230">
        <v>0.51527777777777772</v>
      </c>
      <c r="V109" s="231">
        <v>5</v>
      </c>
      <c r="W109" s="442">
        <f t="shared" si="70"/>
        <v>21.999999999999922</v>
      </c>
      <c r="X109" s="53"/>
      <c r="Y109" s="53"/>
      <c r="Z109" s="54"/>
      <c r="AA109" s="54"/>
      <c r="AB109" s="633"/>
      <c r="AC109" s="633"/>
      <c r="AD109" s="429"/>
      <c r="AE109" s="429"/>
      <c r="AF109" s="48">
        <f t="shared" si="61"/>
        <v>-229.09090909090446</v>
      </c>
      <c r="AG109" s="126">
        <f t="shared" si="62"/>
        <v>0.8472727272727304</v>
      </c>
      <c r="AH109" s="654">
        <f>AG121</f>
        <v>0.9034023769965025</v>
      </c>
    </row>
    <row r="110" spans="1:34" ht="19.2" customHeight="1">
      <c r="A110" s="677"/>
      <c r="B110" s="431" t="s">
        <v>146</v>
      </c>
      <c r="C110" s="178"/>
      <c r="D110" s="42" t="s">
        <v>190</v>
      </c>
      <c r="E110" s="180"/>
      <c r="F110" s="361">
        <v>29.965493443754308</v>
      </c>
      <c r="G110" s="177">
        <v>1611</v>
      </c>
      <c r="H110" s="45">
        <f t="shared" si="75"/>
        <v>48274.409937888187</v>
      </c>
      <c r="I110" s="431"/>
      <c r="J110" s="46">
        <v>18</v>
      </c>
      <c r="K110" s="44">
        <v>1200</v>
      </c>
      <c r="L110" s="47">
        <v>66.666666666666671</v>
      </c>
      <c r="M110" s="443">
        <v>18</v>
      </c>
      <c r="N110" s="44">
        <f t="shared" si="76"/>
        <v>1178.7804878048778</v>
      </c>
      <c r="O110" s="47">
        <f t="shared" si="77"/>
        <v>65.487804878048763</v>
      </c>
      <c r="P110" s="48">
        <f t="shared" si="72"/>
        <v>0</v>
      </c>
      <c r="Q110" s="49">
        <f t="shared" si="73"/>
        <v>-1.1788617886179082</v>
      </c>
      <c r="R110" s="433">
        <f t="shared" si="74"/>
        <v>0.98231707317073136</v>
      </c>
      <c r="S110" s="680"/>
      <c r="T110" s="230">
        <v>0.53055555555555545</v>
      </c>
      <c r="U110" s="230">
        <v>0.58749999999999991</v>
      </c>
      <c r="V110" s="231">
        <v>22</v>
      </c>
      <c r="W110" s="442">
        <f t="shared" si="70"/>
        <v>82.000000000000028</v>
      </c>
      <c r="X110" s="191">
        <v>0.51944444444444449</v>
      </c>
      <c r="Y110" s="191">
        <v>0.52986111111111112</v>
      </c>
      <c r="Z110" s="54"/>
      <c r="AA110" s="54"/>
      <c r="AB110" s="633"/>
      <c r="AC110" s="633"/>
      <c r="AD110" s="429">
        <v>1</v>
      </c>
      <c r="AE110" s="429"/>
      <c r="AF110" s="48">
        <f t="shared" si="61"/>
        <v>-21.219512195122206</v>
      </c>
      <c r="AG110" s="126">
        <f t="shared" si="62"/>
        <v>0.98231707317073147</v>
      </c>
      <c r="AH110" s="654"/>
    </row>
    <row r="111" spans="1:34" ht="19.2" customHeight="1">
      <c r="A111" s="677"/>
      <c r="B111" s="431" t="s">
        <v>143</v>
      </c>
      <c r="C111" s="178"/>
      <c r="D111" s="179" t="s">
        <v>59</v>
      </c>
      <c r="E111" s="180"/>
      <c r="F111" s="361">
        <v>59.54</v>
      </c>
      <c r="G111" s="57">
        <v>1203</v>
      </c>
      <c r="H111" s="45">
        <f t="shared" si="75"/>
        <v>71626.62</v>
      </c>
      <c r="I111" s="429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1312.3636363636372</v>
      </c>
      <c r="O111" s="47">
        <f t="shared" si="77"/>
        <v>72.909090909090949</v>
      </c>
      <c r="P111" s="48">
        <f t="shared" si="72"/>
        <v>0</v>
      </c>
      <c r="Q111" s="49">
        <f t="shared" si="73"/>
        <v>-4.0353535353534937</v>
      </c>
      <c r="R111" s="433">
        <f t="shared" si="74"/>
        <v>0.94755497210370909</v>
      </c>
      <c r="S111" s="680"/>
      <c r="T111" s="230">
        <v>0.59166666666666656</v>
      </c>
      <c r="U111" s="230">
        <v>0.62986111111111098</v>
      </c>
      <c r="V111" s="231">
        <v>6</v>
      </c>
      <c r="W111" s="442">
        <f t="shared" si="70"/>
        <v>54.999999999999964</v>
      </c>
      <c r="X111" s="53"/>
      <c r="Y111" s="53"/>
      <c r="Z111" s="54"/>
      <c r="AA111" s="54"/>
      <c r="AB111" s="633"/>
      <c r="AC111" s="633"/>
      <c r="AD111" s="429"/>
      <c r="AE111" s="429"/>
      <c r="AF111" s="48">
        <f t="shared" si="61"/>
        <v>-72.63636363636283</v>
      </c>
      <c r="AG111" s="126">
        <f t="shared" si="62"/>
        <v>0.9475549721037092</v>
      </c>
      <c r="AH111" s="654"/>
    </row>
    <row r="112" spans="1:34" ht="19.2" customHeight="1">
      <c r="A112" s="677"/>
      <c r="B112" s="431" t="s">
        <v>146</v>
      </c>
      <c r="C112" s="178"/>
      <c r="D112" s="179" t="s">
        <v>255</v>
      </c>
      <c r="E112" s="83"/>
      <c r="F112" s="361">
        <v>28.57</v>
      </c>
      <c r="G112" s="57">
        <v>2108</v>
      </c>
      <c r="H112" s="45">
        <f t="shared" si="75"/>
        <v>60225.56</v>
      </c>
      <c r="I112" s="429"/>
      <c r="J112" s="46">
        <v>12</v>
      </c>
      <c r="K112" s="44">
        <v>1500</v>
      </c>
      <c r="L112" s="47">
        <v>125</v>
      </c>
      <c r="M112" s="443">
        <v>12</v>
      </c>
      <c r="N112" s="44">
        <f t="shared" si="76"/>
        <v>1405.3333333333333</v>
      </c>
      <c r="O112" s="47">
        <f t="shared" si="77"/>
        <v>117.1111111111111</v>
      </c>
      <c r="P112" s="48">
        <f t="shared" si="72"/>
        <v>0</v>
      </c>
      <c r="Q112" s="49">
        <f t="shared" si="73"/>
        <v>-7.8888888888888999</v>
      </c>
      <c r="R112" s="433">
        <f t="shared" si="74"/>
        <v>0.93688888888888877</v>
      </c>
      <c r="S112" s="680"/>
      <c r="T112" s="230">
        <v>0.70833333333333337</v>
      </c>
      <c r="U112" s="230">
        <v>0.77083333333333337</v>
      </c>
      <c r="V112" s="231">
        <v>5</v>
      </c>
      <c r="W112" s="442">
        <f t="shared" si="70"/>
        <v>90</v>
      </c>
      <c r="X112" s="219"/>
      <c r="Y112" s="219"/>
      <c r="Z112" s="54"/>
      <c r="AA112" s="54"/>
      <c r="AB112" s="633"/>
      <c r="AC112" s="633"/>
      <c r="AD112" s="429"/>
      <c r="AE112" s="429"/>
      <c r="AF112" s="48">
        <f t="shared" si="61"/>
        <v>-94.666666666666742</v>
      </c>
      <c r="AG112" s="126">
        <f t="shared" si="62"/>
        <v>0.93688888888888888</v>
      </c>
      <c r="AH112" s="654"/>
    </row>
    <row r="113" spans="1:34" s="221" customFormat="1" ht="19.2" customHeight="1">
      <c r="A113" s="677"/>
      <c r="B113" s="431" t="s">
        <v>146</v>
      </c>
      <c r="C113" s="178"/>
      <c r="D113" s="179" t="s">
        <v>182</v>
      </c>
      <c r="E113" s="83"/>
      <c r="F113" s="361">
        <v>20.170000000000002</v>
      </c>
      <c r="G113" s="57">
        <v>85</v>
      </c>
      <c r="H113" s="45">
        <f t="shared" si="75"/>
        <v>1714.45</v>
      </c>
      <c r="I113" s="429"/>
      <c r="J113" s="46">
        <v>12</v>
      </c>
      <c r="K113" s="44">
        <v>1500</v>
      </c>
      <c r="L113" s="47">
        <v>125</v>
      </c>
      <c r="M113" s="440">
        <v>12</v>
      </c>
      <c r="N113" s="44">
        <f t="shared" si="76"/>
        <v>1020.0000000000036</v>
      </c>
      <c r="O113" s="47">
        <f t="shared" si="77"/>
        <v>85.000000000000298</v>
      </c>
      <c r="P113" s="48">
        <f t="shared" si="72"/>
        <v>0</v>
      </c>
      <c r="Q113" s="49">
        <f t="shared" si="73"/>
        <v>-39.999999999999702</v>
      </c>
      <c r="R113" s="433">
        <f t="shared" si="74"/>
        <v>0.68000000000000238</v>
      </c>
      <c r="S113" s="680"/>
      <c r="T113" s="230">
        <v>0.77500000000000002</v>
      </c>
      <c r="U113" s="230">
        <v>0.77847222222222223</v>
      </c>
      <c r="V113" s="231">
        <v>6</v>
      </c>
      <c r="W113" s="442">
        <f t="shared" si="70"/>
        <v>4.9999999999999822</v>
      </c>
      <c r="X113" s="219"/>
      <c r="Y113" s="219"/>
      <c r="Z113" s="220"/>
      <c r="AA113" s="220"/>
      <c r="AB113" s="633"/>
      <c r="AC113" s="633"/>
      <c r="AD113" s="224"/>
      <c r="AE113" s="224"/>
      <c r="AF113" s="48">
        <f t="shared" si="61"/>
        <v>-479.99999999999636</v>
      </c>
      <c r="AG113" s="126">
        <f t="shared" si="62"/>
        <v>0.68000000000000238</v>
      </c>
      <c r="AH113" s="654"/>
    </row>
    <row r="114" spans="1:34" s="221" customFormat="1" ht="19.2" customHeight="1">
      <c r="A114" s="677"/>
      <c r="B114" s="431" t="s">
        <v>146</v>
      </c>
      <c r="C114" s="178"/>
      <c r="D114" s="179" t="s">
        <v>223</v>
      </c>
      <c r="E114" s="43"/>
      <c r="F114" s="361">
        <v>20.420000000000002</v>
      </c>
      <c r="G114" s="44">
        <v>708</v>
      </c>
      <c r="H114" s="45">
        <f t="shared" si="75"/>
        <v>14457.36</v>
      </c>
      <c r="I114" s="429"/>
      <c r="J114" s="46">
        <v>12</v>
      </c>
      <c r="K114" s="44">
        <v>1500</v>
      </c>
      <c r="L114" s="47">
        <v>125</v>
      </c>
      <c r="M114" s="440">
        <v>12</v>
      </c>
      <c r="N114" s="44">
        <f t="shared" si="76"/>
        <v>1464.8275862068936</v>
      </c>
      <c r="O114" s="47">
        <f t="shared" si="77"/>
        <v>122.06896551724112</v>
      </c>
      <c r="P114" s="48">
        <f t="shared" si="72"/>
        <v>0</v>
      </c>
      <c r="Q114" s="49">
        <f t="shared" si="73"/>
        <v>-2.931034482758875</v>
      </c>
      <c r="R114" s="433">
        <f t="shared" si="74"/>
        <v>0.97655172413792901</v>
      </c>
      <c r="S114" s="680"/>
      <c r="T114" s="230">
        <v>0.78402777777777777</v>
      </c>
      <c r="U114" s="230">
        <v>0.8041666666666667</v>
      </c>
      <c r="V114" s="231">
        <v>8</v>
      </c>
      <c r="W114" s="442">
        <f t="shared" si="70"/>
        <v>29.000000000000057</v>
      </c>
      <c r="X114" s="219"/>
      <c r="Y114" s="219"/>
      <c r="Z114" s="220"/>
      <c r="AA114" s="220"/>
      <c r="AB114" s="633"/>
      <c r="AC114" s="633"/>
      <c r="AD114" s="224"/>
      <c r="AE114" s="224"/>
      <c r="AF114" s="48">
        <f t="shared" si="61"/>
        <v>-35.172413793106443</v>
      </c>
      <c r="AG114" s="126">
        <f t="shared" si="62"/>
        <v>0.97655172413792901</v>
      </c>
      <c r="AH114" s="654"/>
    </row>
    <row r="115" spans="1:34" s="221" customFormat="1" ht="19.2" customHeight="1">
      <c r="A115" s="677"/>
      <c r="B115" s="431" t="s">
        <v>147</v>
      </c>
      <c r="C115" s="178"/>
      <c r="D115" s="82" t="s">
        <v>249</v>
      </c>
      <c r="E115" s="83"/>
      <c r="F115" s="361">
        <v>38.39</v>
      </c>
      <c r="G115" s="233">
        <v>1152</v>
      </c>
      <c r="H115" s="45">
        <f t="shared" si="75"/>
        <v>44225.279999999999</v>
      </c>
      <c r="I115" s="429"/>
      <c r="J115" s="46">
        <v>16</v>
      </c>
      <c r="K115" s="44">
        <v>1440</v>
      </c>
      <c r="L115" s="47">
        <v>90</v>
      </c>
      <c r="M115" s="440">
        <v>16</v>
      </c>
      <c r="N115" s="44">
        <f t="shared" si="76"/>
        <v>1355.2941176470592</v>
      </c>
      <c r="O115" s="47">
        <f t="shared" si="77"/>
        <v>84.705882352941202</v>
      </c>
      <c r="P115" s="48">
        <f t="shared" si="72"/>
        <v>0</v>
      </c>
      <c r="Q115" s="49">
        <f t="shared" si="73"/>
        <v>-5.2941176470587976</v>
      </c>
      <c r="R115" s="433">
        <f t="shared" si="74"/>
        <v>0.94117647058823561</v>
      </c>
      <c r="S115" s="680"/>
      <c r="T115" s="230">
        <v>0.81874999999999998</v>
      </c>
      <c r="U115" s="230">
        <v>0.85416666666666663</v>
      </c>
      <c r="V115" s="231">
        <v>21</v>
      </c>
      <c r="W115" s="442">
        <f t="shared" si="70"/>
        <v>50.999999999999979</v>
      </c>
      <c r="X115" s="219">
        <v>0.80833333333333324</v>
      </c>
      <c r="Y115" s="219">
        <v>0.81805555555555554</v>
      </c>
      <c r="Z115" s="220"/>
      <c r="AA115" s="220"/>
      <c r="AB115" s="633"/>
      <c r="AC115" s="633"/>
      <c r="AD115" s="224"/>
      <c r="AE115" s="224"/>
      <c r="AF115" s="48">
        <f t="shared" si="61"/>
        <v>-84.705882352940762</v>
      </c>
      <c r="AG115" s="126">
        <f t="shared" si="62"/>
        <v>0.94117647058823561</v>
      </c>
      <c r="AH115" s="654"/>
    </row>
    <row r="116" spans="1:34" s="221" customFormat="1" ht="19.2" customHeight="1">
      <c r="A116" s="677"/>
      <c r="B116" s="431" t="s">
        <v>147</v>
      </c>
      <c r="C116" s="55"/>
      <c r="D116" s="82" t="s">
        <v>251</v>
      </c>
      <c r="E116" s="83"/>
      <c r="F116" s="361">
        <v>52.86</v>
      </c>
      <c r="G116" s="233">
        <v>1215</v>
      </c>
      <c r="H116" s="45">
        <f t="shared" si="75"/>
        <v>64224.9</v>
      </c>
      <c r="I116" s="429"/>
      <c r="J116" s="46">
        <v>18</v>
      </c>
      <c r="K116" s="44">
        <v>1440</v>
      </c>
      <c r="L116" s="47">
        <v>80</v>
      </c>
      <c r="M116" s="440">
        <v>18</v>
      </c>
      <c r="N116" s="44">
        <f t="shared" si="76"/>
        <v>1350.0000000000007</v>
      </c>
      <c r="O116" s="47">
        <f t="shared" si="77"/>
        <v>75.000000000000043</v>
      </c>
      <c r="P116" s="48">
        <f t="shared" si="72"/>
        <v>0</v>
      </c>
      <c r="Q116" s="49">
        <f t="shared" si="73"/>
        <v>-4.9999999999999574</v>
      </c>
      <c r="R116" s="433">
        <f t="shared" si="74"/>
        <v>0.93750000000000056</v>
      </c>
      <c r="S116" s="680"/>
      <c r="T116" s="230">
        <v>0.85833333333333339</v>
      </c>
      <c r="U116" s="230">
        <v>0.89583333333333337</v>
      </c>
      <c r="V116" s="231">
        <v>6</v>
      </c>
      <c r="W116" s="442">
        <f t="shared" si="70"/>
        <v>53.999999999999972</v>
      </c>
      <c r="X116" s="219"/>
      <c r="Y116" s="219"/>
      <c r="Z116" s="220"/>
      <c r="AA116" s="220"/>
      <c r="AB116" s="633"/>
      <c r="AC116" s="633"/>
      <c r="AD116" s="224"/>
      <c r="AE116" s="224"/>
      <c r="AF116" s="48">
        <f t="shared" si="61"/>
        <v>-89.999999999999318</v>
      </c>
      <c r="AG116" s="126">
        <f t="shared" si="62"/>
        <v>0.93750000000000044</v>
      </c>
      <c r="AH116" s="654"/>
    </row>
    <row r="117" spans="1:34" s="221" customFormat="1" ht="19.2" customHeight="1">
      <c r="A117" s="677"/>
      <c r="B117" s="431">
        <v>0</v>
      </c>
      <c r="C117" s="55"/>
      <c r="D117" s="82"/>
      <c r="E117" s="83"/>
      <c r="F117" s="361" t="s">
        <v>148</v>
      </c>
      <c r="G117" s="233"/>
      <c r="H117" s="45">
        <f t="shared" si="75"/>
        <v>0</v>
      </c>
      <c r="I117" s="429"/>
      <c r="J117" s="46"/>
      <c r="K117" s="44"/>
      <c r="L117" s="47"/>
      <c r="M117" s="440"/>
      <c r="N117" s="44"/>
      <c r="O117" s="47"/>
      <c r="P117" s="48"/>
      <c r="Q117" s="49"/>
      <c r="R117" s="433"/>
      <c r="S117" s="680"/>
      <c r="T117" s="230"/>
      <c r="U117" s="230"/>
      <c r="V117" s="231"/>
      <c r="W117" s="442">
        <f t="shared" si="70"/>
        <v>0</v>
      </c>
      <c r="X117" s="219"/>
      <c r="Y117" s="219"/>
      <c r="Z117" s="220"/>
      <c r="AA117" s="220"/>
      <c r="AB117" s="633"/>
      <c r="AC117" s="633"/>
      <c r="AD117" s="224"/>
      <c r="AE117" s="224"/>
      <c r="AF117" s="48">
        <f t="shared" si="61"/>
        <v>0</v>
      </c>
      <c r="AG117" s="126" t="e">
        <f t="shared" si="62"/>
        <v>#DIV/0!</v>
      </c>
      <c r="AH117" s="654"/>
    </row>
    <row r="118" spans="1:34" s="221" customFormat="1" ht="19.2" customHeight="1">
      <c r="A118" s="677"/>
      <c r="B118" s="431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429"/>
      <c r="J118" s="46"/>
      <c r="K118" s="44"/>
      <c r="L118" s="47"/>
      <c r="M118" s="440"/>
      <c r="N118" s="44"/>
      <c r="O118" s="47"/>
      <c r="P118" s="48"/>
      <c r="Q118" s="49"/>
      <c r="R118" s="433"/>
      <c r="S118" s="680"/>
      <c r="T118" s="230"/>
      <c r="U118" s="230"/>
      <c r="V118" s="231"/>
      <c r="W118" s="442">
        <f t="shared" si="70"/>
        <v>0</v>
      </c>
      <c r="X118" s="219"/>
      <c r="Y118" s="219"/>
      <c r="Z118" s="220"/>
      <c r="AA118" s="220"/>
      <c r="AB118" s="633"/>
      <c r="AC118" s="633"/>
      <c r="AD118" s="224"/>
      <c r="AE118" s="224"/>
      <c r="AF118" s="48">
        <f t="shared" si="61"/>
        <v>0</v>
      </c>
      <c r="AG118" s="126" t="e">
        <f t="shared" si="62"/>
        <v>#DIV/0!</v>
      </c>
      <c r="AH118" s="654"/>
    </row>
    <row r="119" spans="1:34" s="221" customFormat="1" ht="19.2" customHeight="1">
      <c r="A119" s="677"/>
      <c r="B119" s="431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429"/>
      <c r="J119" s="181"/>
      <c r="K119" s="235"/>
      <c r="L119" s="47"/>
      <c r="M119" s="440"/>
      <c r="N119" s="182"/>
      <c r="O119" s="228"/>
      <c r="P119" s="168"/>
      <c r="Q119" s="49"/>
      <c r="R119" s="433"/>
      <c r="S119" s="680"/>
      <c r="T119" s="230"/>
      <c r="U119" s="230"/>
      <c r="V119" s="231"/>
      <c r="W119" s="442"/>
      <c r="X119" s="219"/>
      <c r="Y119" s="219"/>
      <c r="Z119" s="220"/>
      <c r="AA119" s="220"/>
      <c r="AB119" s="633"/>
      <c r="AC119" s="633"/>
      <c r="AD119" s="224"/>
      <c r="AE119" s="224"/>
      <c r="AF119" s="48">
        <f t="shared" si="61"/>
        <v>0</v>
      </c>
      <c r="AG119" s="126" t="e">
        <f t="shared" si="62"/>
        <v>#DIV/0!</v>
      </c>
      <c r="AH119" s="654"/>
    </row>
    <row r="120" spans="1:34" s="221" customFormat="1" ht="19.2" customHeight="1">
      <c r="A120" s="677"/>
      <c r="B120" s="431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429"/>
      <c r="J120" s="181"/>
      <c r="K120" s="235"/>
      <c r="L120" s="47"/>
      <c r="M120" s="440"/>
      <c r="N120" s="182"/>
      <c r="O120" s="228"/>
      <c r="P120" s="168"/>
      <c r="Q120" s="49"/>
      <c r="R120" s="433"/>
      <c r="S120" s="680"/>
      <c r="T120" s="230"/>
      <c r="U120" s="230"/>
      <c r="V120" s="231"/>
      <c r="W120" s="442">
        <f t="shared" si="70"/>
        <v>0</v>
      </c>
      <c r="X120" s="219"/>
      <c r="Y120" s="219"/>
      <c r="Z120" s="220"/>
      <c r="AA120" s="220"/>
      <c r="AB120" s="633"/>
      <c r="AC120" s="633"/>
      <c r="AD120" s="224"/>
      <c r="AE120" s="224"/>
      <c r="AF120" s="48">
        <f t="shared" si="61"/>
        <v>0</v>
      </c>
      <c r="AG120" s="126" t="e">
        <f t="shared" si="62"/>
        <v>#DIV/0!</v>
      </c>
      <c r="AH120" s="654"/>
    </row>
    <row r="121" spans="1:34" ht="19.2" customHeight="1">
      <c r="A121" s="678"/>
      <c r="B121" s="122">
        <v>0</v>
      </c>
      <c r="C121" s="100" t="s">
        <v>309</v>
      </c>
      <c r="D121" s="236" t="s">
        <v>293</v>
      </c>
      <c r="E121" s="237"/>
      <c r="F121" s="370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M121:O121" si="78">AVERAGE(M109:M120)</f>
        <v>14.5</v>
      </c>
      <c r="N121" s="205">
        <f t="shared" si="78"/>
        <v>1294.6885315331126</v>
      </c>
      <c r="O121" s="206">
        <f t="shared" si="78"/>
        <v>93.671720482417868</v>
      </c>
      <c r="P121" s="48">
        <f t="shared" ref="P121:P129" si="79">M121-J121</f>
        <v>0</v>
      </c>
      <c r="Q121" s="49">
        <f t="shared" ref="Q121:Q129" si="80">O121-L121</f>
        <v>-11.154668406471018</v>
      </c>
      <c r="R121" s="175">
        <f t="shared" ref="R121:R129" si="81">O121/L121</f>
        <v>0.8935891188783156</v>
      </c>
      <c r="S121" s="659"/>
      <c r="T121" s="50"/>
      <c r="U121" s="50"/>
      <c r="V121" s="44"/>
      <c r="W121" s="44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33"/>
      <c r="AC121" s="633"/>
      <c r="AD121" s="107">
        <f>SUM(AD109:AD120)</f>
        <v>1</v>
      </c>
      <c r="AE121" s="107">
        <f>SUM(AE109:AE120)</f>
        <v>0</v>
      </c>
      <c r="AF121" s="48">
        <f>N121-K121</f>
        <v>-138.43646846688739</v>
      </c>
      <c r="AG121" s="126">
        <f>N121/K121</f>
        <v>0.9034023769965025</v>
      </c>
      <c r="AH121" s="654"/>
    </row>
    <row r="122" spans="1:34" ht="19.2" customHeight="1">
      <c r="A122" s="681" t="s">
        <v>310</v>
      </c>
      <c r="B122" s="131" t="s">
        <v>147</v>
      </c>
      <c r="C122" s="166"/>
      <c r="D122" s="179" t="s">
        <v>81</v>
      </c>
      <c r="E122" s="43"/>
      <c r="F122" s="361">
        <v>56.43</v>
      </c>
      <c r="G122" s="44">
        <v>855</v>
      </c>
      <c r="H122" s="45">
        <f t="shared" ref="H122:H132" si="82">F122*G122</f>
        <v>48247.65</v>
      </c>
      <c r="I122" s="431"/>
      <c r="J122" s="46">
        <v>18</v>
      </c>
      <c r="K122" s="44">
        <v>1500</v>
      </c>
      <c r="L122" s="47">
        <v>83.333333333333329</v>
      </c>
      <c r="M122" s="443">
        <v>18</v>
      </c>
      <c r="N122" s="177">
        <f t="shared" ref="N122:N129" si="83">G122/W122*60</f>
        <v>1315.3846153846148</v>
      </c>
      <c r="O122" s="241">
        <f t="shared" ref="O122:O129" si="84">N122/M122</f>
        <v>73.076923076923038</v>
      </c>
      <c r="P122" s="108">
        <f t="shared" si="79"/>
        <v>0</v>
      </c>
      <c r="Q122" s="185">
        <f t="shared" si="80"/>
        <v>-10.256410256410291</v>
      </c>
      <c r="R122" s="109">
        <f t="shared" si="81"/>
        <v>0.87692307692307647</v>
      </c>
      <c r="S122" s="645">
        <f>R134</f>
        <v>0.91343102085577088</v>
      </c>
      <c r="T122" s="50">
        <v>0.5</v>
      </c>
      <c r="U122" s="50">
        <v>0.52708333333333335</v>
      </c>
      <c r="V122" s="231">
        <v>5</v>
      </c>
      <c r="W122" s="442">
        <f t="shared" si="70"/>
        <v>39.000000000000021</v>
      </c>
      <c r="X122" s="53"/>
      <c r="Y122" s="53"/>
      <c r="Z122" s="54"/>
      <c r="AA122" s="54"/>
      <c r="AB122" s="633"/>
      <c r="AC122" s="633"/>
      <c r="AD122" s="429"/>
      <c r="AE122" s="429"/>
      <c r="AF122" s="48">
        <f t="shared" si="61"/>
        <v>-184.61538461538521</v>
      </c>
      <c r="AG122" s="433">
        <f t="shared" si="62"/>
        <v>0.87692307692307647</v>
      </c>
      <c r="AH122" s="659">
        <f>AG134</f>
        <v>0.9142166759492496</v>
      </c>
    </row>
    <row r="123" spans="1:34" ht="19.2" customHeight="1">
      <c r="A123" s="681"/>
      <c r="B123" s="131" t="s">
        <v>143</v>
      </c>
      <c r="C123" s="97"/>
      <c r="D123" s="42" t="s">
        <v>87</v>
      </c>
      <c r="E123" s="180"/>
      <c r="F123" s="361">
        <v>58.67</v>
      </c>
      <c r="G123" s="44">
        <v>1380</v>
      </c>
      <c r="H123" s="45">
        <f t="shared" si="82"/>
        <v>80964.600000000006</v>
      </c>
      <c r="I123" s="429"/>
      <c r="J123" s="87">
        <v>19</v>
      </c>
      <c r="K123" s="57">
        <v>1440</v>
      </c>
      <c r="L123" s="86">
        <v>75.78947368421052</v>
      </c>
      <c r="M123" s="440">
        <v>19</v>
      </c>
      <c r="N123" s="57">
        <f t="shared" si="83"/>
        <v>1335.4838709677433</v>
      </c>
      <c r="O123" s="86">
        <f t="shared" si="84"/>
        <v>70.288624787775959</v>
      </c>
      <c r="P123" s="54">
        <f t="shared" si="79"/>
        <v>0</v>
      </c>
      <c r="Q123" s="88">
        <f t="shared" si="80"/>
        <v>-5.5008488964345617</v>
      </c>
      <c r="R123" s="430">
        <f t="shared" si="81"/>
        <v>0.92741935483871063</v>
      </c>
      <c r="S123" s="645"/>
      <c r="T123" s="50">
        <v>0.53194444444444444</v>
      </c>
      <c r="U123" s="50">
        <v>0.57499999999999996</v>
      </c>
      <c r="V123" s="231">
        <v>7</v>
      </c>
      <c r="W123" s="442">
        <f t="shared" si="70"/>
        <v>61.999999999999943</v>
      </c>
      <c r="X123" s="53"/>
      <c r="Y123" s="53"/>
      <c r="Z123" s="54"/>
      <c r="AA123" s="54"/>
      <c r="AB123" s="633"/>
      <c r="AC123" s="633"/>
      <c r="AD123" s="429"/>
      <c r="AE123" s="429"/>
      <c r="AF123" s="48">
        <f t="shared" si="61"/>
        <v>-104.51612903225669</v>
      </c>
      <c r="AG123" s="433">
        <f t="shared" si="62"/>
        <v>0.92741935483871063</v>
      </c>
      <c r="AH123" s="645"/>
    </row>
    <row r="124" spans="1:34" ht="19.2" customHeight="1">
      <c r="A124" s="681"/>
      <c r="B124" s="131" t="s">
        <v>143</v>
      </c>
      <c r="C124" s="178"/>
      <c r="D124" s="179" t="s">
        <v>86</v>
      </c>
      <c r="E124" s="180"/>
      <c r="F124" s="361">
        <v>59.52</v>
      </c>
      <c r="G124" s="177">
        <v>1725</v>
      </c>
      <c r="H124" s="45">
        <f t="shared" si="82"/>
        <v>102672</v>
      </c>
      <c r="I124" s="242"/>
      <c r="J124" s="87">
        <v>21</v>
      </c>
      <c r="K124" s="57">
        <v>1385</v>
      </c>
      <c r="L124" s="86">
        <v>65.952380952380949</v>
      </c>
      <c r="M124" s="443">
        <v>21</v>
      </c>
      <c r="N124" s="177">
        <f t="shared" si="83"/>
        <v>1293.7499999999995</v>
      </c>
      <c r="O124" s="241">
        <f t="shared" si="84"/>
        <v>61.607142857142833</v>
      </c>
      <c r="P124" s="108">
        <f t="shared" si="79"/>
        <v>0</v>
      </c>
      <c r="Q124" s="185">
        <f t="shared" si="80"/>
        <v>-4.3452380952381162</v>
      </c>
      <c r="R124" s="109">
        <f t="shared" si="81"/>
        <v>0.9341155234657037</v>
      </c>
      <c r="S124" s="682"/>
      <c r="T124" s="50">
        <v>0.59027777777777768</v>
      </c>
      <c r="U124" s="50">
        <v>0.64583333333333326</v>
      </c>
      <c r="V124" s="231">
        <v>22</v>
      </c>
      <c r="W124" s="442">
        <f t="shared" si="70"/>
        <v>80.000000000000028</v>
      </c>
      <c r="X124" s="191">
        <v>0.57847222222222217</v>
      </c>
      <c r="Y124" s="191">
        <v>0.58888888888888891</v>
      </c>
      <c r="Z124" s="54"/>
      <c r="AA124" s="54"/>
      <c r="AB124" s="633"/>
      <c r="AC124" s="633"/>
      <c r="AD124" s="429"/>
      <c r="AE124" s="429"/>
      <c r="AF124" s="108">
        <f t="shared" si="61"/>
        <v>-91.250000000000455</v>
      </c>
      <c r="AG124" s="109">
        <f t="shared" si="62"/>
        <v>0.93411552346570359</v>
      </c>
      <c r="AH124" s="645"/>
    </row>
    <row r="125" spans="1:34" ht="19.2" customHeight="1">
      <c r="A125" s="681"/>
      <c r="B125" s="131" t="s">
        <v>147</v>
      </c>
      <c r="C125" s="97"/>
      <c r="D125" s="42" t="s">
        <v>88</v>
      </c>
      <c r="E125" s="43"/>
      <c r="F125" s="361">
        <v>56.79</v>
      </c>
      <c r="G125" s="44">
        <v>1286</v>
      </c>
      <c r="H125" s="45">
        <f t="shared" si="82"/>
        <v>73031.94</v>
      </c>
      <c r="I125" s="431"/>
      <c r="J125" s="87">
        <v>18</v>
      </c>
      <c r="K125" s="57">
        <v>1636</v>
      </c>
      <c r="L125" s="86">
        <v>90.888888888888886</v>
      </c>
      <c r="M125" s="443">
        <v>18</v>
      </c>
      <c r="N125" s="57">
        <f t="shared" si="83"/>
        <v>1483.8461538461547</v>
      </c>
      <c r="O125" s="86">
        <f t="shared" si="84"/>
        <v>82.435897435897488</v>
      </c>
      <c r="P125" s="54">
        <f t="shared" si="79"/>
        <v>0</v>
      </c>
      <c r="Q125" s="88">
        <f t="shared" si="80"/>
        <v>-8.4529914529913981</v>
      </c>
      <c r="R125" s="430">
        <f t="shared" si="81"/>
        <v>0.90699642655632939</v>
      </c>
      <c r="S125" s="682"/>
      <c r="T125" s="50">
        <v>0.70833333333333337</v>
      </c>
      <c r="U125" s="50">
        <v>0.74444444444444446</v>
      </c>
      <c r="V125" s="231">
        <v>5</v>
      </c>
      <c r="W125" s="442">
        <f t="shared" si="70"/>
        <v>51.999999999999972</v>
      </c>
      <c r="X125" s="64"/>
      <c r="Y125" s="64"/>
      <c r="Z125" s="54"/>
      <c r="AA125" s="54"/>
      <c r="AB125" s="633"/>
      <c r="AC125" s="633"/>
      <c r="AD125" s="429"/>
      <c r="AE125" s="429"/>
      <c r="AF125" s="48">
        <f t="shared" si="61"/>
        <v>-152.15384615384528</v>
      </c>
      <c r="AG125" s="433">
        <f t="shared" si="62"/>
        <v>0.90699642655632928</v>
      </c>
      <c r="AH125" s="646"/>
    </row>
    <row r="126" spans="1:34" ht="19.2" customHeight="1">
      <c r="A126" s="681"/>
      <c r="B126" s="131" t="s">
        <v>147</v>
      </c>
      <c r="C126" s="429"/>
      <c r="D126" s="413" t="s">
        <v>89</v>
      </c>
      <c r="E126" s="180"/>
      <c r="F126" s="361">
        <v>56.87</v>
      </c>
      <c r="G126" s="57">
        <v>955</v>
      </c>
      <c r="H126" s="45">
        <f t="shared" si="82"/>
        <v>54310.85</v>
      </c>
      <c r="I126" s="429"/>
      <c r="J126" s="87">
        <v>18</v>
      </c>
      <c r="K126" s="57">
        <v>1636</v>
      </c>
      <c r="L126" s="86">
        <v>90.888888888888886</v>
      </c>
      <c r="M126" s="440">
        <v>18</v>
      </c>
      <c r="N126" s="57">
        <f t="shared" si="83"/>
        <v>1432.4999999999995</v>
      </c>
      <c r="O126" s="86">
        <f t="shared" si="84"/>
        <v>79.583333333333314</v>
      </c>
      <c r="P126" s="54">
        <f t="shared" si="79"/>
        <v>0</v>
      </c>
      <c r="Q126" s="88">
        <f t="shared" si="80"/>
        <v>-11.305555555555571</v>
      </c>
      <c r="R126" s="430">
        <f t="shared" si="81"/>
        <v>0.87561124694376513</v>
      </c>
      <c r="S126" s="682"/>
      <c r="T126" s="50">
        <v>0.74930555555555556</v>
      </c>
      <c r="U126" s="50">
        <v>0.77708333333333335</v>
      </c>
      <c r="V126" s="231">
        <v>7</v>
      </c>
      <c r="W126" s="442">
        <f t="shared" si="70"/>
        <v>40.000000000000014</v>
      </c>
      <c r="X126" s="64"/>
      <c r="Y126" s="64"/>
      <c r="Z126" s="54"/>
      <c r="AA126" s="54"/>
      <c r="AB126" s="633"/>
      <c r="AC126" s="633"/>
      <c r="AD126" s="429"/>
      <c r="AE126" s="429"/>
      <c r="AF126" s="108">
        <f t="shared" si="61"/>
        <v>-203.50000000000045</v>
      </c>
      <c r="AG126" s="109">
        <f t="shared" si="62"/>
        <v>0.87561124694376502</v>
      </c>
      <c r="AH126" s="646"/>
    </row>
    <row r="127" spans="1:34" ht="19.2" customHeight="1">
      <c r="A127" s="681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848</v>
      </c>
      <c r="H127" s="45">
        <f t="shared" si="82"/>
        <v>45868.32</v>
      </c>
      <c r="I127" s="224"/>
      <c r="J127" s="87">
        <v>17</v>
      </c>
      <c r="K127" s="57">
        <v>1565</v>
      </c>
      <c r="L127" s="86">
        <v>92.058823529411768</v>
      </c>
      <c r="M127" s="443">
        <v>17</v>
      </c>
      <c r="N127" s="177">
        <f t="shared" si="83"/>
        <v>1413.3333333333321</v>
      </c>
      <c r="O127" s="241">
        <f t="shared" si="84"/>
        <v>83.137254901960716</v>
      </c>
      <c r="P127" s="108">
        <f t="shared" si="79"/>
        <v>0</v>
      </c>
      <c r="Q127" s="185">
        <f t="shared" si="80"/>
        <v>-8.9215686274510517</v>
      </c>
      <c r="R127" s="109">
        <f t="shared" si="81"/>
        <v>0.90308839190628254</v>
      </c>
      <c r="S127" s="682"/>
      <c r="T127" s="50">
        <v>0.78055555555555556</v>
      </c>
      <c r="U127" s="50">
        <v>0.80555555555555558</v>
      </c>
      <c r="V127" s="431">
        <v>5</v>
      </c>
      <c r="W127" s="442">
        <f t="shared" si="70"/>
        <v>36.000000000000028</v>
      </c>
      <c r="X127" s="64"/>
      <c r="Y127" s="64"/>
      <c r="Z127" s="54"/>
      <c r="AA127" s="54"/>
      <c r="AB127" s="633"/>
      <c r="AC127" s="633"/>
      <c r="AD127" s="429"/>
      <c r="AE127" s="429"/>
      <c r="AF127" s="108">
        <f t="shared" si="61"/>
        <v>-151.66666666666788</v>
      </c>
      <c r="AG127" s="109">
        <f t="shared" si="62"/>
        <v>0.90308839190628254</v>
      </c>
      <c r="AH127" s="646"/>
    </row>
    <row r="128" spans="1:34" ht="19.2" customHeight="1">
      <c r="A128" s="681"/>
      <c r="B128" s="131" t="s">
        <v>147</v>
      </c>
      <c r="C128" s="160"/>
      <c r="D128" s="59" t="s">
        <v>91</v>
      </c>
      <c r="E128" s="83"/>
      <c r="F128" s="361">
        <v>47.6</v>
      </c>
      <c r="G128" s="57">
        <v>1311</v>
      </c>
      <c r="H128" s="45">
        <f t="shared" si="82"/>
        <v>62403.6</v>
      </c>
      <c r="I128" s="429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1380.0000000000011</v>
      </c>
      <c r="O128" s="86">
        <f t="shared" si="84"/>
        <v>72.631578947368482</v>
      </c>
      <c r="P128" s="54">
        <f t="shared" si="79"/>
        <v>0</v>
      </c>
      <c r="Q128" s="88">
        <f t="shared" si="80"/>
        <v>-3.1578947368420387</v>
      </c>
      <c r="R128" s="430">
        <f t="shared" si="81"/>
        <v>0.95833333333333426</v>
      </c>
      <c r="S128" s="682"/>
      <c r="T128" s="50">
        <v>0.81111111111111112</v>
      </c>
      <c r="U128" s="50">
        <v>0.85069444444444442</v>
      </c>
      <c r="V128" s="431">
        <v>8</v>
      </c>
      <c r="W128" s="442">
        <f t="shared" si="70"/>
        <v>56.999999999999957</v>
      </c>
      <c r="X128" s="64"/>
      <c r="Y128" s="64"/>
      <c r="Z128" s="54"/>
      <c r="AA128" s="54"/>
      <c r="AB128" s="633"/>
      <c r="AC128" s="633"/>
      <c r="AD128" s="429"/>
      <c r="AE128" s="429"/>
      <c r="AF128" s="48">
        <f t="shared" si="61"/>
        <v>-59.999999999998863</v>
      </c>
      <c r="AG128" s="433">
        <f t="shared" si="62"/>
        <v>0.95833333333333415</v>
      </c>
      <c r="AH128" s="646"/>
    </row>
    <row r="129" spans="1:34" ht="19.2" customHeight="1">
      <c r="A129" s="681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1574</v>
      </c>
      <c r="H129" s="45">
        <f t="shared" si="82"/>
        <v>79754.58</v>
      </c>
      <c r="I129" s="429"/>
      <c r="J129" s="87">
        <v>18</v>
      </c>
      <c r="K129" s="57">
        <v>1500</v>
      </c>
      <c r="L129" s="86">
        <v>83.333333333333329</v>
      </c>
      <c r="M129" s="440">
        <v>18</v>
      </c>
      <c r="N129" s="57">
        <f t="shared" si="83"/>
        <v>1409.5522388059719</v>
      </c>
      <c r="O129" s="86">
        <f t="shared" si="84"/>
        <v>78.308457711442884</v>
      </c>
      <c r="P129" s="54">
        <f t="shared" si="79"/>
        <v>0</v>
      </c>
      <c r="Q129" s="88">
        <f t="shared" si="80"/>
        <v>-5.0248756218904447</v>
      </c>
      <c r="R129" s="430">
        <f t="shared" si="81"/>
        <v>0.93970149253731461</v>
      </c>
      <c r="S129" s="682"/>
      <c r="T129" s="50">
        <v>0.8666666666666667</v>
      </c>
      <c r="U129" s="50">
        <v>0.91319444444444442</v>
      </c>
      <c r="V129" s="431">
        <v>23</v>
      </c>
      <c r="W129" s="442">
        <f t="shared" si="70"/>
        <v>66.999999999999915</v>
      </c>
      <c r="X129" s="64">
        <v>0.85416666666666663</v>
      </c>
      <c r="Y129" s="64">
        <v>0.8652777777777777</v>
      </c>
      <c r="Z129" s="54"/>
      <c r="AA129" s="54"/>
      <c r="AB129" s="633"/>
      <c r="AC129" s="633"/>
      <c r="AD129" s="429"/>
      <c r="AE129" s="429"/>
      <c r="AF129" s="108">
        <f t="shared" si="61"/>
        <v>-90.447761194028089</v>
      </c>
      <c r="AG129" s="109">
        <f t="shared" si="62"/>
        <v>0.93970149253731461</v>
      </c>
      <c r="AH129" s="646"/>
    </row>
    <row r="130" spans="1:34" ht="19.2" customHeight="1">
      <c r="A130" s="681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429"/>
      <c r="J130" s="87"/>
      <c r="K130" s="57"/>
      <c r="L130" s="86"/>
      <c r="M130" s="440"/>
      <c r="N130" s="177"/>
      <c r="O130" s="241"/>
      <c r="P130" s="108"/>
      <c r="Q130" s="185"/>
      <c r="R130" s="109"/>
      <c r="S130" s="682"/>
      <c r="T130" s="50"/>
      <c r="U130" s="50"/>
      <c r="V130" s="431"/>
      <c r="W130" s="442">
        <f t="shared" si="70"/>
        <v>0</v>
      </c>
      <c r="X130" s="64"/>
      <c r="Y130" s="64"/>
      <c r="Z130" s="54"/>
      <c r="AA130" s="54"/>
      <c r="AB130" s="633"/>
      <c r="AC130" s="633"/>
      <c r="AD130" s="429"/>
      <c r="AE130" s="429"/>
      <c r="AF130" s="108">
        <f t="shared" si="61"/>
        <v>0</v>
      </c>
      <c r="AG130" s="109" t="e">
        <f t="shared" si="62"/>
        <v>#DIV/0!</v>
      </c>
      <c r="AH130" s="646"/>
    </row>
    <row r="131" spans="1:34" ht="19.2" customHeight="1">
      <c r="A131" s="681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0"/>
      <c r="S131" s="682"/>
      <c r="T131" s="50"/>
      <c r="U131" s="50"/>
      <c r="V131" s="431"/>
      <c r="W131" s="442">
        <f t="shared" si="70"/>
        <v>0</v>
      </c>
      <c r="X131" s="64"/>
      <c r="Y131" s="64"/>
      <c r="Z131" s="54"/>
      <c r="AA131" s="54"/>
      <c r="AB131" s="633"/>
      <c r="AC131" s="633"/>
      <c r="AD131" s="429"/>
      <c r="AE131" s="429"/>
      <c r="AF131" s="48">
        <f t="shared" si="61"/>
        <v>0</v>
      </c>
      <c r="AG131" s="433" t="e">
        <f t="shared" si="62"/>
        <v>#DIV/0!</v>
      </c>
      <c r="AH131" s="646"/>
    </row>
    <row r="132" spans="1:34" ht="19.2" customHeight="1">
      <c r="A132" s="681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429"/>
      <c r="J132" s="87"/>
      <c r="K132" s="57"/>
      <c r="L132" s="86"/>
      <c r="M132" s="440"/>
      <c r="N132" s="57"/>
      <c r="O132" s="86"/>
      <c r="P132" s="54"/>
      <c r="Q132" s="88"/>
      <c r="R132" s="430"/>
      <c r="S132" s="682"/>
      <c r="T132" s="50"/>
      <c r="U132" s="50"/>
      <c r="V132" s="431"/>
      <c r="W132" s="442">
        <f t="shared" si="70"/>
        <v>0</v>
      </c>
      <c r="X132" s="64"/>
      <c r="Y132" s="64"/>
      <c r="Z132" s="54"/>
      <c r="AA132" s="54"/>
      <c r="AB132" s="633"/>
      <c r="AC132" s="633"/>
      <c r="AD132" s="429"/>
      <c r="AE132" s="429"/>
      <c r="AF132" s="65"/>
      <c r="AG132" s="434"/>
      <c r="AH132" s="646"/>
    </row>
    <row r="133" spans="1:34" ht="19.2" customHeight="1">
      <c r="A133" s="681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429"/>
      <c r="J133" s="87"/>
      <c r="K133" s="57"/>
      <c r="L133" s="86"/>
      <c r="M133" s="440"/>
      <c r="N133" s="57"/>
      <c r="O133" s="86"/>
      <c r="P133" s="54"/>
      <c r="Q133" s="88"/>
      <c r="R133" s="430"/>
      <c r="S133" s="682"/>
      <c r="T133" s="50"/>
      <c r="U133" s="50"/>
      <c r="V133" s="431"/>
      <c r="W133" s="243">
        <f t="shared" si="70"/>
        <v>0</v>
      </c>
      <c r="X133" s="64"/>
      <c r="Y133" s="64"/>
      <c r="Z133" s="54"/>
      <c r="AA133" s="54"/>
      <c r="AB133" s="633"/>
      <c r="AC133" s="633"/>
      <c r="AD133" s="429"/>
      <c r="AE133" s="429"/>
      <c r="AF133" s="65"/>
      <c r="AG133" s="434"/>
      <c r="AH133" s="646"/>
    </row>
    <row r="134" spans="1:34" ht="19.2" customHeight="1">
      <c r="A134" s="681"/>
      <c r="B134" s="171">
        <v>0</v>
      </c>
      <c r="C134" s="100" t="s">
        <v>311</v>
      </c>
      <c r="D134" s="660" t="s">
        <v>293</v>
      </c>
      <c r="E134" s="660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1382.9812765422273</v>
      </c>
      <c r="O134" s="247">
        <f t="shared" si="85"/>
        <v>75.133651631480589</v>
      </c>
      <c r="P134" s="51">
        <f t="shared" ref="P134:P144" si="86">M134-J134</f>
        <v>0</v>
      </c>
      <c r="Q134" s="142">
        <f t="shared" ref="Q134:Q144" si="87">O134-L134</f>
        <v>-7.1206729053516824</v>
      </c>
      <c r="R134" s="248">
        <f t="shared" ref="R134:R144" si="88">O134/L134</f>
        <v>0.91343102085577088</v>
      </c>
      <c r="S134" s="645"/>
      <c r="T134" s="50"/>
      <c r="U134" s="50"/>
      <c r="V134" s="431"/>
      <c r="W134" s="431"/>
      <c r="X134" s="53"/>
      <c r="Y134" s="53"/>
      <c r="Z134" s="106">
        <f>SUM(Z122:Z133)</f>
        <v>0</v>
      </c>
      <c r="AA134" s="106">
        <f>SUM(AA122:AA133)</f>
        <v>0</v>
      </c>
      <c r="AB134" s="633"/>
      <c r="AC134" s="633"/>
      <c r="AD134" s="107">
        <f>SUM(AD122:AD133)</f>
        <v>0</v>
      </c>
      <c r="AE134" s="107">
        <f>SUM(AE122:AE133)</f>
        <v>0</v>
      </c>
      <c r="AF134" s="48">
        <f t="shared" si="61"/>
        <v>-129.76872345777269</v>
      </c>
      <c r="AG134" s="433">
        <f t="shared" si="62"/>
        <v>0.9142166759492496</v>
      </c>
      <c r="AH134" s="646"/>
    </row>
    <row r="135" spans="1:34" ht="19.2" customHeight="1">
      <c r="A135" s="683" t="s">
        <v>312</v>
      </c>
      <c r="B135" s="431" t="s">
        <v>147</v>
      </c>
      <c r="C135" s="429"/>
      <c r="D135" s="82" t="s">
        <v>186</v>
      </c>
      <c r="E135" s="83"/>
      <c r="F135" s="361">
        <v>54.09</v>
      </c>
      <c r="G135" s="57">
        <v>2439.9</v>
      </c>
      <c r="H135" s="249">
        <f t="shared" ref="H135:H146" si="89">F135*G135</f>
        <v>131974.19100000002</v>
      </c>
      <c r="I135" s="429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1394.2285714285713</v>
      </c>
      <c r="O135" s="116">
        <f t="shared" ref="O135:O144" si="91">N135/M135</f>
        <v>77.457142857142856</v>
      </c>
      <c r="P135" s="54">
        <f t="shared" si="86"/>
        <v>0</v>
      </c>
      <c r="Q135" s="88">
        <f t="shared" si="87"/>
        <v>-5.8761904761904731</v>
      </c>
      <c r="R135" s="430">
        <f t="shared" si="88"/>
        <v>0.92948571428571436</v>
      </c>
      <c r="S135" s="680">
        <f>R147</f>
        <v>0.91082194517035875</v>
      </c>
      <c r="T135" s="250">
        <v>0.45833333333333331</v>
      </c>
      <c r="U135" s="50">
        <v>0.53125</v>
      </c>
      <c r="V135" s="145">
        <v>5</v>
      </c>
      <c r="W135" s="251">
        <f t="shared" ref="W135:W147" si="92">(U135-T135)*24*60</f>
        <v>105.00000000000003</v>
      </c>
      <c r="X135" s="53"/>
      <c r="Y135" s="53"/>
      <c r="Z135" s="54"/>
      <c r="AA135" s="54"/>
      <c r="AB135" s="633"/>
      <c r="AC135" s="633"/>
      <c r="AD135" s="429"/>
      <c r="AE135" s="429"/>
      <c r="AF135" s="117">
        <f t="shared" si="61"/>
        <v>-105.77142857142871</v>
      </c>
      <c r="AG135" s="121">
        <f t="shared" si="62"/>
        <v>0.92948571428571414</v>
      </c>
      <c r="AH135" s="654">
        <f>AG147</f>
        <v>0.91927802558094285</v>
      </c>
    </row>
    <row r="136" spans="1:34" ht="19.2" customHeight="1">
      <c r="A136" s="684"/>
      <c r="B136" s="431" t="s">
        <v>147</v>
      </c>
      <c r="C136" s="429"/>
      <c r="D136" s="82" t="s">
        <v>79</v>
      </c>
      <c r="E136" s="83"/>
      <c r="F136" s="361">
        <v>53.68</v>
      </c>
      <c r="G136" s="57">
        <v>845</v>
      </c>
      <c r="H136" s="84">
        <f t="shared" si="89"/>
        <v>45359.6</v>
      </c>
      <c r="I136" s="429"/>
      <c r="J136" s="46">
        <v>16</v>
      </c>
      <c r="K136" s="57">
        <v>1500</v>
      </c>
      <c r="L136" s="86">
        <v>93.75</v>
      </c>
      <c r="M136" s="440">
        <v>16</v>
      </c>
      <c r="N136" s="57">
        <f t="shared" si="90"/>
        <v>1334.2105263157885</v>
      </c>
      <c r="O136" s="86">
        <f t="shared" si="91"/>
        <v>83.388157894736779</v>
      </c>
      <c r="P136" s="54">
        <f t="shared" si="86"/>
        <v>0</v>
      </c>
      <c r="Q136" s="88">
        <f t="shared" si="87"/>
        <v>-10.361842105263221</v>
      </c>
      <c r="R136" s="430">
        <f t="shared" si="88"/>
        <v>0.88947368421052564</v>
      </c>
      <c r="S136" s="680"/>
      <c r="T136" s="250">
        <v>0.53611111111111109</v>
      </c>
      <c r="U136" s="50">
        <v>0.5625</v>
      </c>
      <c r="V136" s="145">
        <v>7</v>
      </c>
      <c r="W136" s="251">
        <f t="shared" si="92"/>
        <v>38.000000000000028</v>
      </c>
      <c r="X136" s="53"/>
      <c r="Y136" s="53"/>
      <c r="Z136" s="54"/>
      <c r="AA136" s="54"/>
      <c r="AB136" s="633"/>
      <c r="AC136" s="633"/>
      <c r="AD136" s="429"/>
      <c r="AE136" s="429"/>
      <c r="AF136" s="48">
        <f t="shared" si="61"/>
        <v>-165.78947368421154</v>
      </c>
      <c r="AG136" s="126">
        <f t="shared" si="62"/>
        <v>0.88947368421052564</v>
      </c>
      <c r="AH136" s="654"/>
    </row>
    <row r="137" spans="1:34" ht="19.2" customHeight="1">
      <c r="A137" s="684"/>
      <c r="B137" s="431" t="s">
        <v>147</v>
      </c>
      <c r="C137" s="429"/>
      <c r="D137" s="82" t="s">
        <v>80</v>
      </c>
      <c r="E137" s="83"/>
      <c r="F137" s="361">
        <v>57.734999999999999</v>
      </c>
      <c r="G137" s="212">
        <v>1493</v>
      </c>
      <c r="H137" s="84">
        <f t="shared" si="89"/>
        <v>86198.354999999996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1378.1538461538476</v>
      </c>
      <c r="O137" s="86">
        <f t="shared" si="91"/>
        <v>86.134615384615472</v>
      </c>
      <c r="P137" s="54">
        <f t="shared" si="86"/>
        <v>0</v>
      </c>
      <c r="Q137" s="88">
        <f t="shared" si="87"/>
        <v>-11.677884615384528</v>
      </c>
      <c r="R137" s="430">
        <f t="shared" si="88"/>
        <v>0.88060948636028602</v>
      </c>
      <c r="S137" s="680"/>
      <c r="T137" s="50">
        <v>0.57847222222222228</v>
      </c>
      <c r="U137" s="50">
        <v>0.62361111111111112</v>
      </c>
      <c r="V137" s="253">
        <v>23</v>
      </c>
      <c r="W137" s="251">
        <f t="shared" si="92"/>
        <v>64.999999999999929</v>
      </c>
      <c r="X137" s="53">
        <v>0.56597222222222221</v>
      </c>
      <c r="Y137" s="53">
        <v>0.57638888888888895</v>
      </c>
      <c r="Z137" s="54"/>
      <c r="AA137" s="54"/>
      <c r="AB137" s="633"/>
      <c r="AC137" s="633"/>
      <c r="AD137" s="429"/>
      <c r="AE137" s="429"/>
      <c r="AF137" s="48">
        <f t="shared" si="61"/>
        <v>-186.84615384615245</v>
      </c>
      <c r="AG137" s="126">
        <f t="shared" si="62"/>
        <v>0.88060948636028602</v>
      </c>
      <c r="AH137" s="654"/>
    </row>
    <row r="138" spans="1:34" ht="19.2" customHeight="1">
      <c r="A138" s="684"/>
      <c r="B138" s="431" t="s">
        <v>147</v>
      </c>
      <c r="C138" s="226"/>
      <c r="D138" s="82" t="s">
        <v>222</v>
      </c>
      <c r="E138" s="83"/>
      <c r="F138" s="361">
        <v>50.67</v>
      </c>
      <c r="G138" s="57">
        <v>1416</v>
      </c>
      <c r="H138" s="84">
        <f t="shared" si="89"/>
        <v>71748.72</v>
      </c>
      <c r="I138" s="429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1392.7868852459028</v>
      </c>
      <c r="O138" s="86">
        <f t="shared" si="91"/>
        <v>77.37704918032793</v>
      </c>
      <c r="P138" s="54">
        <f t="shared" si="86"/>
        <v>0</v>
      </c>
      <c r="Q138" s="88">
        <f t="shared" si="87"/>
        <v>-5.9562841530053987</v>
      </c>
      <c r="R138" s="435">
        <f t="shared" si="88"/>
        <v>0.92852459016393518</v>
      </c>
      <c r="S138" s="680"/>
      <c r="T138" s="50">
        <v>0.62847222222222221</v>
      </c>
      <c r="U138" s="50">
        <v>0.67083333333333328</v>
      </c>
      <c r="V138" s="253">
        <v>7</v>
      </c>
      <c r="W138" s="251">
        <f t="shared" si="92"/>
        <v>60.999999999999943</v>
      </c>
      <c r="X138" s="53"/>
      <c r="Y138" s="53"/>
      <c r="Z138" s="54"/>
      <c r="AA138" s="54"/>
      <c r="AB138" s="633"/>
      <c r="AC138" s="633"/>
      <c r="AD138" s="429"/>
      <c r="AE138" s="429"/>
      <c r="AF138" s="48">
        <f t="shared" si="61"/>
        <v>-107.21311475409721</v>
      </c>
      <c r="AG138" s="126">
        <f t="shared" si="62"/>
        <v>0.92852459016393518</v>
      </c>
      <c r="AH138" s="654"/>
    </row>
    <row r="139" spans="1:34" ht="19.2" customHeight="1">
      <c r="A139" s="684"/>
      <c r="B139" s="431" t="s">
        <v>147</v>
      </c>
      <c r="C139" s="438"/>
      <c r="D139" s="42" t="s">
        <v>92</v>
      </c>
      <c r="E139" s="43"/>
      <c r="F139" s="361">
        <v>50.67</v>
      </c>
      <c r="G139" s="57">
        <v>822</v>
      </c>
      <c r="H139" s="84">
        <f t="shared" si="89"/>
        <v>41650.74</v>
      </c>
      <c r="I139" s="429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1409.1428571428557</v>
      </c>
      <c r="O139" s="86">
        <f t="shared" si="91"/>
        <v>82.890756302520927</v>
      </c>
      <c r="P139" s="54">
        <f t="shared" si="86"/>
        <v>0</v>
      </c>
      <c r="Q139" s="88">
        <f t="shared" si="87"/>
        <v>-5.3445378151261309</v>
      </c>
      <c r="R139" s="430">
        <f t="shared" si="88"/>
        <v>0.9394285714285705</v>
      </c>
      <c r="S139" s="680"/>
      <c r="T139" s="50">
        <v>0.70833333333333337</v>
      </c>
      <c r="U139" s="50">
        <v>0.73263888888888895</v>
      </c>
      <c r="V139" s="254">
        <v>5</v>
      </c>
      <c r="W139" s="251">
        <f t="shared" si="92"/>
        <v>35.000000000000036</v>
      </c>
      <c r="X139" s="53"/>
      <c r="Y139" s="53"/>
      <c r="Z139" s="54"/>
      <c r="AA139" s="54"/>
      <c r="AB139" s="633"/>
      <c r="AC139" s="633"/>
      <c r="AD139" s="429"/>
      <c r="AE139" s="429"/>
      <c r="AF139" s="48">
        <f t="shared" si="61"/>
        <v>-90.857142857144254</v>
      </c>
      <c r="AG139" s="126">
        <f t="shared" si="62"/>
        <v>0.9394285714285705</v>
      </c>
      <c r="AH139" s="654"/>
    </row>
    <row r="140" spans="1:34" ht="19.2" customHeight="1">
      <c r="A140" s="685"/>
      <c r="B140" s="431" t="s">
        <v>147</v>
      </c>
      <c r="C140" s="438"/>
      <c r="D140" s="255" t="s">
        <v>93</v>
      </c>
      <c r="E140" s="83"/>
      <c r="F140" s="361">
        <v>50.98</v>
      </c>
      <c r="G140" s="57">
        <v>1354</v>
      </c>
      <c r="H140" s="84">
        <f t="shared" si="89"/>
        <v>69026.92</v>
      </c>
      <c r="I140" s="429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1354.0000000000014</v>
      </c>
      <c r="O140" s="86">
        <f t="shared" si="91"/>
        <v>67.700000000000074</v>
      </c>
      <c r="P140" s="54">
        <f t="shared" si="86"/>
        <v>0</v>
      </c>
      <c r="Q140" s="88">
        <f t="shared" si="87"/>
        <v>-4.2999999999999261</v>
      </c>
      <c r="R140" s="430">
        <f t="shared" si="88"/>
        <v>0.94027777777777877</v>
      </c>
      <c r="S140" s="687"/>
      <c r="T140" s="63">
        <v>0.73750000000000004</v>
      </c>
      <c r="U140" s="256">
        <v>0.77916666666666667</v>
      </c>
      <c r="V140" s="257">
        <v>7</v>
      </c>
      <c r="W140" s="251">
        <f t="shared" si="92"/>
        <v>59.999999999999943</v>
      </c>
      <c r="X140" s="53"/>
      <c r="Y140" s="53"/>
      <c r="Z140" s="54"/>
      <c r="AA140" s="54"/>
      <c r="AB140" s="633"/>
      <c r="AC140" s="633"/>
      <c r="AD140" s="429"/>
      <c r="AE140" s="429"/>
      <c r="AF140" s="48">
        <f t="shared" si="61"/>
        <v>-85.999999999998636</v>
      </c>
      <c r="AG140" s="126">
        <f t="shared" si="62"/>
        <v>0.94027777777777877</v>
      </c>
      <c r="AH140" s="654"/>
    </row>
    <row r="141" spans="1:34" ht="19.2" customHeight="1">
      <c r="A141" s="685"/>
      <c r="B141" s="431" t="s">
        <v>147</v>
      </c>
      <c r="C141" s="438"/>
      <c r="D141" s="42" t="s">
        <v>94</v>
      </c>
      <c r="E141" s="258"/>
      <c r="F141" s="361">
        <v>54.09</v>
      </c>
      <c r="G141" s="57">
        <v>775</v>
      </c>
      <c r="H141" s="84">
        <f t="shared" si="89"/>
        <v>41919.75</v>
      </c>
      <c r="I141" s="429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1367.6470588235277</v>
      </c>
      <c r="O141" s="86">
        <f t="shared" si="91"/>
        <v>71.98142414860672</v>
      </c>
      <c r="P141" s="54">
        <f t="shared" si="86"/>
        <v>0</v>
      </c>
      <c r="Q141" s="88">
        <f t="shared" si="87"/>
        <v>-6.9659442724459097</v>
      </c>
      <c r="R141" s="430">
        <f t="shared" si="88"/>
        <v>0.91176470588235181</v>
      </c>
      <c r="S141" s="687"/>
      <c r="T141" s="63">
        <v>0.78472222222222221</v>
      </c>
      <c r="U141" s="256">
        <v>0.80833333333333335</v>
      </c>
      <c r="V141" s="55">
        <v>8</v>
      </c>
      <c r="W141" s="251">
        <f t="shared" si="92"/>
        <v>34.000000000000043</v>
      </c>
      <c r="X141" s="53"/>
      <c r="Y141" s="53"/>
      <c r="Z141" s="54"/>
      <c r="AA141" s="54"/>
      <c r="AB141" s="633"/>
      <c r="AC141" s="633"/>
      <c r="AD141" s="429"/>
      <c r="AE141" s="429"/>
      <c r="AF141" s="48">
        <f t="shared" si="61"/>
        <v>-132.35294117647231</v>
      </c>
      <c r="AG141" s="126">
        <f t="shared" si="62"/>
        <v>0.91176470588235181</v>
      </c>
      <c r="AH141" s="654"/>
    </row>
    <row r="142" spans="1:34" ht="19.2" customHeight="1">
      <c r="A142" s="685"/>
      <c r="B142" s="431" t="s">
        <v>147</v>
      </c>
      <c r="C142" s="438"/>
      <c r="D142" s="42" t="s">
        <v>95</v>
      </c>
      <c r="E142" s="258"/>
      <c r="F142" s="361">
        <v>50.92</v>
      </c>
      <c r="G142" s="57">
        <v>1588</v>
      </c>
      <c r="H142" s="84">
        <f t="shared" si="89"/>
        <v>80860.960000000006</v>
      </c>
      <c r="I142" s="429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1361.1428571428557</v>
      </c>
      <c r="O142" s="86">
        <f t="shared" si="91"/>
        <v>71.639097744360825</v>
      </c>
      <c r="P142" s="54">
        <f t="shared" si="86"/>
        <v>0</v>
      </c>
      <c r="Q142" s="88">
        <f t="shared" si="87"/>
        <v>-4.1503759398496953</v>
      </c>
      <c r="R142" s="430">
        <f t="shared" si="88"/>
        <v>0.94523809523809432</v>
      </c>
      <c r="S142" s="687"/>
      <c r="T142" s="63">
        <v>0.82361111111111107</v>
      </c>
      <c r="U142" s="256">
        <v>0.87222222222222223</v>
      </c>
      <c r="V142" s="55">
        <v>22</v>
      </c>
      <c r="W142" s="251">
        <f t="shared" si="92"/>
        <v>70.000000000000071</v>
      </c>
      <c r="X142" s="53">
        <v>0.80555555555555547</v>
      </c>
      <c r="Y142" s="53">
        <v>0.82291666666666663</v>
      </c>
      <c r="Z142" s="54"/>
      <c r="AA142" s="54"/>
      <c r="AB142" s="633"/>
      <c r="AC142" s="633"/>
      <c r="AD142" s="429"/>
      <c r="AE142" s="429"/>
      <c r="AF142" s="48">
        <f t="shared" si="61"/>
        <v>-78.857142857144254</v>
      </c>
      <c r="AG142" s="126">
        <f t="shared" si="62"/>
        <v>0.94523809523809432</v>
      </c>
      <c r="AH142" s="654"/>
    </row>
    <row r="143" spans="1:34" ht="19.2" customHeight="1">
      <c r="A143" s="685"/>
      <c r="B143" s="431" t="s">
        <v>147</v>
      </c>
      <c r="C143" s="259"/>
      <c r="D143" s="82" t="s">
        <v>96</v>
      </c>
      <c r="E143" s="83"/>
      <c r="F143" s="361">
        <v>50.67</v>
      </c>
      <c r="G143" s="57">
        <v>925</v>
      </c>
      <c r="H143" s="84">
        <f t="shared" si="89"/>
        <v>46869.75</v>
      </c>
      <c r="I143" s="429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1321.4285714285709</v>
      </c>
      <c r="O143" s="86">
        <f t="shared" si="91"/>
        <v>77.731092436974762</v>
      </c>
      <c r="P143" s="54">
        <f t="shared" si="86"/>
        <v>0</v>
      </c>
      <c r="Q143" s="88">
        <f t="shared" si="87"/>
        <v>-6.9747899159664115</v>
      </c>
      <c r="R143" s="430">
        <f t="shared" si="88"/>
        <v>0.9176587301587299</v>
      </c>
      <c r="S143" s="687"/>
      <c r="T143" s="63">
        <v>0.87638888888888888</v>
      </c>
      <c r="U143" s="256">
        <v>0.90555555555555556</v>
      </c>
      <c r="V143" s="55">
        <v>6</v>
      </c>
      <c r="W143" s="251">
        <f t="shared" si="92"/>
        <v>42.000000000000014</v>
      </c>
      <c r="X143" s="53"/>
      <c r="Y143" s="53"/>
      <c r="Z143" s="54"/>
      <c r="AA143" s="54"/>
      <c r="AB143" s="633"/>
      <c r="AC143" s="633"/>
      <c r="AD143" s="429"/>
      <c r="AE143" s="429"/>
      <c r="AF143" s="48">
        <f t="shared" si="61"/>
        <v>-118.57142857142912</v>
      </c>
      <c r="AG143" s="126">
        <f t="shared" si="62"/>
        <v>0.91765873015872979</v>
      </c>
      <c r="AH143" s="654"/>
    </row>
    <row r="144" spans="1:34" ht="19.2" customHeight="1">
      <c r="A144" s="685"/>
      <c r="B144" s="431" t="s">
        <v>147</v>
      </c>
      <c r="C144" s="438"/>
      <c r="D144" s="42" t="s">
        <v>97</v>
      </c>
      <c r="E144" s="258"/>
      <c r="F144" s="361">
        <v>50.49</v>
      </c>
      <c r="G144" s="57">
        <v>1184</v>
      </c>
      <c r="H144" s="84">
        <f t="shared" si="89"/>
        <v>59780.160000000003</v>
      </c>
      <c r="I144" s="429"/>
      <c r="J144" s="87">
        <v>14</v>
      </c>
      <c r="K144" s="57">
        <v>1440</v>
      </c>
      <c r="L144" s="86">
        <v>102.85714285714286</v>
      </c>
      <c r="M144" s="440">
        <v>15</v>
      </c>
      <c r="N144" s="57">
        <f t="shared" si="90"/>
        <v>1315.5555555555563</v>
      </c>
      <c r="O144" s="86">
        <f t="shared" si="91"/>
        <v>87.703703703703752</v>
      </c>
      <c r="P144" s="54">
        <f t="shared" si="86"/>
        <v>1</v>
      </c>
      <c r="Q144" s="88">
        <f t="shared" si="87"/>
        <v>-15.153439153439109</v>
      </c>
      <c r="R144" s="430">
        <f t="shared" si="88"/>
        <v>0.85267489711934197</v>
      </c>
      <c r="S144" s="687"/>
      <c r="T144" s="63">
        <v>0.91041666666666665</v>
      </c>
      <c r="U144" s="256">
        <v>0.94791666666666663</v>
      </c>
      <c r="V144" s="55">
        <v>7</v>
      </c>
      <c r="W144" s="251">
        <f t="shared" si="92"/>
        <v>53.999999999999972</v>
      </c>
      <c r="X144" s="53"/>
      <c r="Y144" s="53"/>
      <c r="Z144" s="54"/>
      <c r="AA144" s="54"/>
      <c r="AB144" s="633"/>
      <c r="AC144" s="633"/>
      <c r="AD144" s="429"/>
      <c r="AE144" s="429"/>
      <c r="AF144" s="48">
        <f t="shared" si="61"/>
        <v>-124.44444444444366</v>
      </c>
      <c r="AG144" s="126">
        <f t="shared" si="62"/>
        <v>0.91358024691358075</v>
      </c>
      <c r="AH144" s="654"/>
    </row>
    <row r="145" spans="1:34" ht="19.2" customHeight="1">
      <c r="A145" s="685"/>
      <c r="B145" s="431">
        <v>0</v>
      </c>
      <c r="C145" s="438"/>
      <c r="D145" s="42"/>
      <c r="E145" s="258"/>
      <c r="F145" s="361" t="s">
        <v>148</v>
      </c>
      <c r="G145" s="57"/>
      <c r="H145" s="84">
        <f t="shared" si="89"/>
        <v>0</v>
      </c>
      <c r="I145" s="429"/>
      <c r="J145" s="87"/>
      <c r="K145" s="57"/>
      <c r="L145" s="86"/>
      <c r="M145" s="440"/>
      <c r="N145" s="57"/>
      <c r="O145" s="86"/>
      <c r="P145" s="54"/>
      <c r="Q145" s="88"/>
      <c r="R145" s="430"/>
      <c r="S145" s="687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633"/>
      <c r="AC145" s="633"/>
      <c r="AD145" s="429"/>
      <c r="AE145" s="429"/>
      <c r="AF145" s="48">
        <f t="shared" si="61"/>
        <v>0</v>
      </c>
      <c r="AG145" s="126" t="e">
        <f t="shared" si="62"/>
        <v>#DIV/0!</v>
      </c>
      <c r="AH145" s="654"/>
    </row>
    <row r="146" spans="1:34" ht="19.2" customHeight="1">
      <c r="A146" s="685"/>
      <c r="B146" s="445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429"/>
      <c r="J146" s="87"/>
      <c r="K146" s="57"/>
      <c r="L146" s="86"/>
      <c r="M146" s="440"/>
      <c r="N146" s="57"/>
      <c r="O146" s="86"/>
      <c r="P146" s="54"/>
      <c r="Q146" s="88"/>
      <c r="R146" s="430"/>
      <c r="S146" s="687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633"/>
      <c r="AC146" s="633"/>
      <c r="AD146" s="429"/>
      <c r="AE146" s="429"/>
      <c r="AF146" s="54"/>
      <c r="AG146" s="430"/>
      <c r="AH146" s="654"/>
    </row>
    <row r="147" spans="1:34" ht="19.2" customHeight="1">
      <c r="A147" s="686"/>
      <c r="B147" s="261">
        <v>0</v>
      </c>
      <c r="C147" s="100" t="s">
        <v>313</v>
      </c>
      <c r="D147" s="660" t="s">
        <v>293</v>
      </c>
      <c r="E147" s="660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1362.8296729237477</v>
      </c>
      <c r="O147" s="247">
        <f t="shared" si="93"/>
        <v>78.400303965299003</v>
      </c>
      <c r="P147" s="51">
        <f t="shared" ref="P147:P153" si="94">M147-J147</f>
        <v>0.10000000000000142</v>
      </c>
      <c r="Q147" s="142">
        <f t="shared" ref="Q147:Q153" si="95">O147-L147</f>
        <v>-7.6761288446670903</v>
      </c>
      <c r="R147" s="262">
        <f t="shared" ref="R147:R153" si="96">O147/L147</f>
        <v>0.91082194517035875</v>
      </c>
      <c r="S147" s="688"/>
      <c r="T147" s="63"/>
      <c r="U147" s="63"/>
      <c r="V147" s="55"/>
      <c r="W147" s="44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33"/>
      <c r="AC147" s="633"/>
      <c r="AD147" s="107">
        <f>SUM(AD135:AD146)</f>
        <v>0</v>
      </c>
      <c r="AE147" s="107">
        <f>SUM(AE135:AE146)</f>
        <v>0</v>
      </c>
      <c r="AF147" s="207">
        <f t="shared" si="61"/>
        <v>-119.67032707625231</v>
      </c>
      <c r="AG147" s="263">
        <f t="shared" si="62"/>
        <v>0.91927802558094285</v>
      </c>
      <c r="AH147" s="654"/>
    </row>
    <row r="148" spans="1:34" ht="19.2" customHeight="1">
      <c r="A148" s="690" t="s">
        <v>314</v>
      </c>
      <c r="B148" s="429" t="s">
        <v>147</v>
      </c>
      <c r="C148" s="122"/>
      <c r="D148" s="176" t="s">
        <v>162</v>
      </c>
      <c r="E148" s="43"/>
      <c r="F148" s="368">
        <v>44.98</v>
      </c>
      <c r="G148" s="57">
        <v>1233</v>
      </c>
      <c r="H148" s="84">
        <f t="shared" ref="H148:H172" si="97">F148*G148</f>
        <v>55460.34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1253.8983050847467</v>
      </c>
      <c r="O148" s="47">
        <f t="shared" ref="O148:O153" si="99">N148/M148</f>
        <v>65.994647636039304</v>
      </c>
      <c r="P148" s="48">
        <f t="shared" si="94"/>
        <v>0</v>
      </c>
      <c r="Q148" s="49">
        <f t="shared" si="95"/>
        <v>-12.952720785013327</v>
      </c>
      <c r="R148" s="433">
        <f t="shared" si="96"/>
        <v>0.83593220338983121</v>
      </c>
      <c r="S148" s="691">
        <f>R160</f>
        <v>0.83348470759265425</v>
      </c>
      <c r="T148" s="250">
        <v>0.70833333333333337</v>
      </c>
      <c r="U148" s="50">
        <v>0.74930555555555556</v>
      </c>
      <c r="V148" s="431">
        <v>5</v>
      </c>
      <c r="W148" s="442">
        <f>(U148-T148)*24*60</f>
        <v>58.99999999999995</v>
      </c>
      <c r="X148" s="53"/>
      <c r="Y148" s="53"/>
      <c r="Z148" s="54"/>
      <c r="AA148" s="54"/>
      <c r="AB148" s="633"/>
      <c r="AC148" s="633"/>
      <c r="AD148" s="429"/>
      <c r="AE148" s="429"/>
      <c r="AF148" s="48">
        <f t="shared" si="61"/>
        <v>-246.10169491525335</v>
      </c>
      <c r="AG148" s="126">
        <f t="shared" si="62"/>
        <v>0.8359322033898311</v>
      </c>
      <c r="AH148" s="654">
        <f>AG160</f>
        <v>0.84681814286375878</v>
      </c>
    </row>
    <row r="149" spans="1:34" ht="19.2" customHeight="1">
      <c r="A149" s="690"/>
      <c r="B149" s="429" t="s">
        <v>147</v>
      </c>
      <c r="C149" s="224"/>
      <c r="D149" s="255" t="s">
        <v>76</v>
      </c>
      <c r="E149" s="60"/>
      <c r="F149" s="368">
        <v>53.68</v>
      </c>
      <c r="G149" s="57">
        <v>925</v>
      </c>
      <c r="H149" s="84">
        <f t="shared" si="97"/>
        <v>49654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1261.3636363636365</v>
      </c>
      <c r="O149" s="47">
        <f t="shared" si="99"/>
        <v>63.068181818181827</v>
      </c>
      <c r="P149" s="48">
        <f t="shared" si="94"/>
        <v>0</v>
      </c>
      <c r="Q149" s="49">
        <f t="shared" si="95"/>
        <v>-11.931818181818173</v>
      </c>
      <c r="R149" s="433">
        <f t="shared" si="96"/>
        <v>0.84090909090909105</v>
      </c>
      <c r="S149" s="692"/>
      <c r="T149" s="250">
        <v>0.75486111111111109</v>
      </c>
      <c r="U149" s="50">
        <v>0.78541666666666665</v>
      </c>
      <c r="V149" s="431">
        <v>8</v>
      </c>
      <c r="W149" s="442">
        <f t="shared" ref="W149:W159" si="100">(U149-T149)*24*60</f>
        <v>44</v>
      </c>
      <c r="X149" s="53"/>
      <c r="Y149" s="53"/>
      <c r="Z149" s="54"/>
      <c r="AA149" s="54"/>
      <c r="AB149" s="633"/>
      <c r="AC149" s="633"/>
      <c r="AD149" s="429"/>
      <c r="AE149" s="429">
        <v>1</v>
      </c>
      <c r="AF149" s="48">
        <f t="shared" si="61"/>
        <v>-238.63636363636351</v>
      </c>
      <c r="AG149" s="126">
        <f t="shared" si="62"/>
        <v>0.84090909090909094</v>
      </c>
      <c r="AH149" s="693"/>
    </row>
    <row r="150" spans="1:34" ht="19.2" customHeight="1">
      <c r="A150" s="690"/>
      <c r="B150" s="429" t="s">
        <v>147</v>
      </c>
      <c r="C150" s="224"/>
      <c r="D150" s="179" t="s">
        <v>84</v>
      </c>
      <c r="E150" s="60"/>
      <c r="F150" s="368">
        <v>55.32</v>
      </c>
      <c r="G150" s="57">
        <v>539</v>
      </c>
      <c r="H150" s="84">
        <f t="shared" si="97"/>
        <v>29817.48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1115.1724137931012</v>
      </c>
      <c r="O150" s="47">
        <f t="shared" si="99"/>
        <v>74.344827586206748</v>
      </c>
      <c r="P150" s="48">
        <f t="shared" si="94"/>
        <v>1</v>
      </c>
      <c r="Q150" s="49">
        <f t="shared" si="95"/>
        <v>-28.512315270936114</v>
      </c>
      <c r="R150" s="433">
        <f t="shared" si="96"/>
        <v>0.72279693486589891</v>
      </c>
      <c r="S150" s="692"/>
      <c r="T150" s="250">
        <v>0.7895833333333333</v>
      </c>
      <c r="U150" s="50">
        <v>0.80972222222222223</v>
      </c>
      <c r="V150" s="431">
        <v>6</v>
      </c>
      <c r="W150" s="442">
        <f t="shared" si="100"/>
        <v>29.000000000000057</v>
      </c>
      <c r="X150" s="219"/>
      <c r="Y150" s="219"/>
      <c r="Z150" s="220"/>
      <c r="AA150" s="220"/>
      <c r="AB150" s="633"/>
      <c r="AC150" s="633"/>
      <c r="AD150" s="429">
        <v>1</v>
      </c>
      <c r="AE150" s="429"/>
      <c r="AF150" s="48">
        <f t="shared" si="61"/>
        <v>-324.82758620689879</v>
      </c>
      <c r="AG150" s="126">
        <f t="shared" si="62"/>
        <v>0.77442528735632032</v>
      </c>
      <c r="AH150" s="693"/>
    </row>
    <row r="151" spans="1:34" s="221" customFormat="1" ht="19.2" customHeight="1">
      <c r="A151" s="690"/>
      <c r="B151" s="429" t="s">
        <v>147</v>
      </c>
      <c r="C151" s="224"/>
      <c r="D151" s="59" t="s">
        <v>85</v>
      </c>
      <c r="E151" s="60"/>
      <c r="F151" s="368">
        <v>55.56</v>
      </c>
      <c r="G151" s="57">
        <v>751</v>
      </c>
      <c r="H151" s="84">
        <f t="shared" si="97"/>
        <v>41725.560000000005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1325.2941176470572</v>
      </c>
      <c r="O151" s="47">
        <f t="shared" si="99"/>
        <v>82.830882352941074</v>
      </c>
      <c r="P151" s="48">
        <f t="shared" si="94"/>
        <v>0</v>
      </c>
      <c r="Q151" s="49">
        <f t="shared" si="95"/>
        <v>-7.1691176470589255</v>
      </c>
      <c r="R151" s="433">
        <f t="shared" si="96"/>
        <v>0.9203431372549008</v>
      </c>
      <c r="S151" s="692"/>
      <c r="T151" s="250">
        <v>0.81527777777777777</v>
      </c>
      <c r="U151" s="50">
        <v>0.83888888888888891</v>
      </c>
      <c r="V151" s="431">
        <v>8</v>
      </c>
      <c r="W151" s="442">
        <f t="shared" si="100"/>
        <v>34.000000000000043</v>
      </c>
      <c r="X151" s="219"/>
      <c r="Y151" s="219"/>
      <c r="Z151" s="220"/>
      <c r="AA151" s="220"/>
      <c r="AB151" s="633"/>
      <c r="AC151" s="633"/>
      <c r="AD151" s="224"/>
      <c r="AE151" s="224"/>
      <c r="AF151" s="48">
        <f t="shared" si="61"/>
        <v>-114.70588235294281</v>
      </c>
      <c r="AG151" s="126">
        <f t="shared" si="62"/>
        <v>0.9203431372549008</v>
      </c>
      <c r="AH151" s="693"/>
    </row>
    <row r="152" spans="1:34" s="221" customFormat="1" ht="19.2" customHeight="1">
      <c r="A152" s="690"/>
      <c r="B152" s="429" t="s">
        <v>147</v>
      </c>
      <c r="C152" s="224"/>
      <c r="D152" s="255" t="s">
        <v>83</v>
      </c>
      <c r="E152" s="60"/>
      <c r="F152" s="368">
        <v>54.29</v>
      </c>
      <c r="G152" s="57">
        <v>570</v>
      </c>
      <c r="H152" s="84">
        <f t="shared" si="97"/>
        <v>30945.3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1139.999999999998</v>
      </c>
      <c r="O152" s="47">
        <f t="shared" si="99"/>
        <v>75.999999999999858</v>
      </c>
      <c r="P152" s="48">
        <f t="shared" si="94"/>
        <v>0</v>
      </c>
      <c r="Q152" s="49">
        <f t="shared" si="95"/>
        <v>-20.000000000000142</v>
      </c>
      <c r="R152" s="433">
        <f t="shared" si="96"/>
        <v>0.79166666666666519</v>
      </c>
      <c r="S152" s="692"/>
      <c r="T152" s="265">
        <v>0.85486111111111107</v>
      </c>
      <c r="U152" s="63">
        <v>0.87569444444444444</v>
      </c>
      <c r="V152" s="444">
        <v>23</v>
      </c>
      <c r="W152" s="442">
        <f t="shared" si="100"/>
        <v>30.000000000000053</v>
      </c>
      <c r="X152" s="222">
        <v>0.84236111111111101</v>
      </c>
      <c r="Y152" s="222">
        <v>1.2708333333333333</v>
      </c>
      <c r="Z152" s="220"/>
      <c r="AA152" s="220"/>
      <c r="AB152" s="633"/>
      <c r="AC152" s="633"/>
      <c r="AD152" s="224"/>
      <c r="AE152" s="224"/>
      <c r="AF152" s="48">
        <f t="shared" si="61"/>
        <v>-300.00000000000205</v>
      </c>
      <c r="AG152" s="126">
        <f t="shared" si="62"/>
        <v>0.7916666666666653</v>
      </c>
      <c r="AH152" s="693"/>
    </row>
    <row r="153" spans="1:34" s="221" customFormat="1" ht="19.2" customHeight="1">
      <c r="A153" s="690"/>
      <c r="B153" s="429" t="s">
        <v>147</v>
      </c>
      <c r="C153" s="224"/>
      <c r="D153" s="255" t="s">
        <v>98</v>
      </c>
      <c r="E153" s="60"/>
      <c r="F153" s="368">
        <v>57.3</v>
      </c>
      <c r="G153" s="57">
        <v>1213</v>
      </c>
      <c r="H153" s="84">
        <f t="shared" si="97"/>
        <v>69504.899999999994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1373.207547169812</v>
      </c>
      <c r="O153" s="47">
        <f t="shared" si="99"/>
        <v>76.289308176100661</v>
      </c>
      <c r="P153" s="48">
        <f t="shared" si="94"/>
        <v>0</v>
      </c>
      <c r="Q153" s="49">
        <f t="shared" si="95"/>
        <v>-7.0440251572326673</v>
      </c>
      <c r="R153" s="433">
        <f t="shared" si="96"/>
        <v>0.91547169811320794</v>
      </c>
      <c r="S153" s="692"/>
      <c r="T153" s="265">
        <v>0.88055555555555554</v>
      </c>
      <c r="U153" s="63">
        <v>0.91736111111111107</v>
      </c>
      <c r="V153" s="444">
        <v>7</v>
      </c>
      <c r="W153" s="442">
        <f t="shared" si="100"/>
        <v>52.999999999999972</v>
      </c>
      <c r="X153" s="222"/>
      <c r="Y153" s="222"/>
      <c r="Z153" s="220"/>
      <c r="AA153" s="220"/>
      <c r="AB153" s="633"/>
      <c r="AC153" s="633"/>
      <c r="AD153" s="224"/>
      <c r="AE153" s="224"/>
      <c r="AF153" s="48">
        <f t="shared" si="61"/>
        <v>-126.79245283018804</v>
      </c>
      <c r="AG153" s="126">
        <f t="shared" si="62"/>
        <v>0.91547169811320794</v>
      </c>
      <c r="AH153" s="693"/>
    </row>
    <row r="154" spans="1:34" s="221" customFormat="1" ht="19.2" customHeight="1">
      <c r="A154" s="690"/>
      <c r="B154" s="429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33"/>
      <c r="S154" s="692"/>
      <c r="T154" s="265"/>
      <c r="U154" s="63"/>
      <c r="V154" s="444"/>
      <c r="W154" s="442">
        <f t="shared" si="100"/>
        <v>0</v>
      </c>
      <c r="X154" s="222"/>
      <c r="Y154" s="222"/>
      <c r="Z154" s="220"/>
      <c r="AA154" s="220"/>
      <c r="AB154" s="633"/>
      <c r="AC154" s="633"/>
      <c r="AD154" s="224"/>
      <c r="AE154" s="224"/>
      <c r="AF154" s="48">
        <f t="shared" si="61"/>
        <v>0</v>
      </c>
      <c r="AG154" s="126" t="e">
        <f t="shared" si="62"/>
        <v>#DIV/0!</v>
      </c>
      <c r="AH154" s="693"/>
    </row>
    <row r="155" spans="1:34" s="221" customFormat="1" ht="19.2" customHeight="1">
      <c r="A155" s="690"/>
      <c r="B155" s="429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92"/>
      <c r="T155" s="265"/>
      <c r="U155" s="63"/>
      <c r="V155" s="444"/>
      <c r="W155" s="442">
        <f t="shared" si="100"/>
        <v>0</v>
      </c>
      <c r="X155" s="222"/>
      <c r="Y155" s="222"/>
      <c r="Z155" s="220"/>
      <c r="AA155" s="220"/>
      <c r="AB155" s="633"/>
      <c r="AC155" s="633"/>
      <c r="AD155" s="224"/>
      <c r="AE155" s="224"/>
      <c r="AF155" s="268"/>
      <c r="AG155" s="130"/>
      <c r="AH155" s="693"/>
    </row>
    <row r="156" spans="1:34" s="221" customFormat="1" ht="19.2" customHeight="1">
      <c r="A156" s="690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92"/>
      <c r="T156" s="265"/>
      <c r="U156" s="63"/>
      <c r="V156" s="444"/>
      <c r="W156" s="269">
        <f t="shared" si="100"/>
        <v>0</v>
      </c>
      <c r="X156" s="222"/>
      <c r="Y156" s="222"/>
      <c r="Z156" s="220"/>
      <c r="AA156" s="220"/>
      <c r="AB156" s="633"/>
      <c r="AC156" s="633"/>
      <c r="AD156" s="224"/>
      <c r="AE156" s="224"/>
      <c r="AF156" s="268"/>
      <c r="AG156" s="130"/>
      <c r="AH156" s="693"/>
    </row>
    <row r="157" spans="1:34" s="221" customFormat="1" ht="19.2" customHeight="1">
      <c r="A157" s="690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92"/>
      <c r="T157" s="265"/>
      <c r="U157" s="63"/>
      <c r="V157" s="444"/>
      <c r="W157" s="269">
        <f t="shared" si="100"/>
        <v>0</v>
      </c>
      <c r="X157" s="222"/>
      <c r="Y157" s="222"/>
      <c r="Z157" s="220"/>
      <c r="AA157" s="220"/>
      <c r="AB157" s="633"/>
      <c r="AC157" s="633"/>
      <c r="AD157" s="224"/>
      <c r="AE157" s="224"/>
      <c r="AF157" s="268"/>
      <c r="AG157" s="130"/>
      <c r="AH157" s="693"/>
    </row>
    <row r="158" spans="1:34" s="221" customFormat="1" ht="19.2" customHeight="1">
      <c r="A158" s="690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92"/>
      <c r="T158" s="265"/>
      <c r="U158" s="63"/>
      <c r="V158" s="444"/>
      <c r="W158" s="269">
        <f t="shared" si="100"/>
        <v>0</v>
      </c>
      <c r="X158" s="222"/>
      <c r="Y158" s="222"/>
      <c r="Z158" s="220"/>
      <c r="AA158" s="220"/>
      <c r="AB158" s="633"/>
      <c r="AC158" s="633"/>
      <c r="AD158" s="224"/>
      <c r="AE158" s="224"/>
      <c r="AF158" s="268"/>
      <c r="AG158" s="130"/>
      <c r="AH158" s="693"/>
    </row>
    <row r="159" spans="1:34" s="221" customFormat="1" ht="19.2" customHeight="1">
      <c r="A159" s="690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440"/>
      <c r="N159" s="182"/>
      <c r="O159" s="228"/>
      <c r="P159" s="267"/>
      <c r="Q159" s="74"/>
      <c r="R159" s="130"/>
      <c r="S159" s="692"/>
      <c r="T159" s="265"/>
      <c r="U159" s="63"/>
      <c r="V159" s="444"/>
      <c r="W159" s="270">
        <f t="shared" si="100"/>
        <v>0</v>
      </c>
      <c r="X159" s="222"/>
      <c r="Y159" s="222"/>
      <c r="Z159" s="220"/>
      <c r="AA159" s="220"/>
      <c r="AB159" s="633"/>
      <c r="AC159" s="633"/>
      <c r="AD159" s="224"/>
      <c r="AE159" s="224"/>
      <c r="AF159" s="268"/>
      <c r="AG159" s="130"/>
      <c r="AH159" s="693"/>
    </row>
    <row r="160" spans="1:34" ht="19.2" customHeight="1">
      <c r="A160" s="690"/>
      <c r="B160" s="271">
        <v>0</v>
      </c>
      <c r="C160" s="272" t="s">
        <v>315</v>
      </c>
      <c r="D160" s="689" t="s">
        <v>293</v>
      </c>
      <c r="E160" s="651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1244.8226700097255</v>
      </c>
      <c r="O160" s="274">
        <f t="shared" si="101"/>
        <v>73.087974594911586</v>
      </c>
      <c r="P160" s="65">
        <f t="shared" ref="P160:P166" si="102">M160-J160</f>
        <v>0.16666666666666785</v>
      </c>
      <c r="Q160" s="74">
        <f t="shared" ref="Q160:Q166" si="103">O160-L160</f>
        <v>-14.601666173676563</v>
      </c>
      <c r="R160" s="275">
        <f>O160/L160</f>
        <v>0.83348470759265425</v>
      </c>
      <c r="S160" s="692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33"/>
      <c r="AC160" s="633"/>
      <c r="AD160" s="79">
        <f>SUM(AD148:AD159)</f>
        <v>1</v>
      </c>
      <c r="AE160" s="79">
        <f>SUM(AE148:AE159)</f>
        <v>1</v>
      </c>
      <c r="AF160" s="65">
        <f t="shared" si="61"/>
        <v>-225.17732999027453</v>
      </c>
      <c r="AG160" s="130">
        <f t="shared" si="62"/>
        <v>0.84681814286375878</v>
      </c>
      <c r="AH160" s="693"/>
    </row>
    <row r="161" spans="1:36" ht="19.2" customHeight="1">
      <c r="A161" s="653" t="s">
        <v>316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3033</v>
      </c>
      <c r="H161" s="84">
        <f t="shared" ref="H161:H170" si="104">F161*G161</f>
        <v>103819.59</v>
      </c>
      <c r="I161" s="429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2140.9411764705887</v>
      </c>
      <c r="O161" s="86">
        <f t="shared" ref="O161:O166" si="106">N161/M161</f>
        <v>164.68778280542989</v>
      </c>
      <c r="P161" s="54">
        <f t="shared" si="102"/>
        <v>0</v>
      </c>
      <c r="Q161" s="88">
        <f t="shared" si="103"/>
        <v>-8.3891402714931758</v>
      </c>
      <c r="R161" s="430">
        <f t="shared" ref="R161:R166" si="107">O161/L161</f>
        <v>0.95152941176470607</v>
      </c>
      <c r="S161" s="654">
        <f>R173</f>
        <v>0.90841395868520758</v>
      </c>
      <c r="T161" s="89">
        <v>0.16666666666666666</v>
      </c>
      <c r="U161" s="89">
        <v>0.22569444444444442</v>
      </c>
      <c r="V161" s="429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633"/>
      <c r="AC161" s="633"/>
      <c r="AD161" s="429"/>
      <c r="AE161" s="429"/>
      <c r="AF161" s="54">
        <f t="shared" si="61"/>
        <v>-109.05882352941126</v>
      </c>
      <c r="AG161" s="430">
        <f t="shared" si="62"/>
        <v>0.95152941176470607</v>
      </c>
      <c r="AH161" s="654">
        <f>AG173</f>
        <v>0.91281890714080471</v>
      </c>
    </row>
    <row r="162" spans="1:36" ht="19.2" customHeight="1">
      <c r="A162" s="653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3436</v>
      </c>
      <c r="H162" s="84">
        <f t="shared" si="104"/>
        <v>117614.27999999998</v>
      </c>
      <c r="I162" s="42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2125.3608247422676</v>
      </c>
      <c r="O162" s="86">
        <f t="shared" si="106"/>
        <v>163.48929421094365</v>
      </c>
      <c r="P162" s="54">
        <f t="shared" si="102"/>
        <v>0</v>
      </c>
      <c r="Q162" s="88">
        <f t="shared" si="103"/>
        <v>-9.5876288659794113</v>
      </c>
      <c r="R162" s="430">
        <f t="shared" si="107"/>
        <v>0.94460481099656335</v>
      </c>
      <c r="S162" s="654"/>
      <c r="T162" s="89">
        <v>0.2298611111111111</v>
      </c>
      <c r="U162" s="89">
        <v>0.29722222222222222</v>
      </c>
      <c r="V162" s="429">
        <v>6</v>
      </c>
      <c r="W162" s="90">
        <f t="shared" si="108"/>
        <v>97.000000000000014</v>
      </c>
      <c r="X162" s="96"/>
      <c r="Y162" s="96"/>
      <c r="Z162" s="54"/>
      <c r="AA162" s="54"/>
      <c r="AB162" s="633"/>
      <c r="AC162" s="633"/>
      <c r="AD162" s="429"/>
      <c r="AE162" s="429"/>
      <c r="AF162" s="54">
        <f t="shared" si="61"/>
        <v>-124.6391752577324</v>
      </c>
      <c r="AG162" s="430">
        <f t="shared" si="62"/>
        <v>0.94460481099656335</v>
      </c>
      <c r="AH162" s="654"/>
    </row>
    <row r="163" spans="1:36" ht="19.2" customHeight="1">
      <c r="A163" s="653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3212.2999999999997</v>
      </c>
      <c r="H163" s="84">
        <f t="shared" si="104"/>
        <v>115096.70899999999</v>
      </c>
      <c r="I163" s="42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2165.5955056179773</v>
      </c>
      <c r="O163" s="86">
        <f t="shared" si="106"/>
        <v>196.87231869254339</v>
      </c>
      <c r="P163" s="54">
        <f t="shared" si="102"/>
        <v>0</v>
      </c>
      <c r="Q163" s="88">
        <f t="shared" si="103"/>
        <v>-7.6731358529111446</v>
      </c>
      <c r="R163" s="430">
        <f t="shared" si="107"/>
        <v>0.96248689138576771</v>
      </c>
      <c r="S163" s="654"/>
      <c r="T163" s="89">
        <v>0.3125</v>
      </c>
      <c r="U163" s="89">
        <v>0.37430555555555556</v>
      </c>
      <c r="V163" s="429">
        <v>22</v>
      </c>
      <c r="W163" s="90">
        <f t="shared" si="108"/>
        <v>89</v>
      </c>
      <c r="X163" s="96">
        <v>0.30069444444444443</v>
      </c>
      <c r="Y163" s="96">
        <v>0.31111111111111112</v>
      </c>
      <c r="Z163" s="54"/>
      <c r="AA163" s="54"/>
      <c r="AB163" s="633"/>
      <c r="AC163" s="633"/>
      <c r="AD163" s="429"/>
      <c r="AE163" s="429"/>
      <c r="AF163" s="54">
        <f t="shared" si="61"/>
        <v>-84.404494382022676</v>
      </c>
      <c r="AG163" s="430">
        <f t="shared" si="62"/>
        <v>0.96248689138576771</v>
      </c>
      <c r="AH163" s="654"/>
    </row>
    <row r="164" spans="1:36" ht="19.2" customHeight="1">
      <c r="A164" s="653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4690.7</v>
      </c>
      <c r="H164" s="84">
        <f t="shared" si="104"/>
        <v>170788.38699999999</v>
      </c>
      <c r="I164" s="42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2345.3500000000008</v>
      </c>
      <c r="O164" s="86">
        <f t="shared" si="106"/>
        <v>234.53500000000008</v>
      </c>
      <c r="P164" s="54">
        <f t="shared" si="102"/>
        <v>0</v>
      </c>
      <c r="Q164" s="88">
        <f t="shared" si="103"/>
        <v>-42.364999999999895</v>
      </c>
      <c r="R164" s="430">
        <f t="shared" si="107"/>
        <v>0.84700252798844389</v>
      </c>
      <c r="S164" s="654"/>
      <c r="T164" s="89">
        <v>0.41597222222222219</v>
      </c>
      <c r="U164" s="89">
        <v>0.4993055555555555</v>
      </c>
      <c r="V164" s="429">
        <v>7</v>
      </c>
      <c r="W164" s="90">
        <f t="shared" si="108"/>
        <v>119.99999999999997</v>
      </c>
      <c r="X164" s="96"/>
      <c r="Y164" s="96"/>
      <c r="Z164" s="54"/>
      <c r="AA164" s="54"/>
      <c r="AB164" s="633"/>
      <c r="AC164" s="633"/>
      <c r="AD164" s="429"/>
      <c r="AE164" s="429"/>
      <c r="AF164" s="54">
        <f t="shared" si="61"/>
        <v>-423.64999999999918</v>
      </c>
      <c r="AG164" s="430">
        <f t="shared" si="62"/>
        <v>0.84700252798844378</v>
      </c>
      <c r="AH164" s="654"/>
    </row>
    <row r="165" spans="1:36" ht="19.2" customHeight="1">
      <c r="A165" s="653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1376.7</v>
      </c>
      <c r="H165" s="84">
        <f t="shared" si="104"/>
        <v>49327.161</v>
      </c>
      <c r="I165" s="429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2173.7368421052615</v>
      </c>
      <c r="O165" s="86">
        <f t="shared" si="106"/>
        <v>197.61244019138741</v>
      </c>
      <c r="P165" s="54">
        <f t="shared" si="102"/>
        <v>0</v>
      </c>
      <c r="Q165" s="88">
        <f t="shared" si="103"/>
        <v>-6.9330143540671259</v>
      </c>
      <c r="R165" s="430">
        <f t="shared" si="107"/>
        <v>0.96610526315789402</v>
      </c>
      <c r="S165" s="654"/>
      <c r="T165" s="89">
        <v>0.51527777777777772</v>
      </c>
      <c r="U165" s="89">
        <v>0.54166666666666663</v>
      </c>
      <c r="V165" s="429">
        <v>23</v>
      </c>
      <c r="W165" s="90">
        <f t="shared" si="108"/>
        <v>38.000000000000028</v>
      </c>
      <c r="X165" s="96">
        <v>0.50277777777777777</v>
      </c>
      <c r="Y165" s="96">
        <v>0.51388888888888895</v>
      </c>
      <c r="Z165" s="54"/>
      <c r="AA165" s="54"/>
      <c r="AB165" s="633"/>
      <c r="AC165" s="633"/>
      <c r="AD165" s="429"/>
      <c r="AE165" s="429"/>
      <c r="AF165" s="54">
        <f t="shared" si="61"/>
        <v>-76.26315789473847</v>
      </c>
      <c r="AG165" s="430">
        <f t="shared" si="62"/>
        <v>0.96610526315789402</v>
      </c>
      <c r="AH165" s="654"/>
    </row>
    <row r="166" spans="1:36" ht="19.2" customHeight="1">
      <c r="A166" s="653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2010.3</v>
      </c>
      <c r="H166" s="84">
        <f t="shared" si="104"/>
        <v>73195.022999999986</v>
      </c>
      <c r="I166" s="42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2319.5769230769242</v>
      </c>
      <c r="O166" s="86">
        <f t="shared" si="106"/>
        <v>231.95769230769241</v>
      </c>
      <c r="P166" s="54">
        <f t="shared" si="102"/>
        <v>0</v>
      </c>
      <c r="Q166" s="88">
        <f t="shared" si="103"/>
        <v>-44.942307692307566</v>
      </c>
      <c r="R166" s="430">
        <f t="shared" si="107"/>
        <v>0.83769480790065887</v>
      </c>
      <c r="S166" s="654"/>
      <c r="T166" s="89">
        <v>0.54652777777777772</v>
      </c>
      <c r="U166" s="89">
        <v>0.58263888888888882</v>
      </c>
      <c r="V166" s="429">
        <v>7</v>
      </c>
      <c r="W166" s="90">
        <f t="shared" si="108"/>
        <v>51.999999999999972</v>
      </c>
      <c r="X166" s="96"/>
      <c r="Y166" s="96"/>
      <c r="Z166" s="54"/>
      <c r="AA166" s="54"/>
      <c r="AB166" s="633"/>
      <c r="AC166" s="633"/>
      <c r="AD166" s="429"/>
      <c r="AE166" s="429"/>
      <c r="AF166" s="54">
        <f t="shared" si="61"/>
        <v>-449.42307692307577</v>
      </c>
      <c r="AG166" s="430">
        <f t="shared" si="62"/>
        <v>0.83769480790065876</v>
      </c>
      <c r="AH166" s="654"/>
    </row>
    <row r="167" spans="1:36" ht="19.2" customHeight="1">
      <c r="A167" s="653"/>
      <c r="B167" s="122">
        <v>0</v>
      </c>
      <c r="C167" s="122"/>
      <c r="D167" s="255"/>
      <c r="E167" s="60"/>
      <c r="F167" s="367" t="s">
        <v>148</v>
      </c>
      <c r="G167" s="57"/>
      <c r="H167" s="84">
        <f t="shared" si="104"/>
        <v>0</v>
      </c>
      <c r="I167" s="429"/>
      <c r="J167" s="87"/>
      <c r="K167" s="57"/>
      <c r="L167" s="86"/>
      <c r="M167" s="87"/>
      <c r="N167" s="57"/>
      <c r="O167" s="86"/>
      <c r="P167" s="54"/>
      <c r="Q167" s="88"/>
      <c r="R167" s="430"/>
      <c r="S167" s="654"/>
      <c r="T167" s="89"/>
      <c r="U167" s="89"/>
      <c r="V167" s="429"/>
      <c r="W167" s="90">
        <f t="shared" si="108"/>
        <v>0</v>
      </c>
      <c r="X167" s="96"/>
      <c r="Y167" s="96"/>
      <c r="Z167" s="54"/>
      <c r="AA167" s="54"/>
      <c r="AB167" s="633"/>
      <c r="AC167" s="633"/>
      <c r="AD167" s="429"/>
      <c r="AE167" s="429"/>
      <c r="AF167" s="54">
        <f t="shared" si="61"/>
        <v>0</v>
      </c>
      <c r="AG167" s="430" t="e">
        <f t="shared" si="62"/>
        <v>#DIV/0!</v>
      </c>
      <c r="AH167" s="654"/>
    </row>
    <row r="168" spans="1:36" ht="19.2" customHeight="1">
      <c r="A168" s="653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429"/>
      <c r="J168" s="87"/>
      <c r="K168" s="57"/>
      <c r="L168" s="86"/>
      <c r="M168" s="87"/>
      <c r="N168" s="57"/>
      <c r="O168" s="86"/>
      <c r="P168" s="54"/>
      <c r="Q168" s="88"/>
      <c r="R168" s="430"/>
      <c r="S168" s="654"/>
      <c r="T168" s="89"/>
      <c r="U168" s="89"/>
      <c r="V168" s="429"/>
      <c r="W168" s="90">
        <f t="shared" si="108"/>
        <v>0</v>
      </c>
      <c r="X168" s="96"/>
      <c r="Y168" s="96"/>
      <c r="Z168" s="54"/>
      <c r="AA168" s="54"/>
      <c r="AB168" s="633"/>
      <c r="AC168" s="633"/>
      <c r="AD168" s="429"/>
      <c r="AE168" s="429"/>
      <c r="AF168" s="54">
        <f t="shared" si="61"/>
        <v>0</v>
      </c>
      <c r="AG168" s="430" t="e">
        <f t="shared" si="62"/>
        <v>#DIV/0!</v>
      </c>
      <c r="AH168" s="654"/>
    </row>
    <row r="169" spans="1:36" ht="19.2" customHeight="1">
      <c r="A169" s="653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429"/>
      <c r="J169" s="87"/>
      <c r="K169" s="57"/>
      <c r="L169" s="86"/>
      <c r="M169" s="87"/>
      <c r="N169" s="57"/>
      <c r="O169" s="86"/>
      <c r="P169" s="54"/>
      <c r="Q169" s="88"/>
      <c r="R169" s="430"/>
      <c r="S169" s="654"/>
      <c r="T169" s="89"/>
      <c r="U169" s="89"/>
      <c r="V169" s="429" t="s">
        <v>15</v>
      </c>
      <c r="W169" s="90">
        <f t="shared" si="108"/>
        <v>0</v>
      </c>
      <c r="X169" s="96"/>
      <c r="Y169" s="96"/>
      <c r="Z169" s="54"/>
      <c r="AA169" s="54"/>
      <c r="AB169" s="633"/>
      <c r="AC169" s="633"/>
      <c r="AD169" s="429"/>
      <c r="AE169" s="429"/>
      <c r="AF169" s="54">
        <f t="shared" si="61"/>
        <v>0</v>
      </c>
      <c r="AG169" s="430" t="e">
        <f t="shared" si="62"/>
        <v>#DIV/0!</v>
      </c>
      <c r="AH169" s="654"/>
    </row>
    <row r="170" spans="1:36" ht="19.2" customHeight="1">
      <c r="A170" s="653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429"/>
      <c r="J170" s="87"/>
      <c r="K170" s="57"/>
      <c r="L170" s="86"/>
      <c r="M170" s="87"/>
      <c r="N170" s="57"/>
      <c r="O170" s="86"/>
      <c r="P170" s="54"/>
      <c r="Q170" s="88"/>
      <c r="R170" s="430"/>
      <c r="S170" s="654"/>
      <c r="T170" s="89"/>
      <c r="U170" s="89"/>
      <c r="V170" s="429"/>
      <c r="W170" s="90">
        <f t="shared" si="108"/>
        <v>0</v>
      </c>
      <c r="X170" s="96"/>
      <c r="Y170" s="96"/>
      <c r="Z170" s="54"/>
      <c r="AA170" s="54"/>
      <c r="AB170" s="633"/>
      <c r="AC170" s="633"/>
      <c r="AD170" s="429"/>
      <c r="AE170" s="429"/>
      <c r="AF170" s="54">
        <f t="shared" si="61"/>
        <v>0</v>
      </c>
      <c r="AG170" s="430" t="e">
        <f t="shared" si="62"/>
        <v>#DIV/0!</v>
      </c>
      <c r="AH170" s="654"/>
    </row>
    <row r="171" spans="1:36" ht="19.2" customHeight="1">
      <c r="A171" s="653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429"/>
      <c r="J171" s="87"/>
      <c r="K171" s="57"/>
      <c r="L171" s="86"/>
      <c r="M171" s="87"/>
      <c r="N171" s="57"/>
      <c r="O171" s="86"/>
      <c r="P171" s="54"/>
      <c r="Q171" s="88"/>
      <c r="R171" s="430"/>
      <c r="S171" s="654"/>
      <c r="T171" s="89"/>
      <c r="U171" s="89"/>
      <c r="V171" s="429"/>
      <c r="W171" s="90">
        <f t="shared" si="108"/>
        <v>0</v>
      </c>
      <c r="X171" s="96"/>
      <c r="Y171" s="96"/>
      <c r="Z171" s="54"/>
      <c r="AA171" s="54"/>
      <c r="AB171" s="633"/>
      <c r="AC171" s="633"/>
      <c r="AD171" s="429"/>
      <c r="AE171" s="429"/>
      <c r="AF171" s="54"/>
      <c r="AG171" s="430"/>
      <c r="AH171" s="654"/>
    </row>
    <row r="172" spans="1:36" ht="19.2" customHeight="1">
      <c r="A172" s="653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429"/>
      <c r="J172" s="87"/>
      <c r="K172" s="57"/>
      <c r="L172" s="86"/>
      <c r="M172" s="87"/>
      <c r="N172" s="57"/>
      <c r="O172" s="86"/>
      <c r="P172" s="54"/>
      <c r="Q172" s="88"/>
      <c r="R172" s="430"/>
      <c r="S172" s="654"/>
      <c r="T172" s="89"/>
      <c r="U172" s="89"/>
      <c r="V172" s="429"/>
      <c r="W172" s="90">
        <f t="shared" si="108"/>
        <v>0</v>
      </c>
      <c r="X172" s="96"/>
      <c r="Y172" s="96"/>
      <c r="Z172" s="54"/>
      <c r="AA172" s="54"/>
      <c r="AB172" s="633"/>
      <c r="AC172" s="633"/>
      <c r="AD172" s="429"/>
      <c r="AE172" s="429"/>
      <c r="AF172" s="54"/>
      <c r="AG172" s="430"/>
      <c r="AH172" s="654"/>
    </row>
    <row r="173" spans="1:36" ht="19.2" customHeight="1">
      <c r="A173" s="653"/>
      <c r="B173" s="122">
        <v>0</v>
      </c>
      <c r="C173" s="100" t="s">
        <v>317</v>
      </c>
      <c r="D173" s="660" t="s">
        <v>293</v>
      </c>
      <c r="E173" s="660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2211.7602120021697</v>
      </c>
      <c r="O173" s="104">
        <f t="shared" si="109"/>
        <v>198.19242136799949</v>
      </c>
      <c r="P173" s="54">
        <f>M173-J173</f>
        <v>0</v>
      </c>
      <c r="Q173" s="88">
        <f>O173-L173</f>
        <v>-19.98170450612642</v>
      </c>
      <c r="R173" s="105">
        <f>O173/L173</f>
        <v>0.90841395868520758</v>
      </c>
      <c r="S173" s="654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94"/>
      <c r="AC173" s="694"/>
      <c r="AD173" s="107">
        <f>SUM(AD161:AD172)</f>
        <v>0</v>
      </c>
      <c r="AE173" s="107">
        <f>SUM(AE161:AE172)</f>
        <v>0</v>
      </c>
      <c r="AF173" s="54">
        <f t="shared" si="61"/>
        <v>-211.23978799783026</v>
      </c>
      <c r="AG173" s="430">
        <f t="shared" si="62"/>
        <v>0.91281890714080471</v>
      </c>
      <c r="AH173" s="654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318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319</v>
      </c>
    </row>
    <row r="186" spans="23:36">
      <c r="W186" s="33"/>
      <c r="AJ186" s="279" t="s">
        <v>320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9739" priority="3242" operator="lessThan">
      <formula>0</formula>
    </cfRule>
  </conditionalFormatting>
  <conditionalFormatting sqref="AH57 AH70 S43 S123 S95 AH95 S5:S9 AH5:AH9 S134 AH17:AH18 S17:S18 S32 S82 AH82 S57:S70">
    <cfRule type="cellIs" dxfId="9738" priority="3241" operator="lessThan">
      <formula>0.8</formula>
    </cfRule>
  </conditionalFormatting>
  <conditionalFormatting sqref="R147 R173 R30 R121 R95 R43 R134 R82 R155:R159 R17:R18 R57:R70 R109:R118">
    <cfRule type="cellIs" dxfId="9737" priority="3239" operator="lessThan">
      <formula>0.8</formula>
    </cfRule>
    <cfRule type="cellIs" dxfId="9736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9735" priority="3237" operator="greaterThan">
      <formula>1</formula>
    </cfRule>
    <cfRule type="cellIs" dxfId="9734" priority="3238" operator="lessThan">
      <formula>0.8</formula>
    </cfRule>
  </conditionalFormatting>
  <conditionalFormatting sqref="P147 P30 P121 P95 P43 P134 P82 P155:P159 P17:P18 P57:P70 P109:P118">
    <cfRule type="cellIs" dxfId="9733" priority="3236" operator="greaterThan">
      <formula>0</formula>
    </cfRule>
  </conditionalFormatting>
  <conditionalFormatting sqref="S161">
    <cfRule type="cellIs" dxfId="9732" priority="3235" operator="lessThan">
      <formula>0.8</formula>
    </cfRule>
  </conditionalFormatting>
  <conditionalFormatting sqref="Q161:Q167">
    <cfRule type="cellIs" dxfId="9731" priority="3234" operator="lessThan">
      <formula>0</formula>
    </cfRule>
  </conditionalFormatting>
  <conditionalFormatting sqref="R161:R167">
    <cfRule type="cellIs" dxfId="9730" priority="3232" operator="lessThan">
      <formula>0.8</formula>
    </cfRule>
    <cfRule type="cellIs" dxfId="9729" priority="3233" operator="greaterThan">
      <formula>1</formula>
    </cfRule>
  </conditionalFormatting>
  <conditionalFormatting sqref="R161:R167">
    <cfRule type="cellIs" dxfId="9728" priority="3230" operator="greaterThan">
      <formula>1</formula>
    </cfRule>
    <cfRule type="cellIs" dxfId="9727" priority="3231" operator="lessThan">
      <formula>0.8</formula>
    </cfRule>
  </conditionalFormatting>
  <conditionalFormatting sqref="P161:P167">
    <cfRule type="cellIs" dxfId="9726" priority="3229" operator="greaterThan">
      <formula>0</formula>
    </cfRule>
  </conditionalFormatting>
  <conditionalFormatting sqref="Q169:Q172 AF161:AF172">
    <cfRule type="cellIs" dxfId="9725" priority="3228" operator="lessThan">
      <formula>0</formula>
    </cfRule>
  </conditionalFormatting>
  <conditionalFormatting sqref="R169:R172">
    <cfRule type="cellIs" dxfId="9724" priority="3226" operator="lessThan">
      <formula>0.8</formula>
    </cfRule>
    <cfRule type="cellIs" dxfId="9723" priority="3227" operator="greaterThan">
      <formula>1</formula>
    </cfRule>
  </conditionalFormatting>
  <conditionalFormatting sqref="R169:R172 AG161:AG172">
    <cfRule type="cellIs" dxfId="9722" priority="3224" operator="greaterThan">
      <formula>1</formula>
    </cfRule>
    <cfRule type="cellIs" dxfId="9721" priority="3225" operator="lessThan">
      <formula>0.8</formula>
    </cfRule>
  </conditionalFormatting>
  <conditionalFormatting sqref="P169:P172">
    <cfRule type="cellIs" dxfId="9720" priority="3223" operator="greaterThan">
      <formula>0</formula>
    </cfRule>
  </conditionalFormatting>
  <conditionalFormatting sqref="AF145">
    <cfRule type="cellIs" dxfId="9719" priority="3222" operator="lessThan">
      <formula>0</formula>
    </cfRule>
  </conditionalFormatting>
  <conditionalFormatting sqref="AG145">
    <cfRule type="cellIs" dxfId="9718" priority="3220" operator="greaterThan">
      <formula>1</formula>
    </cfRule>
    <cfRule type="cellIs" dxfId="9717" priority="3221" operator="lessThan">
      <formula>0.8</formula>
    </cfRule>
  </conditionalFormatting>
  <conditionalFormatting sqref="AF44:AF54">
    <cfRule type="cellIs" dxfId="9716" priority="3219" operator="lessThan">
      <formula>0</formula>
    </cfRule>
  </conditionalFormatting>
  <conditionalFormatting sqref="AG44:AG54">
    <cfRule type="cellIs" dxfId="9715" priority="3217" operator="greaterThan">
      <formula>1</formula>
    </cfRule>
    <cfRule type="cellIs" dxfId="9714" priority="3218" operator="lessThan">
      <formula>0.8</formula>
    </cfRule>
  </conditionalFormatting>
  <conditionalFormatting sqref="AF83:AF94">
    <cfRule type="cellIs" dxfId="9713" priority="3216" operator="lessThan">
      <formula>0</formula>
    </cfRule>
  </conditionalFormatting>
  <conditionalFormatting sqref="AH83">
    <cfRule type="cellIs" dxfId="9712" priority="3215" operator="lessThan">
      <formula>0.8</formula>
    </cfRule>
  </conditionalFormatting>
  <conditionalFormatting sqref="AG83:AG94">
    <cfRule type="cellIs" dxfId="9711" priority="3213" operator="greaterThan">
      <formula>1</formula>
    </cfRule>
    <cfRule type="cellIs" dxfId="9710" priority="3214" operator="lessThan">
      <formula>0.8</formula>
    </cfRule>
  </conditionalFormatting>
  <conditionalFormatting sqref="S83">
    <cfRule type="cellIs" dxfId="9709" priority="3212" operator="lessThan">
      <formula>0.8</formula>
    </cfRule>
  </conditionalFormatting>
  <conditionalFormatting sqref="AH84">
    <cfRule type="cellIs" dxfId="9708" priority="3211" operator="lessThan">
      <formula>0.8</formula>
    </cfRule>
  </conditionalFormatting>
  <conditionalFormatting sqref="S84">
    <cfRule type="cellIs" dxfId="9707" priority="3210" operator="lessThan">
      <formula>0.8</formula>
    </cfRule>
  </conditionalFormatting>
  <conditionalFormatting sqref="S90">
    <cfRule type="cellIs" dxfId="9706" priority="3209" operator="lessThan">
      <formula>0.8</formula>
    </cfRule>
  </conditionalFormatting>
  <conditionalFormatting sqref="AH90">
    <cfRule type="cellIs" dxfId="9705" priority="3208" operator="lessThan">
      <formula>0.8</formula>
    </cfRule>
  </conditionalFormatting>
  <conditionalFormatting sqref="AF122">
    <cfRule type="cellIs" dxfId="9704" priority="3207" operator="lessThan">
      <formula>0</formula>
    </cfRule>
  </conditionalFormatting>
  <conditionalFormatting sqref="S122">
    <cfRule type="cellIs" dxfId="9703" priority="3206" operator="lessThan">
      <formula>0.8</formula>
    </cfRule>
  </conditionalFormatting>
  <conditionalFormatting sqref="AG122">
    <cfRule type="cellIs" dxfId="9702" priority="3204" operator="greaterThan">
      <formula>1</formula>
    </cfRule>
    <cfRule type="cellIs" dxfId="9701" priority="3205" operator="lessThan">
      <formula>0.8</formula>
    </cfRule>
  </conditionalFormatting>
  <conditionalFormatting sqref="P162:P168">
    <cfRule type="cellIs" dxfId="9700" priority="3198" operator="greaterThan">
      <formula>0</formula>
    </cfRule>
  </conditionalFormatting>
  <conditionalFormatting sqref="R162:R168">
    <cfRule type="cellIs" dxfId="9699" priority="3201" operator="lessThan">
      <formula>0.8</formula>
    </cfRule>
    <cfRule type="cellIs" dxfId="9698" priority="3202" operator="greaterThan">
      <formula>1</formula>
    </cfRule>
  </conditionalFormatting>
  <conditionalFormatting sqref="R162:R168">
    <cfRule type="cellIs" dxfId="9697" priority="3199" operator="greaterThan">
      <formula>1</formula>
    </cfRule>
    <cfRule type="cellIs" dxfId="9696" priority="3200" operator="lessThan">
      <formula>0.8</formula>
    </cfRule>
  </conditionalFormatting>
  <conditionalFormatting sqref="Q162:Q168">
    <cfRule type="cellIs" dxfId="9695" priority="3203" operator="lessThan">
      <formula>0</formula>
    </cfRule>
  </conditionalFormatting>
  <conditionalFormatting sqref="P132:P133">
    <cfRule type="cellIs" dxfId="9694" priority="3191" operator="greaterThan">
      <formula>0</formula>
    </cfRule>
  </conditionalFormatting>
  <conditionalFormatting sqref="AF124 Q132:Q133 AF132:AF133 AF126:AF127 AF129:AF130">
    <cfRule type="cellIs" dxfId="9693" priority="3197" operator="lessThan">
      <formula>0</formula>
    </cfRule>
  </conditionalFormatting>
  <conditionalFormatting sqref="S124:S133">
    <cfRule type="cellIs" dxfId="9692" priority="3196" operator="lessThan">
      <formula>0.8</formula>
    </cfRule>
  </conditionalFormatting>
  <conditionalFormatting sqref="R132:R133">
    <cfRule type="cellIs" dxfId="9691" priority="3194" operator="lessThan">
      <formula>0.8</formula>
    </cfRule>
    <cfRule type="cellIs" dxfId="9690" priority="3195" operator="greaterThan">
      <formula>1</formula>
    </cfRule>
  </conditionalFormatting>
  <conditionalFormatting sqref="AG124 R132:R133 AG132:AG133 AG126:AG127 AG129:AG130">
    <cfRule type="cellIs" dxfId="9689" priority="3192" operator="greaterThan">
      <formula>1</formula>
    </cfRule>
    <cfRule type="cellIs" dxfId="9688" priority="3193" operator="lessThan">
      <formula>0.8</formula>
    </cfRule>
  </conditionalFormatting>
  <conditionalFormatting sqref="AH109">
    <cfRule type="cellIs" dxfId="9687" priority="3190" operator="lessThan">
      <formula>0.8</formula>
    </cfRule>
  </conditionalFormatting>
  <conditionalFormatting sqref="R160 AG160">
    <cfRule type="cellIs" dxfId="9686" priority="3185" operator="greaterThan">
      <formula>1</formula>
    </cfRule>
    <cfRule type="cellIs" dxfId="9685" priority="3186" operator="lessThan">
      <formula>0.8</formula>
    </cfRule>
  </conditionalFormatting>
  <conditionalFormatting sqref="R160">
    <cfRule type="cellIs" dxfId="9684" priority="3187" operator="lessThan">
      <formula>0.8</formula>
    </cfRule>
    <cfRule type="cellIs" dxfId="9683" priority="3188" operator="greaterThan">
      <formula>1</formula>
    </cfRule>
  </conditionalFormatting>
  <conditionalFormatting sqref="P160">
    <cfRule type="cellIs" dxfId="9682" priority="3184" operator="greaterThan">
      <formula>0</formula>
    </cfRule>
  </conditionalFormatting>
  <conditionalFormatting sqref="AH148">
    <cfRule type="cellIs" dxfId="9681" priority="3183" operator="lessThan">
      <formula>0.8</formula>
    </cfRule>
  </conditionalFormatting>
  <conditionalFormatting sqref="Q160 AF160">
    <cfRule type="cellIs" dxfId="9680" priority="3189" operator="lessThan">
      <formula>0</formula>
    </cfRule>
  </conditionalFormatting>
  <conditionalFormatting sqref="AF148:AF154">
    <cfRule type="cellIs" dxfId="9679" priority="3182" operator="lessThan">
      <formula>0</formula>
    </cfRule>
  </conditionalFormatting>
  <conditionalFormatting sqref="S148">
    <cfRule type="cellIs" dxfId="9678" priority="3181" operator="lessThan">
      <formula>0.8</formula>
    </cfRule>
  </conditionalFormatting>
  <conditionalFormatting sqref="AG148:AG154">
    <cfRule type="cellIs" dxfId="9677" priority="3179" operator="greaterThan">
      <formula>1</formula>
    </cfRule>
    <cfRule type="cellIs" dxfId="9676" priority="3180" operator="lessThan">
      <formula>0.8</formula>
    </cfRule>
  </conditionalFormatting>
  <conditionalFormatting sqref="S86">
    <cfRule type="cellIs" dxfId="9675" priority="3178" operator="lessThan">
      <formula>0.8</formula>
    </cfRule>
  </conditionalFormatting>
  <conditionalFormatting sqref="S88 AH88">
    <cfRule type="cellIs" dxfId="9674" priority="3173" operator="lessThan">
      <formula>0.8</formula>
    </cfRule>
  </conditionalFormatting>
  <conditionalFormatting sqref="AH86">
    <cfRule type="cellIs" dxfId="9673" priority="3177" operator="lessThan">
      <formula>0.8</formula>
    </cfRule>
  </conditionalFormatting>
  <conditionalFormatting sqref="S87">
    <cfRule type="cellIs" dxfId="9672" priority="3176" operator="lessThan">
      <formula>0.8</formula>
    </cfRule>
  </conditionalFormatting>
  <conditionalFormatting sqref="AH87">
    <cfRule type="cellIs" dxfId="9671" priority="3175" operator="lessThan">
      <formula>0.8</formula>
    </cfRule>
  </conditionalFormatting>
  <conditionalFormatting sqref="S89 AH89">
    <cfRule type="cellIs" dxfId="9670" priority="3174" operator="lessThan">
      <formula>0.8</formula>
    </cfRule>
  </conditionalFormatting>
  <conditionalFormatting sqref="AF31 AF35 AF39">
    <cfRule type="cellIs" dxfId="9669" priority="3172" operator="lessThan">
      <formula>0</formula>
    </cfRule>
  </conditionalFormatting>
  <conditionalFormatting sqref="AH31 S31">
    <cfRule type="cellIs" dxfId="9668" priority="3171" operator="lessThan">
      <formula>0.8</formula>
    </cfRule>
  </conditionalFormatting>
  <conditionalFormatting sqref="AG31 AG35 AG39">
    <cfRule type="cellIs" dxfId="9667" priority="3169" operator="greaterThan">
      <formula>1</formula>
    </cfRule>
    <cfRule type="cellIs" dxfId="9666" priority="3170" operator="lessThan">
      <formula>0.8</formula>
    </cfRule>
  </conditionalFormatting>
  <conditionalFormatting sqref="AF135">
    <cfRule type="cellIs" dxfId="9665" priority="3168" operator="lessThan">
      <formula>0</formula>
    </cfRule>
  </conditionalFormatting>
  <conditionalFormatting sqref="AH135 S135">
    <cfRule type="cellIs" dxfId="9664" priority="3167" operator="lessThan">
      <formula>0.8</formula>
    </cfRule>
  </conditionalFormatting>
  <conditionalFormatting sqref="AG135">
    <cfRule type="cellIs" dxfId="9663" priority="3165" operator="greaterThan">
      <formula>1</formula>
    </cfRule>
    <cfRule type="cellIs" dxfId="9662" priority="3166" operator="lessThan">
      <formula>0.8</formula>
    </cfRule>
  </conditionalFormatting>
  <conditionalFormatting sqref="AF108 Q108">
    <cfRule type="cellIs" dxfId="9661" priority="3164" operator="lessThan">
      <formula>0</formula>
    </cfRule>
  </conditionalFormatting>
  <conditionalFormatting sqref="R108">
    <cfRule type="cellIs" dxfId="9660" priority="3162" operator="lessThan">
      <formula>0.8</formula>
    </cfRule>
    <cfRule type="cellIs" dxfId="9659" priority="3163" operator="greaterThan">
      <formula>1</formula>
    </cfRule>
  </conditionalFormatting>
  <conditionalFormatting sqref="AG108 R108">
    <cfRule type="cellIs" dxfId="9658" priority="3160" operator="greaterThan">
      <formula>1</formula>
    </cfRule>
    <cfRule type="cellIs" dxfId="9657" priority="3161" operator="lessThan">
      <formula>0.8</formula>
    </cfRule>
  </conditionalFormatting>
  <conditionalFormatting sqref="P108">
    <cfRule type="cellIs" dxfId="9656" priority="3159" operator="greaterThan">
      <formula>0</formula>
    </cfRule>
  </conditionalFormatting>
  <conditionalFormatting sqref="AH97">
    <cfRule type="cellIs" dxfId="9655" priority="3154" operator="lessThan">
      <formula>0.8</formula>
    </cfRule>
  </conditionalFormatting>
  <conditionalFormatting sqref="AG96 AG98 AG100 AG102:AG103 AG105:AG106">
    <cfRule type="cellIs" dxfId="9654" priority="3156" operator="greaterThan">
      <formula>1</formula>
    </cfRule>
    <cfRule type="cellIs" dxfId="9653" priority="3157" operator="lessThan">
      <formula>0.8</formula>
    </cfRule>
  </conditionalFormatting>
  <conditionalFormatting sqref="AF96 AF98 AF100 AF102:AF103 AF105:AF106">
    <cfRule type="cellIs" dxfId="9652" priority="3158" operator="lessThan">
      <formula>0</formula>
    </cfRule>
  </conditionalFormatting>
  <conditionalFormatting sqref="AG97 AG99 AG101 AG104">
    <cfRule type="cellIs" dxfId="9651" priority="3152" operator="greaterThan">
      <formula>1</formula>
    </cfRule>
    <cfRule type="cellIs" dxfId="9650" priority="3153" operator="lessThan">
      <formula>0.8</formula>
    </cfRule>
  </conditionalFormatting>
  <conditionalFormatting sqref="AF97 AF99 AF101 AF104">
    <cfRule type="cellIs" dxfId="9649" priority="3155" operator="lessThan">
      <formula>0</formula>
    </cfRule>
  </conditionalFormatting>
  <conditionalFormatting sqref="AF71 AF73 AF75 AF79 AF77">
    <cfRule type="cellIs" dxfId="9648" priority="3149" operator="lessThan">
      <formula>0</formula>
    </cfRule>
  </conditionalFormatting>
  <conditionalFormatting sqref="S71 AH71">
    <cfRule type="cellIs" dxfId="9647" priority="3148" operator="lessThan">
      <formula>0.8</formula>
    </cfRule>
  </conditionalFormatting>
  <conditionalFormatting sqref="AG71 AG73 AG75 AG79 AG77">
    <cfRule type="cellIs" dxfId="9646" priority="3146" operator="greaterThan">
      <formula>1</formula>
    </cfRule>
    <cfRule type="cellIs" dxfId="9645" priority="3147" operator="lessThan">
      <formula>0.8</formula>
    </cfRule>
  </conditionalFormatting>
  <conditionalFormatting sqref="AF72 AF76 AF80">
    <cfRule type="cellIs" dxfId="9644" priority="3145" operator="lessThan">
      <formula>0</formula>
    </cfRule>
  </conditionalFormatting>
  <conditionalFormatting sqref="S72 AH72">
    <cfRule type="cellIs" dxfId="9643" priority="3144" operator="lessThan">
      <formula>0.8</formula>
    </cfRule>
  </conditionalFormatting>
  <conditionalFormatting sqref="S11">
    <cfRule type="cellIs" dxfId="9642" priority="3151" operator="lessThan">
      <formula>0.8</formula>
    </cfRule>
  </conditionalFormatting>
  <conditionalFormatting sqref="S10">
    <cfRule type="cellIs" dxfId="9641" priority="3150" operator="lessThan">
      <formula>0.8</formula>
    </cfRule>
  </conditionalFormatting>
  <conditionalFormatting sqref="AG72 AG76 AG80">
    <cfRule type="cellIs" dxfId="9640" priority="3142" operator="greaterThan">
      <formula>1</formula>
    </cfRule>
    <cfRule type="cellIs" dxfId="9639" priority="3143" operator="lessThan">
      <formula>0.8</formula>
    </cfRule>
  </conditionalFormatting>
  <conditionalFormatting sqref="AF14:AF16 Q15:Q16">
    <cfRule type="cellIs" dxfId="9638" priority="3141" operator="lessThan">
      <formula>0</formula>
    </cfRule>
  </conditionalFormatting>
  <conditionalFormatting sqref="R15:R16">
    <cfRule type="cellIs" dxfId="9637" priority="3139" operator="lessThan">
      <formula>0.8</formula>
    </cfRule>
    <cfRule type="cellIs" dxfId="9636" priority="3140" operator="greaterThan">
      <formula>1</formula>
    </cfRule>
  </conditionalFormatting>
  <conditionalFormatting sqref="R15:R16">
    <cfRule type="cellIs" dxfId="9635" priority="3137" operator="greaterThan">
      <formula>1</formula>
    </cfRule>
    <cfRule type="cellIs" dxfId="9634" priority="3138" operator="lessThan">
      <formula>0.8</formula>
    </cfRule>
  </conditionalFormatting>
  <conditionalFormatting sqref="P15:P16">
    <cfRule type="cellIs" dxfId="9633" priority="3136" operator="greaterThan">
      <formula>0</formula>
    </cfRule>
  </conditionalFormatting>
  <conditionalFormatting sqref="AH98">
    <cfRule type="cellIs" dxfId="9632" priority="3135" operator="lessThan">
      <formula>0.8</formula>
    </cfRule>
  </conditionalFormatting>
  <conditionalFormatting sqref="AF33 AF37">
    <cfRule type="cellIs" dxfId="9631" priority="3134" operator="lessThan">
      <formula>0</formula>
    </cfRule>
  </conditionalFormatting>
  <conditionalFormatting sqref="AG33 AG37">
    <cfRule type="cellIs" dxfId="9630" priority="3132" operator="greaterThan">
      <formula>1</formula>
    </cfRule>
    <cfRule type="cellIs" dxfId="9629" priority="3133" operator="lessThan">
      <formula>0.8</formula>
    </cfRule>
  </conditionalFormatting>
  <conditionalFormatting sqref="P41:P42">
    <cfRule type="cellIs" dxfId="9628" priority="3126" operator="greaterThan">
      <formula>0</formula>
    </cfRule>
  </conditionalFormatting>
  <conditionalFormatting sqref="Q41:Q42 AF34 AF41:AF42 AF38">
    <cfRule type="cellIs" dxfId="9627" priority="3131" operator="lessThan">
      <formula>0</formula>
    </cfRule>
  </conditionalFormatting>
  <conditionalFormatting sqref="R41:R42">
    <cfRule type="cellIs" dxfId="9626" priority="3129" operator="lessThan">
      <formula>0.8</formula>
    </cfRule>
    <cfRule type="cellIs" dxfId="9625" priority="3130" operator="greaterThan">
      <formula>1</formula>
    </cfRule>
  </conditionalFormatting>
  <conditionalFormatting sqref="R41:R42 AG34 AG41:AG42 AG38">
    <cfRule type="cellIs" dxfId="9624" priority="3127" operator="greaterThan">
      <formula>1</formula>
    </cfRule>
    <cfRule type="cellIs" dxfId="9623" priority="3128" operator="lessThan">
      <formula>0.8</formula>
    </cfRule>
  </conditionalFormatting>
  <conditionalFormatting sqref="AF137:AF144">
    <cfRule type="cellIs" dxfId="9622" priority="3125" operator="lessThan">
      <formula>0</formula>
    </cfRule>
  </conditionalFormatting>
  <conditionalFormatting sqref="AH137 S137">
    <cfRule type="cellIs" dxfId="9621" priority="3124" operator="lessThan">
      <formula>0.8</formula>
    </cfRule>
  </conditionalFormatting>
  <conditionalFormatting sqref="AG137:AG144">
    <cfRule type="cellIs" dxfId="9620" priority="3122" operator="greaterThan">
      <formula>1</formula>
    </cfRule>
    <cfRule type="cellIs" dxfId="9619" priority="3123" operator="lessThan">
      <formula>0.8</formula>
    </cfRule>
  </conditionalFormatting>
  <conditionalFormatting sqref="AF55">
    <cfRule type="cellIs" dxfId="9618" priority="3121" operator="lessThan">
      <formula>0</formula>
    </cfRule>
  </conditionalFormatting>
  <conditionalFormatting sqref="AG55">
    <cfRule type="cellIs" dxfId="9617" priority="3119" operator="greaterThan">
      <formula>1</formula>
    </cfRule>
    <cfRule type="cellIs" dxfId="9616" priority="3120" operator="lessThan">
      <formula>0.8</formula>
    </cfRule>
  </conditionalFormatting>
  <conditionalFormatting sqref="AF56 Q56">
    <cfRule type="cellIs" dxfId="9615" priority="3118" operator="lessThan">
      <formula>0</formula>
    </cfRule>
  </conditionalFormatting>
  <conditionalFormatting sqref="R56">
    <cfRule type="cellIs" dxfId="9614" priority="3116" operator="lessThan">
      <formula>0.8</formula>
    </cfRule>
    <cfRule type="cellIs" dxfId="9613" priority="3117" operator="greaterThan">
      <formula>1</formula>
    </cfRule>
  </conditionalFormatting>
  <conditionalFormatting sqref="AG56 R56">
    <cfRule type="cellIs" dxfId="9612" priority="3114" operator="greaterThan">
      <formula>1</formula>
    </cfRule>
    <cfRule type="cellIs" dxfId="9611" priority="3115" operator="lessThan">
      <formula>0.8</formula>
    </cfRule>
  </conditionalFormatting>
  <conditionalFormatting sqref="P56">
    <cfRule type="cellIs" dxfId="9610" priority="3113" operator="greaterThan">
      <formula>0</formula>
    </cfRule>
  </conditionalFormatting>
  <conditionalFormatting sqref="P52:P55">
    <cfRule type="cellIs" dxfId="9609" priority="3107" operator="greaterThan">
      <formula>0</formula>
    </cfRule>
  </conditionalFormatting>
  <conditionalFormatting sqref="Q52:Q55">
    <cfRule type="cellIs" dxfId="9608" priority="3112" operator="lessThan">
      <formula>0</formula>
    </cfRule>
  </conditionalFormatting>
  <conditionalFormatting sqref="R52:R55">
    <cfRule type="cellIs" dxfId="9607" priority="3110" operator="lessThan">
      <formula>0.8</formula>
    </cfRule>
    <cfRule type="cellIs" dxfId="9606" priority="3111" operator="greaterThan">
      <formula>1</formula>
    </cfRule>
  </conditionalFormatting>
  <conditionalFormatting sqref="R52:R55">
    <cfRule type="cellIs" dxfId="9605" priority="3108" operator="greaterThan">
      <formula>1</formula>
    </cfRule>
    <cfRule type="cellIs" dxfId="9604" priority="3109" operator="lessThan">
      <formula>0.8</formula>
    </cfRule>
  </conditionalFormatting>
  <conditionalFormatting sqref="P80:P81">
    <cfRule type="cellIs" dxfId="9603" priority="3101" operator="greaterThan">
      <formula>0</formula>
    </cfRule>
  </conditionalFormatting>
  <conditionalFormatting sqref="AF81 Q80:Q81">
    <cfRule type="cellIs" dxfId="9602" priority="3106" operator="lessThan">
      <formula>0</formula>
    </cfRule>
  </conditionalFormatting>
  <conditionalFormatting sqref="R80:R81">
    <cfRule type="cellIs" dxfId="9601" priority="3104" operator="lessThan">
      <formula>0.8</formula>
    </cfRule>
    <cfRule type="cellIs" dxfId="9600" priority="3105" operator="greaterThan">
      <formula>1</formula>
    </cfRule>
  </conditionalFormatting>
  <conditionalFormatting sqref="AG81 R80:R81">
    <cfRule type="cellIs" dxfId="9599" priority="3102" operator="greaterThan">
      <formula>1</formula>
    </cfRule>
    <cfRule type="cellIs" dxfId="9598" priority="3103" operator="lessThan">
      <formula>0.8</formula>
    </cfRule>
  </conditionalFormatting>
  <conditionalFormatting sqref="AH85">
    <cfRule type="cellIs" dxfId="9597" priority="3100" operator="lessThan">
      <formula>0.8</formula>
    </cfRule>
  </conditionalFormatting>
  <conditionalFormatting sqref="S85">
    <cfRule type="cellIs" dxfId="9596" priority="3099" operator="lessThan">
      <formula>0.8</formula>
    </cfRule>
  </conditionalFormatting>
  <conditionalFormatting sqref="AF107">
    <cfRule type="cellIs" dxfId="9595" priority="3098" operator="lessThan">
      <formula>0</formula>
    </cfRule>
  </conditionalFormatting>
  <conditionalFormatting sqref="AH100:AH107">
    <cfRule type="cellIs" dxfId="9594" priority="3097" operator="lessThan">
      <formula>0.8</formula>
    </cfRule>
  </conditionalFormatting>
  <conditionalFormatting sqref="AG107">
    <cfRule type="cellIs" dxfId="9593" priority="3095" operator="greaterThan">
      <formula>1</formula>
    </cfRule>
    <cfRule type="cellIs" dxfId="9592" priority="3096" operator="lessThan">
      <formula>0.8</formula>
    </cfRule>
  </conditionalFormatting>
  <conditionalFormatting sqref="P106:P107">
    <cfRule type="cellIs" dxfId="9591" priority="3089" operator="greaterThan">
      <formula>0</formula>
    </cfRule>
  </conditionalFormatting>
  <conditionalFormatting sqref="Q106:Q107">
    <cfRule type="cellIs" dxfId="9590" priority="3094" operator="lessThan">
      <formula>0</formula>
    </cfRule>
  </conditionalFormatting>
  <conditionalFormatting sqref="R106:R107">
    <cfRule type="cellIs" dxfId="9589" priority="3092" operator="lessThan">
      <formula>0.8</formula>
    </cfRule>
    <cfRule type="cellIs" dxfId="9588" priority="3093" operator="greaterThan">
      <formula>1</formula>
    </cfRule>
  </conditionalFormatting>
  <conditionalFormatting sqref="R106:R107">
    <cfRule type="cellIs" dxfId="9587" priority="3090" operator="greaterThan">
      <formula>1</formula>
    </cfRule>
    <cfRule type="cellIs" dxfId="9586" priority="3091" operator="lessThan">
      <formula>0.8</formula>
    </cfRule>
  </conditionalFormatting>
  <conditionalFormatting sqref="AF109:AF120">
    <cfRule type="cellIs" dxfId="9585" priority="3088" operator="lessThan">
      <formula>0</formula>
    </cfRule>
  </conditionalFormatting>
  <conditionalFormatting sqref="S109">
    <cfRule type="cellIs" dxfId="9584" priority="3087" operator="lessThan">
      <formula>0.8</formula>
    </cfRule>
  </conditionalFormatting>
  <conditionalFormatting sqref="AG109:AG120">
    <cfRule type="cellIs" dxfId="9583" priority="3085" operator="greaterThan">
      <formula>1</formula>
    </cfRule>
    <cfRule type="cellIs" dxfId="9582" priority="3086" operator="lessThan">
      <formula>0.8</formula>
    </cfRule>
  </conditionalFormatting>
  <conditionalFormatting sqref="S150">
    <cfRule type="cellIs" dxfId="9581" priority="3084" operator="lessThan">
      <formula>0.8</formula>
    </cfRule>
  </conditionalFormatting>
  <conditionalFormatting sqref="AH150">
    <cfRule type="cellIs" dxfId="9580" priority="3083" operator="lessThan">
      <formula>0.8</formula>
    </cfRule>
  </conditionalFormatting>
  <conditionalFormatting sqref="S149">
    <cfRule type="cellIs" dxfId="9579" priority="3082" operator="lessThan">
      <formula>0.8</formula>
    </cfRule>
  </conditionalFormatting>
  <conditionalFormatting sqref="Q26:Q29">
    <cfRule type="cellIs" dxfId="9578" priority="3081" operator="lessThan">
      <formula>0</formula>
    </cfRule>
  </conditionalFormatting>
  <conditionalFormatting sqref="S21:S29 AH21:AH29">
    <cfRule type="cellIs" dxfId="9577" priority="3080" operator="lessThan">
      <formula>0.8</formula>
    </cfRule>
  </conditionalFormatting>
  <conditionalFormatting sqref="R26:R29">
    <cfRule type="cellIs" dxfId="9576" priority="3078" operator="lessThan">
      <formula>0.8</formula>
    </cfRule>
    <cfRule type="cellIs" dxfId="9575" priority="3079" operator="greaterThan">
      <formula>1</formula>
    </cfRule>
  </conditionalFormatting>
  <conditionalFormatting sqref="R26:R29">
    <cfRule type="cellIs" dxfId="9574" priority="3076" operator="greaterThan">
      <formula>1</formula>
    </cfRule>
    <cfRule type="cellIs" dxfId="9573" priority="3077" operator="lessThan">
      <formula>0.8</formula>
    </cfRule>
  </conditionalFormatting>
  <conditionalFormatting sqref="P26:P29">
    <cfRule type="cellIs" dxfId="9572" priority="3075" operator="greaterThan">
      <formula>0</formula>
    </cfRule>
  </conditionalFormatting>
  <conditionalFormatting sqref="AH91 S91">
    <cfRule type="cellIs" dxfId="9571" priority="3074" operator="lessThan">
      <formula>0.8</formula>
    </cfRule>
  </conditionalFormatting>
  <conditionalFormatting sqref="P92:P94">
    <cfRule type="cellIs" dxfId="9570" priority="3068" operator="greaterThan">
      <formula>0</formula>
    </cfRule>
  </conditionalFormatting>
  <conditionalFormatting sqref="Q92:Q94">
    <cfRule type="cellIs" dxfId="9569" priority="3073" operator="lessThan">
      <formula>0</formula>
    </cfRule>
  </conditionalFormatting>
  <conditionalFormatting sqref="R92:R94">
    <cfRule type="cellIs" dxfId="9568" priority="3071" operator="lessThan">
      <formula>0.8</formula>
    </cfRule>
    <cfRule type="cellIs" dxfId="9567" priority="3072" operator="greaterThan">
      <formula>1</formula>
    </cfRule>
  </conditionalFormatting>
  <conditionalFormatting sqref="R92:R94">
    <cfRule type="cellIs" dxfId="9566" priority="3069" operator="greaterThan">
      <formula>1</formula>
    </cfRule>
    <cfRule type="cellIs" dxfId="9565" priority="3070" operator="lessThan">
      <formula>0.8</formula>
    </cfRule>
  </conditionalFormatting>
  <conditionalFormatting sqref="AF146 Q145:Q146">
    <cfRule type="cellIs" dxfId="9564" priority="3067" operator="lessThan">
      <formula>0</formula>
    </cfRule>
  </conditionalFormatting>
  <conditionalFormatting sqref="AH139:AH146 S139:S146">
    <cfRule type="cellIs" dxfId="9563" priority="3066" operator="lessThan">
      <formula>0.8</formula>
    </cfRule>
  </conditionalFormatting>
  <conditionalFormatting sqref="R145:R146">
    <cfRule type="cellIs" dxfId="9562" priority="3064" operator="lessThan">
      <formula>0.8</formula>
    </cfRule>
    <cfRule type="cellIs" dxfId="9561" priority="3065" operator="greaterThan">
      <formula>1</formula>
    </cfRule>
  </conditionalFormatting>
  <conditionalFormatting sqref="AG146 R145:R146">
    <cfRule type="cellIs" dxfId="9560" priority="3062" operator="greaterThan">
      <formula>1</formula>
    </cfRule>
    <cfRule type="cellIs" dxfId="9559" priority="3063" operator="lessThan">
      <formula>0.8</formula>
    </cfRule>
  </conditionalFormatting>
  <conditionalFormatting sqref="P145:P146">
    <cfRule type="cellIs" dxfId="9558" priority="3061" operator="greaterThan">
      <formula>0</formula>
    </cfRule>
  </conditionalFormatting>
  <conditionalFormatting sqref="Q119:Q120">
    <cfRule type="cellIs" dxfId="9557" priority="3060" operator="lessThan">
      <formula>0</formula>
    </cfRule>
  </conditionalFormatting>
  <conditionalFormatting sqref="R119:R120">
    <cfRule type="cellIs" dxfId="9556" priority="3058" operator="lessThan">
      <formula>0.8</formula>
    </cfRule>
    <cfRule type="cellIs" dxfId="9555" priority="3059" operator="greaterThan">
      <formula>1</formula>
    </cfRule>
  </conditionalFormatting>
  <conditionalFormatting sqref="R119:R120">
    <cfRule type="cellIs" dxfId="9554" priority="3056" operator="greaterThan">
      <formula>1</formula>
    </cfRule>
    <cfRule type="cellIs" dxfId="9553" priority="3057" operator="lessThan">
      <formula>0.8</formula>
    </cfRule>
  </conditionalFormatting>
  <conditionalFormatting sqref="P119:P120">
    <cfRule type="cellIs" dxfId="9552" priority="3055" operator="greaterThan">
      <formula>0</formula>
    </cfRule>
  </conditionalFormatting>
  <conditionalFormatting sqref="S44:S56">
    <cfRule type="cellIs" dxfId="9551" priority="3054" operator="lessThan">
      <formula>0.8</formula>
    </cfRule>
  </conditionalFormatting>
  <conditionalFormatting sqref="S108">
    <cfRule type="cellIs" dxfId="9550" priority="3053" operator="lessThan">
      <formula>0.8</formula>
    </cfRule>
  </conditionalFormatting>
  <conditionalFormatting sqref="S96">
    <cfRule type="cellIs" dxfId="9549" priority="3052" operator="lessThan">
      <formula>0.8</formula>
    </cfRule>
  </conditionalFormatting>
  <conditionalFormatting sqref="S97">
    <cfRule type="cellIs" dxfId="9548" priority="3051" operator="lessThan">
      <formula>0.8</formula>
    </cfRule>
  </conditionalFormatting>
  <conditionalFormatting sqref="S103">
    <cfRule type="cellIs" dxfId="9547" priority="3050" operator="lessThan">
      <formula>0.8</formula>
    </cfRule>
  </conditionalFormatting>
  <conditionalFormatting sqref="S99">
    <cfRule type="cellIs" dxfId="9546" priority="3049" operator="lessThan">
      <formula>0.8</formula>
    </cfRule>
  </conditionalFormatting>
  <conditionalFormatting sqref="S101">
    <cfRule type="cellIs" dxfId="9545" priority="3046" operator="lessThan">
      <formula>0.8</formula>
    </cfRule>
  </conditionalFormatting>
  <conditionalFormatting sqref="S100">
    <cfRule type="cellIs" dxfId="9544" priority="3048" operator="lessThan">
      <formula>0.8</formula>
    </cfRule>
  </conditionalFormatting>
  <conditionalFormatting sqref="S102">
    <cfRule type="cellIs" dxfId="9543" priority="3047" operator="lessThan">
      <formula>0.8</formula>
    </cfRule>
  </conditionalFormatting>
  <conditionalFormatting sqref="S98">
    <cfRule type="cellIs" dxfId="9542" priority="3045" operator="lessThan">
      <formula>0.8</formula>
    </cfRule>
  </conditionalFormatting>
  <conditionalFormatting sqref="S104">
    <cfRule type="cellIs" dxfId="9541" priority="3044" operator="lessThan">
      <formula>0.8</formula>
    </cfRule>
  </conditionalFormatting>
  <conditionalFormatting sqref="Q162:Q167">
    <cfRule type="cellIs" dxfId="9540" priority="3043" operator="lessThan">
      <formula>0</formula>
    </cfRule>
  </conditionalFormatting>
  <conditionalFormatting sqref="R162:R167">
    <cfRule type="cellIs" dxfId="9539" priority="3041" operator="lessThan">
      <formula>0.8</formula>
    </cfRule>
    <cfRule type="cellIs" dxfId="9538" priority="3042" operator="greaterThan">
      <formula>1</formula>
    </cfRule>
  </conditionalFormatting>
  <conditionalFormatting sqref="R162:R167">
    <cfRule type="cellIs" dxfId="9537" priority="3039" operator="greaterThan">
      <formula>1</formula>
    </cfRule>
    <cfRule type="cellIs" dxfId="9536" priority="3040" operator="lessThan">
      <formula>0.8</formula>
    </cfRule>
  </conditionalFormatting>
  <conditionalFormatting sqref="P162:P167">
    <cfRule type="cellIs" dxfId="9535" priority="3038" operator="greaterThan">
      <formula>0</formula>
    </cfRule>
  </conditionalFormatting>
  <conditionalFormatting sqref="P168">
    <cfRule type="cellIs" dxfId="9534" priority="3032" operator="greaterThan">
      <formula>0</formula>
    </cfRule>
  </conditionalFormatting>
  <conditionalFormatting sqref="R168">
    <cfRule type="cellIs" dxfId="9533" priority="3035" operator="lessThan">
      <formula>0.8</formula>
    </cfRule>
    <cfRule type="cellIs" dxfId="9532" priority="3036" operator="greaterThan">
      <formula>1</formula>
    </cfRule>
  </conditionalFormatting>
  <conditionalFormatting sqref="R168">
    <cfRule type="cellIs" dxfId="9531" priority="3033" operator="greaterThan">
      <formula>1</formula>
    </cfRule>
    <cfRule type="cellIs" dxfId="9530" priority="3034" operator="lessThan">
      <formula>0.8</formula>
    </cfRule>
  </conditionalFormatting>
  <conditionalFormatting sqref="Q168">
    <cfRule type="cellIs" dxfId="9529" priority="3037" operator="lessThan">
      <formula>0</formula>
    </cfRule>
  </conditionalFormatting>
  <conditionalFormatting sqref="Q83">
    <cfRule type="cellIs" dxfId="9528" priority="3031" operator="lessThan">
      <formula>0</formula>
    </cfRule>
  </conditionalFormatting>
  <conditionalFormatting sqref="R83">
    <cfRule type="cellIs" dxfId="9527" priority="3029" operator="lessThan">
      <formula>0.8</formula>
    </cfRule>
    <cfRule type="cellIs" dxfId="9526" priority="3030" operator="greaterThan">
      <formula>1</formula>
    </cfRule>
  </conditionalFormatting>
  <conditionalFormatting sqref="R83">
    <cfRule type="cellIs" dxfId="9525" priority="3027" operator="greaterThan">
      <formula>1</formula>
    </cfRule>
    <cfRule type="cellIs" dxfId="9524" priority="3028" operator="lessThan">
      <formula>0.8</formula>
    </cfRule>
  </conditionalFormatting>
  <conditionalFormatting sqref="P83">
    <cfRule type="cellIs" dxfId="9523" priority="3026" operator="greaterThan">
      <formula>0</formula>
    </cfRule>
  </conditionalFormatting>
  <conditionalFormatting sqref="Q83">
    <cfRule type="cellIs" dxfId="9522" priority="3025" operator="lessThan">
      <formula>0</formula>
    </cfRule>
  </conditionalFormatting>
  <conditionalFormatting sqref="R83">
    <cfRule type="cellIs" dxfId="9521" priority="3023" operator="lessThan">
      <formula>0.8</formula>
    </cfRule>
    <cfRule type="cellIs" dxfId="9520" priority="3024" operator="greaterThan">
      <formula>1</formula>
    </cfRule>
  </conditionalFormatting>
  <conditionalFormatting sqref="R83">
    <cfRule type="cellIs" dxfId="9519" priority="3021" operator="greaterThan">
      <formula>1</formula>
    </cfRule>
    <cfRule type="cellIs" dxfId="9518" priority="3022" operator="lessThan">
      <formula>0.8</formula>
    </cfRule>
  </conditionalFormatting>
  <conditionalFormatting sqref="P83">
    <cfRule type="cellIs" dxfId="9517" priority="3020" operator="greaterThan">
      <formula>0</formula>
    </cfRule>
  </conditionalFormatting>
  <conditionalFormatting sqref="Q83">
    <cfRule type="cellIs" dxfId="9516" priority="3019" operator="lessThan">
      <formula>0</formula>
    </cfRule>
  </conditionalFormatting>
  <conditionalFormatting sqref="R83">
    <cfRule type="cellIs" dxfId="9515" priority="3017" operator="lessThan">
      <formula>0.8</formula>
    </cfRule>
    <cfRule type="cellIs" dxfId="9514" priority="3018" operator="greaterThan">
      <formula>1</formula>
    </cfRule>
  </conditionalFormatting>
  <conditionalFormatting sqref="R83">
    <cfRule type="cellIs" dxfId="9513" priority="3015" operator="greaterThan">
      <formula>1</formula>
    </cfRule>
    <cfRule type="cellIs" dxfId="9512" priority="3016" operator="lessThan">
      <formula>0.8</formula>
    </cfRule>
  </conditionalFormatting>
  <conditionalFormatting sqref="P83">
    <cfRule type="cellIs" dxfId="9511" priority="3014" operator="greaterThan">
      <formula>0</formula>
    </cfRule>
  </conditionalFormatting>
  <conditionalFormatting sqref="Q83">
    <cfRule type="cellIs" dxfId="9510" priority="3013" operator="lessThan">
      <formula>0</formula>
    </cfRule>
  </conditionalFormatting>
  <conditionalFormatting sqref="R83">
    <cfRule type="cellIs" dxfId="9509" priority="3011" operator="lessThan">
      <formula>0.8</formula>
    </cfRule>
    <cfRule type="cellIs" dxfId="9508" priority="3012" operator="greaterThan">
      <formula>1</formula>
    </cfRule>
  </conditionalFormatting>
  <conditionalFormatting sqref="R83">
    <cfRule type="cellIs" dxfId="9507" priority="3009" operator="greaterThan">
      <formula>1</formula>
    </cfRule>
    <cfRule type="cellIs" dxfId="9506" priority="3010" operator="lessThan">
      <formula>0.8</formula>
    </cfRule>
  </conditionalFormatting>
  <conditionalFormatting sqref="P83">
    <cfRule type="cellIs" dxfId="9505" priority="3008" operator="greaterThan">
      <formula>0</formula>
    </cfRule>
  </conditionalFormatting>
  <conditionalFormatting sqref="P83">
    <cfRule type="cellIs" dxfId="9504" priority="3002" operator="greaterThan">
      <formula>0</formula>
    </cfRule>
  </conditionalFormatting>
  <conditionalFormatting sqref="Q83">
    <cfRule type="cellIs" dxfId="9503" priority="3007" operator="lessThan">
      <formula>0</formula>
    </cfRule>
  </conditionalFormatting>
  <conditionalFormatting sqref="R83">
    <cfRule type="cellIs" dxfId="9502" priority="3005" operator="lessThan">
      <formula>0.8</formula>
    </cfRule>
    <cfRule type="cellIs" dxfId="9501" priority="3006" operator="greaterThan">
      <formula>1</formula>
    </cfRule>
  </conditionalFormatting>
  <conditionalFormatting sqref="R83">
    <cfRule type="cellIs" dxfId="9500" priority="3003" operator="greaterThan">
      <formula>1</formula>
    </cfRule>
    <cfRule type="cellIs" dxfId="9499" priority="3004" operator="lessThan">
      <formula>0.8</formula>
    </cfRule>
  </conditionalFormatting>
  <conditionalFormatting sqref="P83">
    <cfRule type="cellIs" dxfId="9498" priority="2996" operator="greaterThan">
      <formula>0</formula>
    </cfRule>
  </conditionalFormatting>
  <conditionalFormatting sqref="Q83">
    <cfRule type="cellIs" dxfId="9497" priority="3001" operator="lessThan">
      <formula>0</formula>
    </cfRule>
  </conditionalFormatting>
  <conditionalFormatting sqref="R83">
    <cfRule type="cellIs" dxfId="9496" priority="2999" operator="lessThan">
      <formula>0.8</formula>
    </cfRule>
    <cfRule type="cellIs" dxfId="9495" priority="3000" operator="greaterThan">
      <formula>1</formula>
    </cfRule>
  </conditionalFormatting>
  <conditionalFormatting sqref="R83">
    <cfRule type="cellIs" dxfId="9494" priority="2997" operator="greaterThan">
      <formula>1</formula>
    </cfRule>
    <cfRule type="cellIs" dxfId="9493" priority="2998" operator="lessThan">
      <formula>0.8</formula>
    </cfRule>
  </conditionalFormatting>
  <conditionalFormatting sqref="R83">
    <cfRule type="cellIs" dxfId="9492" priority="2993" operator="lessThan">
      <formula>0.8</formula>
    </cfRule>
    <cfRule type="cellIs" dxfId="9491" priority="2994" operator="greaterThan">
      <formula>1</formula>
    </cfRule>
  </conditionalFormatting>
  <conditionalFormatting sqref="R83">
    <cfRule type="cellIs" dxfId="9490" priority="2991" operator="greaterThan">
      <formula>1</formula>
    </cfRule>
    <cfRule type="cellIs" dxfId="9489" priority="2992" operator="lessThan">
      <formula>0.8</formula>
    </cfRule>
  </conditionalFormatting>
  <conditionalFormatting sqref="P83">
    <cfRule type="cellIs" dxfId="9488" priority="2990" operator="greaterThan">
      <formula>0</formula>
    </cfRule>
  </conditionalFormatting>
  <conditionalFormatting sqref="Q83">
    <cfRule type="cellIs" dxfId="9487" priority="2995" operator="lessThan">
      <formula>0</formula>
    </cfRule>
  </conditionalFormatting>
  <conditionalFormatting sqref="Q83">
    <cfRule type="cellIs" dxfId="9486" priority="2989" operator="lessThan">
      <formula>0</formula>
    </cfRule>
  </conditionalFormatting>
  <conditionalFormatting sqref="R83">
    <cfRule type="cellIs" dxfId="9485" priority="2987" operator="lessThan">
      <formula>0.8</formula>
    </cfRule>
    <cfRule type="cellIs" dxfId="9484" priority="2988" operator="greaterThan">
      <formula>1</formula>
    </cfRule>
  </conditionalFormatting>
  <conditionalFormatting sqref="R83">
    <cfRule type="cellIs" dxfId="9483" priority="2985" operator="greaterThan">
      <formula>1</formula>
    </cfRule>
    <cfRule type="cellIs" dxfId="9482" priority="2986" operator="lessThan">
      <formula>0.8</formula>
    </cfRule>
  </conditionalFormatting>
  <conditionalFormatting sqref="P83">
    <cfRule type="cellIs" dxfId="9481" priority="2984" operator="greaterThan">
      <formula>0</formula>
    </cfRule>
  </conditionalFormatting>
  <conditionalFormatting sqref="P83">
    <cfRule type="cellIs" dxfId="9480" priority="2978" operator="greaterThan">
      <formula>0</formula>
    </cfRule>
  </conditionalFormatting>
  <conditionalFormatting sqref="Q83">
    <cfRule type="cellIs" dxfId="9479" priority="2983" operator="lessThan">
      <formula>0</formula>
    </cfRule>
  </conditionalFormatting>
  <conditionalFormatting sqref="R83">
    <cfRule type="cellIs" dxfId="9478" priority="2981" operator="lessThan">
      <formula>0.8</formula>
    </cfRule>
    <cfRule type="cellIs" dxfId="9477" priority="2982" operator="greaterThan">
      <formula>1</formula>
    </cfRule>
  </conditionalFormatting>
  <conditionalFormatting sqref="R83">
    <cfRule type="cellIs" dxfId="9476" priority="2979" operator="greaterThan">
      <formula>1</formula>
    </cfRule>
    <cfRule type="cellIs" dxfId="9475" priority="2980" operator="lessThan">
      <formula>0.8</formula>
    </cfRule>
  </conditionalFormatting>
  <conditionalFormatting sqref="P83">
    <cfRule type="cellIs" dxfId="9474" priority="2972" operator="greaterThan">
      <formula>0</formula>
    </cfRule>
  </conditionalFormatting>
  <conditionalFormatting sqref="Q83">
    <cfRule type="cellIs" dxfId="9473" priority="2977" operator="lessThan">
      <formula>0</formula>
    </cfRule>
  </conditionalFormatting>
  <conditionalFormatting sqref="R83">
    <cfRule type="cellIs" dxfId="9472" priority="2975" operator="lessThan">
      <formula>0.8</formula>
    </cfRule>
    <cfRule type="cellIs" dxfId="9471" priority="2976" operator="greaterThan">
      <formula>1</formula>
    </cfRule>
  </conditionalFormatting>
  <conditionalFormatting sqref="R83">
    <cfRule type="cellIs" dxfId="9470" priority="2973" operator="greaterThan">
      <formula>1</formula>
    </cfRule>
    <cfRule type="cellIs" dxfId="9469" priority="2974" operator="lessThan">
      <formula>0.8</formula>
    </cfRule>
  </conditionalFormatting>
  <conditionalFormatting sqref="R83">
    <cfRule type="cellIs" dxfId="9468" priority="2969" operator="lessThan">
      <formula>0.8</formula>
    </cfRule>
    <cfRule type="cellIs" dxfId="9467" priority="2970" operator="greaterThan">
      <formula>1</formula>
    </cfRule>
  </conditionalFormatting>
  <conditionalFormatting sqref="R83">
    <cfRule type="cellIs" dxfId="9466" priority="2967" operator="greaterThan">
      <formula>1</formula>
    </cfRule>
    <cfRule type="cellIs" dxfId="9465" priority="2968" operator="lessThan">
      <formula>0.8</formula>
    </cfRule>
  </conditionalFormatting>
  <conditionalFormatting sqref="P83">
    <cfRule type="cellIs" dxfId="9464" priority="2966" operator="greaterThan">
      <formula>0</formula>
    </cfRule>
  </conditionalFormatting>
  <conditionalFormatting sqref="Q83">
    <cfRule type="cellIs" dxfId="9463" priority="2971" operator="lessThan">
      <formula>0</formula>
    </cfRule>
  </conditionalFormatting>
  <conditionalFormatting sqref="P83">
    <cfRule type="cellIs" dxfId="9462" priority="2960" operator="greaterThan">
      <formula>0</formula>
    </cfRule>
  </conditionalFormatting>
  <conditionalFormatting sqref="Q83">
    <cfRule type="cellIs" dxfId="9461" priority="2965" operator="lessThan">
      <formula>0</formula>
    </cfRule>
  </conditionalFormatting>
  <conditionalFormatting sqref="R83">
    <cfRule type="cellIs" dxfId="9460" priority="2963" operator="lessThan">
      <formula>0.8</formula>
    </cfRule>
    <cfRule type="cellIs" dxfId="9459" priority="2964" operator="greaterThan">
      <formula>1</formula>
    </cfRule>
  </conditionalFormatting>
  <conditionalFormatting sqref="R83">
    <cfRule type="cellIs" dxfId="9458" priority="2961" operator="greaterThan">
      <formula>1</formula>
    </cfRule>
    <cfRule type="cellIs" dxfId="9457" priority="2962" operator="lessThan">
      <formula>0.8</formula>
    </cfRule>
  </conditionalFormatting>
  <conditionalFormatting sqref="R83">
    <cfRule type="cellIs" dxfId="9456" priority="2957" operator="lessThan">
      <formula>0.8</formula>
    </cfRule>
    <cfRule type="cellIs" dxfId="9455" priority="2958" operator="greaterThan">
      <formula>1</formula>
    </cfRule>
  </conditionalFormatting>
  <conditionalFormatting sqref="R83">
    <cfRule type="cellIs" dxfId="9454" priority="2955" operator="greaterThan">
      <formula>1</formula>
    </cfRule>
    <cfRule type="cellIs" dxfId="9453" priority="2956" operator="lessThan">
      <formula>0.8</formula>
    </cfRule>
  </conditionalFormatting>
  <conditionalFormatting sqref="P83">
    <cfRule type="cellIs" dxfId="9452" priority="2954" operator="greaterThan">
      <formula>0</formula>
    </cfRule>
  </conditionalFormatting>
  <conditionalFormatting sqref="Q83">
    <cfRule type="cellIs" dxfId="9451" priority="2959" operator="lessThan">
      <formula>0</formula>
    </cfRule>
  </conditionalFormatting>
  <conditionalFormatting sqref="R83">
    <cfRule type="cellIs" dxfId="9450" priority="2951" operator="lessThan">
      <formula>0.8</formula>
    </cfRule>
    <cfRule type="cellIs" dxfId="9449" priority="2952" operator="greaterThan">
      <formula>1</formula>
    </cfRule>
  </conditionalFormatting>
  <conditionalFormatting sqref="R83">
    <cfRule type="cellIs" dxfId="9448" priority="2949" operator="greaterThan">
      <formula>1</formula>
    </cfRule>
    <cfRule type="cellIs" dxfId="9447" priority="2950" operator="lessThan">
      <formula>0.8</formula>
    </cfRule>
  </conditionalFormatting>
  <conditionalFormatting sqref="P83">
    <cfRule type="cellIs" dxfId="9446" priority="2948" operator="greaterThan">
      <formula>0</formula>
    </cfRule>
  </conditionalFormatting>
  <conditionalFormatting sqref="Q83">
    <cfRule type="cellIs" dxfId="9445" priority="2953" operator="lessThan">
      <formula>0</formula>
    </cfRule>
  </conditionalFormatting>
  <conditionalFormatting sqref="Q83">
    <cfRule type="cellIs" dxfId="9444" priority="2947" operator="lessThan">
      <formula>0</formula>
    </cfRule>
  </conditionalFormatting>
  <conditionalFormatting sqref="R83">
    <cfRule type="cellIs" dxfId="9443" priority="2945" operator="lessThan">
      <formula>0.8</formula>
    </cfRule>
    <cfRule type="cellIs" dxfId="9442" priority="2946" operator="greaterThan">
      <formula>1</formula>
    </cfRule>
  </conditionalFormatting>
  <conditionalFormatting sqref="R83">
    <cfRule type="cellIs" dxfId="9441" priority="2943" operator="greaterThan">
      <formula>1</formula>
    </cfRule>
    <cfRule type="cellIs" dxfId="9440" priority="2944" operator="lessThan">
      <formula>0.8</formula>
    </cfRule>
  </conditionalFormatting>
  <conditionalFormatting sqref="P83">
    <cfRule type="cellIs" dxfId="9439" priority="2942" operator="greaterThan">
      <formula>0</formula>
    </cfRule>
  </conditionalFormatting>
  <conditionalFormatting sqref="Q83">
    <cfRule type="cellIs" dxfId="9438" priority="2936" operator="lessThan">
      <formula>0</formula>
    </cfRule>
  </conditionalFormatting>
  <conditionalFormatting sqref="R83">
    <cfRule type="cellIs" dxfId="9437" priority="2940" operator="lessThan">
      <formula>0.8</formula>
    </cfRule>
    <cfRule type="cellIs" dxfId="9436" priority="2941" operator="greaterThan">
      <formula>1</formula>
    </cfRule>
  </conditionalFormatting>
  <conditionalFormatting sqref="R83">
    <cfRule type="cellIs" dxfId="9435" priority="2938" operator="greaterThan">
      <formula>1</formula>
    </cfRule>
    <cfRule type="cellIs" dxfId="9434" priority="2939" operator="lessThan">
      <formula>0.8</formula>
    </cfRule>
  </conditionalFormatting>
  <conditionalFormatting sqref="P83">
    <cfRule type="cellIs" dxfId="9433" priority="2937" operator="greaterThan">
      <formula>0</formula>
    </cfRule>
  </conditionalFormatting>
  <conditionalFormatting sqref="Q83">
    <cfRule type="cellIs" dxfId="9432" priority="2935" operator="lessThan">
      <formula>0</formula>
    </cfRule>
  </conditionalFormatting>
  <conditionalFormatting sqref="R83">
    <cfRule type="cellIs" dxfId="9431" priority="2933" operator="lessThan">
      <formula>0.8</formula>
    </cfRule>
    <cfRule type="cellIs" dxfId="9430" priority="2934" operator="greaterThan">
      <formula>1</formula>
    </cfRule>
  </conditionalFormatting>
  <conditionalFormatting sqref="R83">
    <cfRule type="cellIs" dxfId="9429" priority="2931" operator="greaterThan">
      <formula>1</formula>
    </cfRule>
    <cfRule type="cellIs" dxfId="9428" priority="2932" operator="lessThan">
      <formula>0.8</formula>
    </cfRule>
  </conditionalFormatting>
  <conditionalFormatting sqref="P83">
    <cfRule type="cellIs" dxfId="9427" priority="2930" operator="greaterThan">
      <formula>0</formula>
    </cfRule>
  </conditionalFormatting>
  <conditionalFormatting sqref="Q83">
    <cfRule type="cellIs" dxfId="9426" priority="2929" operator="lessThan">
      <formula>0</formula>
    </cfRule>
  </conditionalFormatting>
  <conditionalFormatting sqref="R83">
    <cfRule type="cellIs" dxfId="9425" priority="2927" operator="lessThan">
      <formula>0.8</formula>
    </cfRule>
    <cfRule type="cellIs" dxfId="9424" priority="2928" operator="greaterThan">
      <formula>1</formula>
    </cfRule>
  </conditionalFormatting>
  <conditionalFormatting sqref="R83">
    <cfRule type="cellIs" dxfId="9423" priority="2925" operator="greaterThan">
      <formula>1</formula>
    </cfRule>
    <cfRule type="cellIs" dxfId="9422" priority="2926" operator="lessThan">
      <formula>0.8</formula>
    </cfRule>
  </conditionalFormatting>
  <conditionalFormatting sqref="P83">
    <cfRule type="cellIs" dxfId="9421" priority="2924" operator="greaterThan">
      <formula>0</formula>
    </cfRule>
  </conditionalFormatting>
  <conditionalFormatting sqref="Q83">
    <cfRule type="cellIs" dxfId="9420" priority="2923" operator="lessThan">
      <formula>0</formula>
    </cfRule>
  </conditionalFormatting>
  <conditionalFormatting sqref="R83">
    <cfRule type="cellIs" dxfId="9419" priority="2921" operator="lessThan">
      <formula>0.8</formula>
    </cfRule>
    <cfRule type="cellIs" dxfId="9418" priority="2922" operator="greaterThan">
      <formula>1</formula>
    </cfRule>
  </conditionalFormatting>
  <conditionalFormatting sqref="R83">
    <cfRule type="cellIs" dxfId="9417" priority="2919" operator="greaterThan">
      <formula>1</formula>
    </cfRule>
    <cfRule type="cellIs" dxfId="9416" priority="2920" operator="lessThan">
      <formula>0.8</formula>
    </cfRule>
  </conditionalFormatting>
  <conditionalFormatting sqref="P83">
    <cfRule type="cellIs" dxfId="9415" priority="2918" operator="greaterThan">
      <formula>0</formula>
    </cfRule>
  </conditionalFormatting>
  <conditionalFormatting sqref="Q83">
    <cfRule type="cellIs" dxfId="9414" priority="2917" operator="lessThan">
      <formula>0</formula>
    </cfRule>
  </conditionalFormatting>
  <conditionalFormatting sqref="R83">
    <cfRule type="cellIs" dxfId="9413" priority="2915" operator="lessThan">
      <formula>0.8</formula>
    </cfRule>
    <cfRule type="cellIs" dxfId="9412" priority="2916" operator="greaterThan">
      <formula>1</formula>
    </cfRule>
  </conditionalFormatting>
  <conditionalFormatting sqref="R83">
    <cfRule type="cellIs" dxfId="9411" priority="2913" operator="greaterThan">
      <formula>1</formula>
    </cfRule>
    <cfRule type="cellIs" dxfId="9410" priority="2914" operator="lessThan">
      <formula>0.8</formula>
    </cfRule>
  </conditionalFormatting>
  <conditionalFormatting sqref="P83">
    <cfRule type="cellIs" dxfId="9409" priority="2912" operator="greaterThan">
      <formula>0</formula>
    </cfRule>
  </conditionalFormatting>
  <conditionalFormatting sqref="Q83">
    <cfRule type="cellIs" dxfId="9408" priority="2911" operator="lessThan">
      <formula>0</formula>
    </cfRule>
  </conditionalFormatting>
  <conditionalFormatting sqref="R83">
    <cfRule type="cellIs" dxfId="9407" priority="2909" operator="lessThan">
      <formula>0.8</formula>
    </cfRule>
    <cfRule type="cellIs" dxfId="9406" priority="2910" operator="greaterThan">
      <formula>1</formula>
    </cfRule>
  </conditionalFormatting>
  <conditionalFormatting sqref="R83">
    <cfRule type="cellIs" dxfId="9405" priority="2907" operator="greaterThan">
      <formula>1</formula>
    </cfRule>
    <cfRule type="cellIs" dxfId="9404" priority="2908" operator="lessThan">
      <formula>0.8</formula>
    </cfRule>
  </conditionalFormatting>
  <conditionalFormatting sqref="P83">
    <cfRule type="cellIs" dxfId="9403" priority="2906" operator="greaterThan">
      <formula>0</formula>
    </cfRule>
  </conditionalFormatting>
  <conditionalFormatting sqref="P83">
    <cfRule type="cellIs" dxfId="9402" priority="2900" operator="greaterThan">
      <formula>0</formula>
    </cfRule>
  </conditionalFormatting>
  <conditionalFormatting sqref="Q83">
    <cfRule type="cellIs" dxfId="9401" priority="2905" operator="lessThan">
      <formula>0</formula>
    </cfRule>
  </conditionalFormatting>
  <conditionalFormatting sqref="R83">
    <cfRule type="cellIs" dxfId="9400" priority="2903" operator="lessThan">
      <formula>0.8</formula>
    </cfRule>
    <cfRule type="cellIs" dxfId="9399" priority="2904" operator="greaterThan">
      <formula>1</formula>
    </cfRule>
  </conditionalFormatting>
  <conditionalFormatting sqref="R83">
    <cfRule type="cellIs" dxfId="9398" priority="2901" operator="greaterThan">
      <formula>1</formula>
    </cfRule>
    <cfRule type="cellIs" dxfId="9397" priority="2902" operator="lessThan">
      <formula>0.8</formula>
    </cfRule>
  </conditionalFormatting>
  <conditionalFormatting sqref="P83">
    <cfRule type="cellIs" dxfId="9396" priority="2894" operator="greaterThan">
      <formula>0</formula>
    </cfRule>
  </conditionalFormatting>
  <conditionalFormatting sqref="Q83">
    <cfRule type="cellIs" dxfId="9395" priority="2899" operator="lessThan">
      <formula>0</formula>
    </cfRule>
  </conditionalFormatting>
  <conditionalFormatting sqref="R83">
    <cfRule type="cellIs" dxfId="9394" priority="2897" operator="lessThan">
      <formula>0.8</formula>
    </cfRule>
    <cfRule type="cellIs" dxfId="9393" priority="2898" operator="greaterThan">
      <formula>1</formula>
    </cfRule>
  </conditionalFormatting>
  <conditionalFormatting sqref="R83">
    <cfRule type="cellIs" dxfId="9392" priority="2895" operator="greaterThan">
      <formula>1</formula>
    </cfRule>
    <cfRule type="cellIs" dxfId="9391" priority="2896" operator="lessThan">
      <formula>0.8</formula>
    </cfRule>
  </conditionalFormatting>
  <conditionalFormatting sqref="R83">
    <cfRule type="cellIs" dxfId="9390" priority="2891" operator="lessThan">
      <formula>0.8</formula>
    </cfRule>
    <cfRule type="cellIs" dxfId="9389" priority="2892" operator="greaterThan">
      <formula>1</formula>
    </cfRule>
  </conditionalFormatting>
  <conditionalFormatting sqref="R83">
    <cfRule type="cellIs" dxfId="9388" priority="2889" operator="greaterThan">
      <formula>1</formula>
    </cfRule>
    <cfRule type="cellIs" dxfId="9387" priority="2890" operator="lessThan">
      <formula>0.8</formula>
    </cfRule>
  </conditionalFormatting>
  <conditionalFormatting sqref="P83">
    <cfRule type="cellIs" dxfId="9386" priority="2888" operator="greaterThan">
      <formula>0</formula>
    </cfRule>
  </conditionalFormatting>
  <conditionalFormatting sqref="Q83">
    <cfRule type="cellIs" dxfId="9385" priority="2893" operator="lessThan">
      <formula>0</formula>
    </cfRule>
  </conditionalFormatting>
  <conditionalFormatting sqref="Q83">
    <cfRule type="cellIs" dxfId="9384" priority="2887" operator="lessThan">
      <formula>0</formula>
    </cfRule>
  </conditionalFormatting>
  <conditionalFormatting sqref="R83">
    <cfRule type="cellIs" dxfId="9383" priority="2885" operator="lessThan">
      <formula>0.8</formula>
    </cfRule>
    <cfRule type="cellIs" dxfId="9382" priority="2886" operator="greaterThan">
      <formula>1</formula>
    </cfRule>
  </conditionalFormatting>
  <conditionalFormatting sqref="R83">
    <cfRule type="cellIs" dxfId="9381" priority="2883" operator="greaterThan">
      <formula>1</formula>
    </cfRule>
    <cfRule type="cellIs" dxfId="9380" priority="2884" operator="lessThan">
      <formula>0.8</formula>
    </cfRule>
  </conditionalFormatting>
  <conditionalFormatting sqref="P83">
    <cfRule type="cellIs" dxfId="9379" priority="2882" operator="greaterThan">
      <formula>0</formula>
    </cfRule>
  </conditionalFormatting>
  <conditionalFormatting sqref="Q83">
    <cfRule type="cellIs" dxfId="9378" priority="2881" operator="lessThan">
      <formula>0</formula>
    </cfRule>
  </conditionalFormatting>
  <conditionalFormatting sqref="R83">
    <cfRule type="cellIs" dxfId="9377" priority="2879" operator="lessThan">
      <formula>0.8</formula>
    </cfRule>
    <cfRule type="cellIs" dxfId="9376" priority="2880" operator="greaterThan">
      <formula>1</formula>
    </cfRule>
  </conditionalFormatting>
  <conditionalFormatting sqref="R83">
    <cfRule type="cellIs" dxfId="9375" priority="2877" operator="greaterThan">
      <formula>1</formula>
    </cfRule>
    <cfRule type="cellIs" dxfId="9374" priority="2878" operator="lessThan">
      <formula>0.8</formula>
    </cfRule>
  </conditionalFormatting>
  <conditionalFormatting sqref="P83">
    <cfRule type="cellIs" dxfId="9373" priority="2876" operator="greaterThan">
      <formula>0</formula>
    </cfRule>
  </conditionalFormatting>
  <conditionalFormatting sqref="Q83">
    <cfRule type="cellIs" dxfId="9372" priority="2875" operator="lessThan">
      <formula>0</formula>
    </cfRule>
  </conditionalFormatting>
  <conditionalFormatting sqref="R83">
    <cfRule type="cellIs" dxfId="9371" priority="2873" operator="lessThan">
      <formula>0.8</formula>
    </cfRule>
    <cfRule type="cellIs" dxfId="9370" priority="2874" operator="greaterThan">
      <formula>1</formula>
    </cfRule>
  </conditionalFormatting>
  <conditionalFormatting sqref="R83">
    <cfRule type="cellIs" dxfId="9369" priority="2871" operator="greaterThan">
      <formula>1</formula>
    </cfRule>
    <cfRule type="cellIs" dxfId="9368" priority="2872" operator="lessThan">
      <formula>0.8</formula>
    </cfRule>
  </conditionalFormatting>
  <conditionalFormatting sqref="P83">
    <cfRule type="cellIs" dxfId="9367" priority="2870" operator="greaterThan">
      <formula>0</formula>
    </cfRule>
  </conditionalFormatting>
  <conditionalFormatting sqref="Q83">
    <cfRule type="cellIs" dxfId="9366" priority="2869" operator="lessThan">
      <formula>0</formula>
    </cfRule>
  </conditionalFormatting>
  <conditionalFormatting sqref="R83">
    <cfRule type="cellIs" dxfId="9365" priority="2867" operator="lessThan">
      <formula>0.8</formula>
    </cfRule>
    <cfRule type="cellIs" dxfId="9364" priority="2868" operator="greaterThan">
      <formula>1</formula>
    </cfRule>
  </conditionalFormatting>
  <conditionalFormatting sqref="R83">
    <cfRule type="cellIs" dxfId="9363" priority="2865" operator="greaterThan">
      <formula>1</formula>
    </cfRule>
    <cfRule type="cellIs" dxfId="9362" priority="2866" operator="lessThan">
      <formula>0.8</formula>
    </cfRule>
  </conditionalFormatting>
  <conditionalFormatting sqref="P83">
    <cfRule type="cellIs" dxfId="9361" priority="2864" operator="greaterThan">
      <formula>0</formula>
    </cfRule>
  </conditionalFormatting>
  <conditionalFormatting sqref="P83">
    <cfRule type="cellIs" dxfId="9360" priority="2858" operator="greaterThan">
      <formula>0</formula>
    </cfRule>
  </conditionalFormatting>
  <conditionalFormatting sqref="Q83">
    <cfRule type="cellIs" dxfId="9359" priority="2863" operator="lessThan">
      <formula>0</formula>
    </cfRule>
  </conditionalFormatting>
  <conditionalFormatting sqref="R83">
    <cfRule type="cellIs" dxfId="9358" priority="2861" operator="lessThan">
      <formula>0.8</formula>
    </cfRule>
    <cfRule type="cellIs" dxfId="9357" priority="2862" operator="greaterThan">
      <formula>1</formula>
    </cfRule>
  </conditionalFormatting>
  <conditionalFormatting sqref="R83">
    <cfRule type="cellIs" dxfId="9356" priority="2859" operator="greaterThan">
      <formula>1</formula>
    </cfRule>
    <cfRule type="cellIs" dxfId="9355" priority="2860" operator="lessThan">
      <formula>0.8</formula>
    </cfRule>
  </conditionalFormatting>
  <conditionalFormatting sqref="P83">
    <cfRule type="cellIs" dxfId="9354" priority="2852" operator="greaterThan">
      <formula>0</formula>
    </cfRule>
  </conditionalFormatting>
  <conditionalFormatting sqref="Q83">
    <cfRule type="cellIs" dxfId="9353" priority="2857" operator="lessThan">
      <formula>0</formula>
    </cfRule>
  </conditionalFormatting>
  <conditionalFormatting sqref="R83">
    <cfRule type="cellIs" dxfId="9352" priority="2855" operator="lessThan">
      <formula>0.8</formula>
    </cfRule>
    <cfRule type="cellIs" dxfId="9351" priority="2856" operator="greaterThan">
      <formula>1</formula>
    </cfRule>
  </conditionalFormatting>
  <conditionalFormatting sqref="R83">
    <cfRule type="cellIs" dxfId="9350" priority="2853" operator="greaterThan">
      <formula>1</formula>
    </cfRule>
    <cfRule type="cellIs" dxfId="9349" priority="2854" operator="lessThan">
      <formula>0.8</formula>
    </cfRule>
  </conditionalFormatting>
  <conditionalFormatting sqref="R83">
    <cfRule type="cellIs" dxfId="9348" priority="2849" operator="lessThan">
      <formula>0.8</formula>
    </cfRule>
    <cfRule type="cellIs" dxfId="9347" priority="2850" operator="greaterThan">
      <formula>1</formula>
    </cfRule>
  </conditionalFormatting>
  <conditionalFormatting sqref="R83">
    <cfRule type="cellIs" dxfId="9346" priority="2847" operator="greaterThan">
      <formula>1</formula>
    </cfRule>
    <cfRule type="cellIs" dxfId="9345" priority="2848" operator="lessThan">
      <formula>0.8</formula>
    </cfRule>
  </conditionalFormatting>
  <conditionalFormatting sqref="P83">
    <cfRule type="cellIs" dxfId="9344" priority="2846" operator="greaterThan">
      <formula>0</formula>
    </cfRule>
  </conditionalFormatting>
  <conditionalFormatting sqref="Q83">
    <cfRule type="cellIs" dxfId="9343" priority="2851" operator="lessThan">
      <formula>0</formula>
    </cfRule>
  </conditionalFormatting>
  <conditionalFormatting sqref="Q83">
    <cfRule type="cellIs" dxfId="9342" priority="2845" operator="lessThan">
      <formula>0</formula>
    </cfRule>
  </conditionalFormatting>
  <conditionalFormatting sqref="R83">
    <cfRule type="cellIs" dxfId="9341" priority="2843" operator="lessThan">
      <formula>0.8</formula>
    </cfRule>
    <cfRule type="cellIs" dxfId="9340" priority="2844" operator="greaterThan">
      <formula>1</formula>
    </cfRule>
  </conditionalFormatting>
  <conditionalFormatting sqref="R83">
    <cfRule type="cellIs" dxfId="9339" priority="2841" operator="greaterThan">
      <formula>1</formula>
    </cfRule>
    <cfRule type="cellIs" dxfId="9338" priority="2842" operator="lessThan">
      <formula>0.8</formula>
    </cfRule>
  </conditionalFormatting>
  <conditionalFormatting sqref="P83">
    <cfRule type="cellIs" dxfId="9337" priority="2840" operator="greaterThan">
      <formula>0</formula>
    </cfRule>
  </conditionalFormatting>
  <conditionalFormatting sqref="P83">
    <cfRule type="cellIs" dxfId="9336" priority="2834" operator="greaterThan">
      <formula>0</formula>
    </cfRule>
  </conditionalFormatting>
  <conditionalFormatting sqref="Q83">
    <cfRule type="cellIs" dxfId="9335" priority="2839" operator="lessThan">
      <formula>0</formula>
    </cfRule>
  </conditionalFormatting>
  <conditionalFormatting sqref="R83">
    <cfRule type="cellIs" dxfId="9334" priority="2837" operator="lessThan">
      <formula>0.8</formula>
    </cfRule>
    <cfRule type="cellIs" dxfId="9333" priority="2838" operator="greaterThan">
      <formula>1</formula>
    </cfRule>
  </conditionalFormatting>
  <conditionalFormatting sqref="R83">
    <cfRule type="cellIs" dxfId="9332" priority="2835" operator="greaterThan">
      <formula>1</formula>
    </cfRule>
    <cfRule type="cellIs" dxfId="9331" priority="2836" operator="lessThan">
      <formula>0.8</formula>
    </cfRule>
  </conditionalFormatting>
  <conditionalFormatting sqref="P83">
    <cfRule type="cellIs" dxfId="9330" priority="2828" operator="greaterThan">
      <formula>0</formula>
    </cfRule>
  </conditionalFormatting>
  <conditionalFormatting sqref="Q83">
    <cfRule type="cellIs" dxfId="9329" priority="2833" operator="lessThan">
      <formula>0</formula>
    </cfRule>
  </conditionalFormatting>
  <conditionalFormatting sqref="R83">
    <cfRule type="cellIs" dxfId="9328" priority="2831" operator="lessThan">
      <formula>0.8</formula>
    </cfRule>
    <cfRule type="cellIs" dxfId="9327" priority="2832" operator="greaterThan">
      <formula>1</formula>
    </cfRule>
  </conditionalFormatting>
  <conditionalFormatting sqref="R83">
    <cfRule type="cellIs" dxfId="9326" priority="2829" operator="greaterThan">
      <formula>1</formula>
    </cfRule>
    <cfRule type="cellIs" dxfId="9325" priority="2830" operator="lessThan">
      <formula>0.8</formula>
    </cfRule>
  </conditionalFormatting>
  <conditionalFormatting sqref="R83">
    <cfRule type="cellIs" dxfId="9324" priority="2825" operator="lessThan">
      <formula>0.8</formula>
    </cfRule>
    <cfRule type="cellIs" dxfId="9323" priority="2826" operator="greaterThan">
      <formula>1</formula>
    </cfRule>
  </conditionalFormatting>
  <conditionalFormatting sqref="R83">
    <cfRule type="cellIs" dxfId="9322" priority="2823" operator="greaterThan">
      <formula>1</formula>
    </cfRule>
    <cfRule type="cellIs" dxfId="9321" priority="2824" operator="lessThan">
      <formula>0.8</formula>
    </cfRule>
  </conditionalFormatting>
  <conditionalFormatting sqref="P83">
    <cfRule type="cellIs" dxfId="9320" priority="2822" operator="greaterThan">
      <formula>0</formula>
    </cfRule>
  </conditionalFormatting>
  <conditionalFormatting sqref="Q83">
    <cfRule type="cellIs" dxfId="9319" priority="2827" operator="lessThan">
      <formula>0</formula>
    </cfRule>
  </conditionalFormatting>
  <conditionalFormatting sqref="P83">
    <cfRule type="cellIs" dxfId="9318" priority="2816" operator="greaterThan">
      <formula>0</formula>
    </cfRule>
  </conditionalFormatting>
  <conditionalFormatting sqref="Q83">
    <cfRule type="cellIs" dxfId="9317" priority="2821" operator="lessThan">
      <formula>0</formula>
    </cfRule>
  </conditionalFormatting>
  <conditionalFormatting sqref="R83">
    <cfRule type="cellIs" dxfId="9316" priority="2819" operator="lessThan">
      <formula>0.8</formula>
    </cfRule>
    <cfRule type="cellIs" dxfId="9315" priority="2820" operator="greaterThan">
      <formula>1</formula>
    </cfRule>
  </conditionalFormatting>
  <conditionalFormatting sqref="R83">
    <cfRule type="cellIs" dxfId="9314" priority="2817" operator="greaterThan">
      <formula>1</formula>
    </cfRule>
    <cfRule type="cellIs" dxfId="9313" priority="2818" operator="lessThan">
      <formula>0.8</formula>
    </cfRule>
  </conditionalFormatting>
  <conditionalFormatting sqref="R83">
    <cfRule type="cellIs" dxfId="9312" priority="2813" operator="lessThan">
      <formula>0.8</formula>
    </cfRule>
    <cfRule type="cellIs" dxfId="9311" priority="2814" operator="greaterThan">
      <formula>1</formula>
    </cfRule>
  </conditionalFormatting>
  <conditionalFormatting sqref="R83">
    <cfRule type="cellIs" dxfId="9310" priority="2811" operator="greaterThan">
      <formula>1</formula>
    </cfRule>
    <cfRule type="cellIs" dxfId="9309" priority="2812" operator="lessThan">
      <formula>0.8</formula>
    </cfRule>
  </conditionalFormatting>
  <conditionalFormatting sqref="P83">
    <cfRule type="cellIs" dxfId="9308" priority="2810" operator="greaterThan">
      <formula>0</formula>
    </cfRule>
  </conditionalFormatting>
  <conditionalFormatting sqref="Q83">
    <cfRule type="cellIs" dxfId="9307" priority="2815" operator="lessThan">
      <formula>0</formula>
    </cfRule>
  </conditionalFormatting>
  <conditionalFormatting sqref="R83">
    <cfRule type="cellIs" dxfId="9306" priority="2807" operator="lessThan">
      <formula>0.8</formula>
    </cfRule>
    <cfRule type="cellIs" dxfId="9305" priority="2808" operator="greaterThan">
      <formula>1</formula>
    </cfRule>
  </conditionalFormatting>
  <conditionalFormatting sqref="R83">
    <cfRule type="cellIs" dxfId="9304" priority="2805" operator="greaterThan">
      <formula>1</formula>
    </cfRule>
    <cfRule type="cellIs" dxfId="9303" priority="2806" operator="lessThan">
      <formula>0.8</formula>
    </cfRule>
  </conditionalFormatting>
  <conditionalFormatting sqref="P83">
    <cfRule type="cellIs" dxfId="9302" priority="2804" operator="greaterThan">
      <formula>0</formula>
    </cfRule>
  </conditionalFormatting>
  <conditionalFormatting sqref="Q83">
    <cfRule type="cellIs" dxfId="9301" priority="2809" operator="lessThan">
      <formula>0</formula>
    </cfRule>
  </conditionalFormatting>
  <conditionalFormatting sqref="Q83">
    <cfRule type="cellIs" dxfId="9300" priority="2803" operator="lessThan">
      <formula>0</formula>
    </cfRule>
  </conditionalFormatting>
  <conditionalFormatting sqref="R83">
    <cfRule type="cellIs" dxfId="9299" priority="2801" operator="lessThan">
      <formula>0.8</formula>
    </cfRule>
    <cfRule type="cellIs" dxfId="9298" priority="2802" operator="greaterThan">
      <formula>1</formula>
    </cfRule>
  </conditionalFormatting>
  <conditionalFormatting sqref="R83">
    <cfRule type="cellIs" dxfId="9297" priority="2799" operator="greaterThan">
      <formula>1</formula>
    </cfRule>
    <cfRule type="cellIs" dxfId="9296" priority="2800" operator="lessThan">
      <formula>0.8</formula>
    </cfRule>
  </conditionalFormatting>
  <conditionalFormatting sqref="P83">
    <cfRule type="cellIs" dxfId="9295" priority="2798" operator="greaterThan">
      <formula>0</formula>
    </cfRule>
  </conditionalFormatting>
  <conditionalFormatting sqref="Q83">
    <cfRule type="cellIs" dxfId="9294" priority="2792" operator="lessThan">
      <formula>0</formula>
    </cfRule>
  </conditionalFormatting>
  <conditionalFormatting sqref="R83">
    <cfRule type="cellIs" dxfId="9293" priority="2796" operator="lessThan">
      <formula>0.8</formula>
    </cfRule>
    <cfRule type="cellIs" dxfId="9292" priority="2797" operator="greaterThan">
      <formula>1</formula>
    </cfRule>
  </conditionalFormatting>
  <conditionalFormatting sqref="R83">
    <cfRule type="cellIs" dxfId="9291" priority="2794" operator="greaterThan">
      <formula>1</formula>
    </cfRule>
    <cfRule type="cellIs" dxfId="9290" priority="2795" operator="lessThan">
      <formula>0.8</formula>
    </cfRule>
  </conditionalFormatting>
  <conditionalFormatting sqref="P83">
    <cfRule type="cellIs" dxfId="9289" priority="2793" operator="greaterThan">
      <formula>0</formula>
    </cfRule>
  </conditionalFormatting>
  <conditionalFormatting sqref="Q83">
    <cfRule type="cellIs" dxfId="9288" priority="2791" operator="lessThan">
      <formula>0</formula>
    </cfRule>
  </conditionalFormatting>
  <conditionalFormatting sqref="R83">
    <cfRule type="cellIs" dxfId="9287" priority="2789" operator="lessThan">
      <formula>0.8</formula>
    </cfRule>
    <cfRule type="cellIs" dxfId="9286" priority="2790" operator="greaterThan">
      <formula>1</formula>
    </cfRule>
  </conditionalFormatting>
  <conditionalFormatting sqref="R83">
    <cfRule type="cellIs" dxfId="9285" priority="2787" operator="greaterThan">
      <formula>1</formula>
    </cfRule>
    <cfRule type="cellIs" dxfId="9284" priority="2788" operator="lessThan">
      <formula>0.8</formula>
    </cfRule>
  </conditionalFormatting>
  <conditionalFormatting sqref="P83">
    <cfRule type="cellIs" dxfId="9283" priority="2786" operator="greaterThan">
      <formula>0</formula>
    </cfRule>
  </conditionalFormatting>
  <conditionalFormatting sqref="Q83">
    <cfRule type="cellIs" dxfId="9282" priority="2785" operator="lessThan">
      <formula>0</formula>
    </cfRule>
  </conditionalFormatting>
  <conditionalFormatting sqref="R83">
    <cfRule type="cellIs" dxfId="9281" priority="2783" operator="lessThan">
      <formula>0.8</formula>
    </cfRule>
    <cfRule type="cellIs" dxfId="9280" priority="2784" operator="greaterThan">
      <formula>1</formula>
    </cfRule>
  </conditionalFormatting>
  <conditionalFormatting sqref="R83">
    <cfRule type="cellIs" dxfId="9279" priority="2781" operator="greaterThan">
      <formula>1</formula>
    </cfRule>
    <cfRule type="cellIs" dxfId="9278" priority="2782" operator="lessThan">
      <formula>0.8</formula>
    </cfRule>
  </conditionalFormatting>
  <conditionalFormatting sqref="P83">
    <cfRule type="cellIs" dxfId="9277" priority="2780" operator="greaterThan">
      <formula>0</formula>
    </cfRule>
  </conditionalFormatting>
  <conditionalFormatting sqref="Q83">
    <cfRule type="cellIs" dxfId="9276" priority="2779" operator="lessThan">
      <formula>0</formula>
    </cfRule>
  </conditionalFormatting>
  <conditionalFormatting sqref="R83">
    <cfRule type="cellIs" dxfId="9275" priority="2777" operator="lessThan">
      <formula>0.8</formula>
    </cfRule>
    <cfRule type="cellIs" dxfId="9274" priority="2778" operator="greaterThan">
      <formula>1</formula>
    </cfRule>
  </conditionalFormatting>
  <conditionalFormatting sqref="R83">
    <cfRule type="cellIs" dxfId="9273" priority="2775" operator="greaterThan">
      <formula>1</formula>
    </cfRule>
    <cfRule type="cellIs" dxfId="9272" priority="2776" operator="lessThan">
      <formula>0.8</formula>
    </cfRule>
  </conditionalFormatting>
  <conditionalFormatting sqref="P83">
    <cfRule type="cellIs" dxfId="9271" priority="2774" operator="greaterThan">
      <formula>0</formula>
    </cfRule>
  </conditionalFormatting>
  <conditionalFormatting sqref="Q83">
    <cfRule type="cellIs" dxfId="9270" priority="2773" operator="lessThan">
      <formula>0</formula>
    </cfRule>
  </conditionalFormatting>
  <conditionalFormatting sqref="R83">
    <cfRule type="cellIs" dxfId="9269" priority="2771" operator="lessThan">
      <formula>0.8</formula>
    </cfRule>
    <cfRule type="cellIs" dxfId="9268" priority="2772" operator="greaterThan">
      <formula>1</formula>
    </cfRule>
  </conditionalFormatting>
  <conditionalFormatting sqref="R83">
    <cfRule type="cellIs" dxfId="9267" priority="2769" operator="greaterThan">
      <formula>1</formula>
    </cfRule>
    <cfRule type="cellIs" dxfId="9266" priority="2770" operator="lessThan">
      <formula>0.8</formula>
    </cfRule>
  </conditionalFormatting>
  <conditionalFormatting sqref="P83">
    <cfRule type="cellIs" dxfId="9265" priority="2768" operator="greaterThan">
      <formula>0</formula>
    </cfRule>
  </conditionalFormatting>
  <conditionalFormatting sqref="Q83">
    <cfRule type="cellIs" dxfId="9264" priority="2767" operator="lessThan">
      <formula>0</formula>
    </cfRule>
  </conditionalFormatting>
  <conditionalFormatting sqref="R83">
    <cfRule type="cellIs" dxfId="9263" priority="2765" operator="lessThan">
      <formula>0.8</formula>
    </cfRule>
    <cfRule type="cellIs" dxfId="9262" priority="2766" operator="greaterThan">
      <formula>1</formula>
    </cfRule>
  </conditionalFormatting>
  <conditionalFormatting sqref="R83">
    <cfRule type="cellIs" dxfId="9261" priority="2763" operator="greaterThan">
      <formula>1</formula>
    </cfRule>
    <cfRule type="cellIs" dxfId="9260" priority="2764" operator="lessThan">
      <formula>0.8</formula>
    </cfRule>
  </conditionalFormatting>
  <conditionalFormatting sqref="P83">
    <cfRule type="cellIs" dxfId="9259" priority="2762" operator="greaterThan">
      <formula>0</formula>
    </cfRule>
  </conditionalFormatting>
  <conditionalFormatting sqref="P83">
    <cfRule type="cellIs" dxfId="9258" priority="2756" operator="greaterThan">
      <formula>0</formula>
    </cfRule>
  </conditionalFormatting>
  <conditionalFormatting sqref="Q83">
    <cfRule type="cellIs" dxfId="9257" priority="2761" operator="lessThan">
      <formula>0</formula>
    </cfRule>
  </conditionalFormatting>
  <conditionalFormatting sqref="R83">
    <cfRule type="cellIs" dxfId="9256" priority="2759" operator="lessThan">
      <formula>0.8</formula>
    </cfRule>
    <cfRule type="cellIs" dxfId="9255" priority="2760" operator="greaterThan">
      <formula>1</formula>
    </cfRule>
  </conditionalFormatting>
  <conditionalFormatting sqref="R83">
    <cfRule type="cellIs" dxfId="9254" priority="2757" operator="greaterThan">
      <formula>1</formula>
    </cfRule>
    <cfRule type="cellIs" dxfId="9253" priority="2758" operator="lessThan">
      <formula>0.8</formula>
    </cfRule>
  </conditionalFormatting>
  <conditionalFormatting sqref="P83">
    <cfRule type="cellIs" dxfId="9252" priority="2750" operator="greaterThan">
      <formula>0</formula>
    </cfRule>
  </conditionalFormatting>
  <conditionalFormatting sqref="Q83">
    <cfRule type="cellIs" dxfId="9251" priority="2755" operator="lessThan">
      <formula>0</formula>
    </cfRule>
  </conditionalFormatting>
  <conditionalFormatting sqref="R83">
    <cfRule type="cellIs" dxfId="9250" priority="2753" operator="lessThan">
      <formula>0.8</formula>
    </cfRule>
    <cfRule type="cellIs" dxfId="9249" priority="2754" operator="greaterThan">
      <formula>1</formula>
    </cfRule>
  </conditionalFormatting>
  <conditionalFormatting sqref="R83">
    <cfRule type="cellIs" dxfId="9248" priority="2751" operator="greaterThan">
      <formula>1</formula>
    </cfRule>
    <cfRule type="cellIs" dxfId="9247" priority="2752" operator="lessThan">
      <formula>0.8</formula>
    </cfRule>
  </conditionalFormatting>
  <conditionalFormatting sqref="R83">
    <cfRule type="cellIs" dxfId="9246" priority="2747" operator="lessThan">
      <formula>0.8</formula>
    </cfRule>
    <cfRule type="cellIs" dxfId="9245" priority="2748" operator="greaterThan">
      <formula>1</formula>
    </cfRule>
  </conditionalFormatting>
  <conditionalFormatting sqref="R83">
    <cfRule type="cellIs" dxfId="9244" priority="2745" operator="greaterThan">
      <formula>1</formula>
    </cfRule>
    <cfRule type="cellIs" dxfId="9243" priority="2746" operator="lessThan">
      <formula>0.8</formula>
    </cfRule>
  </conditionalFormatting>
  <conditionalFormatting sqref="P83">
    <cfRule type="cellIs" dxfId="9242" priority="2744" operator="greaterThan">
      <formula>0</formula>
    </cfRule>
  </conditionalFormatting>
  <conditionalFormatting sqref="Q83">
    <cfRule type="cellIs" dxfId="9241" priority="2749" operator="lessThan">
      <formula>0</formula>
    </cfRule>
  </conditionalFormatting>
  <conditionalFormatting sqref="Q83">
    <cfRule type="cellIs" dxfId="9240" priority="2738" operator="lessThan">
      <formula>0</formula>
    </cfRule>
  </conditionalFormatting>
  <conditionalFormatting sqref="P83">
    <cfRule type="cellIs" dxfId="9239" priority="2739" operator="greaterThan">
      <formula>0</formula>
    </cfRule>
  </conditionalFormatting>
  <conditionalFormatting sqref="R83">
    <cfRule type="cellIs" dxfId="9238" priority="2742" operator="lessThan">
      <formula>0.8</formula>
    </cfRule>
    <cfRule type="cellIs" dxfId="9237" priority="2743" operator="greaterThan">
      <formula>1</formula>
    </cfRule>
  </conditionalFormatting>
  <conditionalFormatting sqref="R83">
    <cfRule type="cellIs" dxfId="9236" priority="2740" operator="greaterThan">
      <formula>1</formula>
    </cfRule>
    <cfRule type="cellIs" dxfId="9235" priority="2741" operator="lessThan">
      <formula>0.8</formula>
    </cfRule>
  </conditionalFormatting>
  <conditionalFormatting sqref="Q83">
    <cfRule type="cellIs" dxfId="9234" priority="2732" operator="lessThan">
      <formula>0</formula>
    </cfRule>
  </conditionalFormatting>
  <conditionalFormatting sqref="R83">
    <cfRule type="cellIs" dxfId="9233" priority="2736" operator="lessThan">
      <formula>0.8</formula>
    </cfRule>
    <cfRule type="cellIs" dxfId="9232" priority="2737" operator="greaterThan">
      <formula>1</formula>
    </cfRule>
  </conditionalFormatting>
  <conditionalFormatting sqref="R83">
    <cfRule type="cellIs" dxfId="9231" priority="2734" operator="greaterThan">
      <formula>1</formula>
    </cfRule>
    <cfRule type="cellIs" dxfId="9230" priority="2735" operator="lessThan">
      <formula>0.8</formula>
    </cfRule>
  </conditionalFormatting>
  <conditionalFormatting sqref="P83">
    <cfRule type="cellIs" dxfId="9229" priority="2733" operator="greaterThan">
      <formula>0</formula>
    </cfRule>
  </conditionalFormatting>
  <conditionalFormatting sqref="Q83">
    <cfRule type="cellIs" dxfId="9228" priority="2731" operator="lessThan">
      <formula>0</formula>
    </cfRule>
  </conditionalFormatting>
  <conditionalFormatting sqref="R83">
    <cfRule type="cellIs" dxfId="9227" priority="2729" operator="lessThan">
      <formula>0.8</formula>
    </cfRule>
    <cfRule type="cellIs" dxfId="9226" priority="2730" operator="greaterThan">
      <formula>1</formula>
    </cfRule>
  </conditionalFormatting>
  <conditionalFormatting sqref="R83">
    <cfRule type="cellIs" dxfId="9225" priority="2727" operator="greaterThan">
      <formula>1</formula>
    </cfRule>
    <cfRule type="cellIs" dxfId="9224" priority="2728" operator="lessThan">
      <formula>0.8</formula>
    </cfRule>
  </conditionalFormatting>
  <conditionalFormatting sqref="P83">
    <cfRule type="cellIs" dxfId="9223" priority="2726" operator="greaterThan">
      <formula>0</formula>
    </cfRule>
  </conditionalFormatting>
  <conditionalFormatting sqref="Q83">
    <cfRule type="cellIs" dxfId="9222" priority="2725" operator="lessThan">
      <formula>0</formula>
    </cfRule>
  </conditionalFormatting>
  <conditionalFormatting sqref="R83">
    <cfRule type="cellIs" dxfId="9221" priority="2723" operator="lessThan">
      <formula>0.8</formula>
    </cfRule>
    <cfRule type="cellIs" dxfId="9220" priority="2724" operator="greaterThan">
      <formula>1</formula>
    </cfRule>
  </conditionalFormatting>
  <conditionalFormatting sqref="R83">
    <cfRule type="cellIs" dxfId="9219" priority="2721" operator="greaterThan">
      <formula>1</formula>
    </cfRule>
    <cfRule type="cellIs" dxfId="9218" priority="2722" operator="lessThan">
      <formula>0.8</formula>
    </cfRule>
  </conditionalFormatting>
  <conditionalFormatting sqref="P83">
    <cfRule type="cellIs" dxfId="9217" priority="2720" operator="greaterThan">
      <formula>0</formula>
    </cfRule>
  </conditionalFormatting>
  <conditionalFormatting sqref="Q83">
    <cfRule type="cellIs" dxfId="9216" priority="2719" operator="lessThan">
      <formula>0</formula>
    </cfRule>
  </conditionalFormatting>
  <conditionalFormatting sqref="R83">
    <cfRule type="cellIs" dxfId="9215" priority="2717" operator="lessThan">
      <formula>0.8</formula>
    </cfRule>
    <cfRule type="cellIs" dxfId="9214" priority="2718" operator="greaterThan">
      <formula>1</formula>
    </cfRule>
  </conditionalFormatting>
  <conditionalFormatting sqref="R83">
    <cfRule type="cellIs" dxfId="9213" priority="2715" operator="greaterThan">
      <formula>1</formula>
    </cfRule>
    <cfRule type="cellIs" dxfId="9212" priority="2716" operator="lessThan">
      <formula>0.8</formula>
    </cfRule>
  </conditionalFormatting>
  <conditionalFormatting sqref="P83">
    <cfRule type="cellIs" dxfId="9211" priority="2714" operator="greaterThan">
      <formula>0</formula>
    </cfRule>
  </conditionalFormatting>
  <conditionalFormatting sqref="Q83">
    <cfRule type="cellIs" dxfId="9210" priority="2713" operator="lessThan">
      <formula>0</formula>
    </cfRule>
  </conditionalFormatting>
  <conditionalFormatting sqref="R83">
    <cfRule type="cellIs" dxfId="9209" priority="2711" operator="lessThan">
      <formula>0.8</formula>
    </cfRule>
    <cfRule type="cellIs" dxfId="9208" priority="2712" operator="greaterThan">
      <formula>1</formula>
    </cfRule>
  </conditionalFormatting>
  <conditionalFormatting sqref="R83">
    <cfRule type="cellIs" dxfId="9207" priority="2709" operator="greaterThan">
      <formula>1</formula>
    </cfRule>
    <cfRule type="cellIs" dxfId="9206" priority="2710" operator="lessThan">
      <formula>0.8</formula>
    </cfRule>
  </conditionalFormatting>
  <conditionalFormatting sqref="P83">
    <cfRule type="cellIs" dxfId="9205" priority="2708" operator="greaterThan">
      <formula>0</formula>
    </cfRule>
  </conditionalFormatting>
  <conditionalFormatting sqref="Q83">
    <cfRule type="cellIs" dxfId="9204" priority="2707" operator="lessThan">
      <formula>0</formula>
    </cfRule>
  </conditionalFormatting>
  <conditionalFormatting sqref="R83">
    <cfRule type="cellIs" dxfId="9203" priority="2705" operator="lessThan">
      <formula>0.8</formula>
    </cfRule>
    <cfRule type="cellIs" dxfId="9202" priority="2706" operator="greaterThan">
      <formula>1</formula>
    </cfRule>
  </conditionalFormatting>
  <conditionalFormatting sqref="R83">
    <cfRule type="cellIs" dxfId="9201" priority="2703" operator="greaterThan">
      <formula>1</formula>
    </cfRule>
    <cfRule type="cellIs" dxfId="9200" priority="2704" operator="lessThan">
      <formula>0.8</formula>
    </cfRule>
  </conditionalFormatting>
  <conditionalFormatting sqref="P83">
    <cfRule type="cellIs" dxfId="9199" priority="2702" operator="greaterThan">
      <formula>0</formula>
    </cfRule>
  </conditionalFormatting>
  <conditionalFormatting sqref="Q83">
    <cfRule type="cellIs" dxfId="9198" priority="2701" operator="lessThan">
      <formula>0</formula>
    </cfRule>
  </conditionalFormatting>
  <conditionalFormatting sqref="R83">
    <cfRule type="cellIs" dxfId="9197" priority="2699" operator="lessThan">
      <formula>0.8</formula>
    </cfRule>
    <cfRule type="cellIs" dxfId="9196" priority="2700" operator="greaterThan">
      <formula>1</formula>
    </cfRule>
  </conditionalFormatting>
  <conditionalFormatting sqref="R83">
    <cfRule type="cellIs" dxfId="9195" priority="2697" operator="greaterThan">
      <formula>1</formula>
    </cfRule>
    <cfRule type="cellIs" dxfId="9194" priority="2698" operator="lessThan">
      <formula>0.8</formula>
    </cfRule>
  </conditionalFormatting>
  <conditionalFormatting sqref="P83">
    <cfRule type="cellIs" dxfId="9193" priority="2696" operator="greaterThan">
      <formula>0</formula>
    </cfRule>
  </conditionalFormatting>
  <conditionalFormatting sqref="Q83">
    <cfRule type="cellIs" dxfId="9192" priority="2695" operator="lessThan">
      <formula>0</formula>
    </cfRule>
  </conditionalFormatting>
  <conditionalFormatting sqref="R83">
    <cfRule type="cellIs" dxfId="9191" priority="2693" operator="lessThan">
      <formula>0.8</formula>
    </cfRule>
    <cfRule type="cellIs" dxfId="9190" priority="2694" operator="greaterThan">
      <formula>1</formula>
    </cfRule>
  </conditionalFormatting>
  <conditionalFormatting sqref="R83">
    <cfRule type="cellIs" dxfId="9189" priority="2691" operator="greaterThan">
      <formula>1</formula>
    </cfRule>
    <cfRule type="cellIs" dxfId="9188" priority="2692" operator="lessThan">
      <formula>0.8</formula>
    </cfRule>
  </conditionalFormatting>
  <conditionalFormatting sqref="P83">
    <cfRule type="cellIs" dxfId="9187" priority="2690" operator="greaterThan">
      <formula>0</formula>
    </cfRule>
  </conditionalFormatting>
  <conditionalFormatting sqref="P83">
    <cfRule type="cellIs" dxfId="9186" priority="2684" operator="greaterThan">
      <formula>0</formula>
    </cfRule>
  </conditionalFormatting>
  <conditionalFormatting sqref="Q83">
    <cfRule type="cellIs" dxfId="9185" priority="2689" operator="lessThan">
      <formula>0</formula>
    </cfRule>
  </conditionalFormatting>
  <conditionalFormatting sqref="R83">
    <cfRule type="cellIs" dxfId="9184" priority="2687" operator="lessThan">
      <formula>0.8</formula>
    </cfRule>
    <cfRule type="cellIs" dxfId="9183" priority="2688" operator="greaterThan">
      <formula>1</formula>
    </cfRule>
  </conditionalFormatting>
  <conditionalFormatting sqref="R83">
    <cfRule type="cellIs" dxfId="9182" priority="2685" operator="greaterThan">
      <formula>1</formula>
    </cfRule>
    <cfRule type="cellIs" dxfId="9181" priority="2686" operator="lessThan">
      <formula>0.8</formula>
    </cfRule>
  </conditionalFormatting>
  <conditionalFormatting sqref="P83">
    <cfRule type="cellIs" dxfId="9180" priority="2678" operator="greaterThan">
      <formula>0</formula>
    </cfRule>
  </conditionalFormatting>
  <conditionalFormatting sqref="Q83">
    <cfRule type="cellIs" dxfId="9179" priority="2683" operator="lessThan">
      <formula>0</formula>
    </cfRule>
  </conditionalFormatting>
  <conditionalFormatting sqref="R83">
    <cfRule type="cellIs" dxfId="9178" priority="2681" operator="lessThan">
      <formula>0.8</formula>
    </cfRule>
    <cfRule type="cellIs" dxfId="9177" priority="2682" operator="greaterThan">
      <formula>1</formula>
    </cfRule>
  </conditionalFormatting>
  <conditionalFormatting sqref="R83">
    <cfRule type="cellIs" dxfId="9176" priority="2679" operator="greaterThan">
      <formula>1</formula>
    </cfRule>
    <cfRule type="cellIs" dxfId="9175" priority="2680" operator="lessThan">
      <formula>0.8</formula>
    </cfRule>
  </conditionalFormatting>
  <conditionalFormatting sqref="R83">
    <cfRule type="cellIs" dxfId="9174" priority="2675" operator="lessThan">
      <formula>0.8</formula>
    </cfRule>
    <cfRule type="cellIs" dxfId="9173" priority="2676" operator="greaterThan">
      <formula>1</formula>
    </cfRule>
  </conditionalFormatting>
  <conditionalFormatting sqref="R83">
    <cfRule type="cellIs" dxfId="9172" priority="2673" operator="greaterThan">
      <formula>1</formula>
    </cfRule>
    <cfRule type="cellIs" dxfId="9171" priority="2674" operator="lessThan">
      <formula>0.8</formula>
    </cfRule>
  </conditionalFormatting>
  <conditionalFormatting sqref="P83">
    <cfRule type="cellIs" dxfId="9170" priority="2672" operator="greaterThan">
      <formula>0</formula>
    </cfRule>
  </conditionalFormatting>
  <conditionalFormatting sqref="Q83">
    <cfRule type="cellIs" dxfId="9169" priority="2677" operator="lessThan">
      <formula>0</formula>
    </cfRule>
  </conditionalFormatting>
  <conditionalFormatting sqref="Q83">
    <cfRule type="cellIs" dxfId="9168" priority="2671" operator="lessThan">
      <formula>0</formula>
    </cfRule>
  </conditionalFormatting>
  <conditionalFormatting sqref="R83">
    <cfRule type="cellIs" dxfId="9167" priority="2669" operator="lessThan">
      <formula>0.8</formula>
    </cfRule>
    <cfRule type="cellIs" dxfId="9166" priority="2670" operator="greaterThan">
      <formula>1</formula>
    </cfRule>
  </conditionalFormatting>
  <conditionalFormatting sqref="R83">
    <cfRule type="cellIs" dxfId="9165" priority="2667" operator="greaterThan">
      <formula>1</formula>
    </cfRule>
    <cfRule type="cellIs" dxfId="9164" priority="2668" operator="lessThan">
      <formula>0.8</formula>
    </cfRule>
  </conditionalFormatting>
  <conditionalFormatting sqref="P83">
    <cfRule type="cellIs" dxfId="9163" priority="2666" operator="greaterThan">
      <formula>0</formula>
    </cfRule>
  </conditionalFormatting>
  <conditionalFormatting sqref="P83">
    <cfRule type="cellIs" dxfId="9162" priority="2660" operator="greaterThan">
      <formula>0</formula>
    </cfRule>
  </conditionalFormatting>
  <conditionalFormatting sqref="Q83">
    <cfRule type="cellIs" dxfId="9161" priority="2665" operator="lessThan">
      <formula>0</formula>
    </cfRule>
  </conditionalFormatting>
  <conditionalFormatting sqref="R83">
    <cfRule type="cellIs" dxfId="9160" priority="2663" operator="lessThan">
      <formula>0.8</formula>
    </cfRule>
    <cfRule type="cellIs" dxfId="9159" priority="2664" operator="greaterThan">
      <formula>1</formula>
    </cfRule>
  </conditionalFormatting>
  <conditionalFormatting sqref="R83">
    <cfRule type="cellIs" dxfId="9158" priority="2661" operator="greaterThan">
      <formula>1</formula>
    </cfRule>
    <cfRule type="cellIs" dxfId="9157" priority="2662" operator="lessThan">
      <formula>0.8</formula>
    </cfRule>
  </conditionalFormatting>
  <conditionalFormatting sqref="P83">
    <cfRule type="cellIs" dxfId="9156" priority="2654" operator="greaterThan">
      <formula>0</formula>
    </cfRule>
  </conditionalFormatting>
  <conditionalFormatting sqref="Q83">
    <cfRule type="cellIs" dxfId="9155" priority="2659" operator="lessThan">
      <formula>0</formula>
    </cfRule>
  </conditionalFormatting>
  <conditionalFormatting sqref="R83">
    <cfRule type="cellIs" dxfId="9154" priority="2657" operator="lessThan">
      <formula>0.8</formula>
    </cfRule>
    <cfRule type="cellIs" dxfId="9153" priority="2658" operator="greaterThan">
      <formula>1</formula>
    </cfRule>
  </conditionalFormatting>
  <conditionalFormatting sqref="R83">
    <cfRule type="cellIs" dxfId="9152" priority="2655" operator="greaterThan">
      <formula>1</formula>
    </cfRule>
    <cfRule type="cellIs" dxfId="9151" priority="2656" operator="lessThan">
      <formula>0.8</formula>
    </cfRule>
  </conditionalFormatting>
  <conditionalFormatting sqref="R83">
    <cfRule type="cellIs" dxfId="9150" priority="2651" operator="lessThan">
      <formula>0.8</formula>
    </cfRule>
    <cfRule type="cellIs" dxfId="9149" priority="2652" operator="greaterThan">
      <formula>1</formula>
    </cfRule>
  </conditionalFormatting>
  <conditionalFormatting sqref="R83">
    <cfRule type="cellIs" dxfId="9148" priority="2649" operator="greaterThan">
      <formula>1</formula>
    </cfRule>
    <cfRule type="cellIs" dxfId="9147" priority="2650" operator="lessThan">
      <formula>0.8</formula>
    </cfRule>
  </conditionalFormatting>
  <conditionalFormatting sqref="P83">
    <cfRule type="cellIs" dxfId="9146" priority="2648" operator="greaterThan">
      <formula>0</formula>
    </cfRule>
  </conditionalFormatting>
  <conditionalFormatting sqref="Q83">
    <cfRule type="cellIs" dxfId="9145" priority="2653" operator="lessThan">
      <formula>0</formula>
    </cfRule>
  </conditionalFormatting>
  <conditionalFormatting sqref="P83">
    <cfRule type="cellIs" dxfId="9144" priority="2642" operator="greaterThan">
      <formula>0</formula>
    </cfRule>
  </conditionalFormatting>
  <conditionalFormatting sqref="Q83">
    <cfRule type="cellIs" dxfId="9143" priority="2647" operator="lessThan">
      <formula>0</formula>
    </cfRule>
  </conditionalFormatting>
  <conditionalFormatting sqref="R83">
    <cfRule type="cellIs" dxfId="9142" priority="2645" operator="lessThan">
      <formula>0.8</formula>
    </cfRule>
    <cfRule type="cellIs" dxfId="9141" priority="2646" operator="greaterThan">
      <formula>1</formula>
    </cfRule>
  </conditionalFormatting>
  <conditionalFormatting sqref="R83">
    <cfRule type="cellIs" dxfId="9140" priority="2643" operator="greaterThan">
      <formula>1</formula>
    </cfRule>
    <cfRule type="cellIs" dxfId="9139" priority="2644" operator="lessThan">
      <formula>0.8</formula>
    </cfRule>
  </conditionalFormatting>
  <conditionalFormatting sqref="R83">
    <cfRule type="cellIs" dxfId="9138" priority="2639" operator="lessThan">
      <formula>0.8</formula>
    </cfRule>
    <cfRule type="cellIs" dxfId="9137" priority="2640" operator="greaterThan">
      <formula>1</formula>
    </cfRule>
  </conditionalFormatting>
  <conditionalFormatting sqref="R83">
    <cfRule type="cellIs" dxfId="9136" priority="2637" operator="greaterThan">
      <formula>1</formula>
    </cfRule>
    <cfRule type="cellIs" dxfId="9135" priority="2638" operator="lessThan">
      <formula>0.8</formula>
    </cfRule>
  </conditionalFormatting>
  <conditionalFormatting sqref="P83">
    <cfRule type="cellIs" dxfId="9134" priority="2636" operator="greaterThan">
      <formula>0</formula>
    </cfRule>
  </conditionalFormatting>
  <conditionalFormatting sqref="Q83">
    <cfRule type="cellIs" dxfId="9133" priority="2641" operator="lessThan">
      <formula>0</formula>
    </cfRule>
  </conditionalFormatting>
  <conditionalFormatting sqref="R83">
    <cfRule type="cellIs" dxfId="9132" priority="2633" operator="lessThan">
      <formula>0.8</formula>
    </cfRule>
    <cfRule type="cellIs" dxfId="9131" priority="2634" operator="greaterThan">
      <formula>1</formula>
    </cfRule>
  </conditionalFormatting>
  <conditionalFormatting sqref="R83">
    <cfRule type="cellIs" dxfId="9130" priority="2631" operator="greaterThan">
      <formula>1</formula>
    </cfRule>
    <cfRule type="cellIs" dxfId="9129" priority="2632" operator="lessThan">
      <formula>0.8</formula>
    </cfRule>
  </conditionalFormatting>
  <conditionalFormatting sqref="P83">
    <cfRule type="cellIs" dxfId="9128" priority="2630" operator="greaterThan">
      <formula>0</formula>
    </cfRule>
  </conditionalFormatting>
  <conditionalFormatting sqref="Q83">
    <cfRule type="cellIs" dxfId="9127" priority="2635" operator="lessThan">
      <formula>0</formula>
    </cfRule>
  </conditionalFormatting>
  <conditionalFormatting sqref="Q83">
    <cfRule type="cellIs" dxfId="9126" priority="2629" operator="lessThan">
      <formula>0</formula>
    </cfRule>
  </conditionalFormatting>
  <conditionalFormatting sqref="R83">
    <cfRule type="cellIs" dxfId="9125" priority="2627" operator="lessThan">
      <formula>0.8</formula>
    </cfRule>
    <cfRule type="cellIs" dxfId="9124" priority="2628" operator="greaterThan">
      <formula>1</formula>
    </cfRule>
  </conditionalFormatting>
  <conditionalFormatting sqref="R83">
    <cfRule type="cellIs" dxfId="9123" priority="2625" operator="greaterThan">
      <formula>1</formula>
    </cfRule>
    <cfRule type="cellIs" dxfId="9122" priority="2626" operator="lessThan">
      <formula>0.8</formula>
    </cfRule>
  </conditionalFormatting>
  <conditionalFormatting sqref="P83">
    <cfRule type="cellIs" dxfId="9121" priority="2624" operator="greaterThan">
      <formula>0</formula>
    </cfRule>
  </conditionalFormatting>
  <conditionalFormatting sqref="Q83">
    <cfRule type="cellIs" dxfId="9120" priority="2618" operator="lessThan">
      <formula>0</formula>
    </cfRule>
  </conditionalFormatting>
  <conditionalFormatting sqref="R83">
    <cfRule type="cellIs" dxfId="9119" priority="2622" operator="lessThan">
      <formula>0.8</formula>
    </cfRule>
    <cfRule type="cellIs" dxfId="9118" priority="2623" operator="greaterThan">
      <formula>1</formula>
    </cfRule>
  </conditionalFormatting>
  <conditionalFormatting sqref="R83">
    <cfRule type="cellIs" dxfId="9117" priority="2620" operator="greaterThan">
      <formula>1</formula>
    </cfRule>
    <cfRule type="cellIs" dxfId="9116" priority="2621" operator="lessThan">
      <formula>0.8</formula>
    </cfRule>
  </conditionalFormatting>
  <conditionalFormatting sqref="P83">
    <cfRule type="cellIs" dxfId="9115" priority="2619" operator="greaterThan">
      <formula>0</formula>
    </cfRule>
  </conditionalFormatting>
  <conditionalFormatting sqref="Q83">
    <cfRule type="cellIs" dxfId="9114" priority="2617" operator="lessThan">
      <formula>0</formula>
    </cfRule>
  </conditionalFormatting>
  <conditionalFormatting sqref="R83">
    <cfRule type="cellIs" dxfId="9113" priority="2615" operator="lessThan">
      <formula>0.8</formula>
    </cfRule>
    <cfRule type="cellIs" dxfId="9112" priority="2616" operator="greaterThan">
      <formula>1</formula>
    </cfRule>
  </conditionalFormatting>
  <conditionalFormatting sqref="R83">
    <cfRule type="cellIs" dxfId="9111" priority="2613" operator="greaterThan">
      <formula>1</formula>
    </cfRule>
    <cfRule type="cellIs" dxfId="9110" priority="2614" operator="lessThan">
      <formula>0.8</formula>
    </cfRule>
  </conditionalFormatting>
  <conditionalFormatting sqref="P83">
    <cfRule type="cellIs" dxfId="9109" priority="2612" operator="greaterThan">
      <formula>0</formula>
    </cfRule>
  </conditionalFormatting>
  <conditionalFormatting sqref="Q83">
    <cfRule type="cellIs" dxfId="9108" priority="2611" operator="lessThan">
      <formula>0</formula>
    </cfRule>
  </conditionalFormatting>
  <conditionalFormatting sqref="R83">
    <cfRule type="cellIs" dxfId="9107" priority="2609" operator="lessThan">
      <formula>0.8</formula>
    </cfRule>
    <cfRule type="cellIs" dxfId="9106" priority="2610" operator="greaterThan">
      <formula>1</formula>
    </cfRule>
  </conditionalFormatting>
  <conditionalFormatting sqref="R83">
    <cfRule type="cellIs" dxfId="9105" priority="2607" operator="greaterThan">
      <formula>1</formula>
    </cfRule>
    <cfRule type="cellIs" dxfId="9104" priority="2608" operator="lessThan">
      <formula>0.8</formula>
    </cfRule>
  </conditionalFormatting>
  <conditionalFormatting sqref="P83">
    <cfRule type="cellIs" dxfId="9103" priority="2606" operator="greaterThan">
      <formula>0</formula>
    </cfRule>
  </conditionalFormatting>
  <conditionalFormatting sqref="Q83">
    <cfRule type="cellIs" dxfId="9102" priority="2605" operator="lessThan">
      <formula>0</formula>
    </cfRule>
  </conditionalFormatting>
  <conditionalFormatting sqref="R83">
    <cfRule type="cellIs" dxfId="9101" priority="2603" operator="lessThan">
      <formula>0.8</formula>
    </cfRule>
    <cfRule type="cellIs" dxfId="9100" priority="2604" operator="greaterThan">
      <formula>1</formula>
    </cfRule>
  </conditionalFormatting>
  <conditionalFormatting sqref="R83">
    <cfRule type="cellIs" dxfId="9099" priority="2601" operator="greaterThan">
      <formula>1</formula>
    </cfRule>
    <cfRule type="cellIs" dxfId="9098" priority="2602" operator="lessThan">
      <formula>0.8</formula>
    </cfRule>
  </conditionalFormatting>
  <conditionalFormatting sqref="P83">
    <cfRule type="cellIs" dxfId="9097" priority="2600" operator="greaterThan">
      <formula>0</formula>
    </cfRule>
  </conditionalFormatting>
  <conditionalFormatting sqref="Q83">
    <cfRule type="cellIs" dxfId="9096" priority="2599" operator="lessThan">
      <formula>0</formula>
    </cfRule>
  </conditionalFormatting>
  <conditionalFormatting sqref="R83">
    <cfRule type="cellIs" dxfId="9095" priority="2597" operator="lessThan">
      <formula>0.8</formula>
    </cfRule>
    <cfRule type="cellIs" dxfId="9094" priority="2598" operator="greaterThan">
      <formula>1</formula>
    </cfRule>
  </conditionalFormatting>
  <conditionalFormatting sqref="R83">
    <cfRule type="cellIs" dxfId="9093" priority="2595" operator="greaterThan">
      <formula>1</formula>
    </cfRule>
    <cfRule type="cellIs" dxfId="9092" priority="2596" operator="lessThan">
      <formula>0.8</formula>
    </cfRule>
  </conditionalFormatting>
  <conditionalFormatting sqref="P83">
    <cfRule type="cellIs" dxfId="9091" priority="2594" operator="greaterThan">
      <formula>0</formula>
    </cfRule>
  </conditionalFormatting>
  <conditionalFormatting sqref="Q83">
    <cfRule type="cellIs" dxfId="9090" priority="2593" operator="lessThan">
      <formula>0</formula>
    </cfRule>
  </conditionalFormatting>
  <conditionalFormatting sqref="R83">
    <cfRule type="cellIs" dxfId="9089" priority="2591" operator="lessThan">
      <formula>0.8</formula>
    </cfRule>
    <cfRule type="cellIs" dxfId="9088" priority="2592" operator="greaterThan">
      <formula>1</formula>
    </cfRule>
  </conditionalFormatting>
  <conditionalFormatting sqref="R83">
    <cfRule type="cellIs" dxfId="9087" priority="2589" operator="greaterThan">
      <formula>1</formula>
    </cfRule>
    <cfRule type="cellIs" dxfId="9086" priority="2590" operator="lessThan">
      <formula>0.8</formula>
    </cfRule>
  </conditionalFormatting>
  <conditionalFormatting sqref="P83">
    <cfRule type="cellIs" dxfId="9085" priority="2588" operator="greaterThan">
      <formula>0</formula>
    </cfRule>
  </conditionalFormatting>
  <conditionalFormatting sqref="P83">
    <cfRule type="cellIs" dxfId="9084" priority="2582" operator="greaterThan">
      <formula>0</formula>
    </cfRule>
  </conditionalFormatting>
  <conditionalFormatting sqref="Q83">
    <cfRule type="cellIs" dxfId="9083" priority="2587" operator="lessThan">
      <formula>0</formula>
    </cfRule>
  </conditionalFormatting>
  <conditionalFormatting sqref="R83">
    <cfRule type="cellIs" dxfId="9082" priority="2585" operator="lessThan">
      <formula>0.8</formula>
    </cfRule>
    <cfRule type="cellIs" dxfId="9081" priority="2586" operator="greaterThan">
      <formula>1</formula>
    </cfRule>
  </conditionalFormatting>
  <conditionalFormatting sqref="R83">
    <cfRule type="cellIs" dxfId="9080" priority="2583" operator="greaterThan">
      <formula>1</formula>
    </cfRule>
    <cfRule type="cellIs" dxfId="9079" priority="2584" operator="lessThan">
      <formula>0.8</formula>
    </cfRule>
  </conditionalFormatting>
  <conditionalFormatting sqref="P83">
    <cfRule type="cellIs" dxfId="9078" priority="2576" operator="greaterThan">
      <formula>0</formula>
    </cfRule>
  </conditionalFormatting>
  <conditionalFormatting sqref="Q83">
    <cfRule type="cellIs" dxfId="9077" priority="2581" operator="lessThan">
      <formula>0</formula>
    </cfRule>
  </conditionalFormatting>
  <conditionalFormatting sqref="R83">
    <cfRule type="cellIs" dxfId="9076" priority="2579" operator="lessThan">
      <formula>0.8</formula>
    </cfRule>
    <cfRule type="cellIs" dxfId="9075" priority="2580" operator="greaterThan">
      <formula>1</formula>
    </cfRule>
  </conditionalFormatting>
  <conditionalFormatting sqref="R83">
    <cfRule type="cellIs" dxfId="9074" priority="2577" operator="greaterThan">
      <formula>1</formula>
    </cfRule>
    <cfRule type="cellIs" dxfId="9073" priority="2578" operator="lessThan">
      <formula>0.8</formula>
    </cfRule>
  </conditionalFormatting>
  <conditionalFormatting sqref="R83">
    <cfRule type="cellIs" dxfId="9072" priority="2573" operator="lessThan">
      <formula>0.8</formula>
    </cfRule>
    <cfRule type="cellIs" dxfId="9071" priority="2574" operator="greaterThan">
      <formula>1</formula>
    </cfRule>
  </conditionalFormatting>
  <conditionalFormatting sqref="R83">
    <cfRule type="cellIs" dxfId="9070" priority="2571" operator="greaterThan">
      <formula>1</formula>
    </cfRule>
    <cfRule type="cellIs" dxfId="9069" priority="2572" operator="lessThan">
      <formula>0.8</formula>
    </cfRule>
  </conditionalFormatting>
  <conditionalFormatting sqref="P83">
    <cfRule type="cellIs" dxfId="9068" priority="2570" operator="greaterThan">
      <formula>0</formula>
    </cfRule>
  </conditionalFormatting>
  <conditionalFormatting sqref="Q83">
    <cfRule type="cellIs" dxfId="9067" priority="2575" operator="lessThan">
      <formula>0</formula>
    </cfRule>
  </conditionalFormatting>
  <conditionalFormatting sqref="P123 P125:P126 P131 P128:P129">
    <cfRule type="cellIs" dxfId="9066" priority="2564" operator="greaterThan">
      <formula>0</formula>
    </cfRule>
  </conditionalFormatting>
  <conditionalFormatting sqref="Q123 Q125:Q126 Q131 Q128:Q129">
    <cfRule type="cellIs" dxfId="9065" priority="2569" operator="lessThan">
      <formula>0</formula>
    </cfRule>
  </conditionalFormatting>
  <conditionalFormatting sqref="R123 R125:R126 R131 R128:R129">
    <cfRule type="cellIs" dxfId="9064" priority="2567" operator="lessThan">
      <formula>0.8</formula>
    </cfRule>
    <cfRule type="cellIs" dxfId="9063" priority="2568" operator="greaterThan">
      <formula>1</formula>
    </cfRule>
  </conditionalFormatting>
  <conditionalFormatting sqref="R123 R125:R126 R131 R128:R129">
    <cfRule type="cellIs" dxfId="9062" priority="2565" operator="greaterThan">
      <formula>1</formula>
    </cfRule>
    <cfRule type="cellIs" dxfId="9061" priority="2566" operator="lessThan">
      <formula>0.8</formula>
    </cfRule>
  </conditionalFormatting>
  <conditionalFormatting sqref="Q123 Q125:Q126 Q131 Q128:Q129">
    <cfRule type="cellIs" dxfId="9060" priority="2563" operator="lessThan">
      <formula>0</formula>
    </cfRule>
  </conditionalFormatting>
  <conditionalFormatting sqref="R123 R125:R126 R131 R128:R129">
    <cfRule type="cellIs" dxfId="9059" priority="2561" operator="lessThan">
      <formula>0.8</formula>
    </cfRule>
    <cfRule type="cellIs" dxfId="9058" priority="2562" operator="greaterThan">
      <formula>1</formula>
    </cfRule>
  </conditionalFormatting>
  <conditionalFormatting sqref="R123 R125:R126 R131 R128:R129">
    <cfRule type="cellIs" dxfId="9057" priority="2559" operator="greaterThan">
      <formula>1</formula>
    </cfRule>
    <cfRule type="cellIs" dxfId="9056" priority="2560" operator="lessThan">
      <formula>0.8</formula>
    </cfRule>
  </conditionalFormatting>
  <conditionalFormatting sqref="P123 P125:P126 P131 P128:P129">
    <cfRule type="cellIs" dxfId="9055" priority="2558" operator="greaterThan">
      <formula>0</formula>
    </cfRule>
  </conditionalFormatting>
  <conditionalFormatting sqref="Q31">
    <cfRule type="cellIs" dxfId="9054" priority="2557" operator="lessThan">
      <formula>0</formula>
    </cfRule>
  </conditionalFormatting>
  <conditionalFormatting sqref="R31">
    <cfRule type="cellIs" dxfId="9053" priority="2555" operator="lessThan">
      <formula>0.8</formula>
    </cfRule>
    <cfRule type="cellIs" dxfId="9052" priority="2556" operator="greaterThan">
      <formula>1</formula>
    </cfRule>
  </conditionalFormatting>
  <conditionalFormatting sqref="R31">
    <cfRule type="cellIs" dxfId="9051" priority="2553" operator="greaterThan">
      <formula>1</formula>
    </cfRule>
    <cfRule type="cellIs" dxfId="9050" priority="2554" operator="lessThan">
      <formula>0.8</formula>
    </cfRule>
  </conditionalFormatting>
  <conditionalFormatting sqref="P31:P38">
    <cfRule type="cellIs" dxfId="9049" priority="2552" operator="greaterThan">
      <formula>0</formula>
    </cfRule>
  </conditionalFormatting>
  <conditionalFormatting sqref="Q31">
    <cfRule type="cellIs" dxfId="9048" priority="2551" operator="lessThan">
      <formula>0</formula>
    </cfRule>
  </conditionalFormatting>
  <conditionalFormatting sqref="R31">
    <cfRule type="cellIs" dxfId="9047" priority="2549" operator="lessThan">
      <formula>0.8</formula>
    </cfRule>
    <cfRule type="cellIs" dxfId="9046" priority="2550" operator="greaterThan">
      <formula>1</formula>
    </cfRule>
  </conditionalFormatting>
  <conditionalFormatting sqref="R31">
    <cfRule type="cellIs" dxfId="9045" priority="2547" operator="greaterThan">
      <formula>1</formula>
    </cfRule>
    <cfRule type="cellIs" dxfId="9044" priority="2548" operator="lessThan">
      <formula>0.8</formula>
    </cfRule>
  </conditionalFormatting>
  <conditionalFormatting sqref="P31:P38">
    <cfRule type="cellIs" dxfId="9043" priority="2546" operator="greaterThan">
      <formula>0</formula>
    </cfRule>
  </conditionalFormatting>
  <conditionalFormatting sqref="Q31">
    <cfRule type="cellIs" dxfId="9042" priority="2545" operator="lessThan">
      <formula>0</formula>
    </cfRule>
  </conditionalFormatting>
  <conditionalFormatting sqref="R31">
    <cfRule type="cellIs" dxfId="9041" priority="2543" operator="lessThan">
      <formula>0.8</formula>
    </cfRule>
    <cfRule type="cellIs" dxfId="9040" priority="2544" operator="greaterThan">
      <formula>1</formula>
    </cfRule>
  </conditionalFormatting>
  <conditionalFormatting sqref="R31">
    <cfRule type="cellIs" dxfId="9039" priority="2541" operator="greaterThan">
      <formula>1</formula>
    </cfRule>
    <cfRule type="cellIs" dxfId="9038" priority="2542" operator="lessThan">
      <formula>0.8</formula>
    </cfRule>
  </conditionalFormatting>
  <conditionalFormatting sqref="P31:P38">
    <cfRule type="cellIs" dxfId="9037" priority="2540" operator="greaterThan">
      <formula>0</formula>
    </cfRule>
  </conditionalFormatting>
  <conditionalFormatting sqref="Q31">
    <cfRule type="cellIs" dxfId="9036" priority="2539" operator="lessThan">
      <formula>0</formula>
    </cfRule>
  </conditionalFormatting>
  <conditionalFormatting sqref="R31">
    <cfRule type="cellIs" dxfId="9035" priority="2537" operator="lessThan">
      <formula>0.8</formula>
    </cfRule>
    <cfRule type="cellIs" dxfId="9034" priority="2538" operator="greaterThan">
      <formula>1</formula>
    </cfRule>
  </conditionalFormatting>
  <conditionalFormatting sqref="R31">
    <cfRule type="cellIs" dxfId="9033" priority="2535" operator="greaterThan">
      <formula>1</formula>
    </cfRule>
    <cfRule type="cellIs" dxfId="9032" priority="2536" operator="lessThan">
      <formula>0.8</formula>
    </cfRule>
  </conditionalFormatting>
  <conditionalFormatting sqref="P31:P38">
    <cfRule type="cellIs" dxfId="9031" priority="2534" operator="greaterThan">
      <formula>0</formula>
    </cfRule>
  </conditionalFormatting>
  <conditionalFormatting sqref="P31:P38">
    <cfRule type="cellIs" dxfId="9030" priority="2528" operator="greaterThan">
      <formula>0</formula>
    </cfRule>
  </conditionalFormatting>
  <conditionalFormatting sqref="Q31">
    <cfRule type="cellIs" dxfId="9029" priority="2533" operator="lessThan">
      <formula>0</formula>
    </cfRule>
  </conditionalFormatting>
  <conditionalFormatting sqref="R31">
    <cfRule type="cellIs" dxfId="9028" priority="2531" operator="lessThan">
      <formula>0.8</formula>
    </cfRule>
    <cfRule type="cellIs" dxfId="9027" priority="2532" operator="greaterThan">
      <formula>1</formula>
    </cfRule>
  </conditionalFormatting>
  <conditionalFormatting sqref="R31">
    <cfRule type="cellIs" dxfId="9026" priority="2529" operator="greaterThan">
      <formula>1</formula>
    </cfRule>
    <cfRule type="cellIs" dxfId="9025" priority="2530" operator="lessThan">
      <formula>0.8</formula>
    </cfRule>
  </conditionalFormatting>
  <conditionalFormatting sqref="P31:P38">
    <cfRule type="cellIs" dxfId="9024" priority="2522" operator="greaterThan">
      <formula>0</formula>
    </cfRule>
  </conditionalFormatting>
  <conditionalFormatting sqref="Q31">
    <cfRule type="cellIs" dxfId="9023" priority="2527" operator="lessThan">
      <formula>0</formula>
    </cfRule>
  </conditionalFormatting>
  <conditionalFormatting sqref="R31">
    <cfRule type="cellIs" dxfId="9022" priority="2525" operator="lessThan">
      <formula>0.8</formula>
    </cfRule>
    <cfRule type="cellIs" dxfId="9021" priority="2526" operator="greaterThan">
      <formula>1</formula>
    </cfRule>
  </conditionalFormatting>
  <conditionalFormatting sqref="R31">
    <cfRule type="cellIs" dxfId="9020" priority="2523" operator="greaterThan">
      <formula>1</formula>
    </cfRule>
    <cfRule type="cellIs" dxfId="9019" priority="2524" operator="lessThan">
      <formula>0.8</formula>
    </cfRule>
  </conditionalFormatting>
  <conditionalFormatting sqref="R31">
    <cfRule type="cellIs" dxfId="9018" priority="2519" operator="lessThan">
      <formula>0.8</formula>
    </cfRule>
    <cfRule type="cellIs" dxfId="9017" priority="2520" operator="greaterThan">
      <formula>1</formula>
    </cfRule>
  </conditionalFormatting>
  <conditionalFormatting sqref="R31">
    <cfRule type="cellIs" dxfId="9016" priority="2517" operator="greaterThan">
      <formula>1</formula>
    </cfRule>
    <cfRule type="cellIs" dxfId="9015" priority="2518" operator="lessThan">
      <formula>0.8</formula>
    </cfRule>
  </conditionalFormatting>
  <conditionalFormatting sqref="P31:P38">
    <cfRule type="cellIs" dxfId="9014" priority="2516" operator="greaterThan">
      <formula>0</formula>
    </cfRule>
  </conditionalFormatting>
  <conditionalFormatting sqref="Q31">
    <cfRule type="cellIs" dxfId="9013" priority="2521" operator="lessThan">
      <formula>0</formula>
    </cfRule>
  </conditionalFormatting>
  <conditionalFormatting sqref="Q31">
    <cfRule type="cellIs" dxfId="9012" priority="2515" operator="lessThan">
      <formula>0</formula>
    </cfRule>
  </conditionalFormatting>
  <conditionalFormatting sqref="R31">
    <cfRule type="cellIs" dxfId="9011" priority="2513" operator="lessThan">
      <formula>0.8</formula>
    </cfRule>
    <cfRule type="cellIs" dxfId="9010" priority="2514" operator="greaterThan">
      <formula>1</formula>
    </cfRule>
  </conditionalFormatting>
  <conditionalFormatting sqref="R31">
    <cfRule type="cellIs" dxfId="9009" priority="2511" operator="greaterThan">
      <formula>1</formula>
    </cfRule>
    <cfRule type="cellIs" dxfId="9008" priority="2512" operator="lessThan">
      <formula>0.8</formula>
    </cfRule>
  </conditionalFormatting>
  <conditionalFormatting sqref="P31:P38">
    <cfRule type="cellIs" dxfId="9007" priority="2510" operator="greaterThan">
      <formula>0</formula>
    </cfRule>
  </conditionalFormatting>
  <conditionalFormatting sqref="P31:P38">
    <cfRule type="cellIs" dxfId="9006" priority="2504" operator="greaterThan">
      <formula>0</formula>
    </cfRule>
  </conditionalFormatting>
  <conditionalFormatting sqref="Q31">
    <cfRule type="cellIs" dxfId="9005" priority="2509" operator="lessThan">
      <formula>0</formula>
    </cfRule>
  </conditionalFormatting>
  <conditionalFormatting sqref="R31">
    <cfRule type="cellIs" dxfId="9004" priority="2507" operator="lessThan">
      <formula>0.8</formula>
    </cfRule>
    <cfRule type="cellIs" dxfId="9003" priority="2508" operator="greaterThan">
      <formula>1</formula>
    </cfRule>
  </conditionalFormatting>
  <conditionalFormatting sqref="R31">
    <cfRule type="cellIs" dxfId="9002" priority="2505" operator="greaterThan">
      <formula>1</formula>
    </cfRule>
    <cfRule type="cellIs" dxfId="9001" priority="2506" operator="lessThan">
      <formula>0.8</formula>
    </cfRule>
  </conditionalFormatting>
  <conditionalFormatting sqref="P31:P38">
    <cfRule type="cellIs" dxfId="9000" priority="2498" operator="greaterThan">
      <formula>0</formula>
    </cfRule>
  </conditionalFormatting>
  <conditionalFormatting sqref="Q31">
    <cfRule type="cellIs" dxfId="8999" priority="2503" operator="lessThan">
      <formula>0</formula>
    </cfRule>
  </conditionalFormatting>
  <conditionalFormatting sqref="R31">
    <cfRule type="cellIs" dxfId="8998" priority="2501" operator="lessThan">
      <formula>0.8</formula>
    </cfRule>
    <cfRule type="cellIs" dxfId="8997" priority="2502" operator="greaterThan">
      <formula>1</formula>
    </cfRule>
  </conditionalFormatting>
  <conditionalFormatting sqref="R31">
    <cfRule type="cellIs" dxfId="8996" priority="2499" operator="greaterThan">
      <formula>1</formula>
    </cfRule>
    <cfRule type="cellIs" dxfId="8995" priority="2500" operator="lessThan">
      <formula>0.8</formula>
    </cfRule>
  </conditionalFormatting>
  <conditionalFormatting sqref="R31">
    <cfRule type="cellIs" dxfId="8994" priority="2495" operator="lessThan">
      <formula>0.8</formula>
    </cfRule>
    <cfRule type="cellIs" dxfId="8993" priority="2496" operator="greaterThan">
      <formula>1</formula>
    </cfRule>
  </conditionalFormatting>
  <conditionalFormatting sqref="R31">
    <cfRule type="cellIs" dxfId="8992" priority="2493" operator="greaterThan">
      <formula>1</formula>
    </cfRule>
    <cfRule type="cellIs" dxfId="8991" priority="2494" operator="lessThan">
      <formula>0.8</formula>
    </cfRule>
  </conditionalFormatting>
  <conditionalFormatting sqref="P31:P38">
    <cfRule type="cellIs" dxfId="8990" priority="2492" operator="greaterThan">
      <formula>0</formula>
    </cfRule>
  </conditionalFormatting>
  <conditionalFormatting sqref="Q31">
    <cfRule type="cellIs" dxfId="8989" priority="2497" operator="lessThan">
      <formula>0</formula>
    </cfRule>
  </conditionalFormatting>
  <conditionalFormatting sqref="P31:P38">
    <cfRule type="cellIs" dxfId="8988" priority="2486" operator="greaterThan">
      <formula>0</formula>
    </cfRule>
  </conditionalFormatting>
  <conditionalFormatting sqref="Q31">
    <cfRule type="cellIs" dxfId="8987" priority="2491" operator="lessThan">
      <formula>0</formula>
    </cfRule>
  </conditionalFormatting>
  <conditionalFormatting sqref="R31">
    <cfRule type="cellIs" dxfId="8986" priority="2489" operator="lessThan">
      <formula>0.8</formula>
    </cfRule>
    <cfRule type="cellIs" dxfId="8985" priority="2490" operator="greaterThan">
      <formula>1</formula>
    </cfRule>
  </conditionalFormatting>
  <conditionalFormatting sqref="R31">
    <cfRule type="cellIs" dxfId="8984" priority="2487" operator="greaterThan">
      <formula>1</formula>
    </cfRule>
    <cfRule type="cellIs" dxfId="8983" priority="2488" operator="lessThan">
      <formula>0.8</formula>
    </cfRule>
  </conditionalFormatting>
  <conditionalFormatting sqref="R31">
    <cfRule type="cellIs" dxfId="8982" priority="2483" operator="lessThan">
      <formula>0.8</formula>
    </cfRule>
    <cfRule type="cellIs" dxfId="8981" priority="2484" operator="greaterThan">
      <formula>1</formula>
    </cfRule>
  </conditionalFormatting>
  <conditionalFormatting sqref="R31">
    <cfRule type="cellIs" dxfId="8980" priority="2481" operator="greaterThan">
      <formula>1</formula>
    </cfRule>
    <cfRule type="cellIs" dxfId="8979" priority="2482" operator="lessThan">
      <formula>0.8</formula>
    </cfRule>
  </conditionalFormatting>
  <conditionalFormatting sqref="P31:P38">
    <cfRule type="cellIs" dxfId="8978" priority="2480" operator="greaterThan">
      <formula>0</formula>
    </cfRule>
  </conditionalFormatting>
  <conditionalFormatting sqref="Q31">
    <cfRule type="cellIs" dxfId="8977" priority="2485" operator="lessThan">
      <formula>0</formula>
    </cfRule>
  </conditionalFormatting>
  <conditionalFormatting sqref="R31">
    <cfRule type="cellIs" dxfId="8976" priority="2477" operator="lessThan">
      <formula>0.8</formula>
    </cfRule>
    <cfRule type="cellIs" dxfId="8975" priority="2478" operator="greaterThan">
      <formula>1</formula>
    </cfRule>
  </conditionalFormatting>
  <conditionalFormatting sqref="R31">
    <cfRule type="cellIs" dxfId="8974" priority="2475" operator="greaterThan">
      <formula>1</formula>
    </cfRule>
    <cfRule type="cellIs" dxfId="8973" priority="2476" operator="lessThan">
      <formula>0.8</formula>
    </cfRule>
  </conditionalFormatting>
  <conditionalFormatting sqref="P31:P38">
    <cfRule type="cellIs" dxfId="8972" priority="2474" operator="greaterThan">
      <formula>0</formula>
    </cfRule>
  </conditionalFormatting>
  <conditionalFormatting sqref="Q31">
    <cfRule type="cellIs" dxfId="8971" priority="2479" operator="lessThan">
      <formula>0</formula>
    </cfRule>
  </conditionalFormatting>
  <conditionalFormatting sqref="Q31">
    <cfRule type="cellIs" dxfId="8970" priority="2473" operator="lessThan">
      <formula>0</formula>
    </cfRule>
  </conditionalFormatting>
  <conditionalFormatting sqref="R31">
    <cfRule type="cellIs" dxfId="8969" priority="2471" operator="lessThan">
      <formula>0.8</formula>
    </cfRule>
    <cfRule type="cellIs" dxfId="8968" priority="2472" operator="greaterThan">
      <formula>1</formula>
    </cfRule>
  </conditionalFormatting>
  <conditionalFormatting sqref="R31">
    <cfRule type="cellIs" dxfId="8967" priority="2469" operator="greaterThan">
      <formula>1</formula>
    </cfRule>
    <cfRule type="cellIs" dxfId="8966" priority="2470" operator="lessThan">
      <formula>0.8</formula>
    </cfRule>
  </conditionalFormatting>
  <conditionalFormatting sqref="P31:P38">
    <cfRule type="cellIs" dxfId="8965" priority="2468" operator="greaterThan">
      <formula>0</formula>
    </cfRule>
  </conditionalFormatting>
  <conditionalFormatting sqref="Q31">
    <cfRule type="cellIs" dxfId="8964" priority="2462" operator="lessThan">
      <formula>0</formula>
    </cfRule>
  </conditionalFormatting>
  <conditionalFormatting sqref="R31">
    <cfRule type="cellIs" dxfId="8963" priority="2466" operator="lessThan">
      <formula>0.8</formula>
    </cfRule>
    <cfRule type="cellIs" dxfId="8962" priority="2467" operator="greaterThan">
      <formula>1</formula>
    </cfRule>
  </conditionalFormatting>
  <conditionalFormatting sqref="R31">
    <cfRule type="cellIs" dxfId="8961" priority="2464" operator="greaterThan">
      <formula>1</formula>
    </cfRule>
    <cfRule type="cellIs" dxfId="8960" priority="2465" operator="lessThan">
      <formula>0.8</formula>
    </cfRule>
  </conditionalFormatting>
  <conditionalFormatting sqref="P31:P38">
    <cfRule type="cellIs" dxfId="8959" priority="2463" operator="greaterThan">
      <formula>0</formula>
    </cfRule>
  </conditionalFormatting>
  <conditionalFormatting sqref="Q31">
    <cfRule type="cellIs" dxfId="8958" priority="2461" operator="lessThan">
      <formula>0</formula>
    </cfRule>
  </conditionalFormatting>
  <conditionalFormatting sqref="R31">
    <cfRule type="cellIs" dxfId="8957" priority="2459" operator="lessThan">
      <formula>0.8</formula>
    </cfRule>
    <cfRule type="cellIs" dxfId="8956" priority="2460" operator="greaterThan">
      <formula>1</formula>
    </cfRule>
  </conditionalFormatting>
  <conditionalFormatting sqref="R31">
    <cfRule type="cellIs" dxfId="8955" priority="2457" operator="greaterThan">
      <formula>1</formula>
    </cfRule>
    <cfRule type="cellIs" dxfId="8954" priority="2458" operator="lessThan">
      <formula>0.8</formula>
    </cfRule>
  </conditionalFormatting>
  <conditionalFormatting sqref="P31:P38">
    <cfRule type="cellIs" dxfId="8953" priority="2456" operator="greaterThan">
      <formula>0</formula>
    </cfRule>
  </conditionalFormatting>
  <conditionalFormatting sqref="Q31">
    <cfRule type="cellIs" dxfId="8952" priority="2455" operator="lessThan">
      <formula>0</formula>
    </cfRule>
  </conditionalFormatting>
  <conditionalFormatting sqref="R31">
    <cfRule type="cellIs" dxfId="8951" priority="2453" operator="lessThan">
      <formula>0.8</formula>
    </cfRule>
    <cfRule type="cellIs" dxfId="8950" priority="2454" operator="greaterThan">
      <formula>1</formula>
    </cfRule>
  </conditionalFormatting>
  <conditionalFormatting sqref="R31">
    <cfRule type="cellIs" dxfId="8949" priority="2451" operator="greaterThan">
      <formula>1</formula>
    </cfRule>
    <cfRule type="cellIs" dxfId="8948" priority="2452" operator="lessThan">
      <formula>0.8</formula>
    </cfRule>
  </conditionalFormatting>
  <conditionalFormatting sqref="P31:P38">
    <cfRule type="cellIs" dxfId="8947" priority="2450" operator="greaterThan">
      <formula>0</formula>
    </cfRule>
  </conditionalFormatting>
  <conditionalFormatting sqref="Q31">
    <cfRule type="cellIs" dxfId="8946" priority="2449" operator="lessThan">
      <formula>0</formula>
    </cfRule>
  </conditionalFormatting>
  <conditionalFormatting sqref="R31">
    <cfRule type="cellIs" dxfId="8945" priority="2447" operator="lessThan">
      <formula>0.8</formula>
    </cfRule>
    <cfRule type="cellIs" dxfId="8944" priority="2448" operator="greaterThan">
      <formula>1</formula>
    </cfRule>
  </conditionalFormatting>
  <conditionalFormatting sqref="R31">
    <cfRule type="cellIs" dxfId="8943" priority="2445" operator="greaterThan">
      <formula>1</formula>
    </cfRule>
    <cfRule type="cellIs" dxfId="8942" priority="2446" operator="lessThan">
      <formula>0.8</formula>
    </cfRule>
  </conditionalFormatting>
  <conditionalFormatting sqref="P31:P38">
    <cfRule type="cellIs" dxfId="8941" priority="2444" operator="greaterThan">
      <formula>0</formula>
    </cfRule>
  </conditionalFormatting>
  <conditionalFormatting sqref="Q31">
    <cfRule type="cellIs" dxfId="8940" priority="2443" operator="lessThan">
      <formula>0</formula>
    </cfRule>
  </conditionalFormatting>
  <conditionalFormatting sqref="R31">
    <cfRule type="cellIs" dxfId="8939" priority="2441" operator="lessThan">
      <formula>0.8</formula>
    </cfRule>
    <cfRule type="cellIs" dxfId="8938" priority="2442" operator="greaterThan">
      <formula>1</formula>
    </cfRule>
  </conditionalFormatting>
  <conditionalFormatting sqref="R31">
    <cfRule type="cellIs" dxfId="8937" priority="2439" operator="greaterThan">
      <formula>1</formula>
    </cfRule>
    <cfRule type="cellIs" dxfId="8936" priority="2440" operator="lessThan">
      <formula>0.8</formula>
    </cfRule>
  </conditionalFormatting>
  <conditionalFormatting sqref="P31:P38">
    <cfRule type="cellIs" dxfId="8935" priority="2438" operator="greaterThan">
      <formula>0</formula>
    </cfRule>
  </conditionalFormatting>
  <conditionalFormatting sqref="Q31">
    <cfRule type="cellIs" dxfId="8934" priority="2437" operator="lessThan">
      <formula>0</formula>
    </cfRule>
  </conditionalFormatting>
  <conditionalFormatting sqref="R31">
    <cfRule type="cellIs" dxfId="8933" priority="2435" operator="lessThan">
      <formula>0.8</formula>
    </cfRule>
    <cfRule type="cellIs" dxfId="8932" priority="2436" operator="greaterThan">
      <formula>1</formula>
    </cfRule>
  </conditionalFormatting>
  <conditionalFormatting sqref="R31">
    <cfRule type="cellIs" dxfId="8931" priority="2433" operator="greaterThan">
      <formula>1</formula>
    </cfRule>
    <cfRule type="cellIs" dxfId="8930" priority="2434" operator="lessThan">
      <formula>0.8</formula>
    </cfRule>
  </conditionalFormatting>
  <conditionalFormatting sqref="P31:P38">
    <cfRule type="cellIs" dxfId="8929" priority="2432" operator="greaterThan">
      <formula>0</formula>
    </cfRule>
  </conditionalFormatting>
  <conditionalFormatting sqref="P31:P38">
    <cfRule type="cellIs" dxfId="8928" priority="2426" operator="greaterThan">
      <formula>0</formula>
    </cfRule>
  </conditionalFormatting>
  <conditionalFormatting sqref="Q31">
    <cfRule type="cellIs" dxfId="8927" priority="2431" operator="lessThan">
      <formula>0</formula>
    </cfRule>
  </conditionalFormatting>
  <conditionalFormatting sqref="R31">
    <cfRule type="cellIs" dxfId="8926" priority="2429" operator="lessThan">
      <formula>0.8</formula>
    </cfRule>
    <cfRule type="cellIs" dxfId="8925" priority="2430" operator="greaterThan">
      <formula>1</formula>
    </cfRule>
  </conditionalFormatting>
  <conditionalFormatting sqref="R31">
    <cfRule type="cellIs" dxfId="8924" priority="2427" operator="greaterThan">
      <formula>1</formula>
    </cfRule>
    <cfRule type="cellIs" dxfId="8923" priority="2428" operator="lessThan">
      <formula>0.8</formula>
    </cfRule>
  </conditionalFormatting>
  <conditionalFormatting sqref="P31:P38">
    <cfRule type="cellIs" dxfId="8922" priority="2420" operator="greaterThan">
      <formula>0</formula>
    </cfRule>
  </conditionalFormatting>
  <conditionalFormatting sqref="Q31">
    <cfRule type="cellIs" dxfId="8921" priority="2425" operator="lessThan">
      <formula>0</formula>
    </cfRule>
  </conditionalFormatting>
  <conditionalFormatting sqref="R31">
    <cfRule type="cellIs" dxfId="8920" priority="2423" operator="lessThan">
      <formula>0.8</formula>
    </cfRule>
    <cfRule type="cellIs" dxfId="8919" priority="2424" operator="greaterThan">
      <formula>1</formula>
    </cfRule>
  </conditionalFormatting>
  <conditionalFormatting sqref="R31">
    <cfRule type="cellIs" dxfId="8918" priority="2421" operator="greaterThan">
      <formula>1</formula>
    </cfRule>
    <cfRule type="cellIs" dxfId="8917" priority="2422" operator="lessThan">
      <formula>0.8</formula>
    </cfRule>
  </conditionalFormatting>
  <conditionalFormatting sqref="R31">
    <cfRule type="cellIs" dxfId="8916" priority="2417" operator="lessThan">
      <formula>0.8</formula>
    </cfRule>
    <cfRule type="cellIs" dxfId="8915" priority="2418" operator="greaterThan">
      <formula>1</formula>
    </cfRule>
  </conditionalFormatting>
  <conditionalFormatting sqref="R31">
    <cfRule type="cellIs" dxfId="8914" priority="2415" operator="greaterThan">
      <formula>1</formula>
    </cfRule>
    <cfRule type="cellIs" dxfId="8913" priority="2416" operator="lessThan">
      <formula>0.8</formula>
    </cfRule>
  </conditionalFormatting>
  <conditionalFormatting sqref="P31:P38">
    <cfRule type="cellIs" dxfId="8912" priority="2414" operator="greaterThan">
      <formula>0</formula>
    </cfRule>
  </conditionalFormatting>
  <conditionalFormatting sqref="Q31">
    <cfRule type="cellIs" dxfId="8911" priority="2419" operator="lessThan">
      <formula>0</formula>
    </cfRule>
  </conditionalFormatting>
  <conditionalFormatting sqref="Q31">
    <cfRule type="cellIs" dxfId="8910" priority="2413" operator="lessThan">
      <formula>0</formula>
    </cfRule>
  </conditionalFormatting>
  <conditionalFormatting sqref="R31">
    <cfRule type="cellIs" dxfId="8909" priority="2411" operator="lessThan">
      <formula>0.8</formula>
    </cfRule>
    <cfRule type="cellIs" dxfId="8908" priority="2412" operator="greaterThan">
      <formula>1</formula>
    </cfRule>
  </conditionalFormatting>
  <conditionalFormatting sqref="R31">
    <cfRule type="cellIs" dxfId="8907" priority="2409" operator="greaterThan">
      <formula>1</formula>
    </cfRule>
    <cfRule type="cellIs" dxfId="8906" priority="2410" operator="lessThan">
      <formula>0.8</formula>
    </cfRule>
  </conditionalFormatting>
  <conditionalFormatting sqref="P31:P38">
    <cfRule type="cellIs" dxfId="8905" priority="2408" operator="greaterThan">
      <formula>0</formula>
    </cfRule>
  </conditionalFormatting>
  <conditionalFormatting sqref="Q31">
    <cfRule type="cellIs" dxfId="8904" priority="2407" operator="lessThan">
      <formula>0</formula>
    </cfRule>
  </conditionalFormatting>
  <conditionalFormatting sqref="R31">
    <cfRule type="cellIs" dxfId="8903" priority="2405" operator="lessThan">
      <formula>0.8</formula>
    </cfRule>
    <cfRule type="cellIs" dxfId="8902" priority="2406" operator="greaterThan">
      <formula>1</formula>
    </cfRule>
  </conditionalFormatting>
  <conditionalFormatting sqref="R31">
    <cfRule type="cellIs" dxfId="8901" priority="2403" operator="greaterThan">
      <formula>1</formula>
    </cfRule>
    <cfRule type="cellIs" dxfId="8900" priority="2404" operator="lessThan">
      <formula>0.8</formula>
    </cfRule>
  </conditionalFormatting>
  <conditionalFormatting sqref="P31:P38">
    <cfRule type="cellIs" dxfId="8899" priority="2402" operator="greaterThan">
      <formula>0</formula>
    </cfRule>
  </conditionalFormatting>
  <conditionalFormatting sqref="Q31">
    <cfRule type="cellIs" dxfId="8898" priority="2401" operator="lessThan">
      <formula>0</formula>
    </cfRule>
  </conditionalFormatting>
  <conditionalFormatting sqref="R31">
    <cfRule type="cellIs" dxfId="8897" priority="2399" operator="lessThan">
      <formula>0.8</formula>
    </cfRule>
    <cfRule type="cellIs" dxfId="8896" priority="2400" operator="greaterThan">
      <formula>1</formula>
    </cfRule>
  </conditionalFormatting>
  <conditionalFormatting sqref="R31">
    <cfRule type="cellIs" dxfId="8895" priority="2397" operator="greaterThan">
      <formula>1</formula>
    </cfRule>
    <cfRule type="cellIs" dxfId="8894" priority="2398" operator="lessThan">
      <formula>0.8</formula>
    </cfRule>
  </conditionalFormatting>
  <conditionalFormatting sqref="P31:P38">
    <cfRule type="cellIs" dxfId="8893" priority="2396" operator="greaterThan">
      <formula>0</formula>
    </cfRule>
  </conditionalFormatting>
  <conditionalFormatting sqref="Q31">
    <cfRule type="cellIs" dxfId="8892" priority="2395" operator="lessThan">
      <formula>0</formula>
    </cfRule>
  </conditionalFormatting>
  <conditionalFormatting sqref="R31">
    <cfRule type="cellIs" dxfId="8891" priority="2393" operator="lessThan">
      <formula>0.8</formula>
    </cfRule>
    <cfRule type="cellIs" dxfId="8890" priority="2394" operator="greaterThan">
      <formula>1</formula>
    </cfRule>
  </conditionalFormatting>
  <conditionalFormatting sqref="R31">
    <cfRule type="cellIs" dxfId="8889" priority="2391" operator="greaterThan">
      <formula>1</formula>
    </cfRule>
    <cfRule type="cellIs" dxfId="8888" priority="2392" operator="lessThan">
      <formula>0.8</formula>
    </cfRule>
  </conditionalFormatting>
  <conditionalFormatting sqref="P31:P38">
    <cfRule type="cellIs" dxfId="8887" priority="2390" operator="greaterThan">
      <formula>0</formula>
    </cfRule>
  </conditionalFormatting>
  <conditionalFormatting sqref="P31:P38">
    <cfRule type="cellIs" dxfId="8886" priority="2384" operator="greaterThan">
      <formula>0</formula>
    </cfRule>
  </conditionalFormatting>
  <conditionalFormatting sqref="Q31">
    <cfRule type="cellIs" dxfId="8885" priority="2389" operator="lessThan">
      <formula>0</formula>
    </cfRule>
  </conditionalFormatting>
  <conditionalFormatting sqref="R31">
    <cfRule type="cellIs" dxfId="8884" priority="2387" operator="lessThan">
      <formula>0.8</formula>
    </cfRule>
    <cfRule type="cellIs" dxfId="8883" priority="2388" operator="greaterThan">
      <formula>1</formula>
    </cfRule>
  </conditionalFormatting>
  <conditionalFormatting sqref="R31">
    <cfRule type="cellIs" dxfId="8882" priority="2385" operator="greaterThan">
      <formula>1</formula>
    </cfRule>
    <cfRule type="cellIs" dxfId="8881" priority="2386" operator="lessThan">
      <formula>0.8</formula>
    </cfRule>
  </conditionalFormatting>
  <conditionalFormatting sqref="P31:P38">
    <cfRule type="cellIs" dxfId="8880" priority="2378" operator="greaterThan">
      <formula>0</formula>
    </cfRule>
  </conditionalFormatting>
  <conditionalFormatting sqref="Q31">
    <cfRule type="cellIs" dxfId="8879" priority="2383" operator="lessThan">
      <formula>0</formula>
    </cfRule>
  </conditionalFormatting>
  <conditionalFormatting sqref="R31">
    <cfRule type="cellIs" dxfId="8878" priority="2381" operator="lessThan">
      <formula>0.8</formula>
    </cfRule>
    <cfRule type="cellIs" dxfId="8877" priority="2382" operator="greaterThan">
      <formula>1</formula>
    </cfRule>
  </conditionalFormatting>
  <conditionalFormatting sqref="R31">
    <cfRule type="cellIs" dxfId="8876" priority="2379" operator="greaterThan">
      <formula>1</formula>
    </cfRule>
    <cfRule type="cellIs" dxfId="8875" priority="2380" operator="lessThan">
      <formula>0.8</formula>
    </cfRule>
  </conditionalFormatting>
  <conditionalFormatting sqref="R31">
    <cfRule type="cellIs" dxfId="8874" priority="2375" operator="lessThan">
      <formula>0.8</formula>
    </cfRule>
    <cfRule type="cellIs" dxfId="8873" priority="2376" operator="greaterThan">
      <formula>1</formula>
    </cfRule>
  </conditionalFormatting>
  <conditionalFormatting sqref="R31">
    <cfRule type="cellIs" dxfId="8872" priority="2373" operator="greaterThan">
      <formula>1</formula>
    </cfRule>
    <cfRule type="cellIs" dxfId="8871" priority="2374" operator="lessThan">
      <formula>0.8</formula>
    </cfRule>
  </conditionalFormatting>
  <conditionalFormatting sqref="P31:P38">
    <cfRule type="cellIs" dxfId="8870" priority="2372" operator="greaterThan">
      <formula>0</formula>
    </cfRule>
  </conditionalFormatting>
  <conditionalFormatting sqref="Q31">
    <cfRule type="cellIs" dxfId="8869" priority="2377" operator="lessThan">
      <formula>0</formula>
    </cfRule>
  </conditionalFormatting>
  <conditionalFormatting sqref="Q31">
    <cfRule type="cellIs" dxfId="8868" priority="2371" operator="lessThan">
      <formula>0</formula>
    </cfRule>
  </conditionalFormatting>
  <conditionalFormatting sqref="R31">
    <cfRule type="cellIs" dxfId="8867" priority="2369" operator="lessThan">
      <formula>0.8</formula>
    </cfRule>
    <cfRule type="cellIs" dxfId="8866" priority="2370" operator="greaterThan">
      <formula>1</formula>
    </cfRule>
  </conditionalFormatting>
  <conditionalFormatting sqref="R31">
    <cfRule type="cellIs" dxfId="8865" priority="2367" operator="greaterThan">
      <formula>1</formula>
    </cfRule>
    <cfRule type="cellIs" dxfId="8864" priority="2368" operator="lessThan">
      <formula>0.8</formula>
    </cfRule>
  </conditionalFormatting>
  <conditionalFormatting sqref="P31:P38">
    <cfRule type="cellIs" dxfId="8863" priority="2366" operator="greaterThan">
      <formula>0</formula>
    </cfRule>
  </conditionalFormatting>
  <conditionalFormatting sqref="P31:P38">
    <cfRule type="cellIs" dxfId="8862" priority="2360" operator="greaterThan">
      <formula>0</formula>
    </cfRule>
  </conditionalFormatting>
  <conditionalFormatting sqref="Q31">
    <cfRule type="cellIs" dxfId="8861" priority="2365" operator="lessThan">
      <formula>0</formula>
    </cfRule>
  </conditionalFormatting>
  <conditionalFormatting sqref="R31">
    <cfRule type="cellIs" dxfId="8860" priority="2363" operator="lessThan">
      <formula>0.8</formula>
    </cfRule>
    <cfRule type="cellIs" dxfId="8859" priority="2364" operator="greaterThan">
      <formula>1</formula>
    </cfRule>
  </conditionalFormatting>
  <conditionalFormatting sqref="R31">
    <cfRule type="cellIs" dxfId="8858" priority="2361" operator="greaterThan">
      <formula>1</formula>
    </cfRule>
    <cfRule type="cellIs" dxfId="8857" priority="2362" operator="lessThan">
      <formula>0.8</formula>
    </cfRule>
  </conditionalFormatting>
  <conditionalFormatting sqref="P31:P38">
    <cfRule type="cellIs" dxfId="8856" priority="2354" operator="greaterThan">
      <formula>0</formula>
    </cfRule>
  </conditionalFormatting>
  <conditionalFormatting sqref="Q31">
    <cfRule type="cellIs" dxfId="8855" priority="2359" operator="lessThan">
      <formula>0</formula>
    </cfRule>
  </conditionalFormatting>
  <conditionalFormatting sqref="R31">
    <cfRule type="cellIs" dxfId="8854" priority="2357" operator="lessThan">
      <formula>0.8</formula>
    </cfRule>
    <cfRule type="cellIs" dxfId="8853" priority="2358" operator="greaterThan">
      <formula>1</formula>
    </cfRule>
  </conditionalFormatting>
  <conditionalFormatting sqref="R31">
    <cfRule type="cellIs" dxfId="8852" priority="2355" operator="greaterThan">
      <formula>1</formula>
    </cfRule>
    <cfRule type="cellIs" dxfId="8851" priority="2356" operator="lessThan">
      <formula>0.8</formula>
    </cfRule>
  </conditionalFormatting>
  <conditionalFormatting sqref="R31">
    <cfRule type="cellIs" dxfId="8850" priority="2351" operator="lessThan">
      <formula>0.8</formula>
    </cfRule>
    <cfRule type="cellIs" dxfId="8849" priority="2352" operator="greaterThan">
      <formula>1</formula>
    </cfRule>
  </conditionalFormatting>
  <conditionalFormatting sqref="R31">
    <cfRule type="cellIs" dxfId="8848" priority="2349" operator="greaterThan">
      <formula>1</formula>
    </cfRule>
    <cfRule type="cellIs" dxfId="8847" priority="2350" operator="lessThan">
      <formula>0.8</formula>
    </cfRule>
  </conditionalFormatting>
  <conditionalFormatting sqref="P31:P38">
    <cfRule type="cellIs" dxfId="8846" priority="2348" operator="greaterThan">
      <formula>0</formula>
    </cfRule>
  </conditionalFormatting>
  <conditionalFormatting sqref="Q31">
    <cfRule type="cellIs" dxfId="8845" priority="2353" operator="lessThan">
      <formula>0</formula>
    </cfRule>
  </conditionalFormatting>
  <conditionalFormatting sqref="P31:P38">
    <cfRule type="cellIs" dxfId="8844" priority="2342" operator="greaterThan">
      <formula>0</formula>
    </cfRule>
  </conditionalFormatting>
  <conditionalFormatting sqref="Q31">
    <cfRule type="cellIs" dxfId="8843" priority="2347" operator="lessThan">
      <formula>0</formula>
    </cfRule>
  </conditionalFormatting>
  <conditionalFormatting sqref="R31">
    <cfRule type="cellIs" dxfId="8842" priority="2345" operator="lessThan">
      <formula>0.8</formula>
    </cfRule>
    <cfRule type="cellIs" dxfId="8841" priority="2346" operator="greaterThan">
      <formula>1</formula>
    </cfRule>
  </conditionalFormatting>
  <conditionalFormatting sqref="R31">
    <cfRule type="cellIs" dxfId="8840" priority="2343" operator="greaterThan">
      <formula>1</formula>
    </cfRule>
    <cfRule type="cellIs" dxfId="8839" priority="2344" operator="lessThan">
      <formula>0.8</formula>
    </cfRule>
  </conditionalFormatting>
  <conditionalFormatting sqref="R31">
    <cfRule type="cellIs" dxfId="8838" priority="2339" operator="lessThan">
      <formula>0.8</formula>
    </cfRule>
    <cfRule type="cellIs" dxfId="8837" priority="2340" operator="greaterThan">
      <formula>1</formula>
    </cfRule>
  </conditionalFormatting>
  <conditionalFormatting sqref="R31">
    <cfRule type="cellIs" dxfId="8836" priority="2337" operator="greaterThan">
      <formula>1</formula>
    </cfRule>
    <cfRule type="cellIs" dxfId="8835" priority="2338" operator="lessThan">
      <formula>0.8</formula>
    </cfRule>
  </conditionalFormatting>
  <conditionalFormatting sqref="P31:P38">
    <cfRule type="cellIs" dxfId="8834" priority="2336" operator="greaterThan">
      <formula>0</formula>
    </cfRule>
  </conditionalFormatting>
  <conditionalFormatting sqref="Q31">
    <cfRule type="cellIs" dxfId="8833" priority="2341" operator="lessThan">
      <formula>0</formula>
    </cfRule>
  </conditionalFormatting>
  <conditionalFormatting sqref="R31">
    <cfRule type="cellIs" dxfId="8832" priority="2333" operator="lessThan">
      <formula>0.8</formula>
    </cfRule>
    <cfRule type="cellIs" dxfId="8831" priority="2334" operator="greaterThan">
      <formula>1</formula>
    </cfRule>
  </conditionalFormatting>
  <conditionalFormatting sqref="R31">
    <cfRule type="cellIs" dxfId="8830" priority="2331" operator="greaterThan">
      <formula>1</formula>
    </cfRule>
    <cfRule type="cellIs" dxfId="8829" priority="2332" operator="lessThan">
      <formula>0.8</formula>
    </cfRule>
  </conditionalFormatting>
  <conditionalFormatting sqref="P31:P38">
    <cfRule type="cellIs" dxfId="8828" priority="2330" operator="greaterThan">
      <formula>0</formula>
    </cfRule>
  </conditionalFormatting>
  <conditionalFormatting sqref="Q31">
    <cfRule type="cellIs" dxfId="8827" priority="2335" operator="lessThan">
      <formula>0</formula>
    </cfRule>
  </conditionalFormatting>
  <conditionalFormatting sqref="Q31">
    <cfRule type="cellIs" dxfId="8826" priority="2329" operator="lessThan">
      <formula>0</formula>
    </cfRule>
  </conditionalFormatting>
  <conditionalFormatting sqref="R31">
    <cfRule type="cellIs" dxfId="8825" priority="2327" operator="lessThan">
      <formula>0.8</formula>
    </cfRule>
    <cfRule type="cellIs" dxfId="8824" priority="2328" operator="greaterThan">
      <formula>1</formula>
    </cfRule>
  </conditionalFormatting>
  <conditionalFormatting sqref="R31">
    <cfRule type="cellIs" dxfId="8823" priority="2325" operator="greaterThan">
      <formula>1</formula>
    </cfRule>
    <cfRule type="cellIs" dxfId="8822" priority="2326" operator="lessThan">
      <formula>0.8</formula>
    </cfRule>
  </conditionalFormatting>
  <conditionalFormatting sqref="P31:P38">
    <cfRule type="cellIs" dxfId="8821" priority="2324" operator="greaterThan">
      <formula>0</formula>
    </cfRule>
  </conditionalFormatting>
  <conditionalFormatting sqref="Q31">
    <cfRule type="cellIs" dxfId="8820" priority="2318" operator="lessThan">
      <formula>0</formula>
    </cfRule>
  </conditionalFormatting>
  <conditionalFormatting sqref="R31">
    <cfRule type="cellIs" dxfId="8819" priority="2322" operator="lessThan">
      <formula>0.8</formula>
    </cfRule>
    <cfRule type="cellIs" dxfId="8818" priority="2323" operator="greaterThan">
      <formula>1</formula>
    </cfRule>
  </conditionalFormatting>
  <conditionalFormatting sqref="R31">
    <cfRule type="cellIs" dxfId="8817" priority="2320" operator="greaterThan">
      <formula>1</formula>
    </cfRule>
    <cfRule type="cellIs" dxfId="8816" priority="2321" operator="lessThan">
      <formula>0.8</formula>
    </cfRule>
  </conditionalFormatting>
  <conditionalFormatting sqref="P31:P38">
    <cfRule type="cellIs" dxfId="8815" priority="2319" operator="greaterThan">
      <formula>0</formula>
    </cfRule>
  </conditionalFormatting>
  <conditionalFormatting sqref="Q31">
    <cfRule type="cellIs" dxfId="8814" priority="2317" operator="lessThan">
      <formula>0</formula>
    </cfRule>
  </conditionalFormatting>
  <conditionalFormatting sqref="R31">
    <cfRule type="cellIs" dxfId="8813" priority="2315" operator="lessThan">
      <formula>0.8</formula>
    </cfRule>
    <cfRule type="cellIs" dxfId="8812" priority="2316" operator="greaterThan">
      <formula>1</formula>
    </cfRule>
  </conditionalFormatting>
  <conditionalFormatting sqref="R31">
    <cfRule type="cellIs" dxfId="8811" priority="2313" operator="greaterThan">
      <formula>1</formula>
    </cfRule>
    <cfRule type="cellIs" dxfId="8810" priority="2314" operator="lessThan">
      <formula>0.8</formula>
    </cfRule>
  </conditionalFormatting>
  <conditionalFormatting sqref="P31:P38">
    <cfRule type="cellIs" dxfId="8809" priority="2312" operator="greaterThan">
      <formula>0</formula>
    </cfRule>
  </conditionalFormatting>
  <conditionalFormatting sqref="Q31">
    <cfRule type="cellIs" dxfId="8808" priority="2311" operator="lessThan">
      <formula>0</formula>
    </cfRule>
  </conditionalFormatting>
  <conditionalFormatting sqref="R31">
    <cfRule type="cellIs" dxfId="8807" priority="2309" operator="lessThan">
      <formula>0.8</formula>
    </cfRule>
    <cfRule type="cellIs" dxfId="8806" priority="2310" operator="greaterThan">
      <formula>1</formula>
    </cfRule>
  </conditionalFormatting>
  <conditionalFormatting sqref="R31">
    <cfRule type="cellIs" dxfId="8805" priority="2307" operator="greaterThan">
      <formula>1</formula>
    </cfRule>
    <cfRule type="cellIs" dxfId="8804" priority="2308" operator="lessThan">
      <formula>0.8</formula>
    </cfRule>
  </conditionalFormatting>
  <conditionalFormatting sqref="P31:P38">
    <cfRule type="cellIs" dxfId="8803" priority="2306" operator="greaterThan">
      <formula>0</formula>
    </cfRule>
  </conditionalFormatting>
  <conditionalFormatting sqref="Q31">
    <cfRule type="cellIs" dxfId="8802" priority="2305" operator="lessThan">
      <formula>0</formula>
    </cfRule>
  </conditionalFormatting>
  <conditionalFormatting sqref="R31">
    <cfRule type="cellIs" dxfId="8801" priority="2303" operator="lessThan">
      <formula>0.8</formula>
    </cfRule>
    <cfRule type="cellIs" dxfId="8800" priority="2304" operator="greaterThan">
      <formula>1</formula>
    </cfRule>
  </conditionalFormatting>
  <conditionalFormatting sqref="R31">
    <cfRule type="cellIs" dxfId="8799" priority="2301" operator="greaterThan">
      <formula>1</formula>
    </cfRule>
    <cfRule type="cellIs" dxfId="8798" priority="2302" operator="lessThan">
      <formula>0.8</formula>
    </cfRule>
  </conditionalFormatting>
  <conditionalFormatting sqref="P31:P38">
    <cfRule type="cellIs" dxfId="8797" priority="2300" operator="greaterThan">
      <formula>0</formula>
    </cfRule>
  </conditionalFormatting>
  <conditionalFormatting sqref="Q31">
    <cfRule type="cellIs" dxfId="8796" priority="2299" operator="lessThan">
      <formula>0</formula>
    </cfRule>
  </conditionalFormatting>
  <conditionalFormatting sqref="R31">
    <cfRule type="cellIs" dxfId="8795" priority="2297" operator="lessThan">
      <formula>0.8</formula>
    </cfRule>
    <cfRule type="cellIs" dxfId="8794" priority="2298" operator="greaterThan">
      <formula>1</formula>
    </cfRule>
  </conditionalFormatting>
  <conditionalFormatting sqref="R31">
    <cfRule type="cellIs" dxfId="8793" priority="2295" operator="greaterThan">
      <formula>1</formula>
    </cfRule>
    <cfRule type="cellIs" dxfId="8792" priority="2296" operator="lessThan">
      <formula>0.8</formula>
    </cfRule>
  </conditionalFormatting>
  <conditionalFormatting sqref="P31:P38">
    <cfRule type="cellIs" dxfId="8791" priority="2294" operator="greaterThan">
      <formula>0</formula>
    </cfRule>
  </conditionalFormatting>
  <conditionalFormatting sqref="Q31">
    <cfRule type="cellIs" dxfId="8790" priority="2293" operator="lessThan">
      <formula>0</formula>
    </cfRule>
  </conditionalFormatting>
  <conditionalFormatting sqref="R31">
    <cfRule type="cellIs" dxfId="8789" priority="2291" operator="lessThan">
      <formula>0.8</formula>
    </cfRule>
    <cfRule type="cellIs" dxfId="8788" priority="2292" operator="greaterThan">
      <formula>1</formula>
    </cfRule>
  </conditionalFormatting>
  <conditionalFormatting sqref="R31">
    <cfRule type="cellIs" dxfId="8787" priority="2289" operator="greaterThan">
      <formula>1</formula>
    </cfRule>
    <cfRule type="cellIs" dxfId="8786" priority="2290" operator="lessThan">
      <formula>0.8</formula>
    </cfRule>
  </conditionalFormatting>
  <conditionalFormatting sqref="P31:P38">
    <cfRule type="cellIs" dxfId="8785" priority="2288" operator="greaterThan">
      <formula>0</formula>
    </cfRule>
  </conditionalFormatting>
  <conditionalFormatting sqref="P31:P38">
    <cfRule type="cellIs" dxfId="8784" priority="2282" operator="greaterThan">
      <formula>0</formula>
    </cfRule>
  </conditionalFormatting>
  <conditionalFormatting sqref="Q31">
    <cfRule type="cellIs" dxfId="8783" priority="2287" operator="lessThan">
      <formula>0</formula>
    </cfRule>
  </conditionalFormatting>
  <conditionalFormatting sqref="R31">
    <cfRule type="cellIs" dxfId="8782" priority="2285" operator="lessThan">
      <formula>0.8</formula>
    </cfRule>
    <cfRule type="cellIs" dxfId="8781" priority="2286" operator="greaterThan">
      <formula>1</formula>
    </cfRule>
  </conditionalFormatting>
  <conditionalFormatting sqref="R31">
    <cfRule type="cellIs" dxfId="8780" priority="2283" operator="greaterThan">
      <formula>1</formula>
    </cfRule>
    <cfRule type="cellIs" dxfId="8779" priority="2284" operator="lessThan">
      <formula>0.8</formula>
    </cfRule>
  </conditionalFormatting>
  <conditionalFormatting sqref="P31:P38">
    <cfRule type="cellIs" dxfId="8778" priority="2276" operator="greaterThan">
      <formula>0</formula>
    </cfRule>
  </conditionalFormatting>
  <conditionalFormatting sqref="Q31">
    <cfRule type="cellIs" dxfId="8777" priority="2281" operator="lessThan">
      <formula>0</formula>
    </cfRule>
  </conditionalFormatting>
  <conditionalFormatting sqref="R31">
    <cfRule type="cellIs" dxfId="8776" priority="2279" operator="lessThan">
      <formula>0.8</formula>
    </cfRule>
    <cfRule type="cellIs" dxfId="8775" priority="2280" operator="greaterThan">
      <formula>1</formula>
    </cfRule>
  </conditionalFormatting>
  <conditionalFormatting sqref="R31">
    <cfRule type="cellIs" dxfId="8774" priority="2277" operator="greaterThan">
      <formula>1</formula>
    </cfRule>
    <cfRule type="cellIs" dxfId="8773" priority="2278" operator="lessThan">
      <formula>0.8</formula>
    </cfRule>
  </conditionalFormatting>
  <conditionalFormatting sqref="R31">
    <cfRule type="cellIs" dxfId="8772" priority="2273" operator="lessThan">
      <formula>0.8</formula>
    </cfRule>
    <cfRule type="cellIs" dxfId="8771" priority="2274" operator="greaterThan">
      <formula>1</formula>
    </cfRule>
  </conditionalFormatting>
  <conditionalFormatting sqref="R31">
    <cfRule type="cellIs" dxfId="8770" priority="2271" operator="greaterThan">
      <formula>1</formula>
    </cfRule>
    <cfRule type="cellIs" dxfId="8769" priority="2272" operator="lessThan">
      <formula>0.8</formula>
    </cfRule>
  </conditionalFormatting>
  <conditionalFormatting sqref="P31:P38">
    <cfRule type="cellIs" dxfId="8768" priority="2270" operator="greaterThan">
      <formula>0</formula>
    </cfRule>
  </conditionalFormatting>
  <conditionalFormatting sqref="Q31">
    <cfRule type="cellIs" dxfId="8767" priority="2275" operator="lessThan">
      <formula>0</formula>
    </cfRule>
  </conditionalFormatting>
  <conditionalFormatting sqref="P79">
    <cfRule type="cellIs" dxfId="8766" priority="2264" operator="greaterThan">
      <formula>0</formula>
    </cfRule>
  </conditionalFormatting>
  <conditionalFormatting sqref="Q79">
    <cfRule type="cellIs" dxfId="8765" priority="2269" operator="lessThan">
      <formula>0</formula>
    </cfRule>
  </conditionalFormatting>
  <conditionalFormatting sqref="R79">
    <cfRule type="cellIs" dxfId="8764" priority="2267" operator="lessThan">
      <formula>0.8</formula>
    </cfRule>
    <cfRule type="cellIs" dxfId="8763" priority="2268" operator="greaterThan">
      <formula>1</formula>
    </cfRule>
  </conditionalFormatting>
  <conditionalFormatting sqref="R79">
    <cfRule type="cellIs" dxfId="8762" priority="2265" operator="greaterThan">
      <formula>1</formula>
    </cfRule>
    <cfRule type="cellIs" dxfId="8761" priority="2266" operator="lessThan">
      <formula>0.8</formula>
    </cfRule>
  </conditionalFormatting>
  <conditionalFormatting sqref="Q79">
    <cfRule type="cellIs" dxfId="8760" priority="2263" operator="lessThan">
      <formula>0</formula>
    </cfRule>
  </conditionalFormatting>
  <conditionalFormatting sqref="R79">
    <cfRule type="cellIs" dxfId="8759" priority="2261" operator="lessThan">
      <formula>0.8</formula>
    </cfRule>
    <cfRule type="cellIs" dxfId="8758" priority="2262" operator="greaterThan">
      <formula>1</formula>
    </cfRule>
  </conditionalFormatting>
  <conditionalFormatting sqref="R79">
    <cfRule type="cellIs" dxfId="8757" priority="2259" operator="greaterThan">
      <formula>1</formula>
    </cfRule>
    <cfRule type="cellIs" dxfId="8756" priority="2260" operator="lessThan">
      <formula>0.8</formula>
    </cfRule>
  </conditionalFormatting>
  <conditionalFormatting sqref="P79">
    <cfRule type="cellIs" dxfId="8755" priority="2258" operator="greaterThan">
      <formula>0</formula>
    </cfRule>
  </conditionalFormatting>
  <conditionalFormatting sqref="P79">
    <cfRule type="cellIs" dxfId="8754" priority="2252" operator="greaterThan">
      <formula>0</formula>
    </cfRule>
  </conditionalFormatting>
  <conditionalFormatting sqref="Q79">
    <cfRule type="cellIs" dxfId="8753" priority="2257" operator="lessThan">
      <formula>0</formula>
    </cfRule>
  </conditionalFormatting>
  <conditionalFormatting sqref="R79">
    <cfRule type="cellIs" dxfId="8752" priority="2255" operator="lessThan">
      <formula>0.8</formula>
    </cfRule>
    <cfRule type="cellIs" dxfId="8751" priority="2256" operator="greaterThan">
      <formula>1</formula>
    </cfRule>
  </conditionalFormatting>
  <conditionalFormatting sqref="R79">
    <cfRule type="cellIs" dxfId="8750" priority="2253" operator="greaterThan">
      <formula>1</formula>
    </cfRule>
    <cfRule type="cellIs" dxfId="8749" priority="2254" operator="lessThan">
      <formula>0.8</formula>
    </cfRule>
  </conditionalFormatting>
  <conditionalFormatting sqref="Q79">
    <cfRule type="cellIs" dxfId="8748" priority="2246" operator="lessThan">
      <formula>0</formula>
    </cfRule>
  </conditionalFormatting>
  <conditionalFormatting sqref="P79">
    <cfRule type="cellIs" dxfId="8747" priority="2247" operator="greaterThan">
      <formula>0</formula>
    </cfRule>
  </conditionalFormatting>
  <conditionalFormatting sqref="R79">
    <cfRule type="cellIs" dxfId="8746" priority="2250" operator="lessThan">
      <formula>0.8</formula>
    </cfRule>
    <cfRule type="cellIs" dxfId="8745" priority="2251" operator="greaterThan">
      <formula>1</formula>
    </cfRule>
  </conditionalFormatting>
  <conditionalFormatting sqref="R79">
    <cfRule type="cellIs" dxfId="8744" priority="2248" operator="greaterThan">
      <formula>1</formula>
    </cfRule>
    <cfRule type="cellIs" dxfId="8743" priority="2249" operator="lessThan">
      <formula>0.8</formula>
    </cfRule>
  </conditionalFormatting>
  <conditionalFormatting sqref="Q79">
    <cfRule type="cellIs" dxfId="8742" priority="2240" operator="lessThan">
      <formula>0</formula>
    </cfRule>
  </conditionalFormatting>
  <conditionalFormatting sqref="R79">
    <cfRule type="cellIs" dxfId="8741" priority="2244" operator="lessThan">
      <formula>0.8</formula>
    </cfRule>
    <cfRule type="cellIs" dxfId="8740" priority="2245" operator="greaterThan">
      <formula>1</formula>
    </cfRule>
  </conditionalFormatting>
  <conditionalFormatting sqref="R79">
    <cfRule type="cellIs" dxfId="8739" priority="2242" operator="greaterThan">
      <formula>1</formula>
    </cfRule>
    <cfRule type="cellIs" dxfId="8738" priority="2243" operator="lessThan">
      <formula>0.8</formula>
    </cfRule>
  </conditionalFormatting>
  <conditionalFormatting sqref="P79">
    <cfRule type="cellIs" dxfId="8737" priority="2241" operator="greaterThan">
      <formula>0</formula>
    </cfRule>
  </conditionalFormatting>
  <conditionalFormatting sqref="Q79">
    <cfRule type="cellIs" dxfId="8736" priority="2239" operator="lessThan">
      <formula>0</formula>
    </cfRule>
  </conditionalFormatting>
  <conditionalFormatting sqref="R79">
    <cfRule type="cellIs" dxfId="8735" priority="2237" operator="lessThan">
      <formula>0.8</formula>
    </cfRule>
    <cfRule type="cellIs" dxfId="8734" priority="2238" operator="greaterThan">
      <formula>1</formula>
    </cfRule>
  </conditionalFormatting>
  <conditionalFormatting sqref="R79">
    <cfRule type="cellIs" dxfId="8733" priority="2235" operator="greaterThan">
      <formula>1</formula>
    </cfRule>
    <cfRule type="cellIs" dxfId="8732" priority="2236" operator="lessThan">
      <formula>0.8</formula>
    </cfRule>
  </conditionalFormatting>
  <conditionalFormatting sqref="P79">
    <cfRule type="cellIs" dxfId="8731" priority="2234" operator="greaterThan">
      <formula>0</formula>
    </cfRule>
  </conditionalFormatting>
  <conditionalFormatting sqref="Q79">
    <cfRule type="cellIs" dxfId="8730" priority="2233" operator="lessThan">
      <formula>0</formula>
    </cfRule>
  </conditionalFormatting>
  <conditionalFormatting sqref="R79">
    <cfRule type="cellIs" dxfId="8729" priority="2231" operator="lessThan">
      <formula>0.8</formula>
    </cfRule>
    <cfRule type="cellIs" dxfId="8728" priority="2232" operator="greaterThan">
      <formula>1</formula>
    </cfRule>
  </conditionalFormatting>
  <conditionalFormatting sqref="R79">
    <cfRule type="cellIs" dxfId="8727" priority="2229" operator="greaterThan">
      <formula>1</formula>
    </cfRule>
    <cfRule type="cellIs" dxfId="8726" priority="2230" operator="lessThan">
      <formula>0.8</formula>
    </cfRule>
  </conditionalFormatting>
  <conditionalFormatting sqref="P79">
    <cfRule type="cellIs" dxfId="8725" priority="2228" operator="greaterThan">
      <formula>0</formula>
    </cfRule>
  </conditionalFormatting>
  <conditionalFormatting sqref="P79">
    <cfRule type="cellIs" dxfId="8724" priority="2222" operator="greaterThan">
      <formula>0</formula>
    </cfRule>
  </conditionalFormatting>
  <conditionalFormatting sqref="Q79">
    <cfRule type="cellIs" dxfId="8723" priority="2227" operator="lessThan">
      <formula>0</formula>
    </cfRule>
  </conditionalFormatting>
  <conditionalFormatting sqref="R79">
    <cfRule type="cellIs" dxfId="8722" priority="2225" operator="lessThan">
      <formula>0.8</formula>
    </cfRule>
    <cfRule type="cellIs" dxfId="8721" priority="2226" operator="greaterThan">
      <formula>1</formula>
    </cfRule>
  </conditionalFormatting>
  <conditionalFormatting sqref="R79">
    <cfRule type="cellIs" dxfId="8720" priority="2223" operator="greaterThan">
      <formula>1</formula>
    </cfRule>
    <cfRule type="cellIs" dxfId="8719" priority="2224" operator="lessThan">
      <formula>0.8</formula>
    </cfRule>
  </conditionalFormatting>
  <conditionalFormatting sqref="P71:P78">
    <cfRule type="cellIs" dxfId="8718" priority="2216" operator="greaterThan">
      <formula>0</formula>
    </cfRule>
  </conditionalFormatting>
  <conditionalFormatting sqref="Q71:Q78">
    <cfRule type="cellIs" dxfId="8717" priority="2221" operator="lessThan">
      <formula>0</formula>
    </cfRule>
  </conditionalFormatting>
  <conditionalFormatting sqref="R71:R78">
    <cfRule type="cellIs" dxfId="8716" priority="2219" operator="lessThan">
      <formula>0.8</formula>
    </cfRule>
    <cfRule type="cellIs" dxfId="8715" priority="2220" operator="greaterThan">
      <formula>1</formula>
    </cfRule>
  </conditionalFormatting>
  <conditionalFormatting sqref="R71:R78">
    <cfRule type="cellIs" dxfId="8714" priority="2217" operator="greaterThan">
      <formula>1</formula>
    </cfRule>
    <cfRule type="cellIs" dxfId="8713" priority="2218" operator="lessThan">
      <formula>0.8</formula>
    </cfRule>
  </conditionalFormatting>
  <conditionalFormatting sqref="Q148:Q154">
    <cfRule type="cellIs" dxfId="8712" priority="2215" operator="lessThan">
      <formula>0</formula>
    </cfRule>
  </conditionalFormatting>
  <conditionalFormatting sqref="R148:R154">
    <cfRule type="cellIs" dxfId="8711" priority="2213" operator="lessThan">
      <formula>0.8</formula>
    </cfRule>
    <cfRule type="cellIs" dxfId="8710" priority="2214" operator="greaterThan">
      <formula>1</formula>
    </cfRule>
  </conditionalFormatting>
  <conditionalFormatting sqref="R148:R154">
    <cfRule type="cellIs" dxfId="8709" priority="2211" operator="greaterThan">
      <formula>1</formula>
    </cfRule>
    <cfRule type="cellIs" dxfId="8708" priority="2212" operator="lessThan">
      <formula>0.8</formula>
    </cfRule>
  </conditionalFormatting>
  <conditionalFormatting sqref="P148:P154">
    <cfRule type="cellIs" dxfId="8707" priority="2210" operator="greaterThan">
      <formula>0</formula>
    </cfRule>
  </conditionalFormatting>
  <conditionalFormatting sqref="Q148:Q154">
    <cfRule type="cellIs" dxfId="8706" priority="2209" operator="lessThan">
      <formula>0</formula>
    </cfRule>
  </conditionalFormatting>
  <conditionalFormatting sqref="R148:R154">
    <cfRule type="cellIs" dxfId="8705" priority="2207" operator="lessThan">
      <formula>0.8</formula>
    </cfRule>
    <cfRule type="cellIs" dxfId="8704" priority="2208" operator="greaterThan">
      <formula>1</formula>
    </cfRule>
  </conditionalFormatting>
  <conditionalFormatting sqref="R148:R154">
    <cfRule type="cellIs" dxfId="8703" priority="2205" operator="greaterThan">
      <formula>1</formula>
    </cfRule>
    <cfRule type="cellIs" dxfId="8702" priority="2206" operator="lessThan">
      <formula>0.8</formula>
    </cfRule>
  </conditionalFormatting>
  <conditionalFormatting sqref="P148:P154">
    <cfRule type="cellIs" dxfId="8701" priority="2204" operator="greaterThan">
      <formula>0</formula>
    </cfRule>
  </conditionalFormatting>
  <conditionalFormatting sqref="Q148:Q154">
    <cfRule type="cellIs" dxfId="8700" priority="2203" operator="lessThan">
      <formula>0</formula>
    </cfRule>
  </conditionalFormatting>
  <conditionalFormatting sqref="R148:R154">
    <cfRule type="cellIs" dxfId="8699" priority="2201" operator="lessThan">
      <formula>0.8</formula>
    </cfRule>
    <cfRule type="cellIs" dxfId="8698" priority="2202" operator="greaterThan">
      <formula>1</formula>
    </cfRule>
  </conditionalFormatting>
  <conditionalFormatting sqref="R148:R154">
    <cfRule type="cellIs" dxfId="8697" priority="2199" operator="greaterThan">
      <formula>1</formula>
    </cfRule>
    <cfRule type="cellIs" dxfId="8696" priority="2200" operator="lessThan">
      <formula>0.8</formula>
    </cfRule>
  </conditionalFormatting>
  <conditionalFormatting sqref="P148:P154">
    <cfRule type="cellIs" dxfId="8695" priority="2198" operator="greaterThan">
      <formula>0</formula>
    </cfRule>
  </conditionalFormatting>
  <conditionalFormatting sqref="Q148:Q154">
    <cfRule type="cellIs" dxfId="8694" priority="2197" operator="lessThan">
      <formula>0</formula>
    </cfRule>
  </conditionalFormatting>
  <conditionalFormatting sqref="R148:R154">
    <cfRule type="cellIs" dxfId="8693" priority="2195" operator="lessThan">
      <formula>0.8</formula>
    </cfRule>
    <cfRule type="cellIs" dxfId="8692" priority="2196" operator="greaterThan">
      <formula>1</formula>
    </cfRule>
  </conditionalFormatting>
  <conditionalFormatting sqref="R148:R154">
    <cfRule type="cellIs" dxfId="8691" priority="2193" operator="greaterThan">
      <formula>1</formula>
    </cfRule>
    <cfRule type="cellIs" dxfId="8690" priority="2194" operator="lessThan">
      <formula>0.8</formula>
    </cfRule>
  </conditionalFormatting>
  <conditionalFormatting sqref="P148:P154">
    <cfRule type="cellIs" dxfId="8689" priority="2192" operator="greaterThan">
      <formula>0</formula>
    </cfRule>
  </conditionalFormatting>
  <conditionalFormatting sqref="P148:P154">
    <cfRule type="cellIs" dxfId="8688" priority="2186" operator="greaterThan">
      <formula>0</formula>
    </cfRule>
  </conditionalFormatting>
  <conditionalFormatting sqref="Q148:Q154">
    <cfRule type="cellIs" dxfId="8687" priority="2191" operator="lessThan">
      <formula>0</formula>
    </cfRule>
  </conditionalFormatting>
  <conditionalFormatting sqref="R148:R154">
    <cfRule type="cellIs" dxfId="8686" priority="2189" operator="lessThan">
      <formula>0.8</formula>
    </cfRule>
    <cfRule type="cellIs" dxfId="8685" priority="2190" operator="greaterThan">
      <formula>1</formula>
    </cfRule>
  </conditionalFormatting>
  <conditionalFormatting sqref="R148:R154">
    <cfRule type="cellIs" dxfId="8684" priority="2187" operator="greaterThan">
      <formula>1</formula>
    </cfRule>
    <cfRule type="cellIs" dxfId="8683" priority="2188" operator="lessThan">
      <formula>0.8</formula>
    </cfRule>
  </conditionalFormatting>
  <conditionalFormatting sqref="P148:P154">
    <cfRule type="cellIs" dxfId="8682" priority="2180" operator="greaterThan">
      <formula>0</formula>
    </cfRule>
  </conditionalFormatting>
  <conditionalFormatting sqref="Q148:Q154">
    <cfRule type="cellIs" dxfId="8681" priority="2185" operator="lessThan">
      <formula>0</formula>
    </cfRule>
  </conditionalFormatting>
  <conditionalFormatting sqref="R148:R154">
    <cfRule type="cellIs" dxfId="8680" priority="2183" operator="lessThan">
      <formula>0.8</formula>
    </cfRule>
    <cfRule type="cellIs" dxfId="8679" priority="2184" operator="greaterThan">
      <formula>1</formula>
    </cfRule>
  </conditionalFormatting>
  <conditionalFormatting sqref="R148:R154">
    <cfRule type="cellIs" dxfId="8678" priority="2181" operator="greaterThan">
      <formula>1</formula>
    </cfRule>
    <cfRule type="cellIs" dxfId="8677" priority="2182" operator="lessThan">
      <formula>0.8</formula>
    </cfRule>
  </conditionalFormatting>
  <conditionalFormatting sqref="R148:R154">
    <cfRule type="cellIs" dxfId="8676" priority="2177" operator="lessThan">
      <formula>0.8</formula>
    </cfRule>
    <cfRule type="cellIs" dxfId="8675" priority="2178" operator="greaterThan">
      <formula>1</formula>
    </cfRule>
  </conditionalFormatting>
  <conditionalFormatting sqref="R148:R154">
    <cfRule type="cellIs" dxfId="8674" priority="2175" operator="greaterThan">
      <formula>1</formula>
    </cfRule>
    <cfRule type="cellIs" dxfId="8673" priority="2176" operator="lessThan">
      <formula>0.8</formula>
    </cfRule>
  </conditionalFormatting>
  <conditionalFormatting sqref="P148:P154">
    <cfRule type="cellIs" dxfId="8672" priority="2174" operator="greaterThan">
      <formula>0</formula>
    </cfRule>
  </conditionalFormatting>
  <conditionalFormatting sqref="Q148:Q154">
    <cfRule type="cellIs" dxfId="8671" priority="2179" operator="lessThan">
      <formula>0</formula>
    </cfRule>
  </conditionalFormatting>
  <conditionalFormatting sqref="Q148:Q154">
    <cfRule type="cellIs" dxfId="8670" priority="2173" operator="lessThan">
      <formula>0</formula>
    </cfRule>
  </conditionalFormatting>
  <conditionalFormatting sqref="R148:R154">
    <cfRule type="cellIs" dxfId="8669" priority="2171" operator="lessThan">
      <formula>0.8</formula>
    </cfRule>
    <cfRule type="cellIs" dxfId="8668" priority="2172" operator="greaterThan">
      <formula>1</formula>
    </cfRule>
  </conditionalFormatting>
  <conditionalFormatting sqref="R148:R154">
    <cfRule type="cellIs" dxfId="8667" priority="2169" operator="greaterThan">
      <formula>1</formula>
    </cfRule>
    <cfRule type="cellIs" dxfId="8666" priority="2170" operator="lessThan">
      <formula>0.8</formula>
    </cfRule>
  </conditionalFormatting>
  <conditionalFormatting sqref="P148:P154">
    <cfRule type="cellIs" dxfId="8665" priority="2168" operator="greaterThan">
      <formula>0</formula>
    </cfRule>
  </conditionalFormatting>
  <conditionalFormatting sqref="P148:P154">
    <cfRule type="cellIs" dxfId="8664" priority="2162" operator="greaterThan">
      <formula>0</formula>
    </cfRule>
  </conditionalFormatting>
  <conditionalFormatting sqref="Q148:Q154">
    <cfRule type="cellIs" dxfId="8663" priority="2167" operator="lessThan">
      <formula>0</formula>
    </cfRule>
  </conditionalFormatting>
  <conditionalFormatting sqref="R148:R154">
    <cfRule type="cellIs" dxfId="8662" priority="2165" operator="lessThan">
      <formula>0.8</formula>
    </cfRule>
    <cfRule type="cellIs" dxfId="8661" priority="2166" operator="greaterThan">
      <formula>1</formula>
    </cfRule>
  </conditionalFormatting>
  <conditionalFormatting sqref="R148:R154">
    <cfRule type="cellIs" dxfId="8660" priority="2163" operator="greaterThan">
      <formula>1</formula>
    </cfRule>
    <cfRule type="cellIs" dxfId="8659" priority="2164" operator="lessThan">
      <formula>0.8</formula>
    </cfRule>
  </conditionalFormatting>
  <conditionalFormatting sqref="P148:P154">
    <cfRule type="cellIs" dxfId="8658" priority="2156" operator="greaterThan">
      <formula>0</formula>
    </cfRule>
  </conditionalFormatting>
  <conditionalFormatting sqref="Q148:Q154">
    <cfRule type="cellIs" dxfId="8657" priority="2161" operator="lessThan">
      <formula>0</formula>
    </cfRule>
  </conditionalFormatting>
  <conditionalFormatting sqref="R148:R154">
    <cfRule type="cellIs" dxfId="8656" priority="2159" operator="lessThan">
      <formula>0.8</formula>
    </cfRule>
    <cfRule type="cellIs" dxfId="8655" priority="2160" operator="greaterThan">
      <formula>1</formula>
    </cfRule>
  </conditionalFormatting>
  <conditionalFormatting sqref="R148:R154">
    <cfRule type="cellIs" dxfId="8654" priority="2157" operator="greaterThan">
      <formula>1</formula>
    </cfRule>
    <cfRule type="cellIs" dxfId="8653" priority="2158" operator="lessThan">
      <formula>0.8</formula>
    </cfRule>
  </conditionalFormatting>
  <conditionalFormatting sqref="R148:R154">
    <cfRule type="cellIs" dxfId="8652" priority="2153" operator="lessThan">
      <formula>0.8</formula>
    </cfRule>
    <cfRule type="cellIs" dxfId="8651" priority="2154" operator="greaterThan">
      <formula>1</formula>
    </cfRule>
  </conditionalFormatting>
  <conditionalFormatting sqref="R148:R154">
    <cfRule type="cellIs" dxfId="8650" priority="2151" operator="greaterThan">
      <formula>1</formula>
    </cfRule>
    <cfRule type="cellIs" dxfId="8649" priority="2152" operator="lessThan">
      <formula>0.8</formula>
    </cfRule>
  </conditionalFormatting>
  <conditionalFormatting sqref="P148:P154">
    <cfRule type="cellIs" dxfId="8648" priority="2150" operator="greaterThan">
      <formula>0</formula>
    </cfRule>
  </conditionalFormatting>
  <conditionalFormatting sqref="Q148:Q154">
    <cfRule type="cellIs" dxfId="8647" priority="2155" operator="lessThan">
      <formula>0</formula>
    </cfRule>
  </conditionalFormatting>
  <conditionalFormatting sqref="P148:P154">
    <cfRule type="cellIs" dxfId="8646" priority="2144" operator="greaterThan">
      <formula>0</formula>
    </cfRule>
  </conditionalFormatting>
  <conditionalFormatting sqref="Q148:Q154">
    <cfRule type="cellIs" dxfId="8645" priority="2149" operator="lessThan">
      <formula>0</formula>
    </cfRule>
  </conditionalFormatting>
  <conditionalFormatting sqref="R148:R154">
    <cfRule type="cellIs" dxfId="8644" priority="2147" operator="lessThan">
      <formula>0.8</formula>
    </cfRule>
    <cfRule type="cellIs" dxfId="8643" priority="2148" operator="greaterThan">
      <formula>1</formula>
    </cfRule>
  </conditionalFormatting>
  <conditionalFormatting sqref="R148:R154">
    <cfRule type="cellIs" dxfId="8642" priority="2145" operator="greaterThan">
      <formula>1</formula>
    </cfRule>
    <cfRule type="cellIs" dxfId="8641" priority="2146" operator="lessThan">
      <formula>0.8</formula>
    </cfRule>
  </conditionalFormatting>
  <conditionalFormatting sqref="R148:R154">
    <cfRule type="cellIs" dxfId="8640" priority="2141" operator="lessThan">
      <formula>0.8</formula>
    </cfRule>
    <cfRule type="cellIs" dxfId="8639" priority="2142" operator="greaterThan">
      <formula>1</formula>
    </cfRule>
  </conditionalFormatting>
  <conditionalFormatting sqref="R148:R154">
    <cfRule type="cellIs" dxfId="8638" priority="2139" operator="greaterThan">
      <formula>1</formula>
    </cfRule>
    <cfRule type="cellIs" dxfId="8637" priority="2140" operator="lessThan">
      <formula>0.8</formula>
    </cfRule>
  </conditionalFormatting>
  <conditionalFormatting sqref="P148:P154">
    <cfRule type="cellIs" dxfId="8636" priority="2138" operator="greaterThan">
      <formula>0</formula>
    </cfRule>
  </conditionalFormatting>
  <conditionalFormatting sqref="Q148:Q154">
    <cfRule type="cellIs" dxfId="8635" priority="2143" operator="lessThan">
      <formula>0</formula>
    </cfRule>
  </conditionalFormatting>
  <conditionalFormatting sqref="R148:R154">
    <cfRule type="cellIs" dxfId="8634" priority="2135" operator="lessThan">
      <formula>0.8</formula>
    </cfRule>
    <cfRule type="cellIs" dxfId="8633" priority="2136" operator="greaterThan">
      <formula>1</formula>
    </cfRule>
  </conditionalFormatting>
  <conditionalFormatting sqref="R148:R154">
    <cfRule type="cellIs" dxfId="8632" priority="2133" operator="greaterThan">
      <formula>1</formula>
    </cfRule>
    <cfRule type="cellIs" dxfId="8631" priority="2134" operator="lessThan">
      <formula>0.8</formula>
    </cfRule>
  </conditionalFormatting>
  <conditionalFormatting sqref="P148:P154">
    <cfRule type="cellIs" dxfId="8630" priority="2132" operator="greaterThan">
      <formula>0</formula>
    </cfRule>
  </conditionalFormatting>
  <conditionalFormatting sqref="Q148:Q154">
    <cfRule type="cellIs" dxfId="8629" priority="2137" operator="lessThan">
      <formula>0</formula>
    </cfRule>
  </conditionalFormatting>
  <conditionalFormatting sqref="Q148:Q154">
    <cfRule type="cellIs" dxfId="8628" priority="2131" operator="lessThan">
      <formula>0</formula>
    </cfRule>
  </conditionalFormatting>
  <conditionalFormatting sqref="R148:R154">
    <cfRule type="cellIs" dxfId="8627" priority="2129" operator="lessThan">
      <formula>0.8</formula>
    </cfRule>
    <cfRule type="cellIs" dxfId="8626" priority="2130" operator="greaterThan">
      <formula>1</formula>
    </cfRule>
  </conditionalFormatting>
  <conditionalFormatting sqref="R148:R154">
    <cfRule type="cellIs" dxfId="8625" priority="2127" operator="greaterThan">
      <formula>1</formula>
    </cfRule>
    <cfRule type="cellIs" dxfId="8624" priority="2128" operator="lessThan">
      <formula>0.8</formula>
    </cfRule>
  </conditionalFormatting>
  <conditionalFormatting sqref="P148:P154">
    <cfRule type="cellIs" dxfId="8623" priority="2126" operator="greaterThan">
      <formula>0</formula>
    </cfRule>
  </conditionalFormatting>
  <conditionalFormatting sqref="Q148:Q154">
    <cfRule type="cellIs" dxfId="8622" priority="2120" operator="lessThan">
      <formula>0</formula>
    </cfRule>
  </conditionalFormatting>
  <conditionalFormatting sqref="R148:R154">
    <cfRule type="cellIs" dxfId="8621" priority="2124" operator="lessThan">
      <formula>0.8</formula>
    </cfRule>
    <cfRule type="cellIs" dxfId="8620" priority="2125" operator="greaterThan">
      <formula>1</formula>
    </cfRule>
  </conditionalFormatting>
  <conditionalFormatting sqref="R148:R154">
    <cfRule type="cellIs" dxfId="8619" priority="2122" operator="greaterThan">
      <formula>1</formula>
    </cfRule>
    <cfRule type="cellIs" dxfId="8618" priority="2123" operator="lessThan">
      <formula>0.8</formula>
    </cfRule>
  </conditionalFormatting>
  <conditionalFormatting sqref="P148:P154">
    <cfRule type="cellIs" dxfId="8617" priority="2121" operator="greaterThan">
      <formula>0</formula>
    </cfRule>
  </conditionalFormatting>
  <conditionalFormatting sqref="Q148:Q154">
    <cfRule type="cellIs" dxfId="8616" priority="2119" operator="lessThan">
      <formula>0</formula>
    </cfRule>
  </conditionalFormatting>
  <conditionalFormatting sqref="R148:R154">
    <cfRule type="cellIs" dxfId="8615" priority="2117" operator="lessThan">
      <formula>0.8</formula>
    </cfRule>
    <cfRule type="cellIs" dxfId="8614" priority="2118" operator="greaterThan">
      <formula>1</formula>
    </cfRule>
  </conditionalFormatting>
  <conditionalFormatting sqref="R148:R154">
    <cfRule type="cellIs" dxfId="8613" priority="2115" operator="greaterThan">
      <formula>1</formula>
    </cfRule>
    <cfRule type="cellIs" dxfId="8612" priority="2116" operator="lessThan">
      <formula>0.8</formula>
    </cfRule>
  </conditionalFormatting>
  <conditionalFormatting sqref="P148:P154">
    <cfRule type="cellIs" dxfId="8611" priority="2114" operator="greaterThan">
      <formula>0</formula>
    </cfRule>
  </conditionalFormatting>
  <conditionalFormatting sqref="Q148:Q154">
    <cfRule type="cellIs" dxfId="8610" priority="2113" operator="lessThan">
      <formula>0</formula>
    </cfRule>
  </conditionalFormatting>
  <conditionalFormatting sqref="R148:R154">
    <cfRule type="cellIs" dxfId="8609" priority="2111" operator="lessThan">
      <formula>0.8</formula>
    </cfRule>
    <cfRule type="cellIs" dxfId="8608" priority="2112" operator="greaterThan">
      <formula>1</formula>
    </cfRule>
  </conditionalFormatting>
  <conditionalFormatting sqref="R148:R154">
    <cfRule type="cellIs" dxfId="8607" priority="2109" operator="greaterThan">
      <formula>1</formula>
    </cfRule>
    <cfRule type="cellIs" dxfId="8606" priority="2110" operator="lessThan">
      <formula>0.8</formula>
    </cfRule>
  </conditionalFormatting>
  <conditionalFormatting sqref="P148:P154">
    <cfRule type="cellIs" dxfId="8605" priority="2108" operator="greaterThan">
      <formula>0</formula>
    </cfRule>
  </conditionalFormatting>
  <conditionalFormatting sqref="Q148:Q154">
    <cfRule type="cellIs" dxfId="8604" priority="2107" operator="lessThan">
      <formula>0</formula>
    </cfRule>
  </conditionalFormatting>
  <conditionalFormatting sqref="R148:R154">
    <cfRule type="cellIs" dxfId="8603" priority="2105" operator="lessThan">
      <formula>0.8</formula>
    </cfRule>
    <cfRule type="cellIs" dxfId="8602" priority="2106" operator="greaterThan">
      <formula>1</formula>
    </cfRule>
  </conditionalFormatting>
  <conditionalFormatting sqref="R148:R154">
    <cfRule type="cellIs" dxfId="8601" priority="2103" operator="greaterThan">
      <formula>1</formula>
    </cfRule>
    <cfRule type="cellIs" dxfId="8600" priority="2104" operator="lessThan">
      <formula>0.8</formula>
    </cfRule>
  </conditionalFormatting>
  <conditionalFormatting sqref="P148:P154">
    <cfRule type="cellIs" dxfId="8599" priority="2102" operator="greaterThan">
      <formula>0</formula>
    </cfRule>
  </conditionalFormatting>
  <conditionalFormatting sqref="Q148:Q154">
    <cfRule type="cellIs" dxfId="8598" priority="2101" operator="lessThan">
      <formula>0</formula>
    </cfRule>
  </conditionalFormatting>
  <conditionalFormatting sqref="R148:R154">
    <cfRule type="cellIs" dxfId="8597" priority="2099" operator="lessThan">
      <formula>0.8</formula>
    </cfRule>
    <cfRule type="cellIs" dxfId="8596" priority="2100" operator="greaterThan">
      <formula>1</formula>
    </cfRule>
  </conditionalFormatting>
  <conditionalFormatting sqref="R148:R154">
    <cfRule type="cellIs" dxfId="8595" priority="2097" operator="greaterThan">
      <formula>1</formula>
    </cfRule>
    <cfRule type="cellIs" dxfId="8594" priority="2098" operator="lessThan">
      <formula>0.8</formula>
    </cfRule>
  </conditionalFormatting>
  <conditionalFormatting sqref="P148:P154">
    <cfRule type="cellIs" dxfId="8593" priority="2096" operator="greaterThan">
      <formula>0</formula>
    </cfRule>
  </conditionalFormatting>
  <conditionalFormatting sqref="Q148:Q154">
    <cfRule type="cellIs" dxfId="8592" priority="2095" operator="lessThan">
      <formula>0</formula>
    </cfRule>
  </conditionalFormatting>
  <conditionalFormatting sqref="R148:R154">
    <cfRule type="cellIs" dxfId="8591" priority="2093" operator="lessThan">
      <formula>0.8</formula>
    </cfRule>
    <cfRule type="cellIs" dxfId="8590" priority="2094" operator="greaterThan">
      <formula>1</formula>
    </cfRule>
  </conditionalFormatting>
  <conditionalFormatting sqref="R148:R154">
    <cfRule type="cellIs" dxfId="8589" priority="2091" operator="greaterThan">
      <formula>1</formula>
    </cfRule>
    <cfRule type="cellIs" dxfId="8588" priority="2092" operator="lessThan">
      <formula>0.8</formula>
    </cfRule>
  </conditionalFormatting>
  <conditionalFormatting sqref="P148:P154">
    <cfRule type="cellIs" dxfId="8587" priority="2090" operator="greaterThan">
      <formula>0</formula>
    </cfRule>
  </conditionalFormatting>
  <conditionalFormatting sqref="P148:P154">
    <cfRule type="cellIs" dxfId="8586" priority="2084" operator="greaterThan">
      <formula>0</formula>
    </cfRule>
  </conditionalFormatting>
  <conditionalFormatting sqref="Q148:Q154">
    <cfRule type="cellIs" dxfId="8585" priority="2089" operator="lessThan">
      <formula>0</formula>
    </cfRule>
  </conditionalFormatting>
  <conditionalFormatting sqref="R148:R154">
    <cfRule type="cellIs" dxfId="8584" priority="2087" operator="lessThan">
      <formula>0.8</formula>
    </cfRule>
    <cfRule type="cellIs" dxfId="8583" priority="2088" operator="greaterThan">
      <formula>1</formula>
    </cfRule>
  </conditionalFormatting>
  <conditionalFormatting sqref="R148:R154">
    <cfRule type="cellIs" dxfId="8582" priority="2085" operator="greaterThan">
      <formula>1</formula>
    </cfRule>
    <cfRule type="cellIs" dxfId="8581" priority="2086" operator="lessThan">
      <formula>0.8</formula>
    </cfRule>
  </conditionalFormatting>
  <conditionalFormatting sqref="P148:P154">
    <cfRule type="cellIs" dxfId="8580" priority="2078" operator="greaterThan">
      <formula>0</formula>
    </cfRule>
  </conditionalFormatting>
  <conditionalFormatting sqref="Q148:Q154">
    <cfRule type="cellIs" dxfId="8579" priority="2083" operator="lessThan">
      <formula>0</formula>
    </cfRule>
  </conditionalFormatting>
  <conditionalFormatting sqref="R148:R154">
    <cfRule type="cellIs" dxfId="8578" priority="2081" operator="lessThan">
      <formula>0.8</formula>
    </cfRule>
    <cfRule type="cellIs" dxfId="8577" priority="2082" operator="greaterThan">
      <formula>1</formula>
    </cfRule>
  </conditionalFormatting>
  <conditionalFormatting sqref="R148:R154">
    <cfRule type="cellIs" dxfId="8576" priority="2079" operator="greaterThan">
      <formula>1</formula>
    </cfRule>
    <cfRule type="cellIs" dxfId="8575" priority="2080" operator="lessThan">
      <formula>0.8</formula>
    </cfRule>
  </conditionalFormatting>
  <conditionalFormatting sqref="R148:R154">
    <cfRule type="cellIs" dxfId="8574" priority="2075" operator="lessThan">
      <formula>0.8</formula>
    </cfRule>
    <cfRule type="cellIs" dxfId="8573" priority="2076" operator="greaterThan">
      <formula>1</formula>
    </cfRule>
  </conditionalFormatting>
  <conditionalFormatting sqref="R148:R154">
    <cfRule type="cellIs" dxfId="8572" priority="2073" operator="greaterThan">
      <formula>1</formula>
    </cfRule>
    <cfRule type="cellIs" dxfId="8571" priority="2074" operator="lessThan">
      <formula>0.8</formula>
    </cfRule>
  </conditionalFormatting>
  <conditionalFormatting sqref="P148:P154">
    <cfRule type="cellIs" dxfId="8570" priority="2072" operator="greaterThan">
      <formula>0</formula>
    </cfRule>
  </conditionalFormatting>
  <conditionalFormatting sqref="Q148:Q154">
    <cfRule type="cellIs" dxfId="8569" priority="2077" operator="lessThan">
      <formula>0</formula>
    </cfRule>
  </conditionalFormatting>
  <conditionalFormatting sqref="Q148:Q154">
    <cfRule type="cellIs" dxfId="8568" priority="2066" operator="lessThan">
      <formula>0</formula>
    </cfRule>
  </conditionalFormatting>
  <conditionalFormatting sqref="P148:P154">
    <cfRule type="cellIs" dxfId="8567" priority="2067" operator="greaterThan">
      <formula>0</formula>
    </cfRule>
  </conditionalFormatting>
  <conditionalFormatting sqref="R148:R154">
    <cfRule type="cellIs" dxfId="8566" priority="2070" operator="lessThan">
      <formula>0.8</formula>
    </cfRule>
    <cfRule type="cellIs" dxfId="8565" priority="2071" operator="greaterThan">
      <formula>1</formula>
    </cfRule>
  </conditionalFormatting>
  <conditionalFormatting sqref="R148:R154">
    <cfRule type="cellIs" dxfId="8564" priority="2068" operator="greaterThan">
      <formula>1</formula>
    </cfRule>
    <cfRule type="cellIs" dxfId="8563" priority="2069" operator="lessThan">
      <formula>0.8</formula>
    </cfRule>
  </conditionalFormatting>
  <conditionalFormatting sqref="Q148:Q154">
    <cfRule type="cellIs" dxfId="8562" priority="2060" operator="lessThan">
      <formula>0</formula>
    </cfRule>
  </conditionalFormatting>
  <conditionalFormatting sqref="R148:R154">
    <cfRule type="cellIs" dxfId="8561" priority="2064" operator="lessThan">
      <formula>0.8</formula>
    </cfRule>
    <cfRule type="cellIs" dxfId="8560" priority="2065" operator="greaterThan">
      <formula>1</formula>
    </cfRule>
  </conditionalFormatting>
  <conditionalFormatting sqref="R148:R154">
    <cfRule type="cellIs" dxfId="8559" priority="2062" operator="greaterThan">
      <formula>1</formula>
    </cfRule>
    <cfRule type="cellIs" dxfId="8558" priority="2063" operator="lessThan">
      <formula>0.8</formula>
    </cfRule>
  </conditionalFormatting>
  <conditionalFormatting sqref="P148:P154">
    <cfRule type="cellIs" dxfId="8557" priority="2061" operator="greaterThan">
      <formula>0</formula>
    </cfRule>
  </conditionalFormatting>
  <conditionalFormatting sqref="Q148:Q154">
    <cfRule type="cellIs" dxfId="8556" priority="2059" operator="lessThan">
      <formula>0</formula>
    </cfRule>
  </conditionalFormatting>
  <conditionalFormatting sqref="R148:R154">
    <cfRule type="cellIs" dxfId="8555" priority="2057" operator="lessThan">
      <formula>0.8</formula>
    </cfRule>
    <cfRule type="cellIs" dxfId="8554" priority="2058" operator="greaterThan">
      <formula>1</formula>
    </cfRule>
  </conditionalFormatting>
  <conditionalFormatting sqref="R148:R154">
    <cfRule type="cellIs" dxfId="8553" priority="2055" operator="greaterThan">
      <formula>1</formula>
    </cfRule>
    <cfRule type="cellIs" dxfId="8552" priority="2056" operator="lessThan">
      <formula>0.8</formula>
    </cfRule>
  </conditionalFormatting>
  <conditionalFormatting sqref="P148:P154">
    <cfRule type="cellIs" dxfId="8551" priority="2054" operator="greaterThan">
      <formula>0</formula>
    </cfRule>
  </conditionalFormatting>
  <conditionalFormatting sqref="Q148:Q154">
    <cfRule type="cellIs" dxfId="8550" priority="2053" operator="lessThan">
      <formula>0</formula>
    </cfRule>
  </conditionalFormatting>
  <conditionalFormatting sqref="R148:R154">
    <cfRule type="cellIs" dxfId="8549" priority="2051" operator="lessThan">
      <formula>0.8</formula>
    </cfRule>
    <cfRule type="cellIs" dxfId="8548" priority="2052" operator="greaterThan">
      <formula>1</formula>
    </cfRule>
  </conditionalFormatting>
  <conditionalFormatting sqref="R148:R154">
    <cfRule type="cellIs" dxfId="8547" priority="2049" operator="greaterThan">
      <formula>1</formula>
    </cfRule>
    <cfRule type="cellIs" dxfId="8546" priority="2050" operator="lessThan">
      <formula>0.8</formula>
    </cfRule>
  </conditionalFormatting>
  <conditionalFormatting sqref="P148:P154">
    <cfRule type="cellIs" dxfId="8545" priority="2048" operator="greaterThan">
      <formula>0</formula>
    </cfRule>
  </conditionalFormatting>
  <conditionalFormatting sqref="Q148:Q154">
    <cfRule type="cellIs" dxfId="8544" priority="2047" operator="lessThan">
      <formula>0</formula>
    </cfRule>
  </conditionalFormatting>
  <conditionalFormatting sqref="R148:R154">
    <cfRule type="cellIs" dxfId="8543" priority="2045" operator="lessThan">
      <formula>0.8</formula>
    </cfRule>
    <cfRule type="cellIs" dxfId="8542" priority="2046" operator="greaterThan">
      <formula>1</formula>
    </cfRule>
  </conditionalFormatting>
  <conditionalFormatting sqref="R148:R154">
    <cfRule type="cellIs" dxfId="8541" priority="2043" operator="greaterThan">
      <formula>1</formula>
    </cfRule>
    <cfRule type="cellIs" dxfId="8540" priority="2044" operator="lessThan">
      <formula>0.8</formula>
    </cfRule>
  </conditionalFormatting>
  <conditionalFormatting sqref="P148:P154">
    <cfRule type="cellIs" dxfId="8539" priority="2042" operator="greaterThan">
      <formula>0</formula>
    </cfRule>
  </conditionalFormatting>
  <conditionalFormatting sqref="Q148:Q154">
    <cfRule type="cellIs" dxfId="8538" priority="2041" operator="lessThan">
      <formula>0</formula>
    </cfRule>
  </conditionalFormatting>
  <conditionalFormatting sqref="R148:R154">
    <cfRule type="cellIs" dxfId="8537" priority="2039" operator="lessThan">
      <formula>0.8</formula>
    </cfRule>
    <cfRule type="cellIs" dxfId="8536" priority="2040" operator="greaterThan">
      <formula>1</formula>
    </cfRule>
  </conditionalFormatting>
  <conditionalFormatting sqref="R148:R154">
    <cfRule type="cellIs" dxfId="8535" priority="2037" operator="greaterThan">
      <formula>1</formula>
    </cfRule>
    <cfRule type="cellIs" dxfId="8534" priority="2038" operator="lessThan">
      <formula>0.8</formula>
    </cfRule>
  </conditionalFormatting>
  <conditionalFormatting sqref="P148:P154">
    <cfRule type="cellIs" dxfId="8533" priority="2036" operator="greaterThan">
      <formula>0</formula>
    </cfRule>
  </conditionalFormatting>
  <conditionalFormatting sqref="Q124 Q127 Q130">
    <cfRule type="cellIs" dxfId="8532" priority="2030" operator="lessThan">
      <formula>0</formula>
    </cfRule>
  </conditionalFormatting>
  <conditionalFormatting sqref="P124 P127 P130">
    <cfRule type="cellIs" dxfId="8531" priority="2031" operator="greaterThan">
      <formula>0</formula>
    </cfRule>
  </conditionalFormatting>
  <conditionalFormatting sqref="R124 R127 R130">
    <cfRule type="cellIs" dxfId="8530" priority="2034" operator="lessThan">
      <formula>0.8</formula>
    </cfRule>
    <cfRule type="cellIs" dxfId="8529" priority="2035" operator="greaterThan">
      <formula>1</formula>
    </cfRule>
  </conditionalFormatting>
  <conditionalFormatting sqref="R124 R127 R130">
    <cfRule type="cellIs" dxfId="8528" priority="2032" operator="greaterThan">
      <formula>1</formula>
    </cfRule>
    <cfRule type="cellIs" dxfId="8527" priority="2033" operator="lessThan">
      <formula>0.8</formula>
    </cfRule>
  </conditionalFormatting>
  <conditionalFormatting sqref="Q124 Q127 Q130">
    <cfRule type="cellIs" dxfId="8526" priority="2024" operator="lessThan">
      <formula>0</formula>
    </cfRule>
  </conditionalFormatting>
  <conditionalFormatting sqref="R124 R127 R130">
    <cfRule type="cellIs" dxfId="8525" priority="2028" operator="lessThan">
      <formula>0.8</formula>
    </cfRule>
    <cfRule type="cellIs" dxfId="8524" priority="2029" operator="greaterThan">
      <formula>1</formula>
    </cfRule>
  </conditionalFormatting>
  <conditionalFormatting sqref="R124 R127 R130">
    <cfRule type="cellIs" dxfId="8523" priority="2026" operator="greaterThan">
      <formula>1</formula>
    </cfRule>
    <cfRule type="cellIs" dxfId="8522" priority="2027" operator="lessThan">
      <formula>0.8</formula>
    </cfRule>
  </conditionalFormatting>
  <conditionalFormatting sqref="P124 P127 P130">
    <cfRule type="cellIs" dxfId="8521" priority="2025" operator="greaterThan">
      <formula>0</formula>
    </cfRule>
  </conditionalFormatting>
  <conditionalFormatting sqref="Q124 Q127 Q130">
    <cfRule type="cellIs" dxfId="8520" priority="2023" operator="lessThan">
      <formula>0</formula>
    </cfRule>
  </conditionalFormatting>
  <conditionalFormatting sqref="R124 R127 R130">
    <cfRule type="cellIs" dxfId="8519" priority="2021" operator="lessThan">
      <formula>0.8</formula>
    </cfRule>
    <cfRule type="cellIs" dxfId="8518" priority="2022" operator="greaterThan">
      <formula>1</formula>
    </cfRule>
  </conditionalFormatting>
  <conditionalFormatting sqref="R124 R127 R130">
    <cfRule type="cellIs" dxfId="8517" priority="2019" operator="greaterThan">
      <formula>1</formula>
    </cfRule>
    <cfRule type="cellIs" dxfId="8516" priority="2020" operator="lessThan">
      <formula>0.8</formula>
    </cfRule>
  </conditionalFormatting>
  <conditionalFormatting sqref="P124 P127 P130">
    <cfRule type="cellIs" dxfId="8515" priority="2018" operator="greaterThan">
      <formula>0</formula>
    </cfRule>
  </conditionalFormatting>
  <conditionalFormatting sqref="Q124 Q127 Q130">
    <cfRule type="cellIs" dxfId="8514" priority="2017" operator="lessThan">
      <formula>0</formula>
    </cfRule>
  </conditionalFormatting>
  <conditionalFormatting sqref="R124 R127 R130">
    <cfRule type="cellIs" dxfId="8513" priority="2015" operator="lessThan">
      <formula>0.8</formula>
    </cfRule>
    <cfRule type="cellIs" dxfId="8512" priority="2016" operator="greaterThan">
      <formula>1</formula>
    </cfRule>
  </conditionalFormatting>
  <conditionalFormatting sqref="R124 R127 R130">
    <cfRule type="cellIs" dxfId="8511" priority="2013" operator="greaterThan">
      <formula>1</formula>
    </cfRule>
    <cfRule type="cellIs" dxfId="8510" priority="2014" operator="lessThan">
      <formula>0.8</formula>
    </cfRule>
  </conditionalFormatting>
  <conditionalFormatting sqref="P124 P127 P130">
    <cfRule type="cellIs" dxfId="8509" priority="2012" operator="greaterThan">
      <formula>0</formula>
    </cfRule>
  </conditionalFormatting>
  <conditionalFormatting sqref="Q124 Q127 Q130">
    <cfRule type="cellIs" dxfId="8508" priority="2011" operator="lessThan">
      <formula>0</formula>
    </cfRule>
  </conditionalFormatting>
  <conditionalFormatting sqref="R124 R127 R130">
    <cfRule type="cellIs" dxfId="8507" priority="2009" operator="lessThan">
      <formula>0.8</formula>
    </cfRule>
    <cfRule type="cellIs" dxfId="8506" priority="2010" operator="greaterThan">
      <formula>1</formula>
    </cfRule>
  </conditionalFormatting>
  <conditionalFormatting sqref="R124 R127 R130">
    <cfRule type="cellIs" dxfId="8505" priority="2007" operator="greaterThan">
      <formula>1</formula>
    </cfRule>
    <cfRule type="cellIs" dxfId="8504" priority="2008" operator="lessThan">
      <formula>0.8</formula>
    </cfRule>
  </conditionalFormatting>
  <conditionalFormatting sqref="P124 P127 P130">
    <cfRule type="cellIs" dxfId="8503" priority="2006" operator="greaterThan">
      <formula>0</formula>
    </cfRule>
  </conditionalFormatting>
  <conditionalFormatting sqref="Q124 Q127 Q130">
    <cfRule type="cellIs" dxfId="8502" priority="2005" operator="lessThan">
      <formula>0</formula>
    </cfRule>
  </conditionalFormatting>
  <conditionalFormatting sqref="R124 R127 R130">
    <cfRule type="cellIs" dxfId="8501" priority="2003" operator="lessThan">
      <formula>0.8</formula>
    </cfRule>
    <cfRule type="cellIs" dxfId="8500" priority="2004" operator="greaterThan">
      <formula>1</formula>
    </cfRule>
  </conditionalFormatting>
  <conditionalFormatting sqref="R124 R127 R130">
    <cfRule type="cellIs" dxfId="8499" priority="2001" operator="greaterThan">
      <formula>1</formula>
    </cfRule>
    <cfRule type="cellIs" dxfId="8498" priority="2002" operator="lessThan">
      <formula>0.8</formula>
    </cfRule>
  </conditionalFormatting>
  <conditionalFormatting sqref="P124 P127 P130">
    <cfRule type="cellIs" dxfId="8497" priority="2000" operator="greaterThan">
      <formula>0</formula>
    </cfRule>
  </conditionalFormatting>
  <conditionalFormatting sqref="Q124 Q127 Q130">
    <cfRule type="cellIs" dxfId="8496" priority="1999" operator="lessThan">
      <formula>0</formula>
    </cfRule>
  </conditionalFormatting>
  <conditionalFormatting sqref="R124 R127 R130">
    <cfRule type="cellIs" dxfId="8495" priority="1997" operator="lessThan">
      <formula>0.8</formula>
    </cfRule>
    <cfRule type="cellIs" dxfId="8494" priority="1998" operator="greaterThan">
      <formula>1</formula>
    </cfRule>
  </conditionalFormatting>
  <conditionalFormatting sqref="R124 R127 R130">
    <cfRule type="cellIs" dxfId="8493" priority="1995" operator="greaterThan">
      <formula>1</formula>
    </cfRule>
    <cfRule type="cellIs" dxfId="8492" priority="1996" operator="lessThan">
      <formula>0.8</formula>
    </cfRule>
  </conditionalFormatting>
  <conditionalFormatting sqref="P124 P127 P130">
    <cfRule type="cellIs" dxfId="8491" priority="1994" operator="greaterThan">
      <formula>0</formula>
    </cfRule>
  </conditionalFormatting>
  <conditionalFormatting sqref="Q124 Q127 Q130">
    <cfRule type="cellIs" dxfId="8490" priority="1993" operator="lessThan">
      <formula>0</formula>
    </cfRule>
  </conditionalFormatting>
  <conditionalFormatting sqref="R124 R127 R130">
    <cfRule type="cellIs" dxfId="8489" priority="1991" operator="lessThan">
      <formula>0.8</formula>
    </cfRule>
    <cfRule type="cellIs" dxfId="8488" priority="1992" operator="greaterThan">
      <formula>1</formula>
    </cfRule>
  </conditionalFormatting>
  <conditionalFormatting sqref="R124 R127 R130">
    <cfRule type="cellIs" dxfId="8487" priority="1989" operator="greaterThan">
      <formula>1</formula>
    </cfRule>
    <cfRule type="cellIs" dxfId="8486" priority="1990" operator="lessThan">
      <formula>0.8</formula>
    </cfRule>
  </conditionalFormatting>
  <conditionalFormatting sqref="P124 P127 P130">
    <cfRule type="cellIs" dxfId="8485" priority="1988" operator="greaterThan">
      <formula>0</formula>
    </cfRule>
  </conditionalFormatting>
  <conditionalFormatting sqref="Q124 Q127 Q130">
    <cfRule type="cellIs" dxfId="8484" priority="1987" operator="lessThan">
      <formula>0</formula>
    </cfRule>
  </conditionalFormatting>
  <conditionalFormatting sqref="R124 R127 R130">
    <cfRule type="cellIs" dxfId="8483" priority="1985" operator="lessThan">
      <formula>0.8</formula>
    </cfRule>
    <cfRule type="cellIs" dxfId="8482" priority="1986" operator="greaterThan">
      <formula>1</formula>
    </cfRule>
  </conditionalFormatting>
  <conditionalFormatting sqref="R124 R127 R130">
    <cfRule type="cellIs" dxfId="8481" priority="1983" operator="greaterThan">
      <formula>1</formula>
    </cfRule>
    <cfRule type="cellIs" dxfId="8480" priority="1984" operator="lessThan">
      <formula>0.8</formula>
    </cfRule>
  </conditionalFormatting>
  <conditionalFormatting sqref="P124 P127 P130">
    <cfRule type="cellIs" dxfId="8479" priority="1982" operator="greaterThan">
      <formula>0</formula>
    </cfRule>
  </conditionalFormatting>
  <conditionalFormatting sqref="P124 P127 P130">
    <cfRule type="cellIs" dxfId="8478" priority="1976" operator="greaterThan">
      <formula>0</formula>
    </cfRule>
  </conditionalFormatting>
  <conditionalFormatting sqref="Q124 Q127 Q130">
    <cfRule type="cellIs" dxfId="8477" priority="1981" operator="lessThan">
      <formula>0</formula>
    </cfRule>
  </conditionalFormatting>
  <conditionalFormatting sqref="R124 R127 R130">
    <cfRule type="cellIs" dxfId="8476" priority="1979" operator="lessThan">
      <formula>0.8</formula>
    </cfRule>
    <cfRule type="cellIs" dxfId="8475" priority="1980" operator="greaterThan">
      <formula>1</formula>
    </cfRule>
  </conditionalFormatting>
  <conditionalFormatting sqref="R124 R127 R130">
    <cfRule type="cellIs" dxfId="8474" priority="1977" operator="greaterThan">
      <formula>1</formula>
    </cfRule>
    <cfRule type="cellIs" dxfId="8473" priority="1978" operator="lessThan">
      <formula>0.8</formula>
    </cfRule>
  </conditionalFormatting>
  <conditionalFormatting sqref="P124 P127 P130">
    <cfRule type="cellIs" dxfId="8472" priority="1970" operator="greaterThan">
      <formula>0</formula>
    </cfRule>
  </conditionalFormatting>
  <conditionalFormatting sqref="Q124 Q127 Q130">
    <cfRule type="cellIs" dxfId="8471" priority="1975" operator="lessThan">
      <formula>0</formula>
    </cfRule>
  </conditionalFormatting>
  <conditionalFormatting sqref="R124 R127 R130">
    <cfRule type="cellIs" dxfId="8470" priority="1973" operator="lessThan">
      <formula>0.8</formula>
    </cfRule>
    <cfRule type="cellIs" dxfId="8469" priority="1974" operator="greaterThan">
      <formula>1</formula>
    </cfRule>
  </conditionalFormatting>
  <conditionalFormatting sqref="R124 R127 R130">
    <cfRule type="cellIs" dxfId="8468" priority="1971" operator="greaterThan">
      <formula>1</formula>
    </cfRule>
    <cfRule type="cellIs" dxfId="8467" priority="1972" operator="lessThan">
      <formula>0.8</formula>
    </cfRule>
  </conditionalFormatting>
  <conditionalFormatting sqref="R124 R127 R130">
    <cfRule type="cellIs" dxfId="8466" priority="1967" operator="lessThan">
      <formula>0.8</formula>
    </cfRule>
    <cfRule type="cellIs" dxfId="8465" priority="1968" operator="greaterThan">
      <formula>1</formula>
    </cfRule>
  </conditionalFormatting>
  <conditionalFormatting sqref="R124 R127 R130">
    <cfRule type="cellIs" dxfId="8464" priority="1965" operator="greaterThan">
      <formula>1</formula>
    </cfRule>
    <cfRule type="cellIs" dxfId="8463" priority="1966" operator="lessThan">
      <formula>0.8</formula>
    </cfRule>
  </conditionalFormatting>
  <conditionalFormatting sqref="P124 P127 P130">
    <cfRule type="cellIs" dxfId="8462" priority="1964" operator="greaterThan">
      <formula>0</formula>
    </cfRule>
  </conditionalFormatting>
  <conditionalFormatting sqref="Q124 Q127 Q130">
    <cfRule type="cellIs" dxfId="8461" priority="1969" operator="lessThan">
      <formula>0</formula>
    </cfRule>
  </conditionalFormatting>
  <conditionalFormatting sqref="Q124 Q127 Q130">
    <cfRule type="cellIs" dxfId="8460" priority="1963" operator="lessThan">
      <formula>0</formula>
    </cfRule>
  </conditionalFormatting>
  <conditionalFormatting sqref="R124 R127 R130">
    <cfRule type="cellIs" dxfId="8459" priority="1961" operator="lessThan">
      <formula>0.8</formula>
    </cfRule>
    <cfRule type="cellIs" dxfId="8458" priority="1962" operator="greaterThan">
      <formula>1</formula>
    </cfRule>
  </conditionalFormatting>
  <conditionalFormatting sqref="R124 R127 R130">
    <cfRule type="cellIs" dxfId="8457" priority="1959" operator="greaterThan">
      <formula>1</formula>
    </cfRule>
    <cfRule type="cellIs" dxfId="8456" priority="1960" operator="lessThan">
      <formula>0.8</formula>
    </cfRule>
  </conditionalFormatting>
  <conditionalFormatting sqref="P124 P127 P130">
    <cfRule type="cellIs" dxfId="8455" priority="1958" operator="greaterThan">
      <formula>0</formula>
    </cfRule>
  </conditionalFormatting>
  <conditionalFormatting sqref="P124 P127 P130">
    <cfRule type="cellIs" dxfId="8454" priority="1952" operator="greaterThan">
      <formula>0</formula>
    </cfRule>
  </conditionalFormatting>
  <conditionalFormatting sqref="Q124 Q127 Q130">
    <cfRule type="cellIs" dxfId="8453" priority="1957" operator="lessThan">
      <formula>0</formula>
    </cfRule>
  </conditionalFormatting>
  <conditionalFormatting sqref="R124 R127 R130">
    <cfRule type="cellIs" dxfId="8452" priority="1955" operator="lessThan">
      <formula>0.8</formula>
    </cfRule>
    <cfRule type="cellIs" dxfId="8451" priority="1956" operator="greaterThan">
      <formula>1</formula>
    </cfRule>
  </conditionalFormatting>
  <conditionalFormatting sqref="R124 R127 R130">
    <cfRule type="cellIs" dxfId="8450" priority="1953" operator="greaterThan">
      <formula>1</formula>
    </cfRule>
    <cfRule type="cellIs" dxfId="8449" priority="1954" operator="lessThan">
      <formula>0.8</formula>
    </cfRule>
  </conditionalFormatting>
  <conditionalFormatting sqref="P124 P127 P130">
    <cfRule type="cellIs" dxfId="8448" priority="1946" operator="greaterThan">
      <formula>0</formula>
    </cfRule>
  </conditionalFormatting>
  <conditionalFormatting sqref="Q124 Q127 Q130">
    <cfRule type="cellIs" dxfId="8447" priority="1951" operator="lessThan">
      <formula>0</formula>
    </cfRule>
  </conditionalFormatting>
  <conditionalFormatting sqref="R124 R127 R130">
    <cfRule type="cellIs" dxfId="8446" priority="1949" operator="lessThan">
      <formula>0.8</formula>
    </cfRule>
    <cfRule type="cellIs" dxfId="8445" priority="1950" operator="greaterThan">
      <formula>1</formula>
    </cfRule>
  </conditionalFormatting>
  <conditionalFormatting sqref="R124 R127 R130">
    <cfRule type="cellIs" dxfId="8444" priority="1947" operator="greaterThan">
      <formula>1</formula>
    </cfRule>
    <cfRule type="cellIs" dxfId="8443" priority="1948" operator="lessThan">
      <formula>0.8</formula>
    </cfRule>
  </conditionalFormatting>
  <conditionalFormatting sqref="R124 R127 R130">
    <cfRule type="cellIs" dxfId="8442" priority="1943" operator="lessThan">
      <formula>0.8</formula>
    </cfRule>
    <cfRule type="cellIs" dxfId="8441" priority="1944" operator="greaterThan">
      <formula>1</formula>
    </cfRule>
  </conditionalFormatting>
  <conditionalFormatting sqref="R124 R127 R130">
    <cfRule type="cellIs" dxfId="8440" priority="1941" operator="greaterThan">
      <formula>1</formula>
    </cfRule>
    <cfRule type="cellIs" dxfId="8439" priority="1942" operator="lessThan">
      <formula>0.8</formula>
    </cfRule>
  </conditionalFormatting>
  <conditionalFormatting sqref="P124 P127 P130">
    <cfRule type="cellIs" dxfId="8438" priority="1940" operator="greaterThan">
      <formula>0</formula>
    </cfRule>
  </conditionalFormatting>
  <conditionalFormatting sqref="Q124 Q127 Q130">
    <cfRule type="cellIs" dxfId="8437" priority="1945" operator="lessThan">
      <formula>0</formula>
    </cfRule>
  </conditionalFormatting>
  <conditionalFormatting sqref="P124 P127 P130">
    <cfRule type="cellIs" dxfId="8436" priority="1934" operator="greaterThan">
      <formula>0</formula>
    </cfRule>
  </conditionalFormatting>
  <conditionalFormatting sqref="Q124 Q127 Q130">
    <cfRule type="cellIs" dxfId="8435" priority="1939" operator="lessThan">
      <formula>0</formula>
    </cfRule>
  </conditionalFormatting>
  <conditionalFormatting sqref="R124 R127 R130">
    <cfRule type="cellIs" dxfId="8434" priority="1937" operator="lessThan">
      <formula>0.8</formula>
    </cfRule>
    <cfRule type="cellIs" dxfId="8433" priority="1938" operator="greaterThan">
      <formula>1</formula>
    </cfRule>
  </conditionalFormatting>
  <conditionalFormatting sqref="R124 R127 R130">
    <cfRule type="cellIs" dxfId="8432" priority="1935" operator="greaterThan">
      <formula>1</formula>
    </cfRule>
    <cfRule type="cellIs" dxfId="8431" priority="1936" operator="lessThan">
      <formula>0.8</formula>
    </cfRule>
  </conditionalFormatting>
  <conditionalFormatting sqref="R124 R127 R130">
    <cfRule type="cellIs" dxfId="8430" priority="1931" operator="lessThan">
      <formula>0.8</formula>
    </cfRule>
    <cfRule type="cellIs" dxfId="8429" priority="1932" operator="greaterThan">
      <formula>1</formula>
    </cfRule>
  </conditionalFormatting>
  <conditionalFormatting sqref="R124 R127 R130">
    <cfRule type="cellIs" dxfId="8428" priority="1929" operator="greaterThan">
      <formula>1</formula>
    </cfRule>
    <cfRule type="cellIs" dxfId="8427" priority="1930" operator="lessThan">
      <formula>0.8</formula>
    </cfRule>
  </conditionalFormatting>
  <conditionalFormatting sqref="P124 P127 P130">
    <cfRule type="cellIs" dxfId="8426" priority="1928" operator="greaterThan">
      <formula>0</formula>
    </cfRule>
  </conditionalFormatting>
  <conditionalFormatting sqref="Q124 Q127 Q130">
    <cfRule type="cellIs" dxfId="8425" priority="1933" operator="lessThan">
      <formula>0</formula>
    </cfRule>
  </conditionalFormatting>
  <conditionalFormatting sqref="R124 R127 R130">
    <cfRule type="cellIs" dxfId="8424" priority="1925" operator="lessThan">
      <formula>0.8</formula>
    </cfRule>
    <cfRule type="cellIs" dxfId="8423" priority="1926" operator="greaterThan">
      <formula>1</formula>
    </cfRule>
  </conditionalFormatting>
  <conditionalFormatting sqref="R124 R127 R130">
    <cfRule type="cellIs" dxfId="8422" priority="1923" operator="greaterThan">
      <formula>1</formula>
    </cfRule>
    <cfRule type="cellIs" dxfId="8421" priority="1924" operator="lessThan">
      <formula>0.8</formula>
    </cfRule>
  </conditionalFormatting>
  <conditionalFormatting sqref="P124 P127 P130">
    <cfRule type="cellIs" dxfId="8420" priority="1922" operator="greaterThan">
      <formula>0</formula>
    </cfRule>
  </conditionalFormatting>
  <conditionalFormatting sqref="Q124 Q127 Q130">
    <cfRule type="cellIs" dxfId="8419" priority="1927" operator="lessThan">
      <formula>0</formula>
    </cfRule>
  </conditionalFormatting>
  <conditionalFormatting sqref="Q124 Q127 Q130">
    <cfRule type="cellIs" dxfId="8418" priority="1921" operator="lessThan">
      <formula>0</formula>
    </cfRule>
  </conditionalFormatting>
  <conditionalFormatting sqref="R124 R127 R130">
    <cfRule type="cellIs" dxfId="8417" priority="1919" operator="lessThan">
      <formula>0.8</formula>
    </cfRule>
    <cfRule type="cellIs" dxfId="8416" priority="1920" operator="greaterThan">
      <formula>1</formula>
    </cfRule>
  </conditionalFormatting>
  <conditionalFormatting sqref="R124 R127 R130">
    <cfRule type="cellIs" dxfId="8415" priority="1917" operator="greaterThan">
      <formula>1</formula>
    </cfRule>
    <cfRule type="cellIs" dxfId="8414" priority="1918" operator="lessThan">
      <formula>0.8</formula>
    </cfRule>
  </conditionalFormatting>
  <conditionalFormatting sqref="P124 P127 P130">
    <cfRule type="cellIs" dxfId="8413" priority="1916" operator="greaterThan">
      <formula>0</formula>
    </cfRule>
  </conditionalFormatting>
  <conditionalFormatting sqref="Q124 Q127 Q130">
    <cfRule type="cellIs" dxfId="8412" priority="1910" operator="lessThan">
      <formula>0</formula>
    </cfRule>
  </conditionalFormatting>
  <conditionalFormatting sqref="R124 R127 R130">
    <cfRule type="cellIs" dxfId="8411" priority="1914" operator="lessThan">
      <formula>0.8</formula>
    </cfRule>
    <cfRule type="cellIs" dxfId="8410" priority="1915" operator="greaterThan">
      <formula>1</formula>
    </cfRule>
  </conditionalFormatting>
  <conditionalFormatting sqref="R124 R127 R130">
    <cfRule type="cellIs" dxfId="8409" priority="1912" operator="greaterThan">
      <formula>1</formula>
    </cfRule>
    <cfRule type="cellIs" dxfId="8408" priority="1913" operator="lessThan">
      <formula>0.8</formula>
    </cfRule>
  </conditionalFormatting>
  <conditionalFormatting sqref="P124 P127 P130">
    <cfRule type="cellIs" dxfId="8407" priority="1911" operator="greaterThan">
      <formula>0</formula>
    </cfRule>
  </conditionalFormatting>
  <conditionalFormatting sqref="Q124 Q127 Q130">
    <cfRule type="cellIs" dxfId="8406" priority="1909" operator="lessThan">
      <formula>0</formula>
    </cfRule>
  </conditionalFormatting>
  <conditionalFormatting sqref="R124 R127 R130">
    <cfRule type="cellIs" dxfId="8405" priority="1907" operator="lessThan">
      <formula>0.8</formula>
    </cfRule>
    <cfRule type="cellIs" dxfId="8404" priority="1908" operator="greaterThan">
      <formula>1</formula>
    </cfRule>
  </conditionalFormatting>
  <conditionalFormatting sqref="R124 R127 R130">
    <cfRule type="cellIs" dxfId="8403" priority="1905" operator="greaterThan">
      <formula>1</formula>
    </cfRule>
    <cfRule type="cellIs" dxfId="8402" priority="1906" operator="lessThan">
      <formula>0.8</formula>
    </cfRule>
  </conditionalFormatting>
  <conditionalFormatting sqref="P124 P127 P130">
    <cfRule type="cellIs" dxfId="8401" priority="1904" operator="greaterThan">
      <formula>0</formula>
    </cfRule>
  </conditionalFormatting>
  <conditionalFormatting sqref="Q124 Q127 Q130">
    <cfRule type="cellIs" dxfId="8400" priority="1903" operator="lessThan">
      <formula>0</formula>
    </cfRule>
  </conditionalFormatting>
  <conditionalFormatting sqref="R124 R127 R130">
    <cfRule type="cellIs" dxfId="8399" priority="1901" operator="lessThan">
      <formula>0.8</formula>
    </cfRule>
    <cfRule type="cellIs" dxfId="8398" priority="1902" operator="greaterThan">
      <formula>1</formula>
    </cfRule>
  </conditionalFormatting>
  <conditionalFormatting sqref="R124 R127 R130">
    <cfRule type="cellIs" dxfId="8397" priority="1899" operator="greaterThan">
      <formula>1</formula>
    </cfRule>
    <cfRule type="cellIs" dxfId="8396" priority="1900" operator="lessThan">
      <formula>0.8</formula>
    </cfRule>
  </conditionalFormatting>
  <conditionalFormatting sqref="P124 P127 P130">
    <cfRule type="cellIs" dxfId="8395" priority="1898" operator="greaterThan">
      <formula>0</formula>
    </cfRule>
  </conditionalFormatting>
  <conditionalFormatting sqref="Q124 Q127 Q130">
    <cfRule type="cellIs" dxfId="8394" priority="1897" operator="lessThan">
      <formula>0</formula>
    </cfRule>
  </conditionalFormatting>
  <conditionalFormatting sqref="R124 R127 R130">
    <cfRule type="cellIs" dxfId="8393" priority="1895" operator="lessThan">
      <formula>0.8</formula>
    </cfRule>
    <cfRule type="cellIs" dxfId="8392" priority="1896" operator="greaterThan">
      <formula>1</formula>
    </cfRule>
  </conditionalFormatting>
  <conditionalFormatting sqref="R124 R127 R130">
    <cfRule type="cellIs" dxfId="8391" priority="1893" operator="greaterThan">
      <formula>1</formula>
    </cfRule>
    <cfRule type="cellIs" dxfId="8390" priority="1894" operator="lessThan">
      <formula>0.8</formula>
    </cfRule>
  </conditionalFormatting>
  <conditionalFormatting sqref="P124 P127 P130">
    <cfRule type="cellIs" dxfId="8389" priority="1892" operator="greaterThan">
      <formula>0</formula>
    </cfRule>
  </conditionalFormatting>
  <conditionalFormatting sqref="Q124 Q127 Q130">
    <cfRule type="cellIs" dxfId="8388" priority="1891" operator="lessThan">
      <formula>0</formula>
    </cfRule>
  </conditionalFormatting>
  <conditionalFormatting sqref="R124 R127 R130">
    <cfRule type="cellIs" dxfId="8387" priority="1889" operator="lessThan">
      <formula>0.8</formula>
    </cfRule>
    <cfRule type="cellIs" dxfId="8386" priority="1890" operator="greaterThan">
      <formula>1</formula>
    </cfRule>
  </conditionalFormatting>
  <conditionalFormatting sqref="R124 R127 R130">
    <cfRule type="cellIs" dxfId="8385" priority="1887" operator="greaterThan">
      <formula>1</formula>
    </cfRule>
    <cfRule type="cellIs" dxfId="8384" priority="1888" operator="lessThan">
      <formula>0.8</formula>
    </cfRule>
  </conditionalFormatting>
  <conditionalFormatting sqref="P124 P127 P130">
    <cfRule type="cellIs" dxfId="8383" priority="1886" operator="greaterThan">
      <formula>0</formula>
    </cfRule>
  </conditionalFormatting>
  <conditionalFormatting sqref="Q124 Q127 Q130">
    <cfRule type="cellIs" dxfId="8382" priority="1885" operator="lessThan">
      <formula>0</formula>
    </cfRule>
  </conditionalFormatting>
  <conditionalFormatting sqref="R124 R127 R130">
    <cfRule type="cellIs" dxfId="8381" priority="1883" operator="lessThan">
      <formula>0.8</formula>
    </cfRule>
    <cfRule type="cellIs" dxfId="8380" priority="1884" operator="greaterThan">
      <formula>1</formula>
    </cfRule>
  </conditionalFormatting>
  <conditionalFormatting sqref="R124 R127 R130">
    <cfRule type="cellIs" dxfId="8379" priority="1881" operator="greaterThan">
      <formula>1</formula>
    </cfRule>
    <cfRule type="cellIs" dxfId="8378" priority="1882" operator="lessThan">
      <formula>0.8</formula>
    </cfRule>
  </conditionalFormatting>
  <conditionalFormatting sqref="P124 P127 P130">
    <cfRule type="cellIs" dxfId="8377" priority="1880" operator="greaterThan">
      <formula>0</formula>
    </cfRule>
  </conditionalFormatting>
  <conditionalFormatting sqref="P124 P127 P130">
    <cfRule type="cellIs" dxfId="8376" priority="1874" operator="greaterThan">
      <formula>0</formula>
    </cfRule>
  </conditionalFormatting>
  <conditionalFormatting sqref="Q124 Q127 Q130">
    <cfRule type="cellIs" dxfId="8375" priority="1879" operator="lessThan">
      <formula>0</formula>
    </cfRule>
  </conditionalFormatting>
  <conditionalFormatting sqref="R124 R127 R130">
    <cfRule type="cellIs" dxfId="8374" priority="1877" operator="lessThan">
      <formula>0.8</formula>
    </cfRule>
    <cfRule type="cellIs" dxfId="8373" priority="1878" operator="greaterThan">
      <formula>1</formula>
    </cfRule>
  </conditionalFormatting>
  <conditionalFormatting sqref="R124 R127 R130">
    <cfRule type="cellIs" dxfId="8372" priority="1875" operator="greaterThan">
      <formula>1</formula>
    </cfRule>
    <cfRule type="cellIs" dxfId="8371" priority="1876" operator="lessThan">
      <formula>0.8</formula>
    </cfRule>
  </conditionalFormatting>
  <conditionalFormatting sqref="P124 P127 P130">
    <cfRule type="cellIs" dxfId="8370" priority="1868" operator="greaterThan">
      <formula>0</formula>
    </cfRule>
  </conditionalFormatting>
  <conditionalFormatting sqref="Q124 Q127 Q130">
    <cfRule type="cellIs" dxfId="8369" priority="1873" operator="lessThan">
      <formula>0</formula>
    </cfRule>
  </conditionalFormatting>
  <conditionalFormatting sqref="R124 R127 R130">
    <cfRule type="cellIs" dxfId="8368" priority="1871" operator="lessThan">
      <formula>0.8</formula>
    </cfRule>
    <cfRule type="cellIs" dxfId="8367" priority="1872" operator="greaterThan">
      <formula>1</formula>
    </cfRule>
  </conditionalFormatting>
  <conditionalFormatting sqref="R124 R127 R130">
    <cfRule type="cellIs" dxfId="8366" priority="1869" operator="greaterThan">
      <formula>1</formula>
    </cfRule>
    <cfRule type="cellIs" dxfId="8365" priority="1870" operator="lessThan">
      <formula>0.8</formula>
    </cfRule>
  </conditionalFormatting>
  <conditionalFormatting sqref="R124 R127 R130">
    <cfRule type="cellIs" dxfId="8364" priority="1865" operator="lessThan">
      <formula>0.8</formula>
    </cfRule>
    <cfRule type="cellIs" dxfId="8363" priority="1866" operator="greaterThan">
      <formula>1</formula>
    </cfRule>
  </conditionalFormatting>
  <conditionalFormatting sqref="R124 R127 R130">
    <cfRule type="cellIs" dxfId="8362" priority="1863" operator="greaterThan">
      <formula>1</formula>
    </cfRule>
    <cfRule type="cellIs" dxfId="8361" priority="1864" operator="lessThan">
      <formula>0.8</formula>
    </cfRule>
  </conditionalFormatting>
  <conditionalFormatting sqref="P124 P127 P130">
    <cfRule type="cellIs" dxfId="8360" priority="1862" operator="greaterThan">
      <formula>0</formula>
    </cfRule>
  </conditionalFormatting>
  <conditionalFormatting sqref="Q124 Q127 Q130">
    <cfRule type="cellIs" dxfId="8359" priority="1867" operator="lessThan">
      <formula>0</formula>
    </cfRule>
  </conditionalFormatting>
  <conditionalFormatting sqref="Q5:Q14">
    <cfRule type="cellIs" dxfId="8358" priority="1861" operator="lessThan">
      <formula>0</formula>
    </cfRule>
  </conditionalFormatting>
  <conditionalFormatting sqref="R5:R14">
    <cfRule type="cellIs" dxfId="8357" priority="1859" operator="lessThan">
      <formula>0.8</formula>
    </cfRule>
    <cfRule type="cellIs" dxfId="8356" priority="1860" operator="greaterThan">
      <formula>1</formula>
    </cfRule>
  </conditionalFormatting>
  <conditionalFormatting sqref="R5:R14">
    <cfRule type="cellIs" dxfId="8355" priority="1857" operator="greaterThan">
      <formula>1</formula>
    </cfRule>
    <cfRule type="cellIs" dxfId="8354" priority="1858" operator="lessThan">
      <formula>0.8</formula>
    </cfRule>
  </conditionalFormatting>
  <conditionalFormatting sqref="P5:P14">
    <cfRule type="cellIs" dxfId="8353" priority="1856" operator="greaterThan">
      <formula>0</formula>
    </cfRule>
  </conditionalFormatting>
  <conditionalFormatting sqref="Q83">
    <cfRule type="cellIs" dxfId="8352" priority="1855" operator="lessThan">
      <formula>0</formula>
    </cfRule>
  </conditionalFormatting>
  <conditionalFormatting sqref="R83">
    <cfRule type="cellIs" dxfId="8351" priority="1853" operator="lessThan">
      <formula>0.8</formula>
    </cfRule>
    <cfRule type="cellIs" dxfId="8350" priority="1854" operator="greaterThan">
      <formula>1</formula>
    </cfRule>
  </conditionalFormatting>
  <conditionalFormatting sqref="R83">
    <cfRule type="cellIs" dxfId="8349" priority="1851" operator="greaterThan">
      <formula>1</formula>
    </cfRule>
    <cfRule type="cellIs" dxfId="8348" priority="1852" operator="lessThan">
      <formula>0.8</formula>
    </cfRule>
  </conditionalFormatting>
  <conditionalFormatting sqref="P83">
    <cfRule type="cellIs" dxfId="8347" priority="1850" operator="greaterThan">
      <formula>0</formula>
    </cfRule>
  </conditionalFormatting>
  <conditionalFormatting sqref="Q83">
    <cfRule type="cellIs" dxfId="8346" priority="1849" operator="lessThan">
      <formula>0</formula>
    </cfRule>
  </conditionalFormatting>
  <conditionalFormatting sqref="R83">
    <cfRule type="cellIs" dxfId="8345" priority="1847" operator="lessThan">
      <formula>0.8</formula>
    </cfRule>
    <cfRule type="cellIs" dxfId="8344" priority="1848" operator="greaterThan">
      <formula>1</formula>
    </cfRule>
  </conditionalFormatting>
  <conditionalFormatting sqref="R83">
    <cfRule type="cellIs" dxfId="8343" priority="1845" operator="greaterThan">
      <formula>1</formula>
    </cfRule>
    <cfRule type="cellIs" dxfId="8342" priority="1846" operator="lessThan">
      <formula>0.8</formula>
    </cfRule>
  </conditionalFormatting>
  <conditionalFormatting sqref="P83">
    <cfRule type="cellIs" dxfId="8341" priority="1844" operator="greaterThan">
      <formula>0</formula>
    </cfRule>
  </conditionalFormatting>
  <conditionalFormatting sqref="Q83">
    <cfRule type="cellIs" dxfId="8340" priority="1843" operator="lessThan">
      <formula>0</formula>
    </cfRule>
  </conditionalFormatting>
  <conditionalFormatting sqref="R83">
    <cfRule type="cellIs" dxfId="8339" priority="1841" operator="lessThan">
      <formula>0.8</formula>
    </cfRule>
    <cfRule type="cellIs" dxfId="8338" priority="1842" operator="greaterThan">
      <formula>1</formula>
    </cfRule>
  </conditionalFormatting>
  <conditionalFormatting sqref="R83">
    <cfRule type="cellIs" dxfId="8337" priority="1839" operator="greaterThan">
      <formula>1</formula>
    </cfRule>
    <cfRule type="cellIs" dxfId="8336" priority="1840" operator="lessThan">
      <formula>0.8</formula>
    </cfRule>
  </conditionalFormatting>
  <conditionalFormatting sqref="P83">
    <cfRule type="cellIs" dxfId="8335" priority="1838" operator="greaterThan">
      <formula>0</formula>
    </cfRule>
  </conditionalFormatting>
  <conditionalFormatting sqref="Q83">
    <cfRule type="cellIs" dxfId="8334" priority="1837" operator="lessThan">
      <formula>0</formula>
    </cfRule>
  </conditionalFormatting>
  <conditionalFormatting sqref="R83">
    <cfRule type="cellIs" dxfId="8333" priority="1835" operator="lessThan">
      <formula>0.8</formula>
    </cfRule>
    <cfRule type="cellIs" dxfId="8332" priority="1836" operator="greaterThan">
      <formula>1</formula>
    </cfRule>
  </conditionalFormatting>
  <conditionalFormatting sqref="R83">
    <cfRule type="cellIs" dxfId="8331" priority="1833" operator="greaterThan">
      <formula>1</formula>
    </cfRule>
    <cfRule type="cellIs" dxfId="8330" priority="1834" operator="lessThan">
      <formula>0.8</formula>
    </cfRule>
  </conditionalFormatting>
  <conditionalFormatting sqref="P83">
    <cfRule type="cellIs" dxfId="8329" priority="1832" operator="greaterThan">
      <formula>0</formula>
    </cfRule>
  </conditionalFormatting>
  <conditionalFormatting sqref="P83">
    <cfRule type="cellIs" dxfId="8328" priority="1826" operator="greaterThan">
      <formula>0</formula>
    </cfRule>
  </conditionalFormatting>
  <conditionalFormatting sqref="Q83">
    <cfRule type="cellIs" dxfId="8327" priority="1831" operator="lessThan">
      <formula>0</formula>
    </cfRule>
  </conditionalFormatting>
  <conditionalFormatting sqref="R83">
    <cfRule type="cellIs" dxfId="8326" priority="1829" operator="lessThan">
      <formula>0.8</formula>
    </cfRule>
    <cfRule type="cellIs" dxfId="8325" priority="1830" operator="greaterThan">
      <formula>1</formula>
    </cfRule>
  </conditionalFormatting>
  <conditionalFormatting sqref="R83">
    <cfRule type="cellIs" dxfId="8324" priority="1827" operator="greaterThan">
      <formula>1</formula>
    </cfRule>
    <cfRule type="cellIs" dxfId="8323" priority="1828" operator="lessThan">
      <formula>0.8</formula>
    </cfRule>
  </conditionalFormatting>
  <conditionalFormatting sqref="P83">
    <cfRule type="cellIs" dxfId="8322" priority="1820" operator="greaterThan">
      <formula>0</formula>
    </cfRule>
  </conditionalFormatting>
  <conditionalFormatting sqref="Q83">
    <cfRule type="cellIs" dxfId="8321" priority="1825" operator="lessThan">
      <formula>0</formula>
    </cfRule>
  </conditionalFormatting>
  <conditionalFormatting sqref="R83">
    <cfRule type="cellIs" dxfId="8320" priority="1823" operator="lessThan">
      <formula>0.8</formula>
    </cfRule>
    <cfRule type="cellIs" dxfId="8319" priority="1824" operator="greaterThan">
      <formula>1</formula>
    </cfRule>
  </conditionalFormatting>
  <conditionalFormatting sqref="R83">
    <cfRule type="cellIs" dxfId="8318" priority="1821" operator="greaterThan">
      <formula>1</formula>
    </cfRule>
    <cfRule type="cellIs" dxfId="8317" priority="1822" operator="lessThan">
      <formula>0.8</formula>
    </cfRule>
  </conditionalFormatting>
  <conditionalFormatting sqref="R83">
    <cfRule type="cellIs" dxfId="8316" priority="1817" operator="lessThan">
      <formula>0.8</formula>
    </cfRule>
    <cfRule type="cellIs" dxfId="8315" priority="1818" operator="greaterThan">
      <formula>1</formula>
    </cfRule>
  </conditionalFormatting>
  <conditionalFormatting sqref="R83">
    <cfRule type="cellIs" dxfId="8314" priority="1815" operator="greaterThan">
      <formula>1</formula>
    </cfRule>
    <cfRule type="cellIs" dxfId="8313" priority="1816" operator="lessThan">
      <formula>0.8</formula>
    </cfRule>
  </conditionalFormatting>
  <conditionalFormatting sqref="P83">
    <cfRule type="cellIs" dxfId="8312" priority="1814" operator="greaterThan">
      <formula>0</formula>
    </cfRule>
  </conditionalFormatting>
  <conditionalFormatting sqref="Q83">
    <cfRule type="cellIs" dxfId="8311" priority="1819" operator="lessThan">
      <formula>0</formula>
    </cfRule>
  </conditionalFormatting>
  <conditionalFormatting sqref="Q83">
    <cfRule type="cellIs" dxfId="8310" priority="1813" operator="lessThan">
      <formula>0</formula>
    </cfRule>
  </conditionalFormatting>
  <conditionalFormatting sqref="R83">
    <cfRule type="cellIs" dxfId="8309" priority="1811" operator="lessThan">
      <formula>0.8</formula>
    </cfRule>
    <cfRule type="cellIs" dxfId="8308" priority="1812" operator="greaterThan">
      <formula>1</formula>
    </cfRule>
  </conditionalFormatting>
  <conditionalFormatting sqref="R83">
    <cfRule type="cellIs" dxfId="8307" priority="1809" operator="greaterThan">
      <formula>1</formula>
    </cfRule>
    <cfRule type="cellIs" dxfId="8306" priority="1810" operator="lessThan">
      <formula>0.8</formula>
    </cfRule>
  </conditionalFormatting>
  <conditionalFormatting sqref="P83">
    <cfRule type="cellIs" dxfId="8305" priority="1808" operator="greaterThan">
      <formula>0</formula>
    </cfRule>
  </conditionalFormatting>
  <conditionalFormatting sqref="P83">
    <cfRule type="cellIs" dxfId="8304" priority="1802" operator="greaterThan">
      <formula>0</formula>
    </cfRule>
  </conditionalFormatting>
  <conditionalFormatting sqref="Q83">
    <cfRule type="cellIs" dxfId="8303" priority="1807" operator="lessThan">
      <formula>0</formula>
    </cfRule>
  </conditionalFormatting>
  <conditionalFormatting sqref="R83">
    <cfRule type="cellIs" dxfId="8302" priority="1805" operator="lessThan">
      <formula>0.8</formula>
    </cfRule>
    <cfRule type="cellIs" dxfId="8301" priority="1806" operator="greaterThan">
      <formula>1</formula>
    </cfRule>
  </conditionalFormatting>
  <conditionalFormatting sqref="R83">
    <cfRule type="cellIs" dxfId="8300" priority="1803" operator="greaterThan">
      <formula>1</formula>
    </cfRule>
    <cfRule type="cellIs" dxfId="8299" priority="1804" operator="lessThan">
      <formula>0.8</formula>
    </cfRule>
  </conditionalFormatting>
  <conditionalFormatting sqref="P83">
    <cfRule type="cellIs" dxfId="8298" priority="1796" operator="greaterThan">
      <formula>0</formula>
    </cfRule>
  </conditionalFormatting>
  <conditionalFormatting sqref="Q83">
    <cfRule type="cellIs" dxfId="8297" priority="1801" operator="lessThan">
      <formula>0</formula>
    </cfRule>
  </conditionalFormatting>
  <conditionalFormatting sqref="R83">
    <cfRule type="cellIs" dxfId="8296" priority="1799" operator="lessThan">
      <formula>0.8</formula>
    </cfRule>
    <cfRule type="cellIs" dxfId="8295" priority="1800" operator="greaterThan">
      <formula>1</formula>
    </cfRule>
  </conditionalFormatting>
  <conditionalFormatting sqref="R83">
    <cfRule type="cellIs" dxfId="8294" priority="1797" operator="greaterThan">
      <formula>1</formula>
    </cfRule>
    <cfRule type="cellIs" dxfId="8293" priority="1798" operator="lessThan">
      <formula>0.8</formula>
    </cfRule>
  </conditionalFormatting>
  <conditionalFormatting sqref="R83">
    <cfRule type="cellIs" dxfId="8292" priority="1793" operator="lessThan">
      <formula>0.8</formula>
    </cfRule>
    <cfRule type="cellIs" dxfId="8291" priority="1794" operator="greaterThan">
      <formula>1</formula>
    </cfRule>
  </conditionalFormatting>
  <conditionalFormatting sqref="R83">
    <cfRule type="cellIs" dxfId="8290" priority="1791" operator="greaterThan">
      <formula>1</formula>
    </cfRule>
    <cfRule type="cellIs" dxfId="8289" priority="1792" operator="lessThan">
      <formula>0.8</formula>
    </cfRule>
  </conditionalFormatting>
  <conditionalFormatting sqref="P83">
    <cfRule type="cellIs" dxfId="8288" priority="1790" operator="greaterThan">
      <formula>0</formula>
    </cfRule>
  </conditionalFormatting>
  <conditionalFormatting sqref="Q83">
    <cfRule type="cellIs" dxfId="8287" priority="1795" operator="lessThan">
      <formula>0</formula>
    </cfRule>
  </conditionalFormatting>
  <conditionalFormatting sqref="P83">
    <cfRule type="cellIs" dxfId="8286" priority="1784" operator="greaterThan">
      <formula>0</formula>
    </cfRule>
  </conditionalFormatting>
  <conditionalFormatting sqref="Q83">
    <cfRule type="cellIs" dxfId="8285" priority="1789" operator="lessThan">
      <formula>0</formula>
    </cfRule>
  </conditionalFormatting>
  <conditionalFormatting sqref="R83">
    <cfRule type="cellIs" dxfId="8284" priority="1787" operator="lessThan">
      <formula>0.8</formula>
    </cfRule>
    <cfRule type="cellIs" dxfId="8283" priority="1788" operator="greaterThan">
      <formula>1</formula>
    </cfRule>
  </conditionalFormatting>
  <conditionalFormatting sqref="R83">
    <cfRule type="cellIs" dxfId="8282" priority="1785" operator="greaterThan">
      <formula>1</formula>
    </cfRule>
    <cfRule type="cellIs" dxfId="8281" priority="1786" operator="lessThan">
      <formula>0.8</formula>
    </cfRule>
  </conditionalFormatting>
  <conditionalFormatting sqref="R83">
    <cfRule type="cellIs" dxfId="8280" priority="1781" operator="lessThan">
      <formula>0.8</formula>
    </cfRule>
    <cfRule type="cellIs" dxfId="8279" priority="1782" operator="greaterThan">
      <formula>1</formula>
    </cfRule>
  </conditionalFormatting>
  <conditionalFormatting sqref="R83">
    <cfRule type="cellIs" dxfId="8278" priority="1779" operator="greaterThan">
      <formula>1</formula>
    </cfRule>
    <cfRule type="cellIs" dxfId="8277" priority="1780" operator="lessThan">
      <formula>0.8</formula>
    </cfRule>
  </conditionalFormatting>
  <conditionalFormatting sqref="P83">
    <cfRule type="cellIs" dxfId="8276" priority="1778" operator="greaterThan">
      <formula>0</formula>
    </cfRule>
  </conditionalFormatting>
  <conditionalFormatting sqref="Q83">
    <cfRule type="cellIs" dxfId="8275" priority="1783" operator="lessThan">
      <formula>0</formula>
    </cfRule>
  </conditionalFormatting>
  <conditionalFormatting sqref="R83">
    <cfRule type="cellIs" dxfId="8274" priority="1775" operator="lessThan">
      <formula>0.8</formula>
    </cfRule>
    <cfRule type="cellIs" dxfId="8273" priority="1776" operator="greaterThan">
      <formula>1</formula>
    </cfRule>
  </conditionalFormatting>
  <conditionalFormatting sqref="R83">
    <cfRule type="cellIs" dxfId="8272" priority="1773" operator="greaterThan">
      <formula>1</formula>
    </cfRule>
    <cfRule type="cellIs" dxfId="8271" priority="1774" operator="lessThan">
      <formula>0.8</formula>
    </cfRule>
  </conditionalFormatting>
  <conditionalFormatting sqref="P83">
    <cfRule type="cellIs" dxfId="8270" priority="1772" operator="greaterThan">
      <formula>0</formula>
    </cfRule>
  </conditionalFormatting>
  <conditionalFormatting sqref="Q83">
    <cfRule type="cellIs" dxfId="8269" priority="1777" operator="lessThan">
      <formula>0</formula>
    </cfRule>
  </conditionalFormatting>
  <conditionalFormatting sqref="Q83">
    <cfRule type="cellIs" dxfId="8268" priority="1771" operator="lessThan">
      <formula>0</formula>
    </cfRule>
  </conditionalFormatting>
  <conditionalFormatting sqref="R83">
    <cfRule type="cellIs" dxfId="8267" priority="1769" operator="lessThan">
      <formula>0.8</formula>
    </cfRule>
    <cfRule type="cellIs" dxfId="8266" priority="1770" operator="greaterThan">
      <formula>1</formula>
    </cfRule>
  </conditionalFormatting>
  <conditionalFormatting sqref="R83">
    <cfRule type="cellIs" dxfId="8265" priority="1767" operator="greaterThan">
      <formula>1</formula>
    </cfRule>
    <cfRule type="cellIs" dxfId="8264" priority="1768" operator="lessThan">
      <formula>0.8</formula>
    </cfRule>
  </conditionalFormatting>
  <conditionalFormatting sqref="P83">
    <cfRule type="cellIs" dxfId="8263" priority="1766" operator="greaterThan">
      <formula>0</formula>
    </cfRule>
  </conditionalFormatting>
  <conditionalFormatting sqref="Q83">
    <cfRule type="cellIs" dxfId="8262" priority="1760" operator="lessThan">
      <formula>0</formula>
    </cfRule>
  </conditionalFormatting>
  <conditionalFormatting sqref="R83">
    <cfRule type="cellIs" dxfId="8261" priority="1764" operator="lessThan">
      <formula>0.8</formula>
    </cfRule>
    <cfRule type="cellIs" dxfId="8260" priority="1765" operator="greaterThan">
      <formula>1</formula>
    </cfRule>
  </conditionalFormatting>
  <conditionalFormatting sqref="R83">
    <cfRule type="cellIs" dxfId="8259" priority="1762" operator="greaterThan">
      <formula>1</formula>
    </cfRule>
    <cfRule type="cellIs" dxfId="8258" priority="1763" operator="lessThan">
      <formula>0.8</formula>
    </cfRule>
  </conditionalFormatting>
  <conditionalFormatting sqref="P83">
    <cfRule type="cellIs" dxfId="8257" priority="1761" operator="greaterThan">
      <formula>0</formula>
    </cfRule>
  </conditionalFormatting>
  <conditionalFormatting sqref="Q83">
    <cfRule type="cellIs" dxfId="8256" priority="1759" operator="lessThan">
      <formula>0</formula>
    </cfRule>
  </conditionalFormatting>
  <conditionalFormatting sqref="R83">
    <cfRule type="cellIs" dxfId="8255" priority="1757" operator="lessThan">
      <formula>0.8</formula>
    </cfRule>
    <cfRule type="cellIs" dxfId="8254" priority="1758" operator="greaterThan">
      <formula>1</formula>
    </cfRule>
  </conditionalFormatting>
  <conditionalFormatting sqref="R83">
    <cfRule type="cellIs" dxfId="8253" priority="1755" operator="greaterThan">
      <formula>1</formula>
    </cfRule>
    <cfRule type="cellIs" dxfId="8252" priority="1756" operator="lessThan">
      <formula>0.8</formula>
    </cfRule>
  </conditionalFormatting>
  <conditionalFormatting sqref="P83">
    <cfRule type="cellIs" dxfId="8251" priority="1754" operator="greaterThan">
      <formula>0</formula>
    </cfRule>
  </conditionalFormatting>
  <conditionalFormatting sqref="Q83">
    <cfRule type="cellIs" dxfId="8250" priority="1753" operator="lessThan">
      <formula>0</formula>
    </cfRule>
  </conditionalFormatting>
  <conditionalFormatting sqref="R83">
    <cfRule type="cellIs" dxfId="8249" priority="1751" operator="lessThan">
      <formula>0.8</formula>
    </cfRule>
    <cfRule type="cellIs" dxfId="8248" priority="1752" operator="greaterThan">
      <formula>1</formula>
    </cfRule>
  </conditionalFormatting>
  <conditionalFormatting sqref="R83">
    <cfRule type="cellIs" dxfId="8247" priority="1749" operator="greaterThan">
      <formula>1</formula>
    </cfRule>
    <cfRule type="cellIs" dxfId="8246" priority="1750" operator="lessThan">
      <formula>0.8</formula>
    </cfRule>
  </conditionalFormatting>
  <conditionalFormatting sqref="P83">
    <cfRule type="cellIs" dxfId="8245" priority="1748" operator="greaterThan">
      <formula>0</formula>
    </cfRule>
  </conditionalFormatting>
  <conditionalFormatting sqref="Q83">
    <cfRule type="cellIs" dxfId="8244" priority="1747" operator="lessThan">
      <formula>0</formula>
    </cfRule>
  </conditionalFormatting>
  <conditionalFormatting sqref="R83">
    <cfRule type="cellIs" dxfId="8243" priority="1745" operator="lessThan">
      <formula>0.8</formula>
    </cfRule>
    <cfRule type="cellIs" dxfId="8242" priority="1746" operator="greaterThan">
      <formula>1</formula>
    </cfRule>
  </conditionalFormatting>
  <conditionalFormatting sqref="R83">
    <cfRule type="cellIs" dxfId="8241" priority="1743" operator="greaterThan">
      <formula>1</formula>
    </cfRule>
    <cfRule type="cellIs" dxfId="8240" priority="1744" operator="lessThan">
      <formula>0.8</formula>
    </cfRule>
  </conditionalFormatting>
  <conditionalFormatting sqref="P83">
    <cfRule type="cellIs" dxfId="8239" priority="1742" operator="greaterThan">
      <formula>0</formula>
    </cfRule>
  </conditionalFormatting>
  <conditionalFormatting sqref="Q83">
    <cfRule type="cellIs" dxfId="8238" priority="1741" operator="lessThan">
      <formula>0</formula>
    </cfRule>
  </conditionalFormatting>
  <conditionalFormatting sqref="R83">
    <cfRule type="cellIs" dxfId="8237" priority="1739" operator="lessThan">
      <formula>0.8</formula>
    </cfRule>
    <cfRule type="cellIs" dxfId="8236" priority="1740" operator="greaterThan">
      <formula>1</formula>
    </cfRule>
  </conditionalFormatting>
  <conditionalFormatting sqref="R83">
    <cfRule type="cellIs" dxfId="8235" priority="1737" operator="greaterThan">
      <formula>1</formula>
    </cfRule>
    <cfRule type="cellIs" dxfId="8234" priority="1738" operator="lessThan">
      <formula>0.8</formula>
    </cfRule>
  </conditionalFormatting>
  <conditionalFormatting sqref="P83">
    <cfRule type="cellIs" dxfId="8233" priority="1736" operator="greaterThan">
      <formula>0</formula>
    </cfRule>
  </conditionalFormatting>
  <conditionalFormatting sqref="Q83">
    <cfRule type="cellIs" dxfId="8232" priority="1735" operator="lessThan">
      <formula>0</formula>
    </cfRule>
  </conditionalFormatting>
  <conditionalFormatting sqref="R83">
    <cfRule type="cellIs" dxfId="8231" priority="1733" operator="lessThan">
      <formula>0.8</formula>
    </cfRule>
    <cfRule type="cellIs" dxfId="8230" priority="1734" operator="greaterThan">
      <formula>1</formula>
    </cfRule>
  </conditionalFormatting>
  <conditionalFormatting sqref="R83">
    <cfRule type="cellIs" dxfId="8229" priority="1731" operator="greaterThan">
      <formula>1</formula>
    </cfRule>
    <cfRule type="cellIs" dxfId="8228" priority="1732" operator="lessThan">
      <formula>0.8</formula>
    </cfRule>
  </conditionalFormatting>
  <conditionalFormatting sqref="P83">
    <cfRule type="cellIs" dxfId="8227" priority="1730" operator="greaterThan">
      <formula>0</formula>
    </cfRule>
  </conditionalFormatting>
  <conditionalFormatting sqref="P83">
    <cfRule type="cellIs" dxfId="8226" priority="1724" operator="greaterThan">
      <formula>0</formula>
    </cfRule>
  </conditionalFormatting>
  <conditionalFormatting sqref="Q83">
    <cfRule type="cellIs" dxfId="8225" priority="1729" operator="lessThan">
      <formula>0</formula>
    </cfRule>
  </conditionalFormatting>
  <conditionalFormatting sqref="R83">
    <cfRule type="cellIs" dxfId="8224" priority="1727" operator="lessThan">
      <formula>0.8</formula>
    </cfRule>
    <cfRule type="cellIs" dxfId="8223" priority="1728" operator="greaterThan">
      <formula>1</formula>
    </cfRule>
  </conditionalFormatting>
  <conditionalFormatting sqref="R83">
    <cfRule type="cellIs" dxfId="8222" priority="1725" operator="greaterThan">
      <formula>1</formula>
    </cfRule>
    <cfRule type="cellIs" dxfId="8221" priority="1726" operator="lessThan">
      <formula>0.8</formula>
    </cfRule>
  </conditionalFormatting>
  <conditionalFormatting sqref="P83">
    <cfRule type="cellIs" dxfId="8220" priority="1718" operator="greaterThan">
      <formula>0</formula>
    </cfRule>
  </conditionalFormatting>
  <conditionalFormatting sqref="Q83">
    <cfRule type="cellIs" dxfId="8219" priority="1723" operator="lessThan">
      <formula>0</formula>
    </cfRule>
  </conditionalFormatting>
  <conditionalFormatting sqref="R83">
    <cfRule type="cellIs" dxfId="8218" priority="1721" operator="lessThan">
      <formula>0.8</formula>
    </cfRule>
    <cfRule type="cellIs" dxfId="8217" priority="1722" operator="greaterThan">
      <formula>1</formula>
    </cfRule>
  </conditionalFormatting>
  <conditionalFormatting sqref="R83">
    <cfRule type="cellIs" dxfId="8216" priority="1719" operator="greaterThan">
      <formula>1</formula>
    </cfRule>
    <cfRule type="cellIs" dxfId="8215" priority="1720" operator="lessThan">
      <formula>0.8</formula>
    </cfRule>
  </conditionalFormatting>
  <conditionalFormatting sqref="R83">
    <cfRule type="cellIs" dxfId="8214" priority="1715" operator="lessThan">
      <formula>0.8</formula>
    </cfRule>
    <cfRule type="cellIs" dxfId="8213" priority="1716" operator="greaterThan">
      <formula>1</formula>
    </cfRule>
  </conditionalFormatting>
  <conditionalFormatting sqref="R83">
    <cfRule type="cellIs" dxfId="8212" priority="1713" operator="greaterThan">
      <formula>1</formula>
    </cfRule>
    <cfRule type="cellIs" dxfId="8211" priority="1714" operator="lessThan">
      <formula>0.8</formula>
    </cfRule>
  </conditionalFormatting>
  <conditionalFormatting sqref="P83">
    <cfRule type="cellIs" dxfId="8210" priority="1712" operator="greaterThan">
      <formula>0</formula>
    </cfRule>
  </conditionalFormatting>
  <conditionalFormatting sqref="Q83">
    <cfRule type="cellIs" dxfId="8209" priority="1717" operator="lessThan">
      <formula>0</formula>
    </cfRule>
  </conditionalFormatting>
  <conditionalFormatting sqref="Q83">
    <cfRule type="cellIs" dxfId="8208" priority="1706" operator="lessThan">
      <formula>0</formula>
    </cfRule>
  </conditionalFormatting>
  <conditionalFormatting sqref="P83">
    <cfRule type="cellIs" dxfId="8207" priority="1707" operator="greaterThan">
      <formula>0</formula>
    </cfRule>
  </conditionalFormatting>
  <conditionalFormatting sqref="R83">
    <cfRule type="cellIs" dxfId="8206" priority="1710" operator="lessThan">
      <formula>0.8</formula>
    </cfRule>
    <cfRule type="cellIs" dxfId="8205" priority="1711" operator="greaterThan">
      <formula>1</formula>
    </cfRule>
  </conditionalFormatting>
  <conditionalFormatting sqref="R83">
    <cfRule type="cellIs" dxfId="8204" priority="1708" operator="greaterThan">
      <formula>1</formula>
    </cfRule>
    <cfRule type="cellIs" dxfId="8203" priority="1709" operator="lessThan">
      <formula>0.8</formula>
    </cfRule>
  </conditionalFormatting>
  <conditionalFormatting sqref="Q83">
    <cfRule type="cellIs" dxfId="8202" priority="1700" operator="lessThan">
      <formula>0</formula>
    </cfRule>
  </conditionalFormatting>
  <conditionalFormatting sqref="R83">
    <cfRule type="cellIs" dxfId="8201" priority="1704" operator="lessThan">
      <formula>0.8</formula>
    </cfRule>
    <cfRule type="cellIs" dxfId="8200" priority="1705" operator="greaterThan">
      <formula>1</formula>
    </cfRule>
  </conditionalFormatting>
  <conditionalFormatting sqref="R83">
    <cfRule type="cellIs" dxfId="8199" priority="1702" operator="greaterThan">
      <formula>1</formula>
    </cfRule>
    <cfRule type="cellIs" dxfId="8198" priority="1703" operator="lessThan">
      <formula>0.8</formula>
    </cfRule>
  </conditionalFormatting>
  <conditionalFormatting sqref="P83">
    <cfRule type="cellIs" dxfId="8197" priority="1701" operator="greaterThan">
      <formula>0</formula>
    </cfRule>
  </conditionalFormatting>
  <conditionalFormatting sqref="Q83">
    <cfRule type="cellIs" dxfId="8196" priority="1699" operator="lessThan">
      <formula>0</formula>
    </cfRule>
  </conditionalFormatting>
  <conditionalFormatting sqref="R83">
    <cfRule type="cellIs" dxfId="8195" priority="1697" operator="lessThan">
      <formula>0.8</formula>
    </cfRule>
    <cfRule type="cellIs" dxfId="8194" priority="1698" operator="greaterThan">
      <formula>1</formula>
    </cfRule>
  </conditionalFormatting>
  <conditionalFormatting sqref="R83">
    <cfRule type="cellIs" dxfId="8193" priority="1695" operator="greaterThan">
      <formula>1</formula>
    </cfRule>
    <cfRule type="cellIs" dxfId="8192" priority="1696" operator="lessThan">
      <formula>0.8</formula>
    </cfRule>
  </conditionalFormatting>
  <conditionalFormatting sqref="P83">
    <cfRule type="cellIs" dxfId="8191" priority="1694" operator="greaterThan">
      <formula>0</formula>
    </cfRule>
  </conditionalFormatting>
  <conditionalFormatting sqref="Q83">
    <cfRule type="cellIs" dxfId="8190" priority="1693" operator="lessThan">
      <formula>0</formula>
    </cfRule>
  </conditionalFormatting>
  <conditionalFormatting sqref="R83">
    <cfRule type="cellIs" dxfId="8189" priority="1691" operator="lessThan">
      <formula>0.8</formula>
    </cfRule>
    <cfRule type="cellIs" dxfId="8188" priority="1692" operator="greaterThan">
      <formula>1</formula>
    </cfRule>
  </conditionalFormatting>
  <conditionalFormatting sqref="R83">
    <cfRule type="cellIs" dxfId="8187" priority="1689" operator="greaterThan">
      <formula>1</formula>
    </cfRule>
    <cfRule type="cellIs" dxfId="8186" priority="1690" operator="lessThan">
      <formula>0.8</formula>
    </cfRule>
  </conditionalFormatting>
  <conditionalFormatting sqref="P83">
    <cfRule type="cellIs" dxfId="8185" priority="1688" operator="greaterThan">
      <formula>0</formula>
    </cfRule>
  </conditionalFormatting>
  <conditionalFormatting sqref="Q83">
    <cfRule type="cellIs" dxfId="8184" priority="1687" operator="lessThan">
      <formula>0</formula>
    </cfRule>
  </conditionalFormatting>
  <conditionalFormatting sqref="R83">
    <cfRule type="cellIs" dxfId="8183" priority="1685" operator="lessThan">
      <formula>0.8</formula>
    </cfRule>
    <cfRule type="cellIs" dxfId="8182" priority="1686" operator="greaterThan">
      <formula>1</formula>
    </cfRule>
  </conditionalFormatting>
  <conditionalFormatting sqref="R83">
    <cfRule type="cellIs" dxfId="8181" priority="1683" operator="greaterThan">
      <formula>1</formula>
    </cfRule>
    <cfRule type="cellIs" dxfId="8180" priority="1684" operator="lessThan">
      <formula>0.8</formula>
    </cfRule>
  </conditionalFormatting>
  <conditionalFormatting sqref="P83">
    <cfRule type="cellIs" dxfId="8179" priority="1682" operator="greaterThan">
      <formula>0</formula>
    </cfRule>
  </conditionalFormatting>
  <conditionalFormatting sqref="Q32:Q39">
    <cfRule type="cellIs" dxfId="8178" priority="1676" operator="lessThan">
      <formula>0</formula>
    </cfRule>
  </conditionalFormatting>
  <conditionalFormatting sqref="P39">
    <cfRule type="cellIs" dxfId="8177" priority="1677" operator="greaterThan">
      <formula>0</formula>
    </cfRule>
  </conditionalFormatting>
  <conditionalFormatting sqref="R32:R39">
    <cfRule type="cellIs" dxfId="8176" priority="1680" operator="lessThan">
      <formula>0.8</formula>
    </cfRule>
    <cfRule type="cellIs" dxfId="8175" priority="1681" operator="greaterThan">
      <formula>1</formula>
    </cfRule>
  </conditionalFormatting>
  <conditionalFormatting sqref="R32:R39">
    <cfRule type="cellIs" dxfId="8174" priority="1678" operator="greaterThan">
      <formula>1</formula>
    </cfRule>
    <cfRule type="cellIs" dxfId="8173" priority="1679" operator="lessThan">
      <formula>0.8</formula>
    </cfRule>
  </conditionalFormatting>
  <conditionalFormatting sqref="Q32:Q39">
    <cfRule type="cellIs" dxfId="8172" priority="1670" operator="lessThan">
      <formula>0</formula>
    </cfRule>
  </conditionalFormatting>
  <conditionalFormatting sqref="R32:R39">
    <cfRule type="cellIs" dxfId="8171" priority="1674" operator="lessThan">
      <formula>0.8</formula>
    </cfRule>
    <cfRule type="cellIs" dxfId="8170" priority="1675" operator="greaterThan">
      <formula>1</formula>
    </cfRule>
  </conditionalFormatting>
  <conditionalFormatting sqref="R32:R39">
    <cfRule type="cellIs" dxfId="8169" priority="1672" operator="greaterThan">
      <formula>1</formula>
    </cfRule>
    <cfRule type="cellIs" dxfId="8168" priority="1673" operator="lessThan">
      <formula>0.8</formula>
    </cfRule>
  </conditionalFormatting>
  <conditionalFormatting sqref="P39">
    <cfRule type="cellIs" dxfId="8167" priority="1671" operator="greaterThan">
      <formula>0</formula>
    </cfRule>
  </conditionalFormatting>
  <conditionalFormatting sqref="Q32:Q39">
    <cfRule type="cellIs" dxfId="8166" priority="1669" operator="lessThan">
      <formula>0</formula>
    </cfRule>
  </conditionalFormatting>
  <conditionalFormatting sqref="R32:R39">
    <cfRule type="cellIs" dxfId="8165" priority="1667" operator="lessThan">
      <formula>0.8</formula>
    </cfRule>
    <cfRule type="cellIs" dxfId="8164" priority="1668" operator="greaterThan">
      <formula>1</formula>
    </cfRule>
  </conditionalFormatting>
  <conditionalFormatting sqref="R32:R39">
    <cfRule type="cellIs" dxfId="8163" priority="1665" operator="greaterThan">
      <formula>1</formula>
    </cfRule>
    <cfRule type="cellIs" dxfId="8162" priority="1666" operator="lessThan">
      <formula>0.8</formula>
    </cfRule>
  </conditionalFormatting>
  <conditionalFormatting sqref="P39">
    <cfRule type="cellIs" dxfId="8161" priority="1664" operator="greaterThan">
      <formula>0</formula>
    </cfRule>
  </conditionalFormatting>
  <conditionalFormatting sqref="Q32:Q39">
    <cfRule type="cellIs" dxfId="8160" priority="1663" operator="lessThan">
      <formula>0</formula>
    </cfRule>
  </conditionalFormatting>
  <conditionalFormatting sqref="R32:R39">
    <cfRule type="cellIs" dxfId="8159" priority="1661" operator="lessThan">
      <formula>0.8</formula>
    </cfRule>
    <cfRule type="cellIs" dxfId="8158" priority="1662" operator="greaterThan">
      <formula>1</formula>
    </cfRule>
  </conditionalFormatting>
  <conditionalFormatting sqref="R32:R39">
    <cfRule type="cellIs" dxfId="8157" priority="1659" operator="greaterThan">
      <formula>1</formula>
    </cfRule>
    <cfRule type="cellIs" dxfId="8156" priority="1660" operator="lessThan">
      <formula>0.8</formula>
    </cfRule>
  </conditionalFormatting>
  <conditionalFormatting sqref="P39">
    <cfRule type="cellIs" dxfId="8155" priority="1658" operator="greaterThan">
      <formula>0</formula>
    </cfRule>
  </conditionalFormatting>
  <conditionalFormatting sqref="Q32:Q39">
    <cfRule type="cellIs" dxfId="8154" priority="1652" operator="lessThan">
      <formula>0</formula>
    </cfRule>
  </conditionalFormatting>
  <conditionalFormatting sqref="R32:R39">
    <cfRule type="cellIs" dxfId="8153" priority="1656" operator="lessThan">
      <formula>0.8</formula>
    </cfRule>
    <cfRule type="cellIs" dxfId="8152" priority="1657" operator="greaterThan">
      <formula>1</formula>
    </cfRule>
  </conditionalFormatting>
  <conditionalFormatting sqref="R32:R39">
    <cfRule type="cellIs" dxfId="8151" priority="1654" operator="greaterThan">
      <formula>1</formula>
    </cfRule>
    <cfRule type="cellIs" dxfId="8150" priority="1655" operator="lessThan">
      <formula>0.8</formula>
    </cfRule>
  </conditionalFormatting>
  <conditionalFormatting sqref="P39">
    <cfRule type="cellIs" dxfId="8149" priority="1653" operator="greaterThan">
      <formula>0</formula>
    </cfRule>
  </conditionalFormatting>
  <conditionalFormatting sqref="Q32:Q39">
    <cfRule type="cellIs" dxfId="8148" priority="1651" operator="lessThan">
      <formula>0</formula>
    </cfRule>
  </conditionalFormatting>
  <conditionalFormatting sqref="R32:R39">
    <cfRule type="cellIs" dxfId="8147" priority="1649" operator="lessThan">
      <formula>0.8</formula>
    </cfRule>
    <cfRule type="cellIs" dxfId="8146" priority="1650" operator="greaterThan">
      <formula>1</formula>
    </cfRule>
  </conditionalFormatting>
  <conditionalFormatting sqref="R32:R39">
    <cfRule type="cellIs" dxfId="8145" priority="1647" operator="greaterThan">
      <formula>1</formula>
    </cfRule>
    <cfRule type="cellIs" dxfId="8144" priority="1648" operator="lessThan">
      <formula>0.8</formula>
    </cfRule>
  </conditionalFormatting>
  <conditionalFormatting sqref="P39">
    <cfRule type="cellIs" dxfId="8143" priority="1646" operator="greaterThan">
      <formula>0</formula>
    </cfRule>
  </conditionalFormatting>
  <conditionalFormatting sqref="Q32:Q39">
    <cfRule type="cellIs" dxfId="8142" priority="1645" operator="lessThan">
      <formula>0</formula>
    </cfRule>
  </conditionalFormatting>
  <conditionalFormatting sqref="R32:R39">
    <cfRule type="cellIs" dxfId="8141" priority="1643" operator="lessThan">
      <formula>0.8</formula>
    </cfRule>
    <cfRule type="cellIs" dxfId="8140" priority="1644" operator="greaterThan">
      <formula>1</formula>
    </cfRule>
  </conditionalFormatting>
  <conditionalFormatting sqref="R32:R39">
    <cfRule type="cellIs" dxfId="8139" priority="1641" operator="greaterThan">
      <formula>1</formula>
    </cfRule>
    <cfRule type="cellIs" dxfId="8138" priority="1642" operator="lessThan">
      <formula>0.8</formula>
    </cfRule>
  </conditionalFormatting>
  <conditionalFormatting sqref="P39">
    <cfRule type="cellIs" dxfId="8137" priority="1640" operator="greaterThan">
      <formula>0</formula>
    </cfRule>
  </conditionalFormatting>
  <conditionalFormatting sqref="Q32:Q39">
    <cfRule type="cellIs" dxfId="8136" priority="1639" operator="lessThan">
      <formula>0</formula>
    </cfRule>
  </conditionalFormatting>
  <conditionalFormatting sqref="R32:R39">
    <cfRule type="cellIs" dxfId="8135" priority="1637" operator="lessThan">
      <formula>0.8</formula>
    </cfRule>
    <cfRule type="cellIs" dxfId="8134" priority="1638" operator="greaterThan">
      <formula>1</formula>
    </cfRule>
  </conditionalFormatting>
  <conditionalFormatting sqref="R32:R39">
    <cfRule type="cellIs" dxfId="8133" priority="1635" operator="greaterThan">
      <formula>1</formula>
    </cfRule>
    <cfRule type="cellIs" dxfId="8132" priority="1636" operator="lessThan">
      <formula>0.8</formula>
    </cfRule>
  </conditionalFormatting>
  <conditionalFormatting sqref="P39">
    <cfRule type="cellIs" dxfId="8131" priority="1634" operator="greaterThan">
      <formula>0</formula>
    </cfRule>
  </conditionalFormatting>
  <conditionalFormatting sqref="Q32:Q39">
    <cfRule type="cellIs" dxfId="8130" priority="1633" operator="lessThan">
      <formula>0</formula>
    </cfRule>
  </conditionalFormatting>
  <conditionalFormatting sqref="R32:R39">
    <cfRule type="cellIs" dxfId="8129" priority="1631" operator="lessThan">
      <formula>0.8</formula>
    </cfRule>
    <cfRule type="cellIs" dxfId="8128" priority="1632" operator="greaterThan">
      <formula>1</formula>
    </cfRule>
  </conditionalFormatting>
  <conditionalFormatting sqref="R32:R39">
    <cfRule type="cellIs" dxfId="8127" priority="1629" operator="greaterThan">
      <formula>1</formula>
    </cfRule>
    <cfRule type="cellIs" dxfId="8126" priority="1630" operator="lessThan">
      <formula>0.8</formula>
    </cfRule>
  </conditionalFormatting>
  <conditionalFormatting sqref="P39">
    <cfRule type="cellIs" dxfId="8125" priority="1628" operator="greaterThan">
      <formula>0</formula>
    </cfRule>
  </conditionalFormatting>
  <conditionalFormatting sqref="Q32:Q39">
    <cfRule type="cellIs" dxfId="8124" priority="1627" operator="lessThan">
      <formula>0</formula>
    </cfRule>
  </conditionalFormatting>
  <conditionalFormatting sqref="R32:R39">
    <cfRule type="cellIs" dxfId="8123" priority="1625" operator="lessThan">
      <formula>0.8</formula>
    </cfRule>
    <cfRule type="cellIs" dxfId="8122" priority="1626" operator="greaterThan">
      <formula>1</formula>
    </cfRule>
  </conditionalFormatting>
  <conditionalFormatting sqref="R32:R39">
    <cfRule type="cellIs" dxfId="8121" priority="1623" operator="greaterThan">
      <formula>1</formula>
    </cfRule>
    <cfRule type="cellIs" dxfId="8120" priority="1624" operator="lessThan">
      <formula>0.8</formula>
    </cfRule>
  </conditionalFormatting>
  <conditionalFormatting sqref="P39">
    <cfRule type="cellIs" dxfId="8119" priority="1622" operator="greaterThan">
      <formula>0</formula>
    </cfRule>
  </conditionalFormatting>
  <conditionalFormatting sqref="P39">
    <cfRule type="cellIs" dxfId="8118" priority="1616" operator="greaterThan">
      <formula>0</formula>
    </cfRule>
  </conditionalFormatting>
  <conditionalFormatting sqref="Q32:Q39">
    <cfRule type="cellIs" dxfId="8117" priority="1621" operator="lessThan">
      <formula>0</formula>
    </cfRule>
  </conditionalFormatting>
  <conditionalFormatting sqref="R32:R39">
    <cfRule type="cellIs" dxfId="8116" priority="1619" operator="lessThan">
      <formula>0.8</formula>
    </cfRule>
    <cfRule type="cellIs" dxfId="8115" priority="1620" operator="greaterThan">
      <formula>1</formula>
    </cfRule>
  </conditionalFormatting>
  <conditionalFormatting sqref="R32:R39">
    <cfRule type="cellIs" dxfId="8114" priority="1617" operator="greaterThan">
      <formula>1</formula>
    </cfRule>
    <cfRule type="cellIs" dxfId="8113" priority="1618" operator="lessThan">
      <formula>0.8</formula>
    </cfRule>
  </conditionalFormatting>
  <conditionalFormatting sqref="P39">
    <cfRule type="cellIs" dxfId="8112" priority="1610" operator="greaterThan">
      <formula>0</formula>
    </cfRule>
  </conditionalFormatting>
  <conditionalFormatting sqref="Q32:Q39">
    <cfRule type="cellIs" dxfId="8111" priority="1615" operator="lessThan">
      <formula>0</formula>
    </cfRule>
  </conditionalFormatting>
  <conditionalFormatting sqref="R32:R39">
    <cfRule type="cellIs" dxfId="8110" priority="1613" operator="lessThan">
      <formula>0.8</formula>
    </cfRule>
    <cfRule type="cellIs" dxfId="8109" priority="1614" operator="greaterThan">
      <formula>1</formula>
    </cfRule>
  </conditionalFormatting>
  <conditionalFormatting sqref="R32:R39">
    <cfRule type="cellIs" dxfId="8108" priority="1611" operator="greaterThan">
      <formula>1</formula>
    </cfRule>
    <cfRule type="cellIs" dxfId="8107" priority="1612" operator="lessThan">
      <formula>0.8</formula>
    </cfRule>
  </conditionalFormatting>
  <conditionalFormatting sqref="R32:R39">
    <cfRule type="cellIs" dxfId="8106" priority="1607" operator="lessThan">
      <formula>0.8</formula>
    </cfRule>
    <cfRule type="cellIs" dxfId="8105" priority="1608" operator="greaterThan">
      <formula>1</formula>
    </cfRule>
  </conditionalFormatting>
  <conditionalFormatting sqref="R32:R39">
    <cfRule type="cellIs" dxfId="8104" priority="1605" operator="greaterThan">
      <formula>1</formula>
    </cfRule>
    <cfRule type="cellIs" dxfId="8103" priority="1606" operator="lessThan">
      <formula>0.8</formula>
    </cfRule>
  </conditionalFormatting>
  <conditionalFormatting sqref="P39">
    <cfRule type="cellIs" dxfId="8102" priority="1604" operator="greaterThan">
      <formula>0</formula>
    </cfRule>
  </conditionalFormatting>
  <conditionalFormatting sqref="Q32:Q39">
    <cfRule type="cellIs" dxfId="8101" priority="1609" operator="lessThan">
      <formula>0</formula>
    </cfRule>
  </conditionalFormatting>
  <conditionalFormatting sqref="Q32:Q39">
    <cfRule type="cellIs" dxfId="8100" priority="1598" operator="lessThan">
      <formula>0</formula>
    </cfRule>
  </conditionalFormatting>
  <conditionalFormatting sqref="P39">
    <cfRule type="cellIs" dxfId="8099" priority="1599" operator="greaterThan">
      <formula>0</formula>
    </cfRule>
  </conditionalFormatting>
  <conditionalFormatting sqref="R32:R39">
    <cfRule type="cellIs" dxfId="8098" priority="1602" operator="lessThan">
      <formula>0.8</formula>
    </cfRule>
    <cfRule type="cellIs" dxfId="8097" priority="1603" operator="greaterThan">
      <formula>1</formula>
    </cfRule>
  </conditionalFormatting>
  <conditionalFormatting sqref="R32:R39">
    <cfRule type="cellIs" dxfId="8096" priority="1600" operator="greaterThan">
      <formula>1</formula>
    </cfRule>
    <cfRule type="cellIs" dxfId="8095" priority="1601" operator="lessThan">
      <formula>0.8</formula>
    </cfRule>
  </conditionalFormatting>
  <conditionalFormatting sqref="Q32:Q39">
    <cfRule type="cellIs" dxfId="8094" priority="1592" operator="lessThan">
      <formula>0</formula>
    </cfRule>
  </conditionalFormatting>
  <conditionalFormatting sqref="R32:R39">
    <cfRule type="cellIs" dxfId="8093" priority="1596" operator="lessThan">
      <formula>0.8</formula>
    </cfRule>
    <cfRule type="cellIs" dxfId="8092" priority="1597" operator="greaterThan">
      <formula>1</formula>
    </cfRule>
  </conditionalFormatting>
  <conditionalFormatting sqref="R32:R39">
    <cfRule type="cellIs" dxfId="8091" priority="1594" operator="greaterThan">
      <formula>1</formula>
    </cfRule>
    <cfRule type="cellIs" dxfId="8090" priority="1595" operator="lessThan">
      <formula>0.8</formula>
    </cfRule>
  </conditionalFormatting>
  <conditionalFormatting sqref="P39">
    <cfRule type="cellIs" dxfId="8089" priority="1593" operator="greaterThan">
      <formula>0</formula>
    </cfRule>
  </conditionalFormatting>
  <conditionalFormatting sqref="Q32:Q39">
    <cfRule type="cellIs" dxfId="8088" priority="1591" operator="lessThan">
      <formula>0</formula>
    </cfRule>
  </conditionalFormatting>
  <conditionalFormatting sqref="R32:R39">
    <cfRule type="cellIs" dxfId="8087" priority="1589" operator="lessThan">
      <formula>0.8</formula>
    </cfRule>
    <cfRule type="cellIs" dxfId="8086" priority="1590" operator="greaterThan">
      <formula>1</formula>
    </cfRule>
  </conditionalFormatting>
  <conditionalFormatting sqref="R32:R39">
    <cfRule type="cellIs" dxfId="8085" priority="1587" operator="greaterThan">
      <formula>1</formula>
    </cfRule>
    <cfRule type="cellIs" dxfId="8084" priority="1588" operator="lessThan">
      <formula>0.8</formula>
    </cfRule>
  </conditionalFormatting>
  <conditionalFormatting sqref="P39">
    <cfRule type="cellIs" dxfId="8083" priority="1586" operator="greaterThan">
      <formula>0</formula>
    </cfRule>
  </conditionalFormatting>
  <conditionalFormatting sqref="Q32:Q39">
    <cfRule type="cellIs" dxfId="8082" priority="1585" operator="lessThan">
      <formula>0</formula>
    </cfRule>
  </conditionalFormatting>
  <conditionalFormatting sqref="R32:R39">
    <cfRule type="cellIs" dxfId="8081" priority="1583" operator="lessThan">
      <formula>0.8</formula>
    </cfRule>
    <cfRule type="cellIs" dxfId="8080" priority="1584" operator="greaterThan">
      <formula>1</formula>
    </cfRule>
  </conditionalFormatting>
  <conditionalFormatting sqref="R32:R39">
    <cfRule type="cellIs" dxfId="8079" priority="1581" operator="greaterThan">
      <formula>1</formula>
    </cfRule>
    <cfRule type="cellIs" dxfId="8078" priority="1582" operator="lessThan">
      <formula>0.8</formula>
    </cfRule>
  </conditionalFormatting>
  <conditionalFormatting sqref="P39">
    <cfRule type="cellIs" dxfId="8077" priority="1580" operator="greaterThan">
      <formula>0</formula>
    </cfRule>
  </conditionalFormatting>
  <conditionalFormatting sqref="Q32:Q39">
    <cfRule type="cellIs" dxfId="8076" priority="1574" operator="lessThan">
      <formula>0</formula>
    </cfRule>
  </conditionalFormatting>
  <conditionalFormatting sqref="P39">
    <cfRule type="cellIs" dxfId="8075" priority="1575" operator="greaterThan">
      <formula>0</formula>
    </cfRule>
  </conditionalFormatting>
  <conditionalFormatting sqref="R32:R39">
    <cfRule type="cellIs" dxfId="8074" priority="1578" operator="lessThan">
      <formula>0.8</formula>
    </cfRule>
    <cfRule type="cellIs" dxfId="8073" priority="1579" operator="greaterThan">
      <formula>1</formula>
    </cfRule>
  </conditionalFormatting>
  <conditionalFormatting sqref="R32:R39">
    <cfRule type="cellIs" dxfId="8072" priority="1576" operator="greaterThan">
      <formula>1</formula>
    </cfRule>
    <cfRule type="cellIs" dxfId="8071" priority="1577" operator="lessThan">
      <formula>0.8</formula>
    </cfRule>
  </conditionalFormatting>
  <conditionalFormatting sqref="Q32:Q39">
    <cfRule type="cellIs" dxfId="8070" priority="1568" operator="lessThan">
      <formula>0</formula>
    </cfRule>
  </conditionalFormatting>
  <conditionalFormatting sqref="R32:R39">
    <cfRule type="cellIs" dxfId="8069" priority="1572" operator="lessThan">
      <formula>0.8</formula>
    </cfRule>
    <cfRule type="cellIs" dxfId="8068" priority="1573" operator="greaterThan">
      <formula>1</formula>
    </cfRule>
  </conditionalFormatting>
  <conditionalFormatting sqref="R32:R39">
    <cfRule type="cellIs" dxfId="8067" priority="1570" operator="greaterThan">
      <formula>1</formula>
    </cfRule>
    <cfRule type="cellIs" dxfId="8066" priority="1571" operator="lessThan">
      <formula>0.8</formula>
    </cfRule>
  </conditionalFormatting>
  <conditionalFormatting sqref="P39">
    <cfRule type="cellIs" dxfId="8065" priority="1569" operator="greaterThan">
      <formula>0</formula>
    </cfRule>
  </conditionalFormatting>
  <conditionalFormatting sqref="Q32:Q39">
    <cfRule type="cellIs" dxfId="8064" priority="1567" operator="lessThan">
      <formula>0</formula>
    </cfRule>
  </conditionalFormatting>
  <conditionalFormatting sqref="R32:R39">
    <cfRule type="cellIs" dxfId="8063" priority="1565" operator="lessThan">
      <formula>0.8</formula>
    </cfRule>
    <cfRule type="cellIs" dxfId="8062" priority="1566" operator="greaterThan">
      <formula>1</formula>
    </cfRule>
  </conditionalFormatting>
  <conditionalFormatting sqref="R32:R39">
    <cfRule type="cellIs" dxfId="8061" priority="1563" operator="greaterThan">
      <formula>1</formula>
    </cfRule>
    <cfRule type="cellIs" dxfId="8060" priority="1564" operator="lessThan">
      <formula>0.8</formula>
    </cfRule>
  </conditionalFormatting>
  <conditionalFormatting sqref="P39">
    <cfRule type="cellIs" dxfId="8059" priority="1562" operator="greaterThan">
      <formula>0</formula>
    </cfRule>
  </conditionalFormatting>
  <conditionalFormatting sqref="Q32:Q39">
    <cfRule type="cellIs" dxfId="8058" priority="1561" operator="lessThan">
      <formula>0</formula>
    </cfRule>
  </conditionalFormatting>
  <conditionalFormatting sqref="R32:R39">
    <cfRule type="cellIs" dxfId="8057" priority="1559" operator="lessThan">
      <formula>0.8</formula>
    </cfRule>
    <cfRule type="cellIs" dxfId="8056" priority="1560" operator="greaterThan">
      <formula>1</formula>
    </cfRule>
  </conditionalFormatting>
  <conditionalFormatting sqref="R32:R39">
    <cfRule type="cellIs" dxfId="8055" priority="1557" operator="greaterThan">
      <formula>1</formula>
    </cfRule>
    <cfRule type="cellIs" dxfId="8054" priority="1558" operator="lessThan">
      <formula>0.8</formula>
    </cfRule>
  </conditionalFormatting>
  <conditionalFormatting sqref="P39">
    <cfRule type="cellIs" dxfId="8053" priority="1556" operator="greaterThan">
      <formula>0</formula>
    </cfRule>
  </conditionalFormatting>
  <conditionalFormatting sqref="Q19:Q25">
    <cfRule type="cellIs" dxfId="8052" priority="1555" operator="lessThan">
      <formula>0</formula>
    </cfRule>
  </conditionalFormatting>
  <conditionalFormatting sqref="R19:R25">
    <cfRule type="cellIs" dxfId="8051" priority="1553" operator="lessThan">
      <formula>0.8</formula>
    </cfRule>
    <cfRule type="cellIs" dxfId="8050" priority="1554" operator="greaterThan">
      <formula>1</formula>
    </cfRule>
  </conditionalFormatting>
  <conditionalFormatting sqref="R19:R25">
    <cfRule type="cellIs" dxfId="8049" priority="1551" operator="greaterThan">
      <formula>1</formula>
    </cfRule>
    <cfRule type="cellIs" dxfId="8048" priority="1552" operator="lessThan">
      <formula>0.8</formula>
    </cfRule>
  </conditionalFormatting>
  <conditionalFormatting sqref="P19:P25">
    <cfRule type="cellIs" dxfId="8047" priority="1550" operator="greaterThan">
      <formula>0</formula>
    </cfRule>
  </conditionalFormatting>
  <conditionalFormatting sqref="R19:R25">
    <cfRule type="cellIs" dxfId="8046" priority="1547" operator="lessThan">
      <formula>0.8</formula>
    </cfRule>
    <cfRule type="cellIs" dxfId="8045" priority="1548" operator="greaterThan">
      <formula>1</formula>
    </cfRule>
  </conditionalFormatting>
  <conditionalFormatting sqref="R19:R25">
    <cfRule type="cellIs" dxfId="8044" priority="1545" operator="greaterThan">
      <formula>1</formula>
    </cfRule>
    <cfRule type="cellIs" dxfId="8043" priority="1546" operator="lessThan">
      <formula>0.8</formula>
    </cfRule>
  </conditionalFormatting>
  <conditionalFormatting sqref="P19:P25">
    <cfRule type="cellIs" dxfId="8042" priority="1544" operator="greaterThan">
      <formula>0</formula>
    </cfRule>
  </conditionalFormatting>
  <conditionalFormatting sqref="Q19:Q25">
    <cfRule type="cellIs" dxfId="8041" priority="1549" operator="lessThan">
      <formula>0</formula>
    </cfRule>
  </conditionalFormatting>
  <conditionalFormatting sqref="R19:R25">
    <cfRule type="cellIs" dxfId="8040" priority="1541" operator="lessThan">
      <formula>0.8</formula>
    </cfRule>
    <cfRule type="cellIs" dxfId="8039" priority="1542" operator="greaterThan">
      <formula>1</formula>
    </cfRule>
  </conditionalFormatting>
  <conditionalFormatting sqref="R19:R25">
    <cfRule type="cellIs" dxfId="8038" priority="1539" operator="greaterThan">
      <formula>1</formula>
    </cfRule>
    <cfRule type="cellIs" dxfId="8037" priority="1540" operator="lessThan">
      <formula>0.8</formula>
    </cfRule>
  </conditionalFormatting>
  <conditionalFormatting sqref="P19:P25">
    <cfRule type="cellIs" dxfId="8036" priority="1538" operator="greaterThan">
      <formula>0</formula>
    </cfRule>
  </conditionalFormatting>
  <conditionalFormatting sqref="Q19:Q25">
    <cfRule type="cellIs" dxfId="8035" priority="1543" operator="lessThan">
      <formula>0</formula>
    </cfRule>
  </conditionalFormatting>
  <conditionalFormatting sqref="Q19:Q25">
    <cfRule type="cellIs" dxfId="8034" priority="1537" operator="lessThan">
      <formula>0</formula>
    </cfRule>
  </conditionalFormatting>
  <conditionalFormatting sqref="R19:R25">
    <cfRule type="cellIs" dxfId="8033" priority="1535" operator="lessThan">
      <formula>0.8</formula>
    </cfRule>
    <cfRule type="cellIs" dxfId="8032" priority="1536" operator="greaterThan">
      <formula>1</formula>
    </cfRule>
  </conditionalFormatting>
  <conditionalFormatting sqref="R19:R25">
    <cfRule type="cellIs" dxfId="8031" priority="1533" operator="greaterThan">
      <formula>1</formula>
    </cfRule>
    <cfRule type="cellIs" dxfId="8030" priority="1534" operator="lessThan">
      <formula>0.8</formula>
    </cfRule>
  </conditionalFormatting>
  <conditionalFormatting sqref="P19:P25">
    <cfRule type="cellIs" dxfId="8029" priority="1532" operator="greaterThan">
      <formula>0</formula>
    </cfRule>
  </conditionalFormatting>
  <conditionalFormatting sqref="Q135:Q136">
    <cfRule type="cellIs" dxfId="8028" priority="1531" operator="lessThan">
      <formula>0</formula>
    </cfRule>
  </conditionalFormatting>
  <conditionalFormatting sqref="R135:R136 R139:R144">
    <cfRule type="cellIs" dxfId="8027" priority="1529" operator="lessThan">
      <formula>0.8</formula>
    </cfRule>
    <cfRule type="cellIs" dxfId="8026" priority="1530" operator="greaterThan">
      <formula>1</formula>
    </cfRule>
  </conditionalFormatting>
  <conditionalFormatting sqref="R135:R136 R139:R144">
    <cfRule type="cellIs" dxfId="8025" priority="1527" operator="greaterThan">
      <formula>1</formula>
    </cfRule>
    <cfRule type="cellIs" dxfId="8024" priority="1528" operator="lessThan">
      <formula>0.8</formula>
    </cfRule>
  </conditionalFormatting>
  <conditionalFormatting sqref="P135:P136 P139">
    <cfRule type="cellIs" dxfId="8023" priority="1526" operator="greaterThan">
      <formula>0</formula>
    </cfRule>
  </conditionalFormatting>
  <conditionalFormatting sqref="P135:P136 P139">
    <cfRule type="cellIs" dxfId="8022" priority="1520" operator="greaterThan">
      <formula>0</formula>
    </cfRule>
  </conditionalFormatting>
  <conditionalFormatting sqref="Q135:Q136">
    <cfRule type="cellIs" dxfId="8021" priority="1525" operator="lessThan">
      <formula>0</formula>
    </cfRule>
  </conditionalFormatting>
  <conditionalFormatting sqref="R135:R136 R139:R144">
    <cfRule type="cellIs" dxfId="8020" priority="1523" operator="lessThan">
      <formula>0.8</formula>
    </cfRule>
    <cfRule type="cellIs" dxfId="8019" priority="1524" operator="greaterThan">
      <formula>1</formula>
    </cfRule>
  </conditionalFormatting>
  <conditionalFormatting sqref="R135:R136 R139:R144">
    <cfRule type="cellIs" dxfId="8018" priority="1521" operator="greaterThan">
      <formula>1</formula>
    </cfRule>
    <cfRule type="cellIs" dxfId="8017" priority="1522" operator="lessThan">
      <formula>0.8</formula>
    </cfRule>
  </conditionalFormatting>
  <conditionalFormatting sqref="P19:P25">
    <cfRule type="cellIs" dxfId="8016" priority="1514" operator="greaterThan">
      <formula>0</formula>
    </cfRule>
  </conditionalFormatting>
  <conditionalFormatting sqref="Q19:Q25">
    <cfRule type="cellIs" dxfId="8015" priority="1519" operator="lessThan">
      <formula>0</formula>
    </cfRule>
  </conditionalFormatting>
  <conditionalFormatting sqref="R19:R25">
    <cfRule type="cellIs" dxfId="8014" priority="1517" operator="lessThan">
      <formula>0.8</formula>
    </cfRule>
    <cfRule type="cellIs" dxfId="8013" priority="1518" operator="greaterThan">
      <formula>1</formula>
    </cfRule>
  </conditionalFormatting>
  <conditionalFormatting sqref="R19:R25">
    <cfRule type="cellIs" dxfId="8012" priority="1515" operator="greaterThan">
      <formula>1</formula>
    </cfRule>
    <cfRule type="cellIs" dxfId="8011" priority="1516" operator="lessThan">
      <formula>0.8</formula>
    </cfRule>
  </conditionalFormatting>
  <conditionalFormatting sqref="Q19:Q25">
    <cfRule type="cellIs" dxfId="8010" priority="1513" operator="lessThan">
      <formula>0</formula>
    </cfRule>
  </conditionalFormatting>
  <conditionalFormatting sqref="R19:R25">
    <cfRule type="cellIs" dxfId="8009" priority="1511" operator="lessThan">
      <formula>0.8</formula>
    </cfRule>
    <cfRule type="cellIs" dxfId="8008" priority="1512" operator="greaterThan">
      <formula>1</formula>
    </cfRule>
  </conditionalFormatting>
  <conditionalFormatting sqref="R19:R25">
    <cfRule type="cellIs" dxfId="8007" priority="1509" operator="greaterThan">
      <formula>1</formula>
    </cfRule>
    <cfRule type="cellIs" dxfId="8006" priority="1510" operator="lessThan">
      <formula>0.8</formula>
    </cfRule>
  </conditionalFormatting>
  <conditionalFormatting sqref="P19:P25">
    <cfRule type="cellIs" dxfId="8005" priority="1508" operator="greaterThan">
      <formula>0</formula>
    </cfRule>
  </conditionalFormatting>
  <conditionalFormatting sqref="Q19:Q25">
    <cfRule type="cellIs" dxfId="8004" priority="1507" operator="lessThan">
      <formula>0</formula>
    </cfRule>
  </conditionalFormatting>
  <conditionalFormatting sqref="R19:R25">
    <cfRule type="cellIs" dxfId="8003" priority="1505" operator="lessThan">
      <formula>0.8</formula>
    </cfRule>
    <cfRule type="cellIs" dxfId="8002" priority="1506" operator="greaterThan">
      <formula>1</formula>
    </cfRule>
  </conditionalFormatting>
  <conditionalFormatting sqref="R19:R25">
    <cfRule type="cellIs" dxfId="8001" priority="1503" operator="greaterThan">
      <formula>1</formula>
    </cfRule>
    <cfRule type="cellIs" dxfId="8000" priority="1504" operator="lessThan">
      <formula>0.8</formula>
    </cfRule>
  </conditionalFormatting>
  <conditionalFormatting sqref="P19:P25">
    <cfRule type="cellIs" dxfId="7999" priority="1502" operator="greaterThan">
      <formula>0</formula>
    </cfRule>
  </conditionalFormatting>
  <conditionalFormatting sqref="Q19:Q25">
    <cfRule type="cellIs" dxfId="7998" priority="1501" operator="lessThan">
      <formula>0</formula>
    </cfRule>
  </conditionalFormatting>
  <conditionalFormatting sqref="R19:R25">
    <cfRule type="cellIs" dxfId="7997" priority="1499" operator="lessThan">
      <formula>0.8</formula>
    </cfRule>
    <cfRule type="cellIs" dxfId="7996" priority="1500" operator="greaterThan">
      <formula>1</formula>
    </cfRule>
  </conditionalFormatting>
  <conditionalFormatting sqref="R19:R25">
    <cfRule type="cellIs" dxfId="7995" priority="1497" operator="greaterThan">
      <formula>1</formula>
    </cfRule>
    <cfRule type="cellIs" dxfId="7994" priority="1498" operator="lessThan">
      <formula>0.8</formula>
    </cfRule>
  </conditionalFormatting>
  <conditionalFormatting sqref="P19:P25">
    <cfRule type="cellIs" dxfId="7993" priority="1496" operator="greaterThan">
      <formula>0</formula>
    </cfRule>
  </conditionalFormatting>
  <conditionalFormatting sqref="R19:R25">
    <cfRule type="cellIs" dxfId="7992" priority="1493" operator="lessThan">
      <formula>0.8</formula>
    </cfRule>
    <cfRule type="cellIs" dxfId="7991" priority="1494" operator="greaterThan">
      <formula>1</formula>
    </cfRule>
  </conditionalFormatting>
  <conditionalFormatting sqref="R19:R25">
    <cfRule type="cellIs" dxfId="7990" priority="1491" operator="greaterThan">
      <formula>1</formula>
    </cfRule>
    <cfRule type="cellIs" dxfId="7989" priority="1492" operator="lessThan">
      <formula>0.8</formula>
    </cfRule>
  </conditionalFormatting>
  <conditionalFormatting sqref="P19:P25">
    <cfRule type="cellIs" dxfId="7988" priority="1490" operator="greaterThan">
      <formula>0</formula>
    </cfRule>
  </conditionalFormatting>
  <conditionalFormatting sqref="Q19:Q25">
    <cfRule type="cellIs" dxfId="7987" priority="1495" operator="lessThan">
      <formula>0</formula>
    </cfRule>
  </conditionalFormatting>
  <conditionalFormatting sqref="Q19:Q25">
    <cfRule type="cellIs" dxfId="7986" priority="1489" operator="lessThan">
      <formula>0</formula>
    </cfRule>
  </conditionalFormatting>
  <conditionalFormatting sqref="R19:R25">
    <cfRule type="cellIs" dxfId="7985" priority="1487" operator="lessThan">
      <formula>0.8</formula>
    </cfRule>
    <cfRule type="cellIs" dxfId="7984" priority="1488" operator="greaterThan">
      <formula>1</formula>
    </cfRule>
  </conditionalFormatting>
  <conditionalFormatting sqref="R19:R25">
    <cfRule type="cellIs" dxfId="7983" priority="1485" operator="greaterThan">
      <formula>1</formula>
    </cfRule>
    <cfRule type="cellIs" dxfId="7982" priority="1486" operator="lessThan">
      <formula>0.8</formula>
    </cfRule>
  </conditionalFormatting>
  <conditionalFormatting sqref="P19:P25">
    <cfRule type="cellIs" dxfId="7981" priority="1484" operator="greaterThan">
      <formula>0</formula>
    </cfRule>
  </conditionalFormatting>
  <conditionalFormatting sqref="P19:P25">
    <cfRule type="cellIs" dxfId="7980" priority="1478" operator="greaterThan">
      <formula>0</formula>
    </cfRule>
  </conditionalFormatting>
  <conditionalFormatting sqref="Q19:Q25">
    <cfRule type="cellIs" dxfId="7979" priority="1483" operator="lessThan">
      <formula>0</formula>
    </cfRule>
  </conditionalFormatting>
  <conditionalFormatting sqref="R19:R25">
    <cfRule type="cellIs" dxfId="7978" priority="1481" operator="lessThan">
      <formula>0.8</formula>
    </cfRule>
    <cfRule type="cellIs" dxfId="7977" priority="1482" operator="greaterThan">
      <formula>1</formula>
    </cfRule>
  </conditionalFormatting>
  <conditionalFormatting sqref="R19:R25">
    <cfRule type="cellIs" dxfId="7976" priority="1479" operator="greaterThan">
      <formula>1</formula>
    </cfRule>
    <cfRule type="cellIs" dxfId="7975" priority="1480" operator="lessThan">
      <formula>0.8</formula>
    </cfRule>
  </conditionalFormatting>
  <conditionalFormatting sqref="P19:P25">
    <cfRule type="cellIs" dxfId="7974" priority="1472" operator="greaterThan">
      <formula>0</formula>
    </cfRule>
  </conditionalFormatting>
  <conditionalFormatting sqref="Q19:Q25">
    <cfRule type="cellIs" dxfId="7973" priority="1477" operator="lessThan">
      <formula>0</formula>
    </cfRule>
  </conditionalFormatting>
  <conditionalFormatting sqref="R19:R25">
    <cfRule type="cellIs" dxfId="7972" priority="1475" operator="lessThan">
      <formula>0.8</formula>
    </cfRule>
    <cfRule type="cellIs" dxfId="7971" priority="1476" operator="greaterThan">
      <formula>1</formula>
    </cfRule>
  </conditionalFormatting>
  <conditionalFormatting sqref="R19:R25">
    <cfRule type="cellIs" dxfId="7970" priority="1473" operator="greaterThan">
      <formula>1</formula>
    </cfRule>
    <cfRule type="cellIs" dxfId="7969" priority="1474" operator="lessThan">
      <formula>0.8</formula>
    </cfRule>
  </conditionalFormatting>
  <conditionalFormatting sqref="Q19:Q25">
    <cfRule type="cellIs" dxfId="7968" priority="1471" operator="lessThan">
      <formula>0</formula>
    </cfRule>
  </conditionalFormatting>
  <conditionalFormatting sqref="R19:R25">
    <cfRule type="cellIs" dxfId="7967" priority="1469" operator="lessThan">
      <formula>0.8</formula>
    </cfRule>
    <cfRule type="cellIs" dxfId="7966" priority="1470" operator="greaterThan">
      <formula>1</formula>
    </cfRule>
  </conditionalFormatting>
  <conditionalFormatting sqref="R19:R25">
    <cfRule type="cellIs" dxfId="7965" priority="1467" operator="greaterThan">
      <formula>1</formula>
    </cfRule>
    <cfRule type="cellIs" dxfId="7964" priority="1468" operator="lessThan">
      <formula>0.8</formula>
    </cfRule>
  </conditionalFormatting>
  <conditionalFormatting sqref="P19:P25">
    <cfRule type="cellIs" dxfId="7963" priority="1466" operator="greaterThan">
      <formula>0</formula>
    </cfRule>
  </conditionalFormatting>
  <conditionalFormatting sqref="Q19:Q25">
    <cfRule type="cellIs" dxfId="7962" priority="1465" operator="lessThan">
      <formula>0</formula>
    </cfRule>
  </conditionalFormatting>
  <conditionalFormatting sqref="R19:R25">
    <cfRule type="cellIs" dxfId="7961" priority="1463" operator="lessThan">
      <formula>0.8</formula>
    </cfRule>
    <cfRule type="cellIs" dxfId="7960" priority="1464" operator="greaterThan">
      <formula>1</formula>
    </cfRule>
  </conditionalFormatting>
  <conditionalFormatting sqref="R19:R25">
    <cfRule type="cellIs" dxfId="7959" priority="1461" operator="greaterThan">
      <formula>1</formula>
    </cfRule>
    <cfRule type="cellIs" dxfId="7958" priority="1462" operator="lessThan">
      <formula>0.8</formula>
    </cfRule>
  </conditionalFormatting>
  <conditionalFormatting sqref="P19:P25">
    <cfRule type="cellIs" dxfId="7957" priority="1460" operator="greaterThan">
      <formula>0</formula>
    </cfRule>
  </conditionalFormatting>
  <conditionalFormatting sqref="P19:P25">
    <cfRule type="cellIs" dxfId="7956" priority="1454" operator="greaterThan">
      <formula>0</formula>
    </cfRule>
  </conditionalFormatting>
  <conditionalFormatting sqref="Q19:Q25">
    <cfRule type="cellIs" dxfId="7955" priority="1459" operator="lessThan">
      <formula>0</formula>
    </cfRule>
  </conditionalFormatting>
  <conditionalFormatting sqref="R19:R25">
    <cfRule type="cellIs" dxfId="7954" priority="1457" operator="lessThan">
      <formula>0.8</formula>
    </cfRule>
    <cfRule type="cellIs" dxfId="7953" priority="1458" operator="greaterThan">
      <formula>1</formula>
    </cfRule>
  </conditionalFormatting>
  <conditionalFormatting sqref="R19:R25">
    <cfRule type="cellIs" dxfId="7952" priority="1455" operator="greaterThan">
      <formula>1</formula>
    </cfRule>
    <cfRule type="cellIs" dxfId="7951" priority="1456" operator="lessThan">
      <formula>0.8</formula>
    </cfRule>
  </conditionalFormatting>
  <conditionalFormatting sqref="Q19:Q25">
    <cfRule type="cellIs" dxfId="7950" priority="1453" operator="lessThan">
      <formula>0</formula>
    </cfRule>
  </conditionalFormatting>
  <conditionalFormatting sqref="R19:R25">
    <cfRule type="cellIs" dxfId="7949" priority="1451" operator="lessThan">
      <formula>0.8</formula>
    </cfRule>
    <cfRule type="cellIs" dxfId="7948" priority="1452" operator="greaterThan">
      <formula>1</formula>
    </cfRule>
  </conditionalFormatting>
  <conditionalFormatting sqref="R19:R25">
    <cfRule type="cellIs" dxfId="7947" priority="1449" operator="greaterThan">
      <formula>1</formula>
    </cfRule>
    <cfRule type="cellIs" dxfId="7946" priority="1450" operator="lessThan">
      <formula>0.8</formula>
    </cfRule>
  </conditionalFormatting>
  <conditionalFormatting sqref="P19:P25">
    <cfRule type="cellIs" dxfId="7945" priority="1448" operator="greaterThan">
      <formula>0</formula>
    </cfRule>
  </conditionalFormatting>
  <conditionalFormatting sqref="Q19:Q25">
    <cfRule type="cellIs" dxfId="7944" priority="1447" operator="lessThan">
      <formula>0</formula>
    </cfRule>
  </conditionalFormatting>
  <conditionalFormatting sqref="R19:R25">
    <cfRule type="cellIs" dxfId="7943" priority="1445" operator="lessThan">
      <formula>0.8</formula>
    </cfRule>
    <cfRule type="cellIs" dxfId="7942" priority="1446" operator="greaterThan">
      <formula>1</formula>
    </cfRule>
  </conditionalFormatting>
  <conditionalFormatting sqref="R19:R25">
    <cfRule type="cellIs" dxfId="7941" priority="1443" operator="greaterThan">
      <formula>1</formula>
    </cfRule>
    <cfRule type="cellIs" dxfId="7940" priority="1444" operator="lessThan">
      <formula>0.8</formula>
    </cfRule>
  </conditionalFormatting>
  <conditionalFormatting sqref="P19:P25">
    <cfRule type="cellIs" dxfId="7939" priority="1442" operator="greaterThan">
      <formula>0</formula>
    </cfRule>
  </conditionalFormatting>
  <conditionalFormatting sqref="Q19:Q25">
    <cfRule type="cellIs" dxfId="7938" priority="1441" operator="lessThan">
      <formula>0</formula>
    </cfRule>
  </conditionalFormatting>
  <conditionalFormatting sqref="R19:R25">
    <cfRule type="cellIs" dxfId="7937" priority="1439" operator="lessThan">
      <formula>0.8</formula>
    </cfRule>
    <cfRule type="cellIs" dxfId="7936" priority="1440" operator="greaterThan">
      <formula>1</formula>
    </cfRule>
  </conditionalFormatting>
  <conditionalFormatting sqref="R19:R25">
    <cfRule type="cellIs" dxfId="7935" priority="1437" operator="greaterThan">
      <formula>1</formula>
    </cfRule>
    <cfRule type="cellIs" dxfId="7934" priority="1438" operator="lessThan">
      <formula>0.8</formula>
    </cfRule>
  </conditionalFormatting>
  <conditionalFormatting sqref="P19:P25">
    <cfRule type="cellIs" dxfId="7933" priority="1436" operator="greaterThan">
      <formula>0</formula>
    </cfRule>
  </conditionalFormatting>
  <conditionalFormatting sqref="R19:R25">
    <cfRule type="cellIs" dxfId="7932" priority="1433" operator="lessThan">
      <formula>0.8</formula>
    </cfRule>
    <cfRule type="cellIs" dxfId="7931" priority="1434" operator="greaterThan">
      <formula>1</formula>
    </cfRule>
  </conditionalFormatting>
  <conditionalFormatting sqref="R19:R25">
    <cfRule type="cellIs" dxfId="7930" priority="1431" operator="greaterThan">
      <formula>1</formula>
    </cfRule>
    <cfRule type="cellIs" dxfId="7929" priority="1432" operator="lessThan">
      <formula>0.8</formula>
    </cfRule>
  </conditionalFormatting>
  <conditionalFormatting sqref="P19:P25">
    <cfRule type="cellIs" dxfId="7928" priority="1430" operator="greaterThan">
      <formula>0</formula>
    </cfRule>
  </conditionalFormatting>
  <conditionalFormatting sqref="Q19:Q25">
    <cfRule type="cellIs" dxfId="7927" priority="1435" operator="lessThan">
      <formula>0</formula>
    </cfRule>
  </conditionalFormatting>
  <conditionalFormatting sqref="Q40">
    <cfRule type="cellIs" dxfId="7926" priority="1429" operator="lessThan">
      <formula>0</formula>
    </cfRule>
  </conditionalFormatting>
  <conditionalFormatting sqref="R40">
    <cfRule type="cellIs" dxfId="7925" priority="1427" operator="lessThan">
      <formula>0.8</formula>
    </cfRule>
    <cfRule type="cellIs" dxfId="7924" priority="1428" operator="greaterThan">
      <formula>1</formula>
    </cfRule>
  </conditionalFormatting>
  <conditionalFormatting sqref="R40">
    <cfRule type="cellIs" dxfId="7923" priority="1425" operator="greaterThan">
      <formula>1</formula>
    </cfRule>
    <cfRule type="cellIs" dxfId="7922" priority="1426" operator="lessThan">
      <formula>0.8</formula>
    </cfRule>
  </conditionalFormatting>
  <conditionalFormatting sqref="P40">
    <cfRule type="cellIs" dxfId="7921" priority="1424" operator="greaterThan">
      <formula>0</formula>
    </cfRule>
  </conditionalFormatting>
  <conditionalFormatting sqref="P40">
    <cfRule type="cellIs" dxfId="7920" priority="1418" operator="greaterThan">
      <formula>0</formula>
    </cfRule>
  </conditionalFormatting>
  <conditionalFormatting sqref="Q40">
    <cfRule type="cellIs" dxfId="7919" priority="1423" operator="lessThan">
      <formula>0</formula>
    </cfRule>
  </conditionalFormatting>
  <conditionalFormatting sqref="R40">
    <cfRule type="cellIs" dxfId="7918" priority="1421" operator="lessThan">
      <formula>0.8</formula>
    </cfRule>
    <cfRule type="cellIs" dxfId="7917" priority="1422" operator="greaterThan">
      <formula>1</formula>
    </cfRule>
  </conditionalFormatting>
  <conditionalFormatting sqref="R40">
    <cfRule type="cellIs" dxfId="7916" priority="1419" operator="greaterThan">
      <formula>1</formula>
    </cfRule>
    <cfRule type="cellIs" dxfId="7915" priority="1420" operator="lessThan">
      <formula>0.8</formula>
    </cfRule>
  </conditionalFormatting>
  <conditionalFormatting sqref="P40">
    <cfRule type="cellIs" dxfId="7914" priority="1412" operator="greaterThan">
      <formula>0</formula>
    </cfRule>
  </conditionalFormatting>
  <conditionalFormatting sqref="Q40">
    <cfRule type="cellIs" dxfId="7913" priority="1417" operator="lessThan">
      <formula>0</formula>
    </cfRule>
  </conditionalFormatting>
  <conditionalFormatting sqref="R40">
    <cfRule type="cellIs" dxfId="7912" priority="1415" operator="lessThan">
      <formula>0.8</formula>
    </cfRule>
    <cfRule type="cellIs" dxfId="7911" priority="1416" operator="greaterThan">
      <formula>1</formula>
    </cfRule>
  </conditionalFormatting>
  <conditionalFormatting sqref="R40">
    <cfRule type="cellIs" dxfId="7910" priority="1413" operator="greaterThan">
      <formula>1</formula>
    </cfRule>
    <cfRule type="cellIs" dxfId="7909" priority="1414" operator="lessThan">
      <formula>0.8</formula>
    </cfRule>
  </conditionalFormatting>
  <conditionalFormatting sqref="Q40">
    <cfRule type="cellIs" dxfId="7908" priority="1411" operator="lessThan">
      <formula>0</formula>
    </cfRule>
  </conditionalFormatting>
  <conditionalFormatting sqref="R40">
    <cfRule type="cellIs" dxfId="7907" priority="1409" operator="lessThan">
      <formula>0.8</formula>
    </cfRule>
    <cfRule type="cellIs" dxfId="7906" priority="1410" operator="greaterThan">
      <formula>1</formula>
    </cfRule>
  </conditionalFormatting>
  <conditionalFormatting sqref="R40">
    <cfRule type="cellIs" dxfId="7905" priority="1407" operator="greaterThan">
      <formula>1</formula>
    </cfRule>
    <cfRule type="cellIs" dxfId="7904" priority="1408" operator="lessThan">
      <formula>0.8</formula>
    </cfRule>
  </conditionalFormatting>
  <conditionalFormatting sqref="P40">
    <cfRule type="cellIs" dxfId="7903" priority="1406" operator="greaterThan">
      <formula>0</formula>
    </cfRule>
  </conditionalFormatting>
  <conditionalFormatting sqref="P40">
    <cfRule type="cellIs" dxfId="7902" priority="1400" operator="greaterThan">
      <formula>0</formula>
    </cfRule>
  </conditionalFormatting>
  <conditionalFormatting sqref="Q40">
    <cfRule type="cellIs" dxfId="7901" priority="1405" operator="lessThan">
      <formula>0</formula>
    </cfRule>
  </conditionalFormatting>
  <conditionalFormatting sqref="R40">
    <cfRule type="cellIs" dxfId="7900" priority="1403" operator="lessThan">
      <formula>0.8</formula>
    </cfRule>
    <cfRule type="cellIs" dxfId="7899" priority="1404" operator="greaterThan">
      <formula>1</formula>
    </cfRule>
  </conditionalFormatting>
  <conditionalFormatting sqref="R40">
    <cfRule type="cellIs" dxfId="7898" priority="1401" operator="greaterThan">
      <formula>1</formula>
    </cfRule>
    <cfRule type="cellIs" dxfId="7897" priority="1402" operator="lessThan">
      <formula>0.8</formula>
    </cfRule>
  </conditionalFormatting>
  <conditionalFormatting sqref="P40">
    <cfRule type="cellIs" dxfId="7896" priority="1394" operator="greaterThan">
      <formula>0</formula>
    </cfRule>
  </conditionalFormatting>
  <conditionalFormatting sqref="Q40">
    <cfRule type="cellIs" dxfId="7895" priority="1399" operator="lessThan">
      <formula>0</formula>
    </cfRule>
  </conditionalFormatting>
  <conditionalFormatting sqref="R40">
    <cfRule type="cellIs" dxfId="7894" priority="1397" operator="lessThan">
      <formula>0.8</formula>
    </cfRule>
    <cfRule type="cellIs" dxfId="7893" priority="1398" operator="greaterThan">
      <formula>1</formula>
    </cfRule>
  </conditionalFormatting>
  <conditionalFormatting sqref="R40">
    <cfRule type="cellIs" dxfId="7892" priority="1395" operator="greaterThan">
      <formula>1</formula>
    </cfRule>
    <cfRule type="cellIs" dxfId="7891" priority="1396" operator="lessThan">
      <formula>0.8</formula>
    </cfRule>
  </conditionalFormatting>
  <conditionalFormatting sqref="P40">
    <cfRule type="cellIs" dxfId="7890" priority="1388" operator="greaterThan">
      <formula>0</formula>
    </cfRule>
  </conditionalFormatting>
  <conditionalFormatting sqref="Q40">
    <cfRule type="cellIs" dxfId="7889" priority="1393" operator="lessThan">
      <formula>0</formula>
    </cfRule>
  </conditionalFormatting>
  <conditionalFormatting sqref="R40">
    <cfRule type="cellIs" dxfId="7888" priority="1391" operator="lessThan">
      <formula>0.8</formula>
    </cfRule>
    <cfRule type="cellIs" dxfId="7887" priority="1392" operator="greaterThan">
      <formula>1</formula>
    </cfRule>
  </conditionalFormatting>
  <conditionalFormatting sqref="R40">
    <cfRule type="cellIs" dxfId="7886" priority="1389" operator="greaterThan">
      <formula>1</formula>
    </cfRule>
    <cfRule type="cellIs" dxfId="7885" priority="1390" operator="lessThan">
      <formula>0.8</formula>
    </cfRule>
  </conditionalFormatting>
  <conditionalFormatting sqref="Q40">
    <cfRule type="cellIs" dxfId="7884" priority="1382" operator="lessThan">
      <formula>0</formula>
    </cfRule>
  </conditionalFormatting>
  <conditionalFormatting sqref="P40">
    <cfRule type="cellIs" dxfId="7883" priority="1383" operator="greaterThan">
      <formula>0</formula>
    </cfRule>
  </conditionalFormatting>
  <conditionalFormatting sqref="R40">
    <cfRule type="cellIs" dxfId="7882" priority="1386" operator="lessThan">
      <formula>0.8</formula>
    </cfRule>
    <cfRule type="cellIs" dxfId="7881" priority="1387" operator="greaterThan">
      <formula>1</formula>
    </cfRule>
  </conditionalFormatting>
  <conditionalFormatting sqref="R40">
    <cfRule type="cellIs" dxfId="7880" priority="1384" operator="greaterThan">
      <formula>1</formula>
    </cfRule>
    <cfRule type="cellIs" dxfId="7879" priority="1385" operator="lessThan">
      <formula>0.8</formula>
    </cfRule>
  </conditionalFormatting>
  <conditionalFormatting sqref="Q40">
    <cfRule type="cellIs" dxfId="7878" priority="1376" operator="lessThan">
      <formula>0</formula>
    </cfRule>
  </conditionalFormatting>
  <conditionalFormatting sqref="R40">
    <cfRule type="cellIs" dxfId="7877" priority="1380" operator="lessThan">
      <formula>0.8</formula>
    </cfRule>
    <cfRule type="cellIs" dxfId="7876" priority="1381" operator="greaterThan">
      <formula>1</formula>
    </cfRule>
  </conditionalFormatting>
  <conditionalFormatting sqref="R40">
    <cfRule type="cellIs" dxfId="7875" priority="1378" operator="greaterThan">
      <formula>1</formula>
    </cfRule>
    <cfRule type="cellIs" dxfId="7874" priority="1379" operator="lessThan">
      <formula>0.8</formula>
    </cfRule>
  </conditionalFormatting>
  <conditionalFormatting sqref="P40">
    <cfRule type="cellIs" dxfId="7873" priority="1377" operator="greaterThan">
      <formula>0</formula>
    </cfRule>
  </conditionalFormatting>
  <conditionalFormatting sqref="Q40">
    <cfRule type="cellIs" dxfId="7872" priority="1375" operator="lessThan">
      <formula>0</formula>
    </cfRule>
  </conditionalFormatting>
  <conditionalFormatting sqref="R40">
    <cfRule type="cellIs" dxfId="7871" priority="1373" operator="lessThan">
      <formula>0.8</formula>
    </cfRule>
    <cfRule type="cellIs" dxfId="7870" priority="1374" operator="greaterThan">
      <formula>1</formula>
    </cfRule>
  </conditionalFormatting>
  <conditionalFormatting sqref="R40">
    <cfRule type="cellIs" dxfId="7869" priority="1371" operator="greaterThan">
      <formula>1</formula>
    </cfRule>
    <cfRule type="cellIs" dxfId="7868" priority="1372" operator="lessThan">
      <formula>0.8</formula>
    </cfRule>
  </conditionalFormatting>
  <conditionalFormatting sqref="P40">
    <cfRule type="cellIs" dxfId="7867" priority="1370" operator="greaterThan">
      <formula>0</formula>
    </cfRule>
  </conditionalFormatting>
  <conditionalFormatting sqref="Q40">
    <cfRule type="cellIs" dxfId="7866" priority="1369" operator="lessThan">
      <formula>0</formula>
    </cfRule>
  </conditionalFormatting>
  <conditionalFormatting sqref="R40">
    <cfRule type="cellIs" dxfId="7865" priority="1367" operator="lessThan">
      <formula>0.8</formula>
    </cfRule>
    <cfRule type="cellIs" dxfId="7864" priority="1368" operator="greaterThan">
      <formula>1</formula>
    </cfRule>
  </conditionalFormatting>
  <conditionalFormatting sqref="R40">
    <cfRule type="cellIs" dxfId="7863" priority="1365" operator="greaterThan">
      <formula>1</formula>
    </cfRule>
    <cfRule type="cellIs" dxfId="7862" priority="1366" operator="lessThan">
      <formula>0.8</formula>
    </cfRule>
  </conditionalFormatting>
  <conditionalFormatting sqref="P40">
    <cfRule type="cellIs" dxfId="7861" priority="1364" operator="greaterThan">
      <formula>0</formula>
    </cfRule>
  </conditionalFormatting>
  <conditionalFormatting sqref="Q32:Q39">
    <cfRule type="cellIs" dxfId="7860" priority="1363" operator="lessThan">
      <formula>0</formula>
    </cfRule>
  </conditionalFormatting>
  <conditionalFormatting sqref="R32:R39">
    <cfRule type="cellIs" dxfId="7859" priority="1361" operator="lessThan">
      <formula>0.8</formula>
    </cfRule>
    <cfRule type="cellIs" dxfId="7858" priority="1362" operator="greaterThan">
      <formula>1</formula>
    </cfRule>
  </conditionalFormatting>
  <conditionalFormatting sqref="R32:R39">
    <cfRule type="cellIs" dxfId="7857" priority="1359" operator="greaterThan">
      <formula>1</formula>
    </cfRule>
    <cfRule type="cellIs" dxfId="7856" priority="1360" operator="lessThan">
      <formula>0.8</formula>
    </cfRule>
  </conditionalFormatting>
  <conditionalFormatting sqref="P39">
    <cfRule type="cellIs" dxfId="7855" priority="1358" operator="greaterThan">
      <formula>0</formula>
    </cfRule>
  </conditionalFormatting>
  <conditionalFormatting sqref="Q32:Q39">
    <cfRule type="cellIs" dxfId="7854" priority="1357" operator="lessThan">
      <formula>0</formula>
    </cfRule>
  </conditionalFormatting>
  <conditionalFormatting sqref="R32:R39">
    <cfRule type="cellIs" dxfId="7853" priority="1355" operator="lessThan">
      <formula>0.8</formula>
    </cfRule>
    <cfRule type="cellIs" dxfId="7852" priority="1356" operator="greaterThan">
      <formula>1</formula>
    </cfRule>
  </conditionalFormatting>
  <conditionalFormatting sqref="R32:R39">
    <cfRule type="cellIs" dxfId="7851" priority="1353" operator="greaterThan">
      <formula>1</formula>
    </cfRule>
    <cfRule type="cellIs" dxfId="7850" priority="1354" operator="lessThan">
      <formula>0.8</formula>
    </cfRule>
  </conditionalFormatting>
  <conditionalFormatting sqref="P39">
    <cfRule type="cellIs" dxfId="7849" priority="1352" operator="greaterThan">
      <formula>0</formula>
    </cfRule>
  </conditionalFormatting>
  <conditionalFormatting sqref="Q32:Q39">
    <cfRule type="cellIs" dxfId="7848" priority="1351" operator="lessThan">
      <formula>0</formula>
    </cfRule>
  </conditionalFormatting>
  <conditionalFormatting sqref="R32:R39">
    <cfRule type="cellIs" dxfId="7847" priority="1349" operator="lessThan">
      <formula>0.8</formula>
    </cfRule>
    <cfRule type="cellIs" dxfId="7846" priority="1350" operator="greaterThan">
      <formula>1</formula>
    </cfRule>
  </conditionalFormatting>
  <conditionalFormatting sqref="R32:R39">
    <cfRule type="cellIs" dxfId="7845" priority="1347" operator="greaterThan">
      <formula>1</formula>
    </cfRule>
    <cfRule type="cellIs" dxfId="7844" priority="1348" operator="lessThan">
      <formula>0.8</formula>
    </cfRule>
  </conditionalFormatting>
  <conditionalFormatting sqref="P39">
    <cfRule type="cellIs" dxfId="7843" priority="1346" operator="greaterThan">
      <formula>0</formula>
    </cfRule>
  </conditionalFormatting>
  <conditionalFormatting sqref="Q32:Q39">
    <cfRule type="cellIs" dxfId="7842" priority="1345" operator="lessThan">
      <formula>0</formula>
    </cfRule>
  </conditionalFormatting>
  <conditionalFormatting sqref="R32:R39">
    <cfRule type="cellIs" dxfId="7841" priority="1343" operator="lessThan">
      <formula>0.8</formula>
    </cfRule>
    <cfRule type="cellIs" dxfId="7840" priority="1344" operator="greaterThan">
      <formula>1</formula>
    </cfRule>
  </conditionalFormatting>
  <conditionalFormatting sqref="R32:R39">
    <cfRule type="cellIs" dxfId="7839" priority="1341" operator="greaterThan">
      <formula>1</formula>
    </cfRule>
    <cfRule type="cellIs" dxfId="7838" priority="1342" operator="lessThan">
      <formula>0.8</formula>
    </cfRule>
  </conditionalFormatting>
  <conditionalFormatting sqref="P39">
    <cfRule type="cellIs" dxfId="7837" priority="1340" operator="greaterThan">
      <formula>0</formula>
    </cfRule>
  </conditionalFormatting>
  <conditionalFormatting sqref="P39">
    <cfRule type="cellIs" dxfId="7836" priority="1334" operator="greaterThan">
      <formula>0</formula>
    </cfRule>
  </conditionalFormatting>
  <conditionalFormatting sqref="Q32:Q39">
    <cfRule type="cellIs" dxfId="7835" priority="1339" operator="lessThan">
      <formula>0</formula>
    </cfRule>
  </conditionalFormatting>
  <conditionalFormatting sqref="R32:R39">
    <cfRule type="cellIs" dxfId="7834" priority="1337" operator="lessThan">
      <formula>0.8</formula>
    </cfRule>
    <cfRule type="cellIs" dxfId="7833" priority="1338" operator="greaterThan">
      <formula>1</formula>
    </cfRule>
  </conditionalFormatting>
  <conditionalFormatting sqref="R32:R39">
    <cfRule type="cellIs" dxfId="7832" priority="1335" operator="greaterThan">
      <formula>1</formula>
    </cfRule>
    <cfRule type="cellIs" dxfId="7831" priority="1336" operator="lessThan">
      <formula>0.8</formula>
    </cfRule>
  </conditionalFormatting>
  <conditionalFormatting sqref="P39">
    <cfRule type="cellIs" dxfId="7830" priority="1328" operator="greaterThan">
      <formula>0</formula>
    </cfRule>
  </conditionalFormatting>
  <conditionalFormatting sqref="Q32:Q39">
    <cfRule type="cellIs" dxfId="7829" priority="1333" operator="lessThan">
      <formula>0</formula>
    </cfRule>
  </conditionalFormatting>
  <conditionalFormatting sqref="R32:R39">
    <cfRule type="cellIs" dxfId="7828" priority="1331" operator="lessThan">
      <formula>0.8</formula>
    </cfRule>
    <cfRule type="cellIs" dxfId="7827" priority="1332" operator="greaterThan">
      <formula>1</formula>
    </cfRule>
  </conditionalFormatting>
  <conditionalFormatting sqref="R32:R39">
    <cfRule type="cellIs" dxfId="7826" priority="1329" operator="greaterThan">
      <formula>1</formula>
    </cfRule>
    <cfRule type="cellIs" dxfId="7825" priority="1330" operator="lessThan">
      <formula>0.8</formula>
    </cfRule>
  </conditionalFormatting>
  <conditionalFormatting sqref="R32:R39">
    <cfRule type="cellIs" dxfId="7824" priority="1325" operator="lessThan">
      <formula>0.8</formula>
    </cfRule>
    <cfRule type="cellIs" dxfId="7823" priority="1326" operator="greaterThan">
      <formula>1</formula>
    </cfRule>
  </conditionalFormatting>
  <conditionalFormatting sqref="R32:R39">
    <cfRule type="cellIs" dxfId="7822" priority="1323" operator="greaterThan">
      <formula>1</formula>
    </cfRule>
    <cfRule type="cellIs" dxfId="7821" priority="1324" operator="lessThan">
      <formula>0.8</formula>
    </cfRule>
  </conditionalFormatting>
  <conditionalFormatting sqref="P39">
    <cfRule type="cellIs" dxfId="7820" priority="1322" operator="greaterThan">
      <formula>0</formula>
    </cfRule>
  </conditionalFormatting>
  <conditionalFormatting sqref="Q32:Q39">
    <cfRule type="cellIs" dxfId="7819" priority="1327" operator="lessThan">
      <formula>0</formula>
    </cfRule>
  </conditionalFormatting>
  <conditionalFormatting sqref="Q32:Q39">
    <cfRule type="cellIs" dxfId="7818" priority="1321" operator="lessThan">
      <formula>0</formula>
    </cfRule>
  </conditionalFormatting>
  <conditionalFormatting sqref="R32:R39">
    <cfRule type="cellIs" dxfId="7817" priority="1319" operator="lessThan">
      <formula>0.8</formula>
    </cfRule>
    <cfRule type="cellIs" dxfId="7816" priority="1320" operator="greaterThan">
      <formula>1</formula>
    </cfRule>
  </conditionalFormatting>
  <conditionalFormatting sqref="R32:R39">
    <cfRule type="cellIs" dxfId="7815" priority="1317" operator="greaterThan">
      <formula>1</formula>
    </cfRule>
    <cfRule type="cellIs" dxfId="7814" priority="1318" operator="lessThan">
      <formula>0.8</formula>
    </cfRule>
  </conditionalFormatting>
  <conditionalFormatting sqref="P39">
    <cfRule type="cellIs" dxfId="7813" priority="1316" operator="greaterThan">
      <formula>0</formula>
    </cfRule>
  </conditionalFormatting>
  <conditionalFormatting sqref="P39">
    <cfRule type="cellIs" dxfId="7812" priority="1310" operator="greaterThan">
      <formula>0</formula>
    </cfRule>
  </conditionalFormatting>
  <conditionalFormatting sqref="Q32:Q39">
    <cfRule type="cellIs" dxfId="7811" priority="1315" operator="lessThan">
      <formula>0</formula>
    </cfRule>
  </conditionalFormatting>
  <conditionalFormatting sqref="R32:R39">
    <cfRule type="cellIs" dxfId="7810" priority="1313" operator="lessThan">
      <formula>0.8</formula>
    </cfRule>
    <cfRule type="cellIs" dxfId="7809" priority="1314" operator="greaterThan">
      <formula>1</formula>
    </cfRule>
  </conditionalFormatting>
  <conditionalFormatting sqref="R32:R39">
    <cfRule type="cellIs" dxfId="7808" priority="1311" operator="greaterThan">
      <formula>1</formula>
    </cfRule>
    <cfRule type="cellIs" dxfId="7807" priority="1312" operator="lessThan">
      <formula>0.8</formula>
    </cfRule>
  </conditionalFormatting>
  <conditionalFormatting sqref="P39">
    <cfRule type="cellIs" dxfId="7806" priority="1304" operator="greaterThan">
      <formula>0</formula>
    </cfRule>
  </conditionalFormatting>
  <conditionalFormatting sqref="Q32:Q39">
    <cfRule type="cellIs" dxfId="7805" priority="1309" operator="lessThan">
      <formula>0</formula>
    </cfRule>
  </conditionalFormatting>
  <conditionalFormatting sqref="R32:R39">
    <cfRule type="cellIs" dxfId="7804" priority="1307" operator="lessThan">
      <formula>0.8</formula>
    </cfRule>
    <cfRule type="cellIs" dxfId="7803" priority="1308" operator="greaterThan">
      <formula>1</formula>
    </cfRule>
  </conditionalFormatting>
  <conditionalFormatting sqref="R32:R39">
    <cfRule type="cellIs" dxfId="7802" priority="1305" operator="greaterThan">
      <formula>1</formula>
    </cfRule>
    <cfRule type="cellIs" dxfId="7801" priority="1306" operator="lessThan">
      <formula>0.8</formula>
    </cfRule>
  </conditionalFormatting>
  <conditionalFormatting sqref="R32:R39">
    <cfRule type="cellIs" dxfId="7800" priority="1301" operator="lessThan">
      <formula>0.8</formula>
    </cfRule>
    <cfRule type="cellIs" dxfId="7799" priority="1302" operator="greaterThan">
      <formula>1</formula>
    </cfRule>
  </conditionalFormatting>
  <conditionalFormatting sqref="R32:R39">
    <cfRule type="cellIs" dxfId="7798" priority="1299" operator="greaterThan">
      <formula>1</formula>
    </cfRule>
    <cfRule type="cellIs" dxfId="7797" priority="1300" operator="lessThan">
      <formula>0.8</formula>
    </cfRule>
  </conditionalFormatting>
  <conditionalFormatting sqref="P39">
    <cfRule type="cellIs" dxfId="7796" priority="1298" operator="greaterThan">
      <formula>0</formula>
    </cfRule>
  </conditionalFormatting>
  <conditionalFormatting sqref="Q32:Q39">
    <cfRule type="cellIs" dxfId="7795" priority="1303" operator="lessThan">
      <formula>0</formula>
    </cfRule>
  </conditionalFormatting>
  <conditionalFormatting sqref="P39">
    <cfRule type="cellIs" dxfId="7794" priority="1292" operator="greaterThan">
      <formula>0</formula>
    </cfRule>
  </conditionalFormatting>
  <conditionalFormatting sqref="Q32:Q39">
    <cfRule type="cellIs" dxfId="7793" priority="1297" operator="lessThan">
      <formula>0</formula>
    </cfRule>
  </conditionalFormatting>
  <conditionalFormatting sqref="R32:R39">
    <cfRule type="cellIs" dxfId="7792" priority="1295" operator="lessThan">
      <formula>0.8</formula>
    </cfRule>
    <cfRule type="cellIs" dxfId="7791" priority="1296" operator="greaterThan">
      <formula>1</formula>
    </cfRule>
  </conditionalFormatting>
  <conditionalFormatting sqref="R32:R39">
    <cfRule type="cellIs" dxfId="7790" priority="1293" operator="greaterThan">
      <formula>1</formula>
    </cfRule>
    <cfRule type="cellIs" dxfId="7789" priority="1294" operator="lessThan">
      <formula>0.8</formula>
    </cfRule>
  </conditionalFormatting>
  <conditionalFormatting sqref="R32:R39">
    <cfRule type="cellIs" dxfId="7788" priority="1289" operator="lessThan">
      <formula>0.8</formula>
    </cfRule>
    <cfRule type="cellIs" dxfId="7787" priority="1290" operator="greaterThan">
      <formula>1</formula>
    </cfRule>
  </conditionalFormatting>
  <conditionalFormatting sqref="R32:R39">
    <cfRule type="cellIs" dxfId="7786" priority="1287" operator="greaterThan">
      <formula>1</formula>
    </cfRule>
    <cfRule type="cellIs" dxfId="7785" priority="1288" operator="lessThan">
      <formula>0.8</formula>
    </cfRule>
  </conditionalFormatting>
  <conditionalFormatting sqref="P39">
    <cfRule type="cellIs" dxfId="7784" priority="1286" operator="greaterThan">
      <formula>0</formula>
    </cfRule>
  </conditionalFormatting>
  <conditionalFormatting sqref="Q32:Q39">
    <cfRule type="cellIs" dxfId="7783" priority="1291" operator="lessThan">
      <formula>0</formula>
    </cfRule>
  </conditionalFormatting>
  <conditionalFormatting sqref="R32:R39">
    <cfRule type="cellIs" dxfId="7782" priority="1283" operator="lessThan">
      <formula>0.8</formula>
    </cfRule>
    <cfRule type="cellIs" dxfId="7781" priority="1284" operator="greaterThan">
      <formula>1</formula>
    </cfRule>
  </conditionalFormatting>
  <conditionalFormatting sqref="R32:R39">
    <cfRule type="cellIs" dxfId="7780" priority="1281" operator="greaterThan">
      <formula>1</formula>
    </cfRule>
    <cfRule type="cellIs" dxfId="7779" priority="1282" operator="lessThan">
      <formula>0.8</formula>
    </cfRule>
  </conditionalFormatting>
  <conditionalFormatting sqref="P39">
    <cfRule type="cellIs" dxfId="7778" priority="1280" operator="greaterThan">
      <formula>0</formula>
    </cfRule>
  </conditionalFormatting>
  <conditionalFormatting sqref="Q32:Q39">
    <cfRule type="cellIs" dxfId="7777" priority="1285" operator="lessThan">
      <formula>0</formula>
    </cfRule>
  </conditionalFormatting>
  <conditionalFormatting sqref="Q32:Q39">
    <cfRule type="cellIs" dxfId="7776" priority="1279" operator="lessThan">
      <formula>0</formula>
    </cfRule>
  </conditionalFormatting>
  <conditionalFormatting sqref="R32:R39">
    <cfRule type="cellIs" dxfId="7775" priority="1277" operator="lessThan">
      <formula>0.8</formula>
    </cfRule>
    <cfRule type="cellIs" dxfId="7774" priority="1278" operator="greaterThan">
      <formula>1</formula>
    </cfRule>
  </conditionalFormatting>
  <conditionalFormatting sqref="R32:R39">
    <cfRule type="cellIs" dxfId="7773" priority="1275" operator="greaterThan">
      <formula>1</formula>
    </cfRule>
    <cfRule type="cellIs" dxfId="7772" priority="1276" operator="lessThan">
      <formula>0.8</formula>
    </cfRule>
  </conditionalFormatting>
  <conditionalFormatting sqref="P39">
    <cfRule type="cellIs" dxfId="7771" priority="1274" operator="greaterThan">
      <formula>0</formula>
    </cfRule>
  </conditionalFormatting>
  <conditionalFormatting sqref="Q32:Q39">
    <cfRule type="cellIs" dxfId="7770" priority="1268" operator="lessThan">
      <formula>0</formula>
    </cfRule>
  </conditionalFormatting>
  <conditionalFormatting sqref="R32:R39">
    <cfRule type="cellIs" dxfId="7769" priority="1272" operator="lessThan">
      <formula>0.8</formula>
    </cfRule>
    <cfRule type="cellIs" dxfId="7768" priority="1273" operator="greaterThan">
      <formula>1</formula>
    </cfRule>
  </conditionalFormatting>
  <conditionalFormatting sqref="R32:R39">
    <cfRule type="cellIs" dxfId="7767" priority="1270" operator="greaterThan">
      <formula>1</formula>
    </cfRule>
    <cfRule type="cellIs" dxfId="7766" priority="1271" operator="lessThan">
      <formula>0.8</formula>
    </cfRule>
  </conditionalFormatting>
  <conditionalFormatting sqref="P39">
    <cfRule type="cellIs" dxfId="7765" priority="1269" operator="greaterThan">
      <formula>0</formula>
    </cfRule>
  </conditionalFormatting>
  <conditionalFormatting sqref="Q32:Q39">
    <cfRule type="cellIs" dxfId="7764" priority="1267" operator="lessThan">
      <formula>0</formula>
    </cfRule>
  </conditionalFormatting>
  <conditionalFormatting sqref="R32:R39">
    <cfRule type="cellIs" dxfId="7763" priority="1265" operator="lessThan">
      <formula>0.8</formula>
    </cfRule>
    <cfRule type="cellIs" dxfId="7762" priority="1266" operator="greaterThan">
      <formula>1</formula>
    </cfRule>
  </conditionalFormatting>
  <conditionalFormatting sqref="R32:R39">
    <cfRule type="cellIs" dxfId="7761" priority="1263" operator="greaterThan">
      <formula>1</formula>
    </cfRule>
    <cfRule type="cellIs" dxfId="7760" priority="1264" operator="lessThan">
      <formula>0.8</formula>
    </cfRule>
  </conditionalFormatting>
  <conditionalFormatting sqref="P39">
    <cfRule type="cellIs" dxfId="7759" priority="1262" operator="greaterThan">
      <formula>0</formula>
    </cfRule>
  </conditionalFormatting>
  <conditionalFormatting sqref="Q32:Q39">
    <cfRule type="cellIs" dxfId="7758" priority="1261" operator="lessThan">
      <formula>0</formula>
    </cfRule>
  </conditionalFormatting>
  <conditionalFormatting sqref="R32:R39">
    <cfRule type="cellIs" dxfId="7757" priority="1259" operator="lessThan">
      <formula>0.8</formula>
    </cfRule>
    <cfRule type="cellIs" dxfId="7756" priority="1260" operator="greaterThan">
      <formula>1</formula>
    </cfRule>
  </conditionalFormatting>
  <conditionalFormatting sqref="R32:R39">
    <cfRule type="cellIs" dxfId="7755" priority="1257" operator="greaterThan">
      <formula>1</formula>
    </cfRule>
    <cfRule type="cellIs" dxfId="7754" priority="1258" operator="lessThan">
      <formula>0.8</formula>
    </cfRule>
  </conditionalFormatting>
  <conditionalFormatting sqref="P39">
    <cfRule type="cellIs" dxfId="7753" priority="1256" operator="greaterThan">
      <formula>0</formula>
    </cfRule>
  </conditionalFormatting>
  <conditionalFormatting sqref="Q32:Q39">
    <cfRule type="cellIs" dxfId="7752" priority="1255" operator="lessThan">
      <formula>0</formula>
    </cfRule>
  </conditionalFormatting>
  <conditionalFormatting sqref="R32:R39">
    <cfRule type="cellIs" dxfId="7751" priority="1253" operator="lessThan">
      <formula>0.8</formula>
    </cfRule>
    <cfRule type="cellIs" dxfId="7750" priority="1254" operator="greaterThan">
      <formula>1</formula>
    </cfRule>
  </conditionalFormatting>
  <conditionalFormatting sqref="R32:R39">
    <cfRule type="cellIs" dxfId="7749" priority="1251" operator="greaterThan">
      <formula>1</formula>
    </cfRule>
    <cfRule type="cellIs" dxfId="7748" priority="1252" operator="lessThan">
      <formula>0.8</formula>
    </cfRule>
  </conditionalFormatting>
  <conditionalFormatting sqref="P39">
    <cfRule type="cellIs" dxfId="7747" priority="1250" operator="greaterThan">
      <formula>0</formula>
    </cfRule>
  </conditionalFormatting>
  <conditionalFormatting sqref="Q32:Q39">
    <cfRule type="cellIs" dxfId="7746" priority="1249" operator="lessThan">
      <formula>0</formula>
    </cfRule>
  </conditionalFormatting>
  <conditionalFormatting sqref="R32:R39">
    <cfRule type="cellIs" dxfId="7745" priority="1247" operator="lessThan">
      <formula>0.8</formula>
    </cfRule>
    <cfRule type="cellIs" dxfId="7744" priority="1248" operator="greaterThan">
      <formula>1</formula>
    </cfRule>
  </conditionalFormatting>
  <conditionalFormatting sqref="R32:R39">
    <cfRule type="cellIs" dxfId="7743" priority="1245" operator="greaterThan">
      <formula>1</formula>
    </cfRule>
    <cfRule type="cellIs" dxfId="7742" priority="1246" operator="lessThan">
      <formula>0.8</formula>
    </cfRule>
  </conditionalFormatting>
  <conditionalFormatting sqref="P39">
    <cfRule type="cellIs" dxfId="7741" priority="1244" operator="greaterThan">
      <formula>0</formula>
    </cfRule>
  </conditionalFormatting>
  <conditionalFormatting sqref="Q32:Q39">
    <cfRule type="cellIs" dxfId="7740" priority="1243" operator="lessThan">
      <formula>0</formula>
    </cfRule>
  </conditionalFormatting>
  <conditionalFormatting sqref="R32:R39">
    <cfRule type="cellIs" dxfId="7739" priority="1241" operator="lessThan">
      <formula>0.8</formula>
    </cfRule>
    <cfRule type="cellIs" dxfId="7738" priority="1242" operator="greaterThan">
      <formula>1</formula>
    </cfRule>
  </conditionalFormatting>
  <conditionalFormatting sqref="R32:R39">
    <cfRule type="cellIs" dxfId="7737" priority="1239" operator="greaterThan">
      <formula>1</formula>
    </cfRule>
    <cfRule type="cellIs" dxfId="7736" priority="1240" operator="lessThan">
      <formula>0.8</formula>
    </cfRule>
  </conditionalFormatting>
  <conditionalFormatting sqref="P39">
    <cfRule type="cellIs" dxfId="7735" priority="1238" operator="greaterThan">
      <formula>0</formula>
    </cfRule>
  </conditionalFormatting>
  <conditionalFormatting sqref="P39">
    <cfRule type="cellIs" dxfId="7734" priority="1232" operator="greaterThan">
      <formula>0</formula>
    </cfRule>
  </conditionalFormatting>
  <conditionalFormatting sqref="Q32:Q39">
    <cfRule type="cellIs" dxfId="7733" priority="1237" operator="lessThan">
      <formula>0</formula>
    </cfRule>
  </conditionalFormatting>
  <conditionalFormatting sqref="R32:R39">
    <cfRule type="cellIs" dxfId="7732" priority="1235" operator="lessThan">
      <formula>0.8</formula>
    </cfRule>
    <cfRule type="cellIs" dxfId="7731" priority="1236" operator="greaterThan">
      <formula>1</formula>
    </cfRule>
  </conditionalFormatting>
  <conditionalFormatting sqref="R32:R39">
    <cfRule type="cellIs" dxfId="7730" priority="1233" operator="greaterThan">
      <formula>1</formula>
    </cfRule>
    <cfRule type="cellIs" dxfId="7729" priority="1234" operator="lessThan">
      <formula>0.8</formula>
    </cfRule>
  </conditionalFormatting>
  <conditionalFormatting sqref="P39">
    <cfRule type="cellIs" dxfId="7728" priority="1226" operator="greaterThan">
      <formula>0</formula>
    </cfRule>
  </conditionalFormatting>
  <conditionalFormatting sqref="Q32:Q39">
    <cfRule type="cellIs" dxfId="7727" priority="1231" operator="lessThan">
      <formula>0</formula>
    </cfRule>
  </conditionalFormatting>
  <conditionalFormatting sqref="R32:R39">
    <cfRule type="cellIs" dxfId="7726" priority="1229" operator="lessThan">
      <formula>0.8</formula>
    </cfRule>
    <cfRule type="cellIs" dxfId="7725" priority="1230" operator="greaterThan">
      <formula>1</formula>
    </cfRule>
  </conditionalFormatting>
  <conditionalFormatting sqref="R32:R39">
    <cfRule type="cellIs" dxfId="7724" priority="1227" operator="greaterThan">
      <formula>1</formula>
    </cfRule>
    <cfRule type="cellIs" dxfId="7723" priority="1228" operator="lessThan">
      <formula>0.8</formula>
    </cfRule>
  </conditionalFormatting>
  <conditionalFormatting sqref="R32:R39">
    <cfRule type="cellIs" dxfId="7722" priority="1223" operator="lessThan">
      <formula>0.8</formula>
    </cfRule>
    <cfRule type="cellIs" dxfId="7721" priority="1224" operator="greaterThan">
      <formula>1</formula>
    </cfRule>
  </conditionalFormatting>
  <conditionalFormatting sqref="R32:R39">
    <cfRule type="cellIs" dxfId="7720" priority="1221" operator="greaterThan">
      <formula>1</formula>
    </cfRule>
    <cfRule type="cellIs" dxfId="7719" priority="1222" operator="lessThan">
      <formula>0.8</formula>
    </cfRule>
  </conditionalFormatting>
  <conditionalFormatting sqref="P39">
    <cfRule type="cellIs" dxfId="7718" priority="1220" operator="greaterThan">
      <formula>0</formula>
    </cfRule>
  </conditionalFormatting>
  <conditionalFormatting sqref="Q32:Q39">
    <cfRule type="cellIs" dxfId="7717" priority="1225" operator="lessThan">
      <formula>0</formula>
    </cfRule>
  </conditionalFormatting>
  <conditionalFormatting sqref="Q32:Q39">
    <cfRule type="cellIs" dxfId="7716" priority="1214" operator="lessThan">
      <formula>0</formula>
    </cfRule>
  </conditionalFormatting>
  <conditionalFormatting sqref="P39">
    <cfRule type="cellIs" dxfId="7715" priority="1215" operator="greaterThan">
      <formula>0</formula>
    </cfRule>
  </conditionalFormatting>
  <conditionalFormatting sqref="R32:R39">
    <cfRule type="cellIs" dxfId="7714" priority="1218" operator="lessThan">
      <formula>0.8</formula>
    </cfRule>
    <cfRule type="cellIs" dxfId="7713" priority="1219" operator="greaterThan">
      <formula>1</formula>
    </cfRule>
  </conditionalFormatting>
  <conditionalFormatting sqref="R32:R39">
    <cfRule type="cellIs" dxfId="7712" priority="1216" operator="greaterThan">
      <formula>1</formula>
    </cfRule>
    <cfRule type="cellIs" dxfId="7711" priority="1217" operator="lessThan">
      <formula>0.8</formula>
    </cfRule>
  </conditionalFormatting>
  <conditionalFormatting sqref="Q32:Q39">
    <cfRule type="cellIs" dxfId="7710" priority="1208" operator="lessThan">
      <formula>0</formula>
    </cfRule>
  </conditionalFormatting>
  <conditionalFormatting sqref="R32:R39">
    <cfRule type="cellIs" dxfId="7709" priority="1212" operator="lessThan">
      <formula>0.8</formula>
    </cfRule>
    <cfRule type="cellIs" dxfId="7708" priority="1213" operator="greaterThan">
      <formula>1</formula>
    </cfRule>
  </conditionalFormatting>
  <conditionalFormatting sqref="R32:R39">
    <cfRule type="cellIs" dxfId="7707" priority="1210" operator="greaterThan">
      <formula>1</formula>
    </cfRule>
    <cfRule type="cellIs" dxfId="7706" priority="1211" operator="lessThan">
      <formula>0.8</formula>
    </cfRule>
  </conditionalFormatting>
  <conditionalFormatting sqref="P39">
    <cfRule type="cellIs" dxfId="7705" priority="1209" operator="greaterThan">
      <formula>0</formula>
    </cfRule>
  </conditionalFormatting>
  <conditionalFormatting sqref="Q32:Q39">
    <cfRule type="cellIs" dxfId="7704" priority="1207" operator="lessThan">
      <formula>0</formula>
    </cfRule>
  </conditionalFormatting>
  <conditionalFormatting sqref="R32:R39">
    <cfRule type="cellIs" dxfId="7703" priority="1205" operator="lessThan">
      <formula>0.8</formula>
    </cfRule>
    <cfRule type="cellIs" dxfId="7702" priority="1206" operator="greaterThan">
      <formula>1</formula>
    </cfRule>
  </conditionalFormatting>
  <conditionalFormatting sqref="R32:R39">
    <cfRule type="cellIs" dxfId="7701" priority="1203" operator="greaterThan">
      <formula>1</formula>
    </cfRule>
    <cfRule type="cellIs" dxfId="7700" priority="1204" operator="lessThan">
      <formula>0.8</formula>
    </cfRule>
  </conditionalFormatting>
  <conditionalFormatting sqref="P39">
    <cfRule type="cellIs" dxfId="7699" priority="1202" operator="greaterThan">
      <formula>0</formula>
    </cfRule>
  </conditionalFormatting>
  <conditionalFormatting sqref="Q32:Q39">
    <cfRule type="cellIs" dxfId="7698" priority="1201" operator="lessThan">
      <formula>0</formula>
    </cfRule>
  </conditionalFormatting>
  <conditionalFormatting sqref="R32:R39">
    <cfRule type="cellIs" dxfId="7697" priority="1199" operator="lessThan">
      <formula>0.8</formula>
    </cfRule>
    <cfRule type="cellIs" dxfId="7696" priority="1200" operator="greaterThan">
      <formula>1</formula>
    </cfRule>
  </conditionalFormatting>
  <conditionalFormatting sqref="R32:R39">
    <cfRule type="cellIs" dxfId="7695" priority="1197" operator="greaterThan">
      <formula>1</formula>
    </cfRule>
    <cfRule type="cellIs" dxfId="7694" priority="1198" operator="lessThan">
      <formula>0.8</formula>
    </cfRule>
  </conditionalFormatting>
  <conditionalFormatting sqref="P39">
    <cfRule type="cellIs" dxfId="7693" priority="1196" operator="greaterThan">
      <formula>0</formula>
    </cfRule>
  </conditionalFormatting>
  <conditionalFormatting sqref="Q32:Q39">
    <cfRule type="cellIs" dxfId="7692" priority="1195" operator="lessThan">
      <formula>0</formula>
    </cfRule>
  </conditionalFormatting>
  <conditionalFormatting sqref="R32:R39">
    <cfRule type="cellIs" dxfId="7691" priority="1193" operator="lessThan">
      <formula>0.8</formula>
    </cfRule>
    <cfRule type="cellIs" dxfId="7690" priority="1194" operator="greaterThan">
      <formula>1</formula>
    </cfRule>
  </conditionalFormatting>
  <conditionalFormatting sqref="R32:R39">
    <cfRule type="cellIs" dxfId="7689" priority="1191" operator="greaterThan">
      <formula>1</formula>
    </cfRule>
    <cfRule type="cellIs" dxfId="7688" priority="1192" operator="lessThan">
      <formula>0.8</formula>
    </cfRule>
  </conditionalFormatting>
  <conditionalFormatting sqref="P39">
    <cfRule type="cellIs" dxfId="7687" priority="1190" operator="greaterThan">
      <formula>0</formula>
    </cfRule>
  </conditionalFormatting>
  <conditionalFormatting sqref="Q32:Q39">
    <cfRule type="cellIs" dxfId="7686" priority="1189" operator="lessThan">
      <formula>0</formula>
    </cfRule>
  </conditionalFormatting>
  <conditionalFormatting sqref="R32:R39">
    <cfRule type="cellIs" dxfId="7685" priority="1187" operator="lessThan">
      <formula>0.8</formula>
    </cfRule>
    <cfRule type="cellIs" dxfId="7684" priority="1188" operator="greaterThan">
      <formula>1</formula>
    </cfRule>
  </conditionalFormatting>
  <conditionalFormatting sqref="R32:R39">
    <cfRule type="cellIs" dxfId="7683" priority="1185" operator="greaterThan">
      <formula>1</formula>
    </cfRule>
    <cfRule type="cellIs" dxfId="7682" priority="1186" operator="lessThan">
      <formula>0.8</formula>
    </cfRule>
  </conditionalFormatting>
  <conditionalFormatting sqref="P39">
    <cfRule type="cellIs" dxfId="7681" priority="1184" operator="greaterThan">
      <formula>0</formula>
    </cfRule>
  </conditionalFormatting>
  <conditionalFormatting sqref="Q96:Q105">
    <cfRule type="cellIs" dxfId="7680" priority="1178" operator="lessThan">
      <formula>0</formula>
    </cfRule>
  </conditionalFormatting>
  <conditionalFormatting sqref="P96:P105">
    <cfRule type="cellIs" dxfId="7679" priority="1179" operator="greaterThan">
      <formula>0</formula>
    </cfRule>
  </conditionalFormatting>
  <conditionalFormatting sqref="R96:R105">
    <cfRule type="cellIs" dxfId="7678" priority="1182" operator="lessThan">
      <formula>0.8</formula>
    </cfRule>
    <cfRule type="cellIs" dxfId="7677" priority="1183" operator="greaterThan">
      <formula>1</formula>
    </cfRule>
  </conditionalFormatting>
  <conditionalFormatting sqref="R96:R105">
    <cfRule type="cellIs" dxfId="7676" priority="1180" operator="greaterThan">
      <formula>1</formula>
    </cfRule>
    <cfRule type="cellIs" dxfId="7675" priority="1181" operator="lessThan">
      <formula>0.8</formula>
    </cfRule>
  </conditionalFormatting>
  <conditionalFormatting sqref="Q96:Q105">
    <cfRule type="cellIs" dxfId="7674" priority="1172" operator="lessThan">
      <formula>0</formula>
    </cfRule>
  </conditionalFormatting>
  <conditionalFormatting sqref="R96:R105">
    <cfRule type="cellIs" dxfId="7673" priority="1176" operator="lessThan">
      <formula>0.8</formula>
    </cfRule>
    <cfRule type="cellIs" dxfId="7672" priority="1177" operator="greaterThan">
      <formula>1</formula>
    </cfRule>
  </conditionalFormatting>
  <conditionalFormatting sqref="R96:R105">
    <cfRule type="cellIs" dxfId="7671" priority="1174" operator="greaterThan">
      <formula>1</formula>
    </cfRule>
    <cfRule type="cellIs" dxfId="7670" priority="1175" operator="lessThan">
      <formula>0.8</formula>
    </cfRule>
  </conditionalFormatting>
  <conditionalFormatting sqref="P96:P105">
    <cfRule type="cellIs" dxfId="7669" priority="1173" operator="greaterThan">
      <formula>0</formula>
    </cfRule>
  </conditionalFormatting>
  <conditionalFormatting sqref="Q96:Q105">
    <cfRule type="cellIs" dxfId="7668" priority="1171" operator="lessThan">
      <formula>0</formula>
    </cfRule>
  </conditionalFormatting>
  <conditionalFormatting sqref="R96:R105">
    <cfRule type="cellIs" dxfId="7667" priority="1169" operator="lessThan">
      <formula>0.8</formula>
    </cfRule>
    <cfRule type="cellIs" dxfId="7666" priority="1170" operator="greaterThan">
      <formula>1</formula>
    </cfRule>
  </conditionalFormatting>
  <conditionalFormatting sqref="R96:R105">
    <cfRule type="cellIs" dxfId="7665" priority="1167" operator="greaterThan">
      <formula>1</formula>
    </cfRule>
    <cfRule type="cellIs" dxfId="7664" priority="1168" operator="lessThan">
      <formula>0.8</formula>
    </cfRule>
  </conditionalFormatting>
  <conditionalFormatting sqref="P96:P105">
    <cfRule type="cellIs" dxfId="7663" priority="1166" operator="greaterThan">
      <formula>0</formula>
    </cfRule>
  </conditionalFormatting>
  <conditionalFormatting sqref="Q96:Q105">
    <cfRule type="cellIs" dxfId="7662" priority="1165" operator="lessThan">
      <formula>0</formula>
    </cfRule>
  </conditionalFormatting>
  <conditionalFormatting sqref="R96:R105">
    <cfRule type="cellIs" dxfId="7661" priority="1163" operator="lessThan">
      <formula>0.8</formula>
    </cfRule>
    <cfRule type="cellIs" dxfId="7660" priority="1164" operator="greaterThan">
      <formula>1</formula>
    </cfRule>
  </conditionalFormatting>
  <conditionalFormatting sqref="R96:R105">
    <cfRule type="cellIs" dxfId="7659" priority="1161" operator="greaterThan">
      <formula>1</formula>
    </cfRule>
    <cfRule type="cellIs" dxfId="7658" priority="1162" operator="lessThan">
      <formula>0.8</formula>
    </cfRule>
  </conditionalFormatting>
  <conditionalFormatting sqref="P96:P105">
    <cfRule type="cellIs" dxfId="7657" priority="1160" operator="greaterThan">
      <formula>0</formula>
    </cfRule>
  </conditionalFormatting>
  <conditionalFormatting sqref="Q96:Q105">
    <cfRule type="cellIs" dxfId="7656" priority="1154" operator="lessThan">
      <formula>0</formula>
    </cfRule>
  </conditionalFormatting>
  <conditionalFormatting sqref="R96:R105">
    <cfRule type="cellIs" dxfId="7655" priority="1158" operator="lessThan">
      <formula>0.8</formula>
    </cfRule>
    <cfRule type="cellIs" dxfId="7654" priority="1159" operator="greaterThan">
      <formula>1</formula>
    </cfRule>
  </conditionalFormatting>
  <conditionalFormatting sqref="R96:R105">
    <cfRule type="cellIs" dxfId="7653" priority="1156" operator="greaterThan">
      <formula>1</formula>
    </cfRule>
    <cfRule type="cellIs" dxfId="7652" priority="1157" operator="lessThan">
      <formula>0.8</formula>
    </cfRule>
  </conditionalFormatting>
  <conditionalFormatting sqref="P96:P105">
    <cfRule type="cellIs" dxfId="7651" priority="1155" operator="greaterThan">
      <formula>0</formula>
    </cfRule>
  </conditionalFormatting>
  <conditionalFormatting sqref="Q96:Q105">
    <cfRule type="cellIs" dxfId="7650" priority="1153" operator="lessThan">
      <formula>0</formula>
    </cfRule>
  </conditionalFormatting>
  <conditionalFormatting sqref="R96:R105">
    <cfRule type="cellIs" dxfId="7649" priority="1151" operator="lessThan">
      <formula>0.8</formula>
    </cfRule>
    <cfRule type="cellIs" dxfId="7648" priority="1152" operator="greaterThan">
      <formula>1</formula>
    </cfRule>
  </conditionalFormatting>
  <conditionalFormatting sqref="R96:R105">
    <cfRule type="cellIs" dxfId="7647" priority="1149" operator="greaterThan">
      <formula>1</formula>
    </cfRule>
    <cfRule type="cellIs" dxfId="7646" priority="1150" operator="lessThan">
      <formula>0.8</formula>
    </cfRule>
  </conditionalFormatting>
  <conditionalFormatting sqref="P96:P105">
    <cfRule type="cellIs" dxfId="7645" priority="1148" operator="greaterThan">
      <formula>0</formula>
    </cfRule>
  </conditionalFormatting>
  <conditionalFormatting sqref="Q96:Q105">
    <cfRule type="cellIs" dxfId="7644" priority="1147" operator="lessThan">
      <formula>0</formula>
    </cfRule>
  </conditionalFormatting>
  <conditionalFormatting sqref="R96:R105">
    <cfRule type="cellIs" dxfId="7643" priority="1145" operator="lessThan">
      <formula>0.8</formula>
    </cfRule>
    <cfRule type="cellIs" dxfId="7642" priority="1146" operator="greaterThan">
      <formula>1</formula>
    </cfRule>
  </conditionalFormatting>
  <conditionalFormatting sqref="R96:R105">
    <cfRule type="cellIs" dxfId="7641" priority="1143" operator="greaterThan">
      <formula>1</formula>
    </cfRule>
    <cfRule type="cellIs" dxfId="7640" priority="1144" operator="lessThan">
      <formula>0.8</formula>
    </cfRule>
  </conditionalFormatting>
  <conditionalFormatting sqref="P96:P105">
    <cfRule type="cellIs" dxfId="7639" priority="1142" operator="greaterThan">
      <formula>0</formula>
    </cfRule>
  </conditionalFormatting>
  <conditionalFormatting sqref="Q96:Q105">
    <cfRule type="cellIs" dxfId="7638" priority="1141" operator="lessThan">
      <formula>0</formula>
    </cfRule>
  </conditionalFormatting>
  <conditionalFormatting sqref="R96:R105">
    <cfRule type="cellIs" dxfId="7637" priority="1139" operator="lessThan">
      <formula>0.8</formula>
    </cfRule>
    <cfRule type="cellIs" dxfId="7636" priority="1140" operator="greaterThan">
      <formula>1</formula>
    </cfRule>
  </conditionalFormatting>
  <conditionalFormatting sqref="R96:R105">
    <cfRule type="cellIs" dxfId="7635" priority="1137" operator="greaterThan">
      <formula>1</formula>
    </cfRule>
    <cfRule type="cellIs" dxfId="7634" priority="1138" operator="lessThan">
      <formula>0.8</formula>
    </cfRule>
  </conditionalFormatting>
  <conditionalFormatting sqref="P96:P105">
    <cfRule type="cellIs" dxfId="7633" priority="1136" operator="greaterThan">
      <formula>0</formula>
    </cfRule>
  </conditionalFormatting>
  <conditionalFormatting sqref="Q96:Q105">
    <cfRule type="cellIs" dxfId="7632" priority="1135" operator="lessThan">
      <formula>0</formula>
    </cfRule>
  </conditionalFormatting>
  <conditionalFormatting sqref="R96:R105">
    <cfRule type="cellIs" dxfId="7631" priority="1133" operator="lessThan">
      <formula>0.8</formula>
    </cfRule>
    <cfRule type="cellIs" dxfId="7630" priority="1134" operator="greaterThan">
      <formula>1</formula>
    </cfRule>
  </conditionalFormatting>
  <conditionalFormatting sqref="R96:R105">
    <cfRule type="cellIs" dxfId="7629" priority="1131" operator="greaterThan">
      <formula>1</formula>
    </cfRule>
    <cfRule type="cellIs" dxfId="7628" priority="1132" operator="lessThan">
      <formula>0.8</formula>
    </cfRule>
  </conditionalFormatting>
  <conditionalFormatting sqref="P96:P105">
    <cfRule type="cellIs" dxfId="7627" priority="1130" operator="greaterThan">
      <formula>0</formula>
    </cfRule>
  </conditionalFormatting>
  <conditionalFormatting sqref="Q96:Q105">
    <cfRule type="cellIs" dxfId="7626" priority="1129" operator="lessThan">
      <formula>0</formula>
    </cfRule>
  </conditionalFormatting>
  <conditionalFormatting sqref="R96:R105">
    <cfRule type="cellIs" dxfId="7625" priority="1127" operator="lessThan">
      <formula>0.8</formula>
    </cfRule>
    <cfRule type="cellIs" dxfId="7624" priority="1128" operator="greaterThan">
      <formula>1</formula>
    </cfRule>
  </conditionalFormatting>
  <conditionalFormatting sqref="R96:R105">
    <cfRule type="cellIs" dxfId="7623" priority="1125" operator="greaterThan">
      <formula>1</formula>
    </cfRule>
    <cfRule type="cellIs" dxfId="7622" priority="1126" operator="lessThan">
      <formula>0.8</formula>
    </cfRule>
  </conditionalFormatting>
  <conditionalFormatting sqref="P96:P105">
    <cfRule type="cellIs" dxfId="7621" priority="1124" operator="greaterThan">
      <formula>0</formula>
    </cfRule>
  </conditionalFormatting>
  <conditionalFormatting sqref="P96:P105">
    <cfRule type="cellIs" dxfId="7620" priority="1118" operator="greaterThan">
      <formula>0</formula>
    </cfRule>
  </conditionalFormatting>
  <conditionalFormatting sqref="Q96:Q105">
    <cfRule type="cellIs" dxfId="7619" priority="1123" operator="lessThan">
      <formula>0</formula>
    </cfRule>
  </conditionalFormatting>
  <conditionalFormatting sqref="R96:R105">
    <cfRule type="cellIs" dxfId="7618" priority="1121" operator="lessThan">
      <formula>0.8</formula>
    </cfRule>
    <cfRule type="cellIs" dxfId="7617" priority="1122" operator="greaterThan">
      <formula>1</formula>
    </cfRule>
  </conditionalFormatting>
  <conditionalFormatting sqref="R96:R105">
    <cfRule type="cellIs" dxfId="7616" priority="1119" operator="greaterThan">
      <formula>1</formula>
    </cfRule>
    <cfRule type="cellIs" dxfId="7615" priority="1120" operator="lessThan">
      <formula>0.8</formula>
    </cfRule>
  </conditionalFormatting>
  <conditionalFormatting sqref="P96:P105">
    <cfRule type="cellIs" dxfId="7614" priority="1112" operator="greaterThan">
      <formula>0</formula>
    </cfRule>
  </conditionalFormatting>
  <conditionalFormatting sqref="Q96:Q105">
    <cfRule type="cellIs" dxfId="7613" priority="1117" operator="lessThan">
      <formula>0</formula>
    </cfRule>
  </conditionalFormatting>
  <conditionalFormatting sqref="R96:R105">
    <cfRule type="cellIs" dxfId="7612" priority="1115" operator="lessThan">
      <formula>0.8</formula>
    </cfRule>
    <cfRule type="cellIs" dxfId="7611" priority="1116" operator="greaterThan">
      <formula>1</formula>
    </cfRule>
  </conditionalFormatting>
  <conditionalFormatting sqref="R96:R105">
    <cfRule type="cellIs" dxfId="7610" priority="1113" operator="greaterThan">
      <formula>1</formula>
    </cfRule>
    <cfRule type="cellIs" dxfId="7609" priority="1114" operator="lessThan">
      <formula>0.8</formula>
    </cfRule>
  </conditionalFormatting>
  <conditionalFormatting sqref="R96:R105">
    <cfRule type="cellIs" dxfId="7608" priority="1109" operator="lessThan">
      <formula>0.8</formula>
    </cfRule>
    <cfRule type="cellIs" dxfId="7607" priority="1110" operator="greaterThan">
      <formula>1</formula>
    </cfRule>
  </conditionalFormatting>
  <conditionalFormatting sqref="R96:R105">
    <cfRule type="cellIs" dxfId="7606" priority="1107" operator="greaterThan">
      <formula>1</formula>
    </cfRule>
    <cfRule type="cellIs" dxfId="7605" priority="1108" operator="lessThan">
      <formula>0.8</formula>
    </cfRule>
  </conditionalFormatting>
  <conditionalFormatting sqref="P96:P105">
    <cfRule type="cellIs" dxfId="7604" priority="1106" operator="greaterThan">
      <formula>0</formula>
    </cfRule>
  </conditionalFormatting>
  <conditionalFormatting sqref="Q96:Q105">
    <cfRule type="cellIs" dxfId="7603" priority="1111" operator="lessThan">
      <formula>0</formula>
    </cfRule>
  </conditionalFormatting>
  <conditionalFormatting sqref="Q96:Q105">
    <cfRule type="cellIs" dxfId="7602" priority="1100" operator="lessThan">
      <formula>0</formula>
    </cfRule>
  </conditionalFormatting>
  <conditionalFormatting sqref="P96:P105">
    <cfRule type="cellIs" dxfId="7601" priority="1101" operator="greaterThan">
      <formula>0</formula>
    </cfRule>
  </conditionalFormatting>
  <conditionalFormatting sqref="R96:R105">
    <cfRule type="cellIs" dxfId="7600" priority="1104" operator="lessThan">
      <formula>0.8</formula>
    </cfRule>
    <cfRule type="cellIs" dxfId="7599" priority="1105" operator="greaterThan">
      <formula>1</formula>
    </cfRule>
  </conditionalFormatting>
  <conditionalFormatting sqref="R96:R105">
    <cfRule type="cellIs" dxfId="7598" priority="1102" operator="greaterThan">
      <formula>1</formula>
    </cfRule>
    <cfRule type="cellIs" dxfId="7597" priority="1103" operator="lessThan">
      <formula>0.8</formula>
    </cfRule>
  </conditionalFormatting>
  <conditionalFormatting sqref="Q96:Q105">
    <cfRule type="cellIs" dxfId="7596" priority="1094" operator="lessThan">
      <formula>0</formula>
    </cfRule>
  </conditionalFormatting>
  <conditionalFormatting sqref="R96:R105">
    <cfRule type="cellIs" dxfId="7595" priority="1098" operator="lessThan">
      <formula>0.8</formula>
    </cfRule>
    <cfRule type="cellIs" dxfId="7594" priority="1099" operator="greaterThan">
      <formula>1</formula>
    </cfRule>
  </conditionalFormatting>
  <conditionalFormatting sqref="R96:R105">
    <cfRule type="cellIs" dxfId="7593" priority="1096" operator="greaterThan">
      <formula>1</formula>
    </cfRule>
    <cfRule type="cellIs" dxfId="7592" priority="1097" operator="lessThan">
      <formula>0.8</formula>
    </cfRule>
  </conditionalFormatting>
  <conditionalFormatting sqref="P96:P105">
    <cfRule type="cellIs" dxfId="7591" priority="1095" operator="greaterThan">
      <formula>0</formula>
    </cfRule>
  </conditionalFormatting>
  <conditionalFormatting sqref="Q96:Q105">
    <cfRule type="cellIs" dxfId="7590" priority="1093" operator="lessThan">
      <formula>0</formula>
    </cfRule>
  </conditionalFormatting>
  <conditionalFormatting sqref="R96:R105">
    <cfRule type="cellIs" dxfId="7589" priority="1091" operator="lessThan">
      <formula>0.8</formula>
    </cfRule>
    <cfRule type="cellIs" dxfId="7588" priority="1092" operator="greaterThan">
      <formula>1</formula>
    </cfRule>
  </conditionalFormatting>
  <conditionalFormatting sqref="R96:R105">
    <cfRule type="cellIs" dxfId="7587" priority="1089" operator="greaterThan">
      <formula>1</formula>
    </cfRule>
    <cfRule type="cellIs" dxfId="7586" priority="1090" operator="lessThan">
      <formula>0.8</formula>
    </cfRule>
  </conditionalFormatting>
  <conditionalFormatting sqref="P96:P105">
    <cfRule type="cellIs" dxfId="7585" priority="1088" operator="greaterThan">
      <formula>0</formula>
    </cfRule>
  </conditionalFormatting>
  <conditionalFormatting sqref="Q96:Q105">
    <cfRule type="cellIs" dxfId="7584" priority="1087" operator="lessThan">
      <formula>0</formula>
    </cfRule>
  </conditionalFormatting>
  <conditionalFormatting sqref="R96:R105">
    <cfRule type="cellIs" dxfId="7583" priority="1085" operator="lessThan">
      <formula>0.8</formula>
    </cfRule>
    <cfRule type="cellIs" dxfId="7582" priority="1086" operator="greaterThan">
      <formula>1</formula>
    </cfRule>
  </conditionalFormatting>
  <conditionalFormatting sqref="R96:R105">
    <cfRule type="cellIs" dxfId="7581" priority="1083" operator="greaterThan">
      <formula>1</formula>
    </cfRule>
    <cfRule type="cellIs" dxfId="7580" priority="1084" operator="lessThan">
      <formula>0.8</formula>
    </cfRule>
  </conditionalFormatting>
  <conditionalFormatting sqref="P96:P105">
    <cfRule type="cellIs" dxfId="7579" priority="1082" operator="greaterThan">
      <formula>0</formula>
    </cfRule>
  </conditionalFormatting>
  <conditionalFormatting sqref="Q96:Q105">
    <cfRule type="cellIs" dxfId="7578" priority="1076" operator="lessThan">
      <formula>0</formula>
    </cfRule>
  </conditionalFormatting>
  <conditionalFormatting sqref="P96:P105">
    <cfRule type="cellIs" dxfId="7577" priority="1077" operator="greaterThan">
      <formula>0</formula>
    </cfRule>
  </conditionalFormatting>
  <conditionalFormatting sqref="R96:R105">
    <cfRule type="cellIs" dxfId="7576" priority="1080" operator="lessThan">
      <formula>0.8</formula>
    </cfRule>
    <cfRule type="cellIs" dxfId="7575" priority="1081" operator="greaterThan">
      <formula>1</formula>
    </cfRule>
  </conditionalFormatting>
  <conditionalFormatting sqref="R96:R105">
    <cfRule type="cellIs" dxfId="7574" priority="1078" operator="greaterThan">
      <formula>1</formula>
    </cfRule>
    <cfRule type="cellIs" dxfId="7573" priority="1079" operator="lessThan">
      <formula>0.8</formula>
    </cfRule>
  </conditionalFormatting>
  <conditionalFormatting sqref="Q96:Q105">
    <cfRule type="cellIs" dxfId="7572" priority="1070" operator="lessThan">
      <formula>0</formula>
    </cfRule>
  </conditionalFormatting>
  <conditionalFormatting sqref="R96:R105">
    <cfRule type="cellIs" dxfId="7571" priority="1074" operator="lessThan">
      <formula>0.8</formula>
    </cfRule>
    <cfRule type="cellIs" dxfId="7570" priority="1075" operator="greaterThan">
      <formula>1</formula>
    </cfRule>
  </conditionalFormatting>
  <conditionalFormatting sqref="R96:R105">
    <cfRule type="cellIs" dxfId="7569" priority="1072" operator="greaterThan">
      <formula>1</formula>
    </cfRule>
    <cfRule type="cellIs" dxfId="7568" priority="1073" operator="lessThan">
      <formula>0.8</formula>
    </cfRule>
  </conditionalFormatting>
  <conditionalFormatting sqref="P96:P105">
    <cfRule type="cellIs" dxfId="7567" priority="1071" operator="greaterThan">
      <formula>0</formula>
    </cfRule>
  </conditionalFormatting>
  <conditionalFormatting sqref="Q96:Q105">
    <cfRule type="cellIs" dxfId="7566" priority="1069" operator="lessThan">
      <formula>0</formula>
    </cfRule>
  </conditionalFormatting>
  <conditionalFormatting sqref="R96:R105">
    <cfRule type="cellIs" dxfId="7565" priority="1067" operator="lessThan">
      <formula>0.8</formula>
    </cfRule>
    <cfRule type="cellIs" dxfId="7564" priority="1068" operator="greaterThan">
      <formula>1</formula>
    </cfRule>
  </conditionalFormatting>
  <conditionalFormatting sqref="R96:R105">
    <cfRule type="cellIs" dxfId="7563" priority="1065" operator="greaterThan">
      <formula>1</formula>
    </cfRule>
    <cfRule type="cellIs" dxfId="7562" priority="1066" operator="lessThan">
      <formula>0.8</formula>
    </cfRule>
  </conditionalFormatting>
  <conditionalFormatting sqref="P96:P105">
    <cfRule type="cellIs" dxfId="7561" priority="1064" operator="greaterThan">
      <formula>0</formula>
    </cfRule>
  </conditionalFormatting>
  <conditionalFormatting sqref="Q96:Q105">
    <cfRule type="cellIs" dxfId="7560" priority="1063" operator="lessThan">
      <formula>0</formula>
    </cfRule>
  </conditionalFormatting>
  <conditionalFormatting sqref="R96:R105">
    <cfRule type="cellIs" dxfId="7559" priority="1061" operator="lessThan">
      <formula>0.8</formula>
    </cfRule>
    <cfRule type="cellIs" dxfId="7558" priority="1062" operator="greaterThan">
      <formula>1</formula>
    </cfRule>
  </conditionalFormatting>
  <conditionalFormatting sqref="R96:R105">
    <cfRule type="cellIs" dxfId="7557" priority="1059" operator="greaterThan">
      <formula>1</formula>
    </cfRule>
    <cfRule type="cellIs" dxfId="7556" priority="1060" operator="lessThan">
      <formula>0.8</formula>
    </cfRule>
  </conditionalFormatting>
  <conditionalFormatting sqref="P96:P105">
    <cfRule type="cellIs" dxfId="7555" priority="1058" operator="greaterThan">
      <formula>0</formula>
    </cfRule>
  </conditionalFormatting>
  <conditionalFormatting sqref="P124 P127 P130">
    <cfRule type="cellIs" dxfId="7554" priority="1052" operator="greaterThan">
      <formula>0</formula>
    </cfRule>
  </conditionalFormatting>
  <conditionalFormatting sqref="Q124 Q127 Q130">
    <cfRule type="cellIs" dxfId="7553" priority="1057" operator="lessThan">
      <formula>0</formula>
    </cfRule>
  </conditionalFormatting>
  <conditionalFormatting sqref="R124 R127 R130">
    <cfRule type="cellIs" dxfId="7552" priority="1055" operator="lessThan">
      <formula>0.8</formula>
    </cfRule>
    <cfRule type="cellIs" dxfId="7551" priority="1056" operator="greaterThan">
      <formula>1</formula>
    </cfRule>
  </conditionalFormatting>
  <conditionalFormatting sqref="R124 R127 R130">
    <cfRule type="cellIs" dxfId="7550" priority="1053" operator="greaterThan">
      <formula>1</formula>
    </cfRule>
    <cfRule type="cellIs" dxfId="7549" priority="1054" operator="lessThan">
      <formula>0.8</formula>
    </cfRule>
  </conditionalFormatting>
  <conditionalFormatting sqref="Q124 Q127 Q130">
    <cfRule type="cellIs" dxfId="7548" priority="1051" operator="lessThan">
      <formula>0</formula>
    </cfRule>
  </conditionalFormatting>
  <conditionalFormatting sqref="R124 R127 R130">
    <cfRule type="cellIs" dxfId="7547" priority="1049" operator="lessThan">
      <formula>0.8</formula>
    </cfRule>
    <cfRule type="cellIs" dxfId="7546" priority="1050" operator="greaterThan">
      <formula>1</formula>
    </cfRule>
  </conditionalFormatting>
  <conditionalFormatting sqref="R124 R127 R130">
    <cfRule type="cellIs" dxfId="7545" priority="1047" operator="greaterThan">
      <formula>1</formula>
    </cfRule>
    <cfRule type="cellIs" dxfId="7544" priority="1048" operator="lessThan">
      <formula>0.8</formula>
    </cfRule>
  </conditionalFormatting>
  <conditionalFormatting sqref="P124 P127 P130">
    <cfRule type="cellIs" dxfId="7543" priority="1046" operator="greaterThan">
      <formula>0</formula>
    </cfRule>
  </conditionalFormatting>
  <conditionalFormatting sqref="Q123 Q125:Q126 Q131 Q128:Q129">
    <cfRule type="cellIs" dxfId="7542" priority="1045" operator="lessThan">
      <formula>0</formula>
    </cfRule>
  </conditionalFormatting>
  <conditionalFormatting sqref="R123 R125:R126 R131 R128:R129">
    <cfRule type="cellIs" dxfId="7541" priority="1043" operator="lessThan">
      <formula>0.8</formula>
    </cfRule>
    <cfRule type="cellIs" dxfId="7540" priority="1044" operator="greaterThan">
      <formula>1</formula>
    </cfRule>
  </conditionalFormatting>
  <conditionalFormatting sqref="R123 R125:R126 R131 R128:R129">
    <cfRule type="cellIs" dxfId="7539" priority="1041" operator="greaterThan">
      <formula>1</formula>
    </cfRule>
    <cfRule type="cellIs" dxfId="7538" priority="1042" operator="lessThan">
      <formula>0.8</formula>
    </cfRule>
  </conditionalFormatting>
  <conditionalFormatting sqref="P123 P125:P126 P131 P128:P129">
    <cfRule type="cellIs" dxfId="7537" priority="1040" operator="greaterThan">
      <formula>0</formula>
    </cfRule>
  </conditionalFormatting>
  <conditionalFormatting sqref="P123 P125:P126 P131 P128:P129">
    <cfRule type="cellIs" dxfId="7536" priority="1034" operator="greaterThan">
      <formula>0</formula>
    </cfRule>
  </conditionalFormatting>
  <conditionalFormatting sqref="Q123 Q125:Q126 Q131 Q128:Q129">
    <cfRule type="cellIs" dxfId="7535" priority="1039" operator="lessThan">
      <formula>0</formula>
    </cfRule>
  </conditionalFormatting>
  <conditionalFormatting sqref="R123 R125:R126 R131 R128:R129">
    <cfRule type="cellIs" dxfId="7534" priority="1037" operator="lessThan">
      <formula>0.8</formula>
    </cfRule>
    <cfRule type="cellIs" dxfId="7533" priority="1038" operator="greaterThan">
      <formula>1</formula>
    </cfRule>
  </conditionalFormatting>
  <conditionalFormatting sqref="R123 R125:R126 R131 R128:R129">
    <cfRule type="cellIs" dxfId="7532" priority="1035" operator="greaterThan">
      <formula>1</formula>
    </cfRule>
    <cfRule type="cellIs" dxfId="7531" priority="1036" operator="lessThan">
      <formula>0.8</formula>
    </cfRule>
  </conditionalFormatting>
  <conditionalFormatting sqref="P122">
    <cfRule type="cellIs" dxfId="7530" priority="1028" operator="greaterThan">
      <formula>0</formula>
    </cfRule>
  </conditionalFormatting>
  <conditionalFormatting sqref="Q122">
    <cfRule type="cellIs" dxfId="7529" priority="1033" operator="lessThan">
      <formula>0</formula>
    </cfRule>
  </conditionalFormatting>
  <conditionalFormatting sqref="R122">
    <cfRule type="cellIs" dxfId="7528" priority="1031" operator="lessThan">
      <formula>0.8</formula>
    </cfRule>
    <cfRule type="cellIs" dxfId="7527" priority="1032" operator="greaterThan">
      <formula>1</formula>
    </cfRule>
  </conditionalFormatting>
  <conditionalFormatting sqref="R122">
    <cfRule type="cellIs" dxfId="7526" priority="1029" operator="greaterThan">
      <formula>1</formula>
    </cfRule>
    <cfRule type="cellIs" dxfId="7525" priority="1030" operator="lessThan">
      <formula>0.8</formula>
    </cfRule>
  </conditionalFormatting>
  <conditionalFormatting sqref="P137 P140 P142 P144">
    <cfRule type="cellIs" dxfId="7524" priority="1027" operator="greaterThan">
      <formula>0</formula>
    </cfRule>
  </conditionalFormatting>
  <conditionalFormatting sqref="Q137:Q144">
    <cfRule type="cellIs" dxfId="7523" priority="1026" operator="lessThan">
      <formula>0</formula>
    </cfRule>
  </conditionalFormatting>
  <conditionalFormatting sqref="R137">
    <cfRule type="cellIs" dxfId="7522" priority="1024" operator="lessThan">
      <formula>0.8</formula>
    </cfRule>
    <cfRule type="cellIs" dxfId="7521" priority="1025" operator="greaterThan">
      <formula>1</formula>
    </cfRule>
  </conditionalFormatting>
  <conditionalFormatting sqref="R137">
    <cfRule type="cellIs" dxfId="7520" priority="1022" operator="greaterThan">
      <formula>1</formula>
    </cfRule>
    <cfRule type="cellIs" dxfId="7519" priority="1023" operator="lessThan">
      <formula>0.8</formula>
    </cfRule>
  </conditionalFormatting>
  <conditionalFormatting sqref="P137 P140 P142 P144">
    <cfRule type="cellIs" dxfId="7518" priority="1021" operator="greaterThan">
      <formula>0</formula>
    </cfRule>
  </conditionalFormatting>
  <conditionalFormatting sqref="Q137:Q144">
    <cfRule type="cellIs" dxfId="7517" priority="1020" operator="lessThan">
      <formula>0</formula>
    </cfRule>
  </conditionalFormatting>
  <conditionalFormatting sqref="R137">
    <cfRule type="cellIs" dxfId="7516" priority="1018" operator="lessThan">
      <formula>0.8</formula>
    </cfRule>
    <cfRule type="cellIs" dxfId="7515" priority="1019" operator="greaterThan">
      <formula>1</formula>
    </cfRule>
  </conditionalFormatting>
  <conditionalFormatting sqref="R137">
    <cfRule type="cellIs" dxfId="7514" priority="1016" operator="greaterThan">
      <formula>1</formula>
    </cfRule>
    <cfRule type="cellIs" dxfId="7513" priority="1017" operator="lessThan">
      <formula>0.8</formula>
    </cfRule>
  </conditionalFormatting>
  <conditionalFormatting sqref="P137 P140 P142 P144">
    <cfRule type="cellIs" dxfId="7512" priority="1015" operator="greaterThan">
      <formula>0</formula>
    </cfRule>
  </conditionalFormatting>
  <conditionalFormatting sqref="P137 P140 P142 P144">
    <cfRule type="cellIs" dxfId="7511" priority="1009" operator="greaterThan">
      <formula>0</formula>
    </cfRule>
  </conditionalFormatting>
  <conditionalFormatting sqref="Q137:Q144">
    <cfRule type="cellIs" dxfId="7510" priority="1014" operator="lessThan">
      <formula>0</formula>
    </cfRule>
  </conditionalFormatting>
  <conditionalFormatting sqref="R137">
    <cfRule type="cellIs" dxfId="7509" priority="1012" operator="lessThan">
      <formula>0.8</formula>
    </cfRule>
    <cfRule type="cellIs" dxfId="7508" priority="1013" operator="greaterThan">
      <formula>1</formula>
    </cfRule>
  </conditionalFormatting>
  <conditionalFormatting sqref="R137">
    <cfRule type="cellIs" dxfId="7507" priority="1010" operator="greaterThan">
      <formula>1</formula>
    </cfRule>
    <cfRule type="cellIs" dxfId="7506" priority="1011" operator="lessThan">
      <formula>0.8</formula>
    </cfRule>
  </conditionalFormatting>
  <conditionalFormatting sqref="Q137:Q144">
    <cfRule type="cellIs" dxfId="7505" priority="1008" operator="lessThan">
      <formula>0</formula>
    </cfRule>
  </conditionalFormatting>
  <conditionalFormatting sqref="R137">
    <cfRule type="cellIs" dxfId="7504" priority="1006" operator="lessThan">
      <formula>0.8</formula>
    </cfRule>
    <cfRule type="cellIs" dxfId="7503" priority="1007" operator="greaterThan">
      <formula>1</formula>
    </cfRule>
  </conditionalFormatting>
  <conditionalFormatting sqref="R137">
    <cfRule type="cellIs" dxfId="7502" priority="1004" operator="greaterThan">
      <formula>1</formula>
    </cfRule>
    <cfRule type="cellIs" dxfId="7501" priority="1005" operator="lessThan">
      <formula>0.8</formula>
    </cfRule>
  </conditionalFormatting>
  <conditionalFormatting sqref="P137 P140 P142 P144">
    <cfRule type="cellIs" dxfId="7500" priority="1003" operator="greaterThan">
      <formula>0</formula>
    </cfRule>
  </conditionalFormatting>
  <conditionalFormatting sqref="Q137:Q144">
    <cfRule type="cellIs" dxfId="7499" priority="1002" operator="lessThan">
      <formula>0</formula>
    </cfRule>
  </conditionalFormatting>
  <conditionalFormatting sqref="R137">
    <cfRule type="cellIs" dxfId="7498" priority="1000" operator="lessThan">
      <formula>0.8</formula>
    </cfRule>
    <cfRule type="cellIs" dxfId="7497" priority="1001" operator="greaterThan">
      <formula>1</formula>
    </cfRule>
  </conditionalFormatting>
  <conditionalFormatting sqref="R137">
    <cfRule type="cellIs" dxfId="7496" priority="998" operator="greaterThan">
      <formula>1</formula>
    </cfRule>
    <cfRule type="cellIs" dxfId="7495" priority="999" operator="lessThan">
      <formula>0.8</formula>
    </cfRule>
  </conditionalFormatting>
  <conditionalFormatting sqref="P137 P140 P142 P144">
    <cfRule type="cellIs" dxfId="7494" priority="997" operator="greaterThan">
      <formula>0</formula>
    </cfRule>
  </conditionalFormatting>
  <conditionalFormatting sqref="P137 P140 P142 P144">
    <cfRule type="cellIs" dxfId="7493" priority="991" operator="greaterThan">
      <formula>0</formula>
    </cfRule>
  </conditionalFormatting>
  <conditionalFormatting sqref="Q137:Q144">
    <cfRule type="cellIs" dxfId="7492" priority="996" operator="lessThan">
      <formula>0</formula>
    </cfRule>
  </conditionalFormatting>
  <conditionalFormatting sqref="R137">
    <cfRule type="cellIs" dxfId="7491" priority="994" operator="lessThan">
      <formula>0.8</formula>
    </cfRule>
    <cfRule type="cellIs" dxfId="7490" priority="995" operator="greaterThan">
      <formula>1</formula>
    </cfRule>
  </conditionalFormatting>
  <conditionalFormatting sqref="R137">
    <cfRule type="cellIs" dxfId="7489" priority="992" operator="greaterThan">
      <formula>1</formula>
    </cfRule>
    <cfRule type="cellIs" dxfId="7488" priority="993" operator="lessThan">
      <formula>0.8</formula>
    </cfRule>
  </conditionalFormatting>
  <conditionalFormatting sqref="Q137:Q144">
    <cfRule type="cellIs" dxfId="7487" priority="990" operator="lessThan">
      <formula>0</formula>
    </cfRule>
  </conditionalFormatting>
  <conditionalFormatting sqref="R137">
    <cfRule type="cellIs" dxfId="7486" priority="988" operator="lessThan">
      <formula>0.8</formula>
    </cfRule>
    <cfRule type="cellIs" dxfId="7485" priority="989" operator="greaterThan">
      <formula>1</formula>
    </cfRule>
  </conditionalFormatting>
  <conditionalFormatting sqref="R137">
    <cfRule type="cellIs" dxfId="7484" priority="986" operator="greaterThan">
      <formula>1</formula>
    </cfRule>
    <cfRule type="cellIs" dxfId="7483" priority="987" operator="lessThan">
      <formula>0.8</formula>
    </cfRule>
  </conditionalFormatting>
  <conditionalFormatting sqref="P137 P140 P142 P144">
    <cfRule type="cellIs" dxfId="7482" priority="985" operator="greaterThan">
      <formula>0</formula>
    </cfRule>
  </conditionalFormatting>
  <conditionalFormatting sqref="Q137:Q144">
    <cfRule type="cellIs" dxfId="7481" priority="984" operator="lessThan">
      <formula>0</formula>
    </cfRule>
  </conditionalFormatting>
  <conditionalFormatting sqref="R137">
    <cfRule type="cellIs" dxfId="7480" priority="982" operator="lessThan">
      <formula>0.8</formula>
    </cfRule>
    <cfRule type="cellIs" dxfId="7479" priority="983" operator="greaterThan">
      <formula>1</formula>
    </cfRule>
  </conditionalFormatting>
  <conditionalFormatting sqref="R137">
    <cfRule type="cellIs" dxfId="7478" priority="980" operator="greaterThan">
      <formula>1</formula>
    </cfRule>
    <cfRule type="cellIs" dxfId="7477" priority="981" operator="lessThan">
      <formula>0.8</formula>
    </cfRule>
  </conditionalFormatting>
  <conditionalFormatting sqref="P137 P140 P142 P144">
    <cfRule type="cellIs" dxfId="7476" priority="979" operator="greaterThan">
      <formula>0</formula>
    </cfRule>
  </conditionalFormatting>
  <conditionalFormatting sqref="P137 P140 P142 P144">
    <cfRule type="cellIs" dxfId="7475" priority="973" operator="greaterThan">
      <formula>0</formula>
    </cfRule>
  </conditionalFormatting>
  <conditionalFormatting sqref="Q137:Q144">
    <cfRule type="cellIs" dxfId="7474" priority="978" operator="lessThan">
      <formula>0</formula>
    </cfRule>
  </conditionalFormatting>
  <conditionalFormatting sqref="R137">
    <cfRule type="cellIs" dxfId="7473" priority="976" operator="lessThan">
      <formula>0.8</formula>
    </cfRule>
    <cfRule type="cellIs" dxfId="7472" priority="977" operator="greaterThan">
      <formula>1</formula>
    </cfRule>
  </conditionalFormatting>
  <conditionalFormatting sqref="R137">
    <cfRule type="cellIs" dxfId="7471" priority="974" operator="greaterThan">
      <formula>1</formula>
    </cfRule>
    <cfRule type="cellIs" dxfId="7470" priority="975" operator="lessThan">
      <formula>0.8</formula>
    </cfRule>
  </conditionalFormatting>
  <conditionalFormatting sqref="Q137:Q144">
    <cfRule type="cellIs" dxfId="7469" priority="972" operator="lessThan">
      <formula>0</formula>
    </cfRule>
  </conditionalFormatting>
  <conditionalFormatting sqref="R137">
    <cfRule type="cellIs" dxfId="7468" priority="970" operator="lessThan">
      <formula>0.8</formula>
    </cfRule>
    <cfRule type="cellIs" dxfId="7467" priority="971" operator="greaterThan">
      <formula>1</formula>
    </cfRule>
  </conditionalFormatting>
  <conditionalFormatting sqref="R137">
    <cfRule type="cellIs" dxfId="7466" priority="968" operator="greaterThan">
      <formula>1</formula>
    </cfRule>
    <cfRule type="cellIs" dxfId="7465" priority="969" operator="lessThan">
      <formula>0.8</formula>
    </cfRule>
  </conditionalFormatting>
  <conditionalFormatting sqref="P137 P140 P142 P144">
    <cfRule type="cellIs" dxfId="7464" priority="967" operator="greaterThan">
      <formula>0</formula>
    </cfRule>
  </conditionalFormatting>
  <conditionalFormatting sqref="P138 P141 P143">
    <cfRule type="cellIs" dxfId="7463" priority="962" operator="greaterThan">
      <formula>0</formula>
    </cfRule>
  </conditionalFormatting>
  <conditionalFormatting sqref="R138">
    <cfRule type="cellIs" dxfId="7462" priority="965" operator="lessThan">
      <formula>0.8</formula>
    </cfRule>
    <cfRule type="cellIs" dxfId="7461" priority="966" operator="greaterThan">
      <formula>1</formula>
    </cfRule>
  </conditionalFormatting>
  <conditionalFormatting sqref="R138">
    <cfRule type="cellIs" dxfId="7460" priority="963" operator="greaterThan">
      <formula>1</formula>
    </cfRule>
    <cfRule type="cellIs" dxfId="7459" priority="964" operator="lessThan">
      <formula>0.8</formula>
    </cfRule>
  </conditionalFormatting>
  <conditionalFormatting sqref="R138">
    <cfRule type="cellIs" dxfId="7458" priority="960" operator="lessThan">
      <formula>0.8</formula>
    </cfRule>
    <cfRule type="cellIs" dxfId="7457" priority="961" operator="greaterThan">
      <formula>1</formula>
    </cfRule>
  </conditionalFormatting>
  <conditionalFormatting sqref="R138">
    <cfRule type="cellIs" dxfId="7456" priority="958" operator="greaterThan">
      <formula>1</formula>
    </cfRule>
    <cfRule type="cellIs" dxfId="7455" priority="959" operator="lessThan">
      <formula>0.8</formula>
    </cfRule>
  </conditionalFormatting>
  <conditionalFormatting sqref="P138 P141 P143">
    <cfRule type="cellIs" dxfId="7454" priority="957" operator="greaterThan">
      <formula>0</formula>
    </cfRule>
  </conditionalFormatting>
  <conditionalFormatting sqref="R138">
    <cfRule type="cellIs" dxfId="7453" priority="955" operator="lessThan">
      <formula>0.8</formula>
    </cfRule>
    <cfRule type="cellIs" dxfId="7452" priority="956" operator="greaterThan">
      <formula>1</formula>
    </cfRule>
  </conditionalFormatting>
  <conditionalFormatting sqref="R138">
    <cfRule type="cellIs" dxfId="7451" priority="953" operator="greaterThan">
      <formula>1</formula>
    </cfRule>
    <cfRule type="cellIs" dxfId="7450" priority="954" operator="lessThan">
      <formula>0.8</formula>
    </cfRule>
  </conditionalFormatting>
  <conditionalFormatting sqref="P138 P141 P143">
    <cfRule type="cellIs" dxfId="7449" priority="952" operator="greaterThan">
      <formula>0</formula>
    </cfRule>
  </conditionalFormatting>
  <conditionalFormatting sqref="R138">
    <cfRule type="cellIs" dxfId="7448" priority="950" operator="lessThan">
      <formula>0.8</formula>
    </cfRule>
    <cfRule type="cellIs" dxfId="7447" priority="951" operator="greaterThan">
      <formula>1</formula>
    </cfRule>
  </conditionalFormatting>
  <conditionalFormatting sqref="R138">
    <cfRule type="cellIs" dxfId="7446" priority="948" operator="greaterThan">
      <formula>1</formula>
    </cfRule>
    <cfRule type="cellIs" dxfId="7445" priority="949" operator="lessThan">
      <formula>0.8</formula>
    </cfRule>
  </conditionalFormatting>
  <conditionalFormatting sqref="P138 P141 P143">
    <cfRule type="cellIs" dxfId="7444" priority="947" operator="greaterThan">
      <formula>0</formula>
    </cfRule>
  </conditionalFormatting>
  <conditionalFormatting sqref="R138">
    <cfRule type="cellIs" dxfId="7443" priority="945" operator="lessThan">
      <formula>0.8</formula>
    </cfRule>
    <cfRule type="cellIs" dxfId="7442" priority="946" operator="greaterThan">
      <formula>1</formula>
    </cfRule>
  </conditionalFormatting>
  <conditionalFormatting sqref="R138">
    <cfRule type="cellIs" dxfId="7441" priority="943" operator="greaterThan">
      <formula>1</formula>
    </cfRule>
    <cfRule type="cellIs" dxfId="7440" priority="944" operator="lessThan">
      <formula>0.8</formula>
    </cfRule>
  </conditionalFormatting>
  <conditionalFormatting sqref="R138">
    <cfRule type="cellIs" dxfId="7439" priority="941" operator="lessThan">
      <formula>0.8</formula>
    </cfRule>
    <cfRule type="cellIs" dxfId="7438" priority="942" operator="greaterThan">
      <formula>1</formula>
    </cfRule>
  </conditionalFormatting>
  <conditionalFormatting sqref="R138">
    <cfRule type="cellIs" dxfId="7437" priority="939" operator="greaterThan">
      <formula>1</formula>
    </cfRule>
    <cfRule type="cellIs" dxfId="7436" priority="940" operator="lessThan">
      <formula>0.8</formula>
    </cfRule>
  </conditionalFormatting>
  <conditionalFormatting sqref="P138 P141 P143">
    <cfRule type="cellIs" dxfId="7435" priority="938" operator="greaterThan">
      <formula>0</formula>
    </cfRule>
  </conditionalFormatting>
  <conditionalFormatting sqref="P138 P141 P143">
    <cfRule type="cellIs" dxfId="7434" priority="933" operator="greaterThan">
      <formula>0</formula>
    </cfRule>
  </conditionalFormatting>
  <conditionalFormatting sqref="R138">
    <cfRule type="cellIs" dxfId="7433" priority="936" operator="lessThan">
      <formula>0.8</formula>
    </cfRule>
    <cfRule type="cellIs" dxfId="7432" priority="937" operator="greaterThan">
      <formula>1</formula>
    </cfRule>
  </conditionalFormatting>
  <conditionalFormatting sqref="R138">
    <cfRule type="cellIs" dxfId="7431" priority="934" operator="greaterThan">
      <formula>1</formula>
    </cfRule>
    <cfRule type="cellIs" dxfId="7430" priority="935" operator="lessThan">
      <formula>0.8</formula>
    </cfRule>
  </conditionalFormatting>
  <conditionalFormatting sqref="R138">
    <cfRule type="cellIs" dxfId="7429" priority="931" operator="lessThan">
      <formula>0.8</formula>
    </cfRule>
    <cfRule type="cellIs" dxfId="7428" priority="932" operator="greaterThan">
      <formula>1</formula>
    </cfRule>
  </conditionalFormatting>
  <conditionalFormatting sqref="R138">
    <cfRule type="cellIs" dxfId="7427" priority="929" operator="greaterThan">
      <formula>1</formula>
    </cfRule>
    <cfRule type="cellIs" dxfId="7426" priority="930" operator="lessThan">
      <formula>0.8</formula>
    </cfRule>
  </conditionalFormatting>
  <conditionalFormatting sqref="P138 P141 P143">
    <cfRule type="cellIs" dxfId="7425" priority="928" operator="greaterThan">
      <formula>0</formula>
    </cfRule>
  </conditionalFormatting>
  <conditionalFormatting sqref="Q148:Q154">
    <cfRule type="cellIs" dxfId="7424" priority="927" operator="lessThan">
      <formula>0</formula>
    </cfRule>
  </conditionalFormatting>
  <conditionalFormatting sqref="R148:R154">
    <cfRule type="cellIs" dxfId="7423" priority="925" operator="lessThan">
      <formula>0.8</formula>
    </cfRule>
    <cfRule type="cellIs" dxfId="7422" priority="926" operator="greaterThan">
      <formula>1</formula>
    </cfRule>
  </conditionalFormatting>
  <conditionalFormatting sqref="R148:R154">
    <cfRule type="cellIs" dxfId="7421" priority="923" operator="greaterThan">
      <formula>1</formula>
    </cfRule>
    <cfRule type="cellIs" dxfId="7420" priority="924" operator="lessThan">
      <formula>0.8</formula>
    </cfRule>
  </conditionalFormatting>
  <conditionalFormatting sqref="P148:P154">
    <cfRule type="cellIs" dxfId="7419" priority="922" operator="greaterThan">
      <formula>0</formula>
    </cfRule>
  </conditionalFormatting>
  <conditionalFormatting sqref="P148:P154">
    <cfRule type="cellIs" dxfId="7418" priority="916" operator="greaterThan">
      <formula>0</formula>
    </cfRule>
  </conditionalFormatting>
  <conditionalFormatting sqref="Q148:Q154">
    <cfRule type="cellIs" dxfId="7417" priority="921" operator="lessThan">
      <formula>0</formula>
    </cfRule>
  </conditionalFormatting>
  <conditionalFormatting sqref="R148:R154">
    <cfRule type="cellIs" dxfId="7416" priority="919" operator="lessThan">
      <formula>0.8</formula>
    </cfRule>
    <cfRule type="cellIs" dxfId="7415" priority="920" operator="greaterThan">
      <formula>1</formula>
    </cfRule>
  </conditionalFormatting>
  <conditionalFormatting sqref="R148:R154">
    <cfRule type="cellIs" dxfId="7414" priority="917" operator="greaterThan">
      <formula>1</formula>
    </cfRule>
    <cfRule type="cellIs" dxfId="7413" priority="918" operator="lessThan">
      <formula>0.8</formula>
    </cfRule>
  </conditionalFormatting>
  <conditionalFormatting sqref="Q148:Q154">
    <cfRule type="cellIs" dxfId="7412" priority="915" operator="lessThan">
      <formula>0</formula>
    </cfRule>
  </conditionalFormatting>
  <conditionalFormatting sqref="R148:R154">
    <cfRule type="cellIs" dxfId="7411" priority="913" operator="lessThan">
      <formula>0.8</formula>
    </cfRule>
    <cfRule type="cellIs" dxfId="7410" priority="914" operator="greaterThan">
      <formula>1</formula>
    </cfRule>
  </conditionalFormatting>
  <conditionalFormatting sqref="R148:R154">
    <cfRule type="cellIs" dxfId="7409" priority="911" operator="greaterThan">
      <formula>1</formula>
    </cfRule>
    <cfRule type="cellIs" dxfId="7408" priority="912" operator="lessThan">
      <formula>0.8</formula>
    </cfRule>
  </conditionalFormatting>
  <conditionalFormatting sqref="P148:P154">
    <cfRule type="cellIs" dxfId="7407" priority="910" operator="greaterThan">
      <formula>0</formula>
    </cfRule>
  </conditionalFormatting>
  <conditionalFormatting sqref="Q148:Q154">
    <cfRule type="cellIs" dxfId="7406" priority="909" operator="lessThan">
      <formula>0</formula>
    </cfRule>
  </conditionalFormatting>
  <conditionalFormatting sqref="R148:R154">
    <cfRule type="cellIs" dxfId="7405" priority="907" operator="lessThan">
      <formula>0.8</formula>
    </cfRule>
    <cfRule type="cellIs" dxfId="7404" priority="908" operator="greaterThan">
      <formula>1</formula>
    </cfRule>
  </conditionalFormatting>
  <conditionalFormatting sqref="R148:R154">
    <cfRule type="cellIs" dxfId="7403" priority="905" operator="greaterThan">
      <formula>1</formula>
    </cfRule>
    <cfRule type="cellIs" dxfId="7402" priority="906" operator="lessThan">
      <formula>0.8</formula>
    </cfRule>
  </conditionalFormatting>
  <conditionalFormatting sqref="P148:P154">
    <cfRule type="cellIs" dxfId="7401" priority="904" operator="greaterThan">
      <formula>0</formula>
    </cfRule>
  </conditionalFormatting>
  <conditionalFormatting sqref="P148:P154">
    <cfRule type="cellIs" dxfId="7400" priority="898" operator="greaterThan">
      <formula>0</formula>
    </cfRule>
  </conditionalFormatting>
  <conditionalFormatting sqref="Q148:Q154">
    <cfRule type="cellIs" dxfId="7399" priority="903" operator="lessThan">
      <formula>0</formula>
    </cfRule>
  </conditionalFormatting>
  <conditionalFormatting sqref="R148:R154">
    <cfRule type="cellIs" dxfId="7398" priority="901" operator="lessThan">
      <formula>0.8</formula>
    </cfRule>
    <cfRule type="cellIs" dxfId="7397" priority="902" operator="greaterThan">
      <formula>1</formula>
    </cfRule>
  </conditionalFormatting>
  <conditionalFormatting sqref="R148:R154">
    <cfRule type="cellIs" dxfId="7396" priority="899" operator="greaterThan">
      <formula>1</formula>
    </cfRule>
    <cfRule type="cellIs" dxfId="7395" priority="900" operator="lessThan">
      <formula>0.8</formula>
    </cfRule>
  </conditionalFormatting>
  <conditionalFormatting sqref="Q148:Q154">
    <cfRule type="cellIs" dxfId="7394" priority="897" operator="lessThan">
      <formula>0</formula>
    </cfRule>
  </conditionalFormatting>
  <conditionalFormatting sqref="R148:R154">
    <cfRule type="cellIs" dxfId="7393" priority="895" operator="lessThan">
      <formula>0.8</formula>
    </cfRule>
    <cfRule type="cellIs" dxfId="7392" priority="896" operator="greaterThan">
      <formula>1</formula>
    </cfRule>
  </conditionalFormatting>
  <conditionalFormatting sqref="R148:R154">
    <cfRule type="cellIs" dxfId="7391" priority="893" operator="greaterThan">
      <formula>1</formula>
    </cfRule>
    <cfRule type="cellIs" dxfId="7390" priority="894" operator="lessThan">
      <formula>0.8</formula>
    </cfRule>
  </conditionalFormatting>
  <conditionalFormatting sqref="P148:P154">
    <cfRule type="cellIs" dxfId="7389" priority="892" operator="greaterThan">
      <formula>0</formula>
    </cfRule>
  </conditionalFormatting>
  <conditionalFormatting sqref="Q148:Q154">
    <cfRule type="cellIs" dxfId="7388" priority="886" operator="lessThan">
      <formula>0</formula>
    </cfRule>
  </conditionalFormatting>
  <conditionalFormatting sqref="P148:P154">
    <cfRule type="cellIs" dxfId="7387" priority="887" operator="greaterThan">
      <formula>0</formula>
    </cfRule>
  </conditionalFormatting>
  <conditionalFormatting sqref="R148:R154">
    <cfRule type="cellIs" dxfId="7386" priority="890" operator="lessThan">
      <formula>0.8</formula>
    </cfRule>
    <cfRule type="cellIs" dxfId="7385" priority="891" operator="greaterThan">
      <formula>1</formula>
    </cfRule>
  </conditionalFormatting>
  <conditionalFormatting sqref="R148:R154">
    <cfRule type="cellIs" dxfId="7384" priority="888" operator="greaterThan">
      <formula>1</formula>
    </cfRule>
    <cfRule type="cellIs" dxfId="7383" priority="889" operator="lessThan">
      <formula>0.8</formula>
    </cfRule>
  </conditionalFormatting>
  <conditionalFormatting sqref="Q148:Q154">
    <cfRule type="cellIs" dxfId="7382" priority="880" operator="lessThan">
      <formula>0</formula>
    </cfRule>
  </conditionalFormatting>
  <conditionalFormatting sqref="R148:R154">
    <cfRule type="cellIs" dxfId="7381" priority="884" operator="lessThan">
      <formula>0.8</formula>
    </cfRule>
    <cfRule type="cellIs" dxfId="7380" priority="885" operator="greaterThan">
      <formula>1</formula>
    </cfRule>
  </conditionalFormatting>
  <conditionalFormatting sqref="R148:R154">
    <cfRule type="cellIs" dxfId="7379" priority="882" operator="greaterThan">
      <formula>1</formula>
    </cfRule>
    <cfRule type="cellIs" dxfId="7378" priority="883" operator="lessThan">
      <formula>0.8</formula>
    </cfRule>
  </conditionalFormatting>
  <conditionalFormatting sqref="P148:P154">
    <cfRule type="cellIs" dxfId="7377" priority="881" operator="greaterThan">
      <formula>0</formula>
    </cfRule>
  </conditionalFormatting>
  <conditionalFormatting sqref="Q148:Q154">
    <cfRule type="cellIs" dxfId="7376" priority="879" operator="lessThan">
      <formula>0</formula>
    </cfRule>
  </conditionalFormatting>
  <conditionalFormatting sqref="R148:R154">
    <cfRule type="cellIs" dxfId="7375" priority="877" operator="lessThan">
      <formula>0.8</formula>
    </cfRule>
    <cfRule type="cellIs" dxfId="7374" priority="878" operator="greaterThan">
      <formula>1</formula>
    </cfRule>
  </conditionalFormatting>
  <conditionalFormatting sqref="R148:R154">
    <cfRule type="cellIs" dxfId="7373" priority="875" operator="greaterThan">
      <formula>1</formula>
    </cfRule>
    <cfRule type="cellIs" dxfId="7372" priority="876" operator="lessThan">
      <formula>0.8</formula>
    </cfRule>
  </conditionalFormatting>
  <conditionalFormatting sqref="P148:P154">
    <cfRule type="cellIs" dxfId="7371" priority="874" operator="greaterThan">
      <formula>0</formula>
    </cfRule>
  </conditionalFormatting>
  <conditionalFormatting sqref="Q148:Q154">
    <cfRule type="cellIs" dxfId="7370" priority="873" operator="lessThan">
      <formula>0</formula>
    </cfRule>
  </conditionalFormatting>
  <conditionalFormatting sqref="R148:R154">
    <cfRule type="cellIs" dxfId="7369" priority="871" operator="lessThan">
      <formula>0.8</formula>
    </cfRule>
    <cfRule type="cellIs" dxfId="7368" priority="872" operator="greaterThan">
      <formula>1</formula>
    </cfRule>
  </conditionalFormatting>
  <conditionalFormatting sqref="R148:R154">
    <cfRule type="cellIs" dxfId="7367" priority="869" operator="greaterThan">
      <formula>1</formula>
    </cfRule>
    <cfRule type="cellIs" dxfId="7366" priority="870" operator="lessThan">
      <formula>0.8</formula>
    </cfRule>
  </conditionalFormatting>
  <conditionalFormatting sqref="P148:P154">
    <cfRule type="cellIs" dxfId="7365" priority="868" operator="greaterThan">
      <formula>0</formula>
    </cfRule>
  </conditionalFormatting>
  <conditionalFormatting sqref="Q148:Q154">
    <cfRule type="cellIs" dxfId="7364" priority="867" operator="lessThan">
      <formula>0</formula>
    </cfRule>
  </conditionalFormatting>
  <conditionalFormatting sqref="R148:R154">
    <cfRule type="cellIs" dxfId="7363" priority="865" operator="lessThan">
      <formula>0.8</formula>
    </cfRule>
    <cfRule type="cellIs" dxfId="7362" priority="866" operator="greaterThan">
      <formula>1</formula>
    </cfRule>
  </conditionalFormatting>
  <conditionalFormatting sqref="R148:R154">
    <cfRule type="cellIs" dxfId="7361" priority="863" operator="greaterThan">
      <formula>1</formula>
    </cfRule>
    <cfRule type="cellIs" dxfId="7360" priority="864" operator="lessThan">
      <formula>0.8</formula>
    </cfRule>
  </conditionalFormatting>
  <conditionalFormatting sqref="P148:P154">
    <cfRule type="cellIs" dxfId="7359" priority="862" operator="greaterThan">
      <formula>0</formula>
    </cfRule>
  </conditionalFormatting>
  <conditionalFormatting sqref="Q148:Q154">
    <cfRule type="cellIs" dxfId="7358" priority="861" operator="lessThan">
      <formula>0</formula>
    </cfRule>
  </conditionalFormatting>
  <conditionalFormatting sqref="R148:R154">
    <cfRule type="cellIs" dxfId="7357" priority="859" operator="lessThan">
      <formula>0.8</formula>
    </cfRule>
    <cfRule type="cellIs" dxfId="7356" priority="860" operator="greaterThan">
      <formula>1</formula>
    </cfRule>
  </conditionalFormatting>
  <conditionalFormatting sqref="R148:R154">
    <cfRule type="cellIs" dxfId="7355" priority="857" operator="greaterThan">
      <formula>1</formula>
    </cfRule>
    <cfRule type="cellIs" dxfId="7354" priority="858" operator="lessThan">
      <formula>0.8</formula>
    </cfRule>
  </conditionalFormatting>
  <conditionalFormatting sqref="P148:P154">
    <cfRule type="cellIs" dxfId="7353" priority="856" operator="greaterThan">
      <formula>0</formula>
    </cfRule>
  </conditionalFormatting>
  <conditionalFormatting sqref="Q148:Q154">
    <cfRule type="cellIs" dxfId="7352" priority="855" operator="lessThan">
      <formula>0</formula>
    </cfRule>
  </conditionalFormatting>
  <conditionalFormatting sqref="R148:R154">
    <cfRule type="cellIs" dxfId="7351" priority="853" operator="lessThan">
      <formula>0.8</formula>
    </cfRule>
    <cfRule type="cellIs" dxfId="7350" priority="854" operator="greaterThan">
      <formula>1</formula>
    </cfRule>
  </conditionalFormatting>
  <conditionalFormatting sqref="R148:R154">
    <cfRule type="cellIs" dxfId="7349" priority="851" operator="greaterThan">
      <formula>1</formula>
    </cfRule>
    <cfRule type="cellIs" dxfId="7348" priority="852" operator="lessThan">
      <formula>0.8</formula>
    </cfRule>
  </conditionalFormatting>
  <conditionalFormatting sqref="P148:P154">
    <cfRule type="cellIs" dxfId="7347" priority="850" operator="greaterThan">
      <formula>0</formula>
    </cfRule>
  </conditionalFormatting>
  <conditionalFormatting sqref="Q148:Q154">
    <cfRule type="cellIs" dxfId="7346" priority="849" operator="lessThan">
      <formula>0</formula>
    </cfRule>
  </conditionalFormatting>
  <conditionalFormatting sqref="R148:R154">
    <cfRule type="cellIs" dxfId="7345" priority="847" operator="lessThan">
      <formula>0.8</formula>
    </cfRule>
    <cfRule type="cellIs" dxfId="7344" priority="848" operator="greaterThan">
      <formula>1</formula>
    </cfRule>
  </conditionalFormatting>
  <conditionalFormatting sqref="R148:R154">
    <cfRule type="cellIs" dxfId="7343" priority="845" operator="greaterThan">
      <formula>1</formula>
    </cfRule>
    <cfRule type="cellIs" dxfId="7342" priority="846" operator="lessThan">
      <formula>0.8</formula>
    </cfRule>
  </conditionalFormatting>
  <conditionalFormatting sqref="P148:P154">
    <cfRule type="cellIs" dxfId="7341" priority="844" operator="greaterThan">
      <formula>0</formula>
    </cfRule>
  </conditionalFormatting>
  <conditionalFormatting sqref="Q148:Q154">
    <cfRule type="cellIs" dxfId="7340" priority="843" operator="lessThan">
      <formula>0</formula>
    </cfRule>
  </conditionalFormatting>
  <conditionalFormatting sqref="R148:R154">
    <cfRule type="cellIs" dxfId="7339" priority="841" operator="lessThan">
      <formula>0.8</formula>
    </cfRule>
    <cfRule type="cellIs" dxfId="7338" priority="842" operator="greaterThan">
      <formula>1</formula>
    </cfRule>
  </conditionalFormatting>
  <conditionalFormatting sqref="R148:R154">
    <cfRule type="cellIs" dxfId="7337" priority="839" operator="greaterThan">
      <formula>1</formula>
    </cfRule>
    <cfRule type="cellIs" dxfId="7336" priority="840" operator="lessThan">
      <formula>0.8</formula>
    </cfRule>
  </conditionalFormatting>
  <conditionalFormatting sqref="P148:P154">
    <cfRule type="cellIs" dxfId="7335" priority="838" operator="greaterThan">
      <formula>0</formula>
    </cfRule>
  </conditionalFormatting>
  <conditionalFormatting sqref="P148:P154">
    <cfRule type="cellIs" dxfId="7334" priority="832" operator="greaterThan">
      <formula>0</formula>
    </cfRule>
  </conditionalFormatting>
  <conditionalFormatting sqref="Q148:Q154">
    <cfRule type="cellIs" dxfId="7333" priority="837" operator="lessThan">
      <formula>0</formula>
    </cfRule>
  </conditionalFormatting>
  <conditionalFormatting sqref="R148:R154">
    <cfRule type="cellIs" dxfId="7332" priority="835" operator="lessThan">
      <formula>0.8</formula>
    </cfRule>
    <cfRule type="cellIs" dxfId="7331" priority="836" operator="greaterThan">
      <formula>1</formula>
    </cfRule>
  </conditionalFormatting>
  <conditionalFormatting sqref="R148:R154">
    <cfRule type="cellIs" dxfId="7330" priority="833" operator="greaterThan">
      <formula>1</formula>
    </cfRule>
    <cfRule type="cellIs" dxfId="7329" priority="834" operator="lessThan">
      <formula>0.8</formula>
    </cfRule>
  </conditionalFormatting>
  <conditionalFormatting sqref="P148:P154">
    <cfRule type="cellIs" dxfId="7328" priority="826" operator="greaterThan">
      <formula>0</formula>
    </cfRule>
  </conditionalFormatting>
  <conditionalFormatting sqref="Q148:Q154">
    <cfRule type="cellIs" dxfId="7327" priority="831" operator="lessThan">
      <formula>0</formula>
    </cfRule>
  </conditionalFormatting>
  <conditionalFormatting sqref="R148:R154">
    <cfRule type="cellIs" dxfId="7326" priority="829" operator="lessThan">
      <formula>0.8</formula>
    </cfRule>
    <cfRule type="cellIs" dxfId="7325" priority="830" operator="greaterThan">
      <formula>1</formula>
    </cfRule>
  </conditionalFormatting>
  <conditionalFormatting sqref="R148:R154">
    <cfRule type="cellIs" dxfId="7324" priority="827" operator="greaterThan">
      <formula>1</formula>
    </cfRule>
    <cfRule type="cellIs" dxfId="7323" priority="828" operator="lessThan">
      <formula>0.8</formula>
    </cfRule>
  </conditionalFormatting>
  <conditionalFormatting sqref="R148:R154">
    <cfRule type="cellIs" dxfId="7322" priority="823" operator="lessThan">
      <formula>0.8</formula>
    </cfRule>
    <cfRule type="cellIs" dxfId="7321" priority="824" operator="greaterThan">
      <formula>1</formula>
    </cfRule>
  </conditionalFormatting>
  <conditionalFormatting sqref="R148:R154">
    <cfRule type="cellIs" dxfId="7320" priority="821" operator="greaterThan">
      <formula>1</formula>
    </cfRule>
    <cfRule type="cellIs" dxfId="7319" priority="822" operator="lessThan">
      <formula>0.8</formula>
    </cfRule>
  </conditionalFormatting>
  <conditionalFormatting sqref="P148:P154">
    <cfRule type="cellIs" dxfId="7318" priority="820" operator="greaterThan">
      <formula>0</formula>
    </cfRule>
  </conditionalFormatting>
  <conditionalFormatting sqref="Q148:Q154">
    <cfRule type="cellIs" dxfId="7317" priority="825" operator="lessThan">
      <formula>0</formula>
    </cfRule>
  </conditionalFormatting>
  <conditionalFormatting sqref="Q148:Q154">
    <cfRule type="cellIs" dxfId="7316" priority="819" operator="lessThan">
      <formula>0</formula>
    </cfRule>
  </conditionalFormatting>
  <conditionalFormatting sqref="R148:R154">
    <cfRule type="cellIs" dxfId="7315" priority="817" operator="lessThan">
      <formula>0.8</formula>
    </cfRule>
    <cfRule type="cellIs" dxfId="7314" priority="818" operator="greaterThan">
      <formula>1</formula>
    </cfRule>
  </conditionalFormatting>
  <conditionalFormatting sqref="R148:R154">
    <cfRule type="cellIs" dxfId="7313" priority="815" operator="greaterThan">
      <formula>1</formula>
    </cfRule>
    <cfRule type="cellIs" dxfId="7312" priority="816" operator="lessThan">
      <formula>0.8</formula>
    </cfRule>
  </conditionalFormatting>
  <conditionalFormatting sqref="P148:P154">
    <cfRule type="cellIs" dxfId="7311" priority="814" operator="greaterThan">
      <formula>0</formula>
    </cfRule>
  </conditionalFormatting>
  <conditionalFormatting sqref="P148:P154">
    <cfRule type="cellIs" dxfId="7310" priority="808" operator="greaterThan">
      <formula>0</formula>
    </cfRule>
  </conditionalFormatting>
  <conditionalFormatting sqref="Q148:Q154">
    <cfRule type="cellIs" dxfId="7309" priority="813" operator="lessThan">
      <formula>0</formula>
    </cfRule>
  </conditionalFormatting>
  <conditionalFormatting sqref="R148:R154">
    <cfRule type="cellIs" dxfId="7308" priority="811" operator="lessThan">
      <formula>0.8</formula>
    </cfRule>
    <cfRule type="cellIs" dxfId="7307" priority="812" operator="greaterThan">
      <formula>1</formula>
    </cfRule>
  </conditionalFormatting>
  <conditionalFormatting sqref="R148:R154">
    <cfRule type="cellIs" dxfId="7306" priority="809" operator="greaterThan">
      <formula>1</formula>
    </cfRule>
    <cfRule type="cellIs" dxfId="7305" priority="810" operator="lessThan">
      <formula>0.8</formula>
    </cfRule>
  </conditionalFormatting>
  <conditionalFormatting sqref="P148:P154">
    <cfRule type="cellIs" dxfId="7304" priority="802" operator="greaterThan">
      <formula>0</formula>
    </cfRule>
  </conditionalFormatting>
  <conditionalFormatting sqref="Q148:Q154">
    <cfRule type="cellIs" dxfId="7303" priority="807" operator="lessThan">
      <formula>0</formula>
    </cfRule>
  </conditionalFormatting>
  <conditionalFormatting sqref="R148:R154">
    <cfRule type="cellIs" dxfId="7302" priority="805" operator="lessThan">
      <formula>0.8</formula>
    </cfRule>
    <cfRule type="cellIs" dxfId="7301" priority="806" operator="greaterThan">
      <formula>1</formula>
    </cfRule>
  </conditionalFormatting>
  <conditionalFormatting sqref="R148:R154">
    <cfRule type="cellIs" dxfId="7300" priority="803" operator="greaterThan">
      <formula>1</formula>
    </cfRule>
    <cfRule type="cellIs" dxfId="7299" priority="804" operator="lessThan">
      <formula>0.8</formula>
    </cfRule>
  </conditionalFormatting>
  <conditionalFormatting sqref="R148:R154">
    <cfRule type="cellIs" dxfId="7298" priority="799" operator="lessThan">
      <formula>0.8</formula>
    </cfRule>
    <cfRule type="cellIs" dxfId="7297" priority="800" operator="greaterThan">
      <formula>1</formula>
    </cfRule>
  </conditionalFormatting>
  <conditionalFormatting sqref="R148:R154">
    <cfRule type="cellIs" dxfId="7296" priority="797" operator="greaterThan">
      <formula>1</formula>
    </cfRule>
    <cfRule type="cellIs" dxfId="7295" priority="798" operator="lessThan">
      <formula>0.8</formula>
    </cfRule>
  </conditionalFormatting>
  <conditionalFormatting sqref="P148:P154">
    <cfRule type="cellIs" dxfId="7294" priority="796" operator="greaterThan">
      <formula>0</formula>
    </cfRule>
  </conditionalFormatting>
  <conditionalFormatting sqref="Q148:Q154">
    <cfRule type="cellIs" dxfId="7293" priority="801" operator="lessThan">
      <formula>0</formula>
    </cfRule>
  </conditionalFormatting>
  <conditionalFormatting sqref="P148:P154">
    <cfRule type="cellIs" dxfId="7292" priority="790" operator="greaterThan">
      <formula>0</formula>
    </cfRule>
  </conditionalFormatting>
  <conditionalFormatting sqref="Q148:Q154">
    <cfRule type="cellIs" dxfId="7291" priority="795" operator="lessThan">
      <formula>0</formula>
    </cfRule>
  </conditionalFormatting>
  <conditionalFormatting sqref="R148:R154">
    <cfRule type="cellIs" dxfId="7290" priority="793" operator="lessThan">
      <formula>0.8</formula>
    </cfRule>
    <cfRule type="cellIs" dxfId="7289" priority="794" operator="greaterThan">
      <formula>1</formula>
    </cfRule>
  </conditionalFormatting>
  <conditionalFormatting sqref="R148:R154">
    <cfRule type="cellIs" dxfId="7288" priority="791" operator="greaterThan">
      <formula>1</formula>
    </cfRule>
    <cfRule type="cellIs" dxfId="7287" priority="792" operator="lessThan">
      <formula>0.8</formula>
    </cfRule>
  </conditionalFormatting>
  <conditionalFormatting sqref="R148:R154">
    <cfRule type="cellIs" dxfId="7286" priority="787" operator="lessThan">
      <formula>0.8</formula>
    </cfRule>
    <cfRule type="cellIs" dxfId="7285" priority="788" operator="greaterThan">
      <formula>1</formula>
    </cfRule>
  </conditionalFormatting>
  <conditionalFormatting sqref="R148:R154">
    <cfRule type="cellIs" dxfId="7284" priority="785" operator="greaterThan">
      <formula>1</formula>
    </cfRule>
    <cfRule type="cellIs" dxfId="7283" priority="786" operator="lessThan">
      <formula>0.8</formula>
    </cfRule>
  </conditionalFormatting>
  <conditionalFormatting sqref="P148:P154">
    <cfRule type="cellIs" dxfId="7282" priority="784" operator="greaterThan">
      <formula>0</formula>
    </cfRule>
  </conditionalFormatting>
  <conditionalFormatting sqref="Q148:Q154">
    <cfRule type="cellIs" dxfId="7281" priority="789" operator="lessThan">
      <formula>0</formula>
    </cfRule>
  </conditionalFormatting>
  <conditionalFormatting sqref="R148:R154">
    <cfRule type="cellIs" dxfId="7280" priority="781" operator="lessThan">
      <formula>0.8</formula>
    </cfRule>
    <cfRule type="cellIs" dxfId="7279" priority="782" operator="greaterThan">
      <formula>1</formula>
    </cfRule>
  </conditionalFormatting>
  <conditionalFormatting sqref="R148:R154">
    <cfRule type="cellIs" dxfId="7278" priority="779" operator="greaterThan">
      <formula>1</formula>
    </cfRule>
    <cfRule type="cellIs" dxfId="7277" priority="780" operator="lessThan">
      <formula>0.8</formula>
    </cfRule>
  </conditionalFormatting>
  <conditionalFormatting sqref="P148:P154">
    <cfRule type="cellIs" dxfId="7276" priority="778" operator="greaterThan">
      <formula>0</formula>
    </cfRule>
  </conditionalFormatting>
  <conditionalFormatting sqref="Q148:Q154">
    <cfRule type="cellIs" dxfId="7275" priority="783" operator="lessThan">
      <formula>0</formula>
    </cfRule>
  </conditionalFormatting>
  <conditionalFormatting sqref="Q148:Q154">
    <cfRule type="cellIs" dxfId="7274" priority="777" operator="lessThan">
      <formula>0</formula>
    </cfRule>
  </conditionalFormatting>
  <conditionalFormatting sqref="R148:R154">
    <cfRule type="cellIs" dxfId="7273" priority="775" operator="lessThan">
      <formula>0.8</formula>
    </cfRule>
    <cfRule type="cellIs" dxfId="7272" priority="776" operator="greaterThan">
      <formula>1</formula>
    </cfRule>
  </conditionalFormatting>
  <conditionalFormatting sqref="R148:R154">
    <cfRule type="cellIs" dxfId="7271" priority="773" operator="greaterThan">
      <formula>1</formula>
    </cfRule>
    <cfRule type="cellIs" dxfId="7270" priority="774" operator="lessThan">
      <formula>0.8</formula>
    </cfRule>
  </conditionalFormatting>
  <conditionalFormatting sqref="P148:P154">
    <cfRule type="cellIs" dxfId="7269" priority="772" operator="greaterThan">
      <formula>0</formula>
    </cfRule>
  </conditionalFormatting>
  <conditionalFormatting sqref="Q148:Q154">
    <cfRule type="cellIs" dxfId="7268" priority="766" operator="lessThan">
      <formula>0</formula>
    </cfRule>
  </conditionalFormatting>
  <conditionalFormatting sqref="R148:R154">
    <cfRule type="cellIs" dxfId="7267" priority="770" operator="lessThan">
      <formula>0.8</formula>
    </cfRule>
    <cfRule type="cellIs" dxfId="7266" priority="771" operator="greaterThan">
      <formula>1</formula>
    </cfRule>
  </conditionalFormatting>
  <conditionalFormatting sqref="R148:R154">
    <cfRule type="cellIs" dxfId="7265" priority="768" operator="greaterThan">
      <formula>1</formula>
    </cfRule>
    <cfRule type="cellIs" dxfId="7264" priority="769" operator="lessThan">
      <formula>0.8</formula>
    </cfRule>
  </conditionalFormatting>
  <conditionalFormatting sqref="P148:P154">
    <cfRule type="cellIs" dxfId="7263" priority="767" operator="greaterThan">
      <formula>0</formula>
    </cfRule>
  </conditionalFormatting>
  <conditionalFormatting sqref="Q148:Q154">
    <cfRule type="cellIs" dxfId="7262" priority="765" operator="lessThan">
      <formula>0</formula>
    </cfRule>
  </conditionalFormatting>
  <conditionalFormatting sqref="R148:R154">
    <cfRule type="cellIs" dxfId="7261" priority="763" operator="lessThan">
      <formula>0.8</formula>
    </cfRule>
    <cfRule type="cellIs" dxfId="7260" priority="764" operator="greaterThan">
      <formula>1</formula>
    </cfRule>
  </conditionalFormatting>
  <conditionalFormatting sqref="R148:R154">
    <cfRule type="cellIs" dxfId="7259" priority="761" operator="greaterThan">
      <formula>1</formula>
    </cfRule>
    <cfRule type="cellIs" dxfId="7258" priority="762" operator="lessThan">
      <formula>0.8</formula>
    </cfRule>
  </conditionalFormatting>
  <conditionalFormatting sqref="P148:P154">
    <cfRule type="cellIs" dxfId="7257" priority="760" operator="greaterThan">
      <formula>0</formula>
    </cfRule>
  </conditionalFormatting>
  <conditionalFormatting sqref="Q148:Q154">
    <cfRule type="cellIs" dxfId="7256" priority="759" operator="lessThan">
      <formula>0</formula>
    </cfRule>
  </conditionalFormatting>
  <conditionalFormatting sqref="R148:R154">
    <cfRule type="cellIs" dxfId="7255" priority="757" operator="lessThan">
      <formula>0.8</formula>
    </cfRule>
    <cfRule type="cellIs" dxfId="7254" priority="758" operator="greaterThan">
      <formula>1</formula>
    </cfRule>
  </conditionalFormatting>
  <conditionalFormatting sqref="R148:R154">
    <cfRule type="cellIs" dxfId="7253" priority="755" operator="greaterThan">
      <formula>1</formula>
    </cfRule>
    <cfRule type="cellIs" dxfId="7252" priority="756" operator="lessThan">
      <formula>0.8</formula>
    </cfRule>
  </conditionalFormatting>
  <conditionalFormatting sqref="P148:P154">
    <cfRule type="cellIs" dxfId="7251" priority="754" operator="greaterThan">
      <formula>0</formula>
    </cfRule>
  </conditionalFormatting>
  <conditionalFormatting sqref="Q148:Q154">
    <cfRule type="cellIs" dxfId="7250" priority="753" operator="lessThan">
      <formula>0</formula>
    </cfRule>
  </conditionalFormatting>
  <conditionalFormatting sqref="R148:R154">
    <cfRule type="cellIs" dxfId="7249" priority="751" operator="lessThan">
      <formula>0.8</formula>
    </cfRule>
    <cfRule type="cellIs" dxfId="7248" priority="752" operator="greaterThan">
      <formula>1</formula>
    </cfRule>
  </conditionalFormatting>
  <conditionalFormatting sqref="R148:R154">
    <cfRule type="cellIs" dxfId="7247" priority="749" operator="greaterThan">
      <formula>1</formula>
    </cfRule>
    <cfRule type="cellIs" dxfId="7246" priority="750" operator="lessThan">
      <formula>0.8</formula>
    </cfRule>
  </conditionalFormatting>
  <conditionalFormatting sqref="P148:P154">
    <cfRule type="cellIs" dxfId="7245" priority="748" operator="greaterThan">
      <formula>0</formula>
    </cfRule>
  </conditionalFormatting>
  <conditionalFormatting sqref="Q148:Q154">
    <cfRule type="cellIs" dxfId="7244" priority="747" operator="lessThan">
      <formula>0</formula>
    </cfRule>
  </conditionalFormatting>
  <conditionalFormatting sqref="R148:R154">
    <cfRule type="cellIs" dxfId="7243" priority="745" operator="lessThan">
      <formula>0.8</formula>
    </cfRule>
    <cfRule type="cellIs" dxfId="7242" priority="746" operator="greaterThan">
      <formula>1</formula>
    </cfRule>
  </conditionalFormatting>
  <conditionalFormatting sqref="R148:R154">
    <cfRule type="cellIs" dxfId="7241" priority="743" operator="greaterThan">
      <formula>1</formula>
    </cfRule>
    <cfRule type="cellIs" dxfId="7240" priority="744" operator="lessThan">
      <formula>0.8</formula>
    </cfRule>
  </conditionalFormatting>
  <conditionalFormatting sqref="P148:P154">
    <cfRule type="cellIs" dxfId="7239" priority="742" operator="greaterThan">
      <formula>0</formula>
    </cfRule>
  </conditionalFormatting>
  <conditionalFormatting sqref="Q148:Q154">
    <cfRule type="cellIs" dxfId="7238" priority="741" operator="lessThan">
      <formula>0</formula>
    </cfRule>
  </conditionalFormatting>
  <conditionalFormatting sqref="R148:R154">
    <cfRule type="cellIs" dxfId="7237" priority="739" operator="lessThan">
      <formula>0.8</formula>
    </cfRule>
    <cfRule type="cellIs" dxfId="7236" priority="740" operator="greaterThan">
      <formula>1</formula>
    </cfRule>
  </conditionalFormatting>
  <conditionalFormatting sqref="R148:R154">
    <cfRule type="cellIs" dxfId="7235" priority="737" operator="greaterThan">
      <formula>1</formula>
    </cfRule>
    <cfRule type="cellIs" dxfId="7234" priority="738" operator="lessThan">
      <formula>0.8</formula>
    </cfRule>
  </conditionalFormatting>
  <conditionalFormatting sqref="P148:P154">
    <cfRule type="cellIs" dxfId="7233" priority="736" operator="greaterThan">
      <formula>0</formula>
    </cfRule>
  </conditionalFormatting>
  <conditionalFormatting sqref="P148:P154">
    <cfRule type="cellIs" dxfId="7232" priority="730" operator="greaterThan">
      <formula>0</formula>
    </cfRule>
  </conditionalFormatting>
  <conditionalFormatting sqref="Q148:Q154">
    <cfRule type="cellIs" dxfId="7231" priority="735" operator="lessThan">
      <formula>0</formula>
    </cfRule>
  </conditionalFormatting>
  <conditionalFormatting sqref="R148:R154">
    <cfRule type="cellIs" dxfId="7230" priority="733" operator="lessThan">
      <formula>0.8</formula>
    </cfRule>
    <cfRule type="cellIs" dxfId="7229" priority="734" operator="greaterThan">
      <formula>1</formula>
    </cfRule>
  </conditionalFormatting>
  <conditionalFormatting sqref="R148:R154">
    <cfRule type="cellIs" dxfId="7228" priority="731" operator="greaterThan">
      <formula>1</formula>
    </cfRule>
    <cfRule type="cellIs" dxfId="7227" priority="732" operator="lessThan">
      <formula>0.8</formula>
    </cfRule>
  </conditionalFormatting>
  <conditionalFormatting sqref="P148:P154">
    <cfRule type="cellIs" dxfId="7226" priority="724" operator="greaterThan">
      <formula>0</formula>
    </cfRule>
  </conditionalFormatting>
  <conditionalFormatting sqref="Q148:Q154">
    <cfRule type="cellIs" dxfId="7225" priority="729" operator="lessThan">
      <formula>0</formula>
    </cfRule>
  </conditionalFormatting>
  <conditionalFormatting sqref="R148:R154">
    <cfRule type="cellIs" dxfId="7224" priority="727" operator="lessThan">
      <formula>0.8</formula>
    </cfRule>
    <cfRule type="cellIs" dxfId="7223" priority="728" operator="greaterThan">
      <formula>1</formula>
    </cfRule>
  </conditionalFormatting>
  <conditionalFormatting sqref="R148:R154">
    <cfRule type="cellIs" dxfId="7222" priority="725" operator="greaterThan">
      <formula>1</formula>
    </cfRule>
    <cfRule type="cellIs" dxfId="7221" priority="726" operator="lessThan">
      <formula>0.8</formula>
    </cfRule>
  </conditionalFormatting>
  <conditionalFormatting sqref="R148:R154">
    <cfRule type="cellIs" dxfId="7220" priority="721" operator="lessThan">
      <formula>0.8</formula>
    </cfRule>
    <cfRule type="cellIs" dxfId="7219" priority="722" operator="greaterThan">
      <formula>1</formula>
    </cfRule>
  </conditionalFormatting>
  <conditionalFormatting sqref="R148:R154">
    <cfRule type="cellIs" dxfId="7218" priority="719" operator="greaterThan">
      <formula>1</formula>
    </cfRule>
    <cfRule type="cellIs" dxfId="7217" priority="720" operator="lessThan">
      <formula>0.8</formula>
    </cfRule>
  </conditionalFormatting>
  <conditionalFormatting sqref="P148:P154">
    <cfRule type="cellIs" dxfId="7216" priority="718" operator="greaterThan">
      <formula>0</formula>
    </cfRule>
  </conditionalFormatting>
  <conditionalFormatting sqref="Q148:Q154">
    <cfRule type="cellIs" dxfId="7215" priority="723" operator="lessThan">
      <formula>0</formula>
    </cfRule>
  </conditionalFormatting>
  <conditionalFormatting sqref="P44:P51">
    <cfRule type="cellIs" dxfId="7214" priority="712" operator="greaterThan">
      <formula>0</formula>
    </cfRule>
  </conditionalFormatting>
  <conditionalFormatting sqref="Q44:Q51">
    <cfRule type="cellIs" dxfId="7213" priority="717" operator="lessThan">
      <formula>0</formula>
    </cfRule>
  </conditionalFormatting>
  <conditionalFormatting sqref="R44:R51">
    <cfRule type="cellIs" dxfId="7212" priority="715" operator="lessThan">
      <formula>0.8</formula>
    </cfRule>
    <cfRule type="cellIs" dxfId="7211" priority="716" operator="greaterThan">
      <formula>1</formula>
    </cfRule>
  </conditionalFormatting>
  <conditionalFormatting sqref="R44:R51">
    <cfRule type="cellIs" dxfId="7210" priority="713" operator="greaterThan">
      <formula>1</formula>
    </cfRule>
    <cfRule type="cellIs" dxfId="7209" priority="714" operator="lessThan">
      <formula>0.8</formula>
    </cfRule>
  </conditionalFormatting>
  <conditionalFormatting sqref="Q84:Q91">
    <cfRule type="cellIs" dxfId="7208" priority="711" operator="lessThan">
      <formula>0</formula>
    </cfRule>
  </conditionalFormatting>
  <conditionalFormatting sqref="R84:R91">
    <cfRule type="cellIs" dxfId="7207" priority="709" operator="lessThan">
      <formula>0.8</formula>
    </cfRule>
    <cfRule type="cellIs" dxfId="7206" priority="710" operator="greaterThan">
      <formula>1</formula>
    </cfRule>
  </conditionalFormatting>
  <conditionalFormatting sqref="R84:R91">
    <cfRule type="cellIs" dxfId="7205" priority="707" operator="greaterThan">
      <formula>1</formula>
    </cfRule>
    <cfRule type="cellIs" dxfId="7204" priority="708" operator="lessThan">
      <formula>0.8</formula>
    </cfRule>
  </conditionalFormatting>
  <conditionalFormatting sqref="P84:P91">
    <cfRule type="cellIs" dxfId="7203" priority="706" operator="greaterThan">
      <formula>0</formula>
    </cfRule>
  </conditionalFormatting>
  <conditionalFormatting sqref="Q84:Q91">
    <cfRule type="cellIs" dxfId="7202" priority="705" operator="lessThan">
      <formula>0</formula>
    </cfRule>
  </conditionalFormatting>
  <conditionalFormatting sqref="R84:R91">
    <cfRule type="cellIs" dxfId="7201" priority="703" operator="lessThan">
      <formula>0.8</formula>
    </cfRule>
    <cfRule type="cellIs" dxfId="7200" priority="704" operator="greaterThan">
      <formula>1</formula>
    </cfRule>
  </conditionalFormatting>
  <conditionalFormatting sqref="R84:R91">
    <cfRule type="cellIs" dxfId="7199" priority="701" operator="greaterThan">
      <formula>1</formula>
    </cfRule>
    <cfRule type="cellIs" dxfId="7198" priority="702" operator="lessThan">
      <formula>0.8</formula>
    </cfRule>
  </conditionalFormatting>
  <conditionalFormatting sqref="P84:P91">
    <cfRule type="cellIs" dxfId="7197" priority="700" operator="greaterThan">
      <formula>0</formula>
    </cfRule>
  </conditionalFormatting>
  <conditionalFormatting sqref="Q84:Q91">
    <cfRule type="cellIs" dxfId="7196" priority="699" operator="lessThan">
      <formula>0</formula>
    </cfRule>
  </conditionalFormatting>
  <conditionalFormatting sqref="R84:R91">
    <cfRule type="cellIs" dxfId="7195" priority="697" operator="lessThan">
      <formula>0.8</formula>
    </cfRule>
    <cfRule type="cellIs" dxfId="7194" priority="698" operator="greaterThan">
      <formula>1</formula>
    </cfRule>
  </conditionalFormatting>
  <conditionalFormatting sqref="R84:R91">
    <cfRule type="cellIs" dxfId="7193" priority="695" operator="greaterThan">
      <formula>1</formula>
    </cfRule>
    <cfRule type="cellIs" dxfId="7192" priority="696" operator="lessThan">
      <formula>0.8</formula>
    </cfRule>
  </conditionalFormatting>
  <conditionalFormatting sqref="P84:P91">
    <cfRule type="cellIs" dxfId="7191" priority="694" operator="greaterThan">
      <formula>0</formula>
    </cfRule>
  </conditionalFormatting>
  <conditionalFormatting sqref="Q84:Q91">
    <cfRule type="cellIs" dxfId="7190" priority="693" operator="lessThan">
      <formula>0</formula>
    </cfRule>
  </conditionalFormatting>
  <conditionalFormatting sqref="R84:R91">
    <cfRule type="cellIs" dxfId="7189" priority="691" operator="lessThan">
      <formula>0.8</formula>
    </cfRule>
    <cfRule type="cellIs" dxfId="7188" priority="692" operator="greaterThan">
      <formula>1</formula>
    </cfRule>
  </conditionalFormatting>
  <conditionalFormatting sqref="R84:R91">
    <cfRule type="cellIs" dxfId="7187" priority="689" operator="greaterThan">
      <formula>1</formula>
    </cfRule>
    <cfRule type="cellIs" dxfId="7186" priority="690" operator="lessThan">
      <formula>0.8</formula>
    </cfRule>
  </conditionalFormatting>
  <conditionalFormatting sqref="P84:P91">
    <cfRule type="cellIs" dxfId="7185" priority="688" operator="greaterThan">
      <formula>0</formula>
    </cfRule>
  </conditionalFormatting>
  <conditionalFormatting sqref="P84:P91">
    <cfRule type="cellIs" dxfId="7184" priority="682" operator="greaterThan">
      <formula>0</formula>
    </cfRule>
  </conditionalFormatting>
  <conditionalFormatting sqref="Q84:Q91">
    <cfRule type="cellIs" dxfId="7183" priority="687" operator="lessThan">
      <formula>0</formula>
    </cfRule>
  </conditionalFormatting>
  <conditionalFormatting sqref="R84:R91">
    <cfRule type="cellIs" dxfId="7182" priority="685" operator="lessThan">
      <formula>0.8</formula>
    </cfRule>
    <cfRule type="cellIs" dxfId="7181" priority="686" operator="greaterThan">
      <formula>1</formula>
    </cfRule>
  </conditionalFormatting>
  <conditionalFormatting sqref="R84:R91">
    <cfRule type="cellIs" dxfId="7180" priority="683" operator="greaterThan">
      <formula>1</formula>
    </cfRule>
    <cfRule type="cellIs" dxfId="7179" priority="684" operator="lessThan">
      <formula>0.8</formula>
    </cfRule>
  </conditionalFormatting>
  <conditionalFormatting sqref="P84:P91">
    <cfRule type="cellIs" dxfId="7178" priority="676" operator="greaterThan">
      <formula>0</formula>
    </cfRule>
  </conditionalFormatting>
  <conditionalFormatting sqref="Q84:Q91">
    <cfRule type="cellIs" dxfId="7177" priority="681" operator="lessThan">
      <formula>0</formula>
    </cfRule>
  </conditionalFormatting>
  <conditionalFormatting sqref="R84:R91">
    <cfRule type="cellIs" dxfId="7176" priority="679" operator="lessThan">
      <formula>0.8</formula>
    </cfRule>
    <cfRule type="cellIs" dxfId="7175" priority="680" operator="greaterThan">
      <formula>1</formula>
    </cfRule>
  </conditionalFormatting>
  <conditionalFormatting sqref="R84:R91">
    <cfRule type="cellIs" dxfId="7174" priority="677" operator="greaterThan">
      <formula>1</formula>
    </cfRule>
    <cfRule type="cellIs" dxfId="7173" priority="678" operator="lessThan">
      <formula>0.8</formula>
    </cfRule>
  </conditionalFormatting>
  <conditionalFormatting sqref="R84:R91">
    <cfRule type="cellIs" dxfId="7172" priority="673" operator="lessThan">
      <formula>0.8</formula>
    </cfRule>
    <cfRule type="cellIs" dxfId="7171" priority="674" operator="greaterThan">
      <formula>1</formula>
    </cfRule>
  </conditionalFormatting>
  <conditionalFormatting sqref="R84:R91">
    <cfRule type="cellIs" dxfId="7170" priority="671" operator="greaterThan">
      <formula>1</formula>
    </cfRule>
    <cfRule type="cellIs" dxfId="7169" priority="672" operator="lessThan">
      <formula>0.8</formula>
    </cfRule>
  </conditionalFormatting>
  <conditionalFormatting sqref="P84:P91">
    <cfRule type="cellIs" dxfId="7168" priority="670" operator="greaterThan">
      <formula>0</formula>
    </cfRule>
  </conditionalFormatting>
  <conditionalFormatting sqref="Q84:Q91">
    <cfRule type="cellIs" dxfId="7167" priority="675" operator="lessThan">
      <formula>0</formula>
    </cfRule>
  </conditionalFormatting>
  <conditionalFormatting sqref="Q84:Q91">
    <cfRule type="cellIs" dxfId="7166" priority="669" operator="lessThan">
      <formula>0</formula>
    </cfRule>
  </conditionalFormatting>
  <conditionalFormatting sqref="R84:R91">
    <cfRule type="cellIs" dxfId="7165" priority="667" operator="lessThan">
      <formula>0.8</formula>
    </cfRule>
    <cfRule type="cellIs" dxfId="7164" priority="668" operator="greaterThan">
      <formula>1</formula>
    </cfRule>
  </conditionalFormatting>
  <conditionalFormatting sqref="R84:R91">
    <cfRule type="cellIs" dxfId="7163" priority="665" operator="greaterThan">
      <formula>1</formula>
    </cfRule>
    <cfRule type="cellIs" dxfId="7162" priority="666" operator="lessThan">
      <formula>0.8</formula>
    </cfRule>
  </conditionalFormatting>
  <conditionalFormatting sqref="P84:P91">
    <cfRule type="cellIs" dxfId="7161" priority="664" operator="greaterThan">
      <formula>0</formula>
    </cfRule>
  </conditionalFormatting>
  <conditionalFormatting sqref="P84:P91">
    <cfRule type="cellIs" dxfId="7160" priority="658" operator="greaterThan">
      <formula>0</formula>
    </cfRule>
  </conditionalFormatting>
  <conditionalFormatting sqref="Q84:Q91">
    <cfRule type="cellIs" dxfId="7159" priority="663" operator="lessThan">
      <formula>0</formula>
    </cfRule>
  </conditionalFormatting>
  <conditionalFormatting sqref="R84:R91">
    <cfRule type="cellIs" dxfId="7158" priority="661" operator="lessThan">
      <formula>0.8</formula>
    </cfRule>
    <cfRule type="cellIs" dxfId="7157" priority="662" operator="greaterThan">
      <formula>1</formula>
    </cfRule>
  </conditionalFormatting>
  <conditionalFormatting sqref="R84:R91">
    <cfRule type="cellIs" dxfId="7156" priority="659" operator="greaterThan">
      <formula>1</formula>
    </cfRule>
    <cfRule type="cellIs" dxfId="7155" priority="660" operator="lessThan">
      <formula>0.8</formula>
    </cfRule>
  </conditionalFormatting>
  <conditionalFormatting sqref="P84:P91">
    <cfRule type="cellIs" dxfId="7154" priority="652" operator="greaterThan">
      <formula>0</formula>
    </cfRule>
  </conditionalFormatting>
  <conditionalFormatting sqref="Q84:Q91">
    <cfRule type="cellIs" dxfId="7153" priority="657" operator="lessThan">
      <formula>0</formula>
    </cfRule>
  </conditionalFormatting>
  <conditionalFormatting sqref="R84:R91">
    <cfRule type="cellIs" dxfId="7152" priority="655" operator="lessThan">
      <formula>0.8</formula>
    </cfRule>
    <cfRule type="cellIs" dxfId="7151" priority="656" operator="greaterThan">
      <formula>1</formula>
    </cfRule>
  </conditionalFormatting>
  <conditionalFormatting sqref="R84:R91">
    <cfRule type="cellIs" dxfId="7150" priority="653" operator="greaterThan">
      <formula>1</formula>
    </cfRule>
    <cfRule type="cellIs" dxfId="7149" priority="654" operator="lessThan">
      <formula>0.8</formula>
    </cfRule>
  </conditionalFormatting>
  <conditionalFormatting sqref="R84:R91">
    <cfRule type="cellIs" dxfId="7148" priority="649" operator="lessThan">
      <formula>0.8</formula>
    </cfRule>
    <cfRule type="cellIs" dxfId="7147" priority="650" operator="greaterThan">
      <formula>1</formula>
    </cfRule>
  </conditionalFormatting>
  <conditionalFormatting sqref="R84:R91">
    <cfRule type="cellIs" dxfId="7146" priority="647" operator="greaterThan">
      <formula>1</formula>
    </cfRule>
    <cfRule type="cellIs" dxfId="7145" priority="648" operator="lessThan">
      <formula>0.8</formula>
    </cfRule>
  </conditionalFormatting>
  <conditionalFormatting sqref="P84:P91">
    <cfRule type="cellIs" dxfId="7144" priority="646" operator="greaterThan">
      <formula>0</formula>
    </cfRule>
  </conditionalFormatting>
  <conditionalFormatting sqref="Q84:Q91">
    <cfRule type="cellIs" dxfId="7143" priority="651" operator="lessThan">
      <formula>0</formula>
    </cfRule>
  </conditionalFormatting>
  <conditionalFormatting sqref="P84:P91">
    <cfRule type="cellIs" dxfId="7142" priority="640" operator="greaterThan">
      <formula>0</formula>
    </cfRule>
  </conditionalFormatting>
  <conditionalFormatting sqref="Q84:Q91">
    <cfRule type="cellIs" dxfId="7141" priority="645" operator="lessThan">
      <formula>0</formula>
    </cfRule>
  </conditionalFormatting>
  <conditionalFormatting sqref="R84:R91">
    <cfRule type="cellIs" dxfId="7140" priority="643" operator="lessThan">
      <formula>0.8</formula>
    </cfRule>
    <cfRule type="cellIs" dxfId="7139" priority="644" operator="greaterThan">
      <formula>1</formula>
    </cfRule>
  </conditionalFormatting>
  <conditionalFormatting sqref="R84:R91">
    <cfRule type="cellIs" dxfId="7138" priority="641" operator="greaterThan">
      <formula>1</formula>
    </cfRule>
    <cfRule type="cellIs" dxfId="7137" priority="642" operator="lessThan">
      <formula>0.8</formula>
    </cfRule>
  </conditionalFormatting>
  <conditionalFormatting sqref="R84:R91">
    <cfRule type="cellIs" dxfId="7136" priority="637" operator="lessThan">
      <formula>0.8</formula>
    </cfRule>
    <cfRule type="cellIs" dxfId="7135" priority="638" operator="greaterThan">
      <formula>1</formula>
    </cfRule>
  </conditionalFormatting>
  <conditionalFormatting sqref="R84:R91">
    <cfRule type="cellIs" dxfId="7134" priority="635" operator="greaterThan">
      <formula>1</formula>
    </cfRule>
    <cfRule type="cellIs" dxfId="7133" priority="636" operator="lessThan">
      <formula>0.8</formula>
    </cfRule>
  </conditionalFormatting>
  <conditionalFormatting sqref="P84:P91">
    <cfRule type="cellIs" dxfId="7132" priority="634" operator="greaterThan">
      <formula>0</formula>
    </cfRule>
  </conditionalFormatting>
  <conditionalFormatting sqref="Q84:Q91">
    <cfRule type="cellIs" dxfId="7131" priority="639" operator="lessThan">
      <formula>0</formula>
    </cfRule>
  </conditionalFormatting>
  <conditionalFormatting sqref="R84:R91">
    <cfRule type="cellIs" dxfId="7130" priority="631" operator="lessThan">
      <formula>0.8</formula>
    </cfRule>
    <cfRule type="cellIs" dxfId="7129" priority="632" operator="greaterThan">
      <formula>1</formula>
    </cfRule>
  </conditionalFormatting>
  <conditionalFormatting sqref="R84:R91">
    <cfRule type="cellIs" dxfId="7128" priority="629" operator="greaterThan">
      <formula>1</formula>
    </cfRule>
    <cfRule type="cellIs" dxfId="7127" priority="630" operator="lessThan">
      <formula>0.8</formula>
    </cfRule>
  </conditionalFormatting>
  <conditionalFormatting sqref="P84:P91">
    <cfRule type="cellIs" dxfId="7126" priority="628" operator="greaterThan">
      <formula>0</formula>
    </cfRule>
  </conditionalFormatting>
  <conditionalFormatting sqref="Q84:Q91">
    <cfRule type="cellIs" dxfId="7125" priority="633" operator="lessThan">
      <formula>0</formula>
    </cfRule>
  </conditionalFormatting>
  <conditionalFormatting sqref="Q84:Q91">
    <cfRule type="cellIs" dxfId="7124" priority="627" operator="lessThan">
      <formula>0</formula>
    </cfRule>
  </conditionalFormatting>
  <conditionalFormatting sqref="R84:R91">
    <cfRule type="cellIs" dxfId="7123" priority="625" operator="lessThan">
      <formula>0.8</formula>
    </cfRule>
    <cfRule type="cellIs" dxfId="7122" priority="626" operator="greaterThan">
      <formula>1</formula>
    </cfRule>
  </conditionalFormatting>
  <conditionalFormatting sqref="R84:R91">
    <cfRule type="cellIs" dxfId="7121" priority="623" operator="greaterThan">
      <formula>1</formula>
    </cfRule>
    <cfRule type="cellIs" dxfId="7120" priority="624" operator="lessThan">
      <formula>0.8</formula>
    </cfRule>
  </conditionalFormatting>
  <conditionalFormatting sqref="P84:P91">
    <cfRule type="cellIs" dxfId="7119" priority="622" operator="greaterThan">
      <formula>0</formula>
    </cfRule>
  </conditionalFormatting>
  <conditionalFormatting sqref="Q84:Q91">
    <cfRule type="cellIs" dxfId="7118" priority="616" operator="lessThan">
      <formula>0</formula>
    </cfRule>
  </conditionalFormatting>
  <conditionalFormatting sqref="R84:R91">
    <cfRule type="cellIs" dxfId="7117" priority="620" operator="lessThan">
      <formula>0.8</formula>
    </cfRule>
    <cfRule type="cellIs" dxfId="7116" priority="621" operator="greaterThan">
      <formula>1</formula>
    </cfRule>
  </conditionalFormatting>
  <conditionalFormatting sqref="R84:R91">
    <cfRule type="cellIs" dxfId="7115" priority="618" operator="greaterThan">
      <formula>1</formula>
    </cfRule>
    <cfRule type="cellIs" dxfId="7114" priority="619" operator="lessThan">
      <formula>0.8</formula>
    </cfRule>
  </conditionalFormatting>
  <conditionalFormatting sqref="P84:P91">
    <cfRule type="cellIs" dxfId="7113" priority="617" operator="greaterThan">
      <formula>0</formula>
    </cfRule>
  </conditionalFormatting>
  <conditionalFormatting sqref="Q84:Q91">
    <cfRule type="cellIs" dxfId="7112" priority="615" operator="lessThan">
      <formula>0</formula>
    </cfRule>
  </conditionalFormatting>
  <conditionalFormatting sqref="R84:R91">
    <cfRule type="cellIs" dxfId="7111" priority="613" operator="lessThan">
      <formula>0.8</formula>
    </cfRule>
    <cfRule type="cellIs" dxfId="7110" priority="614" operator="greaterThan">
      <formula>1</formula>
    </cfRule>
  </conditionalFormatting>
  <conditionalFormatting sqref="R84:R91">
    <cfRule type="cellIs" dxfId="7109" priority="611" operator="greaterThan">
      <formula>1</formula>
    </cfRule>
    <cfRule type="cellIs" dxfId="7108" priority="612" operator="lessThan">
      <formula>0.8</formula>
    </cfRule>
  </conditionalFormatting>
  <conditionalFormatting sqref="P84:P91">
    <cfRule type="cellIs" dxfId="7107" priority="610" operator="greaterThan">
      <formula>0</formula>
    </cfRule>
  </conditionalFormatting>
  <conditionalFormatting sqref="Q84:Q91">
    <cfRule type="cellIs" dxfId="7106" priority="609" operator="lessThan">
      <formula>0</formula>
    </cfRule>
  </conditionalFormatting>
  <conditionalFormatting sqref="R84:R91">
    <cfRule type="cellIs" dxfId="7105" priority="607" operator="lessThan">
      <formula>0.8</formula>
    </cfRule>
    <cfRule type="cellIs" dxfId="7104" priority="608" operator="greaterThan">
      <formula>1</formula>
    </cfRule>
  </conditionalFormatting>
  <conditionalFormatting sqref="R84:R91">
    <cfRule type="cellIs" dxfId="7103" priority="605" operator="greaterThan">
      <formula>1</formula>
    </cfRule>
    <cfRule type="cellIs" dxfId="7102" priority="606" operator="lessThan">
      <formula>0.8</formula>
    </cfRule>
  </conditionalFormatting>
  <conditionalFormatting sqref="P84:P91">
    <cfRule type="cellIs" dxfId="7101" priority="604" operator="greaterThan">
      <formula>0</formula>
    </cfRule>
  </conditionalFormatting>
  <conditionalFormatting sqref="Q84:Q91">
    <cfRule type="cellIs" dxfId="7100" priority="603" operator="lessThan">
      <formula>0</formula>
    </cfRule>
  </conditionalFormatting>
  <conditionalFormatting sqref="R84:R91">
    <cfRule type="cellIs" dxfId="7099" priority="601" operator="lessThan">
      <formula>0.8</formula>
    </cfRule>
    <cfRule type="cellIs" dxfId="7098" priority="602" operator="greaterThan">
      <formula>1</formula>
    </cfRule>
  </conditionalFormatting>
  <conditionalFormatting sqref="R84:R91">
    <cfRule type="cellIs" dxfId="7097" priority="599" operator="greaterThan">
      <formula>1</formula>
    </cfRule>
    <cfRule type="cellIs" dxfId="7096" priority="600" operator="lessThan">
      <formula>0.8</formula>
    </cfRule>
  </conditionalFormatting>
  <conditionalFormatting sqref="P84:P91">
    <cfRule type="cellIs" dxfId="7095" priority="598" operator="greaterThan">
      <formula>0</formula>
    </cfRule>
  </conditionalFormatting>
  <conditionalFormatting sqref="Q84:Q91">
    <cfRule type="cellIs" dxfId="7094" priority="597" operator="lessThan">
      <formula>0</formula>
    </cfRule>
  </conditionalFormatting>
  <conditionalFormatting sqref="R84:R91">
    <cfRule type="cellIs" dxfId="7093" priority="595" operator="lessThan">
      <formula>0.8</formula>
    </cfRule>
    <cfRule type="cellIs" dxfId="7092" priority="596" operator="greaterThan">
      <formula>1</formula>
    </cfRule>
  </conditionalFormatting>
  <conditionalFormatting sqref="R84:R91">
    <cfRule type="cellIs" dxfId="7091" priority="593" operator="greaterThan">
      <formula>1</formula>
    </cfRule>
    <cfRule type="cellIs" dxfId="7090" priority="594" operator="lessThan">
      <formula>0.8</formula>
    </cfRule>
  </conditionalFormatting>
  <conditionalFormatting sqref="P84:P91">
    <cfRule type="cellIs" dxfId="7089" priority="592" operator="greaterThan">
      <formula>0</formula>
    </cfRule>
  </conditionalFormatting>
  <conditionalFormatting sqref="Q84:Q91">
    <cfRule type="cellIs" dxfId="7088" priority="591" operator="lessThan">
      <formula>0</formula>
    </cfRule>
  </conditionalFormatting>
  <conditionalFormatting sqref="R84:R91">
    <cfRule type="cellIs" dxfId="7087" priority="589" operator="lessThan">
      <formula>0.8</formula>
    </cfRule>
    <cfRule type="cellIs" dxfId="7086" priority="590" operator="greaterThan">
      <formula>1</formula>
    </cfRule>
  </conditionalFormatting>
  <conditionalFormatting sqref="R84:R91">
    <cfRule type="cellIs" dxfId="7085" priority="587" operator="greaterThan">
      <formula>1</formula>
    </cfRule>
    <cfRule type="cellIs" dxfId="7084" priority="588" operator="lessThan">
      <formula>0.8</formula>
    </cfRule>
  </conditionalFormatting>
  <conditionalFormatting sqref="P84:P91">
    <cfRule type="cellIs" dxfId="7083" priority="586" operator="greaterThan">
      <formula>0</formula>
    </cfRule>
  </conditionalFormatting>
  <conditionalFormatting sqref="P84:P91">
    <cfRule type="cellIs" dxfId="7082" priority="580" operator="greaterThan">
      <formula>0</formula>
    </cfRule>
  </conditionalFormatting>
  <conditionalFormatting sqref="Q84:Q91">
    <cfRule type="cellIs" dxfId="7081" priority="585" operator="lessThan">
      <formula>0</formula>
    </cfRule>
  </conditionalFormatting>
  <conditionalFormatting sqref="R84:R91">
    <cfRule type="cellIs" dxfId="7080" priority="583" operator="lessThan">
      <formula>0.8</formula>
    </cfRule>
    <cfRule type="cellIs" dxfId="7079" priority="584" operator="greaterThan">
      <formula>1</formula>
    </cfRule>
  </conditionalFormatting>
  <conditionalFormatting sqref="R84:R91">
    <cfRule type="cellIs" dxfId="7078" priority="581" operator="greaterThan">
      <formula>1</formula>
    </cfRule>
    <cfRule type="cellIs" dxfId="7077" priority="582" operator="lessThan">
      <formula>0.8</formula>
    </cfRule>
  </conditionalFormatting>
  <conditionalFormatting sqref="P84:P91">
    <cfRule type="cellIs" dxfId="7076" priority="574" operator="greaterThan">
      <formula>0</formula>
    </cfRule>
  </conditionalFormatting>
  <conditionalFormatting sqref="Q84:Q91">
    <cfRule type="cellIs" dxfId="7075" priority="579" operator="lessThan">
      <formula>0</formula>
    </cfRule>
  </conditionalFormatting>
  <conditionalFormatting sqref="R84:R91">
    <cfRule type="cellIs" dxfId="7074" priority="577" operator="lessThan">
      <formula>0.8</formula>
    </cfRule>
    <cfRule type="cellIs" dxfId="7073" priority="578" operator="greaterThan">
      <formula>1</formula>
    </cfRule>
  </conditionalFormatting>
  <conditionalFormatting sqref="R84:R91">
    <cfRule type="cellIs" dxfId="7072" priority="575" operator="greaterThan">
      <formula>1</formula>
    </cfRule>
    <cfRule type="cellIs" dxfId="7071" priority="576" operator="lessThan">
      <formula>0.8</formula>
    </cfRule>
  </conditionalFormatting>
  <conditionalFormatting sqref="R84:R91">
    <cfRule type="cellIs" dxfId="7070" priority="571" operator="lessThan">
      <formula>0.8</formula>
    </cfRule>
    <cfRule type="cellIs" dxfId="7069" priority="572" operator="greaterThan">
      <formula>1</formula>
    </cfRule>
  </conditionalFormatting>
  <conditionalFormatting sqref="R84:R91">
    <cfRule type="cellIs" dxfId="7068" priority="569" operator="greaterThan">
      <formula>1</formula>
    </cfRule>
    <cfRule type="cellIs" dxfId="7067" priority="570" operator="lessThan">
      <formula>0.8</formula>
    </cfRule>
  </conditionalFormatting>
  <conditionalFormatting sqref="P84:P91">
    <cfRule type="cellIs" dxfId="7066" priority="568" operator="greaterThan">
      <formula>0</formula>
    </cfRule>
  </conditionalFormatting>
  <conditionalFormatting sqref="Q84:Q91">
    <cfRule type="cellIs" dxfId="7065" priority="573" operator="lessThan">
      <formula>0</formula>
    </cfRule>
  </conditionalFormatting>
  <conditionalFormatting sqref="Q84:Q91">
    <cfRule type="cellIs" dxfId="7064" priority="567" operator="lessThan">
      <formula>0</formula>
    </cfRule>
  </conditionalFormatting>
  <conditionalFormatting sqref="R84:R91">
    <cfRule type="cellIs" dxfId="7063" priority="565" operator="lessThan">
      <formula>0.8</formula>
    </cfRule>
    <cfRule type="cellIs" dxfId="7062" priority="566" operator="greaterThan">
      <formula>1</formula>
    </cfRule>
  </conditionalFormatting>
  <conditionalFormatting sqref="R84:R91">
    <cfRule type="cellIs" dxfId="7061" priority="563" operator="greaterThan">
      <formula>1</formula>
    </cfRule>
    <cfRule type="cellIs" dxfId="7060" priority="564" operator="lessThan">
      <formula>0.8</formula>
    </cfRule>
  </conditionalFormatting>
  <conditionalFormatting sqref="P84:P91">
    <cfRule type="cellIs" dxfId="7059" priority="562" operator="greaterThan">
      <formula>0</formula>
    </cfRule>
  </conditionalFormatting>
  <conditionalFormatting sqref="Q84:Q91">
    <cfRule type="cellIs" dxfId="7058" priority="561" operator="lessThan">
      <formula>0</formula>
    </cfRule>
  </conditionalFormatting>
  <conditionalFormatting sqref="R84:R91">
    <cfRule type="cellIs" dxfId="7057" priority="559" operator="lessThan">
      <formula>0.8</formula>
    </cfRule>
    <cfRule type="cellIs" dxfId="7056" priority="560" operator="greaterThan">
      <formula>1</formula>
    </cfRule>
  </conditionalFormatting>
  <conditionalFormatting sqref="R84:R91">
    <cfRule type="cellIs" dxfId="7055" priority="557" operator="greaterThan">
      <formula>1</formula>
    </cfRule>
    <cfRule type="cellIs" dxfId="7054" priority="558" operator="lessThan">
      <formula>0.8</formula>
    </cfRule>
  </conditionalFormatting>
  <conditionalFormatting sqref="P84:P91">
    <cfRule type="cellIs" dxfId="7053" priority="556" operator="greaterThan">
      <formula>0</formula>
    </cfRule>
  </conditionalFormatting>
  <conditionalFormatting sqref="Q84:Q91">
    <cfRule type="cellIs" dxfId="7052" priority="555" operator="lessThan">
      <formula>0</formula>
    </cfRule>
  </conditionalFormatting>
  <conditionalFormatting sqref="R84:R91">
    <cfRule type="cellIs" dxfId="7051" priority="553" operator="lessThan">
      <formula>0.8</formula>
    </cfRule>
    <cfRule type="cellIs" dxfId="7050" priority="554" operator="greaterThan">
      <formula>1</formula>
    </cfRule>
  </conditionalFormatting>
  <conditionalFormatting sqref="R84:R91">
    <cfRule type="cellIs" dxfId="7049" priority="551" operator="greaterThan">
      <formula>1</formula>
    </cfRule>
    <cfRule type="cellIs" dxfId="7048" priority="552" operator="lessThan">
      <formula>0.8</formula>
    </cfRule>
  </conditionalFormatting>
  <conditionalFormatting sqref="P84:P91">
    <cfRule type="cellIs" dxfId="7047" priority="550" operator="greaterThan">
      <formula>0</formula>
    </cfRule>
  </conditionalFormatting>
  <conditionalFormatting sqref="Q84:Q91">
    <cfRule type="cellIs" dxfId="7046" priority="549" operator="lessThan">
      <formula>0</formula>
    </cfRule>
  </conditionalFormatting>
  <conditionalFormatting sqref="R84:R91">
    <cfRule type="cellIs" dxfId="7045" priority="547" operator="lessThan">
      <formula>0.8</formula>
    </cfRule>
    <cfRule type="cellIs" dxfId="7044" priority="548" operator="greaterThan">
      <formula>1</formula>
    </cfRule>
  </conditionalFormatting>
  <conditionalFormatting sqref="R84:R91">
    <cfRule type="cellIs" dxfId="7043" priority="545" operator="greaterThan">
      <formula>1</formula>
    </cfRule>
    <cfRule type="cellIs" dxfId="7042" priority="546" operator="lessThan">
      <formula>0.8</formula>
    </cfRule>
  </conditionalFormatting>
  <conditionalFormatting sqref="P84:P91">
    <cfRule type="cellIs" dxfId="7041" priority="544" operator="greaterThan">
      <formula>0</formula>
    </cfRule>
  </conditionalFormatting>
  <conditionalFormatting sqref="P84:P91">
    <cfRule type="cellIs" dxfId="7040" priority="538" operator="greaterThan">
      <formula>0</formula>
    </cfRule>
  </conditionalFormatting>
  <conditionalFormatting sqref="Q84:Q91">
    <cfRule type="cellIs" dxfId="7039" priority="543" operator="lessThan">
      <formula>0</formula>
    </cfRule>
  </conditionalFormatting>
  <conditionalFormatting sqref="R84:R91">
    <cfRule type="cellIs" dxfId="7038" priority="541" operator="lessThan">
      <formula>0.8</formula>
    </cfRule>
    <cfRule type="cellIs" dxfId="7037" priority="542" operator="greaterThan">
      <formula>1</formula>
    </cfRule>
  </conditionalFormatting>
  <conditionalFormatting sqref="R84:R91">
    <cfRule type="cellIs" dxfId="7036" priority="539" operator="greaterThan">
      <formula>1</formula>
    </cfRule>
    <cfRule type="cellIs" dxfId="7035" priority="540" operator="lessThan">
      <formula>0.8</formula>
    </cfRule>
  </conditionalFormatting>
  <conditionalFormatting sqref="P84:P91">
    <cfRule type="cellIs" dxfId="7034" priority="532" operator="greaterThan">
      <formula>0</formula>
    </cfRule>
  </conditionalFormatting>
  <conditionalFormatting sqref="Q84:Q91">
    <cfRule type="cellIs" dxfId="7033" priority="537" operator="lessThan">
      <formula>0</formula>
    </cfRule>
  </conditionalFormatting>
  <conditionalFormatting sqref="R84:R91">
    <cfRule type="cellIs" dxfId="7032" priority="535" operator="lessThan">
      <formula>0.8</formula>
    </cfRule>
    <cfRule type="cellIs" dxfId="7031" priority="536" operator="greaterThan">
      <formula>1</formula>
    </cfRule>
  </conditionalFormatting>
  <conditionalFormatting sqref="R84:R91">
    <cfRule type="cellIs" dxfId="7030" priority="533" operator="greaterThan">
      <formula>1</formula>
    </cfRule>
    <cfRule type="cellIs" dxfId="7029" priority="534" operator="lessThan">
      <formula>0.8</formula>
    </cfRule>
  </conditionalFormatting>
  <conditionalFormatting sqref="R84:R91">
    <cfRule type="cellIs" dxfId="7028" priority="529" operator="lessThan">
      <formula>0.8</formula>
    </cfRule>
    <cfRule type="cellIs" dxfId="7027" priority="530" operator="greaterThan">
      <formula>1</formula>
    </cfRule>
  </conditionalFormatting>
  <conditionalFormatting sqref="R84:R91">
    <cfRule type="cellIs" dxfId="7026" priority="527" operator="greaterThan">
      <formula>1</formula>
    </cfRule>
    <cfRule type="cellIs" dxfId="7025" priority="528" operator="lessThan">
      <formula>0.8</formula>
    </cfRule>
  </conditionalFormatting>
  <conditionalFormatting sqref="P84:P91">
    <cfRule type="cellIs" dxfId="7024" priority="526" operator="greaterThan">
      <formula>0</formula>
    </cfRule>
  </conditionalFormatting>
  <conditionalFormatting sqref="Q84:Q91">
    <cfRule type="cellIs" dxfId="7023" priority="531" operator="lessThan">
      <formula>0</formula>
    </cfRule>
  </conditionalFormatting>
  <conditionalFormatting sqref="Q84:Q91">
    <cfRule type="cellIs" dxfId="7022" priority="525" operator="lessThan">
      <formula>0</formula>
    </cfRule>
  </conditionalFormatting>
  <conditionalFormatting sqref="R84:R91">
    <cfRule type="cellIs" dxfId="7021" priority="523" operator="lessThan">
      <formula>0.8</formula>
    </cfRule>
    <cfRule type="cellIs" dxfId="7020" priority="524" operator="greaterThan">
      <formula>1</formula>
    </cfRule>
  </conditionalFormatting>
  <conditionalFormatting sqref="R84:R91">
    <cfRule type="cellIs" dxfId="7019" priority="521" operator="greaterThan">
      <formula>1</formula>
    </cfRule>
    <cfRule type="cellIs" dxfId="7018" priority="522" operator="lessThan">
      <formula>0.8</formula>
    </cfRule>
  </conditionalFormatting>
  <conditionalFormatting sqref="P84:P91">
    <cfRule type="cellIs" dxfId="7017" priority="520" operator="greaterThan">
      <formula>0</formula>
    </cfRule>
  </conditionalFormatting>
  <conditionalFormatting sqref="P84:P91">
    <cfRule type="cellIs" dxfId="7016" priority="514" operator="greaterThan">
      <formula>0</formula>
    </cfRule>
  </conditionalFormatting>
  <conditionalFormatting sqref="Q84:Q91">
    <cfRule type="cellIs" dxfId="7015" priority="519" operator="lessThan">
      <formula>0</formula>
    </cfRule>
  </conditionalFormatting>
  <conditionalFormatting sqref="R84:R91">
    <cfRule type="cellIs" dxfId="7014" priority="517" operator="lessThan">
      <formula>0.8</formula>
    </cfRule>
    <cfRule type="cellIs" dxfId="7013" priority="518" operator="greaterThan">
      <formula>1</formula>
    </cfRule>
  </conditionalFormatting>
  <conditionalFormatting sqref="R84:R91">
    <cfRule type="cellIs" dxfId="7012" priority="515" operator="greaterThan">
      <formula>1</formula>
    </cfRule>
    <cfRule type="cellIs" dxfId="7011" priority="516" operator="lessThan">
      <formula>0.8</formula>
    </cfRule>
  </conditionalFormatting>
  <conditionalFormatting sqref="P84:P91">
    <cfRule type="cellIs" dxfId="7010" priority="508" operator="greaterThan">
      <formula>0</formula>
    </cfRule>
  </conditionalFormatting>
  <conditionalFormatting sqref="Q84:Q91">
    <cfRule type="cellIs" dxfId="7009" priority="513" operator="lessThan">
      <formula>0</formula>
    </cfRule>
  </conditionalFormatting>
  <conditionalFormatting sqref="R84:R91">
    <cfRule type="cellIs" dxfId="7008" priority="511" operator="lessThan">
      <formula>0.8</formula>
    </cfRule>
    <cfRule type="cellIs" dxfId="7007" priority="512" operator="greaterThan">
      <formula>1</formula>
    </cfRule>
  </conditionalFormatting>
  <conditionalFormatting sqref="R84:R91">
    <cfRule type="cellIs" dxfId="7006" priority="509" operator="greaterThan">
      <formula>1</formula>
    </cfRule>
    <cfRule type="cellIs" dxfId="7005" priority="510" operator="lessThan">
      <formula>0.8</formula>
    </cfRule>
  </conditionalFormatting>
  <conditionalFormatting sqref="R84:R91">
    <cfRule type="cellIs" dxfId="7004" priority="505" operator="lessThan">
      <formula>0.8</formula>
    </cfRule>
    <cfRule type="cellIs" dxfId="7003" priority="506" operator="greaterThan">
      <formula>1</formula>
    </cfRule>
  </conditionalFormatting>
  <conditionalFormatting sqref="R84:R91">
    <cfRule type="cellIs" dxfId="7002" priority="503" operator="greaterThan">
      <formula>1</formula>
    </cfRule>
    <cfRule type="cellIs" dxfId="7001" priority="504" operator="lessThan">
      <formula>0.8</formula>
    </cfRule>
  </conditionalFormatting>
  <conditionalFormatting sqref="P84:P91">
    <cfRule type="cellIs" dxfId="7000" priority="502" operator="greaterThan">
      <formula>0</formula>
    </cfRule>
  </conditionalFormatting>
  <conditionalFormatting sqref="Q84:Q91">
    <cfRule type="cellIs" dxfId="6999" priority="507" operator="lessThan">
      <formula>0</formula>
    </cfRule>
  </conditionalFormatting>
  <conditionalFormatting sqref="P84:P91">
    <cfRule type="cellIs" dxfId="6998" priority="496" operator="greaterThan">
      <formula>0</formula>
    </cfRule>
  </conditionalFormatting>
  <conditionalFormatting sqref="Q84:Q91">
    <cfRule type="cellIs" dxfId="6997" priority="501" operator="lessThan">
      <formula>0</formula>
    </cfRule>
  </conditionalFormatting>
  <conditionalFormatting sqref="R84:R91">
    <cfRule type="cellIs" dxfId="6996" priority="499" operator="lessThan">
      <formula>0.8</formula>
    </cfRule>
    <cfRule type="cellIs" dxfId="6995" priority="500" operator="greaterThan">
      <formula>1</formula>
    </cfRule>
  </conditionalFormatting>
  <conditionalFormatting sqref="R84:R91">
    <cfRule type="cellIs" dxfId="6994" priority="497" operator="greaterThan">
      <formula>1</formula>
    </cfRule>
    <cfRule type="cellIs" dxfId="6993" priority="498" operator="lessThan">
      <formula>0.8</formula>
    </cfRule>
  </conditionalFormatting>
  <conditionalFormatting sqref="R84:R91">
    <cfRule type="cellIs" dxfId="6992" priority="493" operator="lessThan">
      <formula>0.8</formula>
    </cfRule>
    <cfRule type="cellIs" dxfId="6991" priority="494" operator="greaterThan">
      <formula>1</formula>
    </cfRule>
  </conditionalFormatting>
  <conditionalFormatting sqref="R84:R91">
    <cfRule type="cellIs" dxfId="6990" priority="491" operator="greaterThan">
      <formula>1</formula>
    </cfRule>
    <cfRule type="cellIs" dxfId="6989" priority="492" operator="lessThan">
      <formula>0.8</formula>
    </cfRule>
  </conditionalFormatting>
  <conditionalFormatting sqref="P84:P91">
    <cfRule type="cellIs" dxfId="6988" priority="490" operator="greaterThan">
      <formula>0</formula>
    </cfRule>
  </conditionalFormatting>
  <conditionalFormatting sqref="Q84:Q91">
    <cfRule type="cellIs" dxfId="6987" priority="495" operator="lessThan">
      <formula>0</formula>
    </cfRule>
  </conditionalFormatting>
  <conditionalFormatting sqref="R84:R91">
    <cfRule type="cellIs" dxfId="6986" priority="487" operator="lessThan">
      <formula>0.8</formula>
    </cfRule>
    <cfRule type="cellIs" dxfId="6985" priority="488" operator="greaterThan">
      <formula>1</formula>
    </cfRule>
  </conditionalFormatting>
  <conditionalFormatting sqref="R84:R91">
    <cfRule type="cellIs" dxfId="6984" priority="485" operator="greaterThan">
      <formula>1</formula>
    </cfRule>
    <cfRule type="cellIs" dxfId="6983" priority="486" operator="lessThan">
      <formula>0.8</formula>
    </cfRule>
  </conditionalFormatting>
  <conditionalFormatting sqref="P84:P91">
    <cfRule type="cellIs" dxfId="6982" priority="484" operator="greaterThan">
      <formula>0</formula>
    </cfRule>
  </conditionalFormatting>
  <conditionalFormatting sqref="Q84:Q91">
    <cfRule type="cellIs" dxfId="6981" priority="489" operator="lessThan">
      <formula>0</formula>
    </cfRule>
  </conditionalFormatting>
  <conditionalFormatting sqref="Q84:Q91">
    <cfRule type="cellIs" dxfId="6980" priority="483" operator="lessThan">
      <formula>0</formula>
    </cfRule>
  </conditionalFormatting>
  <conditionalFormatting sqref="R84:R91">
    <cfRule type="cellIs" dxfId="6979" priority="481" operator="lessThan">
      <formula>0.8</formula>
    </cfRule>
    <cfRule type="cellIs" dxfId="6978" priority="482" operator="greaterThan">
      <formula>1</formula>
    </cfRule>
  </conditionalFormatting>
  <conditionalFormatting sqref="R84:R91">
    <cfRule type="cellIs" dxfId="6977" priority="479" operator="greaterThan">
      <formula>1</formula>
    </cfRule>
    <cfRule type="cellIs" dxfId="6976" priority="480" operator="lessThan">
      <formula>0.8</formula>
    </cfRule>
  </conditionalFormatting>
  <conditionalFormatting sqref="P84:P91">
    <cfRule type="cellIs" dxfId="6975" priority="478" operator="greaterThan">
      <formula>0</formula>
    </cfRule>
  </conditionalFormatting>
  <conditionalFormatting sqref="Q84:Q91">
    <cfRule type="cellIs" dxfId="6974" priority="472" operator="lessThan">
      <formula>0</formula>
    </cfRule>
  </conditionalFormatting>
  <conditionalFormatting sqref="R84:R91">
    <cfRule type="cellIs" dxfId="6973" priority="476" operator="lessThan">
      <formula>0.8</formula>
    </cfRule>
    <cfRule type="cellIs" dxfId="6972" priority="477" operator="greaterThan">
      <formula>1</formula>
    </cfRule>
  </conditionalFormatting>
  <conditionalFormatting sqref="R84:R91">
    <cfRule type="cellIs" dxfId="6971" priority="474" operator="greaterThan">
      <formula>1</formula>
    </cfRule>
    <cfRule type="cellIs" dxfId="6970" priority="475" operator="lessThan">
      <formula>0.8</formula>
    </cfRule>
  </conditionalFormatting>
  <conditionalFormatting sqref="P84:P91">
    <cfRule type="cellIs" dxfId="6969" priority="473" operator="greaterThan">
      <formula>0</formula>
    </cfRule>
  </conditionalFormatting>
  <conditionalFormatting sqref="Q84:Q91">
    <cfRule type="cellIs" dxfId="6968" priority="471" operator="lessThan">
      <formula>0</formula>
    </cfRule>
  </conditionalFormatting>
  <conditionalFormatting sqref="R84:R91">
    <cfRule type="cellIs" dxfId="6967" priority="469" operator="lessThan">
      <formula>0.8</formula>
    </cfRule>
    <cfRule type="cellIs" dxfId="6966" priority="470" operator="greaterThan">
      <formula>1</formula>
    </cfRule>
  </conditionalFormatting>
  <conditionalFormatting sqref="R84:R91">
    <cfRule type="cellIs" dxfId="6965" priority="467" operator="greaterThan">
      <formula>1</formula>
    </cfRule>
    <cfRule type="cellIs" dxfId="6964" priority="468" operator="lessThan">
      <formula>0.8</formula>
    </cfRule>
  </conditionalFormatting>
  <conditionalFormatting sqref="P84:P91">
    <cfRule type="cellIs" dxfId="6963" priority="466" operator="greaterThan">
      <formula>0</formula>
    </cfRule>
  </conditionalFormatting>
  <conditionalFormatting sqref="Q84:Q91">
    <cfRule type="cellIs" dxfId="6962" priority="465" operator="lessThan">
      <formula>0</formula>
    </cfRule>
  </conditionalFormatting>
  <conditionalFormatting sqref="R84:R91">
    <cfRule type="cellIs" dxfId="6961" priority="463" operator="lessThan">
      <formula>0.8</formula>
    </cfRule>
    <cfRule type="cellIs" dxfId="6960" priority="464" operator="greaterThan">
      <formula>1</formula>
    </cfRule>
  </conditionalFormatting>
  <conditionalFormatting sqref="R84:R91">
    <cfRule type="cellIs" dxfId="6959" priority="461" operator="greaterThan">
      <formula>1</formula>
    </cfRule>
    <cfRule type="cellIs" dxfId="6958" priority="462" operator="lessThan">
      <formula>0.8</formula>
    </cfRule>
  </conditionalFormatting>
  <conditionalFormatting sqref="P84:P91">
    <cfRule type="cellIs" dxfId="6957" priority="460" operator="greaterThan">
      <formula>0</formula>
    </cfRule>
  </conditionalFormatting>
  <conditionalFormatting sqref="Q84:Q91">
    <cfRule type="cellIs" dxfId="6956" priority="459" operator="lessThan">
      <formula>0</formula>
    </cfRule>
  </conditionalFormatting>
  <conditionalFormatting sqref="R84:R91">
    <cfRule type="cellIs" dxfId="6955" priority="457" operator="lessThan">
      <formula>0.8</formula>
    </cfRule>
    <cfRule type="cellIs" dxfId="6954" priority="458" operator="greaterThan">
      <formula>1</formula>
    </cfRule>
  </conditionalFormatting>
  <conditionalFormatting sqref="R84:R91">
    <cfRule type="cellIs" dxfId="6953" priority="455" operator="greaterThan">
      <formula>1</formula>
    </cfRule>
    <cfRule type="cellIs" dxfId="6952" priority="456" operator="lessThan">
      <formula>0.8</formula>
    </cfRule>
  </conditionalFormatting>
  <conditionalFormatting sqref="P84:P91">
    <cfRule type="cellIs" dxfId="6951" priority="454" operator="greaterThan">
      <formula>0</formula>
    </cfRule>
  </conditionalFormatting>
  <conditionalFormatting sqref="Q84:Q91">
    <cfRule type="cellIs" dxfId="6950" priority="453" operator="lessThan">
      <formula>0</formula>
    </cfRule>
  </conditionalFormatting>
  <conditionalFormatting sqref="R84:R91">
    <cfRule type="cellIs" dxfId="6949" priority="451" operator="lessThan">
      <formula>0.8</formula>
    </cfRule>
    <cfRule type="cellIs" dxfId="6948" priority="452" operator="greaterThan">
      <formula>1</formula>
    </cfRule>
  </conditionalFormatting>
  <conditionalFormatting sqref="R84:R91">
    <cfRule type="cellIs" dxfId="6947" priority="449" operator="greaterThan">
      <formula>1</formula>
    </cfRule>
    <cfRule type="cellIs" dxfId="6946" priority="450" operator="lessThan">
      <formula>0.8</formula>
    </cfRule>
  </conditionalFormatting>
  <conditionalFormatting sqref="P84:P91">
    <cfRule type="cellIs" dxfId="6945" priority="448" operator="greaterThan">
      <formula>0</formula>
    </cfRule>
  </conditionalFormatting>
  <conditionalFormatting sqref="Q84:Q91">
    <cfRule type="cellIs" dxfId="6944" priority="447" operator="lessThan">
      <formula>0</formula>
    </cfRule>
  </conditionalFormatting>
  <conditionalFormatting sqref="R84:R91">
    <cfRule type="cellIs" dxfId="6943" priority="445" operator="lessThan">
      <formula>0.8</formula>
    </cfRule>
    <cfRule type="cellIs" dxfId="6942" priority="446" operator="greaterThan">
      <formula>1</formula>
    </cfRule>
  </conditionalFormatting>
  <conditionalFormatting sqref="R84:R91">
    <cfRule type="cellIs" dxfId="6941" priority="443" operator="greaterThan">
      <formula>1</formula>
    </cfRule>
    <cfRule type="cellIs" dxfId="6940" priority="444" operator="lessThan">
      <formula>0.8</formula>
    </cfRule>
  </conditionalFormatting>
  <conditionalFormatting sqref="P84:P91">
    <cfRule type="cellIs" dxfId="6939" priority="442" operator="greaterThan">
      <formula>0</formula>
    </cfRule>
  </conditionalFormatting>
  <conditionalFormatting sqref="P84:P91">
    <cfRule type="cellIs" dxfId="6938" priority="436" operator="greaterThan">
      <formula>0</formula>
    </cfRule>
  </conditionalFormatting>
  <conditionalFormatting sqref="Q84:Q91">
    <cfRule type="cellIs" dxfId="6937" priority="441" operator="lessThan">
      <formula>0</formula>
    </cfRule>
  </conditionalFormatting>
  <conditionalFormatting sqref="R84:R91">
    <cfRule type="cellIs" dxfId="6936" priority="439" operator="lessThan">
      <formula>0.8</formula>
    </cfRule>
    <cfRule type="cellIs" dxfId="6935" priority="440" operator="greaterThan">
      <formula>1</formula>
    </cfRule>
  </conditionalFormatting>
  <conditionalFormatting sqref="R84:R91">
    <cfRule type="cellIs" dxfId="6934" priority="437" operator="greaterThan">
      <formula>1</formula>
    </cfRule>
    <cfRule type="cellIs" dxfId="6933" priority="438" operator="lessThan">
      <formula>0.8</formula>
    </cfRule>
  </conditionalFormatting>
  <conditionalFormatting sqref="P84:P91">
    <cfRule type="cellIs" dxfId="6932" priority="430" operator="greaterThan">
      <formula>0</formula>
    </cfRule>
  </conditionalFormatting>
  <conditionalFormatting sqref="Q84:Q91">
    <cfRule type="cellIs" dxfId="6931" priority="435" operator="lessThan">
      <formula>0</formula>
    </cfRule>
  </conditionalFormatting>
  <conditionalFormatting sqref="R84:R91">
    <cfRule type="cellIs" dxfId="6930" priority="433" operator="lessThan">
      <formula>0.8</formula>
    </cfRule>
    <cfRule type="cellIs" dxfId="6929" priority="434" operator="greaterThan">
      <formula>1</formula>
    </cfRule>
  </conditionalFormatting>
  <conditionalFormatting sqref="R84:R91">
    <cfRule type="cellIs" dxfId="6928" priority="431" operator="greaterThan">
      <formula>1</formula>
    </cfRule>
    <cfRule type="cellIs" dxfId="6927" priority="432" operator="lessThan">
      <formula>0.8</formula>
    </cfRule>
  </conditionalFormatting>
  <conditionalFormatting sqref="R84:R91">
    <cfRule type="cellIs" dxfId="6926" priority="427" operator="lessThan">
      <formula>0.8</formula>
    </cfRule>
    <cfRule type="cellIs" dxfId="6925" priority="428" operator="greaterThan">
      <formula>1</formula>
    </cfRule>
  </conditionalFormatting>
  <conditionalFormatting sqref="R84:R91">
    <cfRule type="cellIs" dxfId="6924" priority="425" operator="greaterThan">
      <formula>1</formula>
    </cfRule>
    <cfRule type="cellIs" dxfId="6923" priority="426" operator="lessThan">
      <formula>0.8</formula>
    </cfRule>
  </conditionalFormatting>
  <conditionalFormatting sqref="P84:P91">
    <cfRule type="cellIs" dxfId="6922" priority="424" operator="greaterThan">
      <formula>0</formula>
    </cfRule>
  </conditionalFormatting>
  <conditionalFormatting sqref="Q84:Q91">
    <cfRule type="cellIs" dxfId="6921" priority="429" operator="lessThan">
      <formula>0</formula>
    </cfRule>
  </conditionalFormatting>
  <conditionalFormatting sqref="Q84:Q91">
    <cfRule type="cellIs" dxfId="6920" priority="418" operator="lessThan">
      <formula>0</formula>
    </cfRule>
  </conditionalFormatting>
  <conditionalFormatting sqref="P84:P91">
    <cfRule type="cellIs" dxfId="6919" priority="419" operator="greaterThan">
      <formula>0</formula>
    </cfRule>
  </conditionalFormatting>
  <conditionalFormatting sqref="R84:R91">
    <cfRule type="cellIs" dxfId="6918" priority="422" operator="lessThan">
      <formula>0.8</formula>
    </cfRule>
    <cfRule type="cellIs" dxfId="6917" priority="423" operator="greaterThan">
      <formula>1</formula>
    </cfRule>
  </conditionalFormatting>
  <conditionalFormatting sqref="R84:R91">
    <cfRule type="cellIs" dxfId="6916" priority="420" operator="greaterThan">
      <formula>1</formula>
    </cfRule>
    <cfRule type="cellIs" dxfId="6915" priority="421" operator="lessThan">
      <formula>0.8</formula>
    </cfRule>
  </conditionalFormatting>
  <conditionalFormatting sqref="Q84:Q91">
    <cfRule type="cellIs" dxfId="6914" priority="412" operator="lessThan">
      <formula>0</formula>
    </cfRule>
  </conditionalFormatting>
  <conditionalFormatting sqref="R84:R91">
    <cfRule type="cellIs" dxfId="6913" priority="416" operator="lessThan">
      <formula>0.8</formula>
    </cfRule>
    <cfRule type="cellIs" dxfId="6912" priority="417" operator="greaterThan">
      <formula>1</formula>
    </cfRule>
  </conditionalFormatting>
  <conditionalFormatting sqref="R84:R91">
    <cfRule type="cellIs" dxfId="6911" priority="414" operator="greaterThan">
      <formula>1</formula>
    </cfRule>
    <cfRule type="cellIs" dxfId="6910" priority="415" operator="lessThan">
      <formula>0.8</formula>
    </cfRule>
  </conditionalFormatting>
  <conditionalFormatting sqref="P84:P91">
    <cfRule type="cellIs" dxfId="6909" priority="413" operator="greaterThan">
      <formula>0</formula>
    </cfRule>
  </conditionalFormatting>
  <conditionalFormatting sqref="Q84:Q91">
    <cfRule type="cellIs" dxfId="6908" priority="411" operator="lessThan">
      <formula>0</formula>
    </cfRule>
  </conditionalFormatting>
  <conditionalFormatting sqref="R84:R91">
    <cfRule type="cellIs" dxfId="6907" priority="409" operator="lessThan">
      <formula>0.8</formula>
    </cfRule>
    <cfRule type="cellIs" dxfId="6906" priority="410" operator="greaterThan">
      <formula>1</formula>
    </cfRule>
  </conditionalFormatting>
  <conditionalFormatting sqref="R84:R91">
    <cfRule type="cellIs" dxfId="6905" priority="407" operator="greaterThan">
      <formula>1</formula>
    </cfRule>
    <cfRule type="cellIs" dxfId="6904" priority="408" operator="lessThan">
      <formula>0.8</formula>
    </cfRule>
  </conditionalFormatting>
  <conditionalFormatting sqref="P84:P91">
    <cfRule type="cellIs" dxfId="6903" priority="406" operator="greaterThan">
      <formula>0</formula>
    </cfRule>
  </conditionalFormatting>
  <conditionalFormatting sqref="Q84:Q91">
    <cfRule type="cellIs" dxfId="6902" priority="405" operator="lessThan">
      <formula>0</formula>
    </cfRule>
  </conditionalFormatting>
  <conditionalFormatting sqref="R84:R91">
    <cfRule type="cellIs" dxfId="6901" priority="403" operator="lessThan">
      <formula>0.8</formula>
    </cfRule>
    <cfRule type="cellIs" dxfId="6900" priority="404" operator="greaterThan">
      <formula>1</formula>
    </cfRule>
  </conditionalFormatting>
  <conditionalFormatting sqref="R84:R91">
    <cfRule type="cellIs" dxfId="6899" priority="401" operator="greaterThan">
      <formula>1</formula>
    </cfRule>
    <cfRule type="cellIs" dxfId="6898" priority="402" operator="lessThan">
      <formula>0.8</formula>
    </cfRule>
  </conditionalFormatting>
  <conditionalFormatting sqref="P84:P91">
    <cfRule type="cellIs" dxfId="6897" priority="400" operator="greaterThan">
      <formula>0</formula>
    </cfRule>
  </conditionalFormatting>
  <conditionalFormatting sqref="Q84:Q91">
    <cfRule type="cellIs" dxfId="6896" priority="399" operator="lessThan">
      <formula>0</formula>
    </cfRule>
  </conditionalFormatting>
  <conditionalFormatting sqref="R84:R91">
    <cfRule type="cellIs" dxfId="6895" priority="397" operator="lessThan">
      <formula>0.8</formula>
    </cfRule>
    <cfRule type="cellIs" dxfId="6894" priority="398" operator="greaterThan">
      <formula>1</formula>
    </cfRule>
  </conditionalFormatting>
  <conditionalFormatting sqref="R84:R91">
    <cfRule type="cellIs" dxfId="6893" priority="395" operator="greaterThan">
      <formula>1</formula>
    </cfRule>
    <cfRule type="cellIs" dxfId="6892" priority="396" operator="lessThan">
      <formula>0.8</formula>
    </cfRule>
  </conditionalFormatting>
  <conditionalFormatting sqref="P84:P91">
    <cfRule type="cellIs" dxfId="6891" priority="394" operator="greaterThan">
      <formula>0</formula>
    </cfRule>
  </conditionalFormatting>
  <conditionalFormatting sqref="Q84:Q91">
    <cfRule type="cellIs" dxfId="6890" priority="393" operator="lessThan">
      <formula>0</formula>
    </cfRule>
  </conditionalFormatting>
  <conditionalFormatting sqref="R84:R91">
    <cfRule type="cellIs" dxfId="6889" priority="391" operator="lessThan">
      <formula>0.8</formula>
    </cfRule>
    <cfRule type="cellIs" dxfId="6888" priority="392" operator="greaterThan">
      <formula>1</formula>
    </cfRule>
  </conditionalFormatting>
  <conditionalFormatting sqref="R84:R91">
    <cfRule type="cellIs" dxfId="6887" priority="389" operator="greaterThan">
      <formula>1</formula>
    </cfRule>
    <cfRule type="cellIs" dxfId="6886" priority="390" operator="lessThan">
      <formula>0.8</formula>
    </cfRule>
  </conditionalFormatting>
  <conditionalFormatting sqref="P84:P91">
    <cfRule type="cellIs" dxfId="6885" priority="388" operator="greaterThan">
      <formula>0</formula>
    </cfRule>
  </conditionalFormatting>
  <conditionalFormatting sqref="Q84:Q91">
    <cfRule type="cellIs" dxfId="6884" priority="387" operator="lessThan">
      <formula>0</formula>
    </cfRule>
  </conditionalFormatting>
  <conditionalFormatting sqref="R84:R91">
    <cfRule type="cellIs" dxfId="6883" priority="385" operator="lessThan">
      <formula>0.8</formula>
    </cfRule>
    <cfRule type="cellIs" dxfId="6882" priority="386" operator="greaterThan">
      <formula>1</formula>
    </cfRule>
  </conditionalFormatting>
  <conditionalFormatting sqref="R84:R91">
    <cfRule type="cellIs" dxfId="6881" priority="383" operator="greaterThan">
      <formula>1</formula>
    </cfRule>
    <cfRule type="cellIs" dxfId="6880" priority="384" operator="lessThan">
      <formula>0.8</formula>
    </cfRule>
  </conditionalFormatting>
  <conditionalFormatting sqref="P84:P91">
    <cfRule type="cellIs" dxfId="6879" priority="382" operator="greaterThan">
      <formula>0</formula>
    </cfRule>
  </conditionalFormatting>
  <conditionalFormatting sqref="Q84:Q91">
    <cfRule type="cellIs" dxfId="6878" priority="381" operator="lessThan">
      <formula>0</formula>
    </cfRule>
  </conditionalFormatting>
  <conditionalFormatting sqref="R84:R91">
    <cfRule type="cellIs" dxfId="6877" priority="379" operator="lessThan">
      <formula>0.8</formula>
    </cfRule>
    <cfRule type="cellIs" dxfId="6876" priority="380" operator="greaterThan">
      <formula>1</formula>
    </cfRule>
  </conditionalFormatting>
  <conditionalFormatting sqref="R84:R91">
    <cfRule type="cellIs" dxfId="6875" priority="377" operator="greaterThan">
      <formula>1</formula>
    </cfRule>
    <cfRule type="cellIs" dxfId="6874" priority="378" operator="lessThan">
      <formula>0.8</formula>
    </cfRule>
  </conditionalFormatting>
  <conditionalFormatting sqref="P84:P91">
    <cfRule type="cellIs" dxfId="6873" priority="376" operator="greaterThan">
      <formula>0</formula>
    </cfRule>
  </conditionalFormatting>
  <conditionalFormatting sqref="Q84:Q91">
    <cfRule type="cellIs" dxfId="6872" priority="375" operator="lessThan">
      <formula>0</formula>
    </cfRule>
  </conditionalFormatting>
  <conditionalFormatting sqref="R84:R91">
    <cfRule type="cellIs" dxfId="6871" priority="373" operator="lessThan">
      <formula>0.8</formula>
    </cfRule>
    <cfRule type="cellIs" dxfId="6870" priority="374" operator="greaterThan">
      <formula>1</formula>
    </cfRule>
  </conditionalFormatting>
  <conditionalFormatting sqref="R84:R91">
    <cfRule type="cellIs" dxfId="6869" priority="371" operator="greaterThan">
      <formula>1</formula>
    </cfRule>
    <cfRule type="cellIs" dxfId="6868" priority="372" operator="lessThan">
      <formula>0.8</formula>
    </cfRule>
  </conditionalFormatting>
  <conditionalFormatting sqref="P84:P91">
    <cfRule type="cellIs" dxfId="6867" priority="370" operator="greaterThan">
      <formula>0</formula>
    </cfRule>
  </conditionalFormatting>
  <conditionalFormatting sqref="P84:P91">
    <cfRule type="cellIs" dxfId="6866" priority="364" operator="greaterThan">
      <formula>0</formula>
    </cfRule>
  </conditionalFormatting>
  <conditionalFormatting sqref="Q84:Q91">
    <cfRule type="cellIs" dxfId="6865" priority="369" operator="lessThan">
      <formula>0</formula>
    </cfRule>
  </conditionalFormatting>
  <conditionalFormatting sqref="R84:R91">
    <cfRule type="cellIs" dxfId="6864" priority="367" operator="lessThan">
      <formula>0.8</formula>
    </cfRule>
    <cfRule type="cellIs" dxfId="6863" priority="368" operator="greaterThan">
      <formula>1</formula>
    </cfRule>
  </conditionalFormatting>
  <conditionalFormatting sqref="R84:R91">
    <cfRule type="cellIs" dxfId="6862" priority="365" operator="greaterThan">
      <formula>1</formula>
    </cfRule>
    <cfRule type="cellIs" dxfId="6861" priority="366" operator="lessThan">
      <formula>0.8</formula>
    </cfRule>
  </conditionalFormatting>
  <conditionalFormatting sqref="P84:P91">
    <cfRule type="cellIs" dxfId="6860" priority="358" operator="greaterThan">
      <formula>0</formula>
    </cfRule>
  </conditionalFormatting>
  <conditionalFormatting sqref="Q84:Q91">
    <cfRule type="cellIs" dxfId="6859" priority="363" operator="lessThan">
      <formula>0</formula>
    </cfRule>
  </conditionalFormatting>
  <conditionalFormatting sqref="R84:R91">
    <cfRule type="cellIs" dxfId="6858" priority="361" operator="lessThan">
      <formula>0.8</formula>
    </cfRule>
    <cfRule type="cellIs" dxfId="6857" priority="362" operator="greaterThan">
      <formula>1</formula>
    </cfRule>
  </conditionalFormatting>
  <conditionalFormatting sqref="R84:R91">
    <cfRule type="cellIs" dxfId="6856" priority="359" operator="greaterThan">
      <formula>1</formula>
    </cfRule>
    <cfRule type="cellIs" dxfId="6855" priority="360" operator="lessThan">
      <formula>0.8</formula>
    </cfRule>
  </conditionalFormatting>
  <conditionalFormatting sqref="R84:R91">
    <cfRule type="cellIs" dxfId="6854" priority="355" operator="lessThan">
      <formula>0.8</formula>
    </cfRule>
    <cfRule type="cellIs" dxfId="6853" priority="356" operator="greaterThan">
      <formula>1</formula>
    </cfRule>
  </conditionalFormatting>
  <conditionalFormatting sqref="R84:R91">
    <cfRule type="cellIs" dxfId="6852" priority="353" operator="greaterThan">
      <formula>1</formula>
    </cfRule>
    <cfRule type="cellIs" dxfId="6851" priority="354" operator="lessThan">
      <formula>0.8</formula>
    </cfRule>
  </conditionalFormatting>
  <conditionalFormatting sqref="P84:P91">
    <cfRule type="cellIs" dxfId="6850" priority="352" operator="greaterThan">
      <formula>0</formula>
    </cfRule>
  </conditionalFormatting>
  <conditionalFormatting sqref="Q84:Q91">
    <cfRule type="cellIs" dxfId="6849" priority="357" operator="lessThan">
      <formula>0</formula>
    </cfRule>
  </conditionalFormatting>
  <conditionalFormatting sqref="Q84:Q91">
    <cfRule type="cellIs" dxfId="6848" priority="351" operator="lessThan">
      <formula>0</formula>
    </cfRule>
  </conditionalFormatting>
  <conditionalFormatting sqref="R84:R91">
    <cfRule type="cellIs" dxfId="6847" priority="349" operator="lessThan">
      <formula>0.8</formula>
    </cfRule>
    <cfRule type="cellIs" dxfId="6846" priority="350" operator="greaterThan">
      <formula>1</formula>
    </cfRule>
  </conditionalFormatting>
  <conditionalFormatting sqref="R84:R91">
    <cfRule type="cellIs" dxfId="6845" priority="347" operator="greaterThan">
      <formula>1</formula>
    </cfRule>
    <cfRule type="cellIs" dxfId="6844" priority="348" operator="lessThan">
      <formula>0.8</formula>
    </cfRule>
  </conditionalFormatting>
  <conditionalFormatting sqref="P84:P91">
    <cfRule type="cellIs" dxfId="6843" priority="346" operator="greaterThan">
      <formula>0</formula>
    </cfRule>
  </conditionalFormatting>
  <conditionalFormatting sqref="P84:P91">
    <cfRule type="cellIs" dxfId="6842" priority="340" operator="greaterThan">
      <formula>0</formula>
    </cfRule>
  </conditionalFormatting>
  <conditionalFormatting sqref="Q84:Q91">
    <cfRule type="cellIs" dxfId="6841" priority="345" operator="lessThan">
      <formula>0</formula>
    </cfRule>
  </conditionalFormatting>
  <conditionalFormatting sqref="R84:R91">
    <cfRule type="cellIs" dxfId="6840" priority="343" operator="lessThan">
      <formula>0.8</formula>
    </cfRule>
    <cfRule type="cellIs" dxfId="6839" priority="344" operator="greaterThan">
      <formula>1</formula>
    </cfRule>
  </conditionalFormatting>
  <conditionalFormatting sqref="R84:R91">
    <cfRule type="cellIs" dxfId="6838" priority="341" operator="greaterThan">
      <formula>1</formula>
    </cfRule>
    <cfRule type="cellIs" dxfId="6837" priority="342" operator="lessThan">
      <formula>0.8</formula>
    </cfRule>
  </conditionalFormatting>
  <conditionalFormatting sqref="P84:P91">
    <cfRule type="cellIs" dxfId="6836" priority="334" operator="greaterThan">
      <formula>0</formula>
    </cfRule>
  </conditionalFormatting>
  <conditionalFormatting sqref="Q84:Q91">
    <cfRule type="cellIs" dxfId="6835" priority="339" operator="lessThan">
      <formula>0</formula>
    </cfRule>
  </conditionalFormatting>
  <conditionalFormatting sqref="R84:R91">
    <cfRule type="cellIs" dxfId="6834" priority="337" operator="lessThan">
      <formula>0.8</formula>
    </cfRule>
    <cfRule type="cellIs" dxfId="6833" priority="338" operator="greaterThan">
      <formula>1</formula>
    </cfRule>
  </conditionalFormatting>
  <conditionalFormatting sqref="R84:R91">
    <cfRule type="cellIs" dxfId="6832" priority="335" operator="greaterThan">
      <formula>1</formula>
    </cfRule>
    <cfRule type="cellIs" dxfId="6831" priority="336" operator="lessThan">
      <formula>0.8</formula>
    </cfRule>
  </conditionalFormatting>
  <conditionalFormatting sqref="R84:R91">
    <cfRule type="cellIs" dxfId="6830" priority="331" operator="lessThan">
      <formula>0.8</formula>
    </cfRule>
    <cfRule type="cellIs" dxfId="6829" priority="332" operator="greaterThan">
      <formula>1</formula>
    </cfRule>
  </conditionalFormatting>
  <conditionalFormatting sqref="R84:R91">
    <cfRule type="cellIs" dxfId="6828" priority="329" operator="greaterThan">
      <formula>1</formula>
    </cfRule>
    <cfRule type="cellIs" dxfId="6827" priority="330" operator="lessThan">
      <formula>0.8</formula>
    </cfRule>
  </conditionalFormatting>
  <conditionalFormatting sqref="P84:P91">
    <cfRule type="cellIs" dxfId="6826" priority="328" operator="greaterThan">
      <formula>0</formula>
    </cfRule>
  </conditionalFormatting>
  <conditionalFormatting sqref="Q84:Q91">
    <cfRule type="cellIs" dxfId="6825" priority="333" operator="lessThan">
      <formula>0</formula>
    </cfRule>
  </conditionalFormatting>
  <conditionalFormatting sqref="P84:P91">
    <cfRule type="cellIs" dxfId="6824" priority="322" operator="greaterThan">
      <formula>0</formula>
    </cfRule>
  </conditionalFormatting>
  <conditionalFormatting sqref="Q84:Q91">
    <cfRule type="cellIs" dxfId="6823" priority="327" operator="lessThan">
      <formula>0</formula>
    </cfRule>
  </conditionalFormatting>
  <conditionalFormatting sqref="R84:R91">
    <cfRule type="cellIs" dxfId="6822" priority="325" operator="lessThan">
      <formula>0.8</formula>
    </cfRule>
    <cfRule type="cellIs" dxfId="6821" priority="326" operator="greaterThan">
      <formula>1</formula>
    </cfRule>
  </conditionalFormatting>
  <conditionalFormatting sqref="R84:R91">
    <cfRule type="cellIs" dxfId="6820" priority="323" operator="greaterThan">
      <formula>1</formula>
    </cfRule>
    <cfRule type="cellIs" dxfId="6819" priority="324" operator="lessThan">
      <formula>0.8</formula>
    </cfRule>
  </conditionalFormatting>
  <conditionalFormatting sqref="R84:R91">
    <cfRule type="cellIs" dxfId="6818" priority="319" operator="lessThan">
      <formula>0.8</formula>
    </cfRule>
    <cfRule type="cellIs" dxfId="6817" priority="320" operator="greaterThan">
      <formula>1</formula>
    </cfRule>
  </conditionalFormatting>
  <conditionalFormatting sqref="R84:R91">
    <cfRule type="cellIs" dxfId="6816" priority="317" operator="greaterThan">
      <formula>1</formula>
    </cfRule>
    <cfRule type="cellIs" dxfId="6815" priority="318" operator="lessThan">
      <formula>0.8</formula>
    </cfRule>
  </conditionalFormatting>
  <conditionalFormatting sqref="P84:P91">
    <cfRule type="cellIs" dxfId="6814" priority="316" operator="greaterThan">
      <formula>0</formula>
    </cfRule>
  </conditionalFormatting>
  <conditionalFormatting sqref="Q84:Q91">
    <cfRule type="cellIs" dxfId="6813" priority="321" operator="lessThan">
      <formula>0</formula>
    </cfRule>
  </conditionalFormatting>
  <conditionalFormatting sqref="R84:R91">
    <cfRule type="cellIs" dxfId="6812" priority="313" operator="lessThan">
      <formula>0.8</formula>
    </cfRule>
    <cfRule type="cellIs" dxfId="6811" priority="314" operator="greaterThan">
      <formula>1</formula>
    </cfRule>
  </conditionalFormatting>
  <conditionalFormatting sqref="R84:R91">
    <cfRule type="cellIs" dxfId="6810" priority="311" operator="greaterThan">
      <formula>1</formula>
    </cfRule>
    <cfRule type="cellIs" dxfId="6809" priority="312" operator="lessThan">
      <formula>0.8</formula>
    </cfRule>
  </conditionalFormatting>
  <conditionalFormatting sqref="P84:P91">
    <cfRule type="cellIs" dxfId="6808" priority="310" operator="greaterThan">
      <formula>0</formula>
    </cfRule>
  </conditionalFormatting>
  <conditionalFormatting sqref="Q84:Q91">
    <cfRule type="cellIs" dxfId="6807" priority="315" operator="lessThan">
      <formula>0</formula>
    </cfRule>
  </conditionalFormatting>
  <conditionalFormatting sqref="Q84:Q91">
    <cfRule type="cellIs" dxfId="6806" priority="309" operator="lessThan">
      <formula>0</formula>
    </cfRule>
  </conditionalFormatting>
  <conditionalFormatting sqref="R84:R91">
    <cfRule type="cellIs" dxfId="6805" priority="307" operator="lessThan">
      <formula>0.8</formula>
    </cfRule>
    <cfRule type="cellIs" dxfId="6804" priority="308" operator="greaterThan">
      <formula>1</formula>
    </cfRule>
  </conditionalFormatting>
  <conditionalFormatting sqref="R84:R91">
    <cfRule type="cellIs" dxfId="6803" priority="305" operator="greaterThan">
      <formula>1</formula>
    </cfRule>
    <cfRule type="cellIs" dxfId="6802" priority="306" operator="lessThan">
      <formula>0.8</formula>
    </cfRule>
  </conditionalFormatting>
  <conditionalFormatting sqref="P84:P91">
    <cfRule type="cellIs" dxfId="6801" priority="304" operator="greaterThan">
      <formula>0</formula>
    </cfRule>
  </conditionalFormatting>
  <conditionalFormatting sqref="Q84:Q91">
    <cfRule type="cellIs" dxfId="6800" priority="298" operator="lessThan">
      <formula>0</formula>
    </cfRule>
  </conditionalFormatting>
  <conditionalFormatting sqref="R84:R91">
    <cfRule type="cellIs" dxfId="6799" priority="302" operator="lessThan">
      <formula>0.8</formula>
    </cfRule>
    <cfRule type="cellIs" dxfId="6798" priority="303" operator="greaterThan">
      <formula>1</formula>
    </cfRule>
  </conditionalFormatting>
  <conditionalFormatting sqref="R84:R91">
    <cfRule type="cellIs" dxfId="6797" priority="300" operator="greaterThan">
      <formula>1</formula>
    </cfRule>
    <cfRule type="cellIs" dxfId="6796" priority="301" operator="lessThan">
      <formula>0.8</formula>
    </cfRule>
  </conditionalFormatting>
  <conditionalFormatting sqref="P84:P91">
    <cfRule type="cellIs" dxfId="6795" priority="299" operator="greaterThan">
      <formula>0</formula>
    </cfRule>
  </conditionalFormatting>
  <conditionalFormatting sqref="Q84:Q91">
    <cfRule type="cellIs" dxfId="6794" priority="297" operator="lessThan">
      <formula>0</formula>
    </cfRule>
  </conditionalFormatting>
  <conditionalFormatting sqref="R84:R91">
    <cfRule type="cellIs" dxfId="6793" priority="295" operator="lessThan">
      <formula>0.8</formula>
    </cfRule>
    <cfRule type="cellIs" dxfId="6792" priority="296" operator="greaterThan">
      <formula>1</formula>
    </cfRule>
  </conditionalFormatting>
  <conditionalFormatting sqref="R84:R91">
    <cfRule type="cellIs" dxfId="6791" priority="293" operator="greaterThan">
      <formula>1</formula>
    </cfRule>
    <cfRule type="cellIs" dxfId="6790" priority="294" operator="lessThan">
      <formula>0.8</formula>
    </cfRule>
  </conditionalFormatting>
  <conditionalFormatting sqref="P84:P91">
    <cfRule type="cellIs" dxfId="6789" priority="292" operator="greaterThan">
      <formula>0</formula>
    </cfRule>
  </conditionalFormatting>
  <conditionalFormatting sqref="Q84:Q91">
    <cfRule type="cellIs" dxfId="6788" priority="291" operator="lessThan">
      <formula>0</formula>
    </cfRule>
  </conditionalFormatting>
  <conditionalFormatting sqref="R84:R91">
    <cfRule type="cellIs" dxfId="6787" priority="289" operator="lessThan">
      <formula>0.8</formula>
    </cfRule>
    <cfRule type="cellIs" dxfId="6786" priority="290" operator="greaterThan">
      <formula>1</formula>
    </cfRule>
  </conditionalFormatting>
  <conditionalFormatting sqref="R84:R91">
    <cfRule type="cellIs" dxfId="6785" priority="287" operator="greaterThan">
      <formula>1</formula>
    </cfRule>
    <cfRule type="cellIs" dxfId="6784" priority="288" operator="lessThan">
      <formula>0.8</formula>
    </cfRule>
  </conditionalFormatting>
  <conditionalFormatting sqref="P84:P91">
    <cfRule type="cellIs" dxfId="6783" priority="286" operator="greaterThan">
      <formula>0</formula>
    </cfRule>
  </conditionalFormatting>
  <conditionalFormatting sqref="Q84:Q91">
    <cfRule type="cellIs" dxfId="6782" priority="285" operator="lessThan">
      <formula>0</formula>
    </cfRule>
  </conditionalFormatting>
  <conditionalFormatting sqref="R84:R91">
    <cfRule type="cellIs" dxfId="6781" priority="283" operator="lessThan">
      <formula>0.8</formula>
    </cfRule>
    <cfRule type="cellIs" dxfId="6780" priority="284" operator="greaterThan">
      <formula>1</formula>
    </cfRule>
  </conditionalFormatting>
  <conditionalFormatting sqref="R84:R91">
    <cfRule type="cellIs" dxfId="6779" priority="281" operator="greaterThan">
      <formula>1</formula>
    </cfRule>
    <cfRule type="cellIs" dxfId="6778" priority="282" operator="lessThan">
      <formula>0.8</formula>
    </cfRule>
  </conditionalFormatting>
  <conditionalFormatting sqref="P84:P91">
    <cfRule type="cellIs" dxfId="6777" priority="280" operator="greaterThan">
      <formula>0</formula>
    </cfRule>
  </conditionalFormatting>
  <conditionalFormatting sqref="Q84:Q91">
    <cfRule type="cellIs" dxfId="6776" priority="279" operator="lessThan">
      <formula>0</formula>
    </cfRule>
  </conditionalFormatting>
  <conditionalFormatting sqref="R84:R91">
    <cfRule type="cellIs" dxfId="6775" priority="277" operator="lessThan">
      <formula>0.8</formula>
    </cfRule>
    <cfRule type="cellIs" dxfId="6774" priority="278" operator="greaterThan">
      <formula>1</formula>
    </cfRule>
  </conditionalFormatting>
  <conditionalFormatting sqref="R84:R91">
    <cfRule type="cellIs" dxfId="6773" priority="275" operator="greaterThan">
      <formula>1</formula>
    </cfRule>
    <cfRule type="cellIs" dxfId="6772" priority="276" operator="lessThan">
      <formula>0.8</formula>
    </cfRule>
  </conditionalFormatting>
  <conditionalFormatting sqref="P84:P91">
    <cfRule type="cellIs" dxfId="6771" priority="274" operator="greaterThan">
      <formula>0</formula>
    </cfRule>
  </conditionalFormatting>
  <conditionalFormatting sqref="Q84:Q91">
    <cfRule type="cellIs" dxfId="6770" priority="273" operator="lessThan">
      <formula>0</formula>
    </cfRule>
  </conditionalFormatting>
  <conditionalFormatting sqref="R84:R91">
    <cfRule type="cellIs" dxfId="6769" priority="271" operator="lessThan">
      <formula>0.8</formula>
    </cfRule>
    <cfRule type="cellIs" dxfId="6768" priority="272" operator="greaterThan">
      <formula>1</formula>
    </cfRule>
  </conditionalFormatting>
  <conditionalFormatting sqref="R84:R91">
    <cfRule type="cellIs" dxfId="6767" priority="269" operator="greaterThan">
      <formula>1</formula>
    </cfRule>
    <cfRule type="cellIs" dxfId="6766" priority="270" operator="lessThan">
      <formula>0.8</formula>
    </cfRule>
  </conditionalFormatting>
  <conditionalFormatting sqref="P84:P91">
    <cfRule type="cellIs" dxfId="6765" priority="268" operator="greaterThan">
      <formula>0</formula>
    </cfRule>
  </conditionalFormatting>
  <conditionalFormatting sqref="P84:P91">
    <cfRule type="cellIs" dxfId="6764" priority="262" operator="greaterThan">
      <formula>0</formula>
    </cfRule>
  </conditionalFormatting>
  <conditionalFormatting sqref="Q84:Q91">
    <cfRule type="cellIs" dxfId="6763" priority="267" operator="lessThan">
      <formula>0</formula>
    </cfRule>
  </conditionalFormatting>
  <conditionalFormatting sqref="R84:R91">
    <cfRule type="cellIs" dxfId="6762" priority="265" operator="lessThan">
      <formula>0.8</formula>
    </cfRule>
    <cfRule type="cellIs" dxfId="6761" priority="266" operator="greaterThan">
      <formula>1</formula>
    </cfRule>
  </conditionalFormatting>
  <conditionalFormatting sqref="R84:R91">
    <cfRule type="cellIs" dxfId="6760" priority="263" operator="greaterThan">
      <formula>1</formula>
    </cfRule>
    <cfRule type="cellIs" dxfId="6759" priority="264" operator="lessThan">
      <formula>0.8</formula>
    </cfRule>
  </conditionalFormatting>
  <conditionalFormatting sqref="P84:P91">
    <cfRule type="cellIs" dxfId="6758" priority="256" operator="greaterThan">
      <formula>0</formula>
    </cfRule>
  </conditionalFormatting>
  <conditionalFormatting sqref="Q84:Q91">
    <cfRule type="cellIs" dxfId="6757" priority="261" operator="lessThan">
      <formula>0</formula>
    </cfRule>
  </conditionalFormatting>
  <conditionalFormatting sqref="R84:R91">
    <cfRule type="cellIs" dxfId="6756" priority="259" operator="lessThan">
      <formula>0.8</formula>
    </cfRule>
    <cfRule type="cellIs" dxfId="6755" priority="260" operator="greaterThan">
      <formula>1</formula>
    </cfRule>
  </conditionalFormatting>
  <conditionalFormatting sqref="R84:R91">
    <cfRule type="cellIs" dxfId="6754" priority="257" operator="greaterThan">
      <formula>1</formula>
    </cfRule>
    <cfRule type="cellIs" dxfId="6753" priority="258" operator="lessThan">
      <formula>0.8</formula>
    </cfRule>
  </conditionalFormatting>
  <conditionalFormatting sqref="R84:R91">
    <cfRule type="cellIs" dxfId="6752" priority="253" operator="lessThan">
      <formula>0.8</formula>
    </cfRule>
    <cfRule type="cellIs" dxfId="6751" priority="254" operator="greaterThan">
      <formula>1</formula>
    </cfRule>
  </conditionalFormatting>
  <conditionalFormatting sqref="R84:R91">
    <cfRule type="cellIs" dxfId="6750" priority="251" operator="greaterThan">
      <formula>1</formula>
    </cfRule>
    <cfRule type="cellIs" dxfId="6749" priority="252" operator="lessThan">
      <formula>0.8</formula>
    </cfRule>
  </conditionalFormatting>
  <conditionalFormatting sqref="P84:P91">
    <cfRule type="cellIs" dxfId="6748" priority="250" operator="greaterThan">
      <formula>0</formula>
    </cfRule>
  </conditionalFormatting>
  <conditionalFormatting sqref="Q84:Q91">
    <cfRule type="cellIs" dxfId="6747" priority="255" operator="lessThan">
      <formula>0</formula>
    </cfRule>
  </conditionalFormatting>
  <conditionalFormatting sqref="Q84:Q91">
    <cfRule type="cellIs" dxfId="6746" priority="249" operator="lessThan">
      <formula>0</formula>
    </cfRule>
  </conditionalFormatting>
  <conditionalFormatting sqref="R84:R91">
    <cfRule type="cellIs" dxfId="6745" priority="247" operator="lessThan">
      <formula>0.8</formula>
    </cfRule>
    <cfRule type="cellIs" dxfId="6744" priority="248" operator="greaterThan">
      <formula>1</formula>
    </cfRule>
  </conditionalFormatting>
  <conditionalFormatting sqref="R84:R91">
    <cfRule type="cellIs" dxfId="6743" priority="245" operator="greaterThan">
      <formula>1</formula>
    </cfRule>
    <cfRule type="cellIs" dxfId="6742" priority="246" operator="lessThan">
      <formula>0.8</formula>
    </cfRule>
  </conditionalFormatting>
  <conditionalFormatting sqref="P84:P91">
    <cfRule type="cellIs" dxfId="6741" priority="244" operator="greaterThan">
      <formula>0</formula>
    </cfRule>
  </conditionalFormatting>
  <conditionalFormatting sqref="Q84:Q91">
    <cfRule type="cellIs" dxfId="6740" priority="243" operator="lessThan">
      <formula>0</formula>
    </cfRule>
  </conditionalFormatting>
  <conditionalFormatting sqref="R84:R91">
    <cfRule type="cellIs" dxfId="6739" priority="241" operator="lessThan">
      <formula>0.8</formula>
    </cfRule>
    <cfRule type="cellIs" dxfId="6738" priority="242" operator="greaterThan">
      <formula>1</formula>
    </cfRule>
  </conditionalFormatting>
  <conditionalFormatting sqref="R84:R91">
    <cfRule type="cellIs" dxfId="6737" priority="239" operator="greaterThan">
      <formula>1</formula>
    </cfRule>
    <cfRule type="cellIs" dxfId="6736" priority="240" operator="lessThan">
      <formula>0.8</formula>
    </cfRule>
  </conditionalFormatting>
  <conditionalFormatting sqref="P84:P91">
    <cfRule type="cellIs" dxfId="6735" priority="238" operator="greaterThan">
      <formula>0</formula>
    </cfRule>
  </conditionalFormatting>
  <conditionalFormatting sqref="Q84:Q91">
    <cfRule type="cellIs" dxfId="6734" priority="237" operator="lessThan">
      <formula>0</formula>
    </cfRule>
  </conditionalFormatting>
  <conditionalFormatting sqref="R84:R91">
    <cfRule type="cellIs" dxfId="6733" priority="235" operator="lessThan">
      <formula>0.8</formula>
    </cfRule>
    <cfRule type="cellIs" dxfId="6732" priority="236" operator="greaterThan">
      <formula>1</formula>
    </cfRule>
  </conditionalFormatting>
  <conditionalFormatting sqref="R84:R91">
    <cfRule type="cellIs" dxfId="6731" priority="233" operator="greaterThan">
      <formula>1</formula>
    </cfRule>
    <cfRule type="cellIs" dxfId="6730" priority="234" operator="lessThan">
      <formula>0.8</formula>
    </cfRule>
  </conditionalFormatting>
  <conditionalFormatting sqref="P84:P91">
    <cfRule type="cellIs" dxfId="6729" priority="232" operator="greaterThan">
      <formula>0</formula>
    </cfRule>
  </conditionalFormatting>
  <conditionalFormatting sqref="Q84:Q91">
    <cfRule type="cellIs" dxfId="6728" priority="231" operator="lessThan">
      <formula>0</formula>
    </cfRule>
  </conditionalFormatting>
  <conditionalFormatting sqref="R84:R91">
    <cfRule type="cellIs" dxfId="6727" priority="229" operator="lessThan">
      <formula>0.8</formula>
    </cfRule>
    <cfRule type="cellIs" dxfId="6726" priority="230" operator="greaterThan">
      <formula>1</formula>
    </cfRule>
  </conditionalFormatting>
  <conditionalFormatting sqref="R84:R91">
    <cfRule type="cellIs" dxfId="6725" priority="227" operator="greaterThan">
      <formula>1</formula>
    </cfRule>
    <cfRule type="cellIs" dxfId="6724" priority="228" operator="lessThan">
      <formula>0.8</formula>
    </cfRule>
  </conditionalFormatting>
  <conditionalFormatting sqref="P84:P91">
    <cfRule type="cellIs" dxfId="6723" priority="226" operator="greaterThan">
      <formula>0</formula>
    </cfRule>
  </conditionalFormatting>
  <conditionalFormatting sqref="P84:P91">
    <cfRule type="cellIs" dxfId="6722" priority="220" operator="greaterThan">
      <formula>0</formula>
    </cfRule>
  </conditionalFormatting>
  <conditionalFormatting sqref="Q84:Q91">
    <cfRule type="cellIs" dxfId="6721" priority="225" operator="lessThan">
      <formula>0</formula>
    </cfRule>
  </conditionalFormatting>
  <conditionalFormatting sqref="R84:R91">
    <cfRule type="cellIs" dxfId="6720" priority="223" operator="lessThan">
      <formula>0.8</formula>
    </cfRule>
    <cfRule type="cellIs" dxfId="6719" priority="224" operator="greaterThan">
      <formula>1</formula>
    </cfRule>
  </conditionalFormatting>
  <conditionalFormatting sqref="R84:R91">
    <cfRule type="cellIs" dxfId="6718" priority="221" operator="greaterThan">
      <formula>1</formula>
    </cfRule>
    <cfRule type="cellIs" dxfId="6717" priority="222" operator="lessThan">
      <formula>0.8</formula>
    </cfRule>
  </conditionalFormatting>
  <conditionalFormatting sqref="P84:P91">
    <cfRule type="cellIs" dxfId="6716" priority="214" operator="greaterThan">
      <formula>0</formula>
    </cfRule>
  </conditionalFormatting>
  <conditionalFormatting sqref="Q84:Q91">
    <cfRule type="cellIs" dxfId="6715" priority="219" operator="lessThan">
      <formula>0</formula>
    </cfRule>
  </conditionalFormatting>
  <conditionalFormatting sqref="R84:R91">
    <cfRule type="cellIs" dxfId="6714" priority="217" operator="lessThan">
      <formula>0.8</formula>
    </cfRule>
    <cfRule type="cellIs" dxfId="6713" priority="218" operator="greaterThan">
      <formula>1</formula>
    </cfRule>
  </conditionalFormatting>
  <conditionalFormatting sqref="R84:R91">
    <cfRule type="cellIs" dxfId="6712" priority="215" operator="greaterThan">
      <formula>1</formula>
    </cfRule>
    <cfRule type="cellIs" dxfId="6711" priority="216" operator="lessThan">
      <formula>0.8</formula>
    </cfRule>
  </conditionalFormatting>
  <conditionalFormatting sqref="R84:R91">
    <cfRule type="cellIs" dxfId="6710" priority="211" operator="lessThan">
      <formula>0.8</formula>
    </cfRule>
    <cfRule type="cellIs" dxfId="6709" priority="212" operator="greaterThan">
      <formula>1</formula>
    </cfRule>
  </conditionalFormatting>
  <conditionalFormatting sqref="R84:R91">
    <cfRule type="cellIs" dxfId="6708" priority="209" operator="greaterThan">
      <formula>1</formula>
    </cfRule>
    <cfRule type="cellIs" dxfId="6707" priority="210" operator="lessThan">
      <formula>0.8</formula>
    </cfRule>
  </conditionalFormatting>
  <conditionalFormatting sqref="P84:P91">
    <cfRule type="cellIs" dxfId="6706" priority="208" operator="greaterThan">
      <formula>0</formula>
    </cfRule>
  </conditionalFormatting>
  <conditionalFormatting sqref="Q84:Q91">
    <cfRule type="cellIs" dxfId="6705" priority="213" operator="lessThan">
      <formula>0</formula>
    </cfRule>
  </conditionalFormatting>
  <conditionalFormatting sqref="Q84:Q91">
    <cfRule type="cellIs" dxfId="6704" priority="207" operator="lessThan">
      <formula>0</formula>
    </cfRule>
  </conditionalFormatting>
  <conditionalFormatting sqref="R84:R91">
    <cfRule type="cellIs" dxfId="6703" priority="205" operator="lessThan">
      <formula>0.8</formula>
    </cfRule>
    <cfRule type="cellIs" dxfId="6702" priority="206" operator="greaterThan">
      <formula>1</formula>
    </cfRule>
  </conditionalFormatting>
  <conditionalFormatting sqref="R84:R91">
    <cfRule type="cellIs" dxfId="6701" priority="203" operator="greaterThan">
      <formula>1</formula>
    </cfRule>
    <cfRule type="cellIs" dxfId="6700" priority="204" operator="lessThan">
      <formula>0.8</formula>
    </cfRule>
  </conditionalFormatting>
  <conditionalFormatting sqref="P84:P91">
    <cfRule type="cellIs" dxfId="6699" priority="202" operator="greaterThan">
      <formula>0</formula>
    </cfRule>
  </conditionalFormatting>
  <conditionalFormatting sqref="P84:P91">
    <cfRule type="cellIs" dxfId="6698" priority="196" operator="greaterThan">
      <formula>0</formula>
    </cfRule>
  </conditionalFormatting>
  <conditionalFormatting sqref="Q84:Q91">
    <cfRule type="cellIs" dxfId="6697" priority="201" operator="lessThan">
      <formula>0</formula>
    </cfRule>
  </conditionalFormatting>
  <conditionalFormatting sqref="R84:R91">
    <cfRule type="cellIs" dxfId="6696" priority="199" operator="lessThan">
      <formula>0.8</formula>
    </cfRule>
    <cfRule type="cellIs" dxfId="6695" priority="200" operator="greaterThan">
      <formula>1</formula>
    </cfRule>
  </conditionalFormatting>
  <conditionalFormatting sqref="R84:R91">
    <cfRule type="cellIs" dxfId="6694" priority="197" operator="greaterThan">
      <formula>1</formula>
    </cfRule>
    <cfRule type="cellIs" dxfId="6693" priority="198" operator="lessThan">
      <formula>0.8</formula>
    </cfRule>
  </conditionalFormatting>
  <conditionalFormatting sqref="P84:P91">
    <cfRule type="cellIs" dxfId="6692" priority="190" operator="greaterThan">
      <formula>0</formula>
    </cfRule>
  </conditionalFormatting>
  <conditionalFormatting sqref="Q84:Q91">
    <cfRule type="cellIs" dxfId="6691" priority="195" operator="lessThan">
      <formula>0</formula>
    </cfRule>
  </conditionalFormatting>
  <conditionalFormatting sqref="R84:R91">
    <cfRule type="cellIs" dxfId="6690" priority="193" operator="lessThan">
      <formula>0.8</formula>
    </cfRule>
    <cfRule type="cellIs" dxfId="6689" priority="194" operator="greaterThan">
      <formula>1</formula>
    </cfRule>
  </conditionalFormatting>
  <conditionalFormatting sqref="R84:R91">
    <cfRule type="cellIs" dxfId="6688" priority="191" operator="greaterThan">
      <formula>1</formula>
    </cfRule>
    <cfRule type="cellIs" dxfId="6687" priority="192" operator="lessThan">
      <formula>0.8</formula>
    </cfRule>
  </conditionalFormatting>
  <conditionalFormatting sqref="R84:R91">
    <cfRule type="cellIs" dxfId="6686" priority="187" operator="lessThan">
      <formula>0.8</formula>
    </cfRule>
    <cfRule type="cellIs" dxfId="6685" priority="188" operator="greaterThan">
      <formula>1</formula>
    </cfRule>
  </conditionalFormatting>
  <conditionalFormatting sqref="R84:R91">
    <cfRule type="cellIs" dxfId="6684" priority="185" operator="greaterThan">
      <formula>1</formula>
    </cfRule>
    <cfRule type="cellIs" dxfId="6683" priority="186" operator="lessThan">
      <formula>0.8</formula>
    </cfRule>
  </conditionalFormatting>
  <conditionalFormatting sqref="P84:P91">
    <cfRule type="cellIs" dxfId="6682" priority="184" operator="greaterThan">
      <formula>0</formula>
    </cfRule>
  </conditionalFormatting>
  <conditionalFormatting sqref="Q84:Q91">
    <cfRule type="cellIs" dxfId="6681" priority="189" operator="lessThan">
      <formula>0</formula>
    </cfRule>
  </conditionalFormatting>
  <conditionalFormatting sqref="P84:P91">
    <cfRule type="cellIs" dxfId="6680" priority="178" operator="greaterThan">
      <formula>0</formula>
    </cfRule>
  </conditionalFormatting>
  <conditionalFormatting sqref="Q84:Q91">
    <cfRule type="cellIs" dxfId="6679" priority="183" operator="lessThan">
      <formula>0</formula>
    </cfRule>
  </conditionalFormatting>
  <conditionalFormatting sqref="R84:R91">
    <cfRule type="cellIs" dxfId="6678" priority="181" operator="lessThan">
      <formula>0.8</formula>
    </cfRule>
    <cfRule type="cellIs" dxfId="6677" priority="182" operator="greaterThan">
      <formula>1</formula>
    </cfRule>
  </conditionalFormatting>
  <conditionalFormatting sqref="R84:R91">
    <cfRule type="cellIs" dxfId="6676" priority="179" operator="greaterThan">
      <formula>1</formula>
    </cfRule>
    <cfRule type="cellIs" dxfId="6675" priority="180" operator="lessThan">
      <formula>0.8</formula>
    </cfRule>
  </conditionalFormatting>
  <conditionalFormatting sqref="R84:R91">
    <cfRule type="cellIs" dxfId="6674" priority="175" operator="lessThan">
      <formula>0.8</formula>
    </cfRule>
    <cfRule type="cellIs" dxfId="6673" priority="176" operator="greaterThan">
      <formula>1</formula>
    </cfRule>
  </conditionalFormatting>
  <conditionalFormatting sqref="R84:R91">
    <cfRule type="cellIs" dxfId="6672" priority="173" operator="greaterThan">
      <formula>1</formula>
    </cfRule>
    <cfRule type="cellIs" dxfId="6671" priority="174" operator="lessThan">
      <formula>0.8</formula>
    </cfRule>
  </conditionalFormatting>
  <conditionalFormatting sqref="P84:P91">
    <cfRule type="cellIs" dxfId="6670" priority="172" operator="greaterThan">
      <formula>0</formula>
    </cfRule>
  </conditionalFormatting>
  <conditionalFormatting sqref="Q84:Q91">
    <cfRule type="cellIs" dxfId="6669" priority="177" operator="lessThan">
      <formula>0</formula>
    </cfRule>
  </conditionalFormatting>
  <conditionalFormatting sqref="R84:R91">
    <cfRule type="cellIs" dxfId="6668" priority="169" operator="lessThan">
      <formula>0.8</formula>
    </cfRule>
    <cfRule type="cellIs" dxfId="6667" priority="170" operator="greaterThan">
      <formula>1</formula>
    </cfRule>
  </conditionalFormatting>
  <conditionalFormatting sqref="R84:R91">
    <cfRule type="cellIs" dxfId="6666" priority="167" operator="greaterThan">
      <formula>1</formula>
    </cfRule>
    <cfRule type="cellIs" dxfId="6665" priority="168" operator="lessThan">
      <formula>0.8</formula>
    </cfRule>
  </conditionalFormatting>
  <conditionalFormatting sqref="P84:P91">
    <cfRule type="cellIs" dxfId="6664" priority="166" operator="greaterThan">
      <formula>0</formula>
    </cfRule>
  </conditionalFormatting>
  <conditionalFormatting sqref="Q84:Q91">
    <cfRule type="cellIs" dxfId="6663" priority="171" operator="lessThan">
      <formula>0</formula>
    </cfRule>
  </conditionalFormatting>
  <conditionalFormatting sqref="Q84:Q91">
    <cfRule type="cellIs" dxfId="6662" priority="165" operator="lessThan">
      <formula>0</formula>
    </cfRule>
  </conditionalFormatting>
  <conditionalFormatting sqref="R84:R91">
    <cfRule type="cellIs" dxfId="6661" priority="163" operator="lessThan">
      <formula>0.8</formula>
    </cfRule>
    <cfRule type="cellIs" dxfId="6660" priority="164" operator="greaterThan">
      <formula>1</formula>
    </cfRule>
  </conditionalFormatting>
  <conditionalFormatting sqref="R84:R91">
    <cfRule type="cellIs" dxfId="6659" priority="161" operator="greaterThan">
      <formula>1</formula>
    </cfRule>
    <cfRule type="cellIs" dxfId="6658" priority="162" operator="lessThan">
      <formula>0.8</formula>
    </cfRule>
  </conditionalFormatting>
  <conditionalFormatting sqref="P84:P91">
    <cfRule type="cellIs" dxfId="6657" priority="160" operator="greaterThan">
      <formula>0</formula>
    </cfRule>
  </conditionalFormatting>
  <conditionalFormatting sqref="Q84:Q91">
    <cfRule type="cellIs" dxfId="6656" priority="154" operator="lessThan">
      <formula>0</formula>
    </cfRule>
  </conditionalFormatting>
  <conditionalFormatting sqref="R84:R91">
    <cfRule type="cellIs" dxfId="6655" priority="158" operator="lessThan">
      <formula>0.8</formula>
    </cfRule>
    <cfRule type="cellIs" dxfId="6654" priority="159" operator="greaterThan">
      <formula>1</formula>
    </cfRule>
  </conditionalFormatting>
  <conditionalFormatting sqref="R84:R91">
    <cfRule type="cellIs" dxfId="6653" priority="156" operator="greaterThan">
      <formula>1</formula>
    </cfRule>
    <cfRule type="cellIs" dxfId="6652" priority="157" operator="lessThan">
      <formula>0.8</formula>
    </cfRule>
  </conditionalFormatting>
  <conditionalFormatting sqref="P84:P91">
    <cfRule type="cellIs" dxfId="6651" priority="155" operator="greaterThan">
      <formula>0</formula>
    </cfRule>
  </conditionalFormatting>
  <conditionalFormatting sqref="Q84:Q91">
    <cfRule type="cellIs" dxfId="6650" priority="153" operator="lessThan">
      <formula>0</formula>
    </cfRule>
  </conditionalFormatting>
  <conditionalFormatting sqref="R84:R91">
    <cfRule type="cellIs" dxfId="6649" priority="151" operator="lessThan">
      <formula>0.8</formula>
    </cfRule>
    <cfRule type="cellIs" dxfId="6648" priority="152" operator="greaterThan">
      <formula>1</formula>
    </cfRule>
  </conditionalFormatting>
  <conditionalFormatting sqref="R84:R91">
    <cfRule type="cellIs" dxfId="6647" priority="149" operator="greaterThan">
      <formula>1</formula>
    </cfRule>
    <cfRule type="cellIs" dxfId="6646" priority="150" operator="lessThan">
      <formula>0.8</formula>
    </cfRule>
  </conditionalFormatting>
  <conditionalFormatting sqref="P84:P91">
    <cfRule type="cellIs" dxfId="6645" priority="148" operator="greaterThan">
      <formula>0</formula>
    </cfRule>
  </conditionalFormatting>
  <conditionalFormatting sqref="Q84:Q91">
    <cfRule type="cellIs" dxfId="6644" priority="147" operator="lessThan">
      <formula>0</formula>
    </cfRule>
  </conditionalFormatting>
  <conditionalFormatting sqref="R84:R91">
    <cfRule type="cellIs" dxfId="6643" priority="145" operator="lessThan">
      <formula>0.8</formula>
    </cfRule>
    <cfRule type="cellIs" dxfId="6642" priority="146" operator="greaterThan">
      <formula>1</formula>
    </cfRule>
  </conditionalFormatting>
  <conditionalFormatting sqref="R84:R91">
    <cfRule type="cellIs" dxfId="6641" priority="143" operator="greaterThan">
      <formula>1</formula>
    </cfRule>
    <cfRule type="cellIs" dxfId="6640" priority="144" operator="lessThan">
      <formula>0.8</formula>
    </cfRule>
  </conditionalFormatting>
  <conditionalFormatting sqref="P84:P91">
    <cfRule type="cellIs" dxfId="6639" priority="142" operator="greaterThan">
      <formula>0</formula>
    </cfRule>
  </conditionalFormatting>
  <conditionalFormatting sqref="Q84:Q91">
    <cfRule type="cellIs" dxfId="6638" priority="141" operator="lessThan">
      <formula>0</formula>
    </cfRule>
  </conditionalFormatting>
  <conditionalFormatting sqref="R84:R91">
    <cfRule type="cellIs" dxfId="6637" priority="139" operator="lessThan">
      <formula>0.8</formula>
    </cfRule>
    <cfRule type="cellIs" dxfId="6636" priority="140" operator="greaterThan">
      <formula>1</formula>
    </cfRule>
  </conditionalFormatting>
  <conditionalFormatting sqref="R84:R91">
    <cfRule type="cellIs" dxfId="6635" priority="137" operator="greaterThan">
      <formula>1</formula>
    </cfRule>
    <cfRule type="cellIs" dxfId="6634" priority="138" operator="lessThan">
      <formula>0.8</formula>
    </cfRule>
  </conditionalFormatting>
  <conditionalFormatting sqref="P84:P91">
    <cfRule type="cellIs" dxfId="6633" priority="136" operator="greaterThan">
      <formula>0</formula>
    </cfRule>
  </conditionalFormatting>
  <conditionalFormatting sqref="Q84:Q91">
    <cfRule type="cellIs" dxfId="6632" priority="135" operator="lessThan">
      <formula>0</formula>
    </cfRule>
  </conditionalFormatting>
  <conditionalFormatting sqref="R84:R91">
    <cfRule type="cellIs" dxfId="6631" priority="133" operator="lessThan">
      <formula>0.8</formula>
    </cfRule>
    <cfRule type="cellIs" dxfId="6630" priority="134" operator="greaterThan">
      <formula>1</formula>
    </cfRule>
  </conditionalFormatting>
  <conditionalFormatting sqref="R84:R91">
    <cfRule type="cellIs" dxfId="6629" priority="131" operator="greaterThan">
      <formula>1</formula>
    </cfRule>
    <cfRule type="cellIs" dxfId="6628" priority="132" operator="lessThan">
      <formula>0.8</formula>
    </cfRule>
  </conditionalFormatting>
  <conditionalFormatting sqref="P84:P91">
    <cfRule type="cellIs" dxfId="6627" priority="130" operator="greaterThan">
      <formula>0</formula>
    </cfRule>
  </conditionalFormatting>
  <conditionalFormatting sqref="Q84:Q91">
    <cfRule type="cellIs" dxfId="6626" priority="129" operator="lessThan">
      <formula>0</formula>
    </cfRule>
  </conditionalFormatting>
  <conditionalFormatting sqref="R84:R91">
    <cfRule type="cellIs" dxfId="6625" priority="127" operator="lessThan">
      <formula>0.8</formula>
    </cfRule>
    <cfRule type="cellIs" dxfId="6624" priority="128" operator="greaterThan">
      <formula>1</formula>
    </cfRule>
  </conditionalFormatting>
  <conditionalFormatting sqref="R84:R91">
    <cfRule type="cellIs" dxfId="6623" priority="125" operator="greaterThan">
      <formula>1</formula>
    </cfRule>
    <cfRule type="cellIs" dxfId="6622" priority="126" operator="lessThan">
      <formula>0.8</formula>
    </cfRule>
  </conditionalFormatting>
  <conditionalFormatting sqref="P84:P91">
    <cfRule type="cellIs" dxfId="6621" priority="124" operator="greaterThan">
      <formula>0</formula>
    </cfRule>
  </conditionalFormatting>
  <conditionalFormatting sqref="P84:P91">
    <cfRule type="cellIs" dxfId="6620" priority="118" operator="greaterThan">
      <formula>0</formula>
    </cfRule>
  </conditionalFormatting>
  <conditionalFormatting sqref="Q84:Q91">
    <cfRule type="cellIs" dxfId="6619" priority="123" operator="lessThan">
      <formula>0</formula>
    </cfRule>
  </conditionalFormatting>
  <conditionalFormatting sqref="R84:R91">
    <cfRule type="cellIs" dxfId="6618" priority="121" operator="lessThan">
      <formula>0.8</formula>
    </cfRule>
    <cfRule type="cellIs" dxfId="6617" priority="122" operator="greaterThan">
      <formula>1</formula>
    </cfRule>
  </conditionalFormatting>
  <conditionalFormatting sqref="R84:R91">
    <cfRule type="cellIs" dxfId="6616" priority="119" operator="greaterThan">
      <formula>1</formula>
    </cfRule>
    <cfRule type="cellIs" dxfId="6615" priority="120" operator="lessThan">
      <formula>0.8</formula>
    </cfRule>
  </conditionalFormatting>
  <conditionalFormatting sqref="P84:P91">
    <cfRule type="cellIs" dxfId="6614" priority="112" operator="greaterThan">
      <formula>0</formula>
    </cfRule>
  </conditionalFormatting>
  <conditionalFormatting sqref="Q84:Q91">
    <cfRule type="cellIs" dxfId="6613" priority="117" operator="lessThan">
      <formula>0</formula>
    </cfRule>
  </conditionalFormatting>
  <conditionalFormatting sqref="R84:R91">
    <cfRule type="cellIs" dxfId="6612" priority="115" operator="lessThan">
      <formula>0.8</formula>
    </cfRule>
    <cfRule type="cellIs" dxfId="6611" priority="116" operator="greaterThan">
      <formula>1</formula>
    </cfRule>
  </conditionalFormatting>
  <conditionalFormatting sqref="R84:R91">
    <cfRule type="cellIs" dxfId="6610" priority="113" operator="greaterThan">
      <formula>1</formula>
    </cfRule>
    <cfRule type="cellIs" dxfId="6609" priority="114" operator="lessThan">
      <formula>0.8</formula>
    </cfRule>
  </conditionalFormatting>
  <conditionalFormatting sqref="R84:R91">
    <cfRule type="cellIs" dxfId="6608" priority="109" operator="lessThan">
      <formula>0.8</formula>
    </cfRule>
    <cfRule type="cellIs" dxfId="6607" priority="110" operator="greaterThan">
      <formula>1</formula>
    </cfRule>
  </conditionalFormatting>
  <conditionalFormatting sqref="R84:R91">
    <cfRule type="cellIs" dxfId="6606" priority="107" operator="greaterThan">
      <formula>1</formula>
    </cfRule>
    <cfRule type="cellIs" dxfId="6605" priority="108" operator="lessThan">
      <formula>0.8</formula>
    </cfRule>
  </conditionalFormatting>
  <conditionalFormatting sqref="P84:P91">
    <cfRule type="cellIs" dxfId="6604" priority="106" operator="greaterThan">
      <formula>0</formula>
    </cfRule>
  </conditionalFormatting>
  <conditionalFormatting sqref="Q84:Q91">
    <cfRule type="cellIs" dxfId="6603" priority="111" operator="lessThan">
      <formula>0</formula>
    </cfRule>
  </conditionalFormatting>
  <conditionalFormatting sqref="Q84:Q91">
    <cfRule type="cellIs" dxfId="6602" priority="100" operator="lessThan">
      <formula>0</formula>
    </cfRule>
  </conditionalFormatting>
  <conditionalFormatting sqref="P84:P91">
    <cfRule type="cellIs" dxfId="6601" priority="101" operator="greaterThan">
      <formula>0</formula>
    </cfRule>
  </conditionalFormatting>
  <conditionalFormatting sqref="R84:R91">
    <cfRule type="cellIs" dxfId="6600" priority="104" operator="lessThan">
      <formula>0.8</formula>
    </cfRule>
    <cfRule type="cellIs" dxfId="6599" priority="105" operator="greaterThan">
      <formula>1</formula>
    </cfRule>
  </conditionalFormatting>
  <conditionalFormatting sqref="R84:R91">
    <cfRule type="cellIs" dxfId="6598" priority="102" operator="greaterThan">
      <formula>1</formula>
    </cfRule>
    <cfRule type="cellIs" dxfId="6597" priority="103" operator="lessThan">
      <formula>0.8</formula>
    </cfRule>
  </conditionalFormatting>
  <conditionalFormatting sqref="Q84:Q91">
    <cfRule type="cellIs" dxfId="6596" priority="94" operator="lessThan">
      <formula>0</formula>
    </cfRule>
  </conditionalFormatting>
  <conditionalFormatting sqref="R84:R91">
    <cfRule type="cellIs" dxfId="6595" priority="98" operator="lessThan">
      <formula>0.8</formula>
    </cfRule>
    <cfRule type="cellIs" dxfId="6594" priority="99" operator="greaterThan">
      <formula>1</formula>
    </cfRule>
  </conditionalFormatting>
  <conditionalFormatting sqref="R84:R91">
    <cfRule type="cellIs" dxfId="6593" priority="96" operator="greaterThan">
      <formula>1</formula>
    </cfRule>
    <cfRule type="cellIs" dxfId="6592" priority="97" operator="lessThan">
      <formula>0.8</formula>
    </cfRule>
  </conditionalFormatting>
  <conditionalFormatting sqref="P84:P91">
    <cfRule type="cellIs" dxfId="6591" priority="95" operator="greaterThan">
      <formula>0</formula>
    </cfRule>
  </conditionalFormatting>
  <conditionalFormatting sqref="Q84:Q91">
    <cfRule type="cellIs" dxfId="6590" priority="93" operator="lessThan">
      <formula>0</formula>
    </cfRule>
  </conditionalFormatting>
  <conditionalFormatting sqref="R84:R91">
    <cfRule type="cellIs" dxfId="6589" priority="91" operator="lessThan">
      <formula>0.8</formula>
    </cfRule>
    <cfRule type="cellIs" dxfId="6588" priority="92" operator="greaterThan">
      <formula>1</formula>
    </cfRule>
  </conditionalFormatting>
  <conditionalFormatting sqref="R84:R91">
    <cfRule type="cellIs" dxfId="6587" priority="89" operator="greaterThan">
      <formula>1</formula>
    </cfRule>
    <cfRule type="cellIs" dxfId="6586" priority="90" operator="lessThan">
      <formula>0.8</formula>
    </cfRule>
  </conditionalFormatting>
  <conditionalFormatting sqref="P84:P91">
    <cfRule type="cellIs" dxfId="6585" priority="88" operator="greaterThan">
      <formula>0</formula>
    </cfRule>
  </conditionalFormatting>
  <conditionalFormatting sqref="Q84:Q91">
    <cfRule type="cellIs" dxfId="6584" priority="87" operator="lessThan">
      <formula>0</formula>
    </cfRule>
  </conditionalFormatting>
  <conditionalFormatting sqref="R84:R91">
    <cfRule type="cellIs" dxfId="6583" priority="85" operator="lessThan">
      <formula>0.8</formula>
    </cfRule>
    <cfRule type="cellIs" dxfId="6582" priority="86" operator="greaterThan">
      <formula>1</formula>
    </cfRule>
  </conditionalFormatting>
  <conditionalFormatting sqref="R84:R91">
    <cfRule type="cellIs" dxfId="6581" priority="83" operator="greaterThan">
      <formula>1</formula>
    </cfRule>
    <cfRule type="cellIs" dxfId="6580" priority="84" operator="lessThan">
      <formula>0.8</formula>
    </cfRule>
  </conditionalFormatting>
  <conditionalFormatting sqref="P84:P91">
    <cfRule type="cellIs" dxfId="6579" priority="82" operator="greaterThan">
      <formula>0</formula>
    </cfRule>
  </conditionalFormatting>
  <conditionalFormatting sqref="Q84:Q91">
    <cfRule type="cellIs" dxfId="6578" priority="81" operator="lessThan">
      <formula>0</formula>
    </cfRule>
  </conditionalFormatting>
  <conditionalFormatting sqref="R84:R91">
    <cfRule type="cellIs" dxfId="6577" priority="79" operator="lessThan">
      <formula>0.8</formula>
    </cfRule>
    <cfRule type="cellIs" dxfId="6576" priority="80" operator="greaterThan">
      <formula>1</formula>
    </cfRule>
  </conditionalFormatting>
  <conditionalFormatting sqref="R84:R91">
    <cfRule type="cellIs" dxfId="6575" priority="77" operator="greaterThan">
      <formula>1</formula>
    </cfRule>
    <cfRule type="cellIs" dxfId="6574" priority="78" operator="lessThan">
      <formula>0.8</formula>
    </cfRule>
  </conditionalFormatting>
  <conditionalFormatting sqref="P84:P91">
    <cfRule type="cellIs" dxfId="6573" priority="76" operator="greaterThan">
      <formula>0</formula>
    </cfRule>
  </conditionalFormatting>
  <conditionalFormatting sqref="Q162:Q167">
    <cfRule type="cellIs" dxfId="6572" priority="75" operator="lessThan">
      <formula>0</formula>
    </cfRule>
  </conditionalFormatting>
  <conditionalFormatting sqref="R162:R167">
    <cfRule type="cellIs" dxfId="6571" priority="73" operator="lessThan">
      <formula>0.8</formula>
    </cfRule>
    <cfRule type="cellIs" dxfId="6570" priority="74" operator="greaterThan">
      <formula>1</formula>
    </cfRule>
  </conditionalFormatting>
  <conditionalFormatting sqref="R162:R167">
    <cfRule type="cellIs" dxfId="6569" priority="71" operator="greaterThan">
      <formula>1</formula>
    </cfRule>
    <cfRule type="cellIs" dxfId="6568" priority="72" operator="lessThan">
      <formula>0.8</formula>
    </cfRule>
  </conditionalFormatting>
  <conditionalFormatting sqref="P162:P167">
    <cfRule type="cellIs" dxfId="6567" priority="70" operator="greaterThan">
      <formula>0</formula>
    </cfRule>
  </conditionalFormatting>
  <conditionalFormatting sqref="P168">
    <cfRule type="cellIs" dxfId="6566" priority="64" operator="greaterThan">
      <formula>0</formula>
    </cfRule>
  </conditionalFormatting>
  <conditionalFormatting sqref="R168">
    <cfRule type="cellIs" dxfId="6565" priority="67" operator="lessThan">
      <formula>0.8</formula>
    </cfRule>
    <cfRule type="cellIs" dxfId="6564" priority="68" operator="greaterThan">
      <formula>1</formula>
    </cfRule>
  </conditionalFormatting>
  <conditionalFormatting sqref="R168">
    <cfRule type="cellIs" dxfId="6563" priority="65" operator="greaterThan">
      <formula>1</formula>
    </cfRule>
    <cfRule type="cellIs" dxfId="6562" priority="66" operator="lessThan">
      <formula>0.8</formula>
    </cfRule>
  </conditionalFormatting>
  <conditionalFormatting sqref="Q168">
    <cfRule type="cellIs" dxfId="6561" priority="69" operator="lessThan">
      <formula>0</formula>
    </cfRule>
  </conditionalFormatting>
  <conditionalFormatting sqref="Q161">
    <cfRule type="cellIs" dxfId="6560" priority="63" operator="lessThan">
      <formula>0</formula>
    </cfRule>
  </conditionalFormatting>
  <conditionalFormatting sqref="R161">
    <cfRule type="cellIs" dxfId="6559" priority="61" operator="lessThan">
      <formula>0.8</formula>
    </cfRule>
    <cfRule type="cellIs" dxfId="6558" priority="62" operator="greaterThan">
      <formula>1</formula>
    </cfRule>
  </conditionalFormatting>
  <conditionalFormatting sqref="R161">
    <cfRule type="cellIs" dxfId="6557" priority="59" operator="greaterThan">
      <formula>1</formula>
    </cfRule>
    <cfRule type="cellIs" dxfId="6556" priority="60" operator="lessThan">
      <formula>0.8</formula>
    </cfRule>
  </conditionalFormatting>
  <conditionalFormatting sqref="P161">
    <cfRule type="cellIs" dxfId="6555" priority="58" operator="greaterThan">
      <formula>0</formula>
    </cfRule>
  </conditionalFormatting>
  <conditionalFormatting sqref="Q162:Q167">
    <cfRule type="cellIs" dxfId="6554" priority="57" operator="lessThan">
      <formula>0</formula>
    </cfRule>
  </conditionalFormatting>
  <conditionalFormatting sqref="R162:R167">
    <cfRule type="cellIs" dxfId="6553" priority="55" operator="lessThan">
      <formula>0.8</formula>
    </cfRule>
    <cfRule type="cellIs" dxfId="6552" priority="56" operator="greaterThan">
      <formula>1</formula>
    </cfRule>
  </conditionalFormatting>
  <conditionalFormatting sqref="R162:R167">
    <cfRule type="cellIs" dxfId="6551" priority="53" operator="greaterThan">
      <formula>1</formula>
    </cfRule>
    <cfRule type="cellIs" dxfId="6550" priority="54" operator="lessThan">
      <formula>0.8</formula>
    </cfRule>
  </conditionalFormatting>
  <conditionalFormatting sqref="P162:P167">
    <cfRule type="cellIs" dxfId="6549" priority="52" operator="greaterThan">
      <formula>0</formula>
    </cfRule>
  </conditionalFormatting>
  <conditionalFormatting sqref="Q162:Q167">
    <cfRule type="cellIs" dxfId="6548" priority="51" operator="lessThan">
      <formula>0</formula>
    </cfRule>
  </conditionalFormatting>
  <conditionalFormatting sqref="R162:R167">
    <cfRule type="cellIs" dxfId="6547" priority="49" operator="lessThan">
      <formula>0.8</formula>
    </cfRule>
    <cfRule type="cellIs" dxfId="6546" priority="50" operator="greaterThan">
      <formula>1</formula>
    </cfRule>
  </conditionalFormatting>
  <conditionalFormatting sqref="R162:R167">
    <cfRule type="cellIs" dxfId="6545" priority="47" operator="greaterThan">
      <formula>1</formula>
    </cfRule>
    <cfRule type="cellIs" dxfId="6544" priority="48" operator="lessThan">
      <formula>0.8</formula>
    </cfRule>
  </conditionalFormatting>
  <conditionalFormatting sqref="P162:P167">
    <cfRule type="cellIs" dxfId="6543" priority="46" operator="greaterThan">
      <formula>0</formula>
    </cfRule>
  </conditionalFormatting>
  <conditionalFormatting sqref="Q168">
    <cfRule type="cellIs" dxfId="6542" priority="45" operator="lessThan">
      <formula>0</formula>
    </cfRule>
  </conditionalFormatting>
  <conditionalFormatting sqref="R168">
    <cfRule type="cellIs" dxfId="6541" priority="43" operator="lessThan">
      <formula>0.8</formula>
    </cfRule>
    <cfRule type="cellIs" dxfId="6540" priority="44" operator="greaterThan">
      <formula>1</formula>
    </cfRule>
  </conditionalFormatting>
  <conditionalFormatting sqref="R168">
    <cfRule type="cellIs" dxfId="6539" priority="41" operator="greaterThan">
      <formula>1</formula>
    </cfRule>
    <cfRule type="cellIs" dxfId="6538" priority="42" operator="lessThan">
      <formula>0.8</formula>
    </cfRule>
  </conditionalFormatting>
  <conditionalFormatting sqref="P168">
    <cfRule type="cellIs" dxfId="6537" priority="40" operator="greaterThan">
      <formula>0</formula>
    </cfRule>
  </conditionalFormatting>
  <conditionalFormatting sqref="Q161">
    <cfRule type="cellIs" dxfId="6536" priority="39" operator="lessThan">
      <formula>0</formula>
    </cfRule>
  </conditionalFormatting>
  <conditionalFormatting sqref="R161">
    <cfRule type="cellIs" dxfId="6535" priority="37" operator="lessThan">
      <formula>0.8</formula>
    </cfRule>
    <cfRule type="cellIs" dxfId="6534" priority="38" operator="greaterThan">
      <formula>1</formula>
    </cfRule>
  </conditionalFormatting>
  <conditionalFormatting sqref="R161">
    <cfRule type="cellIs" dxfId="6533" priority="35" operator="greaterThan">
      <formula>1</formula>
    </cfRule>
    <cfRule type="cellIs" dxfId="6532" priority="36" operator="lessThan">
      <formula>0.8</formula>
    </cfRule>
  </conditionalFormatting>
  <conditionalFormatting sqref="P161">
    <cfRule type="cellIs" dxfId="6531" priority="34" operator="greaterThan">
      <formula>0</formula>
    </cfRule>
  </conditionalFormatting>
  <conditionalFormatting sqref="Q162:Q167">
    <cfRule type="cellIs" dxfId="6530" priority="33" operator="lessThan">
      <formula>0</formula>
    </cfRule>
  </conditionalFormatting>
  <conditionalFormatting sqref="R162:R167">
    <cfRule type="cellIs" dxfId="6529" priority="31" operator="lessThan">
      <formula>0.8</formula>
    </cfRule>
    <cfRule type="cellIs" dxfId="6528" priority="32" operator="greaterThan">
      <formula>1</formula>
    </cfRule>
  </conditionalFormatting>
  <conditionalFormatting sqref="R162:R167">
    <cfRule type="cellIs" dxfId="6527" priority="29" operator="greaterThan">
      <formula>1</formula>
    </cfRule>
    <cfRule type="cellIs" dxfId="6526" priority="30" operator="lessThan">
      <formula>0.8</formula>
    </cfRule>
  </conditionalFormatting>
  <conditionalFormatting sqref="P162:P167">
    <cfRule type="cellIs" dxfId="6525" priority="28" operator="greaterThan">
      <formula>0</formula>
    </cfRule>
  </conditionalFormatting>
  <conditionalFormatting sqref="Q161">
    <cfRule type="cellIs" dxfId="6524" priority="27" operator="lessThan">
      <formula>0</formula>
    </cfRule>
  </conditionalFormatting>
  <conditionalFormatting sqref="R161">
    <cfRule type="cellIs" dxfId="6523" priority="25" operator="lessThan">
      <formula>0.8</formula>
    </cfRule>
    <cfRule type="cellIs" dxfId="6522" priority="26" operator="greaterThan">
      <formula>1</formula>
    </cfRule>
  </conditionalFormatting>
  <conditionalFormatting sqref="R161">
    <cfRule type="cellIs" dxfId="6521" priority="23" operator="greaterThan">
      <formula>1</formula>
    </cfRule>
    <cfRule type="cellIs" dxfId="6520" priority="24" operator="lessThan">
      <formula>0.8</formula>
    </cfRule>
  </conditionalFormatting>
  <conditionalFormatting sqref="P161">
    <cfRule type="cellIs" dxfId="6519" priority="22" operator="greaterThan">
      <formula>0</formula>
    </cfRule>
  </conditionalFormatting>
  <conditionalFormatting sqref="Q162:Q167">
    <cfRule type="cellIs" dxfId="6518" priority="21" operator="lessThan">
      <formula>0</formula>
    </cfRule>
  </conditionalFormatting>
  <conditionalFormatting sqref="R162:R167">
    <cfRule type="cellIs" dxfId="6517" priority="19" operator="lessThan">
      <formula>0.8</formula>
    </cfRule>
    <cfRule type="cellIs" dxfId="6516" priority="20" operator="greaterThan">
      <formula>1</formula>
    </cfRule>
  </conditionalFormatting>
  <conditionalFormatting sqref="R162:R167">
    <cfRule type="cellIs" dxfId="6515" priority="17" operator="greaterThan">
      <formula>1</formula>
    </cfRule>
    <cfRule type="cellIs" dxfId="6514" priority="18" operator="lessThan">
      <formula>0.8</formula>
    </cfRule>
  </conditionalFormatting>
  <conditionalFormatting sqref="P162:P167">
    <cfRule type="cellIs" dxfId="6513" priority="16" operator="greaterThan">
      <formula>0</formula>
    </cfRule>
  </conditionalFormatting>
  <conditionalFormatting sqref="Q161">
    <cfRule type="cellIs" dxfId="6512" priority="15" operator="lessThan">
      <formula>0</formula>
    </cfRule>
  </conditionalFormatting>
  <conditionalFormatting sqref="R161">
    <cfRule type="cellIs" dxfId="6511" priority="13" operator="lessThan">
      <formula>0.8</formula>
    </cfRule>
    <cfRule type="cellIs" dxfId="6510" priority="14" operator="greaterThan">
      <formula>1</formula>
    </cfRule>
  </conditionalFormatting>
  <conditionalFormatting sqref="R161">
    <cfRule type="cellIs" dxfId="6509" priority="11" operator="greaterThan">
      <formula>1</formula>
    </cfRule>
    <cfRule type="cellIs" dxfId="6508" priority="12" operator="lessThan">
      <formula>0.8</formula>
    </cfRule>
  </conditionalFormatting>
  <conditionalFormatting sqref="P161">
    <cfRule type="cellIs" dxfId="6507" priority="10" operator="greaterThan">
      <formula>0</formula>
    </cfRule>
  </conditionalFormatting>
  <conditionalFormatting sqref="P168">
    <cfRule type="cellIs" dxfId="6506" priority="4" operator="greaterThan">
      <formula>0</formula>
    </cfRule>
  </conditionalFormatting>
  <conditionalFormatting sqref="R168">
    <cfRule type="cellIs" dxfId="6505" priority="7" operator="lessThan">
      <formula>0.8</formula>
    </cfRule>
    <cfRule type="cellIs" dxfId="6504" priority="8" operator="greaterThan">
      <formula>1</formula>
    </cfRule>
  </conditionalFormatting>
  <conditionalFormatting sqref="R168">
    <cfRule type="cellIs" dxfId="6503" priority="5" operator="greaterThan">
      <formula>1</formula>
    </cfRule>
    <cfRule type="cellIs" dxfId="6502" priority="6" operator="lessThan">
      <formula>0.8</formula>
    </cfRule>
  </conditionalFormatting>
  <conditionalFormatting sqref="Q168">
    <cfRule type="cellIs" dxfId="6501" priority="9" operator="lessThan">
      <formula>0</formula>
    </cfRule>
  </conditionalFormatting>
  <conditionalFormatting sqref="AF30">
    <cfRule type="cellIs" dxfId="6500" priority="3" operator="lessThan">
      <formula>0</formula>
    </cfRule>
  </conditionalFormatting>
  <conditionalFormatting sqref="AG30">
    <cfRule type="cellIs" dxfId="6499" priority="1" operator="greaterThan">
      <formula>1</formula>
    </cfRule>
    <cfRule type="cellIs" dxfId="649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AJ19" sqref="AJ1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50" t="s">
        <v>0</v>
      </c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2"/>
      <c r="N1" s="1"/>
      <c r="O1" s="1"/>
    </row>
    <row r="2" spans="2:17" ht="27.75" customHeight="1">
      <c r="B2" s="550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1"/>
      <c r="O2" s="1"/>
    </row>
    <row r="3" spans="2:17" ht="46.5" customHeight="1">
      <c r="B3" s="543" t="s">
        <v>1</v>
      </c>
      <c r="C3" s="504"/>
      <c r="D3" s="553" t="s">
        <v>366</v>
      </c>
      <c r="E3" s="554"/>
      <c r="F3" s="543" t="s">
        <v>2</v>
      </c>
      <c r="G3" s="504"/>
      <c r="H3" s="555">
        <v>298718.40000000002</v>
      </c>
      <c r="I3" s="556"/>
      <c r="J3" s="543" t="s">
        <v>3</v>
      </c>
      <c r="K3" s="504"/>
      <c r="L3" s="548">
        <v>10119993.488201415</v>
      </c>
      <c r="M3" s="549"/>
      <c r="N3" s="378"/>
      <c r="O3" s="378"/>
      <c r="P3" s="378"/>
      <c r="Q3" s="378"/>
    </row>
    <row r="4" spans="2:17" ht="24" customHeight="1">
      <c r="B4" s="543" t="s">
        <v>150</v>
      </c>
      <c r="C4" s="504"/>
      <c r="D4" s="535" t="s">
        <v>150</v>
      </c>
      <c r="E4" s="536"/>
      <c r="F4" s="546" t="s">
        <v>151</v>
      </c>
      <c r="G4" s="547"/>
      <c r="H4" s="546" t="s">
        <v>152</v>
      </c>
      <c r="I4" s="547"/>
      <c r="J4" s="546" t="s">
        <v>153</v>
      </c>
      <c r="K4" s="547"/>
      <c r="L4" s="548" t="s">
        <v>154</v>
      </c>
      <c r="M4" s="549"/>
      <c r="N4" s="529" t="s">
        <v>4</v>
      </c>
      <c r="O4" s="530"/>
      <c r="P4" s="530" t="s">
        <v>5</v>
      </c>
      <c r="Q4" s="530"/>
    </row>
    <row r="5" spans="2:17" ht="24" customHeight="1">
      <c r="B5" s="531" t="s">
        <v>35</v>
      </c>
      <c r="C5" s="510"/>
      <c r="D5" s="535" t="s">
        <v>155</v>
      </c>
      <c r="E5" s="536"/>
      <c r="F5" s="535" t="s">
        <v>6</v>
      </c>
      <c r="G5" s="536"/>
      <c r="H5" s="537" t="s">
        <v>7</v>
      </c>
      <c r="I5" s="538"/>
      <c r="J5" s="539" t="s">
        <v>8</v>
      </c>
      <c r="K5" s="540"/>
      <c r="L5" s="541" t="s">
        <v>9</v>
      </c>
      <c r="M5" s="542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532"/>
      <c r="C6" s="533"/>
      <c r="D6" s="543" t="s">
        <v>10</v>
      </c>
      <c r="E6" s="504"/>
      <c r="F6" s="544">
        <f>AVERAGE(D13:O13,P13:Q13,D30:E30,G30:H30,J30:M30)</f>
        <v>382.5627285918174</v>
      </c>
      <c r="G6" s="545"/>
      <c r="H6" s="523">
        <f>AVERAGE(D13:P13,Q13)</f>
        <v>139.02714492999888</v>
      </c>
      <c r="I6" s="524"/>
      <c r="J6" s="523">
        <f>AVERAGE(D30:E30,G30:H30)</f>
        <v>736.25</v>
      </c>
      <c r="K6" s="524"/>
      <c r="L6" s="525">
        <f>AVERAGE(J30:M30)</f>
        <v>881.25</v>
      </c>
      <c r="M6" s="526"/>
      <c r="N6" s="527">
        <v>0</v>
      </c>
      <c r="O6" s="512">
        <v>0</v>
      </c>
      <c r="P6" s="528">
        <v>9</v>
      </c>
      <c r="Q6" s="512">
        <v>3</v>
      </c>
    </row>
    <row r="7" spans="2:17" s="5" customFormat="1" ht="39.6" customHeight="1">
      <c r="B7" s="532"/>
      <c r="C7" s="533"/>
      <c r="D7" s="513" t="s">
        <v>11</v>
      </c>
      <c r="E7" s="514"/>
      <c r="F7" s="515">
        <f>AVERAGE(D14:O14,P14:Q14,D31:E31,J31:M31,G31:H31)</f>
        <v>367.33603961666574</v>
      </c>
      <c r="G7" s="516"/>
      <c r="H7" s="517">
        <f>AVERAGE(D14:P14,Q14)</f>
        <v>126.46287165941919</v>
      </c>
      <c r="I7" s="518"/>
      <c r="J7" s="517">
        <f>AVERAGE(D31:E31,G31:H31)</f>
        <v>709.61884620843102</v>
      </c>
      <c r="K7" s="518"/>
      <c r="L7" s="519">
        <f>AVERAGE(J31:M31)</f>
        <v>868.10932087526317</v>
      </c>
      <c r="M7" s="520"/>
      <c r="N7" s="527"/>
      <c r="O7" s="512"/>
      <c r="P7" s="528"/>
      <c r="Q7" s="512"/>
    </row>
    <row r="8" spans="2:17" s="5" customFormat="1" ht="39.6" customHeight="1">
      <c r="B8" s="534"/>
      <c r="C8" s="511"/>
      <c r="D8" s="513" t="s">
        <v>12</v>
      </c>
      <c r="E8" s="514"/>
      <c r="F8" s="521">
        <f>AVERAGE(D15:O15,P15:Q15,D32:E32,G32:H32,J32:M32)</f>
        <v>0.93007014070984506</v>
      </c>
      <c r="G8" s="522"/>
      <c r="H8" s="521">
        <f>AVERAGE(D15:O15,P15:Q15)</f>
        <v>0.90759845573994691</v>
      </c>
      <c r="I8" s="522"/>
      <c r="J8" s="521">
        <f>AVERAGE(D32:E32,G32:H32)</f>
        <v>0.94819833070377224</v>
      </c>
      <c r="K8" s="522"/>
      <c r="L8" s="521">
        <f>AVERAGE(J32:M32)</f>
        <v>0.99059284811056192</v>
      </c>
      <c r="M8" s="522"/>
      <c r="N8" s="527"/>
      <c r="O8" s="512"/>
      <c r="P8" s="528"/>
      <c r="Q8" s="512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00" t="s">
        <v>192</v>
      </c>
      <c r="C10" s="506"/>
      <c r="D10" s="507" t="s">
        <v>193</v>
      </c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8"/>
      <c r="Q10" s="509"/>
    </row>
    <row r="11" spans="2:17" ht="17.25" customHeight="1">
      <c r="B11" s="491" t="s">
        <v>194</v>
      </c>
      <c r="C11" s="510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493"/>
      <c r="C12" s="511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495" t="s">
        <v>35</v>
      </c>
      <c r="C13" s="14" t="s">
        <v>208</v>
      </c>
      <c r="D13" s="19">
        <v>139.96461742591774</v>
      </c>
      <c r="E13" s="19">
        <v>110.28529411764706</v>
      </c>
      <c r="F13" s="19">
        <v>121.05310457516339</v>
      </c>
      <c r="G13" s="19">
        <v>352.0408163265306</v>
      </c>
      <c r="H13" s="19">
        <v>228.57142857142858</v>
      </c>
      <c r="I13" s="19">
        <v>89.819661197812465</v>
      </c>
      <c r="J13" s="19">
        <v>73.834586466165419</v>
      </c>
      <c r="K13" s="19">
        <v>101.78960746091809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496"/>
      <c r="C14" s="14" t="s">
        <v>209</v>
      </c>
      <c r="D14" s="19">
        <v>126.65638735373624</v>
      </c>
      <c r="E14" s="19">
        <v>100.15451265836995</v>
      </c>
      <c r="F14" s="19">
        <v>103.09528927135398</v>
      </c>
      <c r="G14" s="19">
        <v>313.13895312139141</v>
      </c>
      <c r="H14" s="19">
        <v>225.55294761185104</v>
      </c>
      <c r="I14" s="19">
        <v>80.920765480144297</v>
      </c>
      <c r="J14" s="19">
        <v>66.728688901065297</v>
      </c>
      <c r="K14" s="19">
        <v>94.280202731561815</v>
      </c>
      <c r="L14" s="19">
        <v>96.984869051497412</v>
      </c>
      <c r="M14" s="19">
        <v>75.02493786846928</v>
      </c>
      <c r="N14" s="19">
        <v>78.912521750164217</v>
      </c>
      <c r="O14" s="19">
        <v>77.558648551246975</v>
      </c>
      <c r="P14" s="19">
        <v>198.68152049973159</v>
      </c>
      <c r="Q14" s="9">
        <v>132.78995838128543</v>
      </c>
    </row>
    <row r="15" spans="2:17" ht="39.9" customHeight="1">
      <c r="B15" s="497"/>
      <c r="C15" s="379" t="s">
        <v>210</v>
      </c>
      <c r="D15" s="10">
        <f t="shared" ref="D15:Q15" si="0">D14/D13</f>
        <v>0.90491718323578851</v>
      </c>
      <c r="E15" s="10">
        <f t="shared" si="0"/>
        <v>0.90814023265449995</v>
      </c>
      <c r="F15" s="10">
        <f t="shared" si="0"/>
        <v>0.85165340974250536</v>
      </c>
      <c r="G15" s="10">
        <f t="shared" si="0"/>
        <v>0.88949615669264803</v>
      </c>
      <c r="H15" s="10">
        <f t="shared" si="0"/>
        <v>0.98679414580184821</v>
      </c>
      <c r="I15" s="10">
        <f t="shared" si="0"/>
        <v>0.90092485766485053</v>
      </c>
      <c r="J15" s="10">
        <f t="shared" si="0"/>
        <v>0.90375922849711643</v>
      </c>
      <c r="K15" s="10">
        <f t="shared" si="0"/>
        <v>0.92622621388691873</v>
      </c>
      <c r="L15" s="10">
        <f t="shared" si="0"/>
        <v>0.9251951734624464</v>
      </c>
      <c r="M15" s="10">
        <f t="shared" si="0"/>
        <v>0.91210934246836128</v>
      </c>
      <c r="N15" s="10">
        <f t="shared" si="0"/>
        <v>0.91677267719007494</v>
      </c>
      <c r="O15" s="10">
        <f t="shared" si="0"/>
        <v>0.88446762777741639</v>
      </c>
      <c r="P15" s="381">
        <f t="shared" si="0"/>
        <v>0.91065574207621469</v>
      </c>
      <c r="Q15" s="11">
        <f t="shared" si="0"/>
        <v>0.88526638920856948</v>
      </c>
    </row>
    <row r="16" spans="2:17" ht="22.8" customHeight="1">
      <c r="B16" s="498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499"/>
      <c r="C17" s="379" t="s">
        <v>36</v>
      </c>
      <c r="D17" s="12">
        <v>0.78333333333333333</v>
      </c>
      <c r="E17" s="12">
        <v>0.69305555555555554</v>
      </c>
      <c r="F17" s="12">
        <v>0.67222222222222205</v>
      </c>
      <c r="G17" s="12">
        <v>0.70833333333333337</v>
      </c>
      <c r="H17" s="12">
        <v>0.71944444444444444</v>
      </c>
      <c r="I17" s="12">
        <v>0.7847222222222221</v>
      </c>
      <c r="J17" s="12">
        <v>0.84027777777777768</v>
      </c>
      <c r="K17" s="12">
        <v>0.79513888888888884</v>
      </c>
      <c r="L17" s="12">
        <v>0.93125000000000002</v>
      </c>
      <c r="M17" s="12">
        <v>0.96944444444444433</v>
      </c>
      <c r="N17" s="12">
        <v>1.028472222222222</v>
      </c>
      <c r="O17" s="22">
        <v>0.94166666666666665</v>
      </c>
      <c r="P17" s="12">
        <v>0.68124999999999991</v>
      </c>
      <c r="Q17" s="382">
        <v>0.68055555555555547</v>
      </c>
    </row>
    <row r="18" spans="2:17" ht="22.8" customHeight="1">
      <c r="B18" s="502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503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502" t="s">
        <v>16</v>
      </c>
      <c r="C20" s="383" t="s">
        <v>213</v>
      </c>
      <c r="D20" s="384">
        <v>1</v>
      </c>
      <c r="E20" s="384">
        <v>2</v>
      </c>
      <c r="F20" s="384">
        <v>1</v>
      </c>
      <c r="G20" s="384" t="s">
        <v>15</v>
      </c>
      <c r="H20" s="384" t="s">
        <v>15</v>
      </c>
      <c r="I20" s="384">
        <v>1</v>
      </c>
      <c r="J20" s="384">
        <v>1</v>
      </c>
      <c r="K20" s="384" t="s">
        <v>15</v>
      </c>
      <c r="L20" s="384" t="s">
        <v>15</v>
      </c>
      <c r="M20" s="384">
        <v>1</v>
      </c>
      <c r="N20" s="384">
        <v>1</v>
      </c>
      <c r="O20" s="384" t="s">
        <v>15</v>
      </c>
      <c r="P20" s="384">
        <v>1</v>
      </c>
      <c r="Q20" s="385"/>
    </row>
    <row r="21" spans="2:17" ht="22.8" customHeight="1">
      <c r="B21" s="503"/>
      <c r="C21" s="383" t="s">
        <v>215</v>
      </c>
      <c r="D21" s="384">
        <v>1</v>
      </c>
      <c r="E21" s="384">
        <v>1</v>
      </c>
      <c r="F21" s="384">
        <v>1</v>
      </c>
      <c r="G21" s="384" t="s">
        <v>15</v>
      </c>
      <c r="H21" s="384" t="s">
        <v>15</v>
      </c>
      <c r="I21" s="384" t="s">
        <v>15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17" ht="22.8" customHeight="1">
      <c r="B22" s="481" t="s">
        <v>216</v>
      </c>
      <c r="C22" s="504"/>
      <c r="D22" s="386">
        <v>18</v>
      </c>
      <c r="E22" s="386">
        <v>17.600000000000001</v>
      </c>
      <c r="F22" s="386">
        <v>15.333333333333334</v>
      </c>
      <c r="G22" s="386">
        <v>5.7142857142857144</v>
      </c>
      <c r="H22" s="386">
        <v>6.6</v>
      </c>
      <c r="I22" s="386">
        <v>16.571428571428573</v>
      </c>
      <c r="J22" s="386">
        <v>19.166666666666668</v>
      </c>
      <c r="K22" s="386">
        <v>16.222222222222221</v>
      </c>
      <c r="L22" s="386">
        <v>14.625</v>
      </c>
      <c r="M22" s="386">
        <v>18.5</v>
      </c>
      <c r="N22" s="386">
        <v>17.5</v>
      </c>
      <c r="O22" s="386">
        <v>17.166666666666668</v>
      </c>
      <c r="P22" s="386">
        <v>11.333333333333334</v>
      </c>
      <c r="Q22" s="387">
        <v>12</v>
      </c>
    </row>
    <row r="23" spans="2:17" ht="22.8" customHeight="1">
      <c r="B23" s="481" t="s">
        <v>217</v>
      </c>
      <c r="C23" s="50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481" t="s">
        <v>218</v>
      </c>
      <c r="C24" s="50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483" t="s">
        <v>219</v>
      </c>
      <c r="C25" s="505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00"/>
      <c r="C27" s="501"/>
      <c r="D27" s="485" t="s">
        <v>220</v>
      </c>
      <c r="E27" s="486"/>
      <c r="F27" s="486"/>
      <c r="G27" s="486"/>
      <c r="H27" s="487"/>
      <c r="I27" s="488" t="s">
        <v>221</v>
      </c>
      <c r="J27" s="489"/>
      <c r="K27" s="489"/>
      <c r="L27" s="489"/>
      <c r="M27" s="490"/>
      <c r="N27" s="378"/>
      <c r="O27" s="378"/>
      <c r="P27" s="378"/>
      <c r="Q27" s="378"/>
    </row>
    <row r="28" spans="2:17" ht="17.25" customHeight="1">
      <c r="B28" s="491" t="s">
        <v>194</v>
      </c>
      <c r="C28" s="492"/>
      <c r="D28" s="388">
        <v>1</v>
      </c>
      <c r="E28" s="416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493"/>
      <c r="C29" s="494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495" t="s">
        <v>35</v>
      </c>
      <c r="C30" s="392" t="s">
        <v>208</v>
      </c>
      <c r="D30" s="20">
        <v>320</v>
      </c>
      <c r="E30" s="417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496"/>
      <c r="C31" s="392" t="s">
        <v>209</v>
      </c>
      <c r="D31" s="394">
        <v>277.98000000000019</v>
      </c>
      <c r="E31" s="8">
        <v>783.19841269841254</v>
      </c>
      <c r="F31" s="8">
        <v>0</v>
      </c>
      <c r="G31" s="8">
        <v>799.52474922320107</v>
      </c>
      <c r="H31" s="395">
        <v>977.77222291211035</v>
      </c>
      <c r="I31" s="394">
        <v>0</v>
      </c>
      <c r="J31" s="8">
        <v>1030.6666666666704</v>
      </c>
      <c r="K31" s="8">
        <v>676.72222222222217</v>
      </c>
      <c r="L31" s="8">
        <v>894.55232155749491</v>
      </c>
      <c r="M31" s="395">
        <v>870.49607305466543</v>
      </c>
      <c r="N31" s="378"/>
      <c r="O31" s="378"/>
      <c r="P31" s="378"/>
      <c r="Q31" s="378"/>
    </row>
    <row r="32" spans="2:17" ht="39.9" customHeight="1">
      <c r="B32" s="497"/>
      <c r="C32" s="415" t="s">
        <v>210</v>
      </c>
      <c r="D32" s="396">
        <f t="shared" ref="D32:M32" si="1">D31/D30</f>
        <v>0.86868750000000061</v>
      </c>
      <c r="E32" s="10">
        <f t="shared" si="1"/>
        <v>0.94933140933140914</v>
      </c>
      <c r="F32" s="10">
        <f t="shared" si="1"/>
        <v>0</v>
      </c>
      <c r="G32" s="10">
        <f t="shared" si="1"/>
        <v>0.88836083247022346</v>
      </c>
      <c r="H32" s="10">
        <f t="shared" si="1"/>
        <v>1.0864135810134559</v>
      </c>
      <c r="I32" s="394">
        <f t="shared" si="1"/>
        <v>0</v>
      </c>
      <c r="J32" s="10">
        <f t="shared" si="1"/>
        <v>1.2492929292929338</v>
      </c>
      <c r="K32" s="10">
        <f t="shared" si="1"/>
        <v>0.75191358024691357</v>
      </c>
      <c r="L32" s="10">
        <f t="shared" si="1"/>
        <v>0.99394702395277212</v>
      </c>
      <c r="M32" s="11">
        <f t="shared" si="1"/>
        <v>0.96721785894962831</v>
      </c>
      <c r="N32" s="378"/>
      <c r="O32" s="378"/>
      <c r="P32" s="378"/>
      <c r="Q32" s="378"/>
    </row>
    <row r="33" spans="2:17" ht="25.8" customHeight="1">
      <c r="B33" s="498" t="s">
        <v>211</v>
      </c>
      <c r="C33" s="415" t="s">
        <v>212</v>
      </c>
      <c r="D33" s="397">
        <v>0.1875</v>
      </c>
      <c r="E33" s="12">
        <v>0.18055555555555555</v>
      </c>
      <c r="F33" s="12">
        <v>0</v>
      </c>
      <c r="G33" s="12">
        <v>2700.0000000000023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8"/>
      <c r="O33" s="378"/>
      <c r="P33" s="378"/>
      <c r="Q33" s="378"/>
    </row>
    <row r="34" spans="2:17" ht="25.8" customHeight="1">
      <c r="B34" s="499"/>
      <c r="C34" s="415" t="s">
        <v>36</v>
      </c>
      <c r="D34" s="397">
        <v>0.2298611111111111</v>
      </c>
      <c r="E34" s="12">
        <v>0.3125</v>
      </c>
      <c r="F34" s="12">
        <v>0</v>
      </c>
      <c r="G34" s="12">
        <v>1018.9473684210476</v>
      </c>
      <c r="H34" s="382">
        <v>0.5444444444444444</v>
      </c>
      <c r="I34" s="23">
        <v>0</v>
      </c>
      <c r="J34" s="12">
        <v>0.74305555555555547</v>
      </c>
      <c r="K34" s="12">
        <v>0.79861111111111116</v>
      </c>
      <c r="L34" s="12">
        <v>46146.079861111109</v>
      </c>
      <c r="M34" s="13">
        <v>46146.048611111109</v>
      </c>
      <c r="N34" s="378"/>
      <c r="O34" s="378"/>
      <c r="P34" s="378"/>
      <c r="Q34" s="378"/>
    </row>
    <row r="35" spans="2:17" ht="25.8" customHeight="1">
      <c r="B35" s="481" t="s">
        <v>216</v>
      </c>
      <c r="C35" s="482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481" t="s">
        <v>217</v>
      </c>
      <c r="C36" s="482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481" t="s">
        <v>218</v>
      </c>
      <c r="C37" s="482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483" t="s">
        <v>219</v>
      </c>
      <c r="C38" s="484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497" priority="4" operator="lessThan">
      <formula>0.8</formula>
    </cfRule>
  </conditionalFormatting>
  <conditionalFormatting sqref="J32:L32">
    <cfRule type="cellIs" dxfId="6496" priority="3" operator="lessThan">
      <formula>0.8</formula>
    </cfRule>
  </conditionalFormatting>
  <conditionalFormatting sqref="M32">
    <cfRule type="cellIs" dxfId="6495" priority="2" operator="lessThan">
      <formula>0.8</formula>
    </cfRule>
  </conditionalFormatting>
  <conditionalFormatting sqref="H32">
    <cfRule type="cellIs" dxfId="649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19" sqref="F19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264</v>
      </c>
      <c r="E1" s="284">
        <f>SUM(G5:G124)</f>
        <v>99417</v>
      </c>
      <c r="F1" s="285" t="s">
        <v>3</v>
      </c>
      <c r="G1" s="286">
        <f>SUM(H5:H124)</f>
        <v>1971798.2674025972</v>
      </c>
      <c r="H1" s="287" t="s">
        <v>324</v>
      </c>
      <c r="I1" s="288">
        <f>+J16+J64+J24+J38+J51+J81+J100+J91+J57+J124+J111</f>
        <v>42.923809523809531</v>
      </c>
      <c r="J1" s="557" t="s">
        <v>325</v>
      </c>
      <c r="K1" s="558"/>
      <c r="L1" s="559"/>
      <c r="M1" s="557" t="s">
        <v>266</v>
      </c>
      <c r="N1" s="558"/>
      <c r="O1" s="558"/>
      <c r="P1" s="558"/>
      <c r="Q1" s="558"/>
      <c r="R1" s="559"/>
    </row>
    <row r="2" spans="1:18" ht="26.25" customHeight="1" thickBot="1">
      <c r="A2" s="563" t="s">
        <v>363</v>
      </c>
      <c r="B2" s="564"/>
      <c r="C2" s="290"/>
      <c r="D2" s="422" t="s">
        <v>273</v>
      </c>
      <c r="E2" s="291">
        <f>AVERAGE(L16,L24,L38,L51,L100,L111,L91)</f>
        <v>632.65159692101417</v>
      </c>
      <c r="F2" s="292" t="s">
        <v>40</v>
      </c>
      <c r="G2" s="293">
        <f>G1/E1</f>
        <v>19.833612635692056</v>
      </c>
      <c r="H2" s="294" t="s">
        <v>327</v>
      </c>
      <c r="I2" s="295">
        <f>COUNT(I5:I124)</f>
        <v>0</v>
      </c>
      <c r="J2" s="560"/>
      <c r="K2" s="561"/>
      <c r="L2" s="562"/>
      <c r="M2" s="560"/>
      <c r="N2" s="561"/>
      <c r="O2" s="561"/>
      <c r="P2" s="561"/>
      <c r="Q2" s="561"/>
      <c r="R2" s="562"/>
    </row>
    <row r="3" spans="1:18" ht="23.25" customHeight="1">
      <c r="A3" s="565" t="s">
        <v>274</v>
      </c>
      <c r="B3" s="567" t="s">
        <v>328</v>
      </c>
      <c r="C3" s="424"/>
      <c r="D3" s="568" t="s">
        <v>275</v>
      </c>
      <c r="E3" s="568"/>
      <c r="F3" s="569" t="s">
        <v>43</v>
      </c>
      <c r="G3" s="570" t="s">
        <v>329</v>
      </c>
      <c r="H3" s="571" t="s">
        <v>330</v>
      </c>
      <c r="I3" s="572" t="s">
        <v>276</v>
      </c>
      <c r="J3" s="574" t="s">
        <v>278</v>
      </c>
      <c r="K3" s="587" t="s">
        <v>277</v>
      </c>
      <c r="L3" s="589" t="s">
        <v>273</v>
      </c>
      <c r="M3" s="591" t="s">
        <v>48</v>
      </c>
      <c r="N3" s="591"/>
      <c r="O3" s="574" t="s">
        <v>121</v>
      </c>
      <c r="P3" s="592" t="s">
        <v>281</v>
      </c>
      <c r="Q3" s="574" t="s">
        <v>282</v>
      </c>
      <c r="R3" s="574"/>
    </row>
    <row r="4" spans="1:18" ht="15.75" customHeight="1">
      <c r="A4" s="566"/>
      <c r="B4" s="567"/>
      <c r="C4" s="424"/>
      <c r="D4" s="568"/>
      <c r="E4" s="568"/>
      <c r="F4" s="569"/>
      <c r="G4" s="570"/>
      <c r="H4" s="571"/>
      <c r="I4" s="573"/>
      <c r="J4" s="586"/>
      <c r="K4" s="588"/>
      <c r="L4" s="590"/>
      <c r="M4" s="428" t="s">
        <v>50</v>
      </c>
      <c r="N4" s="428" t="s">
        <v>51</v>
      </c>
      <c r="O4" s="586"/>
      <c r="P4" s="593"/>
      <c r="Q4" s="296" t="s">
        <v>286</v>
      </c>
      <c r="R4" s="296" t="s">
        <v>331</v>
      </c>
    </row>
    <row r="5" spans="1:18">
      <c r="A5" s="575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424">
        <v>2565</v>
      </c>
      <c r="H5" s="300">
        <f>F5*G5</f>
        <v>0</v>
      </c>
      <c r="I5" s="426"/>
      <c r="J5" s="301">
        <v>9</v>
      </c>
      <c r="K5" s="302">
        <f t="shared" ref="K5:K11" si="0">G5/P5*60</f>
        <v>1620.0000000000002</v>
      </c>
      <c r="L5" s="303">
        <f t="shared" ref="L5:L11" si="1">K5/J5</f>
        <v>180.00000000000003</v>
      </c>
      <c r="M5" s="304">
        <v>0.17361111111111113</v>
      </c>
      <c r="N5" s="304">
        <v>0.23958333333333334</v>
      </c>
      <c r="O5" s="296">
        <v>10</v>
      </c>
      <c r="P5" s="419">
        <f t="shared" ref="P5:P11" si="2">(N5-M5)*24*60</f>
        <v>94.999999999999986</v>
      </c>
      <c r="Q5" s="305"/>
      <c r="R5" s="305"/>
    </row>
    <row r="6" spans="1:18">
      <c r="A6" s="575"/>
      <c r="B6" s="297">
        <v>0</v>
      </c>
      <c r="C6" s="297"/>
      <c r="D6" s="298" t="s">
        <v>257</v>
      </c>
      <c r="E6" s="298"/>
      <c r="F6" s="299" t="s">
        <v>148</v>
      </c>
      <c r="G6" s="424">
        <v>2392</v>
      </c>
      <c r="H6" s="300">
        <f t="shared" ref="H6:H15" si="3">F6*G6</f>
        <v>0</v>
      </c>
      <c r="I6" s="426"/>
      <c r="J6" s="301">
        <v>9</v>
      </c>
      <c r="K6" s="302">
        <f t="shared" si="0"/>
        <v>1594.6666666666674</v>
      </c>
      <c r="L6" s="303">
        <f t="shared" si="1"/>
        <v>177.18518518518528</v>
      </c>
      <c r="M6" s="304">
        <v>0.24305555555555555</v>
      </c>
      <c r="N6" s="304">
        <v>0.30555555555555552</v>
      </c>
      <c r="O6" s="296">
        <v>5</v>
      </c>
      <c r="P6" s="419">
        <f t="shared" si="2"/>
        <v>89.999999999999957</v>
      </c>
      <c r="Q6" s="296"/>
      <c r="R6" s="296"/>
    </row>
    <row r="7" spans="1:18">
      <c r="A7" s="575"/>
      <c r="B7" s="297" t="s">
        <v>149</v>
      </c>
      <c r="C7" s="297"/>
      <c r="D7" s="298" t="s">
        <v>258</v>
      </c>
      <c r="E7" s="298"/>
      <c r="F7" s="299">
        <v>36.450000000000003</v>
      </c>
      <c r="G7" s="424">
        <v>5426</v>
      </c>
      <c r="H7" s="300">
        <f t="shared" si="3"/>
        <v>197777.7</v>
      </c>
      <c r="I7" s="426"/>
      <c r="J7" s="301">
        <v>15</v>
      </c>
      <c r="K7" s="302">
        <f t="shared" si="0"/>
        <v>1514.2325581395353</v>
      </c>
      <c r="L7" s="303">
        <f t="shared" si="1"/>
        <v>100.94883720930235</v>
      </c>
      <c r="M7" s="304">
        <v>0.30902777777777779</v>
      </c>
      <c r="N7" s="304">
        <v>0.45833333333333331</v>
      </c>
      <c r="O7" s="296">
        <v>5</v>
      </c>
      <c r="P7" s="419">
        <f t="shared" si="2"/>
        <v>214.99999999999994</v>
      </c>
      <c r="Q7" s="305">
        <v>0.46527777777777773</v>
      </c>
      <c r="R7" s="305">
        <v>0.49652777777777773</v>
      </c>
    </row>
    <row r="8" spans="1:18">
      <c r="A8" s="575"/>
      <c r="B8" s="297" t="s">
        <v>149</v>
      </c>
      <c r="C8" s="297"/>
      <c r="D8" s="298" t="s">
        <v>259</v>
      </c>
      <c r="E8" s="298"/>
      <c r="F8" s="299">
        <v>29.85</v>
      </c>
      <c r="G8" s="424">
        <v>2565</v>
      </c>
      <c r="H8" s="300">
        <f t="shared" si="3"/>
        <v>76565.25</v>
      </c>
      <c r="I8" s="426"/>
      <c r="J8" s="301">
        <v>12</v>
      </c>
      <c r="K8" s="302">
        <f t="shared" si="0"/>
        <v>1810.5882352941173</v>
      </c>
      <c r="L8" s="303">
        <f t="shared" si="1"/>
        <v>150.88235294117644</v>
      </c>
      <c r="M8" s="304">
        <v>0.5</v>
      </c>
      <c r="N8" s="304">
        <v>0.55902777777777779</v>
      </c>
      <c r="O8" s="296">
        <v>5</v>
      </c>
      <c r="P8" s="419">
        <f t="shared" si="2"/>
        <v>85.000000000000014</v>
      </c>
      <c r="Q8" s="305"/>
      <c r="R8" s="305"/>
    </row>
    <row r="9" spans="1:18">
      <c r="A9" s="575"/>
      <c r="B9" s="297" t="s">
        <v>149</v>
      </c>
      <c r="C9" s="297"/>
      <c r="D9" s="298" t="s">
        <v>260</v>
      </c>
      <c r="E9" s="298"/>
      <c r="F9" s="299">
        <v>29.52</v>
      </c>
      <c r="G9" s="306">
        <v>2392</v>
      </c>
      <c r="H9" s="300">
        <f t="shared" si="3"/>
        <v>70611.839999999997</v>
      </c>
      <c r="I9" s="426"/>
      <c r="J9" s="301">
        <v>12</v>
      </c>
      <c r="K9" s="302">
        <f t="shared" si="0"/>
        <v>1793.9999999999993</v>
      </c>
      <c r="L9" s="303">
        <f t="shared" si="1"/>
        <v>149.49999999999994</v>
      </c>
      <c r="M9" s="304">
        <v>0.5625</v>
      </c>
      <c r="N9" s="304">
        <v>0.61805555555555558</v>
      </c>
      <c r="O9" s="296">
        <v>5</v>
      </c>
      <c r="P9" s="419">
        <f t="shared" si="2"/>
        <v>80.000000000000028</v>
      </c>
      <c r="Q9" s="305"/>
      <c r="R9" s="305"/>
    </row>
    <row r="10" spans="1:18">
      <c r="A10" s="575"/>
      <c r="B10" s="297" t="s">
        <v>149</v>
      </c>
      <c r="C10" s="297"/>
      <c r="D10" s="298" t="s">
        <v>261</v>
      </c>
      <c r="E10" s="298"/>
      <c r="F10" s="299">
        <v>23.19</v>
      </c>
      <c r="G10" s="306">
        <v>637</v>
      </c>
      <c r="H10" s="300">
        <f t="shared" si="3"/>
        <v>14772.03</v>
      </c>
      <c r="I10" s="426"/>
      <c r="J10" s="301">
        <v>15</v>
      </c>
      <c r="K10" s="302">
        <f t="shared" si="0"/>
        <v>1274.0000000000045</v>
      </c>
      <c r="L10" s="303">
        <f t="shared" si="1"/>
        <v>84.933333333333636</v>
      </c>
      <c r="M10" s="304">
        <v>0.62152777777777779</v>
      </c>
      <c r="N10" s="304">
        <v>0.64236111111111105</v>
      </c>
      <c r="O10" s="296">
        <v>5</v>
      </c>
      <c r="P10" s="419">
        <f t="shared" si="2"/>
        <v>29.999999999999893</v>
      </c>
      <c r="Q10" s="305"/>
      <c r="R10" s="305"/>
    </row>
    <row r="11" spans="1:18">
      <c r="A11" s="575"/>
      <c r="B11" s="297" t="s">
        <v>149</v>
      </c>
      <c r="C11" s="297"/>
      <c r="D11" s="298" t="s">
        <v>262</v>
      </c>
      <c r="E11" s="298"/>
      <c r="F11" s="299">
        <v>23.55</v>
      </c>
      <c r="G11" s="306">
        <v>1076</v>
      </c>
      <c r="H11" s="300">
        <f t="shared" si="3"/>
        <v>25339.8</v>
      </c>
      <c r="I11" s="426"/>
      <c r="J11" s="301">
        <v>15</v>
      </c>
      <c r="K11" s="302">
        <f t="shared" si="0"/>
        <v>1291.2000000000046</v>
      </c>
      <c r="L11" s="303">
        <f t="shared" si="1"/>
        <v>86.080000000000311</v>
      </c>
      <c r="M11" s="304">
        <v>0.64583333333333337</v>
      </c>
      <c r="N11" s="304">
        <v>0.68055555555555547</v>
      </c>
      <c r="O11" s="296">
        <v>5</v>
      </c>
      <c r="P11" s="419">
        <f t="shared" si="2"/>
        <v>49.999999999999822</v>
      </c>
      <c r="Q11" s="305"/>
      <c r="R11" s="305"/>
    </row>
    <row r="12" spans="1:18">
      <c r="A12" s="576"/>
      <c r="B12" s="297">
        <v>0</v>
      </c>
      <c r="C12" s="425"/>
      <c r="D12" s="298"/>
      <c r="E12" s="298"/>
      <c r="F12" s="299" t="s">
        <v>148</v>
      </c>
      <c r="G12" s="423"/>
      <c r="H12" s="300">
        <f t="shared" si="3"/>
        <v>0</v>
      </c>
      <c r="I12" s="426"/>
      <c r="J12" s="301"/>
      <c r="K12" s="302"/>
      <c r="L12" s="303"/>
      <c r="M12" s="304"/>
      <c r="N12" s="304"/>
      <c r="O12" s="296"/>
      <c r="P12" s="419"/>
      <c r="Q12" s="305"/>
      <c r="R12" s="296"/>
    </row>
    <row r="13" spans="1:18">
      <c r="A13" s="576"/>
      <c r="B13" s="297">
        <v>0</v>
      </c>
      <c r="C13" s="297"/>
      <c r="D13" s="420"/>
      <c r="E13" s="421"/>
      <c r="F13" s="299" t="s">
        <v>148</v>
      </c>
      <c r="G13" s="306"/>
      <c r="H13" s="300">
        <f t="shared" si="3"/>
        <v>0</v>
      </c>
      <c r="I13" s="426"/>
      <c r="J13" s="301"/>
      <c r="K13" s="302"/>
      <c r="L13" s="303"/>
      <c r="M13" s="304"/>
      <c r="N13" s="304"/>
      <c r="O13" s="296"/>
      <c r="P13" s="419"/>
      <c r="Q13" s="296"/>
      <c r="R13" s="296"/>
    </row>
    <row r="14" spans="1:18">
      <c r="A14" s="576"/>
      <c r="B14" s="297">
        <v>0</v>
      </c>
      <c r="C14" s="297"/>
      <c r="D14" s="420"/>
      <c r="E14" s="421"/>
      <c r="F14" s="299" t="s">
        <v>148</v>
      </c>
      <c r="G14" s="306"/>
      <c r="H14" s="300">
        <f t="shared" si="3"/>
        <v>0</v>
      </c>
      <c r="I14" s="426"/>
      <c r="J14" s="301"/>
      <c r="K14" s="302"/>
      <c r="L14" s="303"/>
      <c r="M14" s="304"/>
      <c r="N14" s="304"/>
      <c r="O14" s="296"/>
      <c r="P14" s="419"/>
      <c r="Q14" s="296"/>
      <c r="R14" s="296"/>
    </row>
    <row r="15" spans="1:18">
      <c r="A15" s="576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26"/>
      <c r="J15" s="301"/>
      <c r="K15" s="302"/>
      <c r="L15" s="303"/>
      <c r="M15" s="304"/>
      <c r="N15" s="304"/>
      <c r="O15" s="296"/>
      <c r="P15" s="419"/>
      <c r="Q15" s="296"/>
      <c r="R15" s="296"/>
    </row>
    <row r="16" spans="1:18" ht="15.75" customHeight="1">
      <c r="A16" s="577"/>
      <c r="B16" s="297">
        <v>0</v>
      </c>
      <c r="C16" s="308" t="s">
        <v>333</v>
      </c>
      <c r="D16" s="578" t="s">
        <v>293</v>
      </c>
      <c r="E16" s="578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1556.9553514429042</v>
      </c>
      <c r="L16" s="314">
        <f>AVERAGE(L5:L15)</f>
        <v>132.78995838128543</v>
      </c>
      <c r="M16" s="304"/>
      <c r="N16" s="304"/>
      <c r="O16" s="302"/>
      <c r="P16" s="302"/>
      <c r="Q16" s="303"/>
      <c r="R16" s="303"/>
    </row>
    <row r="17" spans="1:18" ht="15.75" customHeight="1">
      <c r="A17" s="579" t="s">
        <v>334</v>
      </c>
      <c r="B17" s="297" t="s">
        <v>149</v>
      </c>
      <c r="C17" s="425"/>
      <c r="D17" s="582" t="s">
        <v>335</v>
      </c>
      <c r="E17" s="583"/>
      <c r="F17" s="299">
        <v>14.03</v>
      </c>
      <c r="G17" s="424">
        <v>408</v>
      </c>
      <c r="H17" s="315">
        <f t="shared" ref="H17:H23" si="4">F17*G17</f>
        <v>5724.24</v>
      </c>
      <c r="I17" s="316"/>
      <c r="J17" s="301">
        <v>6</v>
      </c>
      <c r="K17" s="302">
        <f>G17/P17*60</f>
        <v>1530.0000000000018</v>
      </c>
      <c r="L17" s="303">
        <f>K17/J17</f>
        <v>255.00000000000031</v>
      </c>
      <c r="M17" s="304">
        <v>0.1875</v>
      </c>
      <c r="N17" s="304">
        <v>0.1986111111111111</v>
      </c>
      <c r="O17" s="296">
        <v>30</v>
      </c>
      <c r="P17" s="419">
        <f>(N17-M17)*24*60</f>
        <v>15.999999999999982</v>
      </c>
      <c r="Q17" s="296"/>
      <c r="R17" s="296"/>
    </row>
    <row r="18" spans="1:18" ht="15.75" customHeight="1">
      <c r="A18" s="579"/>
      <c r="B18" s="297" t="s">
        <v>146</v>
      </c>
      <c r="C18" s="425"/>
      <c r="D18" s="584" t="s">
        <v>336</v>
      </c>
      <c r="E18" s="585"/>
      <c r="F18" s="299">
        <v>14.49</v>
      </c>
      <c r="G18" s="423">
        <v>627</v>
      </c>
      <c r="H18" s="300">
        <f t="shared" si="4"/>
        <v>9085.23</v>
      </c>
      <c r="I18" s="426"/>
      <c r="J18" s="301">
        <v>5</v>
      </c>
      <c r="K18" s="302">
        <f>G18/P18*60</f>
        <v>1504.8000000000004</v>
      </c>
      <c r="L18" s="303">
        <f>K18/J18</f>
        <v>300.96000000000009</v>
      </c>
      <c r="M18" s="304">
        <v>0.21249999999999999</v>
      </c>
      <c r="N18" s="304">
        <v>0.2298611111111111</v>
      </c>
      <c r="O18" s="296">
        <v>20</v>
      </c>
      <c r="P18" s="419">
        <f t="shared" ref="P18" si="5">(N18-M18)*24*60</f>
        <v>24.999999999999993</v>
      </c>
      <c r="Q18" s="305"/>
      <c r="R18" s="305"/>
    </row>
    <row r="19" spans="1:18" ht="15.75" customHeight="1">
      <c r="A19" s="579"/>
      <c r="B19" s="297">
        <v>0</v>
      </c>
      <c r="C19" s="425"/>
      <c r="D19" s="584"/>
      <c r="E19" s="585"/>
      <c r="F19" s="299" t="s">
        <v>148</v>
      </c>
      <c r="G19" s="423"/>
      <c r="H19" s="300">
        <f t="shared" si="4"/>
        <v>0</v>
      </c>
      <c r="I19" s="426"/>
      <c r="J19" s="301"/>
      <c r="K19" s="302"/>
      <c r="L19" s="303"/>
      <c r="M19" s="304"/>
      <c r="N19" s="304"/>
      <c r="O19" s="296"/>
      <c r="P19" s="419"/>
      <c r="Q19" s="305"/>
      <c r="R19" s="305"/>
    </row>
    <row r="20" spans="1:18" ht="15.75" customHeight="1">
      <c r="A20" s="580"/>
      <c r="B20" s="297">
        <v>0</v>
      </c>
      <c r="C20" s="425"/>
      <c r="D20" s="317"/>
      <c r="E20" s="421"/>
      <c r="F20" s="299" t="s">
        <v>148</v>
      </c>
      <c r="G20" s="423"/>
      <c r="H20" s="300">
        <f t="shared" si="4"/>
        <v>0</v>
      </c>
      <c r="I20" s="426"/>
      <c r="J20" s="301"/>
      <c r="K20" s="302"/>
      <c r="L20" s="303"/>
      <c r="M20" s="304"/>
      <c r="N20" s="304"/>
      <c r="O20" s="296"/>
      <c r="P20" s="419"/>
      <c r="Q20" s="296"/>
      <c r="R20" s="296"/>
    </row>
    <row r="21" spans="1:18" ht="15.75" customHeight="1">
      <c r="A21" s="580"/>
      <c r="B21" s="297">
        <v>0</v>
      </c>
      <c r="C21" s="425"/>
      <c r="D21" s="317"/>
      <c r="E21" s="421"/>
      <c r="F21" s="299" t="s">
        <v>148</v>
      </c>
      <c r="G21" s="423"/>
      <c r="H21" s="300">
        <f t="shared" si="4"/>
        <v>0</v>
      </c>
      <c r="I21" s="426"/>
      <c r="J21" s="301"/>
      <c r="K21" s="302"/>
      <c r="L21" s="303"/>
      <c r="M21" s="304"/>
      <c r="N21" s="304"/>
      <c r="O21" s="296"/>
      <c r="P21" s="419"/>
      <c r="Q21" s="296"/>
      <c r="R21" s="296"/>
    </row>
    <row r="22" spans="1:18" ht="15.75" customHeight="1">
      <c r="A22" s="580"/>
      <c r="B22" s="297">
        <v>0</v>
      </c>
      <c r="C22" s="425"/>
      <c r="D22" s="317"/>
      <c r="E22" s="421"/>
      <c r="F22" s="299" t="s">
        <v>148</v>
      </c>
      <c r="G22" s="423"/>
      <c r="H22" s="300">
        <f t="shared" si="4"/>
        <v>0</v>
      </c>
      <c r="I22" s="426"/>
      <c r="J22" s="301"/>
      <c r="K22" s="302"/>
      <c r="L22" s="303"/>
      <c r="M22" s="304"/>
      <c r="N22" s="304"/>
      <c r="O22" s="296"/>
      <c r="P22" s="419"/>
      <c r="Q22" s="296"/>
      <c r="R22" s="296"/>
    </row>
    <row r="23" spans="1:18" ht="15.75" customHeight="1">
      <c r="A23" s="580"/>
      <c r="B23" s="297">
        <v>0</v>
      </c>
      <c r="C23" s="425"/>
      <c r="D23" s="317"/>
      <c r="E23" s="421"/>
      <c r="F23" s="299" t="s">
        <v>148</v>
      </c>
      <c r="G23" s="423"/>
      <c r="H23" s="300">
        <f t="shared" si="4"/>
        <v>0</v>
      </c>
      <c r="I23" s="426"/>
      <c r="J23" s="301"/>
      <c r="K23" s="302"/>
      <c r="L23" s="303"/>
      <c r="M23" s="304"/>
      <c r="N23" s="304"/>
      <c r="O23" s="296"/>
      <c r="P23" s="419"/>
      <c r="Q23" s="296"/>
      <c r="R23" s="296"/>
    </row>
    <row r="24" spans="1:18" ht="17.399999999999999" customHeight="1">
      <c r="A24" s="581"/>
      <c r="B24" s="297">
        <v>0</v>
      </c>
      <c r="C24" s="6" t="s">
        <v>337</v>
      </c>
      <c r="D24" s="578" t="s">
        <v>293</v>
      </c>
      <c r="E24" s="578"/>
      <c r="F24" s="309"/>
      <c r="G24" s="318"/>
      <c r="H24" s="311"/>
      <c r="I24" s="312"/>
      <c r="J24" s="313">
        <f>AVERAGE(J17:J23)</f>
        <v>5.5</v>
      </c>
      <c r="K24" s="313">
        <f>AVERAGE(K17:K23)</f>
        <v>1517.400000000001</v>
      </c>
      <c r="L24" s="314">
        <f>AVERAGE(L17:L23)</f>
        <v>277.98000000000019</v>
      </c>
      <c r="M24" s="304"/>
      <c r="N24" s="304"/>
      <c r="O24" s="296"/>
      <c r="P24" s="296"/>
      <c r="Q24" s="296"/>
      <c r="R24" s="296"/>
    </row>
    <row r="25" spans="1:18">
      <c r="A25" s="594" t="s">
        <v>338</v>
      </c>
      <c r="B25" s="297" t="s">
        <v>146</v>
      </c>
      <c r="C25" s="319"/>
      <c r="D25" s="321" t="s">
        <v>339</v>
      </c>
      <c r="E25" s="320"/>
      <c r="F25" s="299">
        <v>15.03</v>
      </c>
      <c r="G25" s="424">
        <v>1654</v>
      </c>
      <c r="H25" s="300">
        <f t="shared" ref="H25:H37" si="6">F25*G25</f>
        <v>24859.62</v>
      </c>
      <c r="I25" s="426"/>
      <c r="J25" s="301">
        <v>4</v>
      </c>
      <c r="K25" s="302">
        <f t="shared" ref="K25:K27" si="7">G25/P25*60</f>
        <v>2835.4285714285688</v>
      </c>
      <c r="L25" s="303">
        <f t="shared" ref="L25:L27" si="8">K25/J25</f>
        <v>708.85714285714221</v>
      </c>
      <c r="M25" s="304">
        <v>0.18055555555555555</v>
      </c>
      <c r="N25" s="304">
        <v>0.20486111111111113</v>
      </c>
      <c r="O25" s="296">
        <v>20</v>
      </c>
      <c r="P25" s="419">
        <f t="shared" ref="P25:P27" si="9">(N25-M25)*24*60</f>
        <v>35.000000000000036</v>
      </c>
      <c r="Q25" s="305"/>
      <c r="R25" s="305"/>
    </row>
    <row r="26" spans="1:18">
      <c r="A26" s="594"/>
      <c r="B26" s="297" t="s">
        <v>146</v>
      </c>
      <c r="C26" s="319"/>
      <c r="D26" s="317" t="s">
        <v>122</v>
      </c>
      <c r="E26" s="322"/>
      <c r="F26" s="299">
        <v>18.18</v>
      </c>
      <c r="G26" s="424">
        <v>3295</v>
      </c>
      <c r="H26" s="300">
        <f t="shared" si="6"/>
        <v>59903.1</v>
      </c>
      <c r="I26" s="426"/>
      <c r="J26" s="301">
        <v>4</v>
      </c>
      <c r="K26" s="302">
        <f t="shared" si="7"/>
        <v>2824.2857142857151</v>
      </c>
      <c r="L26" s="303">
        <f t="shared" si="8"/>
        <v>706.07142857142878</v>
      </c>
      <c r="M26" s="304">
        <v>0.21875</v>
      </c>
      <c r="N26" s="304">
        <v>0.2673611111111111</v>
      </c>
      <c r="O26" s="296">
        <v>20</v>
      </c>
      <c r="P26" s="419">
        <f t="shared" si="9"/>
        <v>69.999999999999986</v>
      </c>
      <c r="Q26" s="305"/>
      <c r="R26" s="305"/>
    </row>
    <row r="27" spans="1:18">
      <c r="A27" s="594"/>
      <c r="B27" s="297" t="s">
        <v>146</v>
      </c>
      <c r="C27" s="319"/>
      <c r="D27" s="321" t="s">
        <v>124</v>
      </c>
      <c r="E27" s="322"/>
      <c r="F27" s="299">
        <v>18.53</v>
      </c>
      <c r="G27" s="424">
        <v>2103</v>
      </c>
      <c r="H27" s="300">
        <f t="shared" si="6"/>
        <v>38968.590000000004</v>
      </c>
      <c r="I27" s="426"/>
      <c r="J27" s="301">
        <v>3</v>
      </c>
      <c r="K27" s="302">
        <f t="shared" si="7"/>
        <v>2804</v>
      </c>
      <c r="L27" s="303">
        <f t="shared" si="8"/>
        <v>934.66666666666663</v>
      </c>
      <c r="M27" s="304">
        <v>0.28125</v>
      </c>
      <c r="N27" s="304">
        <v>0.3125</v>
      </c>
      <c r="O27" s="296">
        <v>20</v>
      </c>
      <c r="P27" s="419">
        <f t="shared" si="9"/>
        <v>45</v>
      </c>
      <c r="Q27" s="305"/>
      <c r="R27" s="305"/>
    </row>
    <row r="28" spans="1:18">
      <c r="A28" s="594"/>
      <c r="B28" s="297">
        <v>0</v>
      </c>
      <c r="C28" s="425"/>
      <c r="D28" s="317"/>
      <c r="E28" s="322"/>
      <c r="F28" s="299" t="s">
        <v>148</v>
      </c>
      <c r="G28" s="424"/>
      <c r="H28" s="300">
        <f t="shared" si="6"/>
        <v>0</v>
      </c>
      <c r="I28" s="426"/>
      <c r="J28" s="301"/>
      <c r="K28" s="302"/>
      <c r="L28" s="303"/>
      <c r="M28" s="304"/>
      <c r="N28" s="304"/>
      <c r="O28" s="296"/>
      <c r="P28" s="419"/>
      <c r="Q28" s="305"/>
      <c r="R28" s="305"/>
    </row>
    <row r="29" spans="1:18">
      <c r="A29" s="594"/>
      <c r="B29" s="297">
        <v>0</v>
      </c>
      <c r="C29" s="424"/>
      <c r="D29" s="321"/>
      <c r="E29" s="322"/>
      <c r="F29" s="299" t="s">
        <v>148</v>
      </c>
      <c r="G29" s="424"/>
      <c r="H29" s="300">
        <f t="shared" si="6"/>
        <v>0</v>
      </c>
      <c r="I29" s="426"/>
      <c r="J29" s="301"/>
      <c r="K29" s="302"/>
      <c r="L29" s="303"/>
      <c r="M29" s="304"/>
      <c r="N29" s="304"/>
      <c r="O29" s="296"/>
      <c r="P29" s="419"/>
      <c r="Q29" s="305"/>
      <c r="R29" s="305"/>
    </row>
    <row r="30" spans="1:18">
      <c r="A30" s="594"/>
      <c r="B30" s="297">
        <v>0</v>
      </c>
      <c r="C30" s="424"/>
      <c r="D30" s="323"/>
      <c r="E30" s="322"/>
      <c r="F30" s="299" t="s">
        <v>148</v>
      </c>
      <c r="G30" s="424"/>
      <c r="H30" s="300">
        <f t="shared" si="6"/>
        <v>0</v>
      </c>
      <c r="I30" s="426"/>
      <c r="J30" s="301"/>
      <c r="K30" s="302"/>
      <c r="L30" s="303"/>
      <c r="M30" s="304"/>
      <c r="N30" s="304"/>
      <c r="O30" s="296"/>
      <c r="P30" s="419"/>
      <c r="Q30" s="305"/>
      <c r="R30" s="305"/>
    </row>
    <row r="31" spans="1:18" ht="15.75" customHeight="1">
      <c r="A31" s="594"/>
      <c r="B31" s="297">
        <v>0</v>
      </c>
      <c r="C31" s="425"/>
      <c r="D31" s="317"/>
      <c r="E31" s="322"/>
      <c r="F31" s="299" t="s">
        <v>148</v>
      </c>
      <c r="G31" s="424"/>
      <c r="H31" s="300">
        <f t="shared" si="6"/>
        <v>0</v>
      </c>
      <c r="I31" s="426"/>
      <c r="J31" s="301"/>
      <c r="K31" s="302"/>
      <c r="L31" s="303"/>
      <c r="M31" s="304"/>
      <c r="N31" s="304"/>
      <c r="O31" s="296"/>
      <c r="P31" s="419"/>
      <c r="Q31" s="305"/>
      <c r="R31" s="305"/>
    </row>
    <row r="32" spans="1:18">
      <c r="A32" s="594"/>
      <c r="B32" s="297">
        <v>0</v>
      </c>
      <c r="C32" s="425"/>
      <c r="D32" s="317"/>
      <c r="E32" s="421"/>
      <c r="F32" s="299" t="s">
        <v>148</v>
      </c>
      <c r="G32" s="424"/>
      <c r="H32" s="300">
        <f t="shared" si="6"/>
        <v>0</v>
      </c>
      <c r="I32" s="426"/>
      <c r="J32" s="301"/>
      <c r="K32" s="302"/>
      <c r="L32" s="303"/>
      <c r="M32" s="304"/>
      <c r="N32" s="304"/>
      <c r="O32" s="296"/>
      <c r="P32" s="419"/>
      <c r="Q32" s="305"/>
      <c r="R32" s="305"/>
    </row>
    <row r="33" spans="1:18">
      <c r="A33" s="594"/>
      <c r="B33" s="297">
        <v>0</v>
      </c>
      <c r="C33" s="424"/>
      <c r="D33" s="321"/>
      <c r="E33" s="322"/>
      <c r="F33" s="299" t="s">
        <v>148</v>
      </c>
      <c r="G33" s="424"/>
      <c r="H33" s="300">
        <f t="shared" si="6"/>
        <v>0</v>
      </c>
      <c r="I33" s="426"/>
      <c r="J33" s="301"/>
      <c r="K33" s="302"/>
      <c r="L33" s="303"/>
      <c r="M33" s="304"/>
      <c r="N33" s="304"/>
      <c r="O33" s="296"/>
      <c r="P33" s="419"/>
      <c r="Q33" s="305"/>
      <c r="R33" s="305"/>
    </row>
    <row r="34" spans="1:18">
      <c r="A34" s="594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26"/>
      <c r="J34" s="301"/>
      <c r="K34" s="302"/>
      <c r="L34" s="303"/>
      <c r="M34" s="304"/>
      <c r="N34" s="304"/>
      <c r="O34" s="296"/>
      <c r="P34" s="419"/>
      <c r="Q34" s="305"/>
      <c r="R34" s="305"/>
    </row>
    <row r="35" spans="1:18">
      <c r="A35" s="594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26"/>
      <c r="J35" s="301"/>
      <c r="K35" s="302"/>
      <c r="L35" s="303"/>
      <c r="M35" s="304"/>
      <c r="N35" s="304"/>
      <c r="O35" s="296"/>
      <c r="P35" s="419"/>
      <c r="Q35" s="305"/>
      <c r="R35" s="305"/>
    </row>
    <row r="36" spans="1:18">
      <c r="A36" s="594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26"/>
      <c r="J36" s="301"/>
      <c r="K36" s="302"/>
      <c r="L36" s="303"/>
      <c r="M36" s="304"/>
      <c r="N36" s="304"/>
      <c r="O36" s="296"/>
      <c r="P36" s="419"/>
      <c r="Q36" s="305"/>
      <c r="R36" s="305"/>
    </row>
    <row r="37" spans="1:18">
      <c r="A37" s="594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26"/>
      <c r="J37" s="301"/>
      <c r="K37" s="302"/>
      <c r="L37" s="303"/>
      <c r="M37" s="304"/>
      <c r="N37" s="304"/>
      <c r="O37" s="296"/>
      <c r="P37" s="419"/>
      <c r="Q37" s="305"/>
      <c r="R37" s="305"/>
    </row>
    <row r="38" spans="1:18" ht="17.399999999999999" customHeight="1">
      <c r="A38" s="595"/>
      <c r="B38" s="297">
        <v>0</v>
      </c>
      <c r="C38" s="6" t="s">
        <v>27</v>
      </c>
      <c r="D38" s="596" t="s">
        <v>123</v>
      </c>
      <c r="E38" s="596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2821.238095238095</v>
      </c>
      <c r="L38" s="314">
        <f>AVERAGE(L25:L37)</f>
        <v>783.19841269841254</v>
      </c>
      <c r="M38" s="304"/>
      <c r="N38" s="304"/>
      <c r="O38" s="302"/>
      <c r="P38" s="302"/>
      <c r="Q38" s="303"/>
      <c r="R38" s="303"/>
    </row>
    <row r="39" spans="1:18" ht="16.2" customHeight="1">
      <c r="A39" s="597" t="s">
        <v>340</v>
      </c>
      <c r="B39" s="297">
        <v>0</v>
      </c>
      <c r="C39" s="425"/>
      <c r="D39" s="320"/>
      <c r="E39" s="421"/>
      <c r="F39" s="299" t="s">
        <v>148</v>
      </c>
      <c r="G39" s="424"/>
      <c r="H39" s="300">
        <f t="shared" ref="H39:H47" si="10">F39*G39</f>
        <v>0</v>
      </c>
      <c r="I39" s="426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598"/>
      <c r="B40" s="297">
        <v>0</v>
      </c>
      <c r="C40" s="425"/>
      <c r="D40" s="320"/>
      <c r="E40" s="421"/>
      <c r="F40" s="299" t="s">
        <v>148</v>
      </c>
      <c r="G40" s="424"/>
      <c r="H40" s="300">
        <f t="shared" si="10"/>
        <v>0</v>
      </c>
      <c r="I40" s="426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598"/>
      <c r="B41" s="297">
        <v>0</v>
      </c>
      <c r="C41" s="425"/>
      <c r="D41" s="320"/>
      <c r="E41" s="421"/>
      <c r="F41" s="299" t="s">
        <v>148</v>
      </c>
      <c r="G41" s="424"/>
      <c r="H41" s="300">
        <f t="shared" si="10"/>
        <v>0</v>
      </c>
      <c r="I41" s="426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598"/>
      <c r="B42" s="297">
        <v>0</v>
      </c>
      <c r="C42" s="425"/>
      <c r="D42" s="338"/>
      <c r="E42" s="421"/>
      <c r="F42" s="299" t="s">
        <v>148</v>
      </c>
      <c r="G42" s="424"/>
      <c r="H42" s="300">
        <f t="shared" si="10"/>
        <v>0</v>
      </c>
      <c r="I42" s="426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598"/>
      <c r="B43" s="297">
        <v>0</v>
      </c>
      <c r="C43" s="425"/>
      <c r="D43" s="321"/>
      <c r="E43" s="421"/>
      <c r="F43" s="299" t="s">
        <v>148</v>
      </c>
      <c r="G43" s="424"/>
      <c r="H43" s="300">
        <f t="shared" si="10"/>
        <v>0</v>
      </c>
      <c r="I43" s="426"/>
      <c r="J43" s="301"/>
      <c r="K43" s="302"/>
      <c r="L43" s="303"/>
      <c r="M43" s="304"/>
      <c r="N43" s="304"/>
      <c r="O43" s="296"/>
      <c r="P43" s="419"/>
      <c r="Q43" s="305"/>
      <c r="R43" s="305"/>
    </row>
    <row r="44" spans="1:18">
      <c r="A44" s="598"/>
      <c r="B44" s="297">
        <v>0</v>
      </c>
      <c r="C44" s="425"/>
      <c r="D44" s="321"/>
      <c r="E44" s="327"/>
      <c r="F44" s="299" t="s">
        <v>148</v>
      </c>
      <c r="G44" s="328"/>
      <c r="H44" s="329">
        <f t="shared" si="10"/>
        <v>0</v>
      </c>
      <c r="I44" s="427"/>
      <c r="J44" s="301"/>
      <c r="K44" s="302"/>
      <c r="L44" s="303"/>
      <c r="M44" s="304"/>
      <c r="N44" s="304"/>
      <c r="O44" s="296"/>
      <c r="P44" s="419"/>
      <c r="Q44" s="305"/>
      <c r="R44" s="305"/>
    </row>
    <row r="45" spans="1:18">
      <c r="A45" s="598"/>
      <c r="B45" s="297">
        <v>0</v>
      </c>
      <c r="C45" s="425"/>
      <c r="D45" s="321"/>
      <c r="E45" s="322"/>
      <c r="F45" s="299" t="s">
        <v>148</v>
      </c>
      <c r="G45" s="424"/>
      <c r="H45" s="300">
        <f t="shared" si="10"/>
        <v>0</v>
      </c>
      <c r="I45" s="426"/>
      <c r="J45" s="301"/>
      <c r="K45" s="302"/>
      <c r="L45" s="303"/>
      <c r="M45" s="304"/>
      <c r="N45" s="304"/>
      <c r="O45" s="296"/>
      <c r="P45" s="419"/>
      <c r="Q45" s="305"/>
      <c r="R45" s="305"/>
    </row>
    <row r="46" spans="1:18">
      <c r="A46" s="598"/>
      <c r="B46" s="297">
        <v>0</v>
      </c>
      <c r="C46" s="425"/>
      <c r="D46" s="337"/>
      <c r="E46" s="327"/>
      <c r="F46" s="299" t="s">
        <v>148</v>
      </c>
      <c r="G46" s="328"/>
      <c r="H46" s="329">
        <f t="shared" si="10"/>
        <v>0</v>
      </c>
      <c r="I46" s="427"/>
      <c r="J46" s="301"/>
      <c r="K46" s="302"/>
      <c r="L46" s="303"/>
      <c r="M46" s="304"/>
      <c r="N46" s="304"/>
      <c r="O46" s="296"/>
      <c r="P46" s="419"/>
      <c r="Q46" s="305"/>
      <c r="R46" s="305"/>
    </row>
    <row r="47" spans="1:18">
      <c r="A47" s="598"/>
      <c r="B47" s="297">
        <v>0</v>
      </c>
      <c r="C47" s="425"/>
      <c r="D47" s="320"/>
      <c r="E47" s="322"/>
      <c r="F47" s="299" t="s">
        <v>148</v>
      </c>
      <c r="G47" s="424"/>
      <c r="H47" s="300">
        <f t="shared" si="10"/>
        <v>0</v>
      </c>
      <c r="I47" s="426"/>
      <c r="J47" s="301"/>
      <c r="K47" s="302"/>
      <c r="L47" s="303"/>
      <c r="M47" s="304"/>
      <c r="N47" s="304"/>
      <c r="O47" s="296"/>
      <c r="P47" s="419"/>
      <c r="Q47" s="305"/>
      <c r="R47" s="305"/>
    </row>
    <row r="48" spans="1:18">
      <c r="A48" s="599"/>
      <c r="B48" s="297">
        <v>0</v>
      </c>
      <c r="C48" s="424"/>
      <c r="D48" s="337"/>
      <c r="E48" s="376"/>
      <c r="F48" s="299" t="s">
        <v>148</v>
      </c>
      <c r="G48" s="424"/>
      <c r="H48" s="300"/>
      <c r="I48" s="426"/>
      <c r="J48" s="301"/>
      <c r="K48" s="302"/>
      <c r="L48" s="303"/>
      <c r="M48" s="304"/>
      <c r="N48" s="304"/>
      <c r="O48" s="296"/>
      <c r="P48" s="419"/>
      <c r="Q48" s="305"/>
      <c r="R48" s="305"/>
    </row>
    <row r="49" spans="1:18">
      <c r="A49" s="599"/>
      <c r="B49" s="297">
        <v>0</v>
      </c>
      <c r="C49" s="424"/>
      <c r="D49" s="330"/>
      <c r="E49" s="331"/>
      <c r="F49" s="299" t="s">
        <v>148</v>
      </c>
      <c r="G49" s="296"/>
      <c r="H49" s="329">
        <f>F49*G49</f>
        <v>0</v>
      </c>
      <c r="I49" s="419"/>
      <c r="J49" s="301"/>
      <c r="K49" s="302"/>
      <c r="L49" s="303"/>
      <c r="M49" s="304"/>
      <c r="N49" s="304"/>
      <c r="O49" s="296"/>
      <c r="P49" s="419"/>
      <c r="Q49" s="305"/>
      <c r="R49" s="305"/>
    </row>
    <row r="50" spans="1:18">
      <c r="A50" s="599"/>
      <c r="B50" s="297">
        <v>0</v>
      </c>
      <c r="C50" s="424"/>
      <c r="D50" s="330"/>
      <c r="E50" s="331"/>
      <c r="F50" s="299" t="s">
        <v>148</v>
      </c>
      <c r="G50" s="296"/>
      <c r="H50" s="329">
        <f>F50*G50</f>
        <v>0</v>
      </c>
      <c r="I50" s="419"/>
      <c r="J50" s="301"/>
      <c r="K50" s="302"/>
      <c r="L50" s="303"/>
      <c r="M50" s="304"/>
      <c r="N50" s="304"/>
      <c r="O50" s="296"/>
      <c r="P50" s="419"/>
      <c r="Q50" s="305"/>
      <c r="R50" s="305"/>
    </row>
    <row r="51" spans="1:18" ht="15.75" customHeight="1">
      <c r="A51" s="600"/>
      <c r="B51" s="297">
        <v>0</v>
      </c>
      <c r="C51" s="6" t="s">
        <v>28</v>
      </c>
      <c r="D51" s="578" t="s">
        <v>293</v>
      </c>
      <c r="E51" s="578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01" t="s">
        <v>341</v>
      </c>
      <c r="B52" s="297" t="s">
        <v>146</v>
      </c>
      <c r="C52" s="425"/>
      <c r="D52" s="320" t="s">
        <v>129</v>
      </c>
      <c r="E52" s="335"/>
      <c r="F52" s="299">
        <v>18.18</v>
      </c>
      <c r="G52" s="424">
        <v>968</v>
      </c>
      <c r="H52" s="300">
        <f>F52*G52</f>
        <v>17598.239999999998</v>
      </c>
      <c r="I52" s="426"/>
      <c r="J52" s="301">
        <v>3</v>
      </c>
      <c r="K52" s="302">
        <f>G52/P52*60</f>
        <v>3056.8421052631429</v>
      </c>
      <c r="L52" s="303">
        <f>K52/J52</f>
        <v>1018.9473684210476</v>
      </c>
      <c r="M52" s="304">
        <v>0.30555555555555552</v>
      </c>
      <c r="N52" s="304">
        <v>0.31875000000000003</v>
      </c>
      <c r="O52" s="302">
        <v>10</v>
      </c>
      <c r="P52" s="419">
        <f>(N52-M52)*24*60</f>
        <v>19.000000000000092</v>
      </c>
      <c r="Q52" s="305"/>
      <c r="R52" s="305"/>
    </row>
    <row r="53" spans="1:18" ht="15.6" customHeight="1">
      <c r="A53" s="602"/>
      <c r="B53" s="297" t="s">
        <v>146</v>
      </c>
      <c r="C53" s="425"/>
      <c r="D53" s="320" t="s">
        <v>125</v>
      </c>
      <c r="E53" s="336"/>
      <c r="F53" s="299">
        <v>25.03</v>
      </c>
      <c r="G53" s="306">
        <v>895</v>
      </c>
      <c r="H53" s="300">
        <f t="shared" ref="H53:H116" si="11">F53*G53</f>
        <v>22401.850000000002</v>
      </c>
      <c r="I53" s="426"/>
      <c r="J53" s="301">
        <v>4</v>
      </c>
      <c r="K53" s="302">
        <f t="shared" ref="K53:K57" si="12">G53/P53*60</f>
        <v>3158.8235294117462</v>
      </c>
      <c r="L53" s="303">
        <f t="shared" ref="L53:L57" si="13">K53/J53</f>
        <v>789.70588235293656</v>
      </c>
      <c r="M53" s="304">
        <v>0.33263888888888887</v>
      </c>
      <c r="N53" s="304">
        <v>0.3444444444444445</v>
      </c>
      <c r="O53" s="302">
        <v>20</v>
      </c>
      <c r="P53" s="419">
        <f t="shared" ref="P53:P57" si="14">(N53-M53)*24*60</f>
        <v>17.000000000000099</v>
      </c>
      <c r="Q53" s="305"/>
      <c r="R53" s="305"/>
    </row>
    <row r="54" spans="1:18" ht="15.6" customHeight="1">
      <c r="A54" s="602"/>
      <c r="B54" s="297" t="s">
        <v>146</v>
      </c>
      <c r="C54" s="425"/>
      <c r="D54" s="320" t="s">
        <v>126</v>
      </c>
      <c r="E54" s="421"/>
      <c r="F54" s="299">
        <v>24.82</v>
      </c>
      <c r="G54" s="306">
        <v>1178</v>
      </c>
      <c r="H54" s="300">
        <f t="shared" si="11"/>
        <v>29237.96</v>
      </c>
      <c r="I54" s="426"/>
      <c r="J54" s="301">
        <v>4</v>
      </c>
      <c r="K54" s="302">
        <f t="shared" si="12"/>
        <v>3073.0434782608804</v>
      </c>
      <c r="L54" s="303">
        <f t="shared" si="13"/>
        <v>768.2608695652201</v>
      </c>
      <c r="M54" s="304">
        <v>0.35833333333333334</v>
      </c>
      <c r="N54" s="304">
        <v>0.3743055555555555</v>
      </c>
      <c r="O54" s="302">
        <v>20</v>
      </c>
      <c r="P54" s="419">
        <f t="shared" si="14"/>
        <v>22.999999999999918</v>
      </c>
      <c r="Q54" s="305"/>
      <c r="R54" s="305"/>
    </row>
    <row r="55" spans="1:18" ht="15.6" customHeight="1">
      <c r="A55" s="602"/>
      <c r="B55" s="297" t="s">
        <v>146</v>
      </c>
      <c r="C55" s="425"/>
      <c r="D55" s="320" t="s">
        <v>127</v>
      </c>
      <c r="E55" s="322"/>
      <c r="F55" s="299">
        <v>30</v>
      </c>
      <c r="G55" s="306">
        <v>1706</v>
      </c>
      <c r="H55" s="300">
        <f t="shared" si="11"/>
        <v>51180</v>
      </c>
      <c r="I55" s="426"/>
      <c r="J55" s="301">
        <v>4</v>
      </c>
      <c r="K55" s="302">
        <f t="shared" si="12"/>
        <v>3198.7500000000036</v>
      </c>
      <c r="L55" s="303">
        <f t="shared" si="13"/>
        <v>799.68750000000091</v>
      </c>
      <c r="M55" s="304">
        <v>0.38819444444444445</v>
      </c>
      <c r="N55" s="304">
        <v>0.41041666666666665</v>
      </c>
      <c r="O55" s="302">
        <v>20</v>
      </c>
      <c r="P55" s="419">
        <f t="shared" si="14"/>
        <v>31.999999999999964</v>
      </c>
      <c r="Q55" s="305">
        <v>0.41041666666666665</v>
      </c>
      <c r="R55" s="305">
        <v>0.45208333333333334</v>
      </c>
    </row>
    <row r="56" spans="1:18" ht="15.6" customHeight="1">
      <c r="A56" s="602"/>
      <c r="B56" s="297" t="s">
        <v>146</v>
      </c>
      <c r="C56" s="425"/>
      <c r="D56" s="321" t="s">
        <v>342</v>
      </c>
      <c r="E56" s="322"/>
      <c r="F56" s="299">
        <v>23.72</v>
      </c>
      <c r="G56" s="306">
        <v>2565</v>
      </c>
      <c r="H56" s="300">
        <f t="shared" si="11"/>
        <v>60841.799999999996</v>
      </c>
      <c r="I56" s="426"/>
      <c r="J56" s="301">
        <v>4</v>
      </c>
      <c r="K56" s="302">
        <f t="shared" si="12"/>
        <v>2700.0000000000023</v>
      </c>
      <c r="L56" s="303">
        <f t="shared" si="13"/>
        <v>675.00000000000057</v>
      </c>
      <c r="M56" s="304">
        <v>0.46597222222222223</v>
      </c>
      <c r="N56" s="304">
        <v>0.50555555555555554</v>
      </c>
      <c r="O56" s="302">
        <v>20</v>
      </c>
      <c r="P56" s="419">
        <f t="shared" si="14"/>
        <v>56.999999999999957</v>
      </c>
      <c r="Q56" s="305"/>
      <c r="R56" s="305"/>
    </row>
    <row r="57" spans="1:18" ht="15.75" customHeight="1">
      <c r="A57" s="602"/>
      <c r="B57" s="297" t="s">
        <v>146</v>
      </c>
      <c r="C57" s="6" t="s">
        <v>31</v>
      </c>
      <c r="D57" s="338" t="s">
        <v>343</v>
      </c>
      <c r="E57" s="322"/>
      <c r="F57" s="299">
        <v>27.48</v>
      </c>
      <c r="G57" s="306">
        <v>3181</v>
      </c>
      <c r="H57" s="300">
        <f t="shared" si="11"/>
        <v>87413.88</v>
      </c>
      <c r="I57" s="426"/>
      <c r="J57" s="301">
        <v>4</v>
      </c>
      <c r="K57" s="302">
        <f t="shared" si="12"/>
        <v>2982.1875000000036</v>
      </c>
      <c r="L57" s="303">
        <f t="shared" si="13"/>
        <v>745.54687500000091</v>
      </c>
      <c r="M57" s="304">
        <v>0.51944444444444449</v>
      </c>
      <c r="N57" s="304">
        <v>0.56388888888888888</v>
      </c>
      <c r="O57" s="302">
        <v>20</v>
      </c>
      <c r="P57" s="419">
        <f t="shared" si="14"/>
        <v>63.999999999999929</v>
      </c>
      <c r="Q57" s="305"/>
      <c r="R57" s="305"/>
    </row>
    <row r="58" spans="1:18" ht="15.6" customHeight="1">
      <c r="A58" s="602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26"/>
      <c r="J58" s="301"/>
      <c r="K58" s="302"/>
      <c r="L58" s="303"/>
      <c r="M58" s="304"/>
      <c r="N58" s="304"/>
      <c r="O58" s="302"/>
      <c r="P58" s="419"/>
      <c r="Q58" s="305"/>
      <c r="R58" s="305"/>
    </row>
    <row r="59" spans="1:18" ht="15.6" customHeight="1">
      <c r="A59" s="602"/>
      <c r="B59" s="297">
        <v>0</v>
      </c>
      <c r="C59" s="425"/>
      <c r="D59" s="337"/>
      <c r="E59" s="322"/>
      <c r="F59" s="299" t="s">
        <v>148</v>
      </c>
      <c r="G59" s="306"/>
      <c r="H59" s="300">
        <f t="shared" si="11"/>
        <v>0</v>
      </c>
      <c r="I59" s="426"/>
      <c r="J59" s="301"/>
      <c r="K59" s="302"/>
      <c r="L59" s="303"/>
      <c r="M59" s="304"/>
      <c r="N59" s="304"/>
      <c r="O59" s="302"/>
      <c r="P59" s="419"/>
      <c r="Q59" s="305"/>
      <c r="R59" s="305"/>
    </row>
    <row r="60" spans="1:18" ht="15.6" customHeight="1">
      <c r="A60" s="602"/>
      <c r="B60" s="297">
        <v>0</v>
      </c>
      <c r="C60" s="425"/>
      <c r="D60" s="338"/>
      <c r="E60" s="341"/>
      <c r="F60" s="299" t="s">
        <v>148</v>
      </c>
      <c r="G60" s="306"/>
      <c r="H60" s="300">
        <f t="shared" si="11"/>
        <v>0</v>
      </c>
      <c r="I60" s="426"/>
      <c r="J60" s="301"/>
      <c r="K60" s="302"/>
      <c r="L60" s="303"/>
      <c r="M60" s="304"/>
      <c r="N60" s="304"/>
      <c r="O60" s="302"/>
      <c r="P60" s="419"/>
      <c r="Q60" s="305"/>
      <c r="R60" s="305"/>
    </row>
    <row r="61" spans="1:18" ht="15.6" customHeight="1">
      <c r="A61" s="602"/>
      <c r="B61" s="297">
        <v>0</v>
      </c>
      <c r="C61" s="425"/>
      <c r="D61" s="320"/>
      <c r="E61" s="322"/>
      <c r="F61" s="299" t="s">
        <v>148</v>
      </c>
      <c r="G61" s="306"/>
      <c r="H61" s="300">
        <f t="shared" si="11"/>
        <v>0</v>
      </c>
      <c r="I61" s="426"/>
      <c r="J61" s="301"/>
      <c r="K61" s="302"/>
      <c r="L61" s="303"/>
      <c r="M61" s="304"/>
      <c r="N61" s="304"/>
      <c r="O61" s="302"/>
      <c r="P61" s="419"/>
      <c r="Q61" s="305"/>
      <c r="R61" s="305"/>
    </row>
    <row r="62" spans="1:18" ht="15.6" customHeight="1">
      <c r="A62" s="602"/>
      <c r="B62" s="297">
        <v>0</v>
      </c>
      <c r="C62" s="425"/>
      <c r="D62" s="337"/>
      <c r="E62" s="342"/>
      <c r="F62" s="299" t="s">
        <v>148</v>
      </c>
      <c r="G62" s="306"/>
      <c r="H62" s="300">
        <f t="shared" si="11"/>
        <v>0</v>
      </c>
      <c r="I62" s="426"/>
      <c r="J62" s="301"/>
      <c r="K62" s="302"/>
      <c r="L62" s="303"/>
      <c r="M62" s="304"/>
      <c r="N62" s="304"/>
      <c r="O62" s="302"/>
      <c r="P62" s="419"/>
      <c r="Q62" s="305"/>
      <c r="R62" s="305"/>
    </row>
    <row r="63" spans="1:18" ht="15.6" customHeight="1">
      <c r="A63" s="602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27"/>
      <c r="J63" s="301"/>
      <c r="K63" s="302"/>
      <c r="L63" s="303"/>
      <c r="M63" s="304"/>
      <c r="N63" s="304"/>
      <c r="O63" s="296"/>
      <c r="P63" s="419"/>
      <c r="Q63" s="305"/>
      <c r="R63" s="305"/>
    </row>
    <row r="64" spans="1:18" ht="15.75" customHeight="1">
      <c r="A64" s="603"/>
      <c r="B64" s="297">
        <v>0</v>
      </c>
      <c r="C64" s="6" t="s">
        <v>344</v>
      </c>
      <c r="D64" s="578" t="s">
        <v>293</v>
      </c>
      <c r="E64" s="578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3028.2744354892966</v>
      </c>
      <c r="L64" s="314">
        <f>AVERAGE(L52:L63)</f>
        <v>799.52474922320107</v>
      </c>
      <c r="M64" s="304"/>
      <c r="N64" s="304"/>
      <c r="O64" s="296"/>
      <c r="P64" s="296"/>
      <c r="Q64" s="296"/>
      <c r="R64" s="296"/>
    </row>
    <row r="65" spans="1:18" ht="15.6" customHeight="1">
      <c r="A65" s="604" t="s">
        <v>345</v>
      </c>
      <c r="B65" s="297" t="s">
        <v>146</v>
      </c>
      <c r="C65" s="425"/>
      <c r="D65" s="321" t="s">
        <v>346</v>
      </c>
      <c r="E65" s="335"/>
      <c r="F65" s="299">
        <v>22.281818181818181</v>
      </c>
      <c r="G65" s="424">
        <v>686</v>
      </c>
      <c r="H65" s="300">
        <f>F65*G65</f>
        <v>15285.327272727272</v>
      </c>
      <c r="I65" s="426"/>
      <c r="J65" s="301">
        <v>4</v>
      </c>
      <c r="K65" s="302">
        <f t="shared" ref="K65:K71" si="15">G65/P65*60</f>
        <v>3166.1538461538476</v>
      </c>
      <c r="L65" s="303">
        <f t="shared" ref="L65:L71" si="16">K65/J65</f>
        <v>791.53846153846189</v>
      </c>
      <c r="M65" s="304">
        <v>0.18055555555555555</v>
      </c>
      <c r="N65" s="304">
        <v>0.18958333333333333</v>
      </c>
      <c r="O65" s="302">
        <v>20</v>
      </c>
      <c r="P65" s="419">
        <f>(N65-M65)*24*60</f>
        <v>12.999999999999993</v>
      </c>
      <c r="Q65" s="305"/>
      <c r="R65" s="305"/>
    </row>
    <row r="66" spans="1:18" ht="15.6" customHeight="1">
      <c r="A66" s="605"/>
      <c r="B66" s="297" t="s">
        <v>146</v>
      </c>
      <c r="C66" s="425"/>
      <c r="D66" s="321" t="s">
        <v>130</v>
      </c>
      <c r="E66" s="336"/>
      <c r="F66" s="299">
        <v>18.18</v>
      </c>
      <c r="G66" s="306">
        <v>1639</v>
      </c>
      <c r="H66" s="300">
        <f t="shared" ref="H66:H74" si="17">F66*G66</f>
        <v>29797.02</v>
      </c>
      <c r="I66" s="426"/>
      <c r="J66" s="301">
        <v>3</v>
      </c>
      <c r="K66" s="302">
        <f t="shared" si="15"/>
        <v>3172.2580645161243</v>
      </c>
      <c r="L66" s="303">
        <f t="shared" si="16"/>
        <v>1057.4193548387082</v>
      </c>
      <c r="M66" s="304">
        <v>0.20347222222222219</v>
      </c>
      <c r="N66" s="304">
        <v>0.22500000000000001</v>
      </c>
      <c r="O66" s="302">
        <v>20</v>
      </c>
      <c r="P66" s="419">
        <f t="shared" ref="P66:P71" si="18">(N66-M66)*24*60</f>
        <v>31.00000000000005</v>
      </c>
      <c r="Q66" s="305"/>
      <c r="R66" s="305"/>
    </row>
    <row r="67" spans="1:18" ht="15.6" customHeight="1">
      <c r="A67" s="605"/>
      <c r="B67" s="297" t="s">
        <v>146</v>
      </c>
      <c r="C67" s="425"/>
      <c r="D67" s="337" t="s">
        <v>347</v>
      </c>
      <c r="E67" s="322"/>
      <c r="F67" s="299">
        <v>17.890909090909091</v>
      </c>
      <c r="G67" s="306">
        <v>1850</v>
      </c>
      <c r="H67" s="300">
        <f t="shared" si="17"/>
        <v>33098.181818181816</v>
      </c>
      <c r="I67" s="426"/>
      <c r="J67" s="301">
        <v>3</v>
      </c>
      <c r="K67" s="302">
        <f t="shared" si="15"/>
        <v>3171.428571428572</v>
      </c>
      <c r="L67" s="303">
        <f t="shared" si="16"/>
        <v>1057.1428571428573</v>
      </c>
      <c r="M67" s="304">
        <v>0.2388888888888889</v>
      </c>
      <c r="N67" s="304">
        <v>0.26319444444444445</v>
      </c>
      <c r="O67" s="302">
        <v>20</v>
      </c>
      <c r="P67" s="419">
        <f t="shared" si="18"/>
        <v>34.999999999999993</v>
      </c>
      <c r="Q67" s="305">
        <v>0.26319444444444445</v>
      </c>
      <c r="R67" s="305">
        <v>0.30486111111111108</v>
      </c>
    </row>
    <row r="68" spans="1:18" ht="15.6" customHeight="1">
      <c r="A68" s="605"/>
      <c r="B68" s="297" t="s">
        <v>146</v>
      </c>
      <c r="C68" s="425"/>
      <c r="D68" s="337" t="s">
        <v>131</v>
      </c>
      <c r="E68" s="322"/>
      <c r="F68" s="299">
        <v>14.285714285714283</v>
      </c>
      <c r="G68" s="306">
        <v>4781</v>
      </c>
      <c r="H68" s="300">
        <f t="shared" si="17"/>
        <v>68299.999999999985</v>
      </c>
      <c r="I68" s="426"/>
      <c r="J68" s="301">
        <v>3</v>
      </c>
      <c r="K68" s="302">
        <f t="shared" si="15"/>
        <v>3187.3333333333362</v>
      </c>
      <c r="L68" s="303">
        <f t="shared" si="16"/>
        <v>1062.4444444444455</v>
      </c>
      <c r="M68" s="304">
        <v>0.32222222222222224</v>
      </c>
      <c r="N68" s="304">
        <v>0.38472222222222219</v>
      </c>
      <c r="O68" s="302">
        <v>20</v>
      </c>
      <c r="P68" s="419">
        <f t="shared" si="18"/>
        <v>89.999999999999915</v>
      </c>
      <c r="Q68" s="305"/>
      <c r="R68" s="305"/>
    </row>
    <row r="69" spans="1:18" ht="15.6" customHeight="1">
      <c r="A69" s="605"/>
      <c r="B69" s="297" t="s">
        <v>146</v>
      </c>
      <c r="C69" s="425"/>
      <c r="D69" s="321" t="s">
        <v>348</v>
      </c>
      <c r="E69" s="322"/>
      <c r="F69" s="299">
        <v>16.66</v>
      </c>
      <c r="G69" s="306">
        <v>3089</v>
      </c>
      <c r="H69" s="300">
        <f t="shared" si="17"/>
        <v>51462.74</v>
      </c>
      <c r="I69" s="426"/>
      <c r="J69" s="301">
        <v>4</v>
      </c>
      <c r="K69" s="302">
        <f t="shared" si="15"/>
        <v>3195.5172413793084</v>
      </c>
      <c r="L69" s="303">
        <f t="shared" si="16"/>
        <v>798.8793103448271</v>
      </c>
      <c r="M69" s="304">
        <v>0.39861111111111108</v>
      </c>
      <c r="N69" s="304">
        <v>0.43888888888888888</v>
      </c>
      <c r="O69" s="302">
        <v>20</v>
      </c>
      <c r="P69" s="419">
        <f t="shared" si="18"/>
        <v>58.000000000000036</v>
      </c>
      <c r="Q69" s="305"/>
      <c r="R69" s="305"/>
    </row>
    <row r="70" spans="1:18" ht="15.75" customHeight="1">
      <c r="A70" s="605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3111</v>
      </c>
      <c r="H70" s="300">
        <f t="shared" si="17"/>
        <v>43647.329999999994</v>
      </c>
      <c r="I70" s="426"/>
      <c r="J70" s="301">
        <v>3</v>
      </c>
      <c r="K70" s="302">
        <f t="shared" si="15"/>
        <v>3060.0000000000032</v>
      </c>
      <c r="L70" s="303">
        <f t="shared" si="16"/>
        <v>1020.000000000001</v>
      </c>
      <c r="M70" s="304">
        <v>0.45277777777777778</v>
      </c>
      <c r="N70" s="304">
        <v>0.49513888888888885</v>
      </c>
      <c r="O70" s="302">
        <v>20</v>
      </c>
      <c r="P70" s="419">
        <f t="shared" si="18"/>
        <v>60.999999999999943</v>
      </c>
      <c r="Q70" s="305"/>
      <c r="R70" s="305"/>
    </row>
    <row r="71" spans="1:18" ht="15.6" customHeight="1">
      <c r="A71" s="605"/>
      <c r="B71" s="297" t="s">
        <v>146</v>
      </c>
      <c r="C71" s="339"/>
      <c r="D71" s="337" t="s">
        <v>349</v>
      </c>
      <c r="E71" s="322"/>
      <c r="F71" s="299">
        <v>25.2</v>
      </c>
      <c r="G71" s="340">
        <v>2801</v>
      </c>
      <c r="H71" s="300">
        <f t="shared" si="17"/>
        <v>70585.2</v>
      </c>
      <c r="I71" s="426"/>
      <c r="J71" s="301">
        <v>3</v>
      </c>
      <c r="K71" s="302">
        <f t="shared" si="15"/>
        <v>3170.9433962264166</v>
      </c>
      <c r="L71" s="303">
        <f t="shared" si="16"/>
        <v>1056.9811320754723</v>
      </c>
      <c r="M71" s="304">
        <v>0.50763888888888886</v>
      </c>
      <c r="N71" s="304">
        <v>0.5444444444444444</v>
      </c>
      <c r="O71" s="302">
        <v>20</v>
      </c>
      <c r="P71" s="419">
        <f t="shared" si="18"/>
        <v>52.999999999999972</v>
      </c>
      <c r="Q71" s="305"/>
      <c r="R71" s="305"/>
    </row>
    <row r="72" spans="1:18" ht="15.6" customHeight="1">
      <c r="A72" s="605"/>
      <c r="B72" s="297">
        <v>0</v>
      </c>
      <c r="C72" s="425"/>
      <c r="D72" s="337"/>
      <c r="E72" s="322"/>
      <c r="F72" s="299" t="s">
        <v>148</v>
      </c>
      <c r="G72" s="306"/>
      <c r="H72" s="300">
        <f t="shared" si="17"/>
        <v>0</v>
      </c>
      <c r="I72" s="426"/>
      <c r="J72" s="301"/>
      <c r="K72" s="302"/>
      <c r="L72" s="303"/>
      <c r="M72" s="304"/>
      <c r="N72" s="304"/>
      <c r="O72" s="302"/>
      <c r="P72" s="419"/>
      <c r="Q72" s="305"/>
      <c r="R72" s="305"/>
    </row>
    <row r="73" spans="1:18" ht="15.6" customHeight="1">
      <c r="A73" s="605"/>
      <c r="B73" s="297">
        <v>0</v>
      </c>
      <c r="C73" s="425"/>
      <c r="D73" s="337"/>
      <c r="E73" s="322"/>
      <c r="F73" s="299" t="s">
        <v>148</v>
      </c>
      <c r="G73" s="306"/>
      <c r="H73" s="300">
        <f t="shared" si="17"/>
        <v>0</v>
      </c>
      <c r="I73" s="426"/>
      <c r="J73" s="301"/>
      <c r="K73" s="302"/>
      <c r="L73" s="303"/>
      <c r="M73" s="304"/>
      <c r="N73" s="304"/>
      <c r="O73" s="302"/>
      <c r="P73" s="419"/>
      <c r="Q73" s="305"/>
      <c r="R73" s="305"/>
    </row>
    <row r="74" spans="1:18" ht="15.6" customHeight="1">
      <c r="A74" s="605"/>
      <c r="B74" s="297">
        <v>0</v>
      </c>
      <c r="C74" s="425"/>
      <c r="D74" s="337"/>
      <c r="E74" s="322"/>
      <c r="F74" s="299" t="s">
        <v>148</v>
      </c>
      <c r="G74" s="306"/>
      <c r="H74" s="300">
        <f t="shared" si="17"/>
        <v>0</v>
      </c>
      <c r="I74" s="426"/>
      <c r="J74" s="301"/>
      <c r="K74" s="302"/>
      <c r="L74" s="303"/>
      <c r="M74" s="304"/>
      <c r="N74" s="304"/>
      <c r="O74" s="302"/>
      <c r="P74" s="419"/>
      <c r="Q74" s="305"/>
      <c r="R74" s="305"/>
    </row>
    <row r="75" spans="1:18" ht="15.75" customHeight="1">
      <c r="A75" s="606"/>
      <c r="B75" s="297">
        <v>0</v>
      </c>
      <c r="C75" s="6" t="s">
        <v>350</v>
      </c>
      <c r="D75" s="578" t="s">
        <v>293</v>
      </c>
      <c r="E75" s="578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3160.5192075768005</v>
      </c>
      <c r="L75" s="314">
        <f>AVERAGE(L65:L74)</f>
        <v>977.77222291211035</v>
      </c>
      <c r="M75" s="304"/>
      <c r="N75" s="304"/>
      <c r="O75" s="296"/>
      <c r="P75" s="296"/>
      <c r="Q75" s="296"/>
      <c r="R75" s="296"/>
    </row>
    <row r="76" spans="1:18" ht="16.2" customHeight="1">
      <c r="A76" s="607" t="s">
        <v>132</v>
      </c>
      <c r="B76" s="297">
        <v>0</v>
      </c>
      <c r="C76" s="308"/>
      <c r="D76" s="608"/>
      <c r="E76" s="609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19"/>
      <c r="Q76" s="305"/>
      <c r="R76" s="305"/>
    </row>
    <row r="77" spans="1:18">
      <c r="A77" s="607"/>
      <c r="B77" s="297">
        <v>0</v>
      </c>
      <c r="C77" s="308"/>
      <c r="D77" s="608"/>
      <c r="E77" s="609"/>
      <c r="F77" s="299" t="s">
        <v>148</v>
      </c>
      <c r="G77" s="424"/>
      <c r="H77" s="300">
        <f t="shared" si="11"/>
        <v>0</v>
      </c>
      <c r="I77" s="426"/>
      <c r="J77" s="301"/>
      <c r="K77" s="302"/>
      <c r="L77" s="303"/>
      <c r="M77" s="304"/>
      <c r="N77" s="304"/>
      <c r="O77" s="296"/>
      <c r="P77" s="419"/>
      <c r="Q77" s="296"/>
      <c r="R77" s="296"/>
    </row>
    <row r="78" spans="1:18">
      <c r="A78" s="607"/>
      <c r="B78" s="297">
        <v>0</v>
      </c>
      <c r="C78" s="308"/>
      <c r="D78" s="418"/>
      <c r="E78" s="418"/>
      <c r="F78" s="299" t="s">
        <v>148</v>
      </c>
      <c r="G78" s="324"/>
      <c r="H78" s="300">
        <f t="shared" si="11"/>
        <v>0</v>
      </c>
      <c r="I78" s="426"/>
      <c r="J78" s="301"/>
      <c r="K78" s="302"/>
      <c r="L78" s="303"/>
      <c r="M78" s="304"/>
      <c r="N78" s="304"/>
      <c r="O78" s="296"/>
      <c r="P78" s="419"/>
      <c r="Q78" s="296"/>
      <c r="R78" s="296"/>
    </row>
    <row r="79" spans="1:18">
      <c r="A79" s="607"/>
      <c r="B79" s="297">
        <v>0</v>
      </c>
      <c r="C79" s="308"/>
      <c r="D79" s="418"/>
      <c r="E79" s="418"/>
      <c r="F79" s="299" t="s">
        <v>148</v>
      </c>
      <c r="G79" s="324"/>
      <c r="H79" s="300">
        <f t="shared" si="11"/>
        <v>0</v>
      </c>
      <c r="I79" s="426"/>
      <c r="J79" s="301"/>
      <c r="K79" s="302"/>
      <c r="L79" s="303"/>
      <c r="M79" s="304"/>
      <c r="N79" s="304"/>
      <c r="O79" s="296"/>
      <c r="P79" s="419"/>
      <c r="Q79" s="296"/>
      <c r="R79" s="296"/>
    </row>
    <row r="80" spans="1:18">
      <c r="A80" s="607"/>
      <c r="B80" s="297">
        <v>0</v>
      </c>
      <c r="C80" s="308"/>
      <c r="D80" s="418"/>
      <c r="E80" s="418"/>
      <c r="F80" s="299" t="s">
        <v>148</v>
      </c>
      <c r="G80" s="324"/>
      <c r="H80" s="300">
        <f t="shared" si="11"/>
        <v>0</v>
      </c>
      <c r="I80" s="426"/>
      <c r="J80" s="301"/>
      <c r="K80" s="302"/>
      <c r="L80" s="303"/>
      <c r="M80" s="304"/>
      <c r="N80" s="304"/>
      <c r="O80" s="296"/>
      <c r="P80" s="419"/>
      <c r="Q80" s="296"/>
      <c r="R80" s="296"/>
    </row>
    <row r="81" spans="1:18" ht="15.75" customHeight="1">
      <c r="A81" s="607"/>
      <c r="B81" s="297">
        <v>0</v>
      </c>
      <c r="C81" s="6" t="s">
        <v>31</v>
      </c>
      <c r="D81" s="596" t="s">
        <v>293</v>
      </c>
      <c r="E81" s="596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12" t="s">
        <v>351</v>
      </c>
      <c r="B82" s="297" t="s">
        <v>146</v>
      </c>
      <c r="C82" s="319"/>
      <c r="D82" s="320" t="s">
        <v>352</v>
      </c>
      <c r="E82" s="346"/>
      <c r="F82" s="299">
        <v>17.22</v>
      </c>
      <c r="G82" s="324">
        <v>1546</v>
      </c>
      <c r="H82" s="347">
        <f t="shared" ref="H82:H90" si="19">F82*G82</f>
        <v>26622.12</v>
      </c>
      <c r="I82" s="426"/>
      <c r="J82" s="301">
        <v>3</v>
      </c>
      <c r="K82" s="302">
        <f t="shared" ref="K82" si="20">G82/P82*60</f>
        <v>3092.0000000000109</v>
      </c>
      <c r="L82" s="303">
        <f t="shared" ref="L82" si="21">K82/J82</f>
        <v>1030.6666666666704</v>
      </c>
      <c r="M82" s="304">
        <v>0.72222222222222221</v>
      </c>
      <c r="N82" s="304">
        <v>0.74305555555555547</v>
      </c>
      <c r="O82" s="302">
        <v>20</v>
      </c>
      <c r="P82" s="419">
        <f t="shared" ref="P82" si="22">(N82-M82)*24*60</f>
        <v>29.999999999999893</v>
      </c>
      <c r="Q82" s="305"/>
      <c r="R82" s="305"/>
    </row>
    <row r="83" spans="1:18">
      <c r="A83" s="613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26"/>
      <c r="J83" s="301"/>
      <c r="K83" s="302"/>
      <c r="L83" s="303"/>
      <c r="M83" s="304"/>
      <c r="N83" s="304"/>
      <c r="O83" s="302"/>
      <c r="P83" s="419"/>
      <c r="Q83" s="305"/>
      <c r="R83" s="305"/>
    </row>
    <row r="84" spans="1:18">
      <c r="A84" s="613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26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13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26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13"/>
      <c r="B86" s="297">
        <v>0</v>
      </c>
      <c r="C86" s="319"/>
      <c r="D86" s="320"/>
      <c r="E86" s="346"/>
      <c r="F86" s="299" t="s">
        <v>148</v>
      </c>
      <c r="G86" s="424"/>
      <c r="H86" s="348">
        <f t="shared" si="19"/>
        <v>0</v>
      </c>
      <c r="I86" s="426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13"/>
      <c r="B87" s="297"/>
      <c r="C87" s="319"/>
      <c r="D87" s="320"/>
      <c r="E87" s="346"/>
      <c r="F87" s="299" t="s">
        <v>148</v>
      </c>
      <c r="G87" s="424"/>
      <c r="H87" s="348">
        <f t="shared" si="19"/>
        <v>0</v>
      </c>
      <c r="I87" s="426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13"/>
      <c r="B88" s="297">
        <v>0</v>
      </c>
      <c r="C88" s="319"/>
      <c r="D88" s="320"/>
      <c r="E88" s="346"/>
      <c r="F88" s="299" t="s">
        <v>148</v>
      </c>
      <c r="G88" s="424"/>
      <c r="H88" s="348">
        <f t="shared" si="19"/>
        <v>0</v>
      </c>
      <c r="I88" s="426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13"/>
      <c r="B89" s="297">
        <v>0</v>
      </c>
      <c r="C89" s="319"/>
      <c r="D89" s="320"/>
      <c r="E89" s="346"/>
      <c r="F89" s="299" t="s">
        <v>148</v>
      </c>
      <c r="G89" s="424"/>
      <c r="H89" s="348">
        <f t="shared" si="19"/>
        <v>0</v>
      </c>
      <c r="I89" s="426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13"/>
      <c r="B90" s="297">
        <v>0</v>
      </c>
      <c r="C90" s="319"/>
      <c r="D90" s="320"/>
      <c r="E90" s="346"/>
      <c r="F90" s="299" t="s">
        <v>148</v>
      </c>
      <c r="G90" s="424"/>
      <c r="H90" s="348">
        <f t="shared" si="19"/>
        <v>0</v>
      </c>
      <c r="I90" s="426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13"/>
      <c r="B91" s="297">
        <v>0</v>
      </c>
      <c r="C91" s="6" t="s">
        <v>338</v>
      </c>
      <c r="D91" s="614" t="s">
        <v>293</v>
      </c>
      <c r="E91" s="614"/>
      <c r="F91" s="309"/>
      <c r="G91" s="350"/>
      <c r="H91" s="351"/>
      <c r="I91" s="312"/>
      <c r="J91" s="313">
        <f>AVERAGE(J82:J90)</f>
        <v>3</v>
      </c>
      <c r="K91" s="313">
        <f>AVERAGE(K82:K90)</f>
        <v>3092.0000000000109</v>
      </c>
      <c r="L91" s="314">
        <f>AVERAGE(L82:L90)</f>
        <v>1030.6666666666704</v>
      </c>
      <c r="M91" s="304"/>
      <c r="N91" s="304"/>
      <c r="O91" s="302"/>
      <c r="P91" s="302"/>
      <c r="Q91" s="303"/>
      <c r="R91" s="303"/>
    </row>
    <row r="92" spans="1:18" ht="16.2" customHeight="1">
      <c r="A92" s="615" t="s">
        <v>353</v>
      </c>
      <c r="B92" s="297" t="s">
        <v>146</v>
      </c>
      <c r="C92" s="308"/>
      <c r="D92" s="352" t="s">
        <v>354</v>
      </c>
      <c r="E92" s="346"/>
      <c r="F92" s="299">
        <v>24.54</v>
      </c>
      <c r="G92" s="424">
        <v>1702</v>
      </c>
      <c r="H92" s="300">
        <f t="shared" ref="H92:H99" si="23">F92*G92</f>
        <v>41767.08</v>
      </c>
      <c r="I92" s="426"/>
      <c r="J92" s="301">
        <v>3</v>
      </c>
      <c r="K92" s="302">
        <f>G92/P92*60</f>
        <v>2269.3333333333335</v>
      </c>
      <c r="L92" s="303">
        <f t="shared" ref="L92:L93" si="24">K92/J92</f>
        <v>756.44444444444446</v>
      </c>
      <c r="M92" s="304">
        <v>0.72222222222222221</v>
      </c>
      <c r="N92" s="304">
        <v>0.75347222222222221</v>
      </c>
      <c r="O92" s="296">
        <v>20</v>
      </c>
      <c r="P92" s="419">
        <f>(N92-M92)*24*60</f>
        <v>45</v>
      </c>
      <c r="Q92" s="305"/>
      <c r="R92" s="305"/>
    </row>
    <row r="93" spans="1:18">
      <c r="A93" s="616"/>
      <c r="B93" s="297" t="s">
        <v>146</v>
      </c>
      <c r="C93" s="308"/>
      <c r="D93" s="320" t="s">
        <v>355</v>
      </c>
      <c r="E93" s="341"/>
      <c r="F93" s="299">
        <v>23.27</v>
      </c>
      <c r="G93" s="306">
        <v>1791</v>
      </c>
      <c r="H93" s="300">
        <f t="shared" si="23"/>
        <v>41676.57</v>
      </c>
      <c r="I93" s="426"/>
      <c r="J93" s="301">
        <v>4</v>
      </c>
      <c r="K93" s="302">
        <f t="shared" ref="K93" si="25">G93/P93*60</f>
        <v>2388</v>
      </c>
      <c r="L93" s="303">
        <f t="shared" si="24"/>
        <v>597</v>
      </c>
      <c r="M93" s="304">
        <v>0.76736111111111116</v>
      </c>
      <c r="N93" s="304">
        <v>0.79861111111111116</v>
      </c>
      <c r="O93" s="296">
        <v>20</v>
      </c>
      <c r="P93" s="419">
        <f>(N93-M93)*24*60</f>
        <v>45</v>
      </c>
      <c r="Q93" s="305"/>
      <c r="R93" s="305"/>
    </row>
    <row r="94" spans="1:18">
      <c r="A94" s="616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26"/>
      <c r="J94" s="301">
        <v>4</v>
      </c>
      <c r="K94" s="302"/>
      <c r="L94" s="303"/>
      <c r="M94" s="304"/>
      <c r="N94" s="304"/>
      <c r="O94" s="296"/>
      <c r="P94" s="419"/>
      <c r="Q94" s="305"/>
      <c r="R94" s="305"/>
    </row>
    <row r="95" spans="1:18">
      <c r="A95" s="617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26"/>
      <c r="J95" s="301"/>
      <c r="K95" s="302"/>
      <c r="L95" s="303"/>
      <c r="M95" s="304"/>
      <c r="N95" s="304"/>
      <c r="O95" s="296"/>
      <c r="P95" s="419"/>
      <c r="Q95" s="305"/>
      <c r="R95" s="305"/>
    </row>
    <row r="96" spans="1:18">
      <c r="A96" s="617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26"/>
      <c r="J96" s="301"/>
      <c r="K96" s="302"/>
      <c r="L96" s="303"/>
      <c r="M96" s="304"/>
      <c r="N96" s="304"/>
      <c r="O96" s="296"/>
      <c r="P96" s="419"/>
      <c r="Q96" s="305"/>
      <c r="R96" s="305"/>
    </row>
    <row r="97" spans="1:18">
      <c r="A97" s="617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26"/>
      <c r="J97" s="301"/>
      <c r="K97" s="302"/>
      <c r="L97" s="303"/>
      <c r="M97" s="304"/>
      <c r="N97" s="304"/>
      <c r="O97" s="296"/>
      <c r="P97" s="419"/>
      <c r="Q97" s="305"/>
      <c r="R97" s="305"/>
    </row>
    <row r="98" spans="1:18">
      <c r="A98" s="617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26"/>
      <c r="J98" s="301"/>
      <c r="K98" s="302"/>
      <c r="L98" s="303"/>
      <c r="M98" s="304"/>
      <c r="N98" s="304"/>
      <c r="O98" s="296"/>
      <c r="P98" s="419"/>
      <c r="Q98" s="305"/>
      <c r="R98" s="305"/>
    </row>
    <row r="99" spans="1:18">
      <c r="A99" s="617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26"/>
      <c r="J99" s="301"/>
      <c r="K99" s="302"/>
      <c r="L99" s="303"/>
      <c r="M99" s="304"/>
      <c r="N99" s="304"/>
      <c r="O99" s="296"/>
      <c r="P99" s="419"/>
      <c r="Q99" s="305"/>
      <c r="R99" s="305"/>
    </row>
    <row r="100" spans="1:18" ht="15.75" customHeight="1">
      <c r="A100" s="617"/>
      <c r="B100" s="297">
        <v>0</v>
      </c>
      <c r="C100" s="6" t="s">
        <v>356</v>
      </c>
      <c r="D100" s="618" t="s">
        <v>293</v>
      </c>
      <c r="E100" s="619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2328.666666666667</v>
      </c>
      <c r="L100" s="314">
        <f>AVERAGE(L92:L99)</f>
        <v>676.72222222222217</v>
      </c>
      <c r="M100" s="304"/>
      <c r="N100" s="304"/>
      <c r="O100" s="302"/>
      <c r="P100" s="302"/>
      <c r="Q100" s="303"/>
      <c r="R100" s="303"/>
    </row>
    <row r="101" spans="1:18" ht="16.2" customHeight="1">
      <c r="A101" s="620" t="s">
        <v>357</v>
      </c>
      <c r="B101" s="297" t="s">
        <v>146</v>
      </c>
      <c r="C101" s="6"/>
      <c r="D101" s="341" t="s">
        <v>137</v>
      </c>
      <c r="E101" s="354"/>
      <c r="F101" s="299">
        <v>25.03</v>
      </c>
      <c r="G101" s="424">
        <v>1416</v>
      </c>
      <c r="H101" s="300">
        <f t="shared" ref="H101:H110" si="26">F101*G101</f>
        <v>35442.480000000003</v>
      </c>
      <c r="I101" s="426"/>
      <c r="J101" s="301">
        <v>4</v>
      </c>
      <c r="K101" s="302">
        <f>G101/P101*60</f>
        <v>2832.00000000001</v>
      </c>
      <c r="L101" s="303">
        <f t="shared" ref="L101:L105" si="27">K101/J101</f>
        <v>708.0000000000025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8">(N101-M101)*24*60</f>
        <v>29.999999999999893</v>
      </c>
      <c r="Q101" s="303"/>
      <c r="R101" s="305"/>
    </row>
    <row r="102" spans="1:18" ht="15.6" customHeight="1">
      <c r="A102" s="620"/>
      <c r="B102" s="297" t="s">
        <v>146</v>
      </c>
      <c r="C102" s="6"/>
      <c r="D102" s="320" t="s">
        <v>138</v>
      </c>
      <c r="E102" s="354"/>
      <c r="F102" s="299">
        <v>24.82</v>
      </c>
      <c r="G102" s="424">
        <v>2167</v>
      </c>
      <c r="H102" s="300">
        <f t="shared" si="26"/>
        <v>53784.94</v>
      </c>
      <c r="I102" s="426"/>
      <c r="J102" s="301">
        <v>4</v>
      </c>
      <c r="K102" s="302">
        <f t="shared" ref="K102:K105" si="29">G102/P102*60</f>
        <v>2889.3333333333335</v>
      </c>
      <c r="L102" s="303">
        <f t="shared" si="27"/>
        <v>722.33333333333337</v>
      </c>
      <c r="M102" s="304">
        <v>0.75694444444444453</v>
      </c>
      <c r="N102" s="304">
        <v>0.78819444444444453</v>
      </c>
      <c r="O102" s="296">
        <v>20</v>
      </c>
      <c r="P102" s="302">
        <f t="shared" si="28"/>
        <v>45</v>
      </c>
      <c r="Q102" s="305"/>
      <c r="R102" s="305"/>
    </row>
    <row r="103" spans="1:18">
      <c r="A103" s="620"/>
      <c r="B103" s="297" t="s">
        <v>146</v>
      </c>
      <c r="C103" s="6"/>
      <c r="D103" s="320" t="s">
        <v>358</v>
      </c>
      <c r="E103" s="320"/>
      <c r="F103" s="299">
        <v>30</v>
      </c>
      <c r="G103" s="424">
        <v>2470</v>
      </c>
      <c r="H103" s="300">
        <f t="shared" si="26"/>
        <v>74100</v>
      </c>
      <c r="I103" s="426"/>
      <c r="J103" s="301">
        <v>3</v>
      </c>
      <c r="K103" s="302">
        <f t="shared" si="29"/>
        <v>2964.0000000000105</v>
      </c>
      <c r="L103" s="303">
        <f t="shared" si="27"/>
        <v>988.00000000000352</v>
      </c>
      <c r="M103" s="304">
        <v>0.80208333333333337</v>
      </c>
      <c r="N103" s="304">
        <v>0.83680555555555547</v>
      </c>
      <c r="O103" s="296">
        <v>20</v>
      </c>
      <c r="P103" s="302">
        <f t="shared" si="28"/>
        <v>49.999999999999822</v>
      </c>
      <c r="Q103" s="305"/>
      <c r="R103" s="305"/>
    </row>
    <row r="104" spans="1:18">
      <c r="A104" s="620"/>
      <c r="B104" s="297" t="s">
        <v>146</v>
      </c>
      <c r="C104" s="6"/>
      <c r="D104" s="337" t="s">
        <v>139</v>
      </c>
      <c r="E104" s="341"/>
      <c r="F104" s="299">
        <v>28.57</v>
      </c>
      <c r="G104" s="424">
        <v>3338</v>
      </c>
      <c r="H104" s="300">
        <f t="shared" si="26"/>
        <v>95366.66</v>
      </c>
      <c r="I104" s="426"/>
      <c r="J104" s="301">
        <v>3</v>
      </c>
      <c r="K104" s="302">
        <f t="shared" si="29"/>
        <v>3081.2307692307727</v>
      </c>
      <c r="L104" s="303">
        <f t="shared" si="27"/>
        <v>1027.0769230769242</v>
      </c>
      <c r="M104" s="304">
        <v>0.85069444444444453</v>
      </c>
      <c r="N104" s="304">
        <v>0.89583333333333337</v>
      </c>
      <c r="O104" s="296">
        <v>20</v>
      </c>
      <c r="P104" s="302">
        <f>(N104-M104)*24*60</f>
        <v>64.999999999999929</v>
      </c>
      <c r="Q104" s="305">
        <v>0.89583333333333337</v>
      </c>
      <c r="R104" s="305">
        <v>0.9375</v>
      </c>
    </row>
    <row r="105" spans="1:18">
      <c r="A105" s="620"/>
      <c r="B105" s="297" t="s">
        <v>146</v>
      </c>
      <c r="C105" s="6"/>
      <c r="D105" s="320" t="s">
        <v>140</v>
      </c>
      <c r="E105" s="337"/>
      <c r="F105" s="299">
        <v>14.285714285714283</v>
      </c>
      <c r="G105" s="424">
        <v>9503</v>
      </c>
      <c r="H105" s="300">
        <f t="shared" si="26"/>
        <v>135757.14285714284</v>
      </c>
      <c r="I105" s="426"/>
      <c r="J105" s="301">
        <v>3</v>
      </c>
      <c r="K105" s="302">
        <f t="shared" si="29"/>
        <v>3082.0540541316323</v>
      </c>
      <c r="L105" s="303">
        <f t="shared" si="27"/>
        <v>1027.3513513772107</v>
      </c>
      <c r="M105" s="304">
        <v>46145.951388888891</v>
      </c>
      <c r="N105" s="304">
        <v>46146.079861111109</v>
      </c>
      <c r="O105" s="296">
        <v>20</v>
      </c>
      <c r="P105" s="302">
        <f>(N105-M105)*24*60</f>
        <v>184.99999999534339</v>
      </c>
      <c r="Q105" s="303"/>
      <c r="R105" s="305"/>
    </row>
    <row r="106" spans="1:18">
      <c r="A106" s="620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26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20"/>
      <c r="B107" s="297">
        <v>0</v>
      </c>
      <c r="C107" s="6"/>
      <c r="D107" s="320"/>
      <c r="E107" s="337"/>
      <c r="F107" s="299" t="s">
        <v>148</v>
      </c>
      <c r="G107" s="424"/>
      <c r="H107" s="300">
        <f t="shared" si="26"/>
        <v>0</v>
      </c>
      <c r="I107" s="426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20"/>
      <c r="B108" s="297">
        <v>0</v>
      </c>
      <c r="C108" s="6"/>
      <c r="D108" s="320"/>
      <c r="E108" s="337"/>
      <c r="F108" s="299" t="s">
        <v>148</v>
      </c>
      <c r="G108" s="424"/>
      <c r="H108" s="300">
        <f t="shared" si="26"/>
        <v>0</v>
      </c>
      <c r="I108" s="426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20"/>
      <c r="B109" s="297">
        <v>0</v>
      </c>
      <c r="C109" s="308"/>
      <c r="D109" s="320"/>
      <c r="E109" s="337"/>
      <c r="F109" s="299" t="s">
        <v>148</v>
      </c>
      <c r="G109" s="424"/>
      <c r="H109" s="300">
        <f t="shared" si="26"/>
        <v>0</v>
      </c>
      <c r="I109" s="426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20"/>
      <c r="B110" s="297">
        <v>0</v>
      </c>
      <c r="C110" s="308"/>
      <c r="D110" s="320"/>
      <c r="E110" s="337"/>
      <c r="F110" s="299" t="s">
        <v>148</v>
      </c>
      <c r="G110" s="424"/>
      <c r="H110" s="300">
        <f t="shared" si="26"/>
        <v>0</v>
      </c>
      <c r="I110" s="426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20"/>
      <c r="B111" s="297">
        <v>0</v>
      </c>
      <c r="C111" s="6" t="s">
        <v>344</v>
      </c>
      <c r="D111" s="596" t="s">
        <v>293</v>
      </c>
      <c r="E111" s="621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2969.7236313391522</v>
      </c>
      <c r="L111" s="314">
        <f>AVERAGE(L101:L110)</f>
        <v>894.55232155749491</v>
      </c>
      <c r="M111" s="304"/>
      <c r="N111" s="304"/>
      <c r="O111" s="302"/>
      <c r="P111" s="302"/>
      <c r="Q111" s="303"/>
      <c r="R111" s="296"/>
    </row>
    <row r="112" spans="1:18" ht="16.2" customHeight="1">
      <c r="A112" s="610" t="s">
        <v>359</v>
      </c>
      <c r="B112" s="297" t="s">
        <v>146</v>
      </c>
      <c r="C112" s="6"/>
      <c r="D112" s="337" t="s">
        <v>134</v>
      </c>
      <c r="E112" s="357"/>
      <c r="F112" s="299">
        <v>16.7</v>
      </c>
      <c r="G112" s="424">
        <v>1210</v>
      </c>
      <c r="H112" s="347">
        <f t="shared" si="11"/>
        <v>20207</v>
      </c>
      <c r="I112" s="426"/>
      <c r="J112" s="301">
        <v>3</v>
      </c>
      <c r="K112" s="302">
        <f t="shared" ref="K112:K118" si="30">G112/P112*60</f>
        <v>2903.9999999999918</v>
      </c>
      <c r="L112" s="303">
        <f t="shared" ref="L112:L118" si="31">K112/J112</f>
        <v>967.99999999999727</v>
      </c>
      <c r="M112" s="304">
        <v>0.72222222222222221</v>
      </c>
      <c r="N112" s="304">
        <v>0.73958333333333337</v>
      </c>
      <c r="O112" s="296">
        <v>20</v>
      </c>
      <c r="P112" s="419">
        <f t="shared" ref="P112:P118" si="32">(N112-M112)*24*60</f>
        <v>25.000000000000071</v>
      </c>
      <c r="Q112" s="296"/>
      <c r="R112" s="296"/>
    </row>
    <row r="113" spans="1:18">
      <c r="A113" s="610"/>
      <c r="B113" s="297" t="s">
        <v>146</v>
      </c>
      <c r="C113" s="319"/>
      <c r="D113" s="418" t="s">
        <v>141</v>
      </c>
      <c r="E113" s="418"/>
      <c r="F113" s="299">
        <v>18.18</v>
      </c>
      <c r="G113" s="424">
        <v>1058</v>
      </c>
      <c r="H113" s="347">
        <f t="shared" si="11"/>
        <v>19234.439999999999</v>
      </c>
      <c r="I113" s="426"/>
      <c r="J113" s="301">
        <v>4</v>
      </c>
      <c r="K113" s="302">
        <f t="shared" si="30"/>
        <v>2539.2000000000253</v>
      </c>
      <c r="L113" s="303">
        <f t="shared" si="31"/>
        <v>634.80000000000632</v>
      </c>
      <c r="M113" s="304">
        <v>0.75694444444444453</v>
      </c>
      <c r="N113" s="304">
        <v>0.77430555555555547</v>
      </c>
      <c r="O113" s="296">
        <v>20</v>
      </c>
      <c r="P113" s="419">
        <f t="shared" si="32"/>
        <v>24.999999999999751</v>
      </c>
      <c r="Q113" s="305"/>
      <c r="R113" s="305"/>
    </row>
    <row r="114" spans="1:18">
      <c r="A114" s="610"/>
      <c r="B114" s="297" t="s">
        <v>146</v>
      </c>
      <c r="C114" s="319"/>
      <c r="D114" s="418" t="s">
        <v>360</v>
      </c>
      <c r="E114" s="320"/>
      <c r="F114" s="299">
        <v>18.18</v>
      </c>
      <c r="G114" s="424">
        <v>1201</v>
      </c>
      <c r="H114" s="347">
        <f t="shared" si="11"/>
        <v>21834.18</v>
      </c>
      <c r="I114" s="426"/>
      <c r="J114" s="301">
        <v>3</v>
      </c>
      <c r="K114" s="302">
        <f t="shared" si="30"/>
        <v>2882.4000000000287</v>
      </c>
      <c r="L114" s="303">
        <f t="shared" si="31"/>
        <v>960.80000000000962</v>
      </c>
      <c r="M114" s="304">
        <v>0.78819444444444453</v>
      </c>
      <c r="N114" s="304">
        <v>0.80555555555555547</v>
      </c>
      <c r="O114" s="296">
        <v>20</v>
      </c>
      <c r="P114" s="419">
        <f t="shared" si="32"/>
        <v>24.999999999999751</v>
      </c>
      <c r="Q114" s="305"/>
      <c r="R114" s="305"/>
    </row>
    <row r="115" spans="1:18">
      <c r="A115" s="610"/>
      <c r="B115" s="297" t="s">
        <v>146</v>
      </c>
      <c r="C115" s="319"/>
      <c r="D115" s="320" t="s">
        <v>133</v>
      </c>
      <c r="E115" s="341"/>
      <c r="F115" s="299">
        <v>16.66</v>
      </c>
      <c r="G115" s="424">
        <v>6289</v>
      </c>
      <c r="H115" s="347">
        <f t="shared" si="11"/>
        <v>104774.74</v>
      </c>
      <c r="I115" s="426"/>
      <c r="J115" s="301">
        <v>4</v>
      </c>
      <c r="K115" s="302">
        <f t="shared" si="30"/>
        <v>3144.5000000000027</v>
      </c>
      <c r="L115" s="303">
        <f t="shared" si="31"/>
        <v>786.12500000000068</v>
      </c>
      <c r="M115" s="304">
        <v>0.81944444444444453</v>
      </c>
      <c r="N115" s="304">
        <v>0.90277777777777779</v>
      </c>
      <c r="O115" s="296">
        <v>20</v>
      </c>
      <c r="P115" s="419">
        <f t="shared" si="32"/>
        <v>119.99999999999989</v>
      </c>
      <c r="Q115" s="305"/>
      <c r="R115" s="305"/>
    </row>
    <row r="116" spans="1:18">
      <c r="A116" s="610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24">
        <v>1167</v>
      </c>
      <c r="H116" s="347">
        <f t="shared" si="11"/>
        <v>26002.881818181817</v>
      </c>
      <c r="I116" s="426"/>
      <c r="J116" s="301">
        <v>4</v>
      </c>
      <c r="K116" s="302">
        <f t="shared" si="30"/>
        <v>2800.799999999992</v>
      </c>
      <c r="L116" s="303">
        <f t="shared" si="31"/>
        <v>700.199999999998</v>
      </c>
      <c r="M116" s="304">
        <v>0.91666666666666663</v>
      </c>
      <c r="N116" s="349">
        <v>0.93402777777777779</v>
      </c>
      <c r="O116" s="296">
        <v>20</v>
      </c>
      <c r="P116" s="419">
        <f t="shared" si="32"/>
        <v>25.000000000000071</v>
      </c>
      <c r="Q116" s="305">
        <v>0.93402777777777779</v>
      </c>
      <c r="R116" s="305">
        <v>0.97569444444444453</v>
      </c>
    </row>
    <row r="117" spans="1:18">
      <c r="A117" s="610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24">
        <v>4371</v>
      </c>
      <c r="H117" s="347">
        <f t="shared" ref="H117:H123" si="33">F117*G117</f>
        <v>78201.163636363635</v>
      </c>
      <c r="I117" s="426"/>
      <c r="J117" s="301">
        <v>3</v>
      </c>
      <c r="K117" s="302">
        <f t="shared" si="30"/>
        <v>3085.4117649171703</v>
      </c>
      <c r="L117" s="303">
        <f t="shared" si="31"/>
        <v>1028.4705883057234</v>
      </c>
      <c r="M117" s="304">
        <v>46145.989583333336</v>
      </c>
      <c r="N117" s="304">
        <v>46146.048611111109</v>
      </c>
      <c r="O117" s="302">
        <v>20</v>
      </c>
      <c r="P117" s="419">
        <f t="shared" si="32"/>
        <v>84.999999994179234</v>
      </c>
      <c r="Q117" s="305"/>
      <c r="R117" s="305"/>
    </row>
    <row r="118" spans="1:18">
      <c r="A118" s="610"/>
      <c r="B118" s="297" t="s">
        <v>146</v>
      </c>
      <c r="C118" s="319"/>
      <c r="D118" s="320" t="s">
        <v>361</v>
      </c>
      <c r="E118" s="336"/>
      <c r="F118" s="299">
        <v>14.03</v>
      </c>
      <c r="G118" s="424">
        <v>6598</v>
      </c>
      <c r="H118" s="347">
        <f t="shared" si="33"/>
        <v>92569.94</v>
      </c>
      <c r="I118" s="426"/>
      <c r="J118" s="301">
        <v>3</v>
      </c>
      <c r="K118" s="302">
        <f t="shared" si="30"/>
        <v>3045.2307692307695</v>
      </c>
      <c r="L118" s="303">
        <f t="shared" si="31"/>
        <v>1015.0769230769232</v>
      </c>
      <c r="M118" s="304">
        <v>6.25E-2</v>
      </c>
      <c r="N118" s="304">
        <v>0.15277777777777776</v>
      </c>
      <c r="O118" s="302">
        <v>20</v>
      </c>
      <c r="P118" s="419">
        <f t="shared" si="32"/>
        <v>129.99999999999997</v>
      </c>
      <c r="Q118" s="305"/>
      <c r="R118" s="305"/>
    </row>
    <row r="119" spans="1:18">
      <c r="A119" s="610"/>
      <c r="B119" s="297">
        <v>0</v>
      </c>
      <c r="C119" s="319"/>
      <c r="D119" s="337"/>
      <c r="E119" s="336"/>
      <c r="F119" s="299" t="s">
        <v>148</v>
      </c>
      <c r="G119" s="424"/>
      <c r="H119" s="347">
        <f t="shared" si="33"/>
        <v>0</v>
      </c>
      <c r="I119" s="426"/>
      <c r="J119" s="301"/>
      <c r="K119" s="302"/>
      <c r="L119" s="303"/>
      <c r="M119" s="304"/>
      <c r="N119" s="304"/>
      <c r="O119" s="296"/>
      <c r="P119" s="419"/>
      <c r="Q119" s="305"/>
      <c r="R119" s="305"/>
    </row>
    <row r="120" spans="1:18">
      <c r="A120" s="610"/>
      <c r="B120" s="297">
        <v>0</v>
      </c>
      <c r="C120" s="319"/>
      <c r="D120" s="337"/>
      <c r="E120" s="336"/>
      <c r="F120" s="299" t="s">
        <v>148</v>
      </c>
      <c r="G120" s="424"/>
      <c r="H120" s="347">
        <f t="shared" si="33"/>
        <v>0</v>
      </c>
      <c r="I120" s="426"/>
      <c r="J120" s="301"/>
      <c r="K120" s="302"/>
      <c r="L120" s="303"/>
      <c r="M120" s="304"/>
      <c r="N120" s="304"/>
      <c r="O120" s="296"/>
      <c r="P120" s="419"/>
      <c r="Q120" s="305"/>
      <c r="R120" s="305"/>
    </row>
    <row r="121" spans="1:18">
      <c r="A121" s="610"/>
      <c r="B121" s="297">
        <v>0</v>
      </c>
      <c r="C121" s="319"/>
      <c r="D121" s="337"/>
      <c r="E121" s="336"/>
      <c r="F121" s="299" t="s">
        <v>148</v>
      </c>
      <c r="G121" s="424"/>
      <c r="H121" s="347">
        <f t="shared" si="33"/>
        <v>0</v>
      </c>
      <c r="I121" s="426"/>
      <c r="J121" s="301"/>
      <c r="K121" s="302"/>
      <c r="L121" s="303"/>
      <c r="M121" s="304"/>
      <c r="N121" s="304"/>
      <c r="O121" s="296"/>
      <c r="P121" s="419"/>
      <c r="Q121" s="305"/>
      <c r="R121" s="305"/>
    </row>
    <row r="122" spans="1:18" ht="15.6" customHeight="1">
      <c r="A122" s="610"/>
      <c r="B122" s="297">
        <v>0</v>
      </c>
      <c r="C122" s="319"/>
      <c r="D122" s="337"/>
      <c r="E122" s="336"/>
      <c r="F122" s="299" t="s">
        <v>148</v>
      </c>
      <c r="G122" s="424"/>
      <c r="H122" s="347">
        <f t="shared" si="33"/>
        <v>0</v>
      </c>
      <c r="I122" s="426"/>
      <c r="J122" s="301"/>
      <c r="K122" s="302"/>
      <c r="L122" s="303"/>
      <c r="M122" s="304"/>
      <c r="N122" s="304"/>
      <c r="O122" s="296"/>
      <c r="P122" s="419"/>
      <c r="Q122" s="305"/>
      <c r="R122" s="305"/>
    </row>
    <row r="123" spans="1:18">
      <c r="A123" s="610"/>
      <c r="B123" s="297">
        <v>0</v>
      </c>
      <c r="C123" s="319"/>
      <c r="D123" s="337"/>
      <c r="E123" s="336"/>
      <c r="F123" s="299" t="s">
        <v>148</v>
      </c>
      <c r="G123" s="424"/>
      <c r="H123" s="347">
        <f t="shared" si="33"/>
        <v>0</v>
      </c>
      <c r="I123" s="426"/>
      <c r="J123" s="301"/>
      <c r="K123" s="302"/>
      <c r="L123" s="303"/>
      <c r="M123" s="304"/>
      <c r="N123" s="304"/>
      <c r="O123" s="296"/>
      <c r="P123" s="419"/>
      <c r="Q123" s="305"/>
      <c r="R123" s="305"/>
    </row>
    <row r="124" spans="1:18" ht="17.399999999999999" customHeight="1">
      <c r="A124" s="610"/>
      <c r="B124" s="308">
        <v>0</v>
      </c>
      <c r="C124" s="6" t="s">
        <v>350</v>
      </c>
      <c r="D124" s="611" t="s">
        <v>293</v>
      </c>
      <c r="E124" s="611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2914.5060763068545</v>
      </c>
      <c r="L124" s="314">
        <f>AVERAGE(L112:L123)</f>
        <v>870.49607305466543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N9" sqref="N9"/>
      <selection pane="bottomLeft" activeCell="Q31" sqref="Q3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163</v>
      </c>
      <c r="B1" s="28"/>
      <c r="C1" s="28"/>
      <c r="D1" s="447" t="s">
        <v>113</v>
      </c>
      <c r="E1" s="29">
        <f>SUM(G5:G173)</f>
        <v>199301.4</v>
      </c>
      <c r="F1" s="431" t="s">
        <v>3</v>
      </c>
      <c r="G1" s="30">
        <f>SUM(H5:H173)</f>
        <v>8148195.2207988175</v>
      </c>
      <c r="H1" s="446" t="s">
        <v>37</v>
      </c>
      <c r="I1" s="31">
        <f>M17+M30+M43+M56+M69+M82+M95+M108+M121+M134+M147+M160+M173</f>
        <v>194.33293650793652</v>
      </c>
      <c r="J1" s="622" t="s">
        <v>38</v>
      </c>
      <c r="K1" s="622"/>
      <c r="L1" s="622"/>
      <c r="M1" s="622" t="s">
        <v>39</v>
      </c>
      <c r="N1" s="622"/>
      <c r="O1" s="622"/>
      <c r="P1" s="622" t="s">
        <v>224</v>
      </c>
      <c r="Q1" s="622"/>
      <c r="R1" s="622"/>
      <c r="S1" s="622"/>
      <c r="T1" s="622" t="s">
        <v>156</v>
      </c>
      <c r="U1" s="622"/>
      <c r="V1" s="622"/>
      <c r="W1" s="622"/>
      <c r="X1" s="622"/>
      <c r="Y1" s="622"/>
      <c r="Z1" s="32" t="s">
        <v>164</v>
      </c>
      <c r="AA1" s="32" t="s">
        <v>183</v>
      </c>
      <c r="AB1" s="623" t="s">
        <v>181</v>
      </c>
      <c r="AC1" s="624"/>
      <c r="AD1" s="32" t="s">
        <v>164</v>
      </c>
      <c r="AE1" s="32" t="s">
        <v>165</v>
      </c>
      <c r="AF1" s="622" t="s">
        <v>166</v>
      </c>
      <c r="AG1" s="627"/>
      <c r="AH1" s="627"/>
    </row>
    <row r="2" spans="1:34" ht="26.25" customHeight="1">
      <c r="A2" s="632" t="s">
        <v>322</v>
      </c>
      <c r="B2" s="632"/>
      <c r="C2" s="447"/>
      <c r="D2" s="447" t="s">
        <v>225</v>
      </c>
      <c r="E2" s="34">
        <f>AVERAGE(O17,O30,O43,O56,O69,O82,O95,O108,O121,O134,O147,O160,O173)</f>
        <v>125.97617268081409</v>
      </c>
      <c r="F2" s="35" t="s">
        <v>40</v>
      </c>
      <c r="G2" s="36">
        <f>G1/E1</f>
        <v>40.883783158566963</v>
      </c>
      <c r="H2" s="446" t="s">
        <v>41</v>
      </c>
      <c r="I2" s="446">
        <f>COUNT(I5:I173)</f>
        <v>9</v>
      </c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25"/>
      <c r="AC2" s="626"/>
      <c r="AD2" s="38">
        <f>AD17+AD30+AD43+AD56+AD69+AD82+AD95+AD108+AD121+AD134+AD147+AD160+AD173</f>
        <v>9</v>
      </c>
      <c r="AE2" s="38">
        <f>AE17+AE30+AE43+AE56+AE69+AE82+AE95+AE108+AE121+AE134+AE147+AE160+AE173</f>
        <v>3</v>
      </c>
      <c r="AF2" s="627"/>
      <c r="AG2" s="627"/>
      <c r="AH2" s="627"/>
    </row>
    <row r="3" spans="1:34" ht="30.6" customHeight="1">
      <c r="A3" s="633" t="s">
        <v>114</v>
      </c>
      <c r="B3" s="633" t="s">
        <v>42</v>
      </c>
      <c r="C3" s="634"/>
      <c r="D3" s="633" t="s">
        <v>115</v>
      </c>
      <c r="E3" s="633"/>
      <c r="F3" s="634" t="s">
        <v>43</v>
      </c>
      <c r="G3" s="647" t="s">
        <v>44</v>
      </c>
      <c r="H3" s="634" t="s">
        <v>45</v>
      </c>
      <c r="I3" s="628" t="s">
        <v>157</v>
      </c>
      <c r="J3" s="629" t="s">
        <v>46</v>
      </c>
      <c r="K3" s="630" t="s">
        <v>47</v>
      </c>
      <c r="L3" s="631" t="s">
        <v>35</v>
      </c>
      <c r="M3" s="647" t="s">
        <v>46</v>
      </c>
      <c r="N3" s="630" t="s">
        <v>116</v>
      </c>
      <c r="O3" s="631" t="s">
        <v>225</v>
      </c>
      <c r="P3" s="629" t="s">
        <v>117</v>
      </c>
      <c r="Q3" s="631" t="s">
        <v>225</v>
      </c>
      <c r="R3" s="640" t="s">
        <v>167</v>
      </c>
      <c r="S3" s="641" t="s">
        <v>168</v>
      </c>
      <c r="T3" s="647" t="s">
        <v>48</v>
      </c>
      <c r="U3" s="647"/>
      <c r="V3" s="648" t="s">
        <v>49</v>
      </c>
      <c r="W3" s="628" t="s">
        <v>118</v>
      </c>
      <c r="X3" s="647" t="s">
        <v>119</v>
      </c>
      <c r="Y3" s="647"/>
      <c r="Z3" s="649" t="s">
        <v>184</v>
      </c>
      <c r="AA3" s="650"/>
      <c r="AB3" s="636" t="s">
        <v>169</v>
      </c>
      <c r="AC3" s="637"/>
      <c r="AD3" s="638" t="s">
        <v>185</v>
      </c>
      <c r="AE3" s="639"/>
      <c r="AF3" s="630" t="s">
        <v>116</v>
      </c>
      <c r="AG3" s="640" t="s">
        <v>167</v>
      </c>
      <c r="AH3" s="641" t="s">
        <v>168</v>
      </c>
    </row>
    <row r="4" spans="1:34" ht="30.6" customHeight="1">
      <c r="A4" s="634"/>
      <c r="B4" s="633"/>
      <c r="C4" s="635"/>
      <c r="D4" s="633"/>
      <c r="E4" s="633"/>
      <c r="F4" s="635"/>
      <c r="G4" s="647"/>
      <c r="H4" s="635"/>
      <c r="I4" s="628"/>
      <c r="J4" s="629"/>
      <c r="K4" s="630"/>
      <c r="L4" s="631"/>
      <c r="M4" s="647"/>
      <c r="N4" s="630"/>
      <c r="O4" s="631"/>
      <c r="P4" s="629"/>
      <c r="Q4" s="631"/>
      <c r="R4" s="640"/>
      <c r="S4" s="641"/>
      <c r="T4" s="441" t="s">
        <v>50</v>
      </c>
      <c r="U4" s="441" t="s">
        <v>51</v>
      </c>
      <c r="V4" s="647"/>
      <c r="W4" s="628"/>
      <c r="X4" s="431" t="s">
        <v>158</v>
      </c>
      <c r="Y4" s="431" t="s">
        <v>36</v>
      </c>
      <c r="Z4" s="441" t="s">
        <v>170</v>
      </c>
      <c r="AA4" s="441" t="s">
        <v>226</v>
      </c>
      <c r="AB4" s="637"/>
      <c r="AC4" s="637"/>
      <c r="AD4" s="441" t="s">
        <v>227</v>
      </c>
      <c r="AE4" s="39" t="s">
        <v>171</v>
      </c>
      <c r="AF4" s="630"/>
      <c r="AG4" s="640"/>
      <c r="AH4" s="641"/>
    </row>
    <row r="5" spans="1:34" ht="18.75" customHeight="1">
      <c r="A5" s="642" t="s">
        <v>228</v>
      </c>
      <c r="B5" s="40" t="s">
        <v>142</v>
      </c>
      <c r="C5" s="41"/>
      <c r="D5" s="42" t="s">
        <v>52</v>
      </c>
      <c r="E5" s="43"/>
      <c r="F5" s="361">
        <v>37.83</v>
      </c>
      <c r="G5" s="44">
        <v>7824</v>
      </c>
      <c r="H5" s="45">
        <f t="shared" ref="H5:H16" si="0">F5*G5</f>
        <v>295981.92</v>
      </c>
      <c r="I5" s="442"/>
      <c r="J5" s="46">
        <v>20</v>
      </c>
      <c r="K5" s="44">
        <v>2400</v>
      </c>
      <c r="L5" s="47">
        <v>120</v>
      </c>
      <c r="M5" s="443">
        <v>20</v>
      </c>
      <c r="N5" s="44">
        <f t="shared" ref="N5:N11" si="1">G5/W5*60</f>
        <v>2278.8349514563106</v>
      </c>
      <c r="O5" s="47">
        <f t="shared" ref="O5:O11" si="2">N5/M5</f>
        <v>113.94174757281553</v>
      </c>
      <c r="P5" s="48">
        <f t="shared" ref="P5:P11" si="3">M5-J5</f>
        <v>0</v>
      </c>
      <c r="Q5" s="49">
        <f t="shared" ref="Q5:Q11" si="4">O5-L5</f>
        <v>-6.0582524271844704</v>
      </c>
      <c r="R5" s="433">
        <f t="shared" ref="R5:R11" si="5">O5/L5</f>
        <v>0.94951456310679605</v>
      </c>
      <c r="S5" s="645">
        <f>R17</f>
        <v>0.90491718323578851</v>
      </c>
      <c r="T5" s="89">
        <v>0.25</v>
      </c>
      <c r="U5" s="89">
        <v>0.39305555555555555</v>
      </c>
      <c r="V5" s="431">
        <v>5</v>
      </c>
      <c r="W5" s="442">
        <f>(U5-T5)*24*60</f>
        <v>206</v>
      </c>
      <c r="X5" s="431"/>
      <c r="Y5" s="431"/>
      <c r="Z5" s="51"/>
      <c r="AA5" s="51"/>
      <c r="AB5" s="633"/>
      <c r="AC5" s="633"/>
      <c r="AD5" s="52"/>
      <c r="AE5" s="52"/>
      <c r="AF5" s="48">
        <f t="shared" ref="AF5:AF70" si="6">N5-K5</f>
        <v>-121.16504854368941</v>
      </c>
      <c r="AG5" s="433">
        <f t="shared" ref="AG5:AG70" si="7">N5/K5</f>
        <v>0.94951456310679605</v>
      </c>
      <c r="AH5" s="645">
        <f>AG17</f>
        <v>0.91918233279137962</v>
      </c>
    </row>
    <row r="6" spans="1:34" ht="19.2" customHeight="1">
      <c r="A6" s="643"/>
      <c r="B6" s="40" t="s">
        <v>142</v>
      </c>
      <c r="C6" s="41"/>
      <c r="D6" s="42" t="s">
        <v>252</v>
      </c>
      <c r="E6" s="43"/>
      <c r="F6" s="361">
        <v>38.99</v>
      </c>
      <c r="G6" s="44">
        <v>2405</v>
      </c>
      <c r="H6" s="45">
        <f t="shared" si="0"/>
        <v>93770.950000000012</v>
      </c>
      <c r="I6" s="442"/>
      <c r="J6" s="46">
        <v>17</v>
      </c>
      <c r="K6" s="44">
        <v>2700</v>
      </c>
      <c r="L6" s="47">
        <v>158.8235294117647</v>
      </c>
      <c r="M6" s="443">
        <v>17</v>
      </c>
      <c r="N6" s="44">
        <f t="shared" si="1"/>
        <v>2404.9999999999991</v>
      </c>
      <c r="O6" s="47">
        <f t="shared" si="2"/>
        <v>141.47058823529406</v>
      </c>
      <c r="P6" s="48">
        <f t="shared" si="3"/>
        <v>0</v>
      </c>
      <c r="Q6" s="49">
        <f t="shared" si="4"/>
        <v>-17.352941176470637</v>
      </c>
      <c r="R6" s="433">
        <f t="shared" si="5"/>
        <v>0.89074074074074039</v>
      </c>
      <c r="S6" s="645"/>
      <c r="T6" s="89">
        <v>0.40833333333333333</v>
      </c>
      <c r="U6" s="89">
        <v>0.45</v>
      </c>
      <c r="V6" s="431">
        <v>22</v>
      </c>
      <c r="W6" s="442">
        <f t="shared" ref="W6:W17" si="8">(U6-T6)*24*60</f>
        <v>60.000000000000028</v>
      </c>
      <c r="X6" s="53">
        <v>0.3979166666666667</v>
      </c>
      <c r="Y6" s="53">
        <v>0.40763888888888888</v>
      </c>
      <c r="Z6" s="54"/>
      <c r="AA6" s="54"/>
      <c r="AB6" s="633"/>
      <c r="AC6" s="633"/>
      <c r="AD6" s="429"/>
      <c r="AE6" s="429"/>
      <c r="AF6" s="48">
        <f t="shared" si="6"/>
        <v>-295.00000000000091</v>
      </c>
      <c r="AG6" s="433">
        <f t="shared" si="7"/>
        <v>0.89074074074074039</v>
      </c>
      <c r="AH6" s="645"/>
    </row>
    <row r="7" spans="1:34" ht="19.2" customHeight="1">
      <c r="A7" s="643"/>
      <c r="B7" s="40" t="s">
        <v>142</v>
      </c>
      <c r="C7" s="41"/>
      <c r="D7" s="42" t="s">
        <v>246</v>
      </c>
      <c r="E7" s="43"/>
      <c r="F7" s="361">
        <v>28.86</v>
      </c>
      <c r="G7" s="44">
        <v>1820</v>
      </c>
      <c r="H7" s="45">
        <f t="shared" si="0"/>
        <v>52525.2</v>
      </c>
      <c r="I7" s="442"/>
      <c r="J7" s="46">
        <v>17</v>
      </c>
      <c r="K7" s="44">
        <v>2700</v>
      </c>
      <c r="L7" s="47">
        <v>158.8235294117647</v>
      </c>
      <c r="M7" s="443">
        <v>17</v>
      </c>
      <c r="N7" s="44">
        <f t="shared" si="1"/>
        <v>2373.913043478261</v>
      </c>
      <c r="O7" s="47">
        <f t="shared" si="2"/>
        <v>139.64194373401534</v>
      </c>
      <c r="P7" s="48">
        <f t="shared" si="3"/>
        <v>0</v>
      </c>
      <c r="Q7" s="49">
        <f t="shared" si="4"/>
        <v>-19.181585677749354</v>
      </c>
      <c r="R7" s="433">
        <f t="shared" si="5"/>
        <v>0.87922705314009664</v>
      </c>
      <c r="S7" s="645"/>
      <c r="T7" s="89">
        <v>0.45416666666666666</v>
      </c>
      <c r="U7" s="89">
        <v>0.4861111111111111</v>
      </c>
      <c r="V7" s="431">
        <v>6</v>
      </c>
      <c r="W7" s="442">
        <f t="shared" si="8"/>
        <v>46</v>
      </c>
      <c r="X7" s="53"/>
      <c r="Y7" s="53"/>
      <c r="Z7" s="54"/>
      <c r="AA7" s="54"/>
      <c r="AB7" s="633"/>
      <c r="AC7" s="633"/>
      <c r="AD7" s="429"/>
      <c r="AE7" s="429"/>
      <c r="AF7" s="48">
        <f t="shared" si="6"/>
        <v>-326.08695652173901</v>
      </c>
      <c r="AG7" s="433">
        <f t="shared" si="7"/>
        <v>0.87922705314009664</v>
      </c>
      <c r="AH7" s="645"/>
    </row>
    <row r="8" spans="1:34" ht="19.2" customHeight="1">
      <c r="A8" s="643"/>
      <c r="B8" s="40" t="s">
        <v>142</v>
      </c>
      <c r="C8" s="41"/>
      <c r="D8" s="42" t="s">
        <v>53</v>
      </c>
      <c r="E8" s="43"/>
      <c r="F8" s="361">
        <v>31.11</v>
      </c>
      <c r="G8" s="44">
        <v>2540</v>
      </c>
      <c r="H8" s="45">
        <f t="shared" si="0"/>
        <v>79019.399999999994</v>
      </c>
      <c r="I8" s="442"/>
      <c r="J8" s="46">
        <v>18</v>
      </c>
      <c r="K8" s="44">
        <v>2700</v>
      </c>
      <c r="L8" s="47">
        <v>150</v>
      </c>
      <c r="M8" s="443">
        <v>18</v>
      </c>
      <c r="N8" s="44">
        <f t="shared" si="1"/>
        <v>2540.0000000000023</v>
      </c>
      <c r="O8" s="47">
        <f t="shared" si="2"/>
        <v>141.11111111111123</v>
      </c>
      <c r="P8" s="48">
        <f t="shared" si="3"/>
        <v>0</v>
      </c>
      <c r="Q8" s="49">
        <f t="shared" si="4"/>
        <v>-8.888888888888772</v>
      </c>
      <c r="R8" s="433">
        <f t="shared" si="5"/>
        <v>0.94074074074074154</v>
      </c>
      <c r="S8" s="645"/>
      <c r="T8" s="89">
        <v>0.52708333333333335</v>
      </c>
      <c r="U8" s="89">
        <v>0.56874999999999998</v>
      </c>
      <c r="V8" s="431">
        <v>6</v>
      </c>
      <c r="W8" s="442">
        <f t="shared" si="8"/>
        <v>59.999999999999943</v>
      </c>
      <c r="X8" s="53"/>
      <c r="Y8" s="53"/>
      <c r="Z8" s="54"/>
      <c r="AA8" s="54"/>
      <c r="AB8" s="633"/>
      <c r="AC8" s="633"/>
      <c r="AD8" s="429"/>
      <c r="AE8" s="429"/>
      <c r="AF8" s="48">
        <f t="shared" si="6"/>
        <v>-159.99999999999773</v>
      </c>
      <c r="AG8" s="433">
        <f t="shared" si="7"/>
        <v>0.94074074074074154</v>
      </c>
      <c r="AH8" s="645"/>
    </row>
    <row r="9" spans="1:34" ht="19.2" customHeight="1">
      <c r="A9" s="643"/>
      <c r="B9" s="40" t="s">
        <v>142</v>
      </c>
      <c r="C9" s="55"/>
      <c r="D9" s="42" t="s">
        <v>54</v>
      </c>
      <c r="E9" s="56"/>
      <c r="F9" s="361">
        <v>38.479999999999997</v>
      </c>
      <c r="G9" s="57">
        <v>3447</v>
      </c>
      <c r="H9" s="45">
        <f t="shared" si="0"/>
        <v>132640.56</v>
      </c>
      <c r="I9" s="429"/>
      <c r="J9" s="46">
        <v>18</v>
      </c>
      <c r="K9" s="44">
        <v>2700</v>
      </c>
      <c r="L9" s="47">
        <v>150</v>
      </c>
      <c r="M9" s="443">
        <v>19</v>
      </c>
      <c r="N9" s="44">
        <f t="shared" si="1"/>
        <v>2522.1951219512189</v>
      </c>
      <c r="O9" s="47">
        <f t="shared" si="2"/>
        <v>132.7471116816431</v>
      </c>
      <c r="P9" s="48">
        <f t="shared" si="3"/>
        <v>1</v>
      </c>
      <c r="Q9" s="49">
        <f t="shared" si="4"/>
        <v>-17.252888318356895</v>
      </c>
      <c r="R9" s="433">
        <f t="shared" si="5"/>
        <v>0.88498074454428732</v>
      </c>
      <c r="S9" s="645"/>
      <c r="T9" s="89">
        <v>0.57361111111111107</v>
      </c>
      <c r="U9" s="89">
        <v>0.63055555555555554</v>
      </c>
      <c r="V9" s="431">
        <v>7</v>
      </c>
      <c r="W9" s="442">
        <f t="shared" si="8"/>
        <v>82.000000000000028</v>
      </c>
      <c r="X9" s="53"/>
      <c r="Y9" s="53"/>
      <c r="Z9" s="54"/>
      <c r="AA9" s="54"/>
      <c r="AB9" s="633"/>
      <c r="AC9" s="633"/>
      <c r="AD9" s="429"/>
      <c r="AE9" s="429"/>
      <c r="AF9" s="48">
        <f t="shared" si="6"/>
        <v>-177.80487804878112</v>
      </c>
      <c r="AG9" s="433">
        <f t="shared" si="7"/>
        <v>0.93414634146341435</v>
      </c>
      <c r="AH9" s="645"/>
    </row>
    <row r="10" spans="1:34" ht="19.2" customHeight="1">
      <c r="A10" s="644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4704</v>
      </c>
      <c r="H10" s="45">
        <f t="shared" si="0"/>
        <v>177811.19999999998</v>
      </c>
      <c r="I10" s="442"/>
      <c r="J10" s="46">
        <v>19</v>
      </c>
      <c r="K10" s="44">
        <v>2700</v>
      </c>
      <c r="L10" s="47">
        <v>142.10526315789474</v>
      </c>
      <c r="M10" s="443">
        <v>19</v>
      </c>
      <c r="N10" s="44">
        <f t="shared" si="1"/>
        <v>2475.789473684209</v>
      </c>
      <c r="O10" s="47">
        <f t="shared" si="2"/>
        <v>130.30470914127417</v>
      </c>
      <c r="P10" s="48">
        <f t="shared" si="3"/>
        <v>0</v>
      </c>
      <c r="Q10" s="49">
        <f t="shared" si="4"/>
        <v>-11.800554016620566</v>
      </c>
      <c r="R10" s="433">
        <f t="shared" si="5"/>
        <v>0.91695906432748486</v>
      </c>
      <c r="S10" s="646"/>
      <c r="T10" s="89">
        <v>0.64652777777777781</v>
      </c>
      <c r="U10" s="89">
        <v>0.72569444444444453</v>
      </c>
      <c r="V10" s="431">
        <v>23</v>
      </c>
      <c r="W10" s="442">
        <f t="shared" si="8"/>
        <v>114.00000000000007</v>
      </c>
      <c r="X10" s="53">
        <v>0.63541666666666663</v>
      </c>
      <c r="Y10" s="53">
        <v>0.64583333333333337</v>
      </c>
      <c r="Z10" s="54"/>
      <c r="AA10" s="54"/>
      <c r="AB10" s="633"/>
      <c r="AC10" s="633"/>
      <c r="AD10" s="429"/>
      <c r="AE10" s="429"/>
      <c r="AF10" s="48">
        <f t="shared" si="6"/>
        <v>-224.21052631579096</v>
      </c>
      <c r="AG10" s="433">
        <f t="shared" si="7"/>
        <v>0.91695906432748486</v>
      </c>
      <c r="AH10" s="646"/>
    </row>
    <row r="11" spans="1:34" ht="19.2" customHeight="1">
      <c r="A11" s="644"/>
      <c r="B11" s="40" t="s">
        <v>144</v>
      </c>
      <c r="C11" s="41"/>
      <c r="D11" s="42" t="s">
        <v>241</v>
      </c>
      <c r="E11" s="43"/>
      <c r="F11" s="361">
        <v>49.91</v>
      </c>
      <c r="G11" s="44">
        <v>1747.55</v>
      </c>
      <c r="H11" s="45">
        <f t="shared" si="0"/>
        <v>87220.220499999996</v>
      </c>
      <c r="I11" s="442">
        <v>1</v>
      </c>
      <c r="J11" s="46">
        <v>15</v>
      </c>
      <c r="K11" s="44">
        <v>1500</v>
      </c>
      <c r="L11" s="47">
        <v>100</v>
      </c>
      <c r="M11" s="443">
        <v>16</v>
      </c>
      <c r="N11" s="44">
        <f t="shared" si="1"/>
        <v>1398.040000000002</v>
      </c>
      <c r="O11" s="47">
        <f t="shared" si="2"/>
        <v>87.377500000000126</v>
      </c>
      <c r="P11" s="48">
        <f t="shared" si="3"/>
        <v>1</v>
      </c>
      <c r="Q11" s="49">
        <f t="shared" si="4"/>
        <v>-12.622499999999874</v>
      </c>
      <c r="R11" s="433">
        <f t="shared" si="5"/>
        <v>0.8737750000000013</v>
      </c>
      <c r="S11" s="646"/>
      <c r="T11" s="89">
        <v>0.73125000000000007</v>
      </c>
      <c r="U11" s="89">
        <v>0.78333333333333333</v>
      </c>
      <c r="V11" s="431">
        <v>8</v>
      </c>
      <c r="W11" s="442">
        <f t="shared" si="8"/>
        <v>74.999999999999886</v>
      </c>
      <c r="X11" s="53"/>
      <c r="Y11" s="53"/>
      <c r="Z11" s="54"/>
      <c r="AA11" s="54"/>
      <c r="AB11" s="633"/>
      <c r="AC11" s="633"/>
      <c r="AD11" s="429">
        <v>1</v>
      </c>
      <c r="AE11" s="429">
        <v>1</v>
      </c>
      <c r="AF11" s="48">
        <f t="shared" si="6"/>
        <v>-101.95999999999799</v>
      </c>
      <c r="AG11" s="433">
        <f t="shared" si="7"/>
        <v>0.932026666666668</v>
      </c>
      <c r="AH11" s="646"/>
    </row>
    <row r="12" spans="1:34" ht="19.2" customHeight="1">
      <c r="A12" s="644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442"/>
      <c r="J12" s="46"/>
      <c r="K12" s="44"/>
      <c r="L12" s="47"/>
      <c r="M12" s="443"/>
      <c r="N12" s="44"/>
      <c r="O12" s="47"/>
      <c r="P12" s="48"/>
      <c r="Q12" s="49"/>
      <c r="R12" s="433"/>
      <c r="S12" s="646"/>
      <c r="T12" s="89"/>
      <c r="U12" s="89"/>
      <c r="V12" s="431"/>
      <c r="W12" s="442">
        <f t="shared" si="8"/>
        <v>0</v>
      </c>
      <c r="X12" s="53"/>
      <c r="Y12" s="53"/>
      <c r="Z12" s="54"/>
      <c r="AA12" s="54"/>
      <c r="AB12" s="633"/>
      <c r="AC12" s="633"/>
      <c r="AD12" s="429"/>
      <c r="AE12" s="429"/>
      <c r="AF12" s="48">
        <f t="shared" si="6"/>
        <v>0</v>
      </c>
      <c r="AG12" s="433" t="e">
        <f t="shared" si="7"/>
        <v>#DIV/0!</v>
      </c>
      <c r="AH12" s="646"/>
    </row>
    <row r="13" spans="1:34" ht="19.2" customHeight="1">
      <c r="A13" s="644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444"/>
      <c r="J13" s="46"/>
      <c r="K13" s="44"/>
      <c r="L13" s="47"/>
      <c r="M13" s="62"/>
      <c r="N13" s="44"/>
      <c r="O13" s="47"/>
      <c r="P13" s="48"/>
      <c r="Q13" s="49"/>
      <c r="R13" s="433"/>
      <c r="S13" s="646"/>
      <c r="T13" s="89"/>
      <c r="U13" s="89"/>
      <c r="V13" s="444"/>
      <c r="W13" s="442">
        <f t="shared" si="8"/>
        <v>0</v>
      </c>
      <c r="X13" s="64"/>
      <c r="Y13" s="64"/>
      <c r="Z13" s="54"/>
      <c r="AA13" s="54"/>
      <c r="AB13" s="633"/>
      <c r="AC13" s="633"/>
      <c r="AD13" s="429"/>
      <c r="AE13" s="429"/>
      <c r="AF13" s="48">
        <f t="shared" si="6"/>
        <v>0</v>
      </c>
      <c r="AG13" s="433" t="e">
        <f t="shared" si="7"/>
        <v>#DIV/0!</v>
      </c>
      <c r="AH13" s="646"/>
    </row>
    <row r="14" spans="1:34" ht="19.2" customHeight="1">
      <c r="A14" s="644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444"/>
      <c r="J14" s="46"/>
      <c r="K14" s="44"/>
      <c r="L14" s="47"/>
      <c r="M14" s="62"/>
      <c r="N14" s="44"/>
      <c r="O14" s="47"/>
      <c r="P14" s="48"/>
      <c r="Q14" s="49"/>
      <c r="R14" s="433"/>
      <c r="S14" s="646"/>
      <c r="T14" s="89"/>
      <c r="U14" s="89"/>
      <c r="V14" s="444"/>
      <c r="W14" s="442">
        <f t="shared" si="8"/>
        <v>0</v>
      </c>
      <c r="X14" s="64"/>
      <c r="Y14" s="64"/>
      <c r="Z14" s="54"/>
      <c r="AA14" s="54"/>
      <c r="AB14" s="633"/>
      <c r="AC14" s="633"/>
      <c r="AD14" s="429"/>
      <c r="AE14" s="429"/>
      <c r="AF14" s="65"/>
      <c r="AG14" s="433" t="e">
        <f t="shared" si="7"/>
        <v>#DIV/0!</v>
      </c>
      <c r="AH14" s="646"/>
    </row>
    <row r="15" spans="1:34" ht="19.2" customHeight="1">
      <c r="A15" s="644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444"/>
      <c r="J15" s="46"/>
      <c r="K15" s="44"/>
      <c r="L15" s="47"/>
      <c r="M15" s="62"/>
      <c r="N15" s="68"/>
      <c r="O15" s="47"/>
      <c r="P15" s="48"/>
      <c r="Q15" s="49"/>
      <c r="R15" s="433"/>
      <c r="S15" s="646"/>
      <c r="T15" s="89"/>
      <c r="U15" s="89"/>
      <c r="V15" s="444"/>
      <c r="W15" s="442">
        <f t="shared" si="8"/>
        <v>0</v>
      </c>
      <c r="X15" s="64"/>
      <c r="Y15" s="64"/>
      <c r="Z15" s="54"/>
      <c r="AA15" s="54"/>
      <c r="AB15" s="633"/>
      <c r="AC15" s="633"/>
      <c r="AD15" s="429"/>
      <c r="AE15" s="429"/>
      <c r="AF15" s="65"/>
      <c r="AG15" s="433" t="e">
        <f t="shared" si="7"/>
        <v>#DIV/0!</v>
      </c>
      <c r="AH15" s="646"/>
    </row>
    <row r="16" spans="1:34" ht="19.2" customHeight="1">
      <c r="A16" s="644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444"/>
      <c r="J16" s="46"/>
      <c r="K16" s="44"/>
      <c r="L16" s="47"/>
      <c r="M16" s="62"/>
      <c r="N16" s="68"/>
      <c r="O16" s="47"/>
      <c r="P16" s="48"/>
      <c r="Q16" s="49"/>
      <c r="R16" s="433"/>
      <c r="S16" s="646"/>
      <c r="T16" s="89"/>
      <c r="U16" s="89"/>
      <c r="V16" s="444"/>
      <c r="W16" s="442">
        <f t="shared" si="8"/>
        <v>0</v>
      </c>
      <c r="X16" s="64"/>
      <c r="Y16" s="64"/>
      <c r="Z16" s="54"/>
      <c r="AA16" s="54"/>
      <c r="AB16" s="633"/>
      <c r="AC16" s="633"/>
      <c r="AD16" s="429"/>
      <c r="AE16" s="429"/>
      <c r="AF16" s="65"/>
      <c r="AG16" s="433" t="e">
        <f t="shared" si="7"/>
        <v>#DIV/0!</v>
      </c>
      <c r="AH16" s="646"/>
    </row>
    <row r="17" spans="1:34" ht="19.2" customHeight="1">
      <c r="A17" s="644"/>
      <c r="B17" s="69">
        <v>0</v>
      </c>
      <c r="C17" s="69" t="s">
        <v>292</v>
      </c>
      <c r="D17" s="651" t="s">
        <v>293</v>
      </c>
      <c r="E17" s="651"/>
      <c r="F17" s="362"/>
      <c r="G17" s="70"/>
      <c r="H17" s="71"/>
      <c r="I17" s="72"/>
      <c r="J17" s="70">
        <v>17.714285714285715</v>
      </c>
      <c r="K17" s="70">
        <v>2485.7142857142858</v>
      </c>
      <c r="L17" s="73">
        <v>139.96461742591774</v>
      </c>
      <c r="M17" s="70">
        <f t="shared" ref="M17:O17" si="9">AVERAGE(M5:M16)</f>
        <v>18</v>
      </c>
      <c r="N17" s="70">
        <f t="shared" si="9"/>
        <v>2284.824655795715</v>
      </c>
      <c r="O17" s="73">
        <f t="shared" si="9"/>
        <v>126.65638735373624</v>
      </c>
      <c r="P17" s="65">
        <f t="shared" ref="P17:P22" si="10">M17-J17</f>
        <v>0.2857142857142847</v>
      </c>
      <c r="Q17" s="74">
        <f t="shared" ref="Q17:Q22" si="11">O17-L17</f>
        <v>-13.308230072181502</v>
      </c>
      <c r="R17" s="75">
        <f>O17/L17</f>
        <v>0.90491718323578851</v>
      </c>
      <c r="S17" s="646"/>
      <c r="T17" s="89"/>
      <c r="U17" s="89"/>
      <c r="V17" s="4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33"/>
      <c r="AC17" s="633"/>
      <c r="AD17" s="79">
        <f>SUM(AD5:AD16)</f>
        <v>1</v>
      </c>
      <c r="AE17" s="79">
        <f>SUM(AE5:AE16)</f>
        <v>1</v>
      </c>
      <c r="AF17" s="65">
        <f t="shared" si="6"/>
        <v>-200.88962991857079</v>
      </c>
      <c r="AG17" s="434">
        <f t="shared" si="7"/>
        <v>0.91918233279137962</v>
      </c>
      <c r="AH17" s="646"/>
    </row>
    <row r="18" spans="1:34" ht="19.2" customHeight="1">
      <c r="A18" s="653" t="s">
        <v>294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3502.2000000000003</v>
      </c>
      <c r="H18" s="84">
        <f t="shared" ref="H18:H29" si="12">F18*G18</f>
        <v>129091.092</v>
      </c>
      <c r="I18" s="429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2235.4468085106378</v>
      </c>
      <c r="O18" s="86">
        <f t="shared" ref="O18:O22" si="14">N18/M18</f>
        <v>124.1914893617021</v>
      </c>
      <c r="P18" s="54">
        <f t="shared" si="10"/>
        <v>1</v>
      </c>
      <c r="Q18" s="88">
        <f t="shared" si="11"/>
        <v>-8.1614518147684834</v>
      </c>
      <c r="R18" s="430">
        <f t="shared" ref="R18:R22" si="15">O18/L18</f>
        <v>0.93833569739952705</v>
      </c>
      <c r="S18" s="654">
        <f>R30</f>
        <v>0.90814023265449995</v>
      </c>
      <c r="T18" s="89">
        <v>0.16666666666666666</v>
      </c>
      <c r="U18" s="89">
        <v>0.23194444444444445</v>
      </c>
      <c r="V18" s="429">
        <v>5</v>
      </c>
      <c r="W18" s="90">
        <f>(U18-T18)*24*60</f>
        <v>94.000000000000028</v>
      </c>
      <c r="X18" s="86"/>
      <c r="Y18" s="86"/>
      <c r="Z18" s="54"/>
      <c r="AA18" s="54"/>
      <c r="AB18" s="633"/>
      <c r="AC18" s="633"/>
      <c r="AD18" s="429"/>
      <c r="AE18" s="429"/>
      <c r="AF18" s="91">
        <f t="shared" si="6"/>
        <v>-14.553191489362234</v>
      </c>
      <c r="AG18" s="92">
        <f t="shared" si="7"/>
        <v>0.99353191489361681</v>
      </c>
      <c r="AH18" s="655">
        <f>AG30</f>
        <v>0.95349237009584742</v>
      </c>
    </row>
    <row r="19" spans="1:34" ht="19.2" customHeight="1">
      <c r="A19" s="653"/>
      <c r="B19" s="439" t="s">
        <v>144</v>
      </c>
      <c r="C19" s="438"/>
      <c r="D19" s="82" t="s">
        <v>62</v>
      </c>
      <c r="E19" s="83"/>
      <c r="F19" s="361">
        <v>38.39</v>
      </c>
      <c r="G19" s="57">
        <v>2246</v>
      </c>
      <c r="H19" s="84">
        <f t="shared" si="12"/>
        <v>86223.94</v>
      </c>
      <c r="I19" s="429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1480.8791208791201</v>
      </c>
      <c r="O19" s="95">
        <f t="shared" si="14"/>
        <v>87.110536522301189</v>
      </c>
      <c r="P19" s="54">
        <f t="shared" si="10"/>
        <v>1</v>
      </c>
      <c r="Q19" s="88">
        <f t="shared" si="11"/>
        <v>-15.139463477698811</v>
      </c>
      <c r="R19" s="430">
        <f t="shared" si="15"/>
        <v>0.85193678750416812</v>
      </c>
      <c r="S19" s="654"/>
      <c r="T19" s="89">
        <v>0.23750000000000002</v>
      </c>
      <c r="U19" s="89">
        <v>0.30069444444444449</v>
      </c>
      <c r="V19" s="429">
        <v>8</v>
      </c>
      <c r="W19" s="90">
        <f>(U19-T19)*24*60</f>
        <v>91.000000000000043</v>
      </c>
      <c r="X19" s="96"/>
      <c r="Y19" s="96"/>
      <c r="Z19" s="54"/>
      <c r="AA19" s="54"/>
      <c r="AB19" s="633"/>
      <c r="AC19" s="633"/>
      <c r="AD19" s="429"/>
      <c r="AE19" s="429"/>
      <c r="AF19" s="48">
        <f t="shared" si="6"/>
        <v>-155.12087912087986</v>
      </c>
      <c r="AG19" s="433">
        <f t="shared" si="7"/>
        <v>0.90518283672317856</v>
      </c>
      <c r="AH19" s="656"/>
    </row>
    <row r="20" spans="1:34" ht="19.2" customHeight="1">
      <c r="A20" s="653"/>
      <c r="B20" s="439" t="s">
        <v>144</v>
      </c>
      <c r="C20" s="55"/>
      <c r="D20" s="42" t="s">
        <v>247</v>
      </c>
      <c r="E20" s="83"/>
      <c r="F20" s="361">
        <v>49.91</v>
      </c>
      <c r="G20" s="57">
        <v>4996</v>
      </c>
      <c r="H20" s="84">
        <f t="shared" si="12"/>
        <v>249350.36</v>
      </c>
      <c r="I20" s="429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1462.2439024390244</v>
      </c>
      <c r="O20" s="95">
        <f t="shared" si="14"/>
        <v>86.014347202295554</v>
      </c>
      <c r="P20" s="54">
        <f t="shared" si="10"/>
        <v>0</v>
      </c>
      <c r="Q20" s="88">
        <f t="shared" si="11"/>
        <v>-2.2209469153515045</v>
      </c>
      <c r="R20" s="430">
        <f t="shared" si="15"/>
        <v>0.9748292682926829</v>
      </c>
      <c r="S20" s="654"/>
      <c r="T20" s="89">
        <v>0.31527777777777782</v>
      </c>
      <c r="U20" s="89">
        <v>0.45763888888888893</v>
      </c>
      <c r="V20" s="429">
        <v>21</v>
      </c>
      <c r="W20" s="90">
        <f t="shared" ref="W20:W29" si="16">(U20-T20)*24*60</f>
        <v>205</v>
      </c>
      <c r="X20" s="96">
        <v>0.30416666666666664</v>
      </c>
      <c r="Y20" s="96">
        <v>0.3125</v>
      </c>
      <c r="Z20" s="54"/>
      <c r="AA20" s="54"/>
      <c r="AB20" s="633"/>
      <c r="AC20" s="633"/>
      <c r="AD20" s="429"/>
      <c r="AE20" s="429"/>
      <c r="AF20" s="91">
        <f t="shared" si="6"/>
        <v>-37.756097560975604</v>
      </c>
      <c r="AG20" s="92">
        <f t="shared" si="7"/>
        <v>0.9748292682926829</v>
      </c>
      <c r="AH20" s="656"/>
    </row>
    <row r="21" spans="1:34" ht="19.2" customHeight="1">
      <c r="A21" s="653"/>
      <c r="B21" s="439" t="s">
        <v>144</v>
      </c>
      <c r="C21" s="97"/>
      <c r="D21" s="98" t="s">
        <v>253</v>
      </c>
      <c r="E21" s="43"/>
      <c r="F21" s="361">
        <v>56.43</v>
      </c>
      <c r="G21" s="44">
        <v>4980.5</v>
      </c>
      <c r="H21" s="84">
        <f t="shared" si="12"/>
        <v>281049.61499999999</v>
      </c>
      <c r="I21" s="431"/>
      <c r="J21" s="93">
        <v>17</v>
      </c>
      <c r="K21" s="44">
        <v>1636</v>
      </c>
      <c r="L21" s="47">
        <v>96.235294117647058</v>
      </c>
      <c r="M21" s="443">
        <v>18</v>
      </c>
      <c r="N21" s="94">
        <f t="shared" si="13"/>
        <v>1443.6231884057972</v>
      </c>
      <c r="O21" s="95">
        <f t="shared" si="14"/>
        <v>80.201288244766516</v>
      </c>
      <c r="P21" s="54">
        <f t="shared" si="10"/>
        <v>1</v>
      </c>
      <c r="Q21" s="88">
        <f t="shared" si="11"/>
        <v>-16.034005872880542</v>
      </c>
      <c r="R21" s="430">
        <f t="shared" si="15"/>
        <v>0.83338746953608234</v>
      </c>
      <c r="S21" s="654"/>
      <c r="T21" s="89">
        <v>0.47291666666666671</v>
      </c>
      <c r="U21" s="89">
        <v>0.6166666666666667</v>
      </c>
      <c r="V21" s="429">
        <v>22</v>
      </c>
      <c r="W21" s="90">
        <f t="shared" si="16"/>
        <v>206.99999999999997</v>
      </c>
      <c r="X21" s="96">
        <v>0.46111111111111108</v>
      </c>
      <c r="Y21" s="96">
        <v>0.47013888888888888</v>
      </c>
      <c r="Z21" s="54"/>
      <c r="AA21" s="54"/>
      <c r="AB21" s="633"/>
      <c r="AC21" s="633"/>
      <c r="AD21" s="429">
        <v>2</v>
      </c>
      <c r="AE21" s="429">
        <v>1</v>
      </c>
      <c r="AF21" s="48">
        <f t="shared" si="6"/>
        <v>-192.37681159420276</v>
      </c>
      <c r="AG21" s="433">
        <f t="shared" si="7"/>
        <v>0.88241026186173421</v>
      </c>
      <c r="AH21" s="657"/>
    </row>
    <row r="22" spans="1:34" ht="19.2" customHeight="1">
      <c r="A22" s="653"/>
      <c r="B22" s="439" t="s">
        <v>142</v>
      </c>
      <c r="C22" s="97"/>
      <c r="D22" s="42" t="s">
        <v>60</v>
      </c>
      <c r="E22" s="43"/>
      <c r="F22" s="361">
        <v>36.86</v>
      </c>
      <c r="G22" s="44">
        <v>1885.8</v>
      </c>
      <c r="H22" s="84">
        <f t="shared" si="12"/>
        <v>69510.588000000003</v>
      </c>
      <c r="I22" s="431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2218.5882352941185</v>
      </c>
      <c r="O22" s="95">
        <f t="shared" si="14"/>
        <v>123.25490196078437</v>
      </c>
      <c r="P22" s="54">
        <f t="shared" si="10"/>
        <v>1</v>
      </c>
      <c r="Q22" s="88">
        <f t="shared" si="11"/>
        <v>-9.0980392156862138</v>
      </c>
      <c r="R22" s="430">
        <f t="shared" si="15"/>
        <v>0.93125925925925968</v>
      </c>
      <c r="S22" s="654"/>
      <c r="T22" s="89">
        <v>0.65763888888888888</v>
      </c>
      <c r="U22" s="89">
        <v>0.69305555555555554</v>
      </c>
      <c r="V22" s="429">
        <v>6</v>
      </c>
      <c r="W22" s="90">
        <f t="shared" si="16"/>
        <v>50.999999999999979</v>
      </c>
      <c r="X22" s="96"/>
      <c r="Y22" s="96"/>
      <c r="Z22" s="54"/>
      <c r="AA22" s="54"/>
      <c r="AB22" s="633"/>
      <c r="AC22" s="633"/>
      <c r="AD22" s="429"/>
      <c r="AE22" s="429"/>
      <c r="AF22" s="91">
        <f t="shared" si="6"/>
        <v>-31.411764705881524</v>
      </c>
      <c r="AG22" s="92">
        <f t="shared" si="7"/>
        <v>0.98603921568627484</v>
      </c>
      <c r="AH22" s="657"/>
    </row>
    <row r="23" spans="1:34" ht="19.2" customHeight="1">
      <c r="A23" s="653"/>
      <c r="B23" s="439">
        <v>0</v>
      </c>
      <c r="C23" s="97"/>
      <c r="D23" s="42"/>
      <c r="E23" s="43"/>
      <c r="F23" s="361" t="s">
        <v>148</v>
      </c>
      <c r="G23" s="44"/>
      <c r="H23" s="84">
        <f t="shared" si="12"/>
        <v>0</v>
      </c>
      <c r="I23" s="431"/>
      <c r="J23" s="93"/>
      <c r="K23" s="44"/>
      <c r="L23" s="47"/>
      <c r="M23" s="443"/>
      <c r="N23" s="94"/>
      <c r="O23" s="95"/>
      <c r="P23" s="54"/>
      <c r="Q23" s="88"/>
      <c r="R23" s="430"/>
      <c r="S23" s="654"/>
      <c r="T23" s="89"/>
      <c r="U23" s="89"/>
      <c r="V23" s="429"/>
      <c r="W23" s="90">
        <f t="shared" si="16"/>
        <v>0</v>
      </c>
      <c r="X23" s="96"/>
      <c r="Y23" s="96"/>
      <c r="Z23" s="54"/>
      <c r="AA23" s="54"/>
      <c r="AB23" s="633"/>
      <c r="AC23" s="633"/>
      <c r="AD23" s="429"/>
      <c r="AE23" s="429"/>
      <c r="AF23" s="48">
        <f t="shared" si="6"/>
        <v>0</v>
      </c>
      <c r="AG23" s="433" t="e">
        <f t="shared" si="7"/>
        <v>#DIV/0!</v>
      </c>
      <c r="AH23" s="657"/>
    </row>
    <row r="24" spans="1:34" ht="19.2" customHeight="1">
      <c r="A24" s="653"/>
      <c r="B24" s="439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0"/>
      <c r="S24" s="654"/>
      <c r="T24" s="89"/>
      <c r="U24" s="89"/>
      <c r="V24" s="429"/>
      <c r="W24" s="90">
        <f t="shared" si="16"/>
        <v>0</v>
      </c>
      <c r="X24" s="429"/>
      <c r="Y24" s="429"/>
      <c r="Z24" s="54"/>
      <c r="AA24" s="54"/>
      <c r="AB24" s="633"/>
      <c r="AC24" s="633"/>
      <c r="AD24" s="429"/>
      <c r="AE24" s="429"/>
      <c r="AF24" s="91">
        <f t="shared" si="6"/>
        <v>0</v>
      </c>
      <c r="AG24" s="92" t="e">
        <f t="shared" si="7"/>
        <v>#DIV/0!</v>
      </c>
      <c r="AH24" s="657"/>
    </row>
    <row r="25" spans="1:34" ht="19.2" customHeight="1">
      <c r="A25" s="653"/>
      <c r="B25" s="439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0"/>
      <c r="S25" s="654"/>
      <c r="T25" s="89"/>
      <c r="U25" s="89"/>
      <c r="V25" s="429"/>
      <c r="W25" s="90">
        <f t="shared" si="16"/>
        <v>0</v>
      </c>
      <c r="X25" s="429"/>
      <c r="Y25" s="429"/>
      <c r="Z25" s="54"/>
      <c r="AA25" s="54"/>
      <c r="AB25" s="633"/>
      <c r="AC25" s="633"/>
      <c r="AD25" s="429"/>
      <c r="AE25" s="429"/>
      <c r="AF25" s="48">
        <f t="shared" si="6"/>
        <v>0</v>
      </c>
      <c r="AG25" s="433" t="e">
        <f t="shared" si="7"/>
        <v>#DIV/0!</v>
      </c>
      <c r="AH25" s="657"/>
    </row>
    <row r="26" spans="1:34" ht="19.2" customHeight="1">
      <c r="A26" s="653"/>
      <c r="B26" s="439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654"/>
      <c r="T26" s="89"/>
      <c r="U26" s="89"/>
      <c r="V26" s="429"/>
      <c r="W26" s="90">
        <f t="shared" si="16"/>
        <v>0</v>
      </c>
      <c r="X26" s="429"/>
      <c r="Y26" s="429"/>
      <c r="Z26" s="54"/>
      <c r="AA26" s="54"/>
      <c r="AB26" s="633"/>
      <c r="AC26" s="633"/>
      <c r="AD26" s="429"/>
      <c r="AE26" s="429"/>
      <c r="AF26" s="91">
        <f t="shared" si="6"/>
        <v>0</v>
      </c>
      <c r="AG26" s="92" t="e">
        <f t="shared" si="7"/>
        <v>#DIV/0!</v>
      </c>
      <c r="AH26" s="657"/>
    </row>
    <row r="27" spans="1:34" ht="19.2" customHeight="1">
      <c r="A27" s="653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654"/>
      <c r="T27" s="89"/>
      <c r="U27" s="89"/>
      <c r="V27" s="429"/>
      <c r="W27" s="90">
        <f t="shared" si="16"/>
        <v>0</v>
      </c>
      <c r="X27" s="429"/>
      <c r="Y27" s="429"/>
      <c r="Z27" s="54"/>
      <c r="AA27" s="54"/>
      <c r="AB27" s="633"/>
      <c r="AC27" s="633"/>
      <c r="AD27" s="429"/>
      <c r="AE27" s="429"/>
      <c r="AF27" s="48">
        <f t="shared" si="6"/>
        <v>0</v>
      </c>
      <c r="AG27" s="433" t="e">
        <f t="shared" si="7"/>
        <v>#DIV/0!</v>
      </c>
      <c r="AH27" s="657"/>
    </row>
    <row r="28" spans="1:34" ht="19.2" customHeight="1">
      <c r="A28" s="653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654"/>
      <c r="T28" s="89"/>
      <c r="U28" s="89"/>
      <c r="V28" s="429"/>
      <c r="W28" s="90">
        <f t="shared" si="16"/>
        <v>0</v>
      </c>
      <c r="X28" s="429"/>
      <c r="Y28" s="429"/>
      <c r="Z28" s="54"/>
      <c r="AA28" s="54"/>
      <c r="AB28" s="633"/>
      <c r="AC28" s="633"/>
      <c r="AD28" s="429"/>
      <c r="AE28" s="429"/>
      <c r="AF28" s="91">
        <f t="shared" si="6"/>
        <v>0</v>
      </c>
      <c r="AG28" s="92" t="e">
        <f t="shared" si="7"/>
        <v>#DIV/0!</v>
      </c>
      <c r="AH28" s="657"/>
    </row>
    <row r="29" spans="1:34" ht="19.2" customHeight="1">
      <c r="A29" s="653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654"/>
      <c r="T29" s="89"/>
      <c r="U29" s="89"/>
      <c r="V29" s="429"/>
      <c r="W29" s="90">
        <f t="shared" si="16"/>
        <v>0</v>
      </c>
      <c r="X29" s="429"/>
      <c r="Y29" s="429"/>
      <c r="Z29" s="54"/>
      <c r="AA29" s="54"/>
      <c r="AB29" s="633"/>
      <c r="AC29" s="633"/>
      <c r="AD29" s="429"/>
      <c r="AE29" s="429"/>
      <c r="AF29" s="48">
        <f t="shared" si="6"/>
        <v>0</v>
      </c>
      <c r="AG29" s="433"/>
      <c r="AH29" s="657"/>
    </row>
    <row r="30" spans="1:34" ht="19.2" customHeight="1">
      <c r="A30" s="653"/>
      <c r="B30" s="99">
        <v>0</v>
      </c>
      <c r="C30" s="100" t="s">
        <v>295</v>
      </c>
      <c r="D30" s="652" t="s">
        <v>293</v>
      </c>
      <c r="E30" s="652"/>
      <c r="F30" s="365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17.600000000000001</v>
      </c>
      <c r="N30" s="101">
        <f t="shared" si="17"/>
        <v>1768.1562511057396</v>
      </c>
      <c r="O30" s="104">
        <f t="shared" si="17"/>
        <v>100.15451265836995</v>
      </c>
      <c r="P30" s="54">
        <f t="shared" ref="P30:P38" si="18">M30-J30</f>
        <v>0.80000000000000071</v>
      </c>
      <c r="Q30" s="88">
        <f t="shared" ref="Q30:Q36" si="19">O30-L30</f>
        <v>-10.130781459277102</v>
      </c>
      <c r="R30" s="105">
        <f t="shared" ref="R30:R36" si="20">O30/L30</f>
        <v>0.90814023265449995</v>
      </c>
      <c r="S30" s="654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33"/>
      <c r="AC30" s="633"/>
      <c r="AD30" s="107">
        <f>SUM(AD18:AD29)</f>
        <v>2</v>
      </c>
      <c r="AE30" s="107">
        <f>SUM(AE18:AE29)</f>
        <v>1</v>
      </c>
      <c r="AF30" s="108">
        <f t="shared" si="6"/>
        <v>-86.243748894260534</v>
      </c>
      <c r="AG30" s="109">
        <f t="shared" ref="AG30" si="21">N30/K30</f>
        <v>0.95349237009584742</v>
      </c>
      <c r="AH30" s="658"/>
    </row>
    <row r="31" spans="1:34" ht="19.2" customHeight="1">
      <c r="A31" s="661" t="s">
        <v>296</v>
      </c>
      <c r="B31" s="110" t="s">
        <v>146</v>
      </c>
      <c r="C31" s="66"/>
      <c r="D31" s="111" t="s">
        <v>63</v>
      </c>
      <c r="E31" s="112"/>
      <c r="F31" s="366">
        <v>35.33</v>
      </c>
      <c r="G31" s="94">
        <v>2327</v>
      </c>
      <c r="H31" s="113">
        <f t="shared" ref="H31:H40" si="22">F31*G31</f>
        <v>82212.909999999989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6" si="23">G31/W31*60</f>
        <v>1886.7567567567564</v>
      </c>
      <c r="O31" s="116">
        <f t="shared" ref="O31:O36" si="24">N31/M31</f>
        <v>157.22972972972971</v>
      </c>
      <c r="P31" s="117">
        <f t="shared" si="18"/>
        <v>0</v>
      </c>
      <c r="Q31" s="118">
        <f t="shared" si="19"/>
        <v>-19.270270270270288</v>
      </c>
      <c r="R31" s="432">
        <f t="shared" si="20"/>
        <v>0.89081999846872362</v>
      </c>
      <c r="S31" s="663">
        <f>R43</f>
        <v>0.85165340974250536</v>
      </c>
      <c r="T31" s="119">
        <v>0.16666666666666666</v>
      </c>
      <c r="U31" s="119">
        <v>0.21805555555555556</v>
      </c>
      <c r="V31" s="52">
        <v>5</v>
      </c>
      <c r="W31" s="120">
        <f t="shared" ref="W31:W42" si="25">(U31-T31)*24*60</f>
        <v>74.000000000000014</v>
      </c>
      <c r="X31" s="52"/>
      <c r="Y31" s="52"/>
      <c r="Z31" s="51"/>
      <c r="AA31" s="51"/>
      <c r="AB31" s="633"/>
      <c r="AC31" s="633"/>
      <c r="AD31" s="52"/>
      <c r="AE31" s="52"/>
      <c r="AF31" s="117">
        <f t="shared" si="6"/>
        <v>-231.24324324324357</v>
      </c>
      <c r="AG31" s="121">
        <f t="shared" si="7"/>
        <v>0.89081999846872351</v>
      </c>
      <c r="AH31" s="659">
        <f>AG43</f>
        <v>0.8603279102221808</v>
      </c>
    </row>
    <row r="32" spans="1:34" ht="19.2" customHeight="1">
      <c r="A32" s="662"/>
      <c r="B32" s="122" t="s">
        <v>146</v>
      </c>
      <c r="C32" s="123"/>
      <c r="D32" s="98" t="s">
        <v>101</v>
      </c>
      <c r="E32" s="43"/>
      <c r="F32" s="361">
        <v>34.229999999999997</v>
      </c>
      <c r="G32" s="44">
        <v>2045</v>
      </c>
      <c r="H32" s="84">
        <f t="shared" si="22"/>
        <v>70000.349999999991</v>
      </c>
      <c r="I32" s="442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1859.0909090909099</v>
      </c>
      <c r="O32" s="47">
        <f t="shared" si="24"/>
        <v>154.92424242424249</v>
      </c>
      <c r="P32" s="117">
        <f t="shared" si="18"/>
        <v>0</v>
      </c>
      <c r="Q32" s="49">
        <f t="shared" si="19"/>
        <v>-21.575757575757507</v>
      </c>
      <c r="R32" s="433">
        <f t="shared" si="20"/>
        <v>0.87775774744613311</v>
      </c>
      <c r="S32" s="654"/>
      <c r="T32" s="89">
        <v>0.22291666666666668</v>
      </c>
      <c r="U32" s="89">
        <v>0.26874999999999999</v>
      </c>
      <c r="V32" s="429">
        <v>7</v>
      </c>
      <c r="W32" s="90">
        <f t="shared" si="25"/>
        <v>65.999999999999972</v>
      </c>
      <c r="X32" s="124"/>
      <c r="Y32" s="124"/>
      <c r="Z32" s="125"/>
      <c r="AA32" s="125"/>
      <c r="AB32" s="633"/>
      <c r="AC32" s="633"/>
      <c r="AD32" s="429"/>
      <c r="AE32" s="429"/>
      <c r="AF32" s="48">
        <f t="shared" si="6"/>
        <v>-258.90909090909008</v>
      </c>
      <c r="AG32" s="433">
        <f t="shared" si="7"/>
        <v>0.87775774744613311</v>
      </c>
      <c r="AH32" s="645"/>
    </row>
    <row r="33" spans="1:34" ht="19.2" customHeight="1">
      <c r="A33" s="662"/>
      <c r="B33" s="122" t="s">
        <v>147</v>
      </c>
      <c r="C33" s="429"/>
      <c r="D33" s="82" t="s">
        <v>186</v>
      </c>
      <c r="E33" s="83"/>
      <c r="F33" s="361">
        <v>54.09</v>
      </c>
      <c r="G33" s="57">
        <v>1040.0999999999999</v>
      </c>
      <c r="H33" s="84">
        <f t="shared" si="22"/>
        <v>56259.008999999998</v>
      </c>
      <c r="I33" s="429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1273.5918367346942</v>
      </c>
      <c r="O33" s="47">
        <f t="shared" si="24"/>
        <v>70.75510204081634</v>
      </c>
      <c r="P33" s="117">
        <f t="shared" si="18"/>
        <v>0</v>
      </c>
      <c r="Q33" s="49">
        <f t="shared" si="19"/>
        <v>-12.578231292516989</v>
      </c>
      <c r="R33" s="433">
        <f t="shared" si="20"/>
        <v>0.84906122448979615</v>
      </c>
      <c r="S33" s="654"/>
      <c r="T33" s="89">
        <v>0.28472222222222221</v>
      </c>
      <c r="U33" s="89">
        <v>0.31874999999999998</v>
      </c>
      <c r="V33" s="429">
        <v>23</v>
      </c>
      <c r="W33" s="90">
        <f t="shared" si="25"/>
        <v>48.999999999999986</v>
      </c>
      <c r="X33" s="124">
        <v>0.2722222222222222</v>
      </c>
      <c r="Y33" s="124">
        <v>0.28194444444444444</v>
      </c>
      <c r="Z33" s="125"/>
      <c r="AA33" s="125"/>
      <c r="AB33" s="633"/>
      <c r="AC33" s="633"/>
      <c r="AD33" s="429"/>
      <c r="AE33" s="429"/>
      <c r="AF33" s="48">
        <f t="shared" si="6"/>
        <v>-226.4081632653058</v>
      </c>
      <c r="AG33" s="126">
        <f t="shared" si="7"/>
        <v>0.84906122448979615</v>
      </c>
      <c r="AH33" s="645"/>
    </row>
    <row r="34" spans="1:34" ht="19.2" customHeight="1">
      <c r="A34" s="662"/>
      <c r="B34" s="122" t="s">
        <v>144</v>
      </c>
      <c r="C34" s="127"/>
      <c r="D34" s="82" t="s">
        <v>241</v>
      </c>
      <c r="E34" s="83"/>
      <c r="F34" s="361">
        <v>49.91</v>
      </c>
      <c r="G34" s="57">
        <v>3245.4500000000003</v>
      </c>
      <c r="H34" s="84">
        <f t="shared" si="22"/>
        <v>161980.40950000001</v>
      </c>
      <c r="I34" s="429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1306.8926174496651</v>
      </c>
      <c r="O34" s="47">
        <f t="shared" si="24"/>
        <v>87.126174496644339</v>
      </c>
      <c r="P34" s="117">
        <f t="shared" si="18"/>
        <v>0</v>
      </c>
      <c r="Q34" s="49">
        <f t="shared" si="19"/>
        <v>-12.873825503355661</v>
      </c>
      <c r="R34" s="433">
        <f t="shared" si="20"/>
        <v>0.87126174496644337</v>
      </c>
      <c r="S34" s="654"/>
      <c r="T34" s="89">
        <v>0.32361111111111107</v>
      </c>
      <c r="U34" s="89">
        <v>0.42708333333333326</v>
      </c>
      <c r="V34" s="429">
        <v>7</v>
      </c>
      <c r="W34" s="90">
        <f t="shared" si="25"/>
        <v>148.99999999999994</v>
      </c>
      <c r="X34" s="124"/>
      <c r="Y34" s="124"/>
      <c r="Z34" s="125"/>
      <c r="AA34" s="125"/>
      <c r="AB34" s="633"/>
      <c r="AC34" s="633"/>
      <c r="AD34" s="429"/>
      <c r="AE34" s="429"/>
      <c r="AF34" s="48">
        <f t="shared" si="6"/>
        <v>-193.10738255033493</v>
      </c>
      <c r="AG34" s="126">
        <f t="shared" si="7"/>
        <v>0.87126174496644337</v>
      </c>
      <c r="AH34" s="645"/>
    </row>
    <row r="35" spans="1:34" ht="19.2" customHeight="1">
      <c r="A35" s="662"/>
      <c r="B35" s="122" t="s">
        <v>144</v>
      </c>
      <c r="C35" s="41"/>
      <c r="D35" s="42" t="s">
        <v>250</v>
      </c>
      <c r="E35" s="43"/>
      <c r="F35" s="361">
        <v>56.43</v>
      </c>
      <c r="G35" s="128">
        <v>3758</v>
      </c>
      <c r="H35" s="84">
        <f t="shared" si="22"/>
        <v>212063.94</v>
      </c>
      <c r="I35" s="431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1303.3526011560698</v>
      </c>
      <c r="O35" s="47">
        <f t="shared" si="24"/>
        <v>76.667800068004112</v>
      </c>
      <c r="P35" s="117">
        <f t="shared" si="18"/>
        <v>1</v>
      </c>
      <c r="Q35" s="49">
        <f t="shared" si="19"/>
        <v>-17.082199931995888</v>
      </c>
      <c r="R35" s="433">
        <f t="shared" si="20"/>
        <v>0.81778986739204385</v>
      </c>
      <c r="S35" s="654"/>
      <c r="T35" s="89">
        <v>0.44236111111111104</v>
      </c>
      <c r="U35" s="89">
        <v>0.56249999999999989</v>
      </c>
      <c r="V35" s="429">
        <v>22</v>
      </c>
      <c r="W35" s="90">
        <f t="shared" si="25"/>
        <v>172.99999999999994</v>
      </c>
      <c r="X35" s="124">
        <v>0.43055555555555558</v>
      </c>
      <c r="Y35" s="124">
        <v>0.43958333333333338</v>
      </c>
      <c r="Z35" s="125"/>
      <c r="AA35" s="125"/>
      <c r="AB35" s="633"/>
      <c r="AC35" s="633"/>
      <c r="AD35" s="429"/>
      <c r="AE35" s="429">
        <v>1</v>
      </c>
      <c r="AF35" s="117">
        <f t="shared" si="6"/>
        <v>-196.6473988439302</v>
      </c>
      <c r="AG35" s="121">
        <f t="shared" si="7"/>
        <v>0.86890173410404647</v>
      </c>
      <c r="AH35" s="646"/>
    </row>
    <row r="36" spans="1:34" ht="19.2" customHeight="1">
      <c r="A36" s="662"/>
      <c r="B36" s="122" t="s">
        <v>144</v>
      </c>
      <c r="C36" s="129"/>
      <c r="D36" s="42" t="s">
        <v>253</v>
      </c>
      <c r="E36" s="83"/>
      <c r="F36" s="361">
        <v>56.43</v>
      </c>
      <c r="G36" s="57">
        <v>2134.5</v>
      </c>
      <c r="H36" s="84">
        <f t="shared" si="22"/>
        <v>120449.83500000001</v>
      </c>
      <c r="I36" s="429">
        <v>1</v>
      </c>
      <c r="J36" s="46">
        <v>17</v>
      </c>
      <c r="K36" s="44">
        <v>1636</v>
      </c>
      <c r="L36" s="47">
        <v>96.235294117647058</v>
      </c>
      <c r="M36" s="46">
        <v>18</v>
      </c>
      <c r="N36" s="44">
        <f t="shared" si="23"/>
        <v>1293.636363636364</v>
      </c>
      <c r="O36" s="47">
        <f t="shared" si="24"/>
        <v>71.868686868686893</v>
      </c>
      <c r="P36" s="117">
        <f t="shared" si="18"/>
        <v>1</v>
      </c>
      <c r="Q36" s="49">
        <f t="shared" si="19"/>
        <v>-24.366607248960165</v>
      </c>
      <c r="R36" s="433">
        <f t="shared" si="20"/>
        <v>0.7468017584154506</v>
      </c>
      <c r="S36" s="654"/>
      <c r="T36" s="89">
        <v>0.60347222222222208</v>
      </c>
      <c r="U36" s="89">
        <v>0.67222222222222205</v>
      </c>
      <c r="V36" s="429">
        <v>6</v>
      </c>
      <c r="W36" s="90">
        <f t="shared" si="25"/>
        <v>98.999999999999972</v>
      </c>
      <c r="X36" s="124"/>
      <c r="Y36" s="124"/>
      <c r="Z36" s="125"/>
      <c r="AA36" s="125"/>
      <c r="AB36" s="633"/>
      <c r="AC36" s="633"/>
      <c r="AD36" s="429">
        <v>1</v>
      </c>
      <c r="AE36" s="429"/>
      <c r="AF36" s="48">
        <f t="shared" si="6"/>
        <v>-342.36363636363603</v>
      </c>
      <c r="AG36" s="433">
        <f t="shared" si="7"/>
        <v>0.79073127361635942</v>
      </c>
      <c r="AH36" s="646"/>
    </row>
    <row r="37" spans="1:34" ht="19.2" customHeight="1">
      <c r="A37" s="662"/>
      <c r="B37" s="122">
        <v>0</v>
      </c>
      <c r="C37" s="129"/>
      <c r="D37" s="82"/>
      <c r="E37" s="83"/>
      <c r="F37" s="361"/>
      <c r="G37" s="57"/>
      <c r="H37" s="84"/>
      <c r="I37" s="429"/>
      <c r="J37" s="46"/>
      <c r="K37" s="44"/>
      <c r="L37" s="47"/>
      <c r="M37" s="46"/>
      <c r="N37" s="44"/>
      <c r="O37" s="47"/>
      <c r="P37" s="117"/>
      <c r="Q37" s="49"/>
      <c r="R37" s="433"/>
      <c r="S37" s="654"/>
      <c r="T37" s="89"/>
      <c r="U37" s="89"/>
      <c r="V37" s="429"/>
      <c r="W37" s="90"/>
      <c r="X37" s="124"/>
      <c r="Y37" s="124"/>
      <c r="Z37" s="125"/>
      <c r="AA37" s="125"/>
      <c r="AB37" s="633"/>
      <c r="AC37" s="633"/>
      <c r="AD37" s="429"/>
      <c r="AE37" s="429"/>
      <c r="AF37" s="48">
        <f t="shared" si="6"/>
        <v>0</v>
      </c>
      <c r="AG37" s="126" t="e">
        <f t="shared" si="7"/>
        <v>#DIV/0!</v>
      </c>
      <c r="AH37" s="646"/>
    </row>
    <row r="38" spans="1:34" ht="19.2" customHeight="1">
      <c r="A38" s="662"/>
      <c r="B38" s="122">
        <v>0</v>
      </c>
      <c r="C38" s="129"/>
      <c r="D38" s="82"/>
      <c r="E38" s="83"/>
      <c r="F38" s="361" t="s">
        <v>148</v>
      </c>
      <c r="G38" s="57"/>
      <c r="H38" s="84">
        <f t="shared" si="22"/>
        <v>0</v>
      </c>
      <c r="I38" s="429"/>
      <c r="J38" s="46"/>
      <c r="K38" s="44"/>
      <c r="L38" s="47"/>
      <c r="M38" s="440"/>
      <c r="N38" s="44"/>
      <c r="O38" s="47"/>
      <c r="P38" s="117">
        <f t="shared" si="18"/>
        <v>0</v>
      </c>
      <c r="Q38" s="49"/>
      <c r="R38" s="433"/>
      <c r="S38" s="654"/>
      <c r="T38" s="89"/>
      <c r="U38" s="89"/>
      <c r="V38" s="429" t="s">
        <v>15</v>
      </c>
      <c r="W38" s="90">
        <f t="shared" si="25"/>
        <v>0</v>
      </c>
      <c r="X38" s="124"/>
      <c r="Y38" s="124"/>
      <c r="Z38" s="125"/>
      <c r="AA38" s="125"/>
      <c r="AB38" s="633"/>
      <c r="AC38" s="633"/>
      <c r="AD38" s="429"/>
      <c r="AE38" s="429"/>
      <c r="AF38" s="48">
        <f t="shared" si="6"/>
        <v>0</v>
      </c>
      <c r="AG38" s="126" t="e">
        <f t="shared" si="7"/>
        <v>#DIV/0!</v>
      </c>
      <c r="AH38" s="646"/>
    </row>
    <row r="39" spans="1:34" ht="19.2" customHeight="1">
      <c r="A39" s="662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429"/>
      <c r="J39" s="46"/>
      <c r="K39" s="44"/>
      <c r="L39" s="47"/>
      <c r="M39" s="440"/>
      <c r="N39" s="44"/>
      <c r="O39" s="47"/>
      <c r="P39" s="48"/>
      <c r="Q39" s="49"/>
      <c r="R39" s="433"/>
      <c r="S39" s="654"/>
      <c r="T39" s="89"/>
      <c r="U39" s="89"/>
      <c r="V39" s="429"/>
      <c r="W39" s="90">
        <f t="shared" si="25"/>
        <v>0</v>
      </c>
      <c r="X39" s="124"/>
      <c r="Y39" s="124"/>
      <c r="Z39" s="125"/>
      <c r="AA39" s="125"/>
      <c r="AB39" s="633"/>
      <c r="AC39" s="633"/>
      <c r="AD39" s="429"/>
      <c r="AE39" s="429"/>
      <c r="AF39" s="117">
        <f t="shared" si="6"/>
        <v>0</v>
      </c>
      <c r="AG39" s="121" t="e">
        <f t="shared" si="7"/>
        <v>#DIV/0!</v>
      </c>
      <c r="AH39" s="646"/>
    </row>
    <row r="40" spans="1:34" ht="19.2" customHeight="1">
      <c r="A40" s="662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31"/>
      <c r="J40" s="132"/>
      <c r="K40" s="133"/>
      <c r="L40" s="134"/>
      <c r="M40" s="443"/>
      <c r="N40" s="44"/>
      <c r="O40" s="47"/>
      <c r="P40" s="48"/>
      <c r="Q40" s="49"/>
      <c r="R40" s="433"/>
      <c r="S40" s="654"/>
      <c r="T40" s="89"/>
      <c r="U40" s="89"/>
      <c r="V40" s="429"/>
      <c r="W40" s="90">
        <f t="shared" si="25"/>
        <v>0</v>
      </c>
      <c r="X40" s="124"/>
      <c r="Y40" s="124"/>
      <c r="Z40" s="125"/>
      <c r="AA40" s="125"/>
      <c r="AB40" s="633"/>
      <c r="AC40" s="633"/>
      <c r="AD40" s="429"/>
      <c r="AE40" s="429"/>
      <c r="AF40" s="48">
        <f t="shared" si="6"/>
        <v>0</v>
      </c>
      <c r="AG40" s="433" t="e">
        <f t="shared" si="7"/>
        <v>#DIV/0!</v>
      </c>
      <c r="AH40" s="646"/>
    </row>
    <row r="41" spans="1:34" ht="19.2" customHeight="1">
      <c r="A41" s="662"/>
      <c r="B41" s="429">
        <v>0</v>
      </c>
      <c r="C41" s="55"/>
      <c r="D41" s="82"/>
      <c r="E41" s="83"/>
      <c r="F41" s="361" t="s">
        <v>148</v>
      </c>
      <c r="G41" s="57"/>
      <c r="H41" s="84"/>
      <c r="I41" s="429"/>
      <c r="J41" s="87"/>
      <c r="K41" s="57"/>
      <c r="L41" s="86"/>
      <c r="M41" s="440"/>
      <c r="N41" s="57"/>
      <c r="O41" s="86"/>
      <c r="P41" s="54"/>
      <c r="Q41" s="88"/>
      <c r="R41" s="430"/>
      <c r="S41" s="654"/>
      <c r="T41" s="89"/>
      <c r="U41" s="89"/>
      <c r="V41" s="429"/>
      <c r="W41" s="90">
        <f t="shared" si="25"/>
        <v>0</v>
      </c>
      <c r="X41" s="124"/>
      <c r="Y41" s="124"/>
      <c r="Z41" s="125"/>
      <c r="AA41" s="125"/>
      <c r="AB41" s="633"/>
      <c r="AC41" s="633"/>
      <c r="AD41" s="429"/>
      <c r="AE41" s="429"/>
      <c r="AF41" s="48"/>
      <c r="AG41" s="130"/>
      <c r="AH41" s="646"/>
    </row>
    <row r="42" spans="1:34" ht="19.2" customHeight="1">
      <c r="A42" s="662"/>
      <c r="B42" s="429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429"/>
      <c r="J42" s="87"/>
      <c r="K42" s="57"/>
      <c r="L42" s="86"/>
      <c r="M42" s="440"/>
      <c r="N42" s="57"/>
      <c r="O42" s="86"/>
      <c r="P42" s="54"/>
      <c r="Q42" s="88"/>
      <c r="R42" s="430"/>
      <c r="S42" s="654"/>
      <c r="T42" s="89"/>
      <c r="U42" s="89"/>
      <c r="V42" s="429"/>
      <c r="W42" s="90">
        <f t="shared" si="25"/>
        <v>0</v>
      </c>
      <c r="X42" s="124"/>
      <c r="Y42" s="124"/>
      <c r="Z42" s="125"/>
      <c r="AA42" s="125"/>
      <c r="AB42" s="633"/>
      <c r="AC42" s="633"/>
      <c r="AD42" s="429"/>
      <c r="AE42" s="429"/>
      <c r="AF42" s="48"/>
      <c r="AG42" s="130"/>
      <c r="AH42" s="646"/>
    </row>
    <row r="43" spans="1:34" ht="19.2" customHeight="1">
      <c r="A43" s="662"/>
      <c r="B43" s="122">
        <v>0</v>
      </c>
      <c r="C43" s="100" t="s">
        <v>297</v>
      </c>
      <c r="D43" s="660" t="s">
        <v>293</v>
      </c>
      <c r="E43" s="660"/>
      <c r="F43" s="365"/>
      <c r="G43" s="101"/>
      <c r="H43" s="102"/>
      <c r="I43" s="103"/>
      <c r="J43" s="101">
        <v>15</v>
      </c>
      <c r="K43" s="101">
        <v>1728.6666666666667</v>
      </c>
      <c r="L43" s="104">
        <v>121.05310457516339</v>
      </c>
      <c r="M43" s="101">
        <f t="shared" ref="M43:O43" si="26">AVERAGE(M31:M42)</f>
        <v>15.333333333333334</v>
      </c>
      <c r="N43" s="101">
        <f t="shared" si="26"/>
        <v>1487.2201808040766</v>
      </c>
      <c r="O43" s="104">
        <f t="shared" si="26"/>
        <v>103.09528927135398</v>
      </c>
      <c r="P43" s="54">
        <f>M43-J43</f>
        <v>0.33333333333333393</v>
      </c>
      <c r="Q43" s="88">
        <f>N43-K43</f>
        <v>-241.44648586259018</v>
      </c>
      <c r="R43" s="105">
        <f t="shared" ref="R43:R50" si="27">O43/L43</f>
        <v>0.85165340974250536</v>
      </c>
      <c r="S43" s="654"/>
      <c r="T43" s="89"/>
      <c r="U43" s="89"/>
      <c r="V43" s="429"/>
      <c r="W43" s="429"/>
      <c r="X43" s="124"/>
      <c r="Y43" s="124"/>
      <c r="Z43" s="135">
        <f>SUM(Z31:Z42)</f>
        <v>0</v>
      </c>
      <c r="AA43" s="135">
        <f>SUM(AA31:AA42)</f>
        <v>0</v>
      </c>
      <c r="AB43" s="633"/>
      <c r="AC43" s="633"/>
      <c r="AD43" s="107">
        <f>SUM(AD31:AD42)</f>
        <v>1</v>
      </c>
      <c r="AE43" s="107">
        <f>SUM(AE31:AE42)</f>
        <v>1</v>
      </c>
      <c r="AF43" s="48">
        <f t="shared" ref="AF43:AF54" si="28">N43-K43</f>
        <v>-241.44648586259018</v>
      </c>
      <c r="AG43" s="434">
        <f t="shared" si="7"/>
        <v>0.8603279102221808</v>
      </c>
      <c r="AH43" s="646"/>
    </row>
    <row r="44" spans="1:34" s="148" customFormat="1" ht="19.2" customHeight="1">
      <c r="A44" s="664" t="s">
        <v>298</v>
      </c>
      <c r="B44" s="97" t="s">
        <v>146</v>
      </c>
      <c r="C44" s="136"/>
      <c r="D44" s="42" t="s">
        <v>77</v>
      </c>
      <c r="E44" s="43"/>
      <c r="F44" s="368">
        <v>24.73</v>
      </c>
      <c r="G44" s="137">
        <v>2512</v>
      </c>
      <c r="H44" s="45">
        <f>F44*G44</f>
        <v>62121.760000000002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2184.3478260869565</v>
      </c>
      <c r="O44" s="141">
        <f t="shared" ref="O44:O50" si="30">N44/M44</f>
        <v>436.86956521739131</v>
      </c>
      <c r="P44" s="51">
        <f t="shared" ref="P44:P50" si="31">M44-J44</f>
        <v>1</v>
      </c>
      <c r="Q44" s="142">
        <f t="shared" ref="Q44:Q50" si="32">O44-L44</f>
        <v>-63.130434782608688</v>
      </c>
      <c r="R44" s="143">
        <f t="shared" si="27"/>
        <v>0.87373913043478257</v>
      </c>
      <c r="S44" s="645">
        <f>R56</f>
        <v>0.88949615669264803</v>
      </c>
      <c r="T44" s="119">
        <v>0.16666666666666666</v>
      </c>
      <c r="U44" s="119">
        <v>0.21458333333333332</v>
      </c>
      <c r="V44" s="145">
        <v>5</v>
      </c>
      <c r="W44" s="146">
        <f t="shared" ref="W44:W56" si="33">(U44-T44)*24*60</f>
        <v>69</v>
      </c>
      <c r="X44" s="124"/>
      <c r="Y44" s="124"/>
      <c r="Z44" s="125"/>
      <c r="AA44" s="125"/>
      <c r="AB44" s="633"/>
      <c r="AC44" s="633"/>
      <c r="AD44" s="429"/>
      <c r="AE44" s="429"/>
      <c r="AF44" s="147">
        <f t="shared" si="28"/>
        <v>184.3478260869565</v>
      </c>
      <c r="AG44" s="437">
        <f t="shared" si="7"/>
        <v>1.0921739130434782</v>
      </c>
      <c r="AH44" s="667">
        <f>AG56</f>
        <v>1.0094573675669662</v>
      </c>
    </row>
    <row r="45" spans="1:34" s="148" customFormat="1" ht="19.2" customHeight="1">
      <c r="A45" s="665"/>
      <c r="B45" s="97" t="s">
        <v>146</v>
      </c>
      <c r="C45" s="136"/>
      <c r="D45" s="42" t="s">
        <v>78</v>
      </c>
      <c r="E45" s="43"/>
      <c r="F45" s="368">
        <v>24.73</v>
      </c>
      <c r="G45" s="137">
        <v>2260</v>
      </c>
      <c r="H45" s="45">
        <f>F45*G45</f>
        <v>55889.8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2118.7500000000009</v>
      </c>
      <c r="O45" s="141">
        <f t="shared" si="30"/>
        <v>423.75000000000017</v>
      </c>
      <c r="P45" s="51">
        <f t="shared" si="31"/>
        <v>1</v>
      </c>
      <c r="Q45" s="142">
        <f t="shared" si="32"/>
        <v>-76.249999999999829</v>
      </c>
      <c r="R45" s="143">
        <f t="shared" si="27"/>
        <v>0.84750000000000036</v>
      </c>
      <c r="S45" s="645"/>
      <c r="T45" s="89">
        <v>0.21805555555555553</v>
      </c>
      <c r="U45" s="89">
        <v>0.26249999999999996</v>
      </c>
      <c r="V45" s="145">
        <v>5</v>
      </c>
      <c r="W45" s="146">
        <f t="shared" si="33"/>
        <v>63.999999999999972</v>
      </c>
      <c r="X45" s="124"/>
      <c r="Y45" s="124"/>
      <c r="Z45" s="125"/>
      <c r="AA45" s="125"/>
      <c r="AB45" s="633"/>
      <c r="AC45" s="633"/>
      <c r="AD45" s="429"/>
      <c r="AE45" s="429"/>
      <c r="AF45" s="147">
        <f t="shared" si="28"/>
        <v>118.75000000000091</v>
      </c>
      <c r="AG45" s="437">
        <f t="shared" si="7"/>
        <v>1.0593750000000004</v>
      </c>
      <c r="AH45" s="667"/>
    </row>
    <row r="46" spans="1:34" s="148" customFormat="1" ht="19.2" customHeight="1">
      <c r="A46" s="665"/>
      <c r="B46" s="97" t="s">
        <v>146</v>
      </c>
      <c r="C46" s="136"/>
      <c r="D46" s="42" t="s">
        <v>160</v>
      </c>
      <c r="E46" s="43"/>
      <c r="F46" s="368">
        <v>21.92</v>
      </c>
      <c r="G46" s="137">
        <v>450</v>
      </c>
      <c r="H46" s="45">
        <f t="shared" ref="H46:H50" si="34">F46*G46</f>
        <v>9864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1928.5714285714246</v>
      </c>
      <c r="O46" s="141">
        <f t="shared" si="30"/>
        <v>385.71428571428493</v>
      </c>
      <c r="P46" s="51">
        <f t="shared" si="31"/>
        <v>1</v>
      </c>
      <c r="Q46" s="142">
        <f t="shared" si="32"/>
        <v>-114.28571428571507</v>
      </c>
      <c r="R46" s="143">
        <f t="shared" si="27"/>
        <v>0.7714285714285698</v>
      </c>
      <c r="S46" s="645"/>
      <c r="T46" s="89">
        <v>0.26597222222222217</v>
      </c>
      <c r="U46" s="89">
        <v>0.27569444444444441</v>
      </c>
      <c r="V46" s="145">
        <v>5</v>
      </c>
      <c r="W46" s="146">
        <f t="shared" si="33"/>
        <v>14.00000000000003</v>
      </c>
      <c r="X46" s="124"/>
      <c r="Y46" s="124"/>
      <c r="Z46" s="125"/>
      <c r="AA46" s="125"/>
      <c r="AB46" s="633"/>
      <c r="AC46" s="633"/>
      <c r="AD46" s="429"/>
      <c r="AE46" s="429"/>
      <c r="AF46" s="147">
        <f t="shared" si="28"/>
        <v>-71.428571428575424</v>
      </c>
      <c r="AG46" s="437">
        <f t="shared" si="7"/>
        <v>0.9642857142857123</v>
      </c>
      <c r="AH46" s="667"/>
    </row>
    <row r="47" spans="1:34" s="148" customFormat="1" ht="19.2" customHeight="1">
      <c r="A47" s="665"/>
      <c r="B47" s="97">
        <v>0</v>
      </c>
      <c r="C47" s="136"/>
      <c r="D47" s="150" t="s">
        <v>67</v>
      </c>
      <c r="E47" s="151"/>
      <c r="F47" s="368">
        <v>31.43</v>
      </c>
      <c r="G47" s="140">
        <v>2014</v>
      </c>
      <c r="H47" s="45">
        <f t="shared" si="34"/>
        <v>63300.02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1455.9036144578308</v>
      </c>
      <c r="O47" s="141">
        <f t="shared" si="30"/>
        <v>207.98623063683297</v>
      </c>
      <c r="P47" s="51">
        <f t="shared" si="31"/>
        <v>0</v>
      </c>
      <c r="Q47" s="142">
        <f t="shared" si="32"/>
        <v>-6.2994836488813064</v>
      </c>
      <c r="R47" s="143">
        <f t="shared" si="27"/>
        <v>0.97060240963855393</v>
      </c>
      <c r="S47" s="645"/>
      <c r="T47" s="89">
        <v>0.2895833333333333</v>
      </c>
      <c r="U47" s="89">
        <v>0.34722222222222221</v>
      </c>
      <c r="V47" s="140">
        <v>20</v>
      </c>
      <c r="W47" s="146">
        <f t="shared" si="33"/>
        <v>83.000000000000028</v>
      </c>
      <c r="X47" s="124">
        <v>0.27916666666666667</v>
      </c>
      <c r="Y47" s="124">
        <v>0.28680555555555554</v>
      </c>
      <c r="Z47" s="125"/>
      <c r="AA47" s="125"/>
      <c r="AB47" s="633"/>
      <c r="AC47" s="633"/>
      <c r="AD47" s="429"/>
      <c r="AE47" s="429"/>
      <c r="AF47" s="147">
        <f t="shared" si="28"/>
        <v>-44.096385542169173</v>
      </c>
      <c r="AG47" s="437">
        <f t="shared" si="7"/>
        <v>0.97060240963855393</v>
      </c>
      <c r="AH47" s="667"/>
    </row>
    <row r="48" spans="1:34" s="148" customFormat="1" ht="19.2" customHeight="1">
      <c r="A48" s="665"/>
      <c r="B48" s="97">
        <v>0</v>
      </c>
      <c r="C48" s="136"/>
      <c r="D48" s="153" t="s">
        <v>240</v>
      </c>
      <c r="E48" s="151"/>
      <c r="F48" s="368">
        <v>11.86</v>
      </c>
      <c r="G48" s="140">
        <v>2084</v>
      </c>
      <c r="H48" s="45">
        <f t="shared" si="34"/>
        <v>24716.239999999998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1471.0588235294115</v>
      </c>
      <c r="O48" s="141">
        <f t="shared" si="30"/>
        <v>245.17647058823525</v>
      </c>
      <c r="P48" s="51">
        <f t="shared" si="31"/>
        <v>0</v>
      </c>
      <c r="Q48" s="142">
        <f t="shared" si="32"/>
        <v>-4.8235294117647527</v>
      </c>
      <c r="R48" s="143">
        <f t="shared" si="27"/>
        <v>0.98070588235294098</v>
      </c>
      <c r="S48" s="645"/>
      <c r="T48" s="89">
        <v>0.36458333333333331</v>
      </c>
      <c r="U48" s="89">
        <v>0.4236111111111111</v>
      </c>
      <c r="V48" s="137">
        <v>25</v>
      </c>
      <c r="W48" s="146">
        <f t="shared" si="33"/>
        <v>85.000000000000014</v>
      </c>
      <c r="X48" s="124">
        <v>0.35069444444444442</v>
      </c>
      <c r="Y48" s="124">
        <v>0.36180555555555555</v>
      </c>
      <c r="Z48" s="125"/>
      <c r="AA48" s="125"/>
      <c r="AB48" s="633"/>
      <c r="AC48" s="633"/>
      <c r="AD48" s="429"/>
      <c r="AE48" s="429"/>
      <c r="AF48" s="147">
        <f t="shared" si="28"/>
        <v>-28.941176470588516</v>
      </c>
      <c r="AG48" s="437">
        <f t="shared" si="7"/>
        <v>0.98070588235294098</v>
      </c>
      <c r="AH48" s="667"/>
    </row>
    <row r="49" spans="1:34" s="148" customFormat="1" ht="19.2" customHeight="1">
      <c r="A49" s="665"/>
      <c r="B49" s="97" t="s">
        <v>147</v>
      </c>
      <c r="C49" s="136"/>
      <c r="D49" s="153" t="s">
        <v>66</v>
      </c>
      <c r="E49" s="151"/>
      <c r="F49" s="368">
        <v>10.09</v>
      </c>
      <c r="G49" s="137">
        <v>3505.1099999999997</v>
      </c>
      <c r="H49" s="45">
        <f t="shared" si="34"/>
        <v>35366.559899999993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1491.5361702127661</v>
      </c>
      <c r="O49" s="141">
        <f t="shared" si="30"/>
        <v>248.58936170212769</v>
      </c>
      <c r="P49" s="51">
        <f t="shared" si="31"/>
        <v>0</v>
      </c>
      <c r="Q49" s="142">
        <f t="shared" si="32"/>
        <v>-1.4106382978723104</v>
      </c>
      <c r="R49" s="143">
        <f t="shared" si="27"/>
        <v>0.99435744680851079</v>
      </c>
      <c r="S49" s="645"/>
      <c r="T49" s="89">
        <v>0.44097222222222221</v>
      </c>
      <c r="U49" s="89">
        <v>0.53888888888888886</v>
      </c>
      <c r="V49" s="137">
        <v>25</v>
      </c>
      <c r="W49" s="146">
        <f t="shared" si="33"/>
        <v>140.99999999999997</v>
      </c>
      <c r="X49" s="155">
        <v>0.42708333333333331</v>
      </c>
      <c r="Y49" s="155">
        <v>0.4381944444444445</v>
      </c>
      <c r="Z49" s="156"/>
      <c r="AA49" s="125"/>
      <c r="AB49" s="633"/>
      <c r="AC49" s="633"/>
      <c r="AD49" s="429"/>
      <c r="AE49" s="429"/>
      <c r="AF49" s="147">
        <f t="shared" si="28"/>
        <v>-8.4638297872338626</v>
      </c>
      <c r="AG49" s="437">
        <f t="shared" si="7"/>
        <v>0.99435744680851079</v>
      </c>
      <c r="AH49" s="667"/>
    </row>
    <row r="50" spans="1:34" s="148" customFormat="1" ht="19.2" customHeight="1">
      <c r="A50" s="665"/>
      <c r="B50" s="97" t="s">
        <v>147</v>
      </c>
      <c r="C50" s="136"/>
      <c r="D50" s="153" t="s">
        <v>66</v>
      </c>
      <c r="E50" s="151"/>
      <c r="F50" s="368">
        <v>10.09</v>
      </c>
      <c r="G50" s="137">
        <v>5341.12</v>
      </c>
      <c r="H50" s="45">
        <f t="shared" si="34"/>
        <v>53891.900799999996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1463.3205479452054</v>
      </c>
      <c r="O50" s="141">
        <f t="shared" si="30"/>
        <v>243.88675799086755</v>
      </c>
      <c r="P50" s="51">
        <f t="shared" si="31"/>
        <v>0</v>
      </c>
      <c r="Q50" s="142">
        <f t="shared" si="32"/>
        <v>-6.1132420091324491</v>
      </c>
      <c r="R50" s="143">
        <f t="shared" si="27"/>
        <v>0.97554703196347026</v>
      </c>
      <c r="S50" s="645"/>
      <c r="T50" s="89">
        <v>0.55625000000000002</v>
      </c>
      <c r="U50" s="89">
        <v>0.70833333333333337</v>
      </c>
      <c r="V50" s="137">
        <v>25</v>
      </c>
      <c r="W50" s="146">
        <f t="shared" si="33"/>
        <v>219.00000000000003</v>
      </c>
      <c r="X50" s="155">
        <v>0.54166666666666663</v>
      </c>
      <c r="Y50" s="155">
        <v>0.55347222222222225</v>
      </c>
      <c r="Z50" s="156"/>
      <c r="AA50" s="156"/>
      <c r="AB50" s="633"/>
      <c r="AC50" s="633"/>
      <c r="AD50" s="429"/>
      <c r="AE50" s="429"/>
      <c r="AF50" s="147">
        <f t="shared" si="28"/>
        <v>-36.679452054794638</v>
      </c>
      <c r="AG50" s="437">
        <f t="shared" si="7"/>
        <v>0.97554703196347026</v>
      </c>
      <c r="AH50" s="667"/>
    </row>
    <row r="51" spans="1:34" s="148" customFormat="1" ht="19.2" customHeight="1">
      <c r="A51" s="665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45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633"/>
      <c r="AC51" s="633"/>
      <c r="AD51" s="429"/>
      <c r="AE51" s="429"/>
      <c r="AF51" s="147">
        <f t="shared" si="28"/>
        <v>0</v>
      </c>
      <c r="AG51" s="437" t="e">
        <f t="shared" si="7"/>
        <v>#DIV/0!</v>
      </c>
      <c r="AH51" s="667"/>
    </row>
    <row r="52" spans="1:34" s="148" customFormat="1" ht="19.2" customHeight="1">
      <c r="A52" s="665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0"/>
      <c r="S52" s="645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633"/>
      <c r="AC52" s="633"/>
      <c r="AD52" s="429"/>
      <c r="AE52" s="429"/>
      <c r="AF52" s="147">
        <f t="shared" si="28"/>
        <v>0</v>
      </c>
      <c r="AG52" s="437" t="e">
        <f t="shared" si="7"/>
        <v>#DIV/0!</v>
      </c>
      <c r="AH52" s="667"/>
    </row>
    <row r="53" spans="1:34" s="148" customFormat="1" ht="19.2" customHeight="1">
      <c r="A53" s="665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0"/>
      <c r="S53" s="645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33"/>
      <c r="AC53" s="633"/>
      <c r="AD53" s="429"/>
      <c r="AE53" s="429"/>
      <c r="AF53" s="147">
        <f t="shared" si="28"/>
        <v>0</v>
      </c>
      <c r="AG53" s="437" t="e">
        <f t="shared" si="7"/>
        <v>#DIV/0!</v>
      </c>
      <c r="AH53" s="667"/>
    </row>
    <row r="54" spans="1:34" s="148" customFormat="1" ht="19.2" customHeight="1">
      <c r="A54" s="665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0"/>
      <c r="S54" s="645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33"/>
      <c r="AC54" s="633"/>
      <c r="AD54" s="429"/>
      <c r="AE54" s="429"/>
      <c r="AF54" s="147">
        <f t="shared" si="28"/>
        <v>0</v>
      </c>
      <c r="AG54" s="437" t="e">
        <f t="shared" si="7"/>
        <v>#DIV/0!</v>
      </c>
      <c r="AH54" s="667"/>
    </row>
    <row r="55" spans="1:34" s="148" customFormat="1" ht="19.2" customHeight="1">
      <c r="A55" s="665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0"/>
      <c r="S55" s="645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33"/>
      <c r="AC55" s="633"/>
      <c r="AD55" s="429"/>
      <c r="AE55" s="429"/>
      <c r="AF55" s="147"/>
      <c r="AG55" s="437"/>
      <c r="AH55" s="667"/>
    </row>
    <row r="56" spans="1:34" ht="19.2" customHeight="1">
      <c r="A56" s="666"/>
      <c r="B56" s="160">
        <v>0</v>
      </c>
      <c r="C56" s="100" t="s">
        <v>299</v>
      </c>
      <c r="D56" s="660" t="s">
        <v>293</v>
      </c>
      <c r="E56" s="660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1730.4983444005136</v>
      </c>
      <c r="O56" s="104">
        <f t="shared" si="35"/>
        <v>313.13895312139141</v>
      </c>
      <c r="P56" s="161">
        <f>M56-J56</f>
        <v>0.42857142857142883</v>
      </c>
      <c r="Q56" s="118">
        <f>N56-K56</f>
        <v>16.212630114799367</v>
      </c>
      <c r="R56" s="162">
        <f t="shared" ref="R56:R61" si="36">O56/L56</f>
        <v>0.88949615669264803</v>
      </c>
      <c r="S56" s="645"/>
      <c r="T56" s="163"/>
      <c r="U56" s="163"/>
      <c r="V56" s="445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33"/>
      <c r="AC56" s="633"/>
      <c r="AD56" s="107">
        <f>SUM(AD44:AD55)</f>
        <v>0</v>
      </c>
      <c r="AE56" s="107">
        <f>SUM(AE44:AE55)</f>
        <v>0</v>
      </c>
      <c r="AF56" s="165">
        <f>N56-K56</f>
        <v>16.212630114799367</v>
      </c>
      <c r="AG56" s="430">
        <f>N56/K56</f>
        <v>1.0094573675669662</v>
      </c>
      <c r="AH56" s="667"/>
    </row>
    <row r="57" spans="1:34" ht="19.2" customHeight="1">
      <c r="A57" s="670" t="s">
        <v>300</v>
      </c>
      <c r="B57" s="97" t="s">
        <v>145</v>
      </c>
      <c r="C57" s="166"/>
      <c r="D57" s="167" t="s">
        <v>68</v>
      </c>
      <c r="E57" s="112"/>
      <c r="F57" s="361">
        <v>28.26</v>
      </c>
      <c r="G57" s="137">
        <v>2113</v>
      </c>
      <c r="H57" s="84">
        <f t="shared" ref="H57:H66" si="37">F57*G57</f>
        <v>59713.380000000005</v>
      </c>
      <c r="I57" s="429"/>
      <c r="J57" s="87">
        <v>7</v>
      </c>
      <c r="K57" s="57">
        <v>1500</v>
      </c>
      <c r="L57" s="86">
        <v>214.28571428571428</v>
      </c>
      <c r="M57" s="440">
        <v>7</v>
      </c>
      <c r="N57" s="57">
        <f t="shared" ref="N57:N61" si="38">G57/W57*60</f>
        <v>1491.5294117647063</v>
      </c>
      <c r="O57" s="86">
        <f t="shared" ref="O57:O61" si="39">N57/M57</f>
        <v>213.07563025210089</v>
      </c>
      <c r="P57" s="168">
        <f t="shared" ref="P57:P61" si="40">M57-J57</f>
        <v>0</v>
      </c>
      <c r="Q57" s="49">
        <f t="shared" ref="Q57:Q61" si="41">O57-L57</f>
        <v>-1.2100840336133842</v>
      </c>
      <c r="R57" s="433">
        <f t="shared" si="36"/>
        <v>0.99435294117647088</v>
      </c>
      <c r="S57" s="645">
        <f>R69</f>
        <v>0.98679414580184821</v>
      </c>
      <c r="T57" s="144">
        <v>0.16666666666666666</v>
      </c>
      <c r="U57" s="144">
        <v>0.22569444444444442</v>
      </c>
      <c r="V57" s="431">
        <v>5</v>
      </c>
      <c r="W57" s="442">
        <f>(U57-T57)*24*60</f>
        <v>84.999999999999972</v>
      </c>
      <c r="X57" s="53"/>
      <c r="Y57" s="53"/>
      <c r="Z57" s="54"/>
      <c r="AA57" s="54"/>
      <c r="AB57" s="633"/>
      <c r="AC57" s="633"/>
      <c r="AD57" s="429"/>
      <c r="AE57" s="429"/>
      <c r="AF57" s="48">
        <f t="shared" si="6"/>
        <v>-8.4705882352936896</v>
      </c>
      <c r="AG57" s="432">
        <f t="shared" si="7"/>
        <v>0.99435294117647088</v>
      </c>
      <c r="AH57" s="659">
        <f>AG69</f>
        <v>0.98724948784520394</v>
      </c>
    </row>
    <row r="58" spans="1:34" ht="19.2" customHeight="1">
      <c r="A58" s="631"/>
      <c r="B58" s="97" t="s">
        <v>145</v>
      </c>
      <c r="C58" s="438"/>
      <c r="D58" s="42" t="s">
        <v>69</v>
      </c>
      <c r="E58" s="43"/>
      <c r="F58" s="361">
        <v>27.88</v>
      </c>
      <c r="G58" s="137">
        <v>3817</v>
      </c>
      <c r="H58" s="45">
        <f t="shared" si="37"/>
        <v>106417.95999999999</v>
      </c>
      <c r="I58" s="431"/>
      <c r="J58" s="46">
        <v>7</v>
      </c>
      <c r="K58" s="44">
        <v>1500</v>
      </c>
      <c r="L58" s="86">
        <v>214.28571428571428</v>
      </c>
      <c r="M58" s="443">
        <v>7</v>
      </c>
      <c r="N58" s="44">
        <f t="shared" si="38"/>
        <v>1496.8627450980391</v>
      </c>
      <c r="O58" s="47">
        <f t="shared" si="39"/>
        <v>213.8375350140056</v>
      </c>
      <c r="P58" s="168">
        <f t="shared" si="40"/>
        <v>0</v>
      </c>
      <c r="Q58" s="49">
        <f t="shared" si="41"/>
        <v>-0.44817927170868188</v>
      </c>
      <c r="R58" s="433">
        <f t="shared" si="36"/>
        <v>0.9979084967320262</v>
      </c>
      <c r="S58" s="645"/>
      <c r="T58" s="169">
        <v>0.24305555555555552</v>
      </c>
      <c r="U58" s="169">
        <v>0.34930555555555554</v>
      </c>
      <c r="V58" s="431">
        <v>25</v>
      </c>
      <c r="W58" s="442">
        <f>(U58-T58)*24*60</f>
        <v>153.00000000000003</v>
      </c>
      <c r="X58" s="53">
        <v>0.22916666666666666</v>
      </c>
      <c r="Y58" s="53">
        <v>0.24027777777777778</v>
      </c>
      <c r="Z58" s="54"/>
      <c r="AA58" s="54"/>
      <c r="AB58" s="668"/>
      <c r="AC58" s="669"/>
      <c r="AD58" s="429"/>
      <c r="AE58" s="429"/>
      <c r="AF58" s="48">
        <f t="shared" si="6"/>
        <v>-3.1372549019608869</v>
      </c>
      <c r="AG58" s="433">
        <f t="shared" si="7"/>
        <v>0.99790849673202608</v>
      </c>
      <c r="AH58" s="645"/>
    </row>
    <row r="59" spans="1:34" ht="19.2" customHeight="1">
      <c r="A59" s="631"/>
      <c r="B59" s="97" t="s">
        <v>145</v>
      </c>
      <c r="C59" s="438"/>
      <c r="D59" s="42" t="s">
        <v>70</v>
      </c>
      <c r="E59" s="43"/>
      <c r="F59" s="361">
        <v>28</v>
      </c>
      <c r="G59" s="137">
        <v>3395</v>
      </c>
      <c r="H59" s="45">
        <f t="shared" si="37"/>
        <v>95060</v>
      </c>
      <c r="I59" s="431"/>
      <c r="J59" s="46">
        <v>7</v>
      </c>
      <c r="K59" s="44">
        <v>1500</v>
      </c>
      <c r="L59" s="86">
        <v>214.28571428571428</v>
      </c>
      <c r="M59" s="443">
        <v>7</v>
      </c>
      <c r="N59" s="44">
        <f t="shared" si="38"/>
        <v>1476.0869565217392</v>
      </c>
      <c r="O59" s="47">
        <f t="shared" si="39"/>
        <v>210.86956521739131</v>
      </c>
      <c r="P59" s="168">
        <f t="shared" si="40"/>
        <v>0</v>
      </c>
      <c r="Q59" s="49">
        <f t="shared" si="41"/>
        <v>-3.4161490683229658</v>
      </c>
      <c r="R59" s="433">
        <f t="shared" si="36"/>
        <v>0.98405797101449277</v>
      </c>
      <c r="S59" s="645"/>
      <c r="T59" s="169">
        <v>0.36666666666666664</v>
      </c>
      <c r="U59" s="169">
        <v>0.46249999999999997</v>
      </c>
      <c r="V59" s="145">
        <v>25</v>
      </c>
      <c r="W59" s="442">
        <f t="shared" ref="W59:W69" si="42">(U59-T59)*24*60</f>
        <v>138</v>
      </c>
      <c r="X59" s="53">
        <v>0.3527777777777778</v>
      </c>
      <c r="Y59" s="53">
        <v>0.36388888888888887</v>
      </c>
      <c r="Z59" s="54"/>
      <c r="AA59" s="54"/>
      <c r="AB59" s="633"/>
      <c r="AC59" s="633"/>
      <c r="AD59" s="429"/>
      <c r="AE59" s="429"/>
      <c r="AF59" s="48">
        <f t="shared" si="6"/>
        <v>-23.913043478260761</v>
      </c>
      <c r="AG59" s="433">
        <f t="shared" si="7"/>
        <v>0.98405797101449277</v>
      </c>
      <c r="AH59" s="645"/>
    </row>
    <row r="60" spans="1:34" ht="19.2" customHeight="1">
      <c r="A60" s="631"/>
      <c r="B60" s="97" t="s">
        <v>147</v>
      </c>
      <c r="C60" s="438"/>
      <c r="D60" s="42" t="s">
        <v>66</v>
      </c>
      <c r="E60" s="43"/>
      <c r="F60" s="361">
        <v>10.09</v>
      </c>
      <c r="G60" s="137">
        <v>3505.1099999999997</v>
      </c>
      <c r="H60" s="45">
        <f t="shared" si="37"/>
        <v>35366.559899999993</v>
      </c>
      <c r="I60" s="4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1460.4625000000001</v>
      </c>
      <c r="O60" s="47">
        <f t="shared" si="39"/>
        <v>243.41041666666669</v>
      </c>
      <c r="P60" s="168">
        <f t="shared" si="40"/>
        <v>0</v>
      </c>
      <c r="Q60" s="49">
        <f t="shared" si="41"/>
        <v>-6.5895833333333087</v>
      </c>
      <c r="R60" s="433">
        <f t="shared" si="36"/>
        <v>0.97364166666666674</v>
      </c>
      <c r="S60" s="645"/>
      <c r="T60" s="169">
        <v>0.47986111111111107</v>
      </c>
      <c r="U60" s="169">
        <v>0.57986111111111105</v>
      </c>
      <c r="V60" s="145">
        <v>25</v>
      </c>
      <c r="W60" s="442">
        <f t="shared" si="42"/>
        <v>143.99999999999997</v>
      </c>
      <c r="X60" s="53">
        <v>0.46597222222222223</v>
      </c>
      <c r="Y60" s="53">
        <v>0.4770833333333333</v>
      </c>
      <c r="Z60" s="54"/>
      <c r="AA60" s="54"/>
      <c r="AB60" s="633"/>
      <c r="AC60" s="633"/>
      <c r="AD60" s="429"/>
      <c r="AE60" s="429"/>
      <c r="AF60" s="48">
        <f t="shared" si="6"/>
        <v>-39.537499999999909</v>
      </c>
      <c r="AG60" s="432">
        <f t="shared" si="7"/>
        <v>0.97364166666666674</v>
      </c>
      <c r="AH60" s="645"/>
    </row>
    <row r="61" spans="1:34" ht="19.2" customHeight="1">
      <c r="A61" s="631"/>
      <c r="B61" s="97" t="s">
        <v>147</v>
      </c>
      <c r="C61" s="438"/>
      <c r="D61" s="42" t="s">
        <v>66</v>
      </c>
      <c r="E61" s="43"/>
      <c r="F61" s="361">
        <v>10.09</v>
      </c>
      <c r="G61" s="137">
        <v>4339.66</v>
      </c>
      <c r="H61" s="45">
        <f t="shared" si="37"/>
        <v>43787.169399999999</v>
      </c>
      <c r="I61" s="4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1479.4295454545454</v>
      </c>
      <c r="O61" s="47">
        <f t="shared" si="39"/>
        <v>246.5715909090909</v>
      </c>
      <c r="P61" s="168">
        <f t="shared" si="40"/>
        <v>0</v>
      </c>
      <c r="Q61" s="49">
        <f t="shared" si="41"/>
        <v>-3.4284090909090992</v>
      </c>
      <c r="R61" s="433">
        <f t="shared" si="36"/>
        <v>0.98628636363636357</v>
      </c>
      <c r="S61" s="645"/>
      <c r="T61" s="169">
        <v>0.59722222222222221</v>
      </c>
      <c r="U61" s="169">
        <v>0.71944444444444444</v>
      </c>
      <c r="V61" s="145">
        <v>25</v>
      </c>
      <c r="W61" s="442">
        <f t="shared" si="42"/>
        <v>176</v>
      </c>
      <c r="X61" s="53">
        <v>0.58333333333333337</v>
      </c>
      <c r="Y61" s="53">
        <v>0.59444444444444444</v>
      </c>
      <c r="Z61" s="54"/>
      <c r="AA61" s="54"/>
      <c r="AB61" s="633"/>
      <c r="AC61" s="633"/>
      <c r="AD61" s="429"/>
      <c r="AE61" s="429"/>
      <c r="AF61" s="48">
        <f t="shared" si="6"/>
        <v>-20.570454545454595</v>
      </c>
      <c r="AG61" s="433">
        <f t="shared" si="7"/>
        <v>0.98628636363636357</v>
      </c>
      <c r="AH61" s="645"/>
    </row>
    <row r="62" spans="1:34" ht="19.2" customHeight="1">
      <c r="A62" s="631"/>
      <c r="B62" s="97">
        <v>0</v>
      </c>
      <c r="C62" s="438"/>
      <c r="D62" s="42"/>
      <c r="E62" s="43"/>
      <c r="F62" s="361" t="s">
        <v>148</v>
      </c>
      <c r="G62" s="137"/>
      <c r="H62" s="45">
        <f t="shared" si="37"/>
        <v>0</v>
      </c>
      <c r="I62" s="431"/>
      <c r="J62" s="170"/>
      <c r="K62" s="61"/>
      <c r="L62" s="86"/>
      <c r="M62" s="62"/>
      <c r="N62" s="44"/>
      <c r="O62" s="47"/>
      <c r="P62" s="168"/>
      <c r="Q62" s="49"/>
      <c r="R62" s="433"/>
      <c r="S62" s="645"/>
      <c r="T62" s="169"/>
      <c r="U62" s="169"/>
      <c r="V62" s="145"/>
      <c r="W62" s="442">
        <f t="shared" si="42"/>
        <v>0</v>
      </c>
      <c r="X62" s="53"/>
      <c r="Y62" s="53"/>
      <c r="Z62" s="54"/>
      <c r="AA62" s="54"/>
      <c r="AB62" s="633"/>
      <c r="AC62" s="633"/>
      <c r="AD62" s="429"/>
      <c r="AE62" s="429"/>
      <c r="AF62" s="48">
        <f t="shared" si="6"/>
        <v>0</v>
      </c>
      <c r="AG62" s="433" t="e">
        <f t="shared" si="7"/>
        <v>#DIV/0!</v>
      </c>
      <c r="AH62" s="645"/>
    </row>
    <row r="63" spans="1:34" ht="19.2" customHeight="1">
      <c r="A63" s="631"/>
      <c r="B63" s="97">
        <v>0</v>
      </c>
      <c r="C63" s="438"/>
      <c r="D63" s="42"/>
      <c r="E63" s="43"/>
      <c r="F63" s="361" t="s">
        <v>148</v>
      </c>
      <c r="G63" s="137"/>
      <c r="H63" s="45">
        <f t="shared" si="37"/>
        <v>0</v>
      </c>
      <c r="I63" s="431"/>
      <c r="J63" s="46"/>
      <c r="K63" s="44"/>
      <c r="L63" s="86"/>
      <c r="M63" s="62"/>
      <c r="N63" s="44"/>
      <c r="O63" s="47"/>
      <c r="P63" s="168"/>
      <c r="Q63" s="49"/>
      <c r="R63" s="433"/>
      <c r="S63" s="645"/>
      <c r="T63" s="169"/>
      <c r="U63" s="169"/>
      <c r="V63" s="145"/>
      <c r="W63" s="442">
        <f t="shared" si="42"/>
        <v>0</v>
      </c>
      <c r="X63" s="53"/>
      <c r="Y63" s="53"/>
      <c r="Z63" s="54"/>
      <c r="AA63" s="54"/>
      <c r="AB63" s="633"/>
      <c r="AC63" s="633"/>
      <c r="AD63" s="429"/>
      <c r="AE63" s="429"/>
      <c r="AF63" s="48">
        <f t="shared" si="6"/>
        <v>0</v>
      </c>
      <c r="AG63" s="432" t="e">
        <f t="shared" si="7"/>
        <v>#DIV/0!</v>
      </c>
      <c r="AH63" s="645"/>
    </row>
    <row r="64" spans="1:34" ht="19.2" customHeight="1">
      <c r="A64" s="631"/>
      <c r="B64" s="97">
        <v>0</v>
      </c>
      <c r="C64" s="438"/>
      <c r="D64" s="42"/>
      <c r="E64" s="43"/>
      <c r="F64" s="361" t="s">
        <v>148</v>
      </c>
      <c r="G64" s="137"/>
      <c r="H64" s="45">
        <f t="shared" si="37"/>
        <v>0</v>
      </c>
      <c r="I64" s="431"/>
      <c r="J64" s="170"/>
      <c r="K64" s="61"/>
      <c r="L64" s="86"/>
      <c r="M64" s="62"/>
      <c r="N64" s="44"/>
      <c r="O64" s="47"/>
      <c r="P64" s="168"/>
      <c r="Q64" s="49"/>
      <c r="R64" s="433"/>
      <c r="S64" s="645"/>
      <c r="T64" s="169"/>
      <c r="U64" s="169"/>
      <c r="V64" s="145"/>
      <c r="W64" s="442">
        <f t="shared" si="42"/>
        <v>0</v>
      </c>
      <c r="X64" s="431"/>
      <c r="Y64" s="431"/>
      <c r="Z64" s="54"/>
      <c r="AA64" s="54"/>
      <c r="AB64" s="633"/>
      <c r="AC64" s="633"/>
      <c r="AD64" s="429"/>
      <c r="AE64" s="429"/>
      <c r="AF64" s="48">
        <f t="shared" si="6"/>
        <v>0</v>
      </c>
      <c r="AG64" s="433" t="e">
        <f t="shared" si="7"/>
        <v>#DIV/0!</v>
      </c>
      <c r="AH64" s="645"/>
    </row>
    <row r="65" spans="1:34" ht="19.2" customHeight="1">
      <c r="A65" s="631"/>
      <c r="B65" s="97">
        <v>0</v>
      </c>
      <c r="C65" s="438"/>
      <c r="D65" s="42"/>
      <c r="E65" s="43"/>
      <c r="F65" s="361" t="s">
        <v>148</v>
      </c>
      <c r="G65" s="137"/>
      <c r="H65" s="45">
        <f t="shared" si="37"/>
        <v>0</v>
      </c>
      <c r="I65" s="431"/>
      <c r="J65" s="170"/>
      <c r="K65" s="61"/>
      <c r="L65" s="86"/>
      <c r="M65" s="62"/>
      <c r="N65" s="61"/>
      <c r="O65" s="77"/>
      <c r="P65" s="48"/>
      <c r="Q65" s="49"/>
      <c r="R65" s="433"/>
      <c r="S65" s="645"/>
      <c r="T65" s="169"/>
      <c r="U65" s="169"/>
      <c r="V65" s="145"/>
      <c r="W65" s="442">
        <f t="shared" si="42"/>
        <v>0</v>
      </c>
      <c r="X65" s="431"/>
      <c r="Y65" s="431"/>
      <c r="Z65" s="54"/>
      <c r="AA65" s="54"/>
      <c r="AB65" s="633"/>
      <c r="AC65" s="633"/>
      <c r="AD65" s="429"/>
      <c r="AE65" s="429"/>
      <c r="AF65" s="48">
        <f t="shared" si="6"/>
        <v>0</v>
      </c>
      <c r="AG65" s="433" t="e">
        <f t="shared" si="7"/>
        <v>#DIV/0!</v>
      </c>
      <c r="AH65" s="645"/>
    </row>
    <row r="66" spans="1:34" ht="19.2" customHeight="1">
      <c r="A66" s="631"/>
      <c r="B66" s="97">
        <v>0</v>
      </c>
      <c r="C66" s="438"/>
      <c r="D66" s="42"/>
      <c r="E66" s="43"/>
      <c r="F66" s="361" t="s">
        <v>148</v>
      </c>
      <c r="G66" s="137"/>
      <c r="H66" s="45">
        <f t="shared" si="37"/>
        <v>0</v>
      </c>
      <c r="I66" s="431"/>
      <c r="J66" s="170"/>
      <c r="K66" s="61"/>
      <c r="L66" s="86"/>
      <c r="M66" s="62"/>
      <c r="N66" s="61"/>
      <c r="O66" s="77"/>
      <c r="P66" s="48"/>
      <c r="Q66" s="49"/>
      <c r="R66" s="433"/>
      <c r="S66" s="645"/>
      <c r="T66" s="169"/>
      <c r="U66" s="169"/>
      <c r="V66" s="145"/>
      <c r="W66" s="442">
        <f t="shared" si="42"/>
        <v>0</v>
      </c>
      <c r="X66" s="431"/>
      <c r="Y66" s="431"/>
      <c r="Z66" s="54"/>
      <c r="AA66" s="54"/>
      <c r="AB66" s="633"/>
      <c r="AC66" s="633"/>
      <c r="AD66" s="429"/>
      <c r="AE66" s="429"/>
      <c r="AF66" s="48">
        <f t="shared" si="6"/>
        <v>0</v>
      </c>
      <c r="AG66" s="432" t="e">
        <f t="shared" si="7"/>
        <v>#DIV/0!</v>
      </c>
      <c r="AH66" s="645"/>
    </row>
    <row r="67" spans="1:34" ht="19.2" customHeight="1">
      <c r="A67" s="631"/>
      <c r="B67" s="97">
        <v>0</v>
      </c>
      <c r="C67" s="438"/>
      <c r="D67" s="42"/>
      <c r="E67" s="43"/>
      <c r="F67" s="361" t="s">
        <v>148</v>
      </c>
      <c r="G67" s="137"/>
      <c r="H67" s="45">
        <f>F67*G67</f>
        <v>0</v>
      </c>
      <c r="I67" s="431"/>
      <c r="J67" s="170"/>
      <c r="K67" s="61"/>
      <c r="L67" s="86"/>
      <c r="M67" s="62"/>
      <c r="N67" s="61"/>
      <c r="O67" s="77"/>
      <c r="P67" s="48"/>
      <c r="Q67" s="49"/>
      <c r="R67" s="433"/>
      <c r="S67" s="645"/>
      <c r="T67" s="169"/>
      <c r="U67" s="169"/>
      <c r="V67" s="145"/>
      <c r="W67" s="442">
        <f t="shared" si="42"/>
        <v>0</v>
      </c>
      <c r="X67" s="431"/>
      <c r="Y67" s="431"/>
      <c r="Z67" s="54"/>
      <c r="AA67" s="54"/>
      <c r="AB67" s="633"/>
      <c r="AC67" s="633"/>
      <c r="AD67" s="429"/>
      <c r="AE67" s="429"/>
      <c r="AF67" s="48">
        <f t="shared" si="6"/>
        <v>0</v>
      </c>
      <c r="AG67" s="433" t="e">
        <f t="shared" si="7"/>
        <v>#DIV/0!</v>
      </c>
      <c r="AH67" s="645"/>
    </row>
    <row r="68" spans="1:34" ht="19.2" customHeight="1">
      <c r="A68" s="631"/>
      <c r="B68" s="431">
        <v>0</v>
      </c>
      <c r="C68" s="438"/>
      <c r="D68" s="42"/>
      <c r="E68" s="43"/>
      <c r="F68" s="368" t="s">
        <v>148</v>
      </c>
      <c r="G68" s="137"/>
      <c r="H68" s="45">
        <f>F68*G68</f>
        <v>0</v>
      </c>
      <c r="I68" s="431"/>
      <c r="J68" s="170"/>
      <c r="K68" s="61"/>
      <c r="L68" s="86"/>
      <c r="M68" s="62"/>
      <c r="N68" s="61"/>
      <c r="O68" s="77"/>
      <c r="P68" s="48"/>
      <c r="Q68" s="49"/>
      <c r="R68" s="433"/>
      <c r="S68" s="645"/>
      <c r="T68" s="169"/>
      <c r="U68" s="169"/>
      <c r="V68" s="145"/>
      <c r="W68" s="442">
        <f t="shared" si="42"/>
        <v>0</v>
      </c>
      <c r="X68" s="431"/>
      <c r="Y68" s="431"/>
      <c r="Z68" s="54"/>
      <c r="AA68" s="54"/>
      <c r="AB68" s="633"/>
      <c r="AC68" s="633"/>
      <c r="AD68" s="429"/>
      <c r="AE68" s="429"/>
      <c r="AF68" s="48"/>
      <c r="AG68" s="433"/>
      <c r="AH68" s="645"/>
    </row>
    <row r="69" spans="1:34" ht="19.2" customHeight="1">
      <c r="A69" s="631"/>
      <c r="B69" s="171">
        <v>0</v>
      </c>
      <c r="C69" s="6" t="s">
        <v>301</v>
      </c>
      <c r="D69" s="660" t="s">
        <v>293</v>
      </c>
      <c r="E69" s="660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1480.8742317678059</v>
      </c>
      <c r="O69" s="73">
        <f t="shared" si="43"/>
        <v>225.55294761185104</v>
      </c>
      <c r="P69" s="48">
        <f>M69-J69</f>
        <v>0</v>
      </c>
      <c r="Q69" s="49">
        <f>N69-K69</f>
        <v>-19.125768232194105</v>
      </c>
      <c r="R69" s="175">
        <f t="shared" ref="R69:R76" si="44">O69/L69</f>
        <v>0.98679414580184821</v>
      </c>
      <c r="S69" s="645"/>
      <c r="T69" s="144"/>
      <c r="U69" s="144"/>
      <c r="V69" s="44"/>
      <c r="W69" s="44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33"/>
      <c r="AC69" s="633"/>
      <c r="AD69" s="107">
        <f>SUM(AD57:AD68)</f>
        <v>0</v>
      </c>
      <c r="AE69" s="107">
        <f>SUM(AE57:AE68)</f>
        <v>0</v>
      </c>
      <c r="AF69" s="48">
        <f t="shared" si="6"/>
        <v>-19.125768232194105</v>
      </c>
      <c r="AG69" s="433">
        <f t="shared" si="7"/>
        <v>0.98724948784520394</v>
      </c>
      <c r="AH69" s="645"/>
    </row>
    <row r="70" spans="1:34" ht="19.2" customHeight="1">
      <c r="A70" s="641" t="s">
        <v>302</v>
      </c>
      <c r="B70" s="431" t="s">
        <v>144</v>
      </c>
      <c r="C70" s="97"/>
      <c r="D70" s="42" t="s">
        <v>71</v>
      </c>
      <c r="E70" s="43"/>
      <c r="F70" s="361">
        <v>62.13</v>
      </c>
      <c r="G70" s="57">
        <v>362</v>
      </c>
      <c r="H70" s="45">
        <f>F70*G70</f>
        <v>22491.06</v>
      </c>
      <c r="I70" s="431"/>
      <c r="J70" s="46">
        <v>14</v>
      </c>
      <c r="K70" s="44">
        <v>1500</v>
      </c>
      <c r="L70" s="47">
        <v>107.14285714285714</v>
      </c>
      <c r="M70" s="443">
        <v>14</v>
      </c>
      <c r="N70" s="44">
        <f t="shared" ref="N70:N76" si="45">G70/W70*60</f>
        <v>1206.6666666666658</v>
      </c>
      <c r="O70" s="47">
        <f t="shared" ref="O70:O76" si="46">N70/M70</f>
        <v>86.190476190476133</v>
      </c>
      <c r="P70" s="48">
        <f t="shared" ref="P70:P76" si="47">M70-J70</f>
        <v>0</v>
      </c>
      <c r="Q70" s="49">
        <f t="shared" ref="Q70:Q76" si="48">O70-L70</f>
        <v>-20.952380952381006</v>
      </c>
      <c r="R70" s="433">
        <f t="shared" si="44"/>
        <v>0.80444444444444396</v>
      </c>
      <c r="S70" s="645">
        <f>R82</f>
        <v>0.90092485766485053</v>
      </c>
      <c r="T70" s="50">
        <v>0.25</v>
      </c>
      <c r="U70" s="50">
        <v>0.26250000000000001</v>
      </c>
      <c r="V70" s="431">
        <v>5</v>
      </c>
      <c r="W70" s="442">
        <f>(U70-T70)*24*60</f>
        <v>18.000000000000014</v>
      </c>
      <c r="X70" s="431"/>
      <c r="Y70" s="431"/>
      <c r="Z70" s="54"/>
      <c r="AA70" s="54"/>
      <c r="AB70" s="633"/>
      <c r="AC70" s="633"/>
      <c r="AD70" s="429"/>
      <c r="AE70" s="429"/>
      <c r="AF70" s="48">
        <f t="shared" si="6"/>
        <v>-293.33333333333417</v>
      </c>
      <c r="AG70" s="433">
        <f t="shared" si="7"/>
        <v>0.80444444444444385</v>
      </c>
      <c r="AH70" s="645">
        <f>AG82</f>
        <v>0.90182532596962772</v>
      </c>
    </row>
    <row r="71" spans="1:34" ht="19.2" customHeight="1">
      <c r="A71" s="641"/>
      <c r="B71" s="431" t="s">
        <v>143</v>
      </c>
      <c r="C71" s="41"/>
      <c r="D71" s="176" t="s">
        <v>72</v>
      </c>
      <c r="E71" s="43"/>
      <c r="F71" s="361">
        <v>47.65</v>
      </c>
      <c r="G71" s="44">
        <v>1511.9</v>
      </c>
      <c r="H71" s="45">
        <f>F71*G71</f>
        <v>72042.035000000003</v>
      </c>
      <c r="I71" s="431"/>
      <c r="J71" s="46">
        <v>18</v>
      </c>
      <c r="K71" s="177">
        <v>1440</v>
      </c>
      <c r="L71" s="47">
        <v>80</v>
      </c>
      <c r="M71" s="440">
        <v>18</v>
      </c>
      <c r="N71" s="44">
        <f t="shared" si="45"/>
        <v>1314.6956521739132</v>
      </c>
      <c r="O71" s="47">
        <f t="shared" si="46"/>
        <v>73.038647342995176</v>
      </c>
      <c r="P71" s="48">
        <f t="shared" si="47"/>
        <v>0</v>
      </c>
      <c r="Q71" s="49">
        <f t="shared" si="48"/>
        <v>-6.9613526570048236</v>
      </c>
      <c r="R71" s="433">
        <f t="shared" si="44"/>
        <v>0.91298309178743975</v>
      </c>
      <c r="S71" s="645"/>
      <c r="T71" s="50">
        <v>0.2673611111111111</v>
      </c>
      <c r="U71" s="50">
        <v>0.31527777777777777</v>
      </c>
      <c r="V71" s="431">
        <v>7</v>
      </c>
      <c r="W71" s="442">
        <f t="shared" ref="W71:W81" si="49">(U71-T71)*24*60</f>
        <v>69</v>
      </c>
      <c r="X71" s="53"/>
      <c r="Y71" s="53"/>
      <c r="Z71" s="54"/>
      <c r="AA71" s="54"/>
      <c r="AB71" s="633"/>
      <c r="AC71" s="633"/>
      <c r="AD71" s="429"/>
      <c r="AE71" s="429"/>
      <c r="AF71" s="48">
        <f>N71-K71</f>
        <v>-125.30434782608677</v>
      </c>
      <c r="AG71" s="433">
        <f>N71/K71</f>
        <v>0.91298309178743975</v>
      </c>
      <c r="AH71" s="645"/>
    </row>
    <row r="72" spans="1:34" ht="19.2" customHeight="1">
      <c r="A72" s="641"/>
      <c r="B72" s="431" t="s">
        <v>147</v>
      </c>
      <c r="C72" s="66"/>
      <c r="D72" s="176" t="s">
        <v>161</v>
      </c>
      <c r="E72" s="43"/>
      <c r="F72" s="361">
        <v>56.85</v>
      </c>
      <c r="G72" s="44">
        <v>2297</v>
      </c>
      <c r="H72" s="45">
        <f t="shared" ref="H72:H80" si="50">F72*G72</f>
        <v>130584.45</v>
      </c>
      <c r="I72" s="431"/>
      <c r="J72" s="87">
        <v>18</v>
      </c>
      <c r="K72" s="57">
        <v>1636</v>
      </c>
      <c r="L72" s="86">
        <v>90.888888888888886</v>
      </c>
      <c r="M72" s="443">
        <v>18</v>
      </c>
      <c r="N72" s="44">
        <f t="shared" si="45"/>
        <v>1420.8247422680417</v>
      </c>
      <c r="O72" s="47">
        <f t="shared" si="46"/>
        <v>78.934707903780094</v>
      </c>
      <c r="P72" s="48">
        <f t="shared" si="47"/>
        <v>0</v>
      </c>
      <c r="Q72" s="49">
        <f t="shared" si="48"/>
        <v>-11.954180985108792</v>
      </c>
      <c r="R72" s="433">
        <f t="shared" si="44"/>
        <v>0.86847478133743383</v>
      </c>
      <c r="S72" s="645"/>
      <c r="T72" s="50">
        <v>0.33055555555555555</v>
      </c>
      <c r="U72" s="50">
        <v>0.39791666666666664</v>
      </c>
      <c r="V72" s="431">
        <v>22</v>
      </c>
      <c r="W72" s="442">
        <f t="shared" si="49"/>
        <v>96.999999999999972</v>
      </c>
      <c r="X72" s="53">
        <v>0.31944444444444448</v>
      </c>
      <c r="Y72" s="53">
        <v>0.3298611111111111</v>
      </c>
      <c r="Z72" s="54"/>
      <c r="AA72" s="54"/>
      <c r="AB72" s="633"/>
      <c r="AC72" s="633"/>
      <c r="AD72" s="429"/>
      <c r="AE72" s="429"/>
      <c r="AF72" s="48">
        <f>N72-K72</f>
        <v>-215.17525773195825</v>
      </c>
      <c r="AG72" s="433">
        <f>N72/K72</f>
        <v>0.86847478133743383</v>
      </c>
      <c r="AH72" s="645"/>
    </row>
    <row r="73" spans="1:34" ht="19.2" customHeight="1">
      <c r="A73" s="641"/>
      <c r="B73" s="431" t="s">
        <v>143</v>
      </c>
      <c r="C73" s="178"/>
      <c r="D73" s="179" t="s">
        <v>248</v>
      </c>
      <c r="E73" s="180"/>
      <c r="F73" s="361">
        <v>61.02</v>
      </c>
      <c r="G73" s="44">
        <v>3365.6000000000004</v>
      </c>
      <c r="H73" s="45">
        <f t="shared" si="50"/>
        <v>205368.91200000004</v>
      </c>
      <c r="I73" s="429"/>
      <c r="J73" s="181">
        <v>15</v>
      </c>
      <c r="K73" s="182">
        <v>1440</v>
      </c>
      <c r="L73" s="86">
        <v>96</v>
      </c>
      <c r="M73" s="440">
        <v>15</v>
      </c>
      <c r="N73" s="44">
        <f t="shared" si="45"/>
        <v>1422.0845070422531</v>
      </c>
      <c r="O73" s="47">
        <f t="shared" si="46"/>
        <v>94.805633802816871</v>
      </c>
      <c r="P73" s="48">
        <f t="shared" si="47"/>
        <v>0</v>
      </c>
      <c r="Q73" s="49">
        <f t="shared" si="48"/>
        <v>-1.194366197183129</v>
      </c>
      <c r="R73" s="433">
        <f t="shared" si="44"/>
        <v>0.98755868544600911</v>
      </c>
      <c r="S73" s="645"/>
      <c r="T73" s="50">
        <v>0.40347222222222218</v>
      </c>
      <c r="U73" s="50">
        <v>0.50208333333333333</v>
      </c>
      <c r="V73" s="431">
        <v>8</v>
      </c>
      <c r="W73" s="442">
        <f t="shared" si="49"/>
        <v>142.00000000000006</v>
      </c>
      <c r="X73" s="183"/>
      <c r="Y73" s="183"/>
      <c r="Z73" s="125"/>
      <c r="AA73" s="125"/>
      <c r="AB73" s="633"/>
      <c r="AC73" s="633"/>
      <c r="AD73" s="429"/>
      <c r="AE73" s="429"/>
      <c r="AF73" s="48">
        <f>N73-K73</f>
        <v>-17.915492957746892</v>
      </c>
      <c r="AG73" s="433">
        <f>N73/K73</f>
        <v>0.98755868544600911</v>
      </c>
      <c r="AH73" s="645"/>
    </row>
    <row r="74" spans="1:34" ht="19.2" customHeight="1">
      <c r="A74" s="641"/>
      <c r="B74" s="431" t="s">
        <v>143</v>
      </c>
      <c r="C74" s="178"/>
      <c r="D74" s="179" t="s">
        <v>74</v>
      </c>
      <c r="E74" s="180"/>
      <c r="F74" s="361">
        <v>53.76</v>
      </c>
      <c r="G74" s="44">
        <v>2984</v>
      </c>
      <c r="H74" s="45">
        <f t="shared" si="50"/>
        <v>160419.84</v>
      </c>
      <c r="I74" s="431"/>
      <c r="J74" s="46">
        <v>16</v>
      </c>
      <c r="K74" s="177">
        <v>1440</v>
      </c>
      <c r="L74" s="47">
        <v>90</v>
      </c>
      <c r="M74" s="443">
        <v>16</v>
      </c>
      <c r="N74" s="44">
        <f t="shared" si="45"/>
        <v>1336.1194029850747</v>
      </c>
      <c r="O74" s="47">
        <f t="shared" si="46"/>
        <v>83.507462686567166</v>
      </c>
      <c r="P74" s="48">
        <f t="shared" si="47"/>
        <v>0</v>
      </c>
      <c r="Q74" s="49">
        <f t="shared" si="48"/>
        <v>-6.4925373134328339</v>
      </c>
      <c r="R74" s="433">
        <f t="shared" si="44"/>
        <v>0.92786069651741299</v>
      </c>
      <c r="S74" s="645"/>
      <c r="T74" s="50">
        <v>0.54236111111111107</v>
      </c>
      <c r="U74" s="50">
        <v>0.63541666666666663</v>
      </c>
      <c r="V74" s="431">
        <v>5</v>
      </c>
      <c r="W74" s="442">
        <f t="shared" si="49"/>
        <v>134</v>
      </c>
      <c r="X74" s="183"/>
      <c r="Y74" s="183"/>
      <c r="Z74" s="125"/>
      <c r="AA74" s="125"/>
      <c r="AB74" s="633"/>
      <c r="AC74" s="633"/>
      <c r="AD74" s="429">
        <v>1</v>
      </c>
      <c r="AE74" s="429"/>
      <c r="AF74" s="48">
        <f t="shared" ref="AF74:AF80" si="51">N74-K74</f>
        <v>-103.88059701492534</v>
      </c>
      <c r="AG74" s="433">
        <f t="shared" ref="AG74:AG80" si="52">N74/K74</f>
        <v>0.92786069651741299</v>
      </c>
      <c r="AH74" s="645"/>
    </row>
    <row r="75" spans="1:34" ht="19.2" customHeight="1">
      <c r="A75" s="641"/>
      <c r="B75" s="431" t="s">
        <v>143</v>
      </c>
      <c r="C75" s="66"/>
      <c r="D75" s="176" t="s">
        <v>75</v>
      </c>
      <c r="E75" s="43"/>
      <c r="F75" s="361">
        <v>47.51</v>
      </c>
      <c r="G75" s="57">
        <v>2938</v>
      </c>
      <c r="H75" s="45">
        <f t="shared" si="50"/>
        <v>139584.38</v>
      </c>
      <c r="I75" s="431"/>
      <c r="J75" s="87">
        <v>17</v>
      </c>
      <c r="K75" s="57">
        <v>1440</v>
      </c>
      <c r="L75" s="86">
        <v>84.705882352941174</v>
      </c>
      <c r="M75" s="443">
        <v>17</v>
      </c>
      <c r="N75" s="44">
        <f t="shared" si="45"/>
        <v>1335.4545454545455</v>
      </c>
      <c r="O75" s="47">
        <f t="shared" si="46"/>
        <v>78.556149732620327</v>
      </c>
      <c r="P75" s="48">
        <f t="shared" si="47"/>
        <v>0</v>
      </c>
      <c r="Q75" s="49">
        <f t="shared" si="48"/>
        <v>-6.1497326203208473</v>
      </c>
      <c r="R75" s="433">
        <f t="shared" si="44"/>
        <v>0.92739898989898994</v>
      </c>
      <c r="S75" s="645"/>
      <c r="T75" s="50">
        <v>0.6513888888888888</v>
      </c>
      <c r="U75" s="50">
        <v>0.74305555555555547</v>
      </c>
      <c r="V75" s="431">
        <v>23</v>
      </c>
      <c r="W75" s="442">
        <f t="shared" si="49"/>
        <v>132</v>
      </c>
      <c r="X75" s="183">
        <v>0.63958333333333328</v>
      </c>
      <c r="Y75" s="183">
        <v>0.65</v>
      </c>
      <c r="Z75" s="125"/>
      <c r="AA75" s="125"/>
      <c r="AB75" s="633"/>
      <c r="AC75" s="633"/>
      <c r="AD75" s="429"/>
      <c r="AE75" s="429"/>
      <c r="AF75" s="48">
        <f t="shared" si="51"/>
        <v>-104.5454545454545</v>
      </c>
      <c r="AG75" s="433">
        <f t="shared" si="52"/>
        <v>0.92739898989898994</v>
      </c>
      <c r="AH75" s="645"/>
    </row>
    <row r="76" spans="1:34" ht="19.2" customHeight="1">
      <c r="A76" s="641"/>
      <c r="B76" s="431" t="s">
        <v>143</v>
      </c>
      <c r="C76" s="178"/>
      <c r="D76" s="179" t="s">
        <v>72</v>
      </c>
      <c r="E76" s="180"/>
      <c r="F76" s="361">
        <v>47.65</v>
      </c>
      <c r="G76" s="177">
        <v>814.09999999999991</v>
      </c>
      <c r="H76" s="45">
        <f t="shared" si="50"/>
        <v>38791.864999999998</v>
      </c>
      <c r="I76" s="431">
        <v>1</v>
      </c>
      <c r="J76" s="181">
        <v>18</v>
      </c>
      <c r="K76" s="182">
        <v>1440</v>
      </c>
      <c r="L76" s="86">
        <v>80</v>
      </c>
      <c r="M76" s="440">
        <v>18</v>
      </c>
      <c r="N76" s="44">
        <f t="shared" si="45"/>
        <v>1285.4210526315778</v>
      </c>
      <c r="O76" s="47">
        <f t="shared" si="46"/>
        <v>71.412280701754327</v>
      </c>
      <c r="P76" s="48">
        <f t="shared" si="47"/>
        <v>0</v>
      </c>
      <c r="Q76" s="49">
        <f t="shared" si="48"/>
        <v>-8.5877192982456734</v>
      </c>
      <c r="R76" s="433">
        <f t="shared" si="44"/>
        <v>0.89265350877192906</v>
      </c>
      <c r="S76" s="645"/>
      <c r="T76" s="50">
        <v>0.75833333333333319</v>
      </c>
      <c r="U76" s="50">
        <v>0.7847222222222221</v>
      </c>
      <c r="V76" s="431">
        <v>22</v>
      </c>
      <c r="W76" s="442">
        <f t="shared" si="49"/>
        <v>38.000000000000028</v>
      </c>
      <c r="X76" s="183">
        <v>0.74791666666666667</v>
      </c>
      <c r="Y76" s="183">
        <v>0.75694444444444453</v>
      </c>
      <c r="Z76" s="125"/>
      <c r="AA76" s="125"/>
      <c r="AB76" s="633"/>
      <c r="AC76" s="633"/>
      <c r="AD76" s="429"/>
      <c r="AE76" s="429"/>
      <c r="AF76" s="48">
        <f t="shared" si="51"/>
        <v>-154.57894736842218</v>
      </c>
      <c r="AG76" s="433">
        <f t="shared" si="52"/>
        <v>0.89265350877192906</v>
      </c>
      <c r="AH76" s="645"/>
    </row>
    <row r="77" spans="1:34" ht="19.2" customHeight="1">
      <c r="A77" s="641"/>
      <c r="B77" s="431"/>
      <c r="C77" s="438"/>
      <c r="D77" s="42"/>
      <c r="E77" s="43"/>
      <c r="F77" s="361"/>
      <c r="G77" s="177"/>
      <c r="H77" s="45"/>
      <c r="I77" s="429"/>
      <c r="J77" s="46"/>
      <c r="K77" s="177"/>
      <c r="L77" s="47"/>
      <c r="M77" s="440"/>
      <c r="N77" s="44"/>
      <c r="O77" s="47"/>
      <c r="P77" s="48"/>
      <c r="Q77" s="49"/>
      <c r="R77" s="433"/>
      <c r="S77" s="645"/>
      <c r="T77" s="50"/>
      <c r="U77" s="50"/>
      <c r="V77" s="431"/>
      <c r="W77" s="442"/>
      <c r="X77" s="183"/>
      <c r="Y77" s="183"/>
      <c r="Z77" s="125"/>
      <c r="AA77" s="125"/>
      <c r="AB77" s="633"/>
      <c r="AC77" s="633"/>
      <c r="AD77" s="429"/>
      <c r="AE77" s="429"/>
      <c r="AF77" s="48">
        <f t="shared" si="51"/>
        <v>0</v>
      </c>
      <c r="AG77" s="433" t="e">
        <f t="shared" si="52"/>
        <v>#DIV/0!</v>
      </c>
      <c r="AH77" s="645"/>
    </row>
    <row r="78" spans="1:34" ht="19.2" customHeight="1">
      <c r="A78" s="641"/>
      <c r="B78" s="431">
        <v>0</v>
      </c>
      <c r="C78" s="438"/>
      <c r="D78" s="42"/>
      <c r="E78" s="43"/>
      <c r="F78" s="361" t="s">
        <v>148</v>
      </c>
      <c r="G78" s="57"/>
      <c r="H78" s="45">
        <f t="shared" si="50"/>
        <v>0</v>
      </c>
      <c r="I78" s="429"/>
      <c r="J78" s="87"/>
      <c r="K78" s="57"/>
      <c r="L78" s="86"/>
      <c r="M78" s="440"/>
      <c r="N78" s="44"/>
      <c r="O78" s="47"/>
      <c r="P78" s="48"/>
      <c r="Q78" s="49"/>
      <c r="R78" s="433"/>
      <c r="S78" s="645"/>
      <c r="T78" s="50"/>
      <c r="U78" s="50"/>
      <c r="V78" s="431"/>
      <c r="W78" s="442">
        <f t="shared" si="49"/>
        <v>0</v>
      </c>
      <c r="X78" s="183"/>
      <c r="Y78" s="183"/>
      <c r="Z78" s="125"/>
      <c r="AA78" s="125"/>
      <c r="AB78" s="633"/>
      <c r="AC78" s="633"/>
      <c r="AD78" s="429"/>
      <c r="AE78" s="429"/>
      <c r="AF78" s="48">
        <f t="shared" si="51"/>
        <v>0</v>
      </c>
      <c r="AG78" s="433" t="e">
        <f t="shared" si="52"/>
        <v>#DIV/0!</v>
      </c>
      <c r="AH78" s="645"/>
    </row>
    <row r="79" spans="1:34" ht="19.2" customHeight="1">
      <c r="A79" s="641"/>
      <c r="B79" s="431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429"/>
      <c r="J79" s="87"/>
      <c r="K79" s="57"/>
      <c r="L79" s="86"/>
      <c r="M79" s="440"/>
      <c r="N79" s="57"/>
      <c r="O79" s="184"/>
      <c r="P79" s="108"/>
      <c r="Q79" s="185"/>
      <c r="R79" s="109"/>
      <c r="S79" s="645"/>
      <c r="T79" s="50"/>
      <c r="U79" s="50"/>
      <c r="V79" s="431"/>
      <c r="W79" s="442">
        <f t="shared" si="49"/>
        <v>0</v>
      </c>
      <c r="X79" s="183"/>
      <c r="Y79" s="183"/>
      <c r="Z79" s="125"/>
      <c r="AA79" s="125"/>
      <c r="AB79" s="633"/>
      <c r="AC79" s="633"/>
      <c r="AD79" s="429"/>
      <c r="AE79" s="429"/>
      <c r="AF79" s="48">
        <f t="shared" si="51"/>
        <v>0</v>
      </c>
      <c r="AG79" s="433" t="e">
        <f t="shared" si="52"/>
        <v>#DIV/0!</v>
      </c>
      <c r="AH79" s="645"/>
    </row>
    <row r="80" spans="1:34" ht="19.2" customHeight="1">
      <c r="A80" s="641"/>
      <c r="B80" s="431">
        <v>0</v>
      </c>
      <c r="C80" s="438"/>
      <c r="D80" s="42"/>
      <c r="E80" s="43"/>
      <c r="F80" s="361"/>
      <c r="G80" s="57"/>
      <c r="H80" s="45">
        <f t="shared" si="50"/>
        <v>0</v>
      </c>
      <c r="I80" s="429"/>
      <c r="J80" s="87"/>
      <c r="K80" s="57"/>
      <c r="L80" s="86"/>
      <c r="M80" s="440"/>
      <c r="N80" s="57"/>
      <c r="O80" s="186"/>
      <c r="P80" s="54"/>
      <c r="Q80" s="88"/>
      <c r="R80" s="435"/>
      <c r="S80" s="645"/>
      <c r="T80" s="50"/>
      <c r="U80" s="50"/>
      <c r="V80" s="431"/>
      <c r="W80" s="442">
        <f t="shared" si="49"/>
        <v>0</v>
      </c>
      <c r="X80" s="183"/>
      <c r="Y80" s="183"/>
      <c r="Z80" s="125"/>
      <c r="AA80" s="125"/>
      <c r="AB80" s="633"/>
      <c r="AC80" s="633"/>
      <c r="AD80" s="429"/>
      <c r="AE80" s="429"/>
      <c r="AF80" s="48">
        <f t="shared" si="51"/>
        <v>0</v>
      </c>
      <c r="AG80" s="433" t="e">
        <f t="shared" si="52"/>
        <v>#DIV/0!</v>
      </c>
      <c r="AH80" s="645"/>
    </row>
    <row r="81" spans="1:34" ht="19.2" customHeight="1">
      <c r="A81" s="641"/>
      <c r="B81" s="431">
        <v>0</v>
      </c>
      <c r="C81" s="438"/>
      <c r="D81" s="42"/>
      <c r="E81" s="43"/>
      <c r="F81" s="368"/>
      <c r="G81" s="57"/>
      <c r="H81" s="84"/>
      <c r="I81" s="429"/>
      <c r="J81" s="87"/>
      <c r="K81" s="57"/>
      <c r="L81" s="86"/>
      <c r="M81" s="440"/>
      <c r="N81" s="57"/>
      <c r="O81" s="186"/>
      <c r="P81" s="54"/>
      <c r="Q81" s="88"/>
      <c r="R81" s="435"/>
      <c r="S81" s="645"/>
      <c r="T81" s="50"/>
      <c r="U81" s="50"/>
      <c r="V81" s="431"/>
      <c r="W81" s="442">
        <f t="shared" si="49"/>
        <v>0</v>
      </c>
      <c r="X81" s="183"/>
      <c r="Y81" s="183"/>
      <c r="Z81" s="125"/>
      <c r="AA81" s="125"/>
      <c r="AB81" s="633"/>
      <c r="AC81" s="633"/>
      <c r="AD81" s="429"/>
      <c r="AE81" s="429"/>
      <c r="AF81" s="48"/>
      <c r="AG81" s="126"/>
      <c r="AH81" s="645"/>
    </row>
    <row r="82" spans="1:34" ht="19.2" customHeight="1">
      <c r="A82" s="671"/>
      <c r="B82" s="171">
        <v>0</v>
      </c>
      <c r="C82" s="100" t="s">
        <v>303</v>
      </c>
      <c r="D82" s="660" t="s">
        <v>293</v>
      </c>
      <c r="E82" s="660"/>
      <c r="F82" s="371"/>
      <c r="G82" s="101"/>
      <c r="H82" s="102"/>
      <c r="I82" s="103"/>
      <c r="J82" s="101">
        <v>16.571428571428573</v>
      </c>
      <c r="K82" s="101">
        <v>1476.5714285714287</v>
      </c>
      <c r="L82" s="104">
        <v>89.819661197812465</v>
      </c>
      <c r="M82" s="101">
        <f t="shared" ref="M82:O82" si="53">AVERAGE(M70:M81)</f>
        <v>16.571428571428573</v>
      </c>
      <c r="N82" s="101">
        <f t="shared" si="53"/>
        <v>1331.6095098888675</v>
      </c>
      <c r="O82" s="187">
        <f t="shared" si="53"/>
        <v>80.920765480144297</v>
      </c>
      <c r="P82" s="117">
        <f>M82-J82</f>
        <v>0</v>
      </c>
      <c r="Q82" s="118">
        <f>N82-K82</f>
        <v>-144.96191868256119</v>
      </c>
      <c r="R82" s="175">
        <f>O82/L82</f>
        <v>0.90092485766485053</v>
      </c>
      <c r="S82" s="645"/>
      <c r="T82" s="50"/>
      <c r="U82" s="50"/>
      <c r="V82" s="431"/>
      <c r="W82" s="44"/>
      <c r="X82" s="47"/>
      <c r="Y82" s="47"/>
      <c r="Z82" s="106">
        <f>SUM(Z70:Z81)</f>
        <v>0</v>
      </c>
      <c r="AA82" s="106">
        <f>SUM(AA70:AA81)</f>
        <v>0</v>
      </c>
      <c r="AB82" s="633"/>
      <c r="AC82" s="633"/>
      <c r="AD82" s="107">
        <f>SUM(AD70:AD81)</f>
        <v>1</v>
      </c>
      <c r="AE82" s="107">
        <f>SUM(AE70:AE81)</f>
        <v>0</v>
      </c>
      <c r="AF82" s="48">
        <f>N82-K82</f>
        <v>-144.96191868256119</v>
      </c>
      <c r="AG82" s="433">
        <f>N82/K82</f>
        <v>0.90182532596962772</v>
      </c>
      <c r="AH82" s="645"/>
    </row>
    <row r="83" spans="1:34" ht="19.2" customHeight="1">
      <c r="A83" s="672" t="s">
        <v>304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1966</v>
      </c>
      <c r="H83" s="84">
        <f t="shared" ref="H83:H94" si="54">F83*G83</f>
        <v>84813.24</v>
      </c>
      <c r="I83" s="429"/>
      <c r="J83" s="87">
        <v>16</v>
      </c>
      <c r="K83" s="57">
        <v>1440</v>
      </c>
      <c r="L83" s="86">
        <v>90</v>
      </c>
      <c r="M83" s="440">
        <v>16</v>
      </c>
      <c r="N83" s="57">
        <f t="shared" ref="N83:N88" si="55">G83/W83*60</f>
        <v>1404.2857142857138</v>
      </c>
      <c r="O83" s="186">
        <f t="shared" ref="O83:O88" si="56">N83/M83</f>
        <v>87.76785714285711</v>
      </c>
      <c r="P83" s="54">
        <f t="shared" ref="P83:P88" si="57">M83-J83</f>
        <v>0</v>
      </c>
      <c r="Q83" s="88">
        <f t="shared" ref="Q83:Q88" si="58">O83-L83</f>
        <v>-2.2321428571428896</v>
      </c>
      <c r="R83" s="188">
        <f t="shared" ref="R83:R88" si="59">O83/L83</f>
        <v>0.97519841269841234</v>
      </c>
      <c r="S83" s="645">
        <f>R95</f>
        <v>0.90375922849711643</v>
      </c>
      <c r="T83" s="50">
        <v>0.33333333333333331</v>
      </c>
      <c r="U83" s="50">
        <v>0.39166666666666666</v>
      </c>
      <c r="V83" s="431">
        <v>5</v>
      </c>
      <c r="W83" s="442">
        <f t="shared" ref="W83:W93" si="60">(U83-T83)*24*60</f>
        <v>84.000000000000028</v>
      </c>
      <c r="X83" s="53"/>
      <c r="Y83" s="53"/>
      <c r="Z83" s="54"/>
      <c r="AA83" s="54"/>
      <c r="AB83" s="633"/>
      <c r="AC83" s="633"/>
      <c r="AD83" s="429"/>
      <c r="AE83" s="429"/>
      <c r="AF83" s="48">
        <f t="shared" ref="AF83:AF173" si="61">N83-K83</f>
        <v>-35.714285714286234</v>
      </c>
      <c r="AG83" s="433">
        <f t="shared" ref="AG83:AG173" si="62">N83/K83</f>
        <v>0.97519841269841234</v>
      </c>
      <c r="AH83" s="645">
        <f>AG95</f>
        <v>0.90061949793588258</v>
      </c>
    </row>
    <row r="84" spans="1:34" ht="19.2" customHeight="1">
      <c r="A84" s="673"/>
      <c r="B84" s="110" t="s">
        <v>143</v>
      </c>
      <c r="C84" s="438"/>
      <c r="D84" s="189" t="s">
        <v>73</v>
      </c>
      <c r="E84" s="43"/>
      <c r="F84" s="368">
        <v>53.36</v>
      </c>
      <c r="G84" s="44">
        <v>5093.22</v>
      </c>
      <c r="H84" s="84">
        <f t="shared" si="54"/>
        <v>271774.21919999999</v>
      </c>
      <c r="I84" s="431"/>
      <c r="J84" s="87">
        <v>19</v>
      </c>
      <c r="K84" s="57">
        <v>1440</v>
      </c>
      <c r="L84" s="86">
        <v>75.78947368421052</v>
      </c>
      <c r="M84" s="440">
        <v>19</v>
      </c>
      <c r="N84" s="57">
        <f t="shared" si="55"/>
        <v>1300.396595744681</v>
      </c>
      <c r="O84" s="186">
        <f t="shared" si="56"/>
        <v>68.441926091825323</v>
      </c>
      <c r="P84" s="54">
        <f t="shared" si="57"/>
        <v>0</v>
      </c>
      <c r="Q84" s="88">
        <f t="shared" si="58"/>
        <v>-7.3475475923851974</v>
      </c>
      <c r="R84" s="188">
        <f t="shared" si="59"/>
        <v>0.90305319148936192</v>
      </c>
      <c r="S84" s="645"/>
      <c r="T84" s="50">
        <v>0.40763888888888888</v>
      </c>
      <c r="U84" s="50">
        <v>0.5708333333333333</v>
      </c>
      <c r="V84" s="431">
        <v>23</v>
      </c>
      <c r="W84" s="442">
        <f t="shared" si="60"/>
        <v>234.99999999999997</v>
      </c>
      <c r="X84" s="53">
        <v>0.39513888888888887</v>
      </c>
      <c r="Y84" s="53">
        <v>0.40486111111111112</v>
      </c>
      <c r="Z84" s="54"/>
      <c r="AA84" s="54"/>
      <c r="AB84" s="633"/>
      <c r="AC84" s="633"/>
      <c r="AD84" s="429"/>
      <c r="AE84" s="429"/>
      <c r="AF84" s="48">
        <f t="shared" si="61"/>
        <v>-139.60340425531899</v>
      </c>
      <c r="AG84" s="433">
        <f t="shared" si="62"/>
        <v>0.90305319148936181</v>
      </c>
      <c r="AH84" s="645"/>
    </row>
    <row r="85" spans="1:34" ht="19.2" customHeight="1">
      <c r="A85" s="673"/>
      <c r="B85" s="110" t="s">
        <v>147</v>
      </c>
      <c r="C85" s="123"/>
      <c r="D85" s="189" t="s">
        <v>254</v>
      </c>
      <c r="E85" s="43"/>
      <c r="F85" s="368">
        <v>54.09</v>
      </c>
      <c r="G85" s="44">
        <v>1940</v>
      </c>
      <c r="H85" s="84">
        <f t="shared" si="54"/>
        <v>104934.6</v>
      </c>
      <c r="I85" s="431"/>
      <c r="J85" s="87">
        <v>20</v>
      </c>
      <c r="K85" s="57">
        <v>1300</v>
      </c>
      <c r="L85" s="86">
        <v>65</v>
      </c>
      <c r="M85" s="440">
        <v>20</v>
      </c>
      <c r="N85" s="57">
        <f t="shared" si="55"/>
        <v>1119.2307692307697</v>
      </c>
      <c r="O85" s="186">
        <f t="shared" si="56"/>
        <v>55.961538461538488</v>
      </c>
      <c r="P85" s="54">
        <f t="shared" si="57"/>
        <v>0</v>
      </c>
      <c r="Q85" s="88">
        <f t="shared" si="58"/>
        <v>-9.0384615384615117</v>
      </c>
      <c r="R85" s="188">
        <f t="shared" si="59"/>
        <v>0.86094674556213058</v>
      </c>
      <c r="S85" s="645"/>
      <c r="T85" s="50">
        <v>0.61180555555555549</v>
      </c>
      <c r="U85" s="50">
        <v>0.68402777777777768</v>
      </c>
      <c r="V85" s="431">
        <v>6</v>
      </c>
      <c r="W85" s="442">
        <f t="shared" si="60"/>
        <v>103.99999999999994</v>
      </c>
      <c r="X85" s="53"/>
      <c r="Y85" s="53"/>
      <c r="Z85" s="54"/>
      <c r="AA85" s="54"/>
      <c r="AB85" s="633"/>
      <c r="AC85" s="633"/>
      <c r="AD85" s="429"/>
      <c r="AE85" s="429"/>
      <c r="AF85" s="48">
        <f t="shared" si="61"/>
        <v>-180.76923076923026</v>
      </c>
      <c r="AG85" s="433">
        <f t="shared" si="62"/>
        <v>0.86094674556213058</v>
      </c>
      <c r="AH85" s="645"/>
    </row>
    <row r="86" spans="1:34" ht="19.2" customHeight="1">
      <c r="A86" s="673"/>
      <c r="B86" s="110" t="s">
        <v>147</v>
      </c>
      <c r="C86" s="97"/>
      <c r="D86" s="189" t="s">
        <v>82</v>
      </c>
      <c r="E86" s="43"/>
      <c r="F86" s="368">
        <v>51.75</v>
      </c>
      <c r="G86" s="44">
        <v>915</v>
      </c>
      <c r="H86" s="84">
        <f t="shared" si="54"/>
        <v>47351.25</v>
      </c>
      <c r="I86" s="431"/>
      <c r="J86" s="87">
        <v>21</v>
      </c>
      <c r="K86" s="57">
        <v>1500</v>
      </c>
      <c r="L86" s="86">
        <v>71.428571428571431</v>
      </c>
      <c r="M86" s="440">
        <v>21</v>
      </c>
      <c r="N86" s="57">
        <f t="shared" si="55"/>
        <v>1339.024390243902</v>
      </c>
      <c r="O86" s="186">
        <f t="shared" si="56"/>
        <v>63.76306620209057</v>
      </c>
      <c r="P86" s="54">
        <f t="shared" si="57"/>
        <v>0</v>
      </c>
      <c r="Q86" s="88">
        <f t="shared" si="58"/>
        <v>-7.6655052264808603</v>
      </c>
      <c r="R86" s="188">
        <f t="shared" si="59"/>
        <v>0.89268292682926798</v>
      </c>
      <c r="S86" s="645"/>
      <c r="T86" s="50">
        <v>0.6993055555555554</v>
      </c>
      <c r="U86" s="50">
        <v>0.72777777777777763</v>
      </c>
      <c r="V86" s="431">
        <v>22</v>
      </c>
      <c r="W86" s="442">
        <f t="shared" si="60"/>
        <v>41.000000000000014</v>
      </c>
      <c r="X86" s="53">
        <v>0.6875</v>
      </c>
      <c r="Y86" s="53">
        <v>0.69652777777777775</v>
      </c>
      <c r="Z86" s="54"/>
      <c r="AA86" s="54"/>
      <c r="AB86" s="633"/>
      <c r="AC86" s="633"/>
      <c r="AD86" s="429"/>
      <c r="AE86" s="429"/>
      <c r="AF86" s="48">
        <f t="shared" si="61"/>
        <v>-160.97560975609804</v>
      </c>
      <c r="AG86" s="433">
        <f t="shared" si="62"/>
        <v>0.89268292682926798</v>
      </c>
      <c r="AH86" s="645"/>
    </row>
    <row r="87" spans="1:34" ht="19.2" customHeight="1">
      <c r="A87" s="673"/>
      <c r="B87" s="110" t="s">
        <v>143</v>
      </c>
      <c r="C87" s="97"/>
      <c r="D87" s="189" t="s">
        <v>73</v>
      </c>
      <c r="E87" s="43"/>
      <c r="F87" s="368">
        <v>53.36</v>
      </c>
      <c r="G87" s="44">
        <v>2623.78</v>
      </c>
      <c r="H87" s="84">
        <f t="shared" si="54"/>
        <v>140004.9008</v>
      </c>
      <c r="I87" s="431">
        <v>1</v>
      </c>
      <c r="J87" s="87">
        <v>19</v>
      </c>
      <c r="K87" s="57">
        <v>1440</v>
      </c>
      <c r="L87" s="86">
        <v>75.78947368421052</v>
      </c>
      <c r="M87" s="440">
        <v>19</v>
      </c>
      <c r="N87" s="57">
        <f t="shared" si="55"/>
        <v>1301.047933884297</v>
      </c>
      <c r="O87" s="186">
        <f t="shared" si="56"/>
        <v>68.476207046541944</v>
      </c>
      <c r="P87" s="54">
        <f t="shared" si="57"/>
        <v>0</v>
      </c>
      <c r="Q87" s="88">
        <f t="shared" si="58"/>
        <v>-7.3132666376685762</v>
      </c>
      <c r="R87" s="188">
        <f t="shared" si="59"/>
        <v>0.90350550964187293</v>
      </c>
      <c r="S87" s="645"/>
      <c r="T87" s="50">
        <v>0.73263888888888873</v>
      </c>
      <c r="U87" s="50">
        <v>0.81666666666666654</v>
      </c>
      <c r="V87" s="431">
        <v>7</v>
      </c>
      <c r="W87" s="442">
        <f t="shared" si="60"/>
        <v>121.00000000000006</v>
      </c>
      <c r="X87" s="53"/>
      <c r="Y87" s="53"/>
      <c r="Z87" s="54"/>
      <c r="AA87" s="54"/>
      <c r="AB87" s="633"/>
      <c r="AC87" s="633"/>
      <c r="AD87" s="429">
        <v>1</v>
      </c>
      <c r="AE87" s="429"/>
      <c r="AF87" s="48">
        <f t="shared" si="61"/>
        <v>-138.95206611570302</v>
      </c>
      <c r="AG87" s="433">
        <f t="shared" si="62"/>
        <v>0.90350550964187293</v>
      </c>
      <c r="AH87" s="645"/>
    </row>
    <row r="88" spans="1:34" ht="19.2" customHeight="1">
      <c r="A88" s="673"/>
      <c r="B88" s="110" t="s">
        <v>147</v>
      </c>
      <c r="C88" s="438"/>
      <c r="D88" s="189" t="s">
        <v>254</v>
      </c>
      <c r="E88" s="43"/>
      <c r="F88" s="368">
        <v>54.09</v>
      </c>
      <c r="G88" s="57">
        <v>485</v>
      </c>
      <c r="H88" s="84">
        <f t="shared" si="54"/>
        <v>26233.65</v>
      </c>
      <c r="I88" s="431">
        <v>1</v>
      </c>
      <c r="J88" s="87">
        <v>20</v>
      </c>
      <c r="K88" s="57">
        <v>1300</v>
      </c>
      <c r="L88" s="86">
        <v>65</v>
      </c>
      <c r="M88" s="440">
        <v>20</v>
      </c>
      <c r="N88" s="57">
        <f t="shared" si="55"/>
        <v>1119.2307692307663</v>
      </c>
      <c r="O88" s="186">
        <f t="shared" si="56"/>
        <v>55.961538461538318</v>
      </c>
      <c r="P88" s="54">
        <f t="shared" si="57"/>
        <v>0</v>
      </c>
      <c r="Q88" s="88">
        <f t="shared" si="58"/>
        <v>-9.0384615384616822</v>
      </c>
      <c r="R88" s="188">
        <f t="shared" si="59"/>
        <v>0.86094674556212791</v>
      </c>
      <c r="S88" s="645"/>
      <c r="T88" s="50">
        <v>0.82222222222222208</v>
      </c>
      <c r="U88" s="50">
        <v>0.84027777777777768</v>
      </c>
      <c r="V88" s="431">
        <v>8</v>
      </c>
      <c r="W88" s="442">
        <f t="shared" si="60"/>
        <v>26.000000000000068</v>
      </c>
      <c r="X88" s="53"/>
      <c r="Y88" s="53"/>
      <c r="Z88" s="54"/>
      <c r="AA88" s="54"/>
      <c r="AB88" s="633"/>
      <c r="AC88" s="633"/>
      <c r="AD88" s="429"/>
      <c r="AE88" s="429"/>
      <c r="AF88" s="48">
        <f t="shared" si="61"/>
        <v>-180.76923076923367</v>
      </c>
      <c r="AG88" s="433">
        <f t="shared" si="62"/>
        <v>0.86094674556212791</v>
      </c>
      <c r="AH88" s="645"/>
    </row>
    <row r="89" spans="1:34" ht="19.2" customHeight="1">
      <c r="A89" s="673"/>
      <c r="B89" s="110">
        <v>0</v>
      </c>
      <c r="C89" s="438"/>
      <c r="D89" s="42"/>
      <c r="E89" s="43"/>
      <c r="F89" s="368" t="s">
        <v>148</v>
      </c>
      <c r="G89" s="115"/>
      <c r="H89" s="84">
        <f t="shared" si="54"/>
        <v>0</v>
      </c>
      <c r="I89" s="431"/>
      <c r="J89" s="87"/>
      <c r="K89" s="57"/>
      <c r="L89" s="86"/>
      <c r="M89" s="440"/>
      <c r="N89" s="57"/>
      <c r="O89" s="186"/>
      <c r="P89" s="54"/>
      <c r="Q89" s="88"/>
      <c r="R89" s="188"/>
      <c r="S89" s="645"/>
      <c r="T89" s="50"/>
      <c r="U89" s="50"/>
      <c r="V89" s="431"/>
      <c r="W89" s="442">
        <f t="shared" si="60"/>
        <v>0</v>
      </c>
      <c r="X89" s="53"/>
      <c r="Y89" s="53"/>
      <c r="Z89" s="54"/>
      <c r="AA89" s="54"/>
      <c r="AB89" s="633"/>
      <c r="AC89" s="633"/>
      <c r="AD89" s="429"/>
      <c r="AE89" s="429"/>
      <c r="AF89" s="48">
        <f t="shared" si="61"/>
        <v>0</v>
      </c>
      <c r="AG89" s="433" t="e">
        <f t="shared" si="62"/>
        <v>#DIV/0!</v>
      </c>
      <c r="AH89" s="645"/>
    </row>
    <row r="90" spans="1:34" ht="19.2" customHeight="1">
      <c r="A90" s="673"/>
      <c r="B90" s="110">
        <v>0</v>
      </c>
      <c r="C90" s="438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440"/>
      <c r="N90" s="57"/>
      <c r="O90" s="186"/>
      <c r="P90" s="54"/>
      <c r="Q90" s="88"/>
      <c r="R90" s="188"/>
      <c r="S90" s="645"/>
      <c r="T90" s="50"/>
      <c r="U90" s="50"/>
      <c r="V90" s="431"/>
      <c r="W90" s="442">
        <f t="shared" si="60"/>
        <v>0</v>
      </c>
      <c r="X90" s="191"/>
      <c r="Y90" s="191"/>
      <c r="Z90" s="54"/>
      <c r="AA90" s="54"/>
      <c r="AB90" s="633"/>
      <c r="AC90" s="633"/>
      <c r="AD90" s="429"/>
      <c r="AE90" s="429"/>
      <c r="AF90" s="48">
        <f t="shared" si="61"/>
        <v>0</v>
      </c>
      <c r="AG90" s="433" t="e">
        <f t="shared" si="62"/>
        <v>#DIV/0!</v>
      </c>
      <c r="AH90" s="645"/>
    </row>
    <row r="91" spans="1:34" ht="19.2" customHeight="1">
      <c r="A91" s="673"/>
      <c r="B91" s="110">
        <v>0</v>
      </c>
      <c r="C91" s="438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440" t="s">
        <v>15</v>
      </c>
      <c r="N91" s="57"/>
      <c r="O91" s="186"/>
      <c r="P91" s="54"/>
      <c r="Q91" s="88"/>
      <c r="R91" s="188"/>
      <c r="S91" s="646"/>
      <c r="T91" s="50"/>
      <c r="U91" s="50"/>
      <c r="V91" s="431"/>
      <c r="W91" s="442">
        <f t="shared" si="60"/>
        <v>0</v>
      </c>
      <c r="X91" s="116"/>
      <c r="Y91" s="116"/>
      <c r="Z91" s="54"/>
      <c r="AA91" s="54"/>
      <c r="AB91" s="633"/>
      <c r="AC91" s="633"/>
      <c r="AD91" s="429"/>
      <c r="AE91" s="429"/>
      <c r="AF91" s="48">
        <f t="shared" si="61"/>
        <v>0</v>
      </c>
      <c r="AG91" s="433" t="e">
        <f t="shared" si="62"/>
        <v>#DIV/0!</v>
      </c>
      <c r="AH91" s="646"/>
    </row>
    <row r="92" spans="1:34" ht="19.2" customHeight="1">
      <c r="A92" s="673"/>
      <c r="B92" s="110">
        <v>0</v>
      </c>
      <c r="C92" s="438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646"/>
      <c r="T92" s="50"/>
      <c r="U92" s="50"/>
      <c r="V92" s="431"/>
      <c r="W92" s="442">
        <f t="shared" si="60"/>
        <v>0</v>
      </c>
      <c r="X92" s="183"/>
      <c r="Y92" s="183"/>
      <c r="Z92" s="125"/>
      <c r="AA92" s="125"/>
      <c r="AB92" s="633"/>
      <c r="AC92" s="633"/>
      <c r="AD92" s="429"/>
      <c r="AE92" s="429"/>
      <c r="AF92" s="48">
        <f t="shared" si="61"/>
        <v>0</v>
      </c>
      <c r="AG92" s="433" t="e">
        <f t="shared" si="62"/>
        <v>#DIV/0!</v>
      </c>
      <c r="AH92" s="646"/>
    </row>
    <row r="93" spans="1:34" ht="19.2" customHeight="1">
      <c r="A93" s="673"/>
      <c r="B93" s="444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440"/>
      <c r="N93" s="57"/>
      <c r="O93" s="86"/>
      <c r="P93" s="54"/>
      <c r="Q93" s="88"/>
      <c r="R93" s="430"/>
      <c r="S93" s="674"/>
      <c r="T93" s="63"/>
      <c r="U93" s="63"/>
      <c r="V93" s="444"/>
      <c r="W93" s="442">
        <f t="shared" si="60"/>
        <v>0</v>
      </c>
      <c r="X93" s="200"/>
      <c r="Y93" s="200"/>
      <c r="Z93" s="125"/>
      <c r="AA93" s="125"/>
      <c r="AB93" s="633"/>
      <c r="AC93" s="633"/>
      <c r="AD93" s="429"/>
      <c r="AE93" s="429"/>
      <c r="AF93" s="48">
        <f t="shared" si="61"/>
        <v>0</v>
      </c>
      <c r="AG93" s="433" t="e">
        <f t="shared" si="62"/>
        <v>#DIV/0!</v>
      </c>
      <c r="AH93" s="646"/>
    </row>
    <row r="94" spans="1:34" ht="19.2" customHeight="1">
      <c r="A94" s="673"/>
      <c r="B94" s="444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0"/>
      <c r="S94" s="674"/>
      <c r="T94" s="63"/>
      <c r="U94" s="63"/>
      <c r="V94" s="444"/>
      <c r="W94" s="442">
        <f>(U94-T94)*24*60</f>
        <v>0</v>
      </c>
      <c r="X94" s="200"/>
      <c r="Y94" s="200"/>
      <c r="Z94" s="125"/>
      <c r="AA94" s="125"/>
      <c r="AB94" s="633"/>
      <c r="AC94" s="633"/>
      <c r="AD94" s="429"/>
      <c r="AE94" s="429"/>
      <c r="AF94" s="48">
        <f t="shared" si="61"/>
        <v>0</v>
      </c>
      <c r="AG94" s="433" t="e">
        <f t="shared" si="62"/>
        <v>#DIV/0!</v>
      </c>
      <c r="AH94" s="646"/>
    </row>
    <row r="95" spans="1:34" ht="19.2" customHeight="1">
      <c r="A95" s="673"/>
      <c r="B95" s="203">
        <v>0</v>
      </c>
      <c r="C95" s="100" t="s">
        <v>236</v>
      </c>
      <c r="D95" s="660" t="s">
        <v>120</v>
      </c>
      <c r="E95" s="660"/>
      <c r="F95" s="362"/>
      <c r="G95" s="70"/>
      <c r="H95" s="204"/>
      <c r="I95" s="103"/>
      <c r="J95" s="205">
        <v>19.166666666666668</v>
      </c>
      <c r="K95" s="205">
        <v>1403.3333333333333</v>
      </c>
      <c r="L95" s="206">
        <v>73.834586466165419</v>
      </c>
      <c r="M95" s="205">
        <f t="shared" ref="M95:O95" si="63">AVERAGE(M83:M94)</f>
        <v>19.166666666666668</v>
      </c>
      <c r="N95" s="205">
        <f t="shared" si="63"/>
        <v>1263.8693621033551</v>
      </c>
      <c r="O95" s="206">
        <f t="shared" si="63"/>
        <v>66.728688901065297</v>
      </c>
      <c r="P95" s="207">
        <f>M95-J95</f>
        <v>0</v>
      </c>
      <c r="Q95" s="208">
        <f t="shared" ref="Q95:Q104" si="64">O95-L95</f>
        <v>-7.1058975651001219</v>
      </c>
      <c r="R95" s="209">
        <f>O95/L95</f>
        <v>0.90375922849711643</v>
      </c>
      <c r="S95" s="646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33"/>
      <c r="AC95" s="633"/>
      <c r="AD95" s="107">
        <f>SUM(AD83:AD94)</f>
        <v>1</v>
      </c>
      <c r="AE95" s="107">
        <f>SUM(AE83:AE94)</f>
        <v>0</v>
      </c>
      <c r="AF95" s="65">
        <f t="shared" si="61"/>
        <v>-139.46397122997814</v>
      </c>
      <c r="AG95" s="434">
        <f t="shared" si="62"/>
        <v>0.90061949793588258</v>
      </c>
      <c r="AH95" s="646"/>
    </row>
    <row r="96" spans="1:34" ht="19.2" customHeight="1">
      <c r="A96" s="675" t="s">
        <v>175</v>
      </c>
      <c r="B96" s="431">
        <v>0</v>
      </c>
      <c r="C96" s="97"/>
      <c r="D96" s="42" t="s">
        <v>176</v>
      </c>
      <c r="E96" s="43"/>
      <c r="F96" s="361">
        <v>36.92</v>
      </c>
      <c r="G96" s="44">
        <v>3185</v>
      </c>
      <c r="H96" s="45">
        <f t="shared" ref="H96:H106" si="65">F96*G96</f>
        <v>117590.20000000001</v>
      </c>
      <c r="I96" s="431"/>
      <c r="J96" s="46">
        <v>6</v>
      </c>
      <c r="K96" s="44">
        <v>1636</v>
      </c>
      <c r="L96" s="47">
        <v>272.66666666666669</v>
      </c>
      <c r="M96" s="443">
        <v>6</v>
      </c>
      <c r="N96" s="44">
        <f t="shared" ref="N96:N104" si="66">G96/W96*60</f>
        <v>1541.1290322580651</v>
      </c>
      <c r="O96" s="47">
        <f t="shared" ref="O96:O104" si="67">N96/M96</f>
        <v>256.85483870967749</v>
      </c>
      <c r="P96" s="48">
        <f t="shared" ref="P96:P104" si="68">M96-J96</f>
        <v>0</v>
      </c>
      <c r="Q96" s="49">
        <f t="shared" si="64"/>
        <v>-15.811827956989191</v>
      </c>
      <c r="R96" s="433">
        <f t="shared" ref="R96:R104" si="69">O96/L96</f>
        <v>0.9420104109156876</v>
      </c>
      <c r="S96" s="645">
        <f>R108</f>
        <v>0.92622621388691873</v>
      </c>
      <c r="T96" s="89">
        <v>0.33333333333333331</v>
      </c>
      <c r="U96" s="89">
        <v>0.4194444444444444</v>
      </c>
      <c r="V96" s="429">
        <v>5</v>
      </c>
      <c r="W96" s="90">
        <f t="shared" ref="W96:W133" si="70">(U96-T96)*24*60</f>
        <v>123.99999999999996</v>
      </c>
      <c r="X96" s="96"/>
      <c r="Y96" s="96"/>
      <c r="Z96" s="54"/>
      <c r="AA96" s="54"/>
      <c r="AB96" s="633"/>
      <c r="AC96" s="633"/>
      <c r="AD96" s="429"/>
      <c r="AE96" s="429"/>
      <c r="AF96" s="54">
        <f t="shared" si="61"/>
        <v>-94.870967741934919</v>
      </c>
      <c r="AG96" s="430">
        <f t="shared" si="62"/>
        <v>0.94201041091568771</v>
      </c>
      <c r="AH96" s="654">
        <f>AG108</f>
        <v>0.89626006222228627</v>
      </c>
    </row>
    <row r="97" spans="1:34" s="218" customFormat="1" ht="19.2" customHeight="1">
      <c r="A97" s="675"/>
      <c r="B97" s="431" t="s">
        <v>145</v>
      </c>
      <c r="C97" s="210"/>
      <c r="D97" s="211" t="s">
        <v>65</v>
      </c>
      <c r="E97" s="56"/>
      <c r="F97" s="372">
        <v>29.113149847094796</v>
      </c>
      <c r="G97" s="212">
        <v>2417.4</v>
      </c>
      <c r="H97" s="213">
        <f t="shared" si="65"/>
        <v>70378.128440366956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1330.6788990825685</v>
      </c>
      <c r="O97" s="47">
        <f t="shared" si="67"/>
        <v>73.926605504587144</v>
      </c>
      <c r="P97" s="48">
        <f t="shared" si="68"/>
        <v>-2</v>
      </c>
      <c r="Q97" s="49">
        <f t="shared" si="64"/>
        <v>-1.073394495412856</v>
      </c>
      <c r="R97" s="433">
        <f t="shared" si="69"/>
        <v>0.98568807339449527</v>
      </c>
      <c r="S97" s="645"/>
      <c r="T97" s="214">
        <v>0.43472222222222218</v>
      </c>
      <c r="U97" s="214">
        <v>0.51041666666666663</v>
      </c>
      <c r="V97" s="215">
        <v>22</v>
      </c>
      <c r="W97" s="90">
        <f t="shared" si="70"/>
        <v>109.00000000000001</v>
      </c>
      <c r="X97" s="53">
        <v>0.42499999999999999</v>
      </c>
      <c r="Y97" s="53">
        <v>0.43402777777777773</v>
      </c>
      <c r="Z97" s="54"/>
      <c r="AA97" s="54"/>
      <c r="AB97" s="633"/>
      <c r="AC97" s="633"/>
      <c r="AD97" s="215"/>
      <c r="AE97" s="215"/>
      <c r="AF97" s="216">
        <f t="shared" si="61"/>
        <v>-169.32110091743152</v>
      </c>
      <c r="AG97" s="217">
        <f t="shared" si="62"/>
        <v>0.88711926605504565</v>
      </c>
      <c r="AH97" s="654"/>
    </row>
    <row r="98" spans="1:34" s="221" customFormat="1" ht="19.2" customHeight="1">
      <c r="A98" s="675"/>
      <c r="B98" s="431" t="s">
        <v>143</v>
      </c>
      <c r="C98" s="55"/>
      <c r="D98" s="42" t="s">
        <v>235</v>
      </c>
      <c r="E98" s="83"/>
      <c r="F98" s="372">
        <v>77.349999999999994</v>
      </c>
      <c r="G98" s="57">
        <v>683</v>
      </c>
      <c r="H98" s="213">
        <f t="shared" si="65"/>
        <v>52830.049999999996</v>
      </c>
      <c r="I98" s="42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1280.6249999999982</v>
      </c>
      <c r="O98" s="47">
        <f t="shared" si="67"/>
        <v>71.145833333333229</v>
      </c>
      <c r="P98" s="48">
        <f t="shared" si="68"/>
        <v>-1</v>
      </c>
      <c r="Q98" s="49">
        <f t="shared" si="64"/>
        <v>-4.6436403508772912</v>
      </c>
      <c r="R98" s="433">
        <f t="shared" si="69"/>
        <v>0.93872974537036902</v>
      </c>
      <c r="S98" s="645"/>
      <c r="T98" s="89">
        <v>0.54999999999999993</v>
      </c>
      <c r="U98" s="89">
        <v>0.57222222222222219</v>
      </c>
      <c r="V98" s="429">
        <v>6</v>
      </c>
      <c r="W98" s="90">
        <f t="shared" si="70"/>
        <v>32.000000000000043</v>
      </c>
      <c r="X98" s="219"/>
      <c r="Y98" s="219"/>
      <c r="Z98" s="220"/>
      <c r="AA98" s="220"/>
      <c r="AB98" s="633"/>
      <c r="AC98" s="633"/>
      <c r="AD98" s="429"/>
      <c r="AE98" s="429"/>
      <c r="AF98" s="54">
        <f t="shared" si="61"/>
        <v>-159.37500000000182</v>
      </c>
      <c r="AG98" s="430">
        <f t="shared" si="62"/>
        <v>0.88932291666666541</v>
      </c>
      <c r="AH98" s="654"/>
    </row>
    <row r="99" spans="1:34" ht="19.2" customHeight="1">
      <c r="A99" s="675"/>
      <c r="B99" s="431" t="s">
        <v>143</v>
      </c>
      <c r="C99" s="81"/>
      <c r="D99" s="82" t="s">
        <v>58</v>
      </c>
      <c r="E99" s="83"/>
      <c r="F99" s="372">
        <v>77.34</v>
      </c>
      <c r="G99" s="57">
        <v>1084</v>
      </c>
      <c r="H99" s="213">
        <f t="shared" si="65"/>
        <v>83836.56</v>
      </c>
      <c r="I99" s="429"/>
      <c r="J99" s="46">
        <v>18</v>
      </c>
      <c r="K99" s="44">
        <v>1440</v>
      </c>
      <c r="L99" s="47">
        <v>80</v>
      </c>
      <c r="M99" s="443">
        <v>18</v>
      </c>
      <c r="N99" s="44">
        <f t="shared" si="66"/>
        <v>1275.2941176470595</v>
      </c>
      <c r="O99" s="47">
        <f t="shared" si="67"/>
        <v>70.849673202614412</v>
      </c>
      <c r="P99" s="48">
        <f t="shared" si="68"/>
        <v>0</v>
      </c>
      <c r="Q99" s="49">
        <f t="shared" si="64"/>
        <v>-9.1503267973855884</v>
      </c>
      <c r="R99" s="433">
        <f t="shared" si="69"/>
        <v>0.88562091503268014</v>
      </c>
      <c r="S99" s="645"/>
      <c r="T99" s="89">
        <v>0.57777777777777772</v>
      </c>
      <c r="U99" s="89">
        <v>0.61319444444444438</v>
      </c>
      <c r="V99" s="429">
        <v>8</v>
      </c>
      <c r="W99" s="90">
        <f t="shared" si="70"/>
        <v>50.999999999999979</v>
      </c>
      <c r="X99" s="183"/>
      <c r="Y99" s="183"/>
      <c r="Z99" s="125"/>
      <c r="AA99" s="125"/>
      <c r="AB99" s="633"/>
      <c r="AC99" s="633"/>
      <c r="AD99" s="429"/>
      <c r="AE99" s="429"/>
      <c r="AF99" s="216">
        <f t="shared" si="61"/>
        <v>-164.70588235294053</v>
      </c>
      <c r="AG99" s="217">
        <f t="shared" si="62"/>
        <v>0.88562091503268014</v>
      </c>
      <c r="AH99" s="654"/>
    </row>
    <row r="100" spans="1:34" s="221" customFormat="1" ht="19.2" customHeight="1">
      <c r="A100" s="675"/>
      <c r="B100" s="431" t="s">
        <v>143</v>
      </c>
      <c r="C100" s="55"/>
      <c r="D100" s="42" t="s">
        <v>56</v>
      </c>
      <c r="E100" s="83"/>
      <c r="F100" s="372">
        <v>59.34</v>
      </c>
      <c r="G100" s="57">
        <v>818</v>
      </c>
      <c r="H100" s="213">
        <f t="shared" si="65"/>
        <v>48540.12</v>
      </c>
      <c r="I100" s="429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1291.5789473684201</v>
      </c>
      <c r="O100" s="47">
        <f t="shared" si="67"/>
        <v>75.975232198142365</v>
      </c>
      <c r="P100" s="48">
        <f t="shared" si="68"/>
        <v>0</v>
      </c>
      <c r="Q100" s="49">
        <f t="shared" si="64"/>
        <v>-8.7306501547988091</v>
      </c>
      <c r="R100" s="433">
        <f t="shared" si="69"/>
        <v>0.89692982456140291</v>
      </c>
      <c r="S100" s="645"/>
      <c r="T100" s="214">
        <v>0.61805555555555547</v>
      </c>
      <c r="U100" s="214">
        <v>0.64444444444444438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633"/>
      <c r="AC100" s="633"/>
      <c r="AD100" s="429"/>
      <c r="AE100" s="429"/>
      <c r="AF100" s="54">
        <f t="shared" si="61"/>
        <v>-148.42105263157987</v>
      </c>
      <c r="AG100" s="430">
        <f t="shared" si="62"/>
        <v>0.89692982456140291</v>
      </c>
      <c r="AH100" s="654"/>
    </row>
    <row r="101" spans="1:34" s="221" customFormat="1" ht="19.2" customHeight="1">
      <c r="A101" s="675"/>
      <c r="B101" s="431" t="s">
        <v>143</v>
      </c>
      <c r="C101" s="55"/>
      <c r="D101" s="82" t="s">
        <v>57</v>
      </c>
      <c r="E101" s="83"/>
      <c r="F101" s="372">
        <v>71.55</v>
      </c>
      <c r="G101" s="57">
        <v>981</v>
      </c>
      <c r="H101" s="213">
        <f t="shared" si="65"/>
        <v>70190.55</v>
      </c>
      <c r="I101" s="42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1226.2500000000005</v>
      </c>
      <c r="O101" s="47">
        <f t="shared" si="67"/>
        <v>68.125000000000028</v>
      </c>
      <c r="P101" s="48">
        <f t="shared" si="68"/>
        <v>0</v>
      </c>
      <c r="Q101" s="49">
        <f t="shared" si="64"/>
        <v>-8.8194444444444144</v>
      </c>
      <c r="R101" s="433">
        <f t="shared" si="69"/>
        <v>0.88537906137184152</v>
      </c>
      <c r="S101" s="645"/>
      <c r="T101" s="214">
        <v>0.66041666666666665</v>
      </c>
      <c r="U101" s="89">
        <v>0.69374999999999998</v>
      </c>
      <c r="V101" s="215">
        <v>23</v>
      </c>
      <c r="W101" s="90">
        <f t="shared" si="70"/>
        <v>47.999999999999986</v>
      </c>
      <c r="X101" s="223">
        <v>0.64861111111111114</v>
      </c>
      <c r="Y101" s="223">
        <v>0.65972222222222221</v>
      </c>
      <c r="Z101" s="220"/>
      <c r="AA101" s="220"/>
      <c r="AB101" s="633"/>
      <c r="AC101" s="633"/>
      <c r="AD101" s="429"/>
      <c r="AE101" s="429"/>
      <c r="AF101" s="216">
        <f t="shared" si="61"/>
        <v>-158.74999999999955</v>
      </c>
      <c r="AG101" s="217">
        <f t="shared" si="62"/>
        <v>0.88537906137184152</v>
      </c>
      <c r="AH101" s="654"/>
    </row>
    <row r="102" spans="1:34" s="221" customFormat="1" ht="19.2" customHeight="1">
      <c r="A102" s="675"/>
      <c r="B102" s="431" t="s">
        <v>145</v>
      </c>
      <c r="C102" s="178"/>
      <c r="D102" s="179" t="s">
        <v>65</v>
      </c>
      <c r="E102" s="180"/>
      <c r="F102" s="372">
        <v>29.113149847094796</v>
      </c>
      <c r="G102" s="57">
        <v>1611.6000000000001</v>
      </c>
      <c r="H102" s="213">
        <f t="shared" si="65"/>
        <v>46918.752293577978</v>
      </c>
      <c r="I102" s="431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1324.6027397260266</v>
      </c>
      <c r="O102" s="47">
        <f t="shared" si="67"/>
        <v>73.589041095890366</v>
      </c>
      <c r="P102" s="48">
        <f t="shared" si="68"/>
        <v>-2</v>
      </c>
      <c r="Q102" s="49">
        <f t="shared" si="64"/>
        <v>-1.4109589041096342</v>
      </c>
      <c r="R102" s="433">
        <f t="shared" si="69"/>
        <v>0.98118721461187153</v>
      </c>
      <c r="S102" s="645"/>
      <c r="T102" s="214">
        <v>0.69861111111111107</v>
      </c>
      <c r="U102" s="214">
        <v>0.74930555555555556</v>
      </c>
      <c r="V102" s="215">
        <v>7</v>
      </c>
      <c r="W102" s="90">
        <f t="shared" si="70"/>
        <v>73.000000000000057</v>
      </c>
      <c r="X102" s="223"/>
      <c r="Y102" s="223"/>
      <c r="Z102" s="220"/>
      <c r="AA102" s="220"/>
      <c r="AB102" s="633"/>
      <c r="AC102" s="633"/>
      <c r="AD102" s="429"/>
      <c r="AE102" s="429"/>
      <c r="AF102" s="54">
        <f t="shared" si="61"/>
        <v>-175.39726027397342</v>
      </c>
      <c r="AG102" s="430">
        <f t="shared" si="62"/>
        <v>0.88306849315068436</v>
      </c>
      <c r="AH102" s="654"/>
    </row>
    <row r="103" spans="1:34" s="221" customFormat="1" ht="19.2" customHeight="1">
      <c r="A103" s="675"/>
      <c r="B103" s="431" t="s">
        <v>143</v>
      </c>
      <c r="C103" s="224"/>
      <c r="D103" s="82" t="s">
        <v>58</v>
      </c>
      <c r="E103" s="83"/>
      <c r="F103" s="372">
        <v>77.34</v>
      </c>
      <c r="G103" s="57">
        <v>271</v>
      </c>
      <c r="H103" s="213">
        <f t="shared" si="65"/>
        <v>20959.14</v>
      </c>
      <c r="I103" s="225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1250.7692307692353</v>
      </c>
      <c r="O103" s="47">
        <f t="shared" si="67"/>
        <v>69.487179487179731</v>
      </c>
      <c r="P103" s="48">
        <f t="shared" si="68"/>
        <v>0</v>
      </c>
      <c r="Q103" s="49">
        <f t="shared" si="64"/>
        <v>-10.512820512820269</v>
      </c>
      <c r="R103" s="433">
        <f t="shared" si="69"/>
        <v>0.86858974358974661</v>
      </c>
      <c r="S103" s="645"/>
      <c r="T103" s="214">
        <v>0.75486111111111109</v>
      </c>
      <c r="U103" s="214">
        <v>0.76388888888888884</v>
      </c>
      <c r="V103" s="215">
        <v>8</v>
      </c>
      <c r="W103" s="90">
        <f t="shared" si="70"/>
        <v>12.999999999999954</v>
      </c>
      <c r="X103" s="223"/>
      <c r="Y103" s="223"/>
      <c r="Z103" s="220"/>
      <c r="AA103" s="220"/>
      <c r="AB103" s="633"/>
      <c r="AC103" s="633"/>
      <c r="AD103" s="429"/>
      <c r="AE103" s="429"/>
      <c r="AF103" s="54">
        <f t="shared" si="61"/>
        <v>-189.23076923076474</v>
      </c>
      <c r="AG103" s="430">
        <f t="shared" si="62"/>
        <v>0.86858974358974672</v>
      </c>
      <c r="AH103" s="654"/>
    </row>
    <row r="104" spans="1:34" s="221" customFormat="1" ht="19.2" customHeight="1">
      <c r="A104" s="675"/>
      <c r="B104" s="431" t="s">
        <v>143</v>
      </c>
      <c r="C104" s="438"/>
      <c r="D104" s="42" t="s">
        <v>248</v>
      </c>
      <c r="E104" s="43"/>
      <c r="F104" s="361">
        <v>61.02</v>
      </c>
      <c r="G104" s="177">
        <v>841.40000000000009</v>
      </c>
      <c r="H104" s="45">
        <f t="shared" si="65"/>
        <v>51342.22800000001</v>
      </c>
      <c r="I104" s="429">
        <v>1</v>
      </c>
      <c r="J104" s="46">
        <v>15</v>
      </c>
      <c r="K104" s="177">
        <v>1440</v>
      </c>
      <c r="L104" s="47">
        <v>96</v>
      </c>
      <c r="M104" s="440">
        <v>15</v>
      </c>
      <c r="N104" s="44">
        <f t="shared" si="66"/>
        <v>1328.5263157894728</v>
      </c>
      <c r="O104" s="47">
        <f t="shared" si="67"/>
        <v>88.568421052631521</v>
      </c>
      <c r="P104" s="48">
        <f t="shared" si="68"/>
        <v>0</v>
      </c>
      <c r="Q104" s="49">
        <f t="shared" si="64"/>
        <v>-7.4315789473684788</v>
      </c>
      <c r="R104" s="433">
        <f t="shared" si="69"/>
        <v>0.92258771929824501</v>
      </c>
      <c r="S104" s="646"/>
      <c r="T104" s="214">
        <v>0.76874999999999993</v>
      </c>
      <c r="U104" s="214">
        <v>0.79513888888888884</v>
      </c>
      <c r="V104" s="215">
        <v>7</v>
      </c>
      <c r="W104" s="90">
        <f t="shared" si="70"/>
        <v>38.000000000000028</v>
      </c>
      <c r="X104" s="223"/>
      <c r="Y104" s="223"/>
      <c r="Z104" s="220"/>
      <c r="AA104" s="220"/>
      <c r="AB104" s="633"/>
      <c r="AC104" s="633"/>
      <c r="AD104" s="429"/>
      <c r="AE104" s="429"/>
      <c r="AF104" s="216">
        <f t="shared" si="61"/>
        <v>-111.47368421052715</v>
      </c>
      <c r="AG104" s="217">
        <f t="shared" si="62"/>
        <v>0.92258771929824501</v>
      </c>
      <c r="AH104" s="654"/>
    </row>
    <row r="105" spans="1:34" s="221" customFormat="1" ht="19.2" customHeight="1">
      <c r="A105" s="675"/>
      <c r="B105" s="431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33"/>
      <c r="S105" s="646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33"/>
      <c r="AC105" s="633"/>
      <c r="AD105" s="429"/>
      <c r="AE105" s="429"/>
      <c r="AF105" s="54">
        <f t="shared" si="61"/>
        <v>0</v>
      </c>
      <c r="AG105" s="430" t="e">
        <f t="shared" si="62"/>
        <v>#DIV/0!</v>
      </c>
      <c r="AH105" s="654"/>
    </row>
    <row r="106" spans="1:34" s="221" customFormat="1" ht="19.2" customHeight="1">
      <c r="A106" s="675"/>
      <c r="B106" s="431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0"/>
      <c r="S106" s="674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33"/>
      <c r="AC106" s="633"/>
      <c r="AD106" s="429"/>
      <c r="AE106" s="429"/>
      <c r="AF106" s="54">
        <f t="shared" si="61"/>
        <v>0</v>
      </c>
      <c r="AG106" s="430" t="e">
        <f t="shared" si="62"/>
        <v>#DIV/0!</v>
      </c>
      <c r="AH106" s="654"/>
    </row>
    <row r="107" spans="1:34" s="221" customFormat="1" ht="19.2" customHeight="1">
      <c r="A107" s="675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0"/>
      <c r="S107" s="674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33"/>
      <c r="AC107" s="633"/>
      <c r="AD107" s="429"/>
      <c r="AE107" s="429"/>
      <c r="AF107" s="220"/>
      <c r="AG107" s="430"/>
      <c r="AH107" s="654"/>
    </row>
    <row r="108" spans="1:34" ht="19.2" customHeight="1">
      <c r="A108" s="675"/>
      <c r="B108" s="110">
        <v>0</v>
      </c>
      <c r="C108" s="100" t="s">
        <v>237</v>
      </c>
      <c r="D108" s="660" t="s">
        <v>120</v>
      </c>
      <c r="E108" s="660"/>
      <c r="F108" s="373"/>
      <c r="G108" s="101"/>
      <c r="H108" s="102"/>
      <c r="I108" s="103"/>
      <c r="J108" s="101">
        <v>16.777777777777779</v>
      </c>
      <c r="K108" s="101">
        <v>1469</v>
      </c>
      <c r="L108" s="104">
        <v>101.78960746091809</v>
      </c>
      <c r="M108" s="101">
        <f t="shared" ref="M108:O108" si="71">AVERAGE(M96:M107)</f>
        <v>16.222222222222221</v>
      </c>
      <c r="N108" s="101">
        <f t="shared" si="71"/>
        <v>1316.6060314045385</v>
      </c>
      <c r="O108" s="104">
        <f t="shared" si="71"/>
        <v>94.280202731561815</v>
      </c>
      <c r="P108" s="54">
        <f t="shared" ref="P108:P116" si="72">M108-J108</f>
        <v>-0.55555555555555713</v>
      </c>
      <c r="Q108" s="88">
        <f t="shared" ref="Q108:Q116" si="73">O108-L108</f>
        <v>-7.5094047293562767</v>
      </c>
      <c r="R108" s="105">
        <f t="shared" ref="R108:R116" si="74">O108/L108</f>
        <v>0.92622621388691873</v>
      </c>
      <c r="S108" s="646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33"/>
      <c r="AC108" s="633"/>
      <c r="AD108" s="107">
        <f>SUM(AD96:AD107)</f>
        <v>0</v>
      </c>
      <c r="AE108" s="107">
        <f>SUM(AE96:AE107)</f>
        <v>0</v>
      </c>
      <c r="AF108" s="54">
        <f t="shared" si="61"/>
        <v>-152.3939685954615</v>
      </c>
      <c r="AG108" s="430">
        <f t="shared" si="62"/>
        <v>0.89626006222228627</v>
      </c>
      <c r="AH108" s="654"/>
    </row>
    <row r="109" spans="1:34" ht="19.2" customHeight="1">
      <c r="A109" s="676" t="s">
        <v>177</v>
      </c>
      <c r="B109" s="431" t="s">
        <v>149</v>
      </c>
      <c r="C109" s="438"/>
      <c r="D109" s="409" t="s">
        <v>242</v>
      </c>
      <c r="E109" s="43"/>
      <c r="F109" s="361">
        <v>25.64</v>
      </c>
      <c r="G109" s="44">
        <v>729</v>
      </c>
      <c r="H109" s="45">
        <f t="shared" ref="H109:H119" si="75">F109*G109</f>
        <v>18691.560000000001</v>
      </c>
      <c r="I109" s="431"/>
      <c r="J109" s="46">
        <v>10</v>
      </c>
      <c r="K109" s="44">
        <v>1500</v>
      </c>
      <c r="L109" s="47">
        <v>150</v>
      </c>
      <c r="M109" s="443">
        <v>10</v>
      </c>
      <c r="N109" s="44">
        <f t="shared" ref="N109:N116" si="76">G109/W109*60</f>
        <v>1457.9999999999975</v>
      </c>
      <c r="O109" s="47">
        <f t="shared" ref="O109:O116" si="77">N109/M109</f>
        <v>145.79999999999976</v>
      </c>
      <c r="P109" s="48">
        <f t="shared" si="72"/>
        <v>0</v>
      </c>
      <c r="Q109" s="49">
        <f t="shared" si="73"/>
        <v>-4.2000000000002444</v>
      </c>
      <c r="R109" s="433">
        <f t="shared" si="74"/>
        <v>0.97199999999999842</v>
      </c>
      <c r="S109" s="679">
        <f>R121</f>
        <v>0.9251951734624464</v>
      </c>
      <c r="T109" s="230">
        <v>0.5</v>
      </c>
      <c r="U109" s="230">
        <v>0.52083333333333337</v>
      </c>
      <c r="V109" s="231">
        <v>5</v>
      </c>
      <c r="W109" s="442">
        <f t="shared" si="70"/>
        <v>30.000000000000053</v>
      </c>
      <c r="X109" s="53"/>
      <c r="Y109" s="53"/>
      <c r="Z109" s="54"/>
      <c r="AA109" s="54"/>
      <c r="AB109" s="633"/>
      <c r="AC109" s="633"/>
      <c r="AD109" s="429"/>
      <c r="AE109" s="429"/>
      <c r="AF109" s="48">
        <f t="shared" si="61"/>
        <v>-42.000000000002501</v>
      </c>
      <c r="AG109" s="126">
        <f t="shared" si="62"/>
        <v>0.97199999999999831</v>
      </c>
      <c r="AH109" s="654">
        <f>AG121</f>
        <v>0.9319686266086038</v>
      </c>
    </row>
    <row r="110" spans="1:34" ht="19.2" customHeight="1">
      <c r="A110" s="677"/>
      <c r="B110" s="431" t="s">
        <v>146</v>
      </c>
      <c r="C110" s="178"/>
      <c r="D110" s="42" t="s">
        <v>190</v>
      </c>
      <c r="E110" s="180"/>
      <c r="F110" s="361">
        <v>29.965493443754308</v>
      </c>
      <c r="G110" s="177">
        <v>2278</v>
      </c>
      <c r="H110" s="45">
        <f t="shared" si="75"/>
        <v>68261.394064872307</v>
      </c>
      <c r="I110" s="431"/>
      <c r="J110" s="46">
        <v>18</v>
      </c>
      <c r="K110" s="44">
        <v>1200</v>
      </c>
      <c r="L110" s="47">
        <v>66.666666666666671</v>
      </c>
      <c r="M110" s="443">
        <v>18</v>
      </c>
      <c r="N110" s="44">
        <f t="shared" si="76"/>
        <v>1178.2758620689649</v>
      </c>
      <c r="O110" s="47">
        <f t="shared" si="77"/>
        <v>65.459770114942501</v>
      </c>
      <c r="P110" s="48">
        <f t="shared" si="72"/>
        <v>0</v>
      </c>
      <c r="Q110" s="49">
        <f t="shared" si="73"/>
        <v>-1.2068965517241708</v>
      </c>
      <c r="R110" s="433">
        <f t="shared" si="74"/>
        <v>0.98189655172413748</v>
      </c>
      <c r="S110" s="680"/>
      <c r="T110" s="230">
        <v>0.53680555555555554</v>
      </c>
      <c r="U110" s="230">
        <v>0.61736111111111114</v>
      </c>
      <c r="V110" s="231">
        <v>23</v>
      </c>
      <c r="W110" s="442">
        <f t="shared" si="70"/>
        <v>116.00000000000007</v>
      </c>
      <c r="X110" s="191">
        <v>0.51736111111111105</v>
      </c>
      <c r="Y110" s="191">
        <v>0.52777777777777779</v>
      </c>
      <c r="Z110" s="54"/>
      <c r="AA110" s="54"/>
      <c r="AB110" s="633"/>
      <c r="AC110" s="633"/>
      <c r="AD110" s="429"/>
      <c r="AE110" s="429"/>
      <c r="AF110" s="48">
        <f t="shared" si="61"/>
        <v>-21.724137931035102</v>
      </c>
      <c r="AG110" s="126">
        <f t="shared" si="62"/>
        <v>0.98189655172413737</v>
      </c>
      <c r="AH110" s="654"/>
    </row>
    <row r="111" spans="1:34" ht="19.2" customHeight="1">
      <c r="A111" s="677"/>
      <c r="B111" s="431" t="s">
        <v>143</v>
      </c>
      <c r="C111" s="178"/>
      <c r="D111" s="179" t="s">
        <v>59</v>
      </c>
      <c r="E111" s="180"/>
      <c r="F111" s="361">
        <v>59.54</v>
      </c>
      <c r="G111" s="57">
        <v>1669</v>
      </c>
      <c r="H111" s="45">
        <f t="shared" si="75"/>
        <v>99372.26</v>
      </c>
      <c r="I111" s="429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1300.5194805194799</v>
      </c>
      <c r="O111" s="47">
        <f t="shared" si="77"/>
        <v>72.251082251082209</v>
      </c>
      <c r="P111" s="48">
        <f t="shared" si="72"/>
        <v>0</v>
      </c>
      <c r="Q111" s="49">
        <f t="shared" si="73"/>
        <v>-4.6933621933622334</v>
      </c>
      <c r="R111" s="433">
        <f t="shared" si="74"/>
        <v>0.93900323503211536</v>
      </c>
      <c r="S111" s="680"/>
      <c r="T111" s="230">
        <v>0.62222222222222223</v>
      </c>
      <c r="U111" s="230">
        <v>0.67569444444444449</v>
      </c>
      <c r="V111" s="231">
        <v>7</v>
      </c>
      <c r="W111" s="442">
        <f t="shared" si="70"/>
        <v>77.000000000000043</v>
      </c>
      <c r="X111" s="53"/>
      <c r="Y111" s="53"/>
      <c r="Z111" s="54"/>
      <c r="AA111" s="54"/>
      <c r="AB111" s="633"/>
      <c r="AC111" s="633"/>
      <c r="AD111" s="429"/>
      <c r="AE111" s="429"/>
      <c r="AF111" s="48">
        <f t="shared" si="61"/>
        <v>-84.480519480520115</v>
      </c>
      <c r="AG111" s="126">
        <f t="shared" si="62"/>
        <v>0.93900323503211547</v>
      </c>
      <c r="AH111" s="654"/>
    </row>
    <row r="112" spans="1:34" ht="19.2" customHeight="1">
      <c r="A112" s="677"/>
      <c r="B112" s="431" t="s">
        <v>146</v>
      </c>
      <c r="C112" s="178"/>
      <c r="D112" s="179" t="s">
        <v>255</v>
      </c>
      <c r="E112" s="83"/>
      <c r="F112" s="361">
        <v>28.57</v>
      </c>
      <c r="G112" s="57">
        <v>2579</v>
      </c>
      <c r="H112" s="45">
        <f t="shared" si="75"/>
        <v>73682.03</v>
      </c>
      <c r="I112" s="429"/>
      <c r="J112" s="46">
        <v>12</v>
      </c>
      <c r="K112" s="44">
        <v>1500</v>
      </c>
      <c r="L112" s="47">
        <v>125</v>
      </c>
      <c r="M112" s="443">
        <v>12</v>
      </c>
      <c r="N112" s="44">
        <f t="shared" si="76"/>
        <v>1406.7272727272737</v>
      </c>
      <c r="O112" s="47">
        <f t="shared" si="77"/>
        <v>117.2272727272728</v>
      </c>
      <c r="P112" s="48">
        <f t="shared" si="72"/>
        <v>0</v>
      </c>
      <c r="Q112" s="49">
        <f t="shared" si="73"/>
        <v>-7.7727272727271952</v>
      </c>
      <c r="R112" s="433">
        <f t="shared" si="74"/>
        <v>0.93781818181818244</v>
      </c>
      <c r="S112" s="680"/>
      <c r="T112" s="230">
        <v>0.71597222222222223</v>
      </c>
      <c r="U112" s="230">
        <v>0.79236111111111107</v>
      </c>
      <c r="V112" s="231">
        <v>5</v>
      </c>
      <c r="W112" s="442">
        <f t="shared" si="70"/>
        <v>109.99999999999993</v>
      </c>
      <c r="X112" s="219"/>
      <c r="Y112" s="219"/>
      <c r="Z112" s="54"/>
      <c r="AA112" s="54"/>
      <c r="AB112" s="633"/>
      <c r="AC112" s="633"/>
      <c r="AD112" s="429"/>
      <c r="AE112" s="429"/>
      <c r="AF112" s="48">
        <f t="shared" si="61"/>
        <v>-93.272727272726343</v>
      </c>
      <c r="AG112" s="126">
        <f t="shared" si="62"/>
        <v>0.93781818181818244</v>
      </c>
      <c r="AH112" s="654"/>
    </row>
    <row r="113" spans="1:34" s="221" customFormat="1" ht="19.2" customHeight="1">
      <c r="A113" s="677"/>
      <c r="B113" s="431" t="s">
        <v>146</v>
      </c>
      <c r="C113" s="178"/>
      <c r="D113" s="179" t="s">
        <v>182</v>
      </c>
      <c r="E113" s="83"/>
      <c r="F113" s="361">
        <v>20.170000000000002</v>
      </c>
      <c r="G113" s="57">
        <v>115</v>
      </c>
      <c r="H113" s="45">
        <f t="shared" si="75"/>
        <v>2319.5500000000002</v>
      </c>
      <c r="I113" s="429"/>
      <c r="J113" s="46">
        <v>12</v>
      </c>
      <c r="K113" s="44">
        <v>1500</v>
      </c>
      <c r="L113" s="47">
        <v>125</v>
      </c>
      <c r="M113" s="440">
        <v>12</v>
      </c>
      <c r="N113" s="44">
        <f t="shared" si="76"/>
        <v>1150.0000000000041</v>
      </c>
      <c r="O113" s="47">
        <f t="shared" si="77"/>
        <v>95.83333333333367</v>
      </c>
      <c r="P113" s="48">
        <f t="shared" si="72"/>
        <v>0</v>
      </c>
      <c r="Q113" s="49">
        <f t="shared" si="73"/>
        <v>-29.16666666666633</v>
      </c>
      <c r="R113" s="433">
        <f t="shared" si="74"/>
        <v>0.76666666666666938</v>
      </c>
      <c r="S113" s="680"/>
      <c r="T113" s="230">
        <v>0.79722222222222217</v>
      </c>
      <c r="U113" s="230">
        <v>0.80138888888888882</v>
      </c>
      <c r="V113" s="231">
        <v>7</v>
      </c>
      <c r="W113" s="442">
        <f t="shared" si="70"/>
        <v>5.9999999999999787</v>
      </c>
      <c r="X113" s="219"/>
      <c r="Y113" s="219"/>
      <c r="Z113" s="220"/>
      <c r="AA113" s="220"/>
      <c r="AB113" s="633"/>
      <c r="AC113" s="633"/>
      <c r="AD113" s="224"/>
      <c r="AE113" s="224"/>
      <c r="AF113" s="48">
        <f t="shared" si="61"/>
        <v>-349.99999999999591</v>
      </c>
      <c r="AG113" s="126">
        <f t="shared" si="62"/>
        <v>0.76666666666666938</v>
      </c>
      <c r="AH113" s="654"/>
    </row>
    <row r="114" spans="1:34" s="221" customFormat="1" ht="19.2" customHeight="1">
      <c r="A114" s="677"/>
      <c r="B114" s="431" t="s">
        <v>146</v>
      </c>
      <c r="C114" s="178"/>
      <c r="D114" s="179" t="s">
        <v>223</v>
      </c>
      <c r="E114" s="43"/>
      <c r="F114" s="361">
        <v>20.420000000000002</v>
      </c>
      <c r="G114" s="44">
        <v>808</v>
      </c>
      <c r="H114" s="45">
        <f t="shared" si="75"/>
        <v>16499.36</v>
      </c>
      <c r="I114" s="429"/>
      <c r="J114" s="46">
        <v>12</v>
      </c>
      <c r="K114" s="44">
        <v>1500</v>
      </c>
      <c r="L114" s="47">
        <v>125</v>
      </c>
      <c r="M114" s="440">
        <v>12</v>
      </c>
      <c r="N114" s="44">
        <f t="shared" si="76"/>
        <v>1469.0909090909072</v>
      </c>
      <c r="O114" s="47">
        <f t="shared" si="77"/>
        <v>122.42424242424227</v>
      </c>
      <c r="P114" s="48">
        <f t="shared" si="72"/>
        <v>0</v>
      </c>
      <c r="Q114" s="49">
        <f t="shared" si="73"/>
        <v>-2.5757575757577342</v>
      </c>
      <c r="R114" s="433">
        <f t="shared" si="74"/>
        <v>0.97939393939393815</v>
      </c>
      <c r="S114" s="680"/>
      <c r="T114" s="230">
        <v>0.80555555555555547</v>
      </c>
      <c r="U114" s="230">
        <v>0.82847222222222217</v>
      </c>
      <c r="V114" s="231">
        <v>6</v>
      </c>
      <c r="W114" s="442">
        <f t="shared" si="70"/>
        <v>33.000000000000043</v>
      </c>
      <c r="X114" s="219"/>
      <c r="Y114" s="219"/>
      <c r="Z114" s="220"/>
      <c r="AA114" s="220"/>
      <c r="AB114" s="633"/>
      <c r="AC114" s="633"/>
      <c r="AD114" s="224"/>
      <c r="AE114" s="224"/>
      <c r="AF114" s="48">
        <f t="shared" si="61"/>
        <v>-30.909090909092811</v>
      </c>
      <c r="AG114" s="126">
        <f t="shared" si="62"/>
        <v>0.97939393939393815</v>
      </c>
      <c r="AH114" s="654"/>
    </row>
    <row r="115" spans="1:34" s="221" customFormat="1" ht="19.2" customHeight="1">
      <c r="A115" s="677"/>
      <c r="B115" s="431" t="s">
        <v>147</v>
      </c>
      <c r="C115" s="178"/>
      <c r="D115" s="82" t="s">
        <v>249</v>
      </c>
      <c r="E115" s="83"/>
      <c r="F115" s="361">
        <v>38.39</v>
      </c>
      <c r="G115" s="233">
        <v>1378</v>
      </c>
      <c r="H115" s="45">
        <f t="shared" si="75"/>
        <v>52901.42</v>
      </c>
      <c r="I115" s="429"/>
      <c r="J115" s="46">
        <v>16</v>
      </c>
      <c r="K115" s="44">
        <v>1440</v>
      </c>
      <c r="L115" s="47">
        <v>90</v>
      </c>
      <c r="M115" s="440">
        <v>16</v>
      </c>
      <c r="N115" s="44">
        <f t="shared" si="76"/>
        <v>1377.9999999999975</v>
      </c>
      <c r="O115" s="47">
        <f t="shared" si="77"/>
        <v>86.124999999999844</v>
      </c>
      <c r="P115" s="48">
        <f t="shared" si="72"/>
        <v>0</v>
      </c>
      <c r="Q115" s="49">
        <f t="shared" si="73"/>
        <v>-3.8750000000001563</v>
      </c>
      <c r="R115" s="433">
        <f t="shared" si="74"/>
        <v>0.95694444444444271</v>
      </c>
      <c r="S115" s="680"/>
      <c r="T115" s="230">
        <v>0.84374999999999989</v>
      </c>
      <c r="U115" s="230">
        <v>0.88541666666666663</v>
      </c>
      <c r="V115" s="231">
        <v>22</v>
      </c>
      <c r="W115" s="442">
        <f t="shared" si="70"/>
        <v>60.000000000000107</v>
      </c>
      <c r="X115" s="219">
        <v>0.81736111111111109</v>
      </c>
      <c r="Y115" s="219">
        <v>0.82638888888888884</v>
      </c>
      <c r="Z115" s="220"/>
      <c r="AA115" s="220"/>
      <c r="AB115" s="633"/>
      <c r="AC115" s="633"/>
      <c r="AD115" s="224"/>
      <c r="AE115" s="224"/>
      <c r="AF115" s="48">
        <f t="shared" si="61"/>
        <v>-62.000000000002501</v>
      </c>
      <c r="AG115" s="126">
        <f t="shared" si="62"/>
        <v>0.95694444444444271</v>
      </c>
      <c r="AH115" s="654"/>
    </row>
    <row r="116" spans="1:34" s="221" customFormat="1" ht="19.2" customHeight="1">
      <c r="A116" s="677"/>
      <c r="B116" s="431" t="s">
        <v>147</v>
      </c>
      <c r="C116" s="55"/>
      <c r="D116" s="82" t="s">
        <v>251</v>
      </c>
      <c r="E116" s="83"/>
      <c r="F116" s="361">
        <v>52.86</v>
      </c>
      <c r="G116" s="233">
        <v>1322</v>
      </c>
      <c r="H116" s="45">
        <f t="shared" si="75"/>
        <v>69880.92</v>
      </c>
      <c r="I116" s="429"/>
      <c r="J116" s="46">
        <v>18</v>
      </c>
      <c r="K116" s="44">
        <v>1440</v>
      </c>
      <c r="L116" s="47">
        <v>80</v>
      </c>
      <c r="M116" s="440">
        <v>19</v>
      </c>
      <c r="N116" s="44">
        <f t="shared" si="76"/>
        <v>1344.4067796610182</v>
      </c>
      <c r="O116" s="47">
        <f t="shared" si="77"/>
        <v>70.758251561106221</v>
      </c>
      <c r="P116" s="48">
        <f t="shared" si="72"/>
        <v>1</v>
      </c>
      <c r="Q116" s="49">
        <f t="shared" si="73"/>
        <v>-9.2417484388937794</v>
      </c>
      <c r="R116" s="433">
        <f t="shared" si="74"/>
        <v>0.88447814451382778</v>
      </c>
      <c r="S116" s="680"/>
      <c r="T116" s="230">
        <v>0.89027777777777783</v>
      </c>
      <c r="U116" s="230">
        <v>0.93125000000000002</v>
      </c>
      <c r="V116" s="231">
        <v>7</v>
      </c>
      <c r="W116" s="442">
        <f t="shared" si="70"/>
        <v>58.99999999999995</v>
      </c>
      <c r="X116" s="219"/>
      <c r="Y116" s="219"/>
      <c r="Z116" s="220"/>
      <c r="AA116" s="220"/>
      <c r="AB116" s="633"/>
      <c r="AC116" s="633"/>
      <c r="AD116" s="224"/>
      <c r="AE116" s="224"/>
      <c r="AF116" s="48">
        <f t="shared" si="61"/>
        <v>-95.593220338981837</v>
      </c>
      <c r="AG116" s="126">
        <f t="shared" si="62"/>
        <v>0.93361581920904035</v>
      </c>
      <c r="AH116" s="654"/>
    </row>
    <row r="117" spans="1:34" s="221" customFormat="1" ht="19.2" customHeight="1">
      <c r="A117" s="677"/>
      <c r="B117" s="431">
        <v>0</v>
      </c>
      <c r="C117" s="55"/>
      <c r="D117" s="82"/>
      <c r="E117" s="83"/>
      <c r="F117" s="361" t="s">
        <v>148</v>
      </c>
      <c r="G117" s="233"/>
      <c r="H117" s="45">
        <f t="shared" si="75"/>
        <v>0</v>
      </c>
      <c r="I117" s="429"/>
      <c r="J117" s="46"/>
      <c r="K117" s="44"/>
      <c r="L117" s="47"/>
      <c r="M117" s="440"/>
      <c r="N117" s="44"/>
      <c r="O117" s="47"/>
      <c r="P117" s="48"/>
      <c r="Q117" s="49"/>
      <c r="R117" s="433"/>
      <c r="S117" s="680"/>
      <c r="T117" s="230"/>
      <c r="U117" s="230"/>
      <c r="V117" s="231"/>
      <c r="W117" s="442">
        <f t="shared" si="70"/>
        <v>0</v>
      </c>
      <c r="X117" s="219"/>
      <c r="Y117" s="219"/>
      <c r="Z117" s="220"/>
      <c r="AA117" s="220"/>
      <c r="AB117" s="633"/>
      <c r="AC117" s="633"/>
      <c r="AD117" s="224"/>
      <c r="AE117" s="224"/>
      <c r="AF117" s="48">
        <f t="shared" si="61"/>
        <v>0</v>
      </c>
      <c r="AG117" s="126" t="e">
        <f t="shared" si="62"/>
        <v>#DIV/0!</v>
      </c>
      <c r="AH117" s="654"/>
    </row>
    <row r="118" spans="1:34" s="221" customFormat="1" ht="19.2" customHeight="1">
      <c r="A118" s="677"/>
      <c r="B118" s="431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429"/>
      <c r="J118" s="46"/>
      <c r="K118" s="44"/>
      <c r="L118" s="47"/>
      <c r="M118" s="440"/>
      <c r="N118" s="44"/>
      <c r="O118" s="47"/>
      <c r="P118" s="48"/>
      <c r="Q118" s="49"/>
      <c r="R118" s="433"/>
      <c r="S118" s="680"/>
      <c r="T118" s="230"/>
      <c r="U118" s="230"/>
      <c r="V118" s="231"/>
      <c r="W118" s="442">
        <f t="shared" si="70"/>
        <v>0</v>
      </c>
      <c r="X118" s="219"/>
      <c r="Y118" s="219"/>
      <c r="Z118" s="220"/>
      <c r="AA118" s="220"/>
      <c r="AB118" s="633"/>
      <c r="AC118" s="633"/>
      <c r="AD118" s="224"/>
      <c r="AE118" s="224"/>
      <c r="AF118" s="48">
        <f t="shared" si="61"/>
        <v>0</v>
      </c>
      <c r="AG118" s="126" t="e">
        <f t="shared" si="62"/>
        <v>#DIV/0!</v>
      </c>
      <c r="AH118" s="654"/>
    </row>
    <row r="119" spans="1:34" s="221" customFormat="1" ht="19.2" customHeight="1">
      <c r="A119" s="677"/>
      <c r="B119" s="431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429"/>
      <c r="J119" s="181"/>
      <c r="K119" s="235"/>
      <c r="L119" s="47"/>
      <c r="M119" s="440"/>
      <c r="N119" s="182"/>
      <c r="O119" s="228"/>
      <c r="P119" s="168"/>
      <c r="Q119" s="49"/>
      <c r="R119" s="433"/>
      <c r="S119" s="680"/>
      <c r="T119" s="230"/>
      <c r="U119" s="230"/>
      <c r="V119" s="231"/>
      <c r="W119" s="442"/>
      <c r="X119" s="219"/>
      <c r="Y119" s="219"/>
      <c r="Z119" s="220"/>
      <c r="AA119" s="220"/>
      <c r="AB119" s="633"/>
      <c r="AC119" s="633"/>
      <c r="AD119" s="224"/>
      <c r="AE119" s="224"/>
      <c r="AF119" s="48">
        <f t="shared" si="61"/>
        <v>0</v>
      </c>
      <c r="AG119" s="126" t="e">
        <f t="shared" si="62"/>
        <v>#DIV/0!</v>
      </c>
      <c r="AH119" s="654"/>
    </row>
    <row r="120" spans="1:34" s="221" customFormat="1" ht="19.2" customHeight="1">
      <c r="A120" s="677"/>
      <c r="B120" s="431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429"/>
      <c r="J120" s="181"/>
      <c r="K120" s="235"/>
      <c r="L120" s="47"/>
      <c r="M120" s="440"/>
      <c r="N120" s="182"/>
      <c r="O120" s="228"/>
      <c r="P120" s="168"/>
      <c r="Q120" s="49"/>
      <c r="R120" s="433"/>
      <c r="S120" s="680"/>
      <c r="T120" s="230"/>
      <c r="U120" s="230"/>
      <c r="V120" s="231"/>
      <c r="W120" s="442">
        <f t="shared" si="70"/>
        <v>0</v>
      </c>
      <c r="X120" s="219"/>
      <c r="Y120" s="219"/>
      <c r="Z120" s="220"/>
      <c r="AA120" s="220"/>
      <c r="AB120" s="633"/>
      <c r="AC120" s="633"/>
      <c r="AD120" s="224"/>
      <c r="AE120" s="224"/>
      <c r="AF120" s="48">
        <f t="shared" si="61"/>
        <v>0</v>
      </c>
      <c r="AG120" s="126" t="e">
        <f t="shared" si="62"/>
        <v>#DIV/0!</v>
      </c>
      <c r="AH120" s="654"/>
    </row>
    <row r="121" spans="1:34" ht="19.2" customHeight="1">
      <c r="A121" s="678"/>
      <c r="B121" s="122">
        <v>0</v>
      </c>
      <c r="C121" s="100" t="s">
        <v>309</v>
      </c>
      <c r="D121" s="236" t="s">
        <v>293</v>
      </c>
      <c r="E121" s="237"/>
      <c r="F121" s="370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M121:O121" si="78">AVERAGE(M109:M120)</f>
        <v>14.625</v>
      </c>
      <c r="N121" s="205">
        <f t="shared" si="78"/>
        <v>1335.6275380084553</v>
      </c>
      <c r="O121" s="206">
        <f t="shared" si="78"/>
        <v>96.984869051497412</v>
      </c>
      <c r="P121" s="48">
        <f t="shared" ref="P121:P129" si="79">M121-J121</f>
        <v>0.125</v>
      </c>
      <c r="Q121" s="49">
        <f t="shared" ref="Q121:Q129" si="80">O121-L121</f>
        <v>-7.8415198373914734</v>
      </c>
      <c r="R121" s="175">
        <f t="shared" ref="R121:R129" si="81">O121/L121</f>
        <v>0.9251951734624464</v>
      </c>
      <c r="S121" s="659"/>
      <c r="T121" s="50"/>
      <c r="U121" s="50"/>
      <c r="V121" s="44"/>
      <c r="W121" s="44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33"/>
      <c r="AC121" s="633"/>
      <c r="AD121" s="107">
        <f>SUM(AD109:AD120)</f>
        <v>0</v>
      </c>
      <c r="AE121" s="107">
        <f>SUM(AE109:AE120)</f>
        <v>0</v>
      </c>
      <c r="AF121" s="48">
        <f>N121-K121</f>
        <v>-97.497461991544697</v>
      </c>
      <c r="AG121" s="126">
        <f>N121/K121</f>
        <v>0.9319686266086038</v>
      </c>
      <c r="AH121" s="654"/>
    </row>
    <row r="122" spans="1:34" ht="19.2" customHeight="1">
      <c r="A122" s="681" t="s">
        <v>310</v>
      </c>
      <c r="B122" s="131" t="s">
        <v>147</v>
      </c>
      <c r="C122" s="166"/>
      <c r="D122" s="179" t="s">
        <v>81</v>
      </c>
      <c r="E122" s="43"/>
      <c r="F122" s="361">
        <v>56.43</v>
      </c>
      <c r="G122" s="44">
        <v>916</v>
      </c>
      <c r="H122" s="45">
        <f t="shared" ref="H122:H132" si="82">F122*G122</f>
        <v>51689.88</v>
      </c>
      <c r="I122" s="431"/>
      <c r="J122" s="46">
        <v>18</v>
      </c>
      <c r="K122" s="44">
        <v>1500</v>
      </c>
      <c r="L122" s="47">
        <v>83.333333333333329</v>
      </c>
      <c r="M122" s="443">
        <v>18</v>
      </c>
      <c r="N122" s="177">
        <f t="shared" ref="N122:N129" si="83">G122/W122*60</f>
        <v>1308.5714285714282</v>
      </c>
      <c r="O122" s="241">
        <f t="shared" ref="O122:O129" si="84">N122/M122</f>
        <v>72.698412698412682</v>
      </c>
      <c r="P122" s="108">
        <f t="shared" si="79"/>
        <v>0</v>
      </c>
      <c r="Q122" s="185">
        <f t="shared" si="80"/>
        <v>-10.634920634920647</v>
      </c>
      <c r="R122" s="109">
        <f t="shared" si="81"/>
        <v>0.87238095238095226</v>
      </c>
      <c r="S122" s="645">
        <f>R134</f>
        <v>0.91210934246836128</v>
      </c>
      <c r="T122" s="50">
        <v>0.5</v>
      </c>
      <c r="U122" s="50">
        <v>0.52916666666666667</v>
      </c>
      <c r="V122" s="231">
        <v>5</v>
      </c>
      <c r="W122" s="442">
        <f t="shared" si="70"/>
        <v>42.000000000000014</v>
      </c>
      <c r="X122" s="53"/>
      <c r="Y122" s="53"/>
      <c r="Z122" s="54"/>
      <c r="AA122" s="54"/>
      <c r="AB122" s="633"/>
      <c r="AC122" s="633"/>
      <c r="AD122" s="429"/>
      <c r="AE122" s="429"/>
      <c r="AF122" s="48">
        <f t="shared" si="61"/>
        <v>-191.42857142857179</v>
      </c>
      <c r="AG122" s="433">
        <f t="shared" si="62"/>
        <v>0.87238095238095215</v>
      </c>
      <c r="AH122" s="659">
        <f>AG134</f>
        <v>0.9131180817318405</v>
      </c>
    </row>
    <row r="123" spans="1:34" ht="19.2" customHeight="1">
      <c r="A123" s="681"/>
      <c r="B123" s="131" t="s">
        <v>143</v>
      </c>
      <c r="C123" s="97"/>
      <c r="D123" s="42" t="s">
        <v>87</v>
      </c>
      <c r="E123" s="180"/>
      <c r="F123" s="361">
        <v>58.67</v>
      </c>
      <c r="G123" s="44">
        <v>2218</v>
      </c>
      <c r="H123" s="45">
        <f t="shared" si="82"/>
        <v>130130.06</v>
      </c>
      <c r="I123" s="429"/>
      <c r="J123" s="87">
        <v>19</v>
      </c>
      <c r="K123" s="57">
        <v>1440</v>
      </c>
      <c r="L123" s="86">
        <v>75.78947368421052</v>
      </c>
      <c r="M123" s="440">
        <v>19</v>
      </c>
      <c r="N123" s="57">
        <f t="shared" si="83"/>
        <v>1344.2424242424247</v>
      </c>
      <c r="O123" s="86">
        <f t="shared" si="84"/>
        <v>70.749601275917087</v>
      </c>
      <c r="P123" s="54">
        <f t="shared" si="79"/>
        <v>0</v>
      </c>
      <c r="Q123" s="88">
        <f t="shared" si="80"/>
        <v>-5.0398724082934336</v>
      </c>
      <c r="R123" s="430">
        <f t="shared" si="81"/>
        <v>0.93350168350168383</v>
      </c>
      <c r="S123" s="645"/>
      <c r="T123" s="50">
        <v>0.53472222222222221</v>
      </c>
      <c r="U123" s="50">
        <v>0.60347222222222219</v>
      </c>
      <c r="V123" s="231">
        <v>8</v>
      </c>
      <c r="W123" s="442">
        <f t="shared" si="70"/>
        <v>98.999999999999972</v>
      </c>
      <c r="X123" s="53"/>
      <c r="Y123" s="53"/>
      <c r="Z123" s="54"/>
      <c r="AA123" s="54"/>
      <c r="AB123" s="633"/>
      <c r="AC123" s="633"/>
      <c r="AD123" s="429"/>
      <c r="AE123" s="429"/>
      <c r="AF123" s="48">
        <f t="shared" si="61"/>
        <v>-95.757575757575296</v>
      </c>
      <c r="AG123" s="433">
        <f t="shared" si="62"/>
        <v>0.93350168350168383</v>
      </c>
      <c r="AH123" s="645"/>
    </row>
    <row r="124" spans="1:34" ht="19.2" customHeight="1">
      <c r="A124" s="681"/>
      <c r="B124" s="131" t="s">
        <v>143</v>
      </c>
      <c r="C124" s="178"/>
      <c r="D124" s="179" t="s">
        <v>86</v>
      </c>
      <c r="E124" s="180"/>
      <c r="F124" s="361">
        <v>59.52</v>
      </c>
      <c r="G124" s="177">
        <v>2698</v>
      </c>
      <c r="H124" s="45">
        <f t="shared" si="82"/>
        <v>160584.96000000002</v>
      </c>
      <c r="I124" s="242"/>
      <c r="J124" s="87">
        <v>21</v>
      </c>
      <c r="K124" s="57">
        <v>1385</v>
      </c>
      <c r="L124" s="86">
        <v>65.952380952380949</v>
      </c>
      <c r="M124" s="443">
        <v>21</v>
      </c>
      <c r="N124" s="177">
        <f t="shared" si="83"/>
        <v>1316.0975609756092</v>
      </c>
      <c r="O124" s="241">
        <f t="shared" si="84"/>
        <v>62.671312427409966</v>
      </c>
      <c r="P124" s="108">
        <f t="shared" si="79"/>
        <v>0</v>
      </c>
      <c r="Q124" s="185">
        <f t="shared" si="80"/>
        <v>-3.2810685249709834</v>
      </c>
      <c r="R124" s="109">
        <f t="shared" si="81"/>
        <v>0.95025094655278652</v>
      </c>
      <c r="S124" s="682"/>
      <c r="T124" s="50">
        <v>0.61944444444444446</v>
      </c>
      <c r="U124" s="50">
        <v>0.70486111111111116</v>
      </c>
      <c r="V124" s="231">
        <v>23</v>
      </c>
      <c r="W124" s="442">
        <f t="shared" si="70"/>
        <v>123.00000000000004</v>
      </c>
      <c r="X124" s="191">
        <v>0.6069444444444444</v>
      </c>
      <c r="Y124" s="191">
        <v>0.6166666666666667</v>
      </c>
      <c r="Z124" s="54"/>
      <c r="AA124" s="54"/>
      <c r="AB124" s="633"/>
      <c r="AC124" s="633"/>
      <c r="AD124" s="429">
        <v>1</v>
      </c>
      <c r="AE124" s="429"/>
      <c r="AF124" s="108">
        <f t="shared" si="61"/>
        <v>-68.902439024390787</v>
      </c>
      <c r="AG124" s="109">
        <f t="shared" si="62"/>
        <v>0.95025094655278641</v>
      </c>
      <c r="AH124" s="645"/>
    </row>
    <row r="125" spans="1:34" ht="19.2" customHeight="1">
      <c r="A125" s="681"/>
      <c r="B125" s="131" t="s">
        <v>147</v>
      </c>
      <c r="C125" s="97"/>
      <c r="D125" s="42" t="s">
        <v>88</v>
      </c>
      <c r="E125" s="43"/>
      <c r="F125" s="361">
        <v>56.79</v>
      </c>
      <c r="G125" s="44">
        <v>1494</v>
      </c>
      <c r="H125" s="45">
        <f t="shared" si="82"/>
        <v>84844.26</v>
      </c>
      <c r="I125" s="431"/>
      <c r="J125" s="87">
        <v>18</v>
      </c>
      <c r="K125" s="57">
        <v>1636</v>
      </c>
      <c r="L125" s="86">
        <v>90.888888888888886</v>
      </c>
      <c r="M125" s="443">
        <v>18</v>
      </c>
      <c r="N125" s="57">
        <f t="shared" si="83"/>
        <v>1445.8064516129045</v>
      </c>
      <c r="O125" s="86">
        <f t="shared" si="84"/>
        <v>80.322580645161366</v>
      </c>
      <c r="P125" s="54">
        <f t="shared" si="79"/>
        <v>0</v>
      </c>
      <c r="Q125" s="88">
        <f t="shared" si="80"/>
        <v>-10.566308243727519</v>
      </c>
      <c r="R125" s="430">
        <f t="shared" si="81"/>
        <v>0.88374477482451386</v>
      </c>
      <c r="S125" s="682"/>
      <c r="T125" s="50">
        <v>0.74513888888888891</v>
      </c>
      <c r="U125" s="50">
        <v>0.78819444444444442</v>
      </c>
      <c r="V125" s="231">
        <v>5</v>
      </c>
      <c r="W125" s="442">
        <f t="shared" si="70"/>
        <v>61.999999999999943</v>
      </c>
      <c r="X125" s="64"/>
      <c r="Y125" s="64"/>
      <c r="Z125" s="54"/>
      <c r="AA125" s="54"/>
      <c r="AB125" s="633"/>
      <c r="AC125" s="633"/>
      <c r="AD125" s="429"/>
      <c r="AE125" s="429"/>
      <c r="AF125" s="48">
        <f t="shared" si="61"/>
        <v>-190.19354838709546</v>
      </c>
      <c r="AG125" s="433">
        <f t="shared" si="62"/>
        <v>0.88374477482451375</v>
      </c>
      <c r="AH125" s="646"/>
    </row>
    <row r="126" spans="1:34" ht="19.2" customHeight="1">
      <c r="A126" s="681"/>
      <c r="B126" s="131" t="s">
        <v>147</v>
      </c>
      <c r="C126" s="429"/>
      <c r="D126" s="413" t="s">
        <v>89</v>
      </c>
      <c r="E126" s="180"/>
      <c r="F126" s="361">
        <v>56.87</v>
      </c>
      <c r="G126" s="57">
        <v>1093</v>
      </c>
      <c r="H126" s="45">
        <f t="shared" si="82"/>
        <v>62158.909999999996</v>
      </c>
      <c r="I126" s="429"/>
      <c r="J126" s="87">
        <v>18</v>
      </c>
      <c r="K126" s="57">
        <v>1636</v>
      </c>
      <c r="L126" s="86">
        <v>90.888888888888886</v>
      </c>
      <c r="M126" s="440">
        <v>18</v>
      </c>
      <c r="N126" s="57">
        <f t="shared" si="83"/>
        <v>1457.3333333333333</v>
      </c>
      <c r="O126" s="86">
        <f t="shared" si="84"/>
        <v>80.962962962962962</v>
      </c>
      <c r="P126" s="54">
        <f t="shared" si="79"/>
        <v>0</v>
      </c>
      <c r="Q126" s="88">
        <f t="shared" si="80"/>
        <v>-9.9259259259259238</v>
      </c>
      <c r="R126" s="430">
        <f t="shared" si="81"/>
        <v>0.89079054604726982</v>
      </c>
      <c r="S126" s="682"/>
      <c r="T126" s="50">
        <v>0.79374999999999996</v>
      </c>
      <c r="U126" s="50">
        <v>0.82499999999999996</v>
      </c>
      <c r="V126" s="231">
        <v>8</v>
      </c>
      <c r="W126" s="442">
        <f t="shared" si="70"/>
        <v>45</v>
      </c>
      <c r="X126" s="64"/>
      <c r="Y126" s="64"/>
      <c r="Z126" s="54"/>
      <c r="AA126" s="54"/>
      <c r="AB126" s="633"/>
      <c r="AC126" s="633"/>
      <c r="AD126" s="429"/>
      <c r="AE126" s="429"/>
      <c r="AF126" s="108">
        <f t="shared" si="61"/>
        <v>-178.66666666666674</v>
      </c>
      <c r="AG126" s="109">
        <f t="shared" si="62"/>
        <v>0.8907905460472697</v>
      </c>
      <c r="AH126" s="646"/>
    </row>
    <row r="127" spans="1:34" ht="19.2" customHeight="1">
      <c r="A127" s="681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1012</v>
      </c>
      <c r="H127" s="45">
        <f t="shared" si="82"/>
        <v>54739.08</v>
      </c>
      <c r="I127" s="224"/>
      <c r="J127" s="87">
        <v>17</v>
      </c>
      <c r="K127" s="57">
        <v>1565</v>
      </c>
      <c r="L127" s="86">
        <v>92.058823529411768</v>
      </c>
      <c r="M127" s="443">
        <v>17</v>
      </c>
      <c r="N127" s="177">
        <f t="shared" si="83"/>
        <v>1412.0930232558137</v>
      </c>
      <c r="O127" s="241">
        <f t="shared" si="84"/>
        <v>83.064295485636094</v>
      </c>
      <c r="P127" s="108">
        <f t="shared" si="79"/>
        <v>0</v>
      </c>
      <c r="Q127" s="185">
        <f t="shared" si="80"/>
        <v>-8.9945280437756736</v>
      </c>
      <c r="R127" s="109">
        <f t="shared" si="81"/>
        <v>0.90229586150531216</v>
      </c>
      <c r="S127" s="682"/>
      <c r="T127" s="50">
        <v>0.82916666666666661</v>
      </c>
      <c r="U127" s="50">
        <v>0.85902777777777772</v>
      </c>
      <c r="V127" s="431">
        <v>6</v>
      </c>
      <c r="W127" s="442">
        <f t="shared" si="70"/>
        <v>43.000000000000007</v>
      </c>
      <c r="X127" s="64"/>
      <c r="Y127" s="64"/>
      <c r="Z127" s="54"/>
      <c r="AA127" s="54"/>
      <c r="AB127" s="633"/>
      <c r="AC127" s="633"/>
      <c r="AD127" s="429"/>
      <c r="AE127" s="429"/>
      <c r="AF127" s="108">
        <f t="shared" si="61"/>
        <v>-152.9069767441863</v>
      </c>
      <c r="AG127" s="109">
        <f t="shared" si="62"/>
        <v>0.90229586150531227</v>
      </c>
      <c r="AH127" s="646"/>
    </row>
    <row r="128" spans="1:34" ht="19.2" customHeight="1">
      <c r="A128" s="681"/>
      <c r="B128" s="131" t="s">
        <v>147</v>
      </c>
      <c r="C128" s="160"/>
      <c r="D128" s="59" t="s">
        <v>91</v>
      </c>
      <c r="E128" s="83"/>
      <c r="F128" s="361">
        <v>47.6</v>
      </c>
      <c r="G128" s="57">
        <v>1512</v>
      </c>
      <c r="H128" s="45">
        <f t="shared" si="82"/>
        <v>71971.199999999997</v>
      </c>
      <c r="I128" s="429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1354.0298507462669</v>
      </c>
      <c r="O128" s="86">
        <f t="shared" si="84"/>
        <v>71.264728986645622</v>
      </c>
      <c r="P128" s="54">
        <f t="shared" si="79"/>
        <v>0</v>
      </c>
      <c r="Q128" s="88">
        <f t="shared" si="80"/>
        <v>-4.5247446975648984</v>
      </c>
      <c r="R128" s="430">
        <f t="shared" si="81"/>
        <v>0.9402985074626854</v>
      </c>
      <c r="S128" s="682"/>
      <c r="T128" s="50">
        <v>0.86388888888888882</v>
      </c>
      <c r="U128" s="50">
        <v>0.91041666666666665</v>
      </c>
      <c r="V128" s="431">
        <v>7</v>
      </c>
      <c r="W128" s="442">
        <f t="shared" si="70"/>
        <v>67.000000000000085</v>
      </c>
      <c r="X128" s="64"/>
      <c r="Y128" s="64"/>
      <c r="Z128" s="54"/>
      <c r="AA128" s="54"/>
      <c r="AB128" s="633"/>
      <c r="AC128" s="633"/>
      <c r="AD128" s="429"/>
      <c r="AE128" s="429"/>
      <c r="AF128" s="48">
        <f t="shared" si="61"/>
        <v>-85.970149253733098</v>
      </c>
      <c r="AG128" s="433">
        <f t="shared" si="62"/>
        <v>0.9402985074626854</v>
      </c>
      <c r="AH128" s="646"/>
    </row>
    <row r="129" spans="1:34" ht="19.2" customHeight="1">
      <c r="A129" s="681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1483</v>
      </c>
      <c r="H129" s="45">
        <f t="shared" si="82"/>
        <v>75143.61</v>
      </c>
      <c r="I129" s="429"/>
      <c r="J129" s="87">
        <v>18</v>
      </c>
      <c r="K129" s="57">
        <v>1500</v>
      </c>
      <c r="L129" s="86">
        <v>83.333333333333329</v>
      </c>
      <c r="M129" s="440">
        <v>18</v>
      </c>
      <c r="N129" s="57">
        <f t="shared" si="83"/>
        <v>1412.3809523809537</v>
      </c>
      <c r="O129" s="86">
        <f t="shared" si="84"/>
        <v>78.46560846560854</v>
      </c>
      <c r="P129" s="54">
        <f t="shared" si="79"/>
        <v>0</v>
      </c>
      <c r="Q129" s="88">
        <f t="shared" si="80"/>
        <v>-4.8677248677247889</v>
      </c>
      <c r="R129" s="430">
        <f t="shared" si="81"/>
        <v>0.94158730158730253</v>
      </c>
      <c r="S129" s="682"/>
      <c r="T129" s="50">
        <v>0.92569444444444438</v>
      </c>
      <c r="U129" s="50">
        <v>0.96944444444444433</v>
      </c>
      <c r="V129" s="431">
        <v>22</v>
      </c>
      <c r="W129" s="442">
        <f t="shared" si="70"/>
        <v>62.999999999999936</v>
      </c>
      <c r="X129" s="64">
        <v>0.91388888888888886</v>
      </c>
      <c r="Y129" s="64">
        <v>0.92361111111111116</v>
      </c>
      <c r="Z129" s="54"/>
      <c r="AA129" s="54"/>
      <c r="AB129" s="633"/>
      <c r="AC129" s="633"/>
      <c r="AD129" s="429"/>
      <c r="AE129" s="429"/>
      <c r="AF129" s="108">
        <f t="shared" si="61"/>
        <v>-87.619047619046341</v>
      </c>
      <c r="AG129" s="109">
        <f t="shared" si="62"/>
        <v>0.94158730158730242</v>
      </c>
      <c r="AH129" s="646"/>
    </row>
    <row r="130" spans="1:34" ht="19.2" customHeight="1">
      <c r="A130" s="681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429"/>
      <c r="J130" s="87"/>
      <c r="K130" s="57"/>
      <c r="L130" s="86"/>
      <c r="M130" s="440"/>
      <c r="N130" s="177"/>
      <c r="O130" s="241"/>
      <c r="P130" s="108"/>
      <c r="Q130" s="185"/>
      <c r="R130" s="109"/>
      <c r="S130" s="682"/>
      <c r="T130" s="50"/>
      <c r="U130" s="50"/>
      <c r="V130" s="431"/>
      <c r="W130" s="442">
        <f t="shared" si="70"/>
        <v>0</v>
      </c>
      <c r="X130" s="64"/>
      <c r="Y130" s="64"/>
      <c r="Z130" s="54"/>
      <c r="AA130" s="54"/>
      <c r="AB130" s="633"/>
      <c r="AC130" s="633"/>
      <c r="AD130" s="429"/>
      <c r="AE130" s="429"/>
      <c r="AF130" s="108">
        <f t="shared" si="61"/>
        <v>0</v>
      </c>
      <c r="AG130" s="109" t="e">
        <f t="shared" si="62"/>
        <v>#DIV/0!</v>
      </c>
      <c r="AH130" s="646"/>
    </row>
    <row r="131" spans="1:34" ht="19.2" customHeight="1">
      <c r="A131" s="681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0"/>
      <c r="S131" s="682"/>
      <c r="T131" s="50"/>
      <c r="U131" s="50"/>
      <c r="V131" s="431"/>
      <c r="W131" s="442">
        <f t="shared" si="70"/>
        <v>0</v>
      </c>
      <c r="X131" s="64"/>
      <c r="Y131" s="64"/>
      <c r="Z131" s="54"/>
      <c r="AA131" s="54"/>
      <c r="AB131" s="633"/>
      <c r="AC131" s="633"/>
      <c r="AD131" s="429"/>
      <c r="AE131" s="429"/>
      <c r="AF131" s="48">
        <f t="shared" si="61"/>
        <v>0</v>
      </c>
      <c r="AG131" s="433" t="e">
        <f t="shared" si="62"/>
        <v>#DIV/0!</v>
      </c>
      <c r="AH131" s="646"/>
    </row>
    <row r="132" spans="1:34" ht="19.2" customHeight="1">
      <c r="A132" s="681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429"/>
      <c r="J132" s="87"/>
      <c r="K132" s="57"/>
      <c r="L132" s="86"/>
      <c r="M132" s="440"/>
      <c r="N132" s="57"/>
      <c r="O132" s="86"/>
      <c r="P132" s="54"/>
      <c r="Q132" s="88"/>
      <c r="R132" s="430"/>
      <c r="S132" s="682"/>
      <c r="T132" s="50"/>
      <c r="U132" s="50"/>
      <c r="V132" s="431"/>
      <c r="W132" s="442">
        <f t="shared" si="70"/>
        <v>0</v>
      </c>
      <c r="X132" s="64"/>
      <c r="Y132" s="64"/>
      <c r="Z132" s="54"/>
      <c r="AA132" s="54"/>
      <c r="AB132" s="633"/>
      <c r="AC132" s="633"/>
      <c r="AD132" s="429"/>
      <c r="AE132" s="429"/>
      <c r="AF132" s="65"/>
      <c r="AG132" s="434"/>
      <c r="AH132" s="646"/>
    </row>
    <row r="133" spans="1:34" ht="19.2" customHeight="1">
      <c r="A133" s="681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429"/>
      <c r="J133" s="87"/>
      <c r="K133" s="57"/>
      <c r="L133" s="86"/>
      <c r="M133" s="440"/>
      <c r="N133" s="57"/>
      <c r="O133" s="86"/>
      <c r="P133" s="54"/>
      <c r="Q133" s="88"/>
      <c r="R133" s="430"/>
      <c r="S133" s="682"/>
      <c r="T133" s="50"/>
      <c r="U133" s="50"/>
      <c r="V133" s="431"/>
      <c r="W133" s="243">
        <f t="shared" si="70"/>
        <v>0</v>
      </c>
      <c r="X133" s="64"/>
      <c r="Y133" s="64"/>
      <c r="Z133" s="54"/>
      <c r="AA133" s="54"/>
      <c r="AB133" s="633"/>
      <c r="AC133" s="633"/>
      <c r="AD133" s="429"/>
      <c r="AE133" s="429"/>
      <c r="AF133" s="65"/>
      <c r="AG133" s="434"/>
      <c r="AH133" s="646"/>
    </row>
    <row r="134" spans="1:34" ht="19.2" customHeight="1">
      <c r="A134" s="681"/>
      <c r="B134" s="171">
        <v>0</v>
      </c>
      <c r="C134" s="100" t="s">
        <v>311</v>
      </c>
      <c r="D134" s="660" t="s">
        <v>293</v>
      </c>
      <c r="E134" s="660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1381.3193781398418</v>
      </c>
      <c r="O134" s="247">
        <f t="shared" si="85"/>
        <v>75.02493786846928</v>
      </c>
      <c r="P134" s="51">
        <f t="shared" ref="P134:P144" si="86">M134-J134</f>
        <v>0</v>
      </c>
      <c r="Q134" s="142">
        <f t="shared" ref="Q134:Q144" si="87">O134-L134</f>
        <v>-7.2293866683629915</v>
      </c>
      <c r="R134" s="248">
        <f t="shared" ref="R134:R144" si="88">O134/L134</f>
        <v>0.91210934246836128</v>
      </c>
      <c r="S134" s="645"/>
      <c r="T134" s="50"/>
      <c r="U134" s="50"/>
      <c r="V134" s="431"/>
      <c r="W134" s="431"/>
      <c r="X134" s="53"/>
      <c r="Y134" s="53"/>
      <c r="Z134" s="106">
        <f>SUM(Z122:Z133)</f>
        <v>0</v>
      </c>
      <c r="AA134" s="106">
        <f>SUM(AA122:AA133)</f>
        <v>0</v>
      </c>
      <c r="AB134" s="633"/>
      <c r="AC134" s="633"/>
      <c r="AD134" s="107">
        <f>SUM(AD122:AD133)</f>
        <v>1</v>
      </c>
      <c r="AE134" s="107">
        <f>SUM(AE122:AE133)</f>
        <v>0</v>
      </c>
      <c r="AF134" s="48">
        <f t="shared" si="61"/>
        <v>-131.43062186015823</v>
      </c>
      <c r="AG134" s="433">
        <f t="shared" si="62"/>
        <v>0.9131180817318405</v>
      </c>
      <c r="AH134" s="646"/>
    </row>
    <row r="135" spans="1:34" ht="19.2" customHeight="1">
      <c r="A135" s="683" t="s">
        <v>312</v>
      </c>
      <c r="B135" s="431" t="s">
        <v>147</v>
      </c>
      <c r="C135" s="429"/>
      <c r="D135" s="82" t="s">
        <v>186</v>
      </c>
      <c r="E135" s="83"/>
      <c r="F135" s="361">
        <v>54.09</v>
      </c>
      <c r="G135" s="57">
        <v>3120.3</v>
      </c>
      <c r="H135" s="249">
        <f t="shared" ref="H135:H146" si="89">F135*G135</f>
        <v>168777.02700000003</v>
      </c>
      <c r="I135" s="429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1418.3181818181827</v>
      </c>
      <c r="O135" s="116">
        <f t="shared" ref="O135:O144" si="91">N135/M135</f>
        <v>78.795454545454589</v>
      </c>
      <c r="P135" s="54">
        <f t="shared" si="86"/>
        <v>0</v>
      </c>
      <c r="Q135" s="88">
        <f t="shared" si="87"/>
        <v>-4.5378787878787392</v>
      </c>
      <c r="R135" s="430">
        <f t="shared" si="88"/>
        <v>0.94554545454545513</v>
      </c>
      <c r="S135" s="680">
        <f>R147</f>
        <v>0.91677267719007494</v>
      </c>
      <c r="T135" s="250">
        <v>0.45833333333333331</v>
      </c>
      <c r="U135" s="50">
        <v>0.54999999999999993</v>
      </c>
      <c r="V135" s="145">
        <v>5</v>
      </c>
      <c r="W135" s="251">
        <f t="shared" ref="W135:W147" si="92">(U135-T135)*24*60</f>
        <v>131.99999999999994</v>
      </c>
      <c r="X135" s="53"/>
      <c r="Y135" s="53"/>
      <c r="Z135" s="54"/>
      <c r="AA135" s="54"/>
      <c r="AB135" s="633"/>
      <c r="AC135" s="633"/>
      <c r="AD135" s="429"/>
      <c r="AE135" s="429"/>
      <c r="AF135" s="117">
        <f t="shared" si="61"/>
        <v>-81.681818181817334</v>
      </c>
      <c r="AG135" s="121">
        <f t="shared" si="62"/>
        <v>0.94554545454545513</v>
      </c>
      <c r="AH135" s="654">
        <f>AG147</f>
        <v>0.92525745759442923</v>
      </c>
    </row>
    <row r="136" spans="1:34" ht="19.2" customHeight="1">
      <c r="A136" s="684"/>
      <c r="B136" s="431" t="s">
        <v>147</v>
      </c>
      <c r="C136" s="429"/>
      <c r="D136" s="82" t="s">
        <v>79</v>
      </c>
      <c r="E136" s="83"/>
      <c r="F136" s="361">
        <v>53.68</v>
      </c>
      <c r="G136" s="57">
        <v>874</v>
      </c>
      <c r="H136" s="84">
        <f t="shared" si="89"/>
        <v>46916.32</v>
      </c>
      <c r="I136" s="429"/>
      <c r="J136" s="46">
        <v>16</v>
      </c>
      <c r="K136" s="57">
        <v>1500</v>
      </c>
      <c r="L136" s="86">
        <v>93.75</v>
      </c>
      <c r="M136" s="440">
        <v>16</v>
      </c>
      <c r="N136" s="57">
        <f t="shared" si="90"/>
        <v>1310.9999999999995</v>
      </c>
      <c r="O136" s="86">
        <f t="shared" si="91"/>
        <v>81.937499999999972</v>
      </c>
      <c r="P136" s="54">
        <f t="shared" si="86"/>
        <v>0</v>
      </c>
      <c r="Q136" s="88">
        <f t="shared" si="87"/>
        <v>-11.812500000000028</v>
      </c>
      <c r="R136" s="430">
        <f t="shared" si="88"/>
        <v>0.87399999999999967</v>
      </c>
      <c r="S136" s="680"/>
      <c r="T136" s="250">
        <v>0.55416666666666659</v>
      </c>
      <c r="U136" s="50">
        <v>0.58194444444444438</v>
      </c>
      <c r="V136" s="145">
        <v>6</v>
      </c>
      <c r="W136" s="251">
        <f t="shared" si="92"/>
        <v>40.000000000000014</v>
      </c>
      <c r="X136" s="53"/>
      <c r="Y136" s="53"/>
      <c r="Z136" s="54"/>
      <c r="AA136" s="54"/>
      <c r="AB136" s="633"/>
      <c r="AC136" s="633"/>
      <c r="AD136" s="429"/>
      <c r="AE136" s="429"/>
      <c r="AF136" s="48">
        <f t="shared" si="61"/>
        <v>-189.00000000000045</v>
      </c>
      <c r="AG136" s="126">
        <f t="shared" si="62"/>
        <v>0.87399999999999967</v>
      </c>
      <c r="AH136" s="654"/>
    </row>
    <row r="137" spans="1:34" ht="19.2" customHeight="1">
      <c r="A137" s="684"/>
      <c r="B137" s="431" t="s">
        <v>147</v>
      </c>
      <c r="C137" s="429"/>
      <c r="D137" s="82" t="s">
        <v>80</v>
      </c>
      <c r="E137" s="83"/>
      <c r="F137" s="361">
        <v>57.734999999999999</v>
      </c>
      <c r="G137" s="212">
        <v>1842</v>
      </c>
      <c r="H137" s="84">
        <f t="shared" si="89"/>
        <v>106347.87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1381.4999999999995</v>
      </c>
      <c r="O137" s="86">
        <f t="shared" si="91"/>
        <v>86.343749999999972</v>
      </c>
      <c r="P137" s="54">
        <f t="shared" si="86"/>
        <v>0</v>
      </c>
      <c r="Q137" s="88">
        <f t="shared" si="87"/>
        <v>-11.468750000000028</v>
      </c>
      <c r="R137" s="430">
        <f t="shared" si="88"/>
        <v>0.88274760383386552</v>
      </c>
      <c r="S137" s="680"/>
      <c r="T137" s="50">
        <v>0.5972222222222221</v>
      </c>
      <c r="U137" s="50">
        <v>0.65277777777777768</v>
      </c>
      <c r="V137" s="253">
        <v>22</v>
      </c>
      <c r="W137" s="251">
        <f t="shared" si="92"/>
        <v>80.000000000000028</v>
      </c>
      <c r="X137" s="53">
        <v>0.5854166666666667</v>
      </c>
      <c r="Y137" s="53">
        <v>0.59444444444444444</v>
      </c>
      <c r="Z137" s="54"/>
      <c r="AA137" s="54"/>
      <c r="AB137" s="633"/>
      <c r="AC137" s="633"/>
      <c r="AD137" s="429">
        <v>1</v>
      </c>
      <c r="AE137" s="429"/>
      <c r="AF137" s="48">
        <f t="shared" si="61"/>
        <v>-183.50000000000045</v>
      </c>
      <c r="AG137" s="126">
        <f t="shared" si="62"/>
        <v>0.88274760383386552</v>
      </c>
      <c r="AH137" s="654"/>
    </row>
    <row r="138" spans="1:34" ht="19.2" customHeight="1">
      <c r="A138" s="684"/>
      <c r="B138" s="431" t="s">
        <v>147</v>
      </c>
      <c r="C138" s="226"/>
      <c r="D138" s="82" t="s">
        <v>222</v>
      </c>
      <c r="E138" s="83"/>
      <c r="F138" s="361">
        <v>50.67</v>
      </c>
      <c r="G138" s="57">
        <v>1894</v>
      </c>
      <c r="H138" s="84">
        <f t="shared" si="89"/>
        <v>95968.98000000001</v>
      </c>
      <c r="I138" s="429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1385.853658536585</v>
      </c>
      <c r="O138" s="86">
        <f t="shared" si="91"/>
        <v>76.991869918699166</v>
      </c>
      <c r="P138" s="54">
        <f t="shared" si="86"/>
        <v>0</v>
      </c>
      <c r="Q138" s="88">
        <f t="shared" si="87"/>
        <v>-6.3414634146341626</v>
      </c>
      <c r="R138" s="435">
        <f t="shared" si="88"/>
        <v>0.92390243902439007</v>
      </c>
      <c r="S138" s="680"/>
      <c r="T138" s="50">
        <v>0.65833333333333321</v>
      </c>
      <c r="U138" s="50">
        <v>0.71527777777777768</v>
      </c>
      <c r="V138" s="253">
        <v>8</v>
      </c>
      <c r="W138" s="251">
        <f t="shared" si="92"/>
        <v>82.000000000000028</v>
      </c>
      <c r="X138" s="53"/>
      <c r="Y138" s="53"/>
      <c r="Z138" s="54"/>
      <c r="AA138" s="54"/>
      <c r="AB138" s="633"/>
      <c r="AC138" s="633"/>
      <c r="AD138" s="429"/>
      <c r="AE138" s="429"/>
      <c r="AF138" s="48">
        <f t="shared" si="61"/>
        <v>-114.14634146341496</v>
      </c>
      <c r="AG138" s="126">
        <f t="shared" si="62"/>
        <v>0.92390243902439007</v>
      </c>
      <c r="AH138" s="654"/>
    </row>
    <row r="139" spans="1:34" ht="19.2" customHeight="1">
      <c r="A139" s="684"/>
      <c r="B139" s="431" t="s">
        <v>147</v>
      </c>
      <c r="C139" s="438"/>
      <c r="D139" s="42" t="s">
        <v>92</v>
      </c>
      <c r="E139" s="43"/>
      <c r="F139" s="361">
        <v>50.67</v>
      </c>
      <c r="G139" s="57">
        <v>896</v>
      </c>
      <c r="H139" s="84">
        <f t="shared" si="89"/>
        <v>45400.32</v>
      </c>
      <c r="I139" s="429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1414.736842105262</v>
      </c>
      <c r="O139" s="86">
        <f t="shared" si="91"/>
        <v>83.219814241486006</v>
      </c>
      <c r="P139" s="54">
        <f t="shared" si="86"/>
        <v>0</v>
      </c>
      <c r="Q139" s="88">
        <f t="shared" si="87"/>
        <v>-5.0154798761610522</v>
      </c>
      <c r="R139" s="430">
        <f t="shared" si="88"/>
        <v>0.94315789473684142</v>
      </c>
      <c r="S139" s="680"/>
      <c r="T139" s="50">
        <v>0.75555555555555542</v>
      </c>
      <c r="U139" s="50">
        <v>0.78194444444444433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633"/>
      <c r="AC139" s="633"/>
      <c r="AD139" s="429"/>
      <c r="AE139" s="429"/>
      <c r="AF139" s="48">
        <f t="shared" si="61"/>
        <v>-85.263157894738015</v>
      </c>
      <c r="AG139" s="126">
        <f t="shared" si="62"/>
        <v>0.94315789473684131</v>
      </c>
      <c r="AH139" s="654"/>
    </row>
    <row r="140" spans="1:34" ht="19.2" customHeight="1">
      <c r="A140" s="685"/>
      <c r="B140" s="431" t="s">
        <v>147</v>
      </c>
      <c r="C140" s="438"/>
      <c r="D140" s="255" t="s">
        <v>93</v>
      </c>
      <c r="E140" s="83"/>
      <c r="F140" s="361">
        <v>50.98</v>
      </c>
      <c r="G140" s="57">
        <v>1587</v>
      </c>
      <c r="H140" s="84">
        <f t="shared" si="89"/>
        <v>80905.259999999995</v>
      </c>
      <c r="I140" s="429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1360.2857142857129</v>
      </c>
      <c r="O140" s="86">
        <f t="shared" si="91"/>
        <v>68.014285714285649</v>
      </c>
      <c r="P140" s="54">
        <f t="shared" si="86"/>
        <v>0</v>
      </c>
      <c r="Q140" s="88">
        <f t="shared" si="87"/>
        <v>-3.9857142857143515</v>
      </c>
      <c r="R140" s="430">
        <f t="shared" si="88"/>
        <v>0.94464285714285623</v>
      </c>
      <c r="S140" s="687"/>
      <c r="T140" s="63">
        <v>0.78611111111111098</v>
      </c>
      <c r="U140" s="256">
        <v>0.83472222222222214</v>
      </c>
      <c r="V140" s="257">
        <v>6</v>
      </c>
      <c r="W140" s="251">
        <f t="shared" si="92"/>
        <v>70.000000000000071</v>
      </c>
      <c r="X140" s="53"/>
      <c r="Y140" s="53"/>
      <c r="Z140" s="54"/>
      <c r="AA140" s="54"/>
      <c r="AB140" s="633"/>
      <c r="AC140" s="633"/>
      <c r="AD140" s="429"/>
      <c r="AE140" s="429"/>
      <c r="AF140" s="48">
        <f t="shared" si="61"/>
        <v>-79.714285714287143</v>
      </c>
      <c r="AG140" s="126">
        <f t="shared" si="62"/>
        <v>0.94464285714285612</v>
      </c>
      <c r="AH140" s="654"/>
    </row>
    <row r="141" spans="1:34" ht="19.2" customHeight="1">
      <c r="A141" s="685"/>
      <c r="B141" s="431" t="s">
        <v>147</v>
      </c>
      <c r="C141" s="438"/>
      <c r="D141" s="42" t="s">
        <v>94</v>
      </c>
      <c r="E141" s="258"/>
      <c r="F141" s="361">
        <v>54.09</v>
      </c>
      <c r="G141" s="57">
        <v>865</v>
      </c>
      <c r="H141" s="84">
        <f t="shared" si="89"/>
        <v>46787.850000000006</v>
      </c>
      <c r="I141" s="429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1402.7027027027016</v>
      </c>
      <c r="O141" s="86">
        <f t="shared" si="91"/>
        <v>73.826458036984292</v>
      </c>
      <c r="P141" s="54">
        <f t="shared" si="86"/>
        <v>0</v>
      </c>
      <c r="Q141" s="88">
        <f t="shared" si="87"/>
        <v>-5.1209103840683383</v>
      </c>
      <c r="R141" s="430">
        <f t="shared" si="88"/>
        <v>0.93513513513513435</v>
      </c>
      <c r="S141" s="687"/>
      <c r="T141" s="63">
        <v>0.83958333333333324</v>
      </c>
      <c r="U141" s="256">
        <v>0.8652777777777777</v>
      </c>
      <c r="V141" s="55">
        <v>7</v>
      </c>
      <c r="W141" s="251">
        <f t="shared" si="92"/>
        <v>37.000000000000028</v>
      </c>
      <c r="X141" s="53"/>
      <c r="Y141" s="53"/>
      <c r="Z141" s="54"/>
      <c r="AA141" s="54"/>
      <c r="AB141" s="633"/>
      <c r="AC141" s="633"/>
      <c r="AD141" s="429"/>
      <c r="AE141" s="429"/>
      <c r="AF141" s="48">
        <f t="shared" si="61"/>
        <v>-97.297297297298428</v>
      </c>
      <c r="AG141" s="126">
        <f t="shared" si="62"/>
        <v>0.93513513513513435</v>
      </c>
      <c r="AH141" s="654"/>
    </row>
    <row r="142" spans="1:34" ht="19.2" customHeight="1">
      <c r="A142" s="685"/>
      <c r="B142" s="431" t="s">
        <v>147</v>
      </c>
      <c r="C142" s="438"/>
      <c r="D142" s="42" t="s">
        <v>95</v>
      </c>
      <c r="E142" s="258"/>
      <c r="F142" s="361">
        <v>50.92</v>
      </c>
      <c r="G142" s="57">
        <v>1977</v>
      </c>
      <c r="H142" s="84">
        <f t="shared" si="89"/>
        <v>100668.84</v>
      </c>
      <c r="I142" s="429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1347.9545454545455</v>
      </c>
      <c r="O142" s="86">
        <f t="shared" si="91"/>
        <v>70.944976076555022</v>
      </c>
      <c r="P142" s="54">
        <f t="shared" si="86"/>
        <v>0</v>
      </c>
      <c r="Q142" s="88">
        <f t="shared" si="87"/>
        <v>-4.844497607655498</v>
      </c>
      <c r="R142" s="430">
        <f t="shared" si="88"/>
        <v>0.93607954545454553</v>
      </c>
      <c r="S142" s="687"/>
      <c r="T142" s="63">
        <v>0.88124999999999987</v>
      </c>
      <c r="U142" s="256">
        <v>0.94236111111111098</v>
      </c>
      <c r="V142" s="55">
        <v>23</v>
      </c>
      <c r="W142" s="251">
        <f t="shared" si="92"/>
        <v>88</v>
      </c>
      <c r="X142" s="53">
        <v>0.86875000000000002</v>
      </c>
      <c r="Y142" s="53">
        <v>0.87847222222222221</v>
      </c>
      <c r="Z142" s="54"/>
      <c r="AA142" s="54"/>
      <c r="AB142" s="633"/>
      <c r="AC142" s="633"/>
      <c r="AD142" s="429"/>
      <c r="AE142" s="429"/>
      <c r="AF142" s="48">
        <f t="shared" si="61"/>
        <v>-92.045454545454504</v>
      </c>
      <c r="AG142" s="126">
        <f t="shared" si="62"/>
        <v>0.93607954545454553</v>
      </c>
      <c r="AH142" s="654"/>
    </row>
    <row r="143" spans="1:34" ht="19.2" customHeight="1">
      <c r="A143" s="685"/>
      <c r="B143" s="431" t="s">
        <v>147</v>
      </c>
      <c r="C143" s="259"/>
      <c r="D143" s="82" t="s">
        <v>96</v>
      </c>
      <c r="E143" s="83"/>
      <c r="F143" s="361">
        <v>50.67</v>
      </c>
      <c r="G143" s="57">
        <v>1080</v>
      </c>
      <c r="H143" s="84">
        <f t="shared" si="89"/>
        <v>54723.6</v>
      </c>
      <c r="I143" s="429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1350.0000000000005</v>
      </c>
      <c r="O143" s="86">
        <f t="shared" si="91"/>
        <v>79.411764705882376</v>
      </c>
      <c r="P143" s="54">
        <f t="shared" si="86"/>
        <v>0</v>
      </c>
      <c r="Q143" s="88">
        <f t="shared" si="87"/>
        <v>-5.2941176470587976</v>
      </c>
      <c r="R143" s="430">
        <f t="shared" si="88"/>
        <v>0.93750000000000033</v>
      </c>
      <c r="S143" s="687"/>
      <c r="T143" s="63">
        <v>0.94722222222222208</v>
      </c>
      <c r="U143" s="256">
        <v>0.9805555555555554</v>
      </c>
      <c r="V143" s="55">
        <v>7</v>
      </c>
      <c r="W143" s="251">
        <f t="shared" si="92"/>
        <v>47.999999999999986</v>
      </c>
      <c r="X143" s="53"/>
      <c r="Y143" s="53"/>
      <c r="Z143" s="54"/>
      <c r="AA143" s="54"/>
      <c r="AB143" s="633"/>
      <c r="AC143" s="633"/>
      <c r="AD143" s="429"/>
      <c r="AE143" s="429"/>
      <c r="AF143" s="48">
        <f t="shared" si="61"/>
        <v>-89.999999999999545</v>
      </c>
      <c r="AG143" s="126">
        <f t="shared" si="62"/>
        <v>0.93750000000000033</v>
      </c>
      <c r="AH143" s="654"/>
    </row>
    <row r="144" spans="1:34" ht="19.2" customHeight="1">
      <c r="A144" s="685"/>
      <c r="B144" s="431" t="s">
        <v>147</v>
      </c>
      <c r="C144" s="438"/>
      <c r="D144" s="42" t="s">
        <v>97</v>
      </c>
      <c r="E144" s="258"/>
      <c r="F144" s="361">
        <v>50.49</v>
      </c>
      <c r="G144" s="57">
        <v>1367</v>
      </c>
      <c r="H144" s="84">
        <f t="shared" si="89"/>
        <v>69019.83</v>
      </c>
      <c r="I144" s="429"/>
      <c r="J144" s="87">
        <v>14</v>
      </c>
      <c r="K144" s="57">
        <v>1440</v>
      </c>
      <c r="L144" s="86">
        <v>102.85714285714286</v>
      </c>
      <c r="M144" s="440">
        <v>15</v>
      </c>
      <c r="N144" s="57">
        <f t="shared" si="90"/>
        <v>1344.5901639344274</v>
      </c>
      <c r="O144" s="86">
        <f t="shared" si="91"/>
        <v>89.639344262295168</v>
      </c>
      <c r="P144" s="54">
        <f t="shared" si="86"/>
        <v>1</v>
      </c>
      <c r="Q144" s="88">
        <f t="shared" si="87"/>
        <v>-13.217798594847693</v>
      </c>
      <c r="R144" s="430">
        <f t="shared" si="88"/>
        <v>0.87149362477231407</v>
      </c>
      <c r="S144" s="687"/>
      <c r="T144" s="63">
        <v>0.98611111111111094</v>
      </c>
      <c r="U144" s="256">
        <v>1.028472222222222</v>
      </c>
      <c r="V144" s="55">
        <v>8</v>
      </c>
      <c r="W144" s="251">
        <f t="shared" si="92"/>
        <v>60.999999999999943</v>
      </c>
      <c r="X144" s="53"/>
      <c r="Y144" s="53"/>
      <c r="Z144" s="54"/>
      <c r="AA144" s="54"/>
      <c r="AB144" s="633"/>
      <c r="AC144" s="633"/>
      <c r="AD144" s="429"/>
      <c r="AE144" s="429"/>
      <c r="AF144" s="48">
        <f t="shared" si="61"/>
        <v>-95.409836065572563</v>
      </c>
      <c r="AG144" s="126">
        <f t="shared" si="62"/>
        <v>0.93374316939890789</v>
      </c>
      <c r="AH144" s="654"/>
    </row>
    <row r="145" spans="1:34" ht="19.2" customHeight="1">
      <c r="A145" s="685"/>
      <c r="B145" s="431">
        <v>0</v>
      </c>
      <c r="C145" s="438"/>
      <c r="D145" s="42"/>
      <c r="E145" s="258"/>
      <c r="F145" s="361" t="s">
        <v>148</v>
      </c>
      <c r="G145" s="57"/>
      <c r="H145" s="84">
        <f t="shared" si="89"/>
        <v>0</v>
      </c>
      <c r="I145" s="429"/>
      <c r="J145" s="87"/>
      <c r="K145" s="57"/>
      <c r="L145" s="86"/>
      <c r="M145" s="440"/>
      <c r="N145" s="57"/>
      <c r="O145" s="86"/>
      <c r="P145" s="54"/>
      <c r="Q145" s="88"/>
      <c r="R145" s="430"/>
      <c r="S145" s="687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633"/>
      <c r="AC145" s="633"/>
      <c r="AD145" s="429"/>
      <c r="AE145" s="429"/>
      <c r="AF145" s="48">
        <f t="shared" si="61"/>
        <v>0</v>
      </c>
      <c r="AG145" s="126" t="e">
        <f t="shared" si="62"/>
        <v>#DIV/0!</v>
      </c>
      <c r="AH145" s="654"/>
    </row>
    <row r="146" spans="1:34" ht="19.2" customHeight="1">
      <c r="A146" s="685"/>
      <c r="B146" s="445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429"/>
      <c r="J146" s="87"/>
      <c r="K146" s="57"/>
      <c r="L146" s="86"/>
      <c r="M146" s="440"/>
      <c r="N146" s="57"/>
      <c r="O146" s="86"/>
      <c r="P146" s="54"/>
      <c r="Q146" s="88"/>
      <c r="R146" s="430"/>
      <c r="S146" s="687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633"/>
      <c r="AC146" s="633"/>
      <c r="AD146" s="429"/>
      <c r="AE146" s="429"/>
      <c r="AF146" s="54"/>
      <c r="AG146" s="430"/>
      <c r="AH146" s="654"/>
    </row>
    <row r="147" spans="1:34" ht="19.2" customHeight="1">
      <c r="A147" s="686"/>
      <c r="B147" s="261">
        <v>0</v>
      </c>
      <c r="C147" s="100" t="s">
        <v>313</v>
      </c>
      <c r="D147" s="660" t="s">
        <v>293</v>
      </c>
      <c r="E147" s="660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1371.6941808837414</v>
      </c>
      <c r="O147" s="247">
        <f t="shared" si="93"/>
        <v>78.912521750164217</v>
      </c>
      <c r="P147" s="51">
        <f t="shared" ref="P147:P153" si="94">M147-J147</f>
        <v>0.10000000000000142</v>
      </c>
      <c r="Q147" s="142">
        <f t="shared" ref="Q147:Q153" si="95">O147-L147</f>
        <v>-7.163911059801876</v>
      </c>
      <c r="R147" s="262">
        <f t="shared" ref="R147:R153" si="96">O147/L147</f>
        <v>0.91677267719007494</v>
      </c>
      <c r="S147" s="688"/>
      <c r="T147" s="63"/>
      <c r="U147" s="63"/>
      <c r="V147" s="55"/>
      <c r="W147" s="44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33"/>
      <c r="AC147" s="633"/>
      <c r="AD147" s="107">
        <f>SUM(AD135:AD146)</f>
        <v>1</v>
      </c>
      <c r="AE147" s="107">
        <f>SUM(AE135:AE146)</f>
        <v>0</v>
      </c>
      <c r="AF147" s="207">
        <f t="shared" si="61"/>
        <v>-110.80581911625859</v>
      </c>
      <c r="AG147" s="263">
        <f t="shared" si="62"/>
        <v>0.92525745759442923</v>
      </c>
      <c r="AH147" s="654"/>
    </row>
    <row r="148" spans="1:34" ht="19.2" customHeight="1">
      <c r="A148" s="690" t="s">
        <v>314</v>
      </c>
      <c r="B148" s="429" t="s">
        <v>147</v>
      </c>
      <c r="C148" s="122"/>
      <c r="D148" s="176" t="s">
        <v>162</v>
      </c>
      <c r="E148" s="43"/>
      <c r="F148" s="368">
        <v>44.98</v>
      </c>
      <c r="G148" s="57">
        <v>1468</v>
      </c>
      <c r="H148" s="84">
        <f t="shared" ref="H148:H172" si="97">F148*G148</f>
        <v>66030.64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1240.5633802816888</v>
      </c>
      <c r="O148" s="47">
        <f t="shared" ref="O148:O153" si="99">N148/M148</f>
        <v>65.292809488509931</v>
      </c>
      <c r="P148" s="48">
        <f t="shared" si="94"/>
        <v>0</v>
      </c>
      <c r="Q148" s="49">
        <f t="shared" si="95"/>
        <v>-13.654558932542699</v>
      </c>
      <c r="R148" s="433">
        <f t="shared" si="96"/>
        <v>0.82704225352112581</v>
      </c>
      <c r="S148" s="691">
        <f>R160</f>
        <v>0.88446762777741639</v>
      </c>
      <c r="T148" s="250">
        <v>0.70833333333333337</v>
      </c>
      <c r="U148" s="50">
        <v>0.75763888888888897</v>
      </c>
      <c r="V148" s="431">
        <v>5</v>
      </c>
      <c r="W148" s="442">
        <f>(U148-T148)*24*60</f>
        <v>71.000000000000071</v>
      </c>
      <c r="X148" s="53"/>
      <c r="Y148" s="53"/>
      <c r="Z148" s="54"/>
      <c r="AA148" s="54"/>
      <c r="AB148" s="633"/>
      <c r="AC148" s="633"/>
      <c r="AD148" s="429"/>
      <c r="AE148" s="429"/>
      <c r="AF148" s="48">
        <f t="shared" si="61"/>
        <v>-259.43661971831125</v>
      </c>
      <c r="AG148" s="126">
        <f t="shared" si="62"/>
        <v>0.82704225352112581</v>
      </c>
      <c r="AH148" s="654">
        <f>AG160</f>
        <v>0.89170959832359686</v>
      </c>
    </row>
    <row r="149" spans="1:34" ht="19.2" customHeight="1">
      <c r="A149" s="690"/>
      <c r="B149" s="429" t="s">
        <v>147</v>
      </c>
      <c r="C149" s="224"/>
      <c r="D149" s="255" t="s">
        <v>76</v>
      </c>
      <c r="E149" s="60"/>
      <c r="F149" s="368">
        <v>53.68</v>
      </c>
      <c r="G149" s="57">
        <v>1100</v>
      </c>
      <c r="H149" s="84">
        <f t="shared" si="97"/>
        <v>59048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1245.2830188679252</v>
      </c>
      <c r="O149" s="47">
        <f t="shared" si="99"/>
        <v>62.26415094339626</v>
      </c>
      <c r="P149" s="48">
        <f t="shared" si="94"/>
        <v>0</v>
      </c>
      <c r="Q149" s="49">
        <f t="shared" si="95"/>
        <v>-12.73584905660374</v>
      </c>
      <c r="R149" s="433">
        <f t="shared" si="96"/>
        <v>0.8301886792452835</v>
      </c>
      <c r="S149" s="692"/>
      <c r="T149" s="250">
        <v>0.76250000000000007</v>
      </c>
      <c r="U149" s="50">
        <v>0.7993055555555556</v>
      </c>
      <c r="V149" s="431">
        <v>7</v>
      </c>
      <c r="W149" s="442">
        <f t="shared" ref="W149:W159" si="100">(U149-T149)*24*60</f>
        <v>52.999999999999972</v>
      </c>
      <c r="X149" s="53"/>
      <c r="Y149" s="53"/>
      <c r="Z149" s="54"/>
      <c r="AA149" s="54"/>
      <c r="AB149" s="633"/>
      <c r="AC149" s="633"/>
      <c r="AD149" s="429"/>
      <c r="AE149" s="429"/>
      <c r="AF149" s="48">
        <f t="shared" si="61"/>
        <v>-254.71698113207481</v>
      </c>
      <c r="AG149" s="126">
        <f t="shared" si="62"/>
        <v>0.8301886792452835</v>
      </c>
      <c r="AH149" s="693"/>
    </row>
    <row r="150" spans="1:34" ht="19.2" customHeight="1">
      <c r="A150" s="690"/>
      <c r="B150" s="429" t="s">
        <v>147</v>
      </c>
      <c r="C150" s="224"/>
      <c r="D150" s="179" t="s">
        <v>84</v>
      </c>
      <c r="E150" s="60"/>
      <c r="F150" s="368">
        <v>55.32</v>
      </c>
      <c r="G150" s="57">
        <v>626</v>
      </c>
      <c r="H150" s="84">
        <f t="shared" si="97"/>
        <v>34630.32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1341.4285714285684</v>
      </c>
      <c r="O150" s="47">
        <f t="shared" si="99"/>
        <v>89.428571428571232</v>
      </c>
      <c r="P150" s="48">
        <f t="shared" si="94"/>
        <v>1</v>
      </c>
      <c r="Q150" s="49">
        <f t="shared" si="95"/>
        <v>-13.42857142857163</v>
      </c>
      <c r="R150" s="433">
        <f t="shared" si="96"/>
        <v>0.86944444444444247</v>
      </c>
      <c r="S150" s="692"/>
      <c r="T150" s="250">
        <v>0.80277777777777781</v>
      </c>
      <c r="U150" s="50">
        <v>0.8222222222222223</v>
      </c>
      <c r="V150" s="431">
        <v>5</v>
      </c>
      <c r="W150" s="442">
        <f t="shared" si="100"/>
        <v>28.00000000000006</v>
      </c>
      <c r="X150" s="219"/>
      <c r="Y150" s="219"/>
      <c r="Z150" s="220"/>
      <c r="AA150" s="220"/>
      <c r="AB150" s="633"/>
      <c r="AC150" s="633"/>
      <c r="AD150" s="429"/>
      <c r="AE150" s="429"/>
      <c r="AF150" s="48">
        <f t="shared" si="61"/>
        <v>-98.571428571431625</v>
      </c>
      <c r="AG150" s="126">
        <f t="shared" si="62"/>
        <v>0.93154761904761696</v>
      </c>
      <c r="AH150" s="693"/>
    </row>
    <row r="151" spans="1:34" s="221" customFormat="1" ht="19.2" customHeight="1">
      <c r="A151" s="690"/>
      <c r="B151" s="429" t="s">
        <v>147</v>
      </c>
      <c r="C151" s="224"/>
      <c r="D151" s="59" t="s">
        <v>85</v>
      </c>
      <c r="E151" s="60"/>
      <c r="F151" s="368">
        <v>55.56</v>
      </c>
      <c r="G151" s="57">
        <v>916</v>
      </c>
      <c r="H151" s="84">
        <f t="shared" si="97"/>
        <v>50892.959999999999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1308.5714285714282</v>
      </c>
      <c r="O151" s="47">
        <f t="shared" si="99"/>
        <v>81.785714285714263</v>
      </c>
      <c r="P151" s="48">
        <f t="shared" si="94"/>
        <v>0</v>
      </c>
      <c r="Q151" s="49">
        <f t="shared" si="95"/>
        <v>-8.2142857142857366</v>
      </c>
      <c r="R151" s="433">
        <f t="shared" si="96"/>
        <v>0.9087301587301585</v>
      </c>
      <c r="S151" s="692"/>
      <c r="T151" s="250">
        <v>0.82708333333333339</v>
      </c>
      <c r="U151" s="50">
        <v>0.85625000000000007</v>
      </c>
      <c r="V151" s="431">
        <v>7</v>
      </c>
      <c r="W151" s="442">
        <f t="shared" si="100"/>
        <v>42.000000000000014</v>
      </c>
      <c r="X151" s="219"/>
      <c r="Y151" s="219"/>
      <c r="Z151" s="220"/>
      <c r="AA151" s="220"/>
      <c r="AB151" s="633"/>
      <c r="AC151" s="633"/>
      <c r="AD151" s="224"/>
      <c r="AE151" s="224"/>
      <c r="AF151" s="48">
        <f t="shared" si="61"/>
        <v>-131.42857142857179</v>
      </c>
      <c r="AG151" s="126">
        <f t="shared" si="62"/>
        <v>0.9087301587301585</v>
      </c>
      <c r="AH151" s="693"/>
    </row>
    <row r="152" spans="1:34" s="221" customFormat="1" ht="19.2" customHeight="1">
      <c r="A152" s="690"/>
      <c r="B152" s="429" t="s">
        <v>147</v>
      </c>
      <c r="C152" s="224"/>
      <c r="D152" s="255" t="s">
        <v>83</v>
      </c>
      <c r="E152" s="60"/>
      <c r="F152" s="368">
        <v>54.29</v>
      </c>
      <c r="G152" s="57">
        <v>696</v>
      </c>
      <c r="H152" s="84">
        <f t="shared" si="97"/>
        <v>37785.839999999997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1347.096774193546</v>
      </c>
      <c r="O152" s="47">
        <f t="shared" si="99"/>
        <v>89.806451612903075</v>
      </c>
      <c r="P152" s="48">
        <f t="shared" si="94"/>
        <v>0</v>
      </c>
      <c r="Q152" s="49">
        <f t="shared" si="95"/>
        <v>-6.193548387096925</v>
      </c>
      <c r="R152" s="433">
        <f t="shared" si="96"/>
        <v>0.93548387096774033</v>
      </c>
      <c r="S152" s="692"/>
      <c r="T152" s="265">
        <v>0.87152777777777779</v>
      </c>
      <c r="U152" s="63">
        <v>0.8930555555555556</v>
      </c>
      <c r="V152" s="444">
        <v>22</v>
      </c>
      <c r="W152" s="442">
        <f t="shared" si="100"/>
        <v>31.00000000000005</v>
      </c>
      <c r="X152" s="222">
        <v>0.85972222222222217</v>
      </c>
      <c r="Y152" s="222">
        <v>0.86875000000000002</v>
      </c>
      <c r="Z152" s="220"/>
      <c r="AA152" s="220"/>
      <c r="AB152" s="633"/>
      <c r="AC152" s="633"/>
      <c r="AD152" s="224"/>
      <c r="AE152" s="224"/>
      <c r="AF152" s="48">
        <f t="shared" si="61"/>
        <v>-92.903225806453975</v>
      </c>
      <c r="AG152" s="126">
        <f t="shared" si="62"/>
        <v>0.93548387096774033</v>
      </c>
      <c r="AH152" s="693"/>
    </row>
    <row r="153" spans="1:34" s="221" customFormat="1" ht="19.2" customHeight="1">
      <c r="A153" s="690"/>
      <c r="B153" s="429" t="s">
        <v>147</v>
      </c>
      <c r="C153" s="224"/>
      <c r="D153" s="255" t="s">
        <v>98</v>
      </c>
      <c r="E153" s="60"/>
      <c r="F153" s="368">
        <v>57.3</v>
      </c>
      <c r="G153" s="57">
        <v>1428</v>
      </c>
      <c r="H153" s="84">
        <f t="shared" si="97"/>
        <v>81824.399999999994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1381.9354838709689</v>
      </c>
      <c r="O153" s="47">
        <f t="shared" si="99"/>
        <v>76.77419354838716</v>
      </c>
      <c r="P153" s="48">
        <f t="shared" si="94"/>
        <v>0</v>
      </c>
      <c r="Q153" s="49">
        <f t="shared" si="95"/>
        <v>-6.5591397849461686</v>
      </c>
      <c r="R153" s="433">
        <f t="shared" si="96"/>
        <v>0.92129032258064603</v>
      </c>
      <c r="S153" s="692"/>
      <c r="T153" s="265">
        <v>0.89861111111111114</v>
      </c>
      <c r="U153" s="63">
        <v>0.94166666666666665</v>
      </c>
      <c r="V153" s="444">
        <v>8</v>
      </c>
      <c r="W153" s="442">
        <f t="shared" si="100"/>
        <v>61.999999999999943</v>
      </c>
      <c r="X153" s="222"/>
      <c r="Y153" s="222"/>
      <c r="Z153" s="220"/>
      <c r="AA153" s="220"/>
      <c r="AB153" s="633"/>
      <c r="AC153" s="633"/>
      <c r="AD153" s="224"/>
      <c r="AE153" s="224"/>
      <c r="AF153" s="48">
        <f t="shared" si="61"/>
        <v>-118.06451612903106</v>
      </c>
      <c r="AG153" s="126">
        <f t="shared" si="62"/>
        <v>0.92129032258064592</v>
      </c>
      <c r="AH153" s="693"/>
    </row>
    <row r="154" spans="1:34" s="221" customFormat="1" ht="19.2" customHeight="1">
      <c r="A154" s="690"/>
      <c r="B154" s="429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33"/>
      <c r="S154" s="692"/>
      <c r="T154" s="265"/>
      <c r="U154" s="63"/>
      <c r="V154" s="444"/>
      <c r="W154" s="442">
        <f t="shared" si="100"/>
        <v>0</v>
      </c>
      <c r="X154" s="222"/>
      <c r="Y154" s="222"/>
      <c r="Z154" s="220"/>
      <c r="AA154" s="220"/>
      <c r="AB154" s="633"/>
      <c r="AC154" s="633"/>
      <c r="AD154" s="224"/>
      <c r="AE154" s="224"/>
      <c r="AF154" s="48">
        <f t="shared" si="61"/>
        <v>0</v>
      </c>
      <c r="AG154" s="126" t="e">
        <f t="shared" si="62"/>
        <v>#DIV/0!</v>
      </c>
      <c r="AH154" s="693"/>
    </row>
    <row r="155" spans="1:34" s="221" customFormat="1" ht="19.2" customHeight="1">
      <c r="A155" s="690"/>
      <c r="B155" s="429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92"/>
      <c r="T155" s="265"/>
      <c r="U155" s="63"/>
      <c r="V155" s="444"/>
      <c r="W155" s="442">
        <f t="shared" si="100"/>
        <v>0</v>
      </c>
      <c r="X155" s="222"/>
      <c r="Y155" s="222"/>
      <c r="Z155" s="220"/>
      <c r="AA155" s="220"/>
      <c r="AB155" s="633"/>
      <c r="AC155" s="633"/>
      <c r="AD155" s="224"/>
      <c r="AE155" s="224"/>
      <c r="AF155" s="268"/>
      <c r="AG155" s="130"/>
      <c r="AH155" s="693"/>
    </row>
    <row r="156" spans="1:34" s="221" customFormat="1" ht="19.2" customHeight="1">
      <c r="A156" s="690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92"/>
      <c r="T156" s="265"/>
      <c r="U156" s="63"/>
      <c r="V156" s="444"/>
      <c r="W156" s="269">
        <f t="shared" si="100"/>
        <v>0</v>
      </c>
      <c r="X156" s="222"/>
      <c r="Y156" s="222"/>
      <c r="Z156" s="220"/>
      <c r="AA156" s="220"/>
      <c r="AB156" s="633"/>
      <c r="AC156" s="633"/>
      <c r="AD156" s="224"/>
      <c r="AE156" s="224"/>
      <c r="AF156" s="268"/>
      <c r="AG156" s="130"/>
      <c r="AH156" s="693"/>
    </row>
    <row r="157" spans="1:34" s="221" customFormat="1" ht="19.2" customHeight="1">
      <c r="A157" s="690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92"/>
      <c r="T157" s="265"/>
      <c r="U157" s="63"/>
      <c r="V157" s="444"/>
      <c r="W157" s="269">
        <f t="shared" si="100"/>
        <v>0</v>
      </c>
      <c r="X157" s="222"/>
      <c r="Y157" s="222"/>
      <c r="Z157" s="220"/>
      <c r="AA157" s="220"/>
      <c r="AB157" s="633"/>
      <c r="AC157" s="633"/>
      <c r="AD157" s="224"/>
      <c r="AE157" s="224"/>
      <c r="AF157" s="268"/>
      <c r="AG157" s="130"/>
      <c r="AH157" s="693"/>
    </row>
    <row r="158" spans="1:34" s="221" customFormat="1" ht="19.2" customHeight="1">
      <c r="A158" s="690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92"/>
      <c r="T158" s="265"/>
      <c r="U158" s="63"/>
      <c r="V158" s="444"/>
      <c r="W158" s="269">
        <f t="shared" si="100"/>
        <v>0</v>
      </c>
      <c r="X158" s="222"/>
      <c r="Y158" s="222"/>
      <c r="Z158" s="220"/>
      <c r="AA158" s="220"/>
      <c r="AB158" s="633"/>
      <c r="AC158" s="633"/>
      <c r="AD158" s="224"/>
      <c r="AE158" s="224"/>
      <c r="AF158" s="268"/>
      <c r="AG158" s="130"/>
      <c r="AH158" s="693"/>
    </row>
    <row r="159" spans="1:34" s="221" customFormat="1" ht="19.2" customHeight="1">
      <c r="A159" s="690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440"/>
      <c r="N159" s="182"/>
      <c r="O159" s="228"/>
      <c r="P159" s="267"/>
      <c r="Q159" s="74"/>
      <c r="R159" s="130"/>
      <c r="S159" s="692"/>
      <c r="T159" s="265"/>
      <c r="U159" s="63"/>
      <c r="V159" s="444"/>
      <c r="W159" s="270">
        <f t="shared" si="100"/>
        <v>0</v>
      </c>
      <c r="X159" s="222"/>
      <c r="Y159" s="222"/>
      <c r="Z159" s="220"/>
      <c r="AA159" s="220"/>
      <c r="AB159" s="633"/>
      <c r="AC159" s="633"/>
      <c r="AD159" s="224"/>
      <c r="AE159" s="224"/>
      <c r="AF159" s="268"/>
      <c r="AG159" s="130"/>
      <c r="AH159" s="693"/>
    </row>
    <row r="160" spans="1:34" ht="19.2" customHeight="1">
      <c r="A160" s="690"/>
      <c r="B160" s="271">
        <v>0</v>
      </c>
      <c r="C160" s="272" t="s">
        <v>238</v>
      </c>
      <c r="D160" s="689" t="s">
        <v>120</v>
      </c>
      <c r="E160" s="651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1310.8131095356873</v>
      </c>
      <c r="O160" s="274">
        <f t="shared" si="101"/>
        <v>77.558648551246975</v>
      </c>
      <c r="P160" s="65">
        <f t="shared" ref="P160:P166" si="102">M160-J160</f>
        <v>0.16666666666666785</v>
      </c>
      <c r="Q160" s="74">
        <f t="shared" ref="Q160:Q166" si="103">O160-L160</f>
        <v>-10.130992217341174</v>
      </c>
      <c r="R160" s="275">
        <f>O160/L160</f>
        <v>0.88446762777741639</v>
      </c>
      <c r="S160" s="692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33"/>
      <c r="AC160" s="633"/>
      <c r="AD160" s="79">
        <f>SUM(AD148:AD159)</f>
        <v>0</v>
      </c>
      <c r="AE160" s="79">
        <f>SUM(AE148:AE159)</f>
        <v>0</v>
      </c>
      <c r="AF160" s="65">
        <f t="shared" si="61"/>
        <v>-159.18689046431268</v>
      </c>
      <c r="AG160" s="130">
        <f t="shared" si="62"/>
        <v>0.89170959832359686</v>
      </c>
      <c r="AH160" s="693"/>
    </row>
    <row r="161" spans="1:36" ht="19.2" customHeight="1">
      <c r="A161" s="653" t="s">
        <v>178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3688</v>
      </c>
      <c r="H161" s="84">
        <f t="shared" ref="H161:H170" si="104">F161*G161</f>
        <v>126240.23999999999</v>
      </c>
      <c r="I161" s="429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2107.4285714285716</v>
      </c>
      <c r="O161" s="86">
        <f t="shared" ref="O161:O166" si="106">N161/M161</f>
        <v>162.10989010989013</v>
      </c>
      <c r="P161" s="54">
        <f t="shared" si="102"/>
        <v>0</v>
      </c>
      <c r="Q161" s="88">
        <f t="shared" si="103"/>
        <v>-10.967032967032935</v>
      </c>
      <c r="R161" s="430">
        <f t="shared" ref="R161:R166" si="107">O161/L161</f>
        <v>0.93663492063492082</v>
      </c>
      <c r="S161" s="654">
        <f>R173</f>
        <v>0.91065574207621469</v>
      </c>
      <c r="T161" s="89">
        <v>0.16666666666666666</v>
      </c>
      <c r="U161" s="89">
        <v>0.23958333333333331</v>
      </c>
      <c r="V161" s="429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633"/>
      <c r="AC161" s="633"/>
      <c r="AD161" s="429"/>
      <c r="AE161" s="429"/>
      <c r="AF161" s="54">
        <f t="shared" si="61"/>
        <v>-142.57142857142844</v>
      </c>
      <c r="AG161" s="430">
        <f t="shared" si="62"/>
        <v>0.93663492063492071</v>
      </c>
      <c r="AH161" s="654">
        <f>AG173</f>
        <v>0.91482319096224141</v>
      </c>
    </row>
    <row r="162" spans="1:36" ht="19.2" customHeight="1">
      <c r="A162" s="653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4195</v>
      </c>
      <c r="H162" s="84">
        <f t="shared" si="104"/>
        <v>143594.84999999998</v>
      </c>
      <c r="I162" s="42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2169.8275862068963</v>
      </c>
      <c r="O162" s="86">
        <f t="shared" si="106"/>
        <v>166.90981432360741</v>
      </c>
      <c r="P162" s="54">
        <f t="shared" si="102"/>
        <v>0</v>
      </c>
      <c r="Q162" s="88">
        <f t="shared" si="103"/>
        <v>-6.1671087533156594</v>
      </c>
      <c r="R162" s="430">
        <f t="shared" si="107"/>
        <v>0.96436781609195399</v>
      </c>
      <c r="S162" s="654"/>
      <c r="T162" s="89">
        <v>0.24444444444444444</v>
      </c>
      <c r="U162" s="89">
        <v>0.32500000000000001</v>
      </c>
      <c r="V162" s="429">
        <v>7</v>
      </c>
      <c r="W162" s="90">
        <f t="shared" si="108"/>
        <v>116.00000000000003</v>
      </c>
      <c r="X162" s="96"/>
      <c r="Y162" s="96"/>
      <c r="Z162" s="54"/>
      <c r="AA162" s="54"/>
      <c r="AB162" s="633"/>
      <c r="AC162" s="633"/>
      <c r="AD162" s="429">
        <v>1</v>
      </c>
      <c r="AE162" s="429"/>
      <c r="AF162" s="54">
        <f t="shared" si="61"/>
        <v>-80.172413793103715</v>
      </c>
      <c r="AG162" s="430">
        <f t="shared" si="62"/>
        <v>0.96436781609195388</v>
      </c>
      <c r="AH162" s="654"/>
    </row>
    <row r="163" spans="1:36" ht="19.2" customHeight="1">
      <c r="A163" s="653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4255.3</v>
      </c>
      <c r="H163" s="84">
        <f t="shared" si="104"/>
        <v>152467.399</v>
      </c>
      <c r="I163" s="42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2163.71186440678</v>
      </c>
      <c r="O163" s="86">
        <f t="shared" si="106"/>
        <v>196.70107858243455</v>
      </c>
      <c r="P163" s="54">
        <f t="shared" si="102"/>
        <v>0</v>
      </c>
      <c r="Q163" s="88">
        <f t="shared" si="103"/>
        <v>-7.844375963019985</v>
      </c>
      <c r="R163" s="430">
        <f t="shared" si="107"/>
        <v>0.96164971751412454</v>
      </c>
      <c r="S163" s="654"/>
      <c r="T163" s="89">
        <v>0.34097222222222223</v>
      </c>
      <c r="U163" s="89">
        <v>0.42291666666666666</v>
      </c>
      <c r="V163" s="429">
        <v>23</v>
      </c>
      <c r="W163" s="90">
        <f t="shared" si="108"/>
        <v>117.99999999999999</v>
      </c>
      <c r="X163" s="96">
        <v>0.32847222222222222</v>
      </c>
      <c r="Y163" s="96">
        <v>0.33819444444444446</v>
      </c>
      <c r="Z163" s="54"/>
      <c r="AA163" s="54"/>
      <c r="AB163" s="633"/>
      <c r="AC163" s="633"/>
      <c r="AD163" s="429"/>
      <c r="AE163" s="429"/>
      <c r="AF163" s="54">
        <f t="shared" si="61"/>
        <v>-86.288135593219977</v>
      </c>
      <c r="AG163" s="430">
        <f t="shared" si="62"/>
        <v>0.96164971751412442</v>
      </c>
      <c r="AH163" s="654"/>
    </row>
    <row r="164" spans="1:36" ht="19.2" customHeight="1">
      <c r="A164" s="653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6388.9</v>
      </c>
      <c r="H164" s="84">
        <f t="shared" si="104"/>
        <v>232619.84899999996</v>
      </c>
      <c r="I164" s="42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2366.2592592592596</v>
      </c>
      <c r="O164" s="86">
        <f t="shared" si="106"/>
        <v>236.62592592592597</v>
      </c>
      <c r="P164" s="54">
        <f t="shared" si="102"/>
        <v>0</v>
      </c>
      <c r="Q164" s="88">
        <f t="shared" si="103"/>
        <v>-40.274074074074008</v>
      </c>
      <c r="R164" s="430">
        <f t="shared" si="107"/>
        <v>0.85455372309832422</v>
      </c>
      <c r="S164" s="654"/>
      <c r="T164" s="89">
        <v>0.46527777777777773</v>
      </c>
      <c r="U164" s="89">
        <v>0.57777777777777772</v>
      </c>
      <c r="V164" s="429">
        <v>8</v>
      </c>
      <c r="W164" s="90">
        <f t="shared" si="108"/>
        <v>161.99999999999997</v>
      </c>
      <c r="X164" s="96"/>
      <c r="Y164" s="96"/>
      <c r="Z164" s="54"/>
      <c r="AA164" s="54"/>
      <c r="AB164" s="633"/>
      <c r="AC164" s="633"/>
      <c r="AD164" s="429"/>
      <c r="AE164" s="429"/>
      <c r="AF164" s="54">
        <f t="shared" si="61"/>
        <v>-402.74074074074042</v>
      </c>
      <c r="AG164" s="430">
        <f t="shared" si="62"/>
        <v>0.85455372309832411</v>
      </c>
      <c r="AH164" s="654"/>
    </row>
    <row r="165" spans="1:36" ht="19.2" customHeight="1">
      <c r="A165" s="653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1823.7</v>
      </c>
      <c r="H165" s="84">
        <f t="shared" si="104"/>
        <v>65343.171000000002</v>
      </c>
      <c r="I165" s="429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2145.5294117647068</v>
      </c>
      <c r="O165" s="86">
        <f t="shared" si="106"/>
        <v>195.04812834224606</v>
      </c>
      <c r="P165" s="54">
        <f t="shared" si="102"/>
        <v>0</v>
      </c>
      <c r="Q165" s="88">
        <f t="shared" si="103"/>
        <v>-9.4973262032084733</v>
      </c>
      <c r="R165" s="430">
        <f t="shared" si="107"/>
        <v>0.95356862745098081</v>
      </c>
      <c r="S165" s="654"/>
      <c r="T165" s="89">
        <v>0.59305555555555545</v>
      </c>
      <c r="U165" s="89">
        <v>0.6284722222222221</v>
      </c>
      <c r="V165" s="429">
        <v>22</v>
      </c>
      <c r="W165" s="90">
        <f t="shared" si="108"/>
        <v>50.999999999999979</v>
      </c>
      <c r="X165" s="96">
        <v>0.58124999999999993</v>
      </c>
      <c r="Y165" s="96">
        <v>0.59027777777777779</v>
      </c>
      <c r="Z165" s="54"/>
      <c r="AA165" s="54"/>
      <c r="AB165" s="633"/>
      <c r="AC165" s="633"/>
      <c r="AD165" s="429"/>
      <c r="AE165" s="429"/>
      <c r="AF165" s="54">
        <f t="shared" si="61"/>
        <v>-104.47058823529323</v>
      </c>
      <c r="AG165" s="430">
        <f t="shared" si="62"/>
        <v>0.95356862745098081</v>
      </c>
      <c r="AH165" s="654"/>
    </row>
    <row r="166" spans="1:36" ht="19.2" customHeight="1">
      <c r="A166" s="653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2738.1</v>
      </c>
      <c r="H166" s="84">
        <f t="shared" si="104"/>
        <v>99694.22099999999</v>
      </c>
      <c r="I166" s="42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2346.9428571428548</v>
      </c>
      <c r="O166" s="86">
        <f t="shared" si="106"/>
        <v>234.69428571428548</v>
      </c>
      <c r="P166" s="54">
        <f t="shared" si="102"/>
        <v>0</v>
      </c>
      <c r="Q166" s="88">
        <f t="shared" si="103"/>
        <v>-42.205714285714492</v>
      </c>
      <c r="R166" s="430">
        <f t="shared" si="107"/>
        <v>0.84757777433833692</v>
      </c>
      <c r="S166" s="654"/>
      <c r="T166" s="89">
        <v>0.63263888888888875</v>
      </c>
      <c r="U166" s="89">
        <v>0.68124999999999991</v>
      </c>
      <c r="V166" s="429">
        <v>6</v>
      </c>
      <c r="W166" s="90">
        <f t="shared" si="108"/>
        <v>70.000000000000071</v>
      </c>
      <c r="X166" s="96"/>
      <c r="Y166" s="96"/>
      <c r="Z166" s="54"/>
      <c r="AA166" s="54"/>
      <c r="AB166" s="633"/>
      <c r="AC166" s="633"/>
      <c r="AD166" s="429"/>
      <c r="AE166" s="429"/>
      <c r="AF166" s="54">
        <f t="shared" si="61"/>
        <v>-422.05714285714521</v>
      </c>
      <c r="AG166" s="430">
        <f t="shared" si="62"/>
        <v>0.84757777433833692</v>
      </c>
      <c r="AH166" s="654"/>
    </row>
    <row r="167" spans="1:36" ht="19.2" customHeight="1">
      <c r="A167" s="653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429"/>
      <c r="J167" s="87"/>
      <c r="K167" s="57"/>
      <c r="L167" s="86"/>
      <c r="M167" s="87"/>
      <c r="N167" s="57"/>
      <c r="O167" s="86"/>
      <c r="P167" s="54"/>
      <c r="Q167" s="88"/>
      <c r="R167" s="430"/>
      <c r="S167" s="654"/>
      <c r="T167" s="89"/>
      <c r="U167" s="89"/>
      <c r="V167" s="429"/>
      <c r="W167" s="90">
        <f t="shared" si="108"/>
        <v>0</v>
      </c>
      <c r="X167" s="96"/>
      <c r="Y167" s="96"/>
      <c r="Z167" s="54"/>
      <c r="AA167" s="54"/>
      <c r="AB167" s="633"/>
      <c r="AC167" s="633"/>
      <c r="AD167" s="429"/>
      <c r="AE167" s="429"/>
      <c r="AF167" s="54">
        <f t="shared" si="61"/>
        <v>0</v>
      </c>
      <c r="AG167" s="430" t="e">
        <f t="shared" si="62"/>
        <v>#DIV/0!</v>
      </c>
      <c r="AH167" s="654"/>
    </row>
    <row r="168" spans="1:36" ht="19.2" customHeight="1">
      <c r="A168" s="653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429"/>
      <c r="J168" s="87"/>
      <c r="K168" s="57"/>
      <c r="L168" s="86"/>
      <c r="M168" s="87"/>
      <c r="N168" s="57"/>
      <c r="O168" s="86"/>
      <c r="P168" s="54"/>
      <c r="Q168" s="88"/>
      <c r="R168" s="430"/>
      <c r="S168" s="654"/>
      <c r="T168" s="89"/>
      <c r="U168" s="89"/>
      <c r="V168" s="429"/>
      <c r="W168" s="90">
        <f t="shared" si="108"/>
        <v>0</v>
      </c>
      <c r="X168" s="96"/>
      <c r="Y168" s="96"/>
      <c r="Z168" s="54"/>
      <c r="AA168" s="54"/>
      <c r="AB168" s="633"/>
      <c r="AC168" s="633"/>
      <c r="AD168" s="429"/>
      <c r="AE168" s="429"/>
      <c r="AF168" s="54">
        <f t="shared" si="61"/>
        <v>0</v>
      </c>
      <c r="AG168" s="430" t="e">
        <f t="shared" si="62"/>
        <v>#DIV/0!</v>
      </c>
      <c r="AH168" s="654"/>
    </row>
    <row r="169" spans="1:36" ht="19.2" customHeight="1">
      <c r="A169" s="653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429"/>
      <c r="J169" s="87"/>
      <c r="K169" s="57"/>
      <c r="L169" s="86"/>
      <c r="M169" s="87"/>
      <c r="N169" s="57"/>
      <c r="O169" s="86"/>
      <c r="P169" s="54"/>
      <c r="Q169" s="88"/>
      <c r="R169" s="430"/>
      <c r="S169" s="654"/>
      <c r="T169" s="89"/>
      <c r="U169" s="89"/>
      <c r="V169" s="429" t="s">
        <v>15</v>
      </c>
      <c r="W169" s="90">
        <f t="shared" si="108"/>
        <v>0</v>
      </c>
      <c r="X169" s="96"/>
      <c r="Y169" s="96"/>
      <c r="Z169" s="54"/>
      <c r="AA169" s="54"/>
      <c r="AB169" s="633"/>
      <c r="AC169" s="633"/>
      <c r="AD169" s="429"/>
      <c r="AE169" s="429"/>
      <c r="AF169" s="54">
        <f t="shared" si="61"/>
        <v>0</v>
      </c>
      <c r="AG169" s="430" t="e">
        <f t="shared" si="62"/>
        <v>#DIV/0!</v>
      </c>
      <c r="AH169" s="654"/>
    </row>
    <row r="170" spans="1:36" ht="19.2" customHeight="1">
      <c r="A170" s="653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429"/>
      <c r="J170" s="87"/>
      <c r="K170" s="57"/>
      <c r="L170" s="86"/>
      <c r="M170" s="87"/>
      <c r="N170" s="57"/>
      <c r="O170" s="86"/>
      <c r="P170" s="54"/>
      <c r="Q170" s="88"/>
      <c r="R170" s="430"/>
      <c r="S170" s="654"/>
      <c r="T170" s="89"/>
      <c r="U170" s="89"/>
      <c r="V170" s="429"/>
      <c r="W170" s="90">
        <f t="shared" si="108"/>
        <v>0</v>
      </c>
      <c r="X170" s="96"/>
      <c r="Y170" s="96"/>
      <c r="Z170" s="54"/>
      <c r="AA170" s="54"/>
      <c r="AB170" s="633"/>
      <c r="AC170" s="633"/>
      <c r="AD170" s="429"/>
      <c r="AE170" s="429"/>
      <c r="AF170" s="54">
        <f t="shared" si="61"/>
        <v>0</v>
      </c>
      <c r="AG170" s="430" t="e">
        <f t="shared" si="62"/>
        <v>#DIV/0!</v>
      </c>
      <c r="AH170" s="654"/>
    </row>
    <row r="171" spans="1:36" ht="19.2" customHeight="1">
      <c r="A171" s="653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429"/>
      <c r="J171" s="87"/>
      <c r="K171" s="57"/>
      <c r="L171" s="86"/>
      <c r="M171" s="87"/>
      <c r="N171" s="57"/>
      <c r="O171" s="86"/>
      <c r="P171" s="54"/>
      <c r="Q171" s="88"/>
      <c r="R171" s="430"/>
      <c r="S171" s="654"/>
      <c r="T171" s="89"/>
      <c r="U171" s="89"/>
      <c r="V171" s="429"/>
      <c r="W171" s="90">
        <f t="shared" si="108"/>
        <v>0</v>
      </c>
      <c r="X171" s="96"/>
      <c r="Y171" s="96"/>
      <c r="Z171" s="54"/>
      <c r="AA171" s="54"/>
      <c r="AB171" s="633"/>
      <c r="AC171" s="633"/>
      <c r="AD171" s="429"/>
      <c r="AE171" s="429"/>
      <c r="AF171" s="54"/>
      <c r="AG171" s="430"/>
      <c r="AH171" s="654"/>
    </row>
    <row r="172" spans="1:36" ht="19.2" customHeight="1">
      <c r="A172" s="653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429"/>
      <c r="J172" s="87"/>
      <c r="K172" s="57"/>
      <c r="L172" s="86"/>
      <c r="M172" s="87"/>
      <c r="N172" s="57"/>
      <c r="O172" s="86"/>
      <c r="P172" s="54"/>
      <c r="Q172" s="88"/>
      <c r="R172" s="430"/>
      <c r="S172" s="654"/>
      <c r="T172" s="89"/>
      <c r="U172" s="89"/>
      <c r="V172" s="429"/>
      <c r="W172" s="90">
        <f t="shared" si="108"/>
        <v>0</v>
      </c>
      <c r="X172" s="96"/>
      <c r="Y172" s="96"/>
      <c r="Z172" s="54"/>
      <c r="AA172" s="54"/>
      <c r="AB172" s="633"/>
      <c r="AC172" s="633"/>
      <c r="AD172" s="429"/>
      <c r="AE172" s="429"/>
      <c r="AF172" s="54"/>
      <c r="AG172" s="430"/>
      <c r="AH172" s="654"/>
    </row>
    <row r="173" spans="1:36" ht="19.2" customHeight="1">
      <c r="A173" s="653"/>
      <c r="B173" s="122">
        <v>0</v>
      </c>
      <c r="C173" s="100" t="s">
        <v>239</v>
      </c>
      <c r="D173" s="660" t="s">
        <v>120</v>
      </c>
      <c r="E173" s="660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2216.616591701511</v>
      </c>
      <c r="O173" s="104">
        <f t="shared" si="109"/>
        <v>198.68152049973159</v>
      </c>
      <c r="P173" s="54">
        <f>M173-J173</f>
        <v>0</v>
      </c>
      <c r="Q173" s="88">
        <f>O173-L173</f>
        <v>-19.492605374394316</v>
      </c>
      <c r="R173" s="105">
        <f>O173/L173</f>
        <v>0.91065574207621469</v>
      </c>
      <c r="S173" s="654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94"/>
      <c r="AC173" s="694"/>
      <c r="AD173" s="107">
        <f>SUM(AD161:AD172)</f>
        <v>1</v>
      </c>
      <c r="AE173" s="107">
        <f>SUM(AE161:AE172)</f>
        <v>0</v>
      </c>
      <c r="AF173" s="54">
        <f t="shared" si="61"/>
        <v>-206.38340829848903</v>
      </c>
      <c r="AG173" s="430">
        <f t="shared" si="62"/>
        <v>0.91482319096224141</v>
      </c>
      <c r="AH173" s="654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179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180</v>
      </c>
    </row>
    <row r="186" spans="23:36">
      <c r="W186" s="33"/>
      <c r="AJ186" s="279" t="s">
        <v>191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6493" priority="3248" operator="lessThan">
      <formula>0</formula>
    </cfRule>
  </conditionalFormatting>
  <conditionalFormatting sqref="AH57 AH70 S43 S123 S95 AH95 S5:S9 AH5:AH9 S134 AH17:AH18 S17:S18 S32 S82 AH82 S57:S70">
    <cfRule type="cellIs" dxfId="6492" priority="3247" operator="lessThan">
      <formula>0.8</formula>
    </cfRule>
  </conditionalFormatting>
  <conditionalFormatting sqref="R147 R173 R30 R121 R95 R43 R134 R82 R155:R159 R17:R18 R57:R70 R109:R118">
    <cfRule type="cellIs" dxfId="6491" priority="3245" operator="lessThan">
      <formula>0.8</formula>
    </cfRule>
    <cfRule type="cellIs" dxfId="6490" priority="3246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6489" priority="3243" operator="greaterThan">
      <formula>1</formula>
    </cfRule>
    <cfRule type="cellIs" dxfId="6488" priority="3244" operator="lessThan">
      <formula>0.8</formula>
    </cfRule>
  </conditionalFormatting>
  <conditionalFormatting sqref="P147 P30 P121 P95 P43 P134 P82 P155:P159 P17:P18 P57:P70 P109:P118">
    <cfRule type="cellIs" dxfId="6487" priority="3242" operator="greaterThan">
      <formula>0</formula>
    </cfRule>
  </conditionalFormatting>
  <conditionalFormatting sqref="S161">
    <cfRule type="cellIs" dxfId="6486" priority="3241" operator="lessThan">
      <formula>0.8</formula>
    </cfRule>
  </conditionalFormatting>
  <conditionalFormatting sqref="Q161:Q167">
    <cfRule type="cellIs" dxfId="6485" priority="3240" operator="lessThan">
      <formula>0</formula>
    </cfRule>
  </conditionalFormatting>
  <conditionalFormatting sqref="R161:R167">
    <cfRule type="cellIs" dxfId="6484" priority="3238" operator="lessThan">
      <formula>0.8</formula>
    </cfRule>
    <cfRule type="cellIs" dxfId="6483" priority="3239" operator="greaterThan">
      <formula>1</formula>
    </cfRule>
  </conditionalFormatting>
  <conditionalFormatting sqref="R161:R167">
    <cfRule type="cellIs" dxfId="6482" priority="3236" operator="greaterThan">
      <formula>1</formula>
    </cfRule>
    <cfRule type="cellIs" dxfId="6481" priority="3237" operator="lessThan">
      <formula>0.8</formula>
    </cfRule>
  </conditionalFormatting>
  <conditionalFormatting sqref="P161:P167">
    <cfRule type="cellIs" dxfId="6480" priority="3235" operator="greaterThan">
      <formula>0</formula>
    </cfRule>
  </conditionalFormatting>
  <conditionalFormatting sqref="Q169:Q172 AF161:AF172">
    <cfRule type="cellIs" dxfId="6479" priority="3234" operator="lessThan">
      <formula>0</formula>
    </cfRule>
  </conditionalFormatting>
  <conditionalFormatting sqref="R169:R172">
    <cfRule type="cellIs" dxfId="6478" priority="3232" operator="lessThan">
      <formula>0.8</formula>
    </cfRule>
    <cfRule type="cellIs" dxfId="6477" priority="3233" operator="greaterThan">
      <formula>1</formula>
    </cfRule>
  </conditionalFormatting>
  <conditionalFormatting sqref="R169:R172 AG161:AG172">
    <cfRule type="cellIs" dxfId="6476" priority="3230" operator="greaterThan">
      <formula>1</formula>
    </cfRule>
    <cfRule type="cellIs" dxfId="6475" priority="3231" operator="lessThan">
      <formula>0.8</formula>
    </cfRule>
  </conditionalFormatting>
  <conditionalFormatting sqref="P169:P172">
    <cfRule type="cellIs" dxfId="6474" priority="3229" operator="greaterThan">
      <formula>0</formula>
    </cfRule>
  </conditionalFormatting>
  <conditionalFormatting sqref="AF145">
    <cfRule type="cellIs" dxfId="6473" priority="3228" operator="lessThan">
      <formula>0</formula>
    </cfRule>
  </conditionalFormatting>
  <conditionalFormatting sqref="AG145">
    <cfRule type="cellIs" dxfId="6472" priority="3226" operator="greaterThan">
      <formula>1</formula>
    </cfRule>
    <cfRule type="cellIs" dxfId="6471" priority="3227" operator="lessThan">
      <formula>0.8</formula>
    </cfRule>
  </conditionalFormatting>
  <conditionalFormatting sqref="AF44:AF54">
    <cfRule type="cellIs" dxfId="6470" priority="3225" operator="lessThan">
      <formula>0</formula>
    </cfRule>
  </conditionalFormatting>
  <conditionalFormatting sqref="AG44:AG54">
    <cfRule type="cellIs" dxfId="6469" priority="3223" operator="greaterThan">
      <formula>1</formula>
    </cfRule>
    <cfRule type="cellIs" dxfId="6468" priority="3224" operator="lessThan">
      <formula>0.8</formula>
    </cfRule>
  </conditionalFormatting>
  <conditionalFormatting sqref="AF83:AF94">
    <cfRule type="cellIs" dxfId="6467" priority="3222" operator="lessThan">
      <formula>0</formula>
    </cfRule>
  </conditionalFormatting>
  <conditionalFormatting sqref="AH83">
    <cfRule type="cellIs" dxfId="6466" priority="3221" operator="lessThan">
      <formula>0.8</formula>
    </cfRule>
  </conditionalFormatting>
  <conditionalFormatting sqref="AG83:AG94">
    <cfRule type="cellIs" dxfId="6465" priority="3219" operator="greaterThan">
      <formula>1</formula>
    </cfRule>
    <cfRule type="cellIs" dxfId="6464" priority="3220" operator="lessThan">
      <formula>0.8</formula>
    </cfRule>
  </conditionalFormatting>
  <conditionalFormatting sqref="S83">
    <cfRule type="cellIs" dxfId="6463" priority="3218" operator="lessThan">
      <formula>0.8</formula>
    </cfRule>
  </conditionalFormatting>
  <conditionalFormatting sqref="AH84">
    <cfRule type="cellIs" dxfId="6462" priority="3217" operator="lessThan">
      <formula>0.8</formula>
    </cfRule>
  </conditionalFormatting>
  <conditionalFormatting sqref="S84">
    <cfRule type="cellIs" dxfId="6461" priority="3216" operator="lessThan">
      <formula>0.8</formula>
    </cfRule>
  </conditionalFormatting>
  <conditionalFormatting sqref="S90">
    <cfRule type="cellIs" dxfId="6460" priority="3215" operator="lessThan">
      <formula>0.8</formula>
    </cfRule>
  </conditionalFormatting>
  <conditionalFormatting sqref="AH90">
    <cfRule type="cellIs" dxfId="6459" priority="3214" operator="lessThan">
      <formula>0.8</formula>
    </cfRule>
  </conditionalFormatting>
  <conditionalFormatting sqref="AF122">
    <cfRule type="cellIs" dxfId="6458" priority="3213" operator="lessThan">
      <formula>0</formula>
    </cfRule>
  </conditionalFormatting>
  <conditionalFormatting sqref="S122">
    <cfRule type="cellIs" dxfId="6457" priority="3212" operator="lessThan">
      <formula>0.8</formula>
    </cfRule>
  </conditionalFormatting>
  <conditionalFormatting sqref="AG122">
    <cfRule type="cellIs" dxfId="6456" priority="3210" operator="greaterThan">
      <formula>1</formula>
    </cfRule>
    <cfRule type="cellIs" dxfId="6455" priority="3211" operator="lessThan">
      <formula>0.8</formula>
    </cfRule>
  </conditionalFormatting>
  <conditionalFormatting sqref="P162:P168">
    <cfRule type="cellIs" dxfId="6454" priority="3204" operator="greaterThan">
      <formula>0</formula>
    </cfRule>
  </conditionalFormatting>
  <conditionalFormatting sqref="R162:R168">
    <cfRule type="cellIs" dxfId="6453" priority="3207" operator="lessThan">
      <formula>0.8</formula>
    </cfRule>
    <cfRule type="cellIs" dxfId="6452" priority="3208" operator="greaterThan">
      <formula>1</formula>
    </cfRule>
  </conditionalFormatting>
  <conditionalFormatting sqref="R162:R168">
    <cfRule type="cellIs" dxfId="6451" priority="3205" operator="greaterThan">
      <formula>1</formula>
    </cfRule>
    <cfRule type="cellIs" dxfId="6450" priority="3206" operator="lessThan">
      <formula>0.8</formula>
    </cfRule>
  </conditionalFormatting>
  <conditionalFormatting sqref="Q162:Q168">
    <cfRule type="cellIs" dxfId="6449" priority="3209" operator="lessThan">
      <formula>0</formula>
    </cfRule>
  </conditionalFormatting>
  <conditionalFormatting sqref="P132:P133">
    <cfRule type="cellIs" dxfId="6448" priority="3197" operator="greaterThan">
      <formula>0</formula>
    </cfRule>
  </conditionalFormatting>
  <conditionalFormatting sqref="AF124 Q132:Q133 AF132:AF133 AF126:AF127 AF129:AF130">
    <cfRule type="cellIs" dxfId="6447" priority="3203" operator="lessThan">
      <formula>0</formula>
    </cfRule>
  </conditionalFormatting>
  <conditionalFormatting sqref="S124:S133">
    <cfRule type="cellIs" dxfId="6446" priority="3202" operator="lessThan">
      <formula>0.8</formula>
    </cfRule>
  </conditionalFormatting>
  <conditionalFormatting sqref="R132:R133">
    <cfRule type="cellIs" dxfId="6445" priority="3200" operator="lessThan">
      <formula>0.8</formula>
    </cfRule>
    <cfRule type="cellIs" dxfId="6444" priority="3201" operator="greaterThan">
      <formula>1</formula>
    </cfRule>
  </conditionalFormatting>
  <conditionalFormatting sqref="AG124 R132:R133 AG132:AG133 AG126:AG127 AG129:AG130">
    <cfRule type="cellIs" dxfId="6443" priority="3198" operator="greaterThan">
      <formula>1</formula>
    </cfRule>
    <cfRule type="cellIs" dxfId="6442" priority="3199" operator="lessThan">
      <formula>0.8</formula>
    </cfRule>
  </conditionalFormatting>
  <conditionalFormatting sqref="AH109">
    <cfRule type="cellIs" dxfId="6441" priority="3196" operator="lessThan">
      <formula>0.8</formula>
    </cfRule>
  </conditionalFormatting>
  <conditionalFormatting sqref="R160 AG160">
    <cfRule type="cellIs" dxfId="6440" priority="3191" operator="greaterThan">
      <formula>1</formula>
    </cfRule>
    <cfRule type="cellIs" dxfId="6439" priority="3192" operator="lessThan">
      <formula>0.8</formula>
    </cfRule>
  </conditionalFormatting>
  <conditionalFormatting sqref="R160">
    <cfRule type="cellIs" dxfId="6438" priority="3193" operator="lessThan">
      <formula>0.8</formula>
    </cfRule>
    <cfRule type="cellIs" dxfId="6437" priority="3194" operator="greaterThan">
      <formula>1</formula>
    </cfRule>
  </conditionalFormatting>
  <conditionalFormatting sqref="P160">
    <cfRule type="cellIs" dxfId="6436" priority="3190" operator="greaterThan">
      <formula>0</formula>
    </cfRule>
  </conditionalFormatting>
  <conditionalFormatting sqref="AH148">
    <cfRule type="cellIs" dxfId="6435" priority="3189" operator="lessThan">
      <formula>0.8</formula>
    </cfRule>
  </conditionalFormatting>
  <conditionalFormatting sqref="Q160 AF160">
    <cfRule type="cellIs" dxfId="6434" priority="3195" operator="lessThan">
      <formula>0</formula>
    </cfRule>
  </conditionalFormatting>
  <conditionalFormatting sqref="AF148:AF154">
    <cfRule type="cellIs" dxfId="6433" priority="3188" operator="lessThan">
      <formula>0</formula>
    </cfRule>
  </conditionalFormatting>
  <conditionalFormatting sqref="S148">
    <cfRule type="cellIs" dxfId="6432" priority="3187" operator="lessThan">
      <formula>0.8</formula>
    </cfRule>
  </conditionalFormatting>
  <conditionalFormatting sqref="AG148:AG154">
    <cfRule type="cellIs" dxfId="6431" priority="3185" operator="greaterThan">
      <formula>1</formula>
    </cfRule>
    <cfRule type="cellIs" dxfId="6430" priority="3186" operator="lessThan">
      <formula>0.8</formula>
    </cfRule>
  </conditionalFormatting>
  <conditionalFormatting sqref="S86">
    <cfRule type="cellIs" dxfId="6429" priority="3184" operator="lessThan">
      <formula>0.8</formula>
    </cfRule>
  </conditionalFormatting>
  <conditionalFormatting sqref="S88 AH88">
    <cfRule type="cellIs" dxfId="6428" priority="3179" operator="lessThan">
      <formula>0.8</formula>
    </cfRule>
  </conditionalFormatting>
  <conditionalFormatting sqref="AH86">
    <cfRule type="cellIs" dxfId="6427" priority="3183" operator="lessThan">
      <formula>0.8</formula>
    </cfRule>
  </conditionalFormatting>
  <conditionalFormatting sqref="S87">
    <cfRule type="cellIs" dxfId="6426" priority="3182" operator="lessThan">
      <formula>0.8</formula>
    </cfRule>
  </conditionalFormatting>
  <conditionalFormatting sqref="AH87">
    <cfRule type="cellIs" dxfId="6425" priority="3181" operator="lessThan">
      <formula>0.8</formula>
    </cfRule>
  </conditionalFormatting>
  <conditionalFormatting sqref="S89 AH89">
    <cfRule type="cellIs" dxfId="6424" priority="3180" operator="lessThan">
      <formula>0.8</formula>
    </cfRule>
  </conditionalFormatting>
  <conditionalFormatting sqref="AF31 AF35 AF39">
    <cfRule type="cellIs" dxfId="6423" priority="3178" operator="lessThan">
      <formula>0</formula>
    </cfRule>
  </conditionalFormatting>
  <conditionalFormatting sqref="AH31 S31">
    <cfRule type="cellIs" dxfId="6422" priority="3177" operator="lessThan">
      <formula>0.8</formula>
    </cfRule>
  </conditionalFormatting>
  <conditionalFormatting sqref="AG31 AG35 AG39">
    <cfRule type="cellIs" dxfId="6421" priority="3175" operator="greaterThan">
      <formula>1</formula>
    </cfRule>
    <cfRule type="cellIs" dxfId="6420" priority="3176" operator="lessThan">
      <formula>0.8</formula>
    </cfRule>
  </conditionalFormatting>
  <conditionalFormatting sqref="AF135">
    <cfRule type="cellIs" dxfId="6419" priority="3174" operator="lessThan">
      <formula>0</formula>
    </cfRule>
  </conditionalFormatting>
  <conditionalFormatting sqref="AH135 S135">
    <cfRule type="cellIs" dxfId="6418" priority="3173" operator="lessThan">
      <formula>0.8</formula>
    </cfRule>
  </conditionalFormatting>
  <conditionalFormatting sqref="AG135">
    <cfRule type="cellIs" dxfId="6417" priority="3171" operator="greaterThan">
      <formula>1</formula>
    </cfRule>
    <cfRule type="cellIs" dxfId="6416" priority="3172" operator="lessThan">
      <formula>0.8</formula>
    </cfRule>
  </conditionalFormatting>
  <conditionalFormatting sqref="AF108 Q108">
    <cfRule type="cellIs" dxfId="6415" priority="3170" operator="lessThan">
      <formula>0</formula>
    </cfRule>
  </conditionalFormatting>
  <conditionalFormatting sqref="R108">
    <cfRule type="cellIs" dxfId="6414" priority="3168" operator="lessThan">
      <formula>0.8</formula>
    </cfRule>
    <cfRule type="cellIs" dxfId="6413" priority="3169" operator="greaterThan">
      <formula>1</formula>
    </cfRule>
  </conditionalFormatting>
  <conditionalFormatting sqref="AG108 R108">
    <cfRule type="cellIs" dxfId="6412" priority="3166" operator="greaterThan">
      <formula>1</formula>
    </cfRule>
    <cfRule type="cellIs" dxfId="6411" priority="3167" operator="lessThan">
      <formula>0.8</formula>
    </cfRule>
  </conditionalFormatting>
  <conditionalFormatting sqref="P108">
    <cfRule type="cellIs" dxfId="6410" priority="3165" operator="greaterThan">
      <formula>0</formula>
    </cfRule>
  </conditionalFormatting>
  <conditionalFormatting sqref="AH97">
    <cfRule type="cellIs" dxfId="6409" priority="3160" operator="lessThan">
      <formula>0.8</formula>
    </cfRule>
  </conditionalFormatting>
  <conditionalFormatting sqref="AG96 AG98 AG100 AG102:AG103 AG105:AG106">
    <cfRule type="cellIs" dxfId="6408" priority="3162" operator="greaterThan">
      <formula>1</formula>
    </cfRule>
    <cfRule type="cellIs" dxfId="6407" priority="3163" operator="lessThan">
      <formula>0.8</formula>
    </cfRule>
  </conditionalFormatting>
  <conditionalFormatting sqref="AF96 AF98 AF100 AF102:AF103 AF105:AF106">
    <cfRule type="cellIs" dxfId="6406" priority="3164" operator="lessThan">
      <formula>0</formula>
    </cfRule>
  </conditionalFormatting>
  <conditionalFormatting sqref="AG97 AG99 AG101 AG104">
    <cfRule type="cellIs" dxfId="6405" priority="3158" operator="greaterThan">
      <formula>1</formula>
    </cfRule>
    <cfRule type="cellIs" dxfId="6404" priority="3159" operator="lessThan">
      <formula>0.8</formula>
    </cfRule>
  </conditionalFormatting>
  <conditionalFormatting sqref="AF97 AF99 AF101 AF104">
    <cfRule type="cellIs" dxfId="6403" priority="3161" operator="lessThan">
      <formula>0</formula>
    </cfRule>
  </conditionalFormatting>
  <conditionalFormatting sqref="AF71 AF73 AF75 AF79 AF77">
    <cfRule type="cellIs" dxfId="6402" priority="3155" operator="lessThan">
      <formula>0</formula>
    </cfRule>
  </conditionalFormatting>
  <conditionalFormatting sqref="S71 AH71">
    <cfRule type="cellIs" dxfId="6401" priority="3154" operator="lessThan">
      <formula>0.8</formula>
    </cfRule>
  </conditionalFormatting>
  <conditionalFormatting sqref="AG71 AG73 AG75 AG79 AG77">
    <cfRule type="cellIs" dxfId="6400" priority="3152" operator="greaterThan">
      <formula>1</formula>
    </cfRule>
    <cfRule type="cellIs" dxfId="6399" priority="3153" operator="lessThan">
      <formula>0.8</formula>
    </cfRule>
  </conditionalFormatting>
  <conditionalFormatting sqref="AF72 AF76 AF80">
    <cfRule type="cellIs" dxfId="6398" priority="3151" operator="lessThan">
      <formula>0</formula>
    </cfRule>
  </conditionalFormatting>
  <conditionalFormatting sqref="S72 AH72">
    <cfRule type="cellIs" dxfId="6397" priority="3150" operator="lessThan">
      <formula>0.8</formula>
    </cfRule>
  </conditionalFormatting>
  <conditionalFormatting sqref="S11">
    <cfRule type="cellIs" dxfId="6396" priority="3157" operator="lessThan">
      <formula>0.8</formula>
    </cfRule>
  </conditionalFormatting>
  <conditionalFormatting sqref="S10">
    <cfRule type="cellIs" dxfId="6395" priority="3156" operator="lessThan">
      <formula>0.8</formula>
    </cfRule>
  </conditionalFormatting>
  <conditionalFormatting sqref="AG72 AG76 AG80">
    <cfRule type="cellIs" dxfId="6394" priority="3148" operator="greaterThan">
      <formula>1</formula>
    </cfRule>
    <cfRule type="cellIs" dxfId="6393" priority="3149" operator="lessThan">
      <formula>0.8</formula>
    </cfRule>
  </conditionalFormatting>
  <conditionalFormatting sqref="AF14:AF16 Q15:Q16">
    <cfRule type="cellIs" dxfId="6392" priority="3147" operator="lessThan">
      <formula>0</formula>
    </cfRule>
  </conditionalFormatting>
  <conditionalFormatting sqref="R15:R16">
    <cfRule type="cellIs" dxfId="6391" priority="3145" operator="lessThan">
      <formula>0.8</formula>
    </cfRule>
    <cfRule type="cellIs" dxfId="6390" priority="3146" operator="greaterThan">
      <formula>1</formula>
    </cfRule>
  </conditionalFormatting>
  <conditionalFormatting sqref="R15:R16">
    <cfRule type="cellIs" dxfId="6389" priority="3143" operator="greaterThan">
      <formula>1</formula>
    </cfRule>
    <cfRule type="cellIs" dxfId="6388" priority="3144" operator="lessThan">
      <formula>0.8</formula>
    </cfRule>
  </conditionalFormatting>
  <conditionalFormatting sqref="P15:P16">
    <cfRule type="cellIs" dxfId="6387" priority="3142" operator="greaterThan">
      <formula>0</formula>
    </cfRule>
  </conditionalFormatting>
  <conditionalFormatting sqref="AH98">
    <cfRule type="cellIs" dxfId="6386" priority="3141" operator="lessThan">
      <formula>0.8</formula>
    </cfRule>
  </conditionalFormatting>
  <conditionalFormatting sqref="AF33 AF37">
    <cfRule type="cellIs" dxfId="6385" priority="3140" operator="lessThan">
      <formula>0</formula>
    </cfRule>
  </conditionalFormatting>
  <conditionalFormatting sqref="AG33 AG37">
    <cfRule type="cellIs" dxfId="6384" priority="3138" operator="greaterThan">
      <formula>1</formula>
    </cfRule>
    <cfRule type="cellIs" dxfId="6383" priority="3139" operator="lessThan">
      <formula>0.8</formula>
    </cfRule>
  </conditionalFormatting>
  <conditionalFormatting sqref="P41:P42">
    <cfRule type="cellIs" dxfId="6382" priority="3132" operator="greaterThan">
      <formula>0</formula>
    </cfRule>
  </conditionalFormatting>
  <conditionalFormatting sqref="Q41:Q42 AF34 AF41:AF42 AF38">
    <cfRule type="cellIs" dxfId="6381" priority="3137" operator="lessThan">
      <formula>0</formula>
    </cfRule>
  </conditionalFormatting>
  <conditionalFormatting sqref="R41:R42">
    <cfRule type="cellIs" dxfId="6380" priority="3135" operator="lessThan">
      <formula>0.8</formula>
    </cfRule>
    <cfRule type="cellIs" dxfId="6379" priority="3136" operator="greaterThan">
      <formula>1</formula>
    </cfRule>
  </conditionalFormatting>
  <conditionalFormatting sqref="R41:R42 AG34 AG41:AG42 AG38">
    <cfRule type="cellIs" dxfId="6378" priority="3133" operator="greaterThan">
      <formula>1</formula>
    </cfRule>
    <cfRule type="cellIs" dxfId="6377" priority="3134" operator="lessThan">
      <formula>0.8</formula>
    </cfRule>
  </conditionalFormatting>
  <conditionalFormatting sqref="AF137:AF144">
    <cfRule type="cellIs" dxfId="6376" priority="3131" operator="lessThan">
      <formula>0</formula>
    </cfRule>
  </conditionalFormatting>
  <conditionalFormatting sqref="AH137 S137">
    <cfRule type="cellIs" dxfId="6375" priority="3130" operator="lessThan">
      <formula>0.8</formula>
    </cfRule>
  </conditionalFormatting>
  <conditionalFormatting sqref="AG137:AG144">
    <cfRule type="cellIs" dxfId="6374" priority="3128" operator="greaterThan">
      <formula>1</formula>
    </cfRule>
    <cfRule type="cellIs" dxfId="6373" priority="3129" operator="lessThan">
      <formula>0.8</formula>
    </cfRule>
  </conditionalFormatting>
  <conditionalFormatting sqref="AF55">
    <cfRule type="cellIs" dxfId="6372" priority="3127" operator="lessThan">
      <formula>0</formula>
    </cfRule>
  </conditionalFormatting>
  <conditionalFormatting sqref="AG55">
    <cfRule type="cellIs" dxfId="6371" priority="3125" operator="greaterThan">
      <formula>1</formula>
    </cfRule>
    <cfRule type="cellIs" dxfId="6370" priority="3126" operator="lessThan">
      <formula>0.8</formula>
    </cfRule>
  </conditionalFormatting>
  <conditionalFormatting sqref="AF56 Q56">
    <cfRule type="cellIs" dxfId="6369" priority="3124" operator="lessThan">
      <formula>0</formula>
    </cfRule>
  </conditionalFormatting>
  <conditionalFormatting sqref="R56">
    <cfRule type="cellIs" dxfId="6368" priority="3122" operator="lessThan">
      <formula>0.8</formula>
    </cfRule>
    <cfRule type="cellIs" dxfId="6367" priority="3123" operator="greaterThan">
      <formula>1</formula>
    </cfRule>
  </conditionalFormatting>
  <conditionalFormatting sqref="AG56 R56">
    <cfRule type="cellIs" dxfId="6366" priority="3120" operator="greaterThan">
      <formula>1</formula>
    </cfRule>
    <cfRule type="cellIs" dxfId="6365" priority="3121" operator="lessThan">
      <formula>0.8</formula>
    </cfRule>
  </conditionalFormatting>
  <conditionalFormatting sqref="P56">
    <cfRule type="cellIs" dxfId="6364" priority="3119" operator="greaterThan">
      <formula>0</formula>
    </cfRule>
  </conditionalFormatting>
  <conditionalFormatting sqref="P52:P55">
    <cfRule type="cellIs" dxfId="6363" priority="3113" operator="greaterThan">
      <formula>0</formula>
    </cfRule>
  </conditionalFormatting>
  <conditionalFormatting sqref="Q52:Q55">
    <cfRule type="cellIs" dxfId="6362" priority="3118" operator="lessThan">
      <formula>0</formula>
    </cfRule>
  </conditionalFormatting>
  <conditionalFormatting sqref="R52:R55">
    <cfRule type="cellIs" dxfId="6361" priority="3116" operator="lessThan">
      <formula>0.8</formula>
    </cfRule>
    <cfRule type="cellIs" dxfId="6360" priority="3117" operator="greaterThan">
      <formula>1</formula>
    </cfRule>
  </conditionalFormatting>
  <conditionalFormatting sqref="R52:R55">
    <cfRule type="cellIs" dxfId="6359" priority="3114" operator="greaterThan">
      <formula>1</formula>
    </cfRule>
    <cfRule type="cellIs" dxfId="6358" priority="3115" operator="lessThan">
      <formula>0.8</formula>
    </cfRule>
  </conditionalFormatting>
  <conditionalFormatting sqref="P80:P81">
    <cfRule type="cellIs" dxfId="6357" priority="3107" operator="greaterThan">
      <formula>0</formula>
    </cfRule>
  </conditionalFormatting>
  <conditionalFormatting sqref="AF81 Q80:Q81">
    <cfRule type="cellIs" dxfId="6356" priority="3112" operator="lessThan">
      <formula>0</formula>
    </cfRule>
  </conditionalFormatting>
  <conditionalFormatting sqref="R80:R81">
    <cfRule type="cellIs" dxfId="6355" priority="3110" operator="lessThan">
      <formula>0.8</formula>
    </cfRule>
    <cfRule type="cellIs" dxfId="6354" priority="3111" operator="greaterThan">
      <formula>1</formula>
    </cfRule>
  </conditionalFormatting>
  <conditionalFormatting sqref="AG81 R80:R81">
    <cfRule type="cellIs" dxfId="6353" priority="3108" operator="greaterThan">
      <formula>1</formula>
    </cfRule>
    <cfRule type="cellIs" dxfId="6352" priority="3109" operator="lessThan">
      <formula>0.8</formula>
    </cfRule>
  </conditionalFormatting>
  <conditionalFormatting sqref="AH85">
    <cfRule type="cellIs" dxfId="6351" priority="3106" operator="lessThan">
      <formula>0.8</formula>
    </cfRule>
  </conditionalFormatting>
  <conditionalFormatting sqref="S85">
    <cfRule type="cellIs" dxfId="6350" priority="3105" operator="lessThan">
      <formula>0.8</formula>
    </cfRule>
  </conditionalFormatting>
  <conditionalFormatting sqref="AF107">
    <cfRule type="cellIs" dxfId="6349" priority="3104" operator="lessThan">
      <formula>0</formula>
    </cfRule>
  </conditionalFormatting>
  <conditionalFormatting sqref="AH100:AH107">
    <cfRule type="cellIs" dxfId="6348" priority="3103" operator="lessThan">
      <formula>0.8</formula>
    </cfRule>
  </conditionalFormatting>
  <conditionalFormatting sqref="AG107">
    <cfRule type="cellIs" dxfId="6347" priority="3101" operator="greaterThan">
      <formula>1</formula>
    </cfRule>
    <cfRule type="cellIs" dxfId="6346" priority="3102" operator="lessThan">
      <formula>0.8</formula>
    </cfRule>
  </conditionalFormatting>
  <conditionalFormatting sqref="P106:P107">
    <cfRule type="cellIs" dxfId="6345" priority="3095" operator="greaterThan">
      <formula>0</formula>
    </cfRule>
  </conditionalFormatting>
  <conditionalFormatting sqref="Q106:Q107">
    <cfRule type="cellIs" dxfId="6344" priority="3100" operator="lessThan">
      <formula>0</formula>
    </cfRule>
  </conditionalFormatting>
  <conditionalFormatting sqref="R106:R107">
    <cfRule type="cellIs" dxfId="6343" priority="3098" operator="lessThan">
      <formula>0.8</formula>
    </cfRule>
    <cfRule type="cellIs" dxfId="6342" priority="3099" operator="greaterThan">
      <formula>1</formula>
    </cfRule>
  </conditionalFormatting>
  <conditionalFormatting sqref="R106:R107">
    <cfRule type="cellIs" dxfId="6341" priority="3096" operator="greaterThan">
      <formula>1</formula>
    </cfRule>
    <cfRule type="cellIs" dxfId="6340" priority="3097" operator="lessThan">
      <formula>0.8</formula>
    </cfRule>
  </conditionalFormatting>
  <conditionalFormatting sqref="AF109:AF120">
    <cfRule type="cellIs" dxfId="6339" priority="3094" operator="lessThan">
      <formula>0</formula>
    </cfRule>
  </conditionalFormatting>
  <conditionalFormatting sqref="S109">
    <cfRule type="cellIs" dxfId="6338" priority="3093" operator="lessThan">
      <formula>0.8</formula>
    </cfRule>
  </conditionalFormatting>
  <conditionalFormatting sqref="AG109:AG120">
    <cfRule type="cellIs" dxfId="6337" priority="3091" operator="greaterThan">
      <formula>1</formula>
    </cfRule>
    <cfRule type="cellIs" dxfId="6336" priority="3092" operator="lessThan">
      <formula>0.8</formula>
    </cfRule>
  </conditionalFormatting>
  <conditionalFormatting sqref="S150">
    <cfRule type="cellIs" dxfId="6335" priority="3090" operator="lessThan">
      <formula>0.8</formula>
    </cfRule>
  </conditionalFormatting>
  <conditionalFormatting sqref="AH150">
    <cfRule type="cellIs" dxfId="6334" priority="3089" operator="lessThan">
      <formula>0.8</formula>
    </cfRule>
  </conditionalFormatting>
  <conditionalFormatting sqref="S149">
    <cfRule type="cellIs" dxfId="6333" priority="3088" operator="lessThan">
      <formula>0.8</formula>
    </cfRule>
  </conditionalFormatting>
  <conditionalFormatting sqref="Q26:Q29">
    <cfRule type="cellIs" dxfId="6332" priority="3087" operator="lessThan">
      <formula>0</formula>
    </cfRule>
  </conditionalFormatting>
  <conditionalFormatting sqref="S21:S29 AH21:AH29">
    <cfRule type="cellIs" dxfId="6331" priority="3086" operator="lessThan">
      <formula>0.8</formula>
    </cfRule>
  </conditionalFormatting>
  <conditionalFormatting sqref="R26:R29">
    <cfRule type="cellIs" dxfId="6330" priority="3084" operator="lessThan">
      <formula>0.8</formula>
    </cfRule>
    <cfRule type="cellIs" dxfId="6329" priority="3085" operator="greaterThan">
      <formula>1</formula>
    </cfRule>
  </conditionalFormatting>
  <conditionalFormatting sqref="R26:R29">
    <cfRule type="cellIs" dxfId="6328" priority="3082" operator="greaterThan">
      <formula>1</formula>
    </cfRule>
    <cfRule type="cellIs" dxfId="6327" priority="3083" operator="lessThan">
      <formula>0.8</formula>
    </cfRule>
  </conditionalFormatting>
  <conditionalFormatting sqref="P26:P29">
    <cfRule type="cellIs" dxfId="6326" priority="3081" operator="greaterThan">
      <formula>0</formula>
    </cfRule>
  </conditionalFormatting>
  <conditionalFormatting sqref="AH91 S91">
    <cfRule type="cellIs" dxfId="6325" priority="3080" operator="lessThan">
      <formula>0.8</formula>
    </cfRule>
  </conditionalFormatting>
  <conditionalFormatting sqref="P92:P94">
    <cfRule type="cellIs" dxfId="6324" priority="3074" operator="greaterThan">
      <formula>0</formula>
    </cfRule>
  </conditionalFormatting>
  <conditionalFormatting sqref="Q92:Q94">
    <cfRule type="cellIs" dxfId="6323" priority="3079" operator="lessThan">
      <formula>0</formula>
    </cfRule>
  </conditionalFormatting>
  <conditionalFormatting sqref="R92:R94">
    <cfRule type="cellIs" dxfId="6322" priority="3077" operator="lessThan">
      <formula>0.8</formula>
    </cfRule>
    <cfRule type="cellIs" dxfId="6321" priority="3078" operator="greaterThan">
      <formula>1</formula>
    </cfRule>
  </conditionalFormatting>
  <conditionalFormatting sqref="R92:R94">
    <cfRule type="cellIs" dxfId="6320" priority="3075" operator="greaterThan">
      <formula>1</formula>
    </cfRule>
    <cfRule type="cellIs" dxfId="6319" priority="3076" operator="lessThan">
      <formula>0.8</formula>
    </cfRule>
  </conditionalFormatting>
  <conditionalFormatting sqref="AF146 Q145:Q146">
    <cfRule type="cellIs" dxfId="6318" priority="3073" operator="lessThan">
      <formula>0</formula>
    </cfRule>
  </conditionalFormatting>
  <conditionalFormatting sqref="AH139:AH146 S139:S146">
    <cfRule type="cellIs" dxfId="6317" priority="3072" operator="lessThan">
      <formula>0.8</formula>
    </cfRule>
  </conditionalFormatting>
  <conditionalFormatting sqref="R145:R146">
    <cfRule type="cellIs" dxfId="6316" priority="3070" operator="lessThan">
      <formula>0.8</formula>
    </cfRule>
    <cfRule type="cellIs" dxfId="6315" priority="3071" operator="greaterThan">
      <formula>1</formula>
    </cfRule>
  </conditionalFormatting>
  <conditionalFormatting sqref="AG146 R145:R146">
    <cfRule type="cellIs" dxfId="6314" priority="3068" operator="greaterThan">
      <formula>1</formula>
    </cfRule>
    <cfRule type="cellIs" dxfId="6313" priority="3069" operator="lessThan">
      <formula>0.8</formula>
    </cfRule>
  </conditionalFormatting>
  <conditionalFormatting sqref="P145:P146">
    <cfRule type="cellIs" dxfId="6312" priority="3067" operator="greaterThan">
      <formula>0</formula>
    </cfRule>
  </conditionalFormatting>
  <conditionalFormatting sqref="Q119:Q120">
    <cfRule type="cellIs" dxfId="6311" priority="3066" operator="lessThan">
      <formula>0</formula>
    </cfRule>
  </conditionalFormatting>
  <conditionalFormatting sqref="R119:R120">
    <cfRule type="cellIs" dxfId="6310" priority="3064" operator="lessThan">
      <formula>0.8</formula>
    </cfRule>
    <cfRule type="cellIs" dxfId="6309" priority="3065" operator="greaterThan">
      <formula>1</formula>
    </cfRule>
  </conditionalFormatting>
  <conditionalFormatting sqref="R119:R120">
    <cfRule type="cellIs" dxfId="6308" priority="3062" operator="greaterThan">
      <formula>1</formula>
    </cfRule>
    <cfRule type="cellIs" dxfId="6307" priority="3063" operator="lessThan">
      <formula>0.8</formula>
    </cfRule>
  </conditionalFormatting>
  <conditionalFormatting sqref="P119:P120">
    <cfRule type="cellIs" dxfId="6306" priority="3061" operator="greaterThan">
      <formula>0</formula>
    </cfRule>
  </conditionalFormatting>
  <conditionalFormatting sqref="S44:S56">
    <cfRule type="cellIs" dxfId="6305" priority="3060" operator="lessThan">
      <formula>0.8</formula>
    </cfRule>
  </conditionalFormatting>
  <conditionalFormatting sqref="S108">
    <cfRule type="cellIs" dxfId="6304" priority="3059" operator="lessThan">
      <formula>0.8</formula>
    </cfRule>
  </conditionalFormatting>
  <conditionalFormatting sqref="S96">
    <cfRule type="cellIs" dxfId="6303" priority="3058" operator="lessThan">
      <formula>0.8</formula>
    </cfRule>
  </conditionalFormatting>
  <conditionalFormatting sqref="S97">
    <cfRule type="cellIs" dxfId="6302" priority="3057" operator="lessThan">
      <formula>0.8</formula>
    </cfRule>
  </conditionalFormatting>
  <conditionalFormatting sqref="S103">
    <cfRule type="cellIs" dxfId="6301" priority="3056" operator="lessThan">
      <formula>0.8</formula>
    </cfRule>
  </conditionalFormatting>
  <conditionalFormatting sqref="S99">
    <cfRule type="cellIs" dxfId="6300" priority="3055" operator="lessThan">
      <formula>0.8</formula>
    </cfRule>
  </conditionalFormatting>
  <conditionalFormatting sqref="S101">
    <cfRule type="cellIs" dxfId="6299" priority="3052" operator="lessThan">
      <formula>0.8</formula>
    </cfRule>
  </conditionalFormatting>
  <conditionalFormatting sqref="S100">
    <cfRule type="cellIs" dxfId="6298" priority="3054" operator="lessThan">
      <formula>0.8</formula>
    </cfRule>
  </conditionalFormatting>
  <conditionalFormatting sqref="S102">
    <cfRule type="cellIs" dxfId="6297" priority="3053" operator="lessThan">
      <formula>0.8</formula>
    </cfRule>
  </conditionalFormatting>
  <conditionalFormatting sqref="S98">
    <cfRule type="cellIs" dxfId="6296" priority="3051" operator="lessThan">
      <formula>0.8</formula>
    </cfRule>
  </conditionalFormatting>
  <conditionalFormatting sqref="S104">
    <cfRule type="cellIs" dxfId="6295" priority="3050" operator="lessThan">
      <formula>0.8</formula>
    </cfRule>
  </conditionalFormatting>
  <conditionalFormatting sqref="Q162:Q167">
    <cfRule type="cellIs" dxfId="6294" priority="3049" operator="lessThan">
      <formula>0</formula>
    </cfRule>
  </conditionalFormatting>
  <conditionalFormatting sqref="R162:R167">
    <cfRule type="cellIs" dxfId="6293" priority="3047" operator="lessThan">
      <formula>0.8</formula>
    </cfRule>
    <cfRule type="cellIs" dxfId="6292" priority="3048" operator="greaterThan">
      <formula>1</formula>
    </cfRule>
  </conditionalFormatting>
  <conditionalFormatting sqref="R162:R167">
    <cfRule type="cellIs" dxfId="6291" priority="3045" operator="greaterThan">
      <formula>1</formula>
    </cfRule>
    <cfRule type="cellIs" dxfId="6290" priority="3046" operator="lessThan">
      <formula>0.8</formula>
    </cfRule>
  </conditionalFormatting>
  <conditionalFormatting sqref="P162:P167">
    <cfRule type="cellIs" dxfId="6289" priority="3044" operator="greaterThan">
      <formula>0</formula>
    </cfRule>
  </conditionalFormatting>
  <conditionalFormatting sqref="P168">
    <cfRule type="cellIs" dxfId="6288" priority="3038" operator="greaterThan">
      <formula>0</formula>
    </cfRule>
  </conditionalFormatting>
  <conditionalFormatting sqref="R168">
    <cfRule type="cellIs" dxfId="6287" priority="3041" operator="lessThan">
      <formula>0.8</formula>
    </cfRule>
    <cfRule type="cellIs" dxfId="6286" priority="3042" operator="greaterThan">
      <formula>1</formula>
    </cfRule>
  </conditionalFormatting>
  <conditionalFormatting sqref="R168">
    <cfRule type="cellIs" dxfId="6285" priority="3039" operator="greaterThan">
      <formula>1</formula>
    </cfRule>
    <cfRule type="cellIs" dxfId="6284" priority="3040" operator="lessThan">
      <formula>0.8</formula>
    </cfRule>
  </conditionalFormatting>
  <conditionalFormatting sqref="Q168">
    <cfRule type="cellIs" dxfId="6283" priority="3043" operator="lessThan">
      <formula>0</formula>
    </cfRule>
  </conditionalFormatting>
  <conditionalFormatting sqref="Q83">
    <cfRule type="cellIs" dxfId="6282" priority="3037" operator="lessThan">
      <formula>0</formula>
    </cfRule>
  </conditionalFormatting>
  <conditionalFormatting sqref="R83">
    <cfRule type="cellIs" dxfId="6281" priority="3035" operator="lessThan">
      <formula>0.8</formula>
    </cfRule>
    <cfRule type="cellIs" dxfId="6280" priority="3036" operator="greaterThan">
      <formula>1</formula>
    </cfRule>
  </conditionalFormatting>
  <conditionalFormatting sqref="R83">
    <cfRule type="cellIs" dxfId="6279" priority="3033" operator="greaterThan">
      <formula>1</formula>
    </cfRule>
    <cfRule type="cellIs" dxfId="6278" priority="3034" operator="lessThan">
      <formula>0.8</formula>
    </cfRule>
  </conditionalFormatting>
  <conditionalFormatting sqref="P83">
    <cfRule type="cellIs" dxfId="6277" priority="3032" operator="greaterThan">
      <formula>0</formula>
    </cfRule>
  </conditionalFormatting>
  <conditionalFormatting sqref="Q83">
    <cfRule type="cellIs" dxfId="6276" priority="3031" operator="lessThan">
      <formula>0</formula>
    </cfRule>
  </conditionalFormatting>
  <conditionalFormatting sqref="R83">
    <cfRule type="cellIs" dxfId="6275" priority="3029" operator="lessThan">
      <formula>0.8</formula>
    </cfRule>
    <cfRule type="cellIs" dxfId="6274" priority="3030" operator="greaterThan">
      <formula>1</formula>
    </cfRule>
  </conditionalFormatting>
  <conditionalFormatting sqref="R83">
    <cfRule type="cellIs" dxfId="6273" priority="3027" operator="greaterThan">
      <formula>1</formula>
    </cfRule>
    <cfRule type="cellIs" dxfId="6272" priority="3028" operator="lessThan">
      <formula>0.8</formula>
    </cfRule>
  </conditionalFormatting>
  <conditionalFormatting sqref="P83">
    <cfRule type="cellIs" dxfId="6271" priority="3026" operator="greaterThan">
      <formula>0</formula>
    </cfRule>
  </conditionalFormatting>
  <conditionalFormatting sqref="Q83">
    <cfRule type="cellIs" dxfId="6270" priority="3025" operator="lessThan">
      <formula>0</formula>
    </cfRule>
  </conditionalFormatting>
  <conditionalFormatting sqref="R83">
    <cfRule type="cellIs" dxfId="6269" priority="3023" operator="lessThan">
      <formula>0.8</formula>
    </cfRule>
    <cfRule type="cellIs" dxfId="6268" priority="3024" operator="greaterThan">
      <formula>1</formula>
    </cfRule>
  </conditionalFormatting>
  <conditionalFormatting sqref="R83">
    <cfRule type="cellIs" dxfId="6267" priority="3021" operator="greaterThan">
      <formula>1</formula>
    </cfRule>
    <cfRule type="cellIs" dxfId="6266" priority="3022" operator="lessThan">
      <formula>0.8</formula>
    </cfRule>
  </conditionalFormatting>
  <conditionalFormatting sqref="P83">
    <cfRule type="cellIs" dxfId="6265" priority="3020" operator="greaterThan">
      <formula>0</formula>
    </cfRule>
  </conditionalFormatting>
  <conditionalFormatting sqref="Q83">
    <cfRule type="cellIs" dxfId="6264" priority="3019" operator="lessThan">
      <formula>0</formula>
    </cfRule>
  </conditionalFormatting>
  <conditionalFormatting sqref="R83">
    <cfRule type="cellIs" dxfId="6263" priority="3017" operator="lessThan">
      <formula>0.8</formula>
    </cfRule>
    <cfRule type="cellIs" dxfId="6262" priority="3018" operator="greaterThan">
      <formula>1</formula>
    </cfRule>
  </conditionalFormatting>
  <conditionalFormatting sqref="R83">
    <cfRule type="cellIs" dxfId="6261" priority="3015" operator="greaterThan">
      <formula>1</formula>
    </cfRule>
    <cfRule type="cellIs" dxfId="6260" priority="3016" operator="lessThan">
      <formula>0.8</formula>
    </cfRule>
  </conditionalFormatting>
  <conditionalFormatting sqref="P83">
    <cfRule type="cellIs" dxfId="6259" priority="3014" operator="greaterThan">
      <formula>0</formula>
    </cfRule>
  </conditionalFormatting>
  <conditionalFormatting sqref="P83">
    <cfRule type="cellIs" dxfId="6258" priority="3008" operator="greaterThan">
      <formula>0</formula>
    </cfRule>
  </conditionalFormatting>
  <conditionalFormatting sqref="Q83">
    <cfRule type="cellIs" dxfId="6257" priority="3013" operator="lessThan">
      <formula>0</formula>
    </cfRule>
  </conditionalFormatting>
  <conditionalFormatting sqref="R83">
    <cfRule type="cellIs" dxfId="6256" priority="3011" operator="lessThan">
      <formula>0.8</formula>
    </cfRule>
    <cfRule type="cellIs" dxfId="6255" priority="3012" operator="greaterThan">
      <formula>1</formula>
    </cfRule>
  </conditionalFormatting>
  <conditionalFormatting sqref="R83">
    <cfRule type="cellIs" dxfId="6254" priority="3009" operator="greaterThan">
      <formula>1</formula>
    </cfRule>
    <cfRule type="cellIs" dxfId="6253" priority="3010" operator="lessThan">
      <formula>0.8</formula>
    </cfRule>
  </conditionalFormatting>
  <conditionalFormatting sqref="P83">
    <cfRule type="cellIs" dxfId="6252" priority="3002" operator="greaterThan">
      <formula>0</formula>
    </cfRule>
  </conditionalFormatting>
  <conditionalFormatting sqref="Q83">
    <cfRule type="cellIs" dxfId="6251" priority="3007" operator="lessThan">
      <formula>0</formula>
    </cfRule>
  </conditionalFormatting>
  <conditionalFormatting sqref="R83">
    <cfRule type="cellIs" dxfId="6250" priority="3005" operator="lessThan">
      <formula>0.8</formula>
    </cfRule>
    <cfRule type="cellIs" dxfId="6249" priority="3006" operator="greaterThan">
      <formula>1</formula>
    </cfRule>
  </conditionalFormatting>
  <conditionalFormatting sqref="R83">
    <cfRule type="cellIs" dxfId="6248" priority="3003" operator="greaterThan">
      <formula>1</formula>
    </cfRule>
    <cfRule type="cellIs" dxfId="6247" priority="3004" operator="lessThan">
      <formula>0.8</formula>
    </cfRule>
  </conditionalFormatting>
  <conditionalFormatting sqref="R83">
    <cfRule type="cellIs" dxfId="6246" priority="2999" operator="lessThan">
      <formula>0.8</formula>
    </cfRule>
    <cfRule type="cellIs" dxfId="6245" priority="3000" operator="greaterThan">
      <formula>1</formula>
    </cfRule>
  </conditionalFormatting>
  <conditionalFormatting sqref="R83">
    <cfRule type="cellIs" dxfId="6244" priority="2997" operator="greaterThan">
      <formula>1</formula>
    </cfRule>
    <cfRule type="cellIs" dxfId="6243" priority="2998" operator="lessThan">
      <formula>0.8</formula>
    </cfRule>
  </conditionalFormatting>
  <conditionalFormatting sqref="P83">
    <cfRule type="cellIs" dxfId="6242" priority="2996" operator="greaterThan">
      <formula>0</formula>
    </cfRule>
  </conditionalFormatting>
  <conditionalFormatting sqref="Q83">
    <cfRule type="cellIs" dxfId="6241" priority="3001" operator="lessThan">
      <formula>0</formula>
    </cfRule>
  </conditionalFormatting>
  <conditionalFormatting sqref="Q83">
    <cfRule type="cellIs" dxfId="6240" priority="2995" operator="lessThan">
      <formula>0</formula>
    </cfRule>
  </conditionalFormatting>
  <conditionalFormatting sqref="R83">
    <cfRule type="cellIs" dxfId="6239" priority="2993" operator="lessThan">
      <formula>0.8</formula>
    </cfRule>
    <cfRule type="cellIs" dxfId="6238" priority="2994" operator="greaterThan">
      <formula>1</formula>
    </cfRule>
  </conditionalFormatting>
  <conditionalFormatting sqref="R83">
    <cfRule type="cellIs" dxfId="6237" priority="2991" operator="greaterThan">
      <formula>1</formula>
    </cfRule>
    <cfRule type="cellIs" dxfId="6236" priority="2992" operator="lessThan">
      <formula>0.8</formula>
    </cfRule>
  </conditionalFormatting>
  <conditionalFormatting sqref="P83">
    <cfRule type="cellIs" dxfId="6235" priority="2990" operator="greaterThan">
      <formula>0</formula>
    </cfRule>
  </conditionalFormatting>
  <conditionalFormatting sqref="P83">
    <cfRule type="cellIs" dxfId="6234" priority="2984" operator="greaterThan">
      <formula>0</formula>
    </cfRule>
  </conditionalFormatting>
  <conditionalFormatting sqref="Q83">
    <cfRule type="cellIs" dxfId="6233" priority="2989" operator="lessThan">
      <formula>0</formula>
    </cfRule>
  </conditionalFormatting>
  <conditionalFormatting sqref="R83">
    <cfRule type="cellIs" dxfId="6232" priority="2987" operator="lessThan">
      <formula>0.8</formula>
    </cfRule>
    <cfRule type="cellIs" dxfId="6231" priority="2988" operator="greaterThan">
      <formula>1</formula>
    </cfRule>
  </conditionalFormatting>
  <conditionalFormatting sqref="R83">
    <cfRule type="cellIs" dxfId="6230" priority="2985" operator="greaterThan">
      <formula>1</formula>
    </cfRule>
    <cfRule type="cellIs" dxfId="6229" priority="2986" operator="lessThan">
      <formula>0.8</formula>
    </cfRule>
  </conditionalFormatting>
  <conditionalFormatting sqref="P83">
    <cfRule type="cellIs" dxfId="6228" priority="2978" operator="greaterThan">
      <formula>0</formula>
    </cfRule>
  </conditionalFormatting>
  <conditionalFormatting sqref="Q83">
    <cfRule type="cellIs" dxfId="6227" priority="2983" operator="lessThan">
      <formula>0</formula>
    </cfRule>
  </conditionalFormatting>
  <conditionalFormatting sqref="R83">
    <cfRule type="cellIs" dxfId="6226" priority="2981" operator="lessThan">
      <formula>0.8</formula>
    </cfRule>
    <cfRule type="cellIs" dxfId="6225" priority="2982" operator="greaterThan">
      <formula>1</formula>
    </cfRule>
  </conditionalFormatting>
  <conditionalFormatting sqref="R83">
    <cfRule type="cellIs" dxfId="6224" priority="2979" operator="greaterThan">
      <formula>1</formula>
    </cfRule>
    <cfRule type="cellIs" dxfId="6223" priority="2980" operator="lessThan">
      <formula>0.8</formula>
    </cfRule>
  </conditionalFormatting>
  <conditionalFormatting sqref="R83">
    <cfRule type="cellIs" dxfId="6222" priority="2975" operator="lessThan">
      <formula>0.8</formula>
    </cfRule>
    <cfRule type="cellIs" dxfId="6221" priority="2976" operator="greaterThan">
      <formula>1</formula>
    </cfRule>
  </conditionalFormatting>
  <conditionalFormatting sqref="R83">
    <cfRule type="cellIs" dxfId="6220" priority="2973" operator="greaterThan">
      <formula>1</formula>
    </cfRule>
    <cfRule type="cellIs" dxfId="6219" priority="2974" operator="lessThan">
      <formula>0.8</formula>
    </cfRule>
  </conditionalFormatting>
  <conditionalFormatting sqref="P83">
    <cfRule type="cellIs" dxfId="6218" priority="2972" operator="greaterThan">
      <formula>0</formula>
    </cfRule>
  </conditionalFormatting>
  <conditionalFormatting sqref="Q83">
    <cfRule type="cellIs" dxfId="6217" priority="2977" operator="lessThan">
      <formula>0</formula>
    </cfRule>
  </conditionalFormatting>
  <conditionalFormatting sqref="P83">
    <cfRule type="cellIs" dxfId="6216" priority="2966" operator="greaterThan">
      <formula>0</formula>
    </cfRule>
  </conditionalFormatting>
  <conditionalFormatting sqref="Q83">
    <cfRule type="cellIs" dxfId="6215" priority="2971" operator="lessThan">
      <formula>0</formula>
    </cfRule>
  </conditionalFormatting>
  <conditionalFormatting sqref="R83">
    <cfRule type="cellIs" dxfId="6214" priority="2969" operator="lessThan">
      <formula>0.8</formula>
    </cfRule>
    <cfRule type="cellIs" dxfId="6213" priority="2970" operator="greaterThan">
      <formula>1</formula>
    </cfRule>
  </conditionalFormatting>
  <conditionalFormatting sqref="R83">
    <cfRule type="cellIs" dxfId="6212" priority="2967" operator="greaterThan">
      <formula>1</formula>
    </cfRule>
    <cfRule type="cellIs" dxfId="6211" priority="2968" operator="lessThan">
      <formula>0.8</formula>
    </cfRule>
  </conditionalFormatting>
  <conditionalFormatting sqref="R83">
    <cfRule type="cellIs" dxfId="6210" priority="2963" operator="lessThan">
      <formula>0.8</formula>
    </cfRule>
    <cfRule type="cellIs" dxfId="6209" priority="2964" operator="greaterThan">
      <formula>1</formula>
    </cfRule>
  </conditionalFormatting>
  <conditionalFormatting sqref="R83">
    <cfRule type="cellIs" dxfId="6208" priority="2961" operator="greaterThan">
      <formula>1</formula>
    </cfRule>
    <cfRule type="cellIs" dxfId="6207" priority="2962" operator="lessThan">
      <formula>0.8</formula>
    </cfRule>
  </conditionalFormatting>
  <conditionalFormatting sqref="P83">
    <cfRule type="cellIs" dxfId="6206" priority="2960" operator="greaterThan">
      <formula>0</formula>
    </cfRule>
  </conditionalFormatting>
  <conditionalFormatting sqref="Q83">
    <cfRule type="cellIs" dxfId="6205" priority="2965" operator="lessThan">
      <formula>0</formula>
    </cfRule>
  </conditionalFormatting>
  <conditionalFormatting sqref="R83">
    <cfRule type="cellIs" dxfId="6204" priority="2957" operator="lessThan">
      <formula>0.8</formula>
    </cfRule>
    <cfRule type="cellIs" dxfId="6203" priority="2958" operator="greaterThan">
      <formula>1</formula>
    </cfRule>
  </conditionalFormatting>
  <conditionalFormatting sqref="R83">
    <cfRule type="cellIs" dxfId="6202" priority="2955" operator="greaterThan">
      <formula>1</formula>
    </cfRule>
    <cfRule type="cellIs" dxfId="6201" priority="2956" operator="lessThan">
      <formula>0.8</formula>
    </cfRule>
  </conditionalFormatting>
  <conditionalFormatting sqref="P83">
    <cfRule type="cellIs" dxfId="6200" priority="2954" operator="greaterThan">
      <formula>0</formula>
    </cfRule>
  </conditionalFormatting>
  <conditionalFormatting sqref="Q83">
    <cfRule type="cellIs" dxfId="6199" priority="2959" operator="lessThan">
      <formula>0</formula>
    </cfRule>
  </conditionalFormatting>
  <conditionalFormatting sqref="Q83">
    <cfRule type="cellIs" dxfId="6198" priority="2953" operator="lessThan">
      <formula>0</formula>
    </cfRule>
  </conditionalFormatting>
  <conditionalFormatting sqref="R83">
    <cfRule type="cellIs" dxfId="6197" priority="2951" operator="lessThan">
      <formula>0.8</formula>
    </cfRule>
    <cfRule type="cellIs" dxfId="6196" priority="2952" operator="greaterThan">
      <formula>1</formula>
    </cfRule>
  </conditionalFormatting>
  <conditionalFormatting sqref="R83">
    <cfRule type="cellIs" dxfId="6195" priority="2949" operator="greaterThan">
      <formula>1</formula>
    </cfRule>
    <cfRule type="cellIs" dxfId="6194" priority="2950" operator="lessThan">
      <formula>0.8</formula>
    </cfRule>
  </conditionalFormatting>
  <conditionalFormatting sqref="P83">
    <cfRule type="cellIs" dxfId="6193" priority="2948" operator="greaterThan">
      <formula>0</formula>
    </cfRule>
  </conditionalFormatting>
  <conditionalFormatting sqref="Q83">
    <cfRule type="cellIs" dxfId="6192" priority="2942" operator="lessThan">
      <formula>0</formula>
    </cfRule>
  </conditionalFormatting>
  <conditionalFormatting sqref="R83">
    <cfRule type="cellIs" dxfId="6191" priority="2946" operator="lessThan">
      <formula>0.8</formula>
    </cfRule>
    <cfRule type="cellIs" dxfId="6190" priority="2947" operator="greaterThan">
      <formula>1</formula>
    </cfRule>
  </conditionalFormatting>
  <conditionalFormatting sqref="R83">
    <cfRule type="cellIs" dxfId="6189" priority="2944" operator="greaterThan">
      <formula>1</formula>
    </cfRule>
    <cfRule type="cellIs" dxfId="6188" priority="2945" operator="lessThan">
      <formula>0.8</formula>
    </cfRule>
  </conditionalFormatting>
  <conditionalFormatting sqref="P83">
    <cfRule type="cellIs" dxfId="6187" priority="2943" operator="greaterThan">
      <formula>0</formula>
    </cfRule>
  </conditionalFormatting>
  <conditionalFormatting sqref="Q83">
    <cfRule type="cellIs" dxfId="6186" priority="2941" operator="lessThan">
      <formula>0</formula>
    </cfRule>
  </conditionalFormatting>
  <conditionalFormatting sqref="R83">
    <cfRule type="cellIs" dxfId="6185" priority="2939" operator="lessThan">
      <formula>0.8</formula>
    </cfRule>
    <cfRule type="cellIs" dxfId="6184" priority="2940" operator="greaterThan">
      <formula>1</formula>
    </cfRule>
  </conditionalFormatting>
  <conditionalFormatting sqref="R83">
    <cfRule type="cellIs" dxfId="6183" priority="2937" operator="greaterThan">
      <formula>1</formula>
    </cfRule>
    <cfRule type="cellIs" dxfId="6182" priority="2938" operator="lessThan">
      <formula>0.8</formula>
    </cfRule>
  </conditionalFormatting>
  <conditionalFormatting sqref="P83">
    <cfRule type="cellIs" dxfId="6181" priority="2936" operator="greaterThan">
      <formula>0</formula>
    </cfRule>
  </conditionalFormatting>
  <conditionalFormatting sqref="Q83">
    <cfRule type="cellIs" dxfId="6180" priority="2935" operator="lessThan">
      <formula>0</formula>
    </cfRule>
  </conditionalFormatting>
  <conditionalFormatting sqref="R83">
    <cfRule type="cellIs" dxfId="6179" priority="2933" operator="lessThan">
      <formula>0.8</formula>
    </cfRule>
    <cfRule type="cellIs" dxfId="6178" priority="2934" operator="greaterThan">
      <formula>1</formula>
    </cfRule>
  </conditionalFormatting>
  <conditionalFormatting sqref="R83">
    <cfRule type="cellIs" dxfId="6177" priority="2931" operator="greaterThan">
      <formula>1</formula>
    </cfRule>
    <cfRule type="cellIs" dxfId="6176" priority="2932" operator="lessThan">
      <formula>0.8</formula>
    </cfRule>
  </conditionalFormatting>
  <conditionalFormatting sqref="P83">
    <cfRule type="cellIs" dxfId="6175" priority="2930" operator="greaterThan">
      <formula>0</formula>
    </cfRule>
  </conditionalFormatting>
  <conditionalFormatting sqref="Q83">
    <cfRule type="cellIs" dxfId="6174" priority="2929" operator="lessThan">
      <formula>0</formula>
    </cfRule>
  </conditionalFormatting>
  <conditionalFormatting sqref="R83">
    <cfRule type="cellIs" dxfId="6173" priority="2927" operator="lessThan">
      <formula>0.8</formula>
    </cfRule>
    <cfRule type="cellIs" dxfId="6172" priority="2928" operator="greaterThan">
      <formula>1</formula>
    </cfRule>
  </conditionalFormatting>
  <conditionalFormatting sqref="R83">
    <cfRule type="cellIs" dxfId="6171" priority="2925" operator="greaterThan">
      <formula>1</formula>
    </cfRule>
    <cfRule type="cellIs" dxfId="6170" priority="2926" operator="lessThan">
      <formula>0.8</formula>
    </cfRule>
  </conditionalFormatting>
  <conditionalFormatting sqref="P83">
    <cfRule type="cellIs" dxfId="6169" priority="2924" operator="greaterThan">
      <formula>0</formula>
    </cfRule>
  </conditionalFormatting>
  <conditionalFormatting sqref="Q83">
    <cfRule type="cellIs" dxfId="6168" priority="2923" operator="lessThan">
      <formula>0</formula>
    </cfRule>
  </conditionalFormatting>
  <conditionalFormatting sqref="R83">
    <cfRule type="cellIs" dxfId="6167" priority="2921" operator="lessThan">
      <formula>0.8</formula>
    </cfRule>
    <cfRule type="cellIs" dxfId="6166" priority="2922" operator="greaterThan">
      <formula>1</formula>
    </cfRule>
  </conditionalFormatting>
  <conditionalFormatting sqref="R83">
    <cfRule type="cellIs" dxfId="6165" priority="2919" operator="greaterThan">
      <formula>1</formula>
    </cfRule>
    <cfRule type="cellIs" dxfId="6164" priority="2920" operator="lessThan">
      <formula>0.8</formula>
    </cfRule>
  </conditionalFormatting>
  <conditionalFormatting sqref="P83">
    <cfRule type="cellIs" dxfId="6163" priority="2918" operator="greaterThan">
      <formula>0</formula>
    </cfRule>
  </conditionalFormatting>
  <conditionalFormatting sqref="Q83">
    <cfRule type="cellIs" dxfId="6162" priority="2917" operator="lessThan">
      <formula>0</formula>
    </cfRule>
  </conditionalFormatting>
  <conditionalFormatting sqref="R83">
    <cfRule type="cellIs" dxfId="6161" priority="2915" operator="lessThan">
      <formula>0.8</formula>
    </cfRule>
    <cfRule type="cellIs" dxfId="6160" priority="2916" operator="greaterThan">
      <formula>1</formula>
    </cfRule>
  </conditionalFormatting>
  <conditionalFormatting sqref="R83">
    <cfRule type="cellIs" dxfId="6159" priority="2913" operator="greaterThan">
      <formula>1</formula>
    </cfRule>
    <cfRule type="cellIs" dxfId="6158" priority="2914" operator="lessThan">
      <formula>0.8</formula>
    </cfRule>
  </conditionalFormatting>
  <conditionalFormatting sqref="P83">
    <cfRule type="cellIs" dxfId="6157" priority="2912" operator="greaterThan">
      <formula>0</formula>
    </cfRule>
  </conditionalFormatting>
  <conditionalFormatting sqref="P83">
    <cfRule type="cellIs" dxfId="6156" priority="2906" operator="greaterThan">
      <formula>0</formula>
    </cfRule>
  </conditionalFormatting>
  <conditionalFormatting sqref="Q83">
    <cfRule type="cellIs" dxfId="6155" priority="2911" operator="lessThan">
      <formula>0</formula>
    </cfRule>
  </conditionalFormatting>
  <conditionalFormatting sqref="R83">
    <cfRule type="cellIs" dxfId="6154" priority="2909" operator="lessThan">
      <formula>0.8</formula>
    </cfRule>
    <cfRule type="cellIs" dxfId="6153" priority="2910" operator="greaterThan">
      <formula>1</formula>
    </cfRule>
  </conditionalFormatting>
  <conditionalFormatting sqref="R83">
    <cfRule type="cellIs" dxfId="6152" priority="2907" operator="greaterThan">
      <formula>1</formula>
    </cfRule>
    <cfRule type="cellIs" dxfId="6151" priority="2908" operator="lessThan">
      <formula>0.8</formula>
    </cfRule>
  </conditionalFormatting>
  <conditionalFormatting sqref="P83">
    <cfRule type="cellIs" dxfId="6150" priority="2900" operator="greaterThan">
      <formula>0</formula>
    </cfRule>
  </conditionalFormatting>
  <conditionalFormatting sqref="Q83">
    <cfRule type="cellIs" dxfId="6149" priority="2905" operator="lessThan">
      <formula>0</formula>
    </cfRule>
  </conditionalFormatting>
  <conditionalFormatting sqref="R83">
    <cfRule type="cellIs" dxfId="6148" priority="2903" operator="lessThan">
      <formula>0.8</formula>
    </cfRule>
    <cfRule type="cellIs" dxfId="6147" priority="2904" operator="greaterThan">
      <formula>1</formula>
    </cfRule>
  </conditionalFormatting>
  <conditionalFormatting sqref="R83">
    <cfRule type="cellIs" dxfId="6146" priority="2901" operator="greaterThan">
      <formula>1</formula>
    </cfRule>
    <cfRule type="cellIs" dxfId="6145" priority="2902" operator="lessThan">
      <formula>0.8</formula>
    </cfRule>
  </conditionalFormatting>
  <conditionalFormatting sqref="R83">
    <cfRule type="cellIs" dxfId="6144" priority="2897" operator="lessThan">
      <formula>0.8</formula>
    </cfRule>
    <cfRule type="cellIs" dxfId="6143" priority="2898" operator="greaterThan">
      <formula>1</formula>
    </cfRule>
  </conditionalFormatting>
  <conditionalFormatting sqref="R83">
    <cfRule type="cellIs" dxfId="6142" priority="2895" operator="greaterThan">
      <formula>1</formula>
    </cfRule>
    <cfRule type="cellIs" dxfId="6141" priority="2896" operator="lessThan">
      <formula>0.8</formula>
    </cfRule>
  </conditionalFormatting>
  <conditionalFormatting sqref="P83">
    <cfRule type="cellIs" dxfId="6140" priority="2894" operator="greaterThan">
      <formula>0</formula>
    </cfRule>
  </conditionalFormatting>
  <conditionalFormatting sqref="Q83">
    <cfRule type="cellIs" dxfId="6139" priority="2899" operator="lessThan">
      <formula>0</formula>
    </cfRule>
  </conditionalFormatting>
  <conditionalFormatting sqref="Q83">
    <cfRule type="cellIs" dxfId="6138" priority="2893" operator="lessThan">
      <formula>0</formula>
    </cfRule>
  </conditionalFormatting>
  <conditionalFormatting sqref="R83">
    <cfRule type="cellIs" dxfId="6137" priority="2891" operator="lessThan">
      <formula>0.8</formula>
    </cfRule>
    <cfRule type="cellIs" dxfId="6136" priority="2892" operator="greaterThan">
      <formula>1</formula>
    </cfRule>
  </conditionalFormatting>
  <conditionalFormatting sqref="R83">
    <cfRule type="cellIs" dxfId="6135" priority="2889" operator="greaterThan">
      <formula>1</formula>
    </cfRule>
    <cfRule type="cellIs" dxfId="6134" priority="2890" operator="lessThan">
      <formula>0.8</formula>
    </cfRule>
  </conditionalFormatting>
  <conditionalFormatting sqref="P83">
    <cfRule type="cellIs" dxfId="6133" priority="2888" operator="greaterThan">
      <formula>0</formula>
    </cfRule>
  </conditionalFormatting>
  <conditionalFormatting sqref="Q83">
    <cfRule type="cellIs" dxfId="6132" priority="2887" operator="lessThan">
      <formula>0</formula>
    </cfRule>
  </conditionalFormatting>
  <conditionalFormatting sqref="R83">
    <cfRule type="cellIs" dxfId="6131" priority="2885" operator="lessThan">
      <formula>0.8</formula>
    </cfRule>
    <cfRule type="cellIs" dxfId="6130" priority="2886" operator="greaterThan">
      <formula>1</formula>
    </cfRule>
  </conditionalFormatting>
  <conditionalFormatting sqref="R83">
    <cfRule type="cellIs" dxfId="6129" priority="2883" operator="greaterThan">
      <formula>1</formula>
    </cfRule>
    <cfRule type="cellIs" dxfId="6128" priority="2884" operator="lessThan">
      <formula>0.8</formula>
    </cfRule>
  </conditionalFormatting>
  <conditionalFormatting sqref="P83">
    <cfRule type="cellIs" dxfId="6127" priority="2882" operator="greaterThan">
      <formula>0</formula>
    </cfRule>
  </conditionalFormatting>
  <conditionalFormatting sqref="Q83">
    <cfRule type="cellIs" dxfId="6126" priority="2881" operator="lessThan">
      <formula>0</formula>
    </cfRule>
  </conditionalFormatting>
  <conditionalFormatting sqref="R83">
    <cfRule type="cellIs" dxfId="6125" priority="2879" operator="lessThan">
      <formula>0.8</formula>
    </cfRule>
    <cfRule type="cellIs" dxfId="6124" priority="2880" operator="greaterThan">
      <formula>1</formula>
    </cfRule>
  </conditionalFormatting>
  <conditionalFormatting sqref="R83">
    <cfRule type="cellIs" dxfId="6123" priority="2877" operator="greaterThan">
      <formula>1</formula>
    </cfRule>
    <cfRule type="cellIs" dxfId="6122" priority="2878" operator="lessThan">
      <formula>0.8</formula>
    </cfRule>
  </conditionalFormatting>
  <conditionalFormatting sqref="P83">
    <cfRule type="cellIs" dxfId="6121" priority="2876" operator="greaterThan">
      <formula>0</formula>
    </cfRule>
  </conditionalFormatting>
  <conditionalFormatting sqref="Q83">
    <cfRule type="cellIs" dxfId="6120" priority="2875" operator="lessThan">
      <formula>0</formula>
    </cfRule>
  </conditionalFormatting>
  <conditionalFormatting sqref="R83">
    <cfRule type="cellIs" dxfId="6119" priority="2873" operator="lessThan">
      <formula>0.8</formula>
    </cfRule>
    <cfRule type="cellIs" dxfId="6118" priority="2874" operator="greaterThan">
      <formula>1</formula>
    </cfRule>
  </conditionalFormatting>
  <conditionalFormatting sqref="R83">
    <cfRule type="cellIs" dxfId="6117" priority="2871" operator="greaterThan">
      <formula>1</formula>
    </cfRule>
    <cfRule type="cellIs" dxfId="6116" priority="2872" operator="lessThan">
      <formula>0.8</formula>
    </cfRule>
  </conditionalFormatting>
  <conditionalFormatting sqref="P83">
    <cfRule type="cellIs" dxfId="6115" priority="2870" operator="greaterThan">
      <formula>0</formula>
    </cfRule>
  </conditionalFormatting>
  <conditionalFormatting sqref="P83">
    <cfRule type="cellIs" dxfId="6114" priority="2864" operator="greaterThan">
      <formula>0</formula>
    </cfRule>
  </conditionalFormatting>
  <conditionalFormatting sqref="Q83">
    <cfRule type="cellIs" dxfId="6113" priority="2869" operator="lessThan">
      <formula>0</formula>
    </cfRule>
  </conditionalFormatting>
  <conditionalFormatting sqref="R83">
    <cfRule type="cellIs" dxfId="6112" priority="2867" operator="lessThan">
      <formula>0.8</formula>
    </cfRule>
    <cfRule type="cellIs" dxfId="6111" priority="2868" operator="greaterThan">
      <formula>1</formula>
    </cfRule>
  </conditionalFormatting>
  <conditionalFormatting sqref="R83">
    <cfRule type="cellIs" dxfId="6110" priority="2865" operator="greaterThan">
      <formula>1</formula>
    </cfRule>
    <cfRule type="cellIs" dxfId="6109" priority="2866" operator="lessThan">
      <formula>0.8</formula>
    </cfRule>
  </conditionalFormatting>
  <conditionalFormatting sqref="P83">
    <cfRule type="cellIs" dxfId="6108" priority="2858" operator="greaterThan">
      <formula>0</formula>
    </cfRule>
  </conditionalFormatting>
  <conditionalFormatting sqref="Q83">
    <cfRule type="cellIs" dxfId="6107" priority="2863" operator="lessThan">
      <formula>0</formula>
    </cfRule>
  </conditionalFormatting>
  <conditionalFormatting sqref="R83">
    <cfRule type="cellIs" dxfId="6106" priority="2861" operator="lessThan">
      <formula>0.8</formula>
    </cfRule>
    <cfRule type="cellIs" dxfId="6105" priority="2862" operator="greaterThan">
      <formula>1</formula>
    </cfRule>
  </conditionalFormatting>
  <conditionalFormatting sqref="R83">
    <cfRule type="cellIs" dxfId="6104" priority="2859" operator="greaterThan">
      <formula>1</formula>
    </cfRule>
    <cfRule type="cellIs" dxfId="6103" priority="2860" operator="lessThan">
      <formula>0.8</formula>
    </cfRule>
  </conditionalFormatting>
  <conditionalFormatting sqref="R83">
    <cfRule type="cellIs" dxfId="6102" priority="2855" operator="lessThan">
      <formula>0.8</formula>
    </cfRule>
    <cfRule type="cellIs" dxfId="6101" priority="2856" operator="greaterThan">
      <formula>1</formula>
    </cfRule>
  </conditionalFormatting>
  <conditionalFormatting sqref="R83">
    <cfRule type="cellIs" dxfId="6100" priority="2853" operator="greaterThan">
      <formula>1</formula>
    </cfRule>
    <cfRule type="cellIs" dxfId="6099" priority="2854" operator="lessThan">
      <formula>0.8</formula>
    </cfRule>
  </conditionalFormatting>
  <conditionalFormatting sqref="P83">
    <cfRule type="cellIs" dxfId="6098" priority="2852" operator="greaterThan">
      <formula>0</formula>
    </cfRule>
  </conditionalFormatting>
  <conditionalFormatting sqref="Q83">
    <cfRule type="cellIs" dxfId="6097" priority="2857" operator="lessThan">
      <formula>0</formula>
    </cfRule>
  </conditionalFormatting>
  <conditionalFormatting sqref="Q83">
    <cfRule type="cellIs" dxfId="6096" priority="2851" operator="lessThan">
      <formula>0</formula>
    </cfRule>
  </conditionalFormatting>
  <conditionalFormatting sqref="R83">
    <cfRule type="cellIs" dxfId="6095" priority="2849" operator="lessThan">
      <formula>0.8</formula>
    </cfRule>
    <cfRule type="cellIs" dxfId="6094" priority="2850" operator="greaterThan">
      <formula>1</formula>
    </cfRule>
  </conditionalFormatting>
  <conditionalFormatting sqref="R83">
    <cfRule type="cellIs" dxfId="6093" priority="2847" operator="greaterThan">
      <formula>1</formula>
    </cfRule>
    <cfRule type="cellIs" dxfId="6092" priority="2848" operator="lessThan">
      <formula>0.8</formula>
    </cfRule>
  </conditionalFormatting>
  <conditionalFormatting sqref="P83">
    <cfRule type="cellIs" dxfId="6091" priority="2846" operator="greaterThan">
      <formula>0</formula>
    </cfRule>
  </conditionalFormatting>
  <conditionalFormatting sqref="P83">
    <cfRule type="cellIs" dxfId="6090" priority="2840" operator="greaterThan">
      <formula>0</formula>
    </cfRule>
  </conditionalFormatting>
  <conditionalFormatting sqref="Q83">
    <cfRule type="cellIs" dxfId="6089" priority="2845" operator="lessThan">
      <formula>0</formula>
    </cfRule>
  </conditionalFormatting>
  <conditionalFormatting sqref="R83">
    <cfRule type="cellIs" dxfId="6088" priority="2843" operator="lessThan">
      <formula>0.8</formula>
    </cfRule>
    <cfRule type="cellIs" dxfId="6087" priority="2844" operator="greaterThan">
      <formula>1</formula>
    </cfRule>
  </conditionalFormatting>
  <conditionalFormatting sqref="R83">
    <cfRule type="cellIs" dxfId="6086" priority="2841" operator="greaterThan">
      <formula>1</formula>
    </cfRule>
    <cfRule type="cellIs" dxfId="6085" priority="2842" operator="lessThan">
      <formula>0.8</formula>
    </cfRule>
  </conditionalFormatting>
  <conditionalFormatting sqref="P83">
    <cfRule type="cellIs" dxfId="6084" priority="2834" operator="greaterThan">
      <formula>0</formula>
    </cfRule>
  </conditionalFormatting>
  <conditionalFormatting sqref="Q83">
    <cfRule type="cellIs" dxfId="6083" priority="2839" operator="lessThan">
      <formula>0</formula>
    </cfRule>
  </conditionalFormatting>
  <conditionalFormatting sqref="R83">
    <cfRule type="cellIs" dxfId="6082" priority="2837" operator="lessThan">
      <formula>0.8</formula>
    </cfRule>
    <cfRule type="cellIs" dxfId="6081" priority="2838" operator="greaterThan">
      <formula>1</formula>
    </cfRule>
  </conditionalFormatting>
  <conditionalFormatting sqref="R83">
    <cfRule type="cellIs" dxfId="6080" priority="2835" operator="greaterThan">
      <formula>1</formula>
    </cfRule>
    <cfRule type="cellIs" dxfId="6079" priority="2836" operator="lessThan">
      <formula>0.8</formula>
    </cfRule>
  </conditionalFormatting>
  <conditionalFormatting sqref="R83">
    <cfRule type="cellIs" dxfId="6078" priority="2831" operator="lessThan">
      <formula>0.8</formula>
    </cfRule>
    <cfRule type="cellIs" dxfId="6077" priority="2832" operator="greaterThan">
      <formula>1</formula>
    </cfRule>
  </conditionalFormatting>
  <conditionalFormatting sqref="R83">
    <cfRule type="cellIs" dxfId="6076" priority="2829" operator="greaterThan">
      <formula>1</formula>
    </cfRule>
    <cfRule type="cellIs" dxfId="6075" priority="2830" operator="lessThan">
      <formula>0.8</formula>
    </cfRule>
  </conditionalFormatting>
  <conditionalFormatting sqref="P83">
    <cfRule type="cellIs" dxfId="6074" priority="2828" operator="greaterThan">
      <formula>0</formula>
    </cfRule>
  </conditionalFormatting>
  <conditionalFormatting sqref="Q83">
    <cfRule type="cellIs" dxfId="6073" priority="2833" operator="lessThan">
      <formula>0</formula>
    </cfRule>
  </conditionalFormatting>
  <conditionalFormatting sqref="P83">
    <cfRule type="cellIs" dxfId="6072" priority="2822" operator="greaterThan">
      <formula>0</formula>
    </cfRule>
  </conditionalFormatting>
  <conditionalFormatting sqref="Q83">
    <cfRule type="cellIs" dxfId="6071" priority="2827" operator="lessThan">
      <formula>0</formula>
    </cfRule>
  </conditionalFormatting>
  <conditionalFormatting sqref="R83">
    <cfRule type="cellIs" dxfId="6070" priority="2825" operator="lessThan">
      <formula>0.8</formula>
    </cfRule>
    <cfRule type="cellIs" dxfId="6069" priority="2826" operator="greaterThan">
      <formula>1</formula>
    </cfRule>
  </conditionalFormatting>
  <conditionalFormatting sqref="R83">
    <cfRule type="cellIs" dxfId="6068" priority="2823" operator="greaterThan">
      <formula>1</formula>
    </cfRule>
    <cfRule type="cellIs" dxfId="6067" priority="2824" operator="lessThan">
      <formula>0.8</formula>
    </cfRule>
  </conditionalFormatting>
  <conditionalFormatting sqref="R83">
    <cfRule type="cellIs" dxfId="6066" priority="2819" operator="lessThan">
      <formula>0.8</formula>
    </cfRule>
    <cfRule type="cellIs" dxfId="6065" priority="2820" operator="greaterThan">
      <formula>1</formula>
    </cfRule>
  </conditionalFormatting>
  <conditionalFormatting sqref="R83">
    <cfRule type="cellIs" dxfId="6064" priority="2817" operator="greaterThan">
      <formula>1</formula>
    </cfRule>
    <cfRule type="cellIs" dxfId="6063" priority="2818" operator="lessThan">
      <formula>0.8</formula>
    </cfRule>
  </conditionalFormatting>
  <conditionalFormatting sqref="P83">
    <cfRule type="cellIs" dxfId="6062" priority="2816" operator="greaterThan">
      <formula>0</formula>
    </cfRule>
  </conditionalFormatting>
  <conditionalFormatting sqref="Q83">
    <cfRule type="cellIs" dxfId="6061" priority="2821" operator="lessThan">
      <formula>0</formula>
    </cfRule>
  </conditionalFormatting>
  <conditionalFormatting sqref="R83">
    <cfRule type="cellIs" dxfId="6060" priority="2813" operator="lessThan">
      <formula>0.8</formula>
    </cfRule>
    <cfRule type="cellIs" dxfId="6059" priority="2814" operator="greaterThan">
      <formula>1</formula>
    </cfRule>
  </conditionalFormatting>
  <conditionalFormatting sqref="R83">
    <cfRule type="cellIs" dxfId="6058" priority="2811" operator="greaterThan">
      <formula>1</formula>
    </cfRule>
    <cfRule type="cellIs" dxfId="6057" priority="2812" operator="lessThan">
      <formula>0.8</formula>
    </cfRule>
  </conditionalFormatting>
  <conditionalFormatting sqref="P83">
    <cfRule type="cellIs" dxfId="6056" priority="2810" operator="greaterThan">
      <formula>0</formula>
    </cfRule>
  </conditionalFormatting>
  <conditionalFormatting sqref="Q83">
    <cfRule type="cellIs" dxfId="6055" priority="2815" operator="lessThan">
      <formula>0</formula>
    </cfRule>
  </conditionalFormatting>
  <conditionalFormatting sqref="Q83">
    <cfRule type="cellIs" dxfId="6054" priority="2809" operator="lessThan">
      <formula>0</formula>
    </cfRule>
  </conditionalFormatting>
  <conditionalFormatting sqref="R83">
    <cfRule type="cellIs" dxfId="6053" priority="2807" operator="lessThan">
      <formula>0.8</formula>
    </cfRule>
    <cfRule type="cellIs" dxfId="6052" priority="2808" operator="greaterThan">
      <formula>1</formula>
    </cfRule>
  </conditionalFormatting>
  <conditionalFormatting sqref="R83">
    <cfRule type="cellIs" dxfId="6051" priority="2805" operator="greaterThan">
      <formula>1</formula>
    </cfRule>
    <cfRule type="cellIs" dxfId="6050" priority="2806" operator="lessThan">
      <formula>0.8</formula>
    </cfRule>
  </conditionalFormatting>
  <conditionalFormatting sqref="P83">
    <cfRule type="cellIs" dxfId="6049" priority="2804" operator="greaterThan">
      <formula>0</formula>
    </cfRule>
  </conditionalFormatting>
  <conditionalFormatting sqref="Q83">
    <cfRule type="cellIs" dxfId="6048" priority="2798" operator="lessThan">
      <formula>0</formula>
    </cfRule>
  </conditionalFormatting>
  <conditionalFormatting sqref="R83">
    <cfRule type="cellIs" dxfId="6047" priority="2802" operator="lessThan">
      <formula>0.8</formula>
    </cfRule>
    <cfRule type="cellIs" dxfId="6046" priority="2803" operator="greaterThan">
      <formula>1</formula>
    </cfRule>
  </conditionalFormatting>
  <conditionalFormatting sqref="R83">
    <cfRule type="cellIs" dxfId="6045" priority="2800" operator="greaterThan">
      <formula>1</formula>
    </cfRule>
    <cfRule type="cellIs" dxfId="6044" priority="2801" operator="lessThan">
      <formula>0.8</formula>
    </cfRule>
  </conditionalFormatting>
  <conditionalFormatting sqref="P83">
    <cfRule type="cellIs" dxfId="6043" priority="2799" operator="greaterThan">
      <formula>0</formula>
    </cfRule>
  </conditionalFormatting>
  <conditionalFormatting sqref="Q83">
    <cfRule type="cellIs" dxfId="6042" priority="2797" operator="lessThan">
      <formula>0</formula>
    </cfRule>
  </conditionalFormatting>
  <conditionalFormatting sqref="R83">
    <cfRule type="cellIs" dxfId="6041" priority="2795" operator="lessThan">
      <formula>0.8</formula>
    </cfRule>
    <cfRule type="cellIs" dxfId="6040" priority="2796" operator="greaterThan">
      <formula>1</formula>
    </cfRule>
  </conditionalFormatting>
  <conditionalFormatting sqref="R83">
    <cfRule type="cellIs" dxfId="6039" priority="2793" operator="greaterThan">
      <formula>1</formula>
    </cfRule>
    <cfRule type="cellIs" dxfId="6038" priority="2794" operator="lessThan">
      <formula>0.8</formula>
    </cfRule>
  </conditionalFormatting>
  <conditionalFormatting sqref="P83">
    <cfRule type="cellIs" dxfId="6037" priority="2792" operator="greaterThan">
      <formula>0</formula>
    </cfRule>
  </conditionalFormatting>
  <conditionalFormatting sqref="Q83">
    <cfRule type="cellIs" dxfId="6036" priority="2791" operator="lessThan">
      <formula>0</formula>
    </cfRule>
  </conditionalFormatting>
  <conditionalFormatting sqref="R83">
    <cfRule type="cellIs" dxfId="6035" priority="2789" operator="lessThan">
      <formula>0.8</formula>
    </cfRule>
    <cfRule type="cellIs" dxfId="6034" priority="2790" operator="greaterThan">
      <formula>1</formula>
    </cfRule>
  </conditionalFormatting>
  <conditionalFormatting sqref="R83">
    <cfRule type="cellIs" dxfId="6033" priority="2787" operator="greaterThan">
      <formula>1</formula>
    </cfRule>
    <cfRule type="cellIs" dxfId="6032" priority="2788" operator="lessThan">
      <formula>0.8</formula>
    </cfRule>
  </conditionalFormatting>
  <conditionalFormatting sqref="P83">
    <cfRule type="cellIs" dxfId="6031" priority="2786" operator="greaterThan">
      <formula>0</formula>
    </cfRule>
  </conditionalFormatting>
  <conditionalFormatting sqref="Q83">
    <cfRule type="cellIs" dxfId="6030" priority="2785" operator="lessThan">
      <formula>0</formula>
    </cfRule>
  </conditionalFormatting>
  <conditionalFormatting sqref="R83">
    <cfRule type="cellIs" dxfId="6029" priority="2783" operator="lessThan">
      <formula>0.8</formula>
    </cfRule>
    <cfRule type="cellIs" dxfId="6028" priority="2784" operator="greaterThan">
      <formula>1</formula>
    </cfRule>
  </conditionalFormatting>
  <conditionalFormatting sqref="R83">
    <cfRule type="cellIs" dxfId="6027" priority="2781" operator="greaterThan">
      <formula>1</formula>
    </cfRule>
    <cfRule type="cellIs" dxfId="6026" priority="2782" operator="lessThan">
      <formula>0.8</formula>
    </cfRule>
  </conditionalFormatting>
  <conditionalFormatting sqref="P83">
    <cfRule type="cellIs" dxfId="6025" priority="2780" operator="greaterThan">
      <formula>0</formula>
    </cfRule>
  </conditionalFormatting>
  <conditionalFormatting sqref="Q83">
    <cfRule type="cellIs" dxfId="6024" priority="2779" operator="lessThan">
      <formula>0</formula>
    </cfRule>
  </conditionalFormatting>
  <conditionalFormatting sqref="R83">
    <cfRule type="cellIs" dxfId="6023" priority="2777" operator="lessThan">
      <formula>0.8</formula>
    </cfRule>
    <cfRule type="cellIs" dxfId="6022" priority="2778" operator="greaterThan">
      <formula>1</formula>
    </cfRule>
  </conditionalFormatting>
  <conditionalFormatting sqref="R83">
    <cfRule type="cellIs" dxfId="6021" priority="2775" operator="greaterThan">
      <formula>1</formula>
    </cfRule>
    <cfRule type="cellIs" dxfId="6020" priority="2776" operator="lessThan">
      <formula>0.8</formula>
    </cfRule>
  </conditionalFormatting>
  <conditionalFormatting sqref="P83">
    <cfRule type="cellIs" dxfId="6019" priority="2774" operator="greaterThan">
      <formula>0</formula>
    </cfRule>
  </conditionalFormatting>
  <conditionalFormatting sqref="Q83">
    <cfRule type="cellIs" dxfId="6018" priority="2773" operator="lessThan">
      <formula>0</formula>
    </cfRule>
  </conditionalFormatting>
  <conditionalFormatting sqref="R83">
    <cfRule type="cellIs" dxfId="6017" priority="2771" operator="lessThan">
      <formula>0.8</formula>
    </cfRule>
    <cfRule type="cellIs" dxfId="6016" priority="2772" operator="greaterThan">
      <formula>1</formula>
    </cfRule>
  </conditionalFormatting>
  <conditionalFormatting sqref="R83">
    <cfRule type="cellIs" dxfId="6015" priority="2769" operator="greaterThan">
      <formula>1</formula>
    </cfRule>
    <cfRule type="cellIs" dxfId="6014" priority="2770" operator="lessThan">
      <formula>0.8</formula>
    </cfRule>
  </conditionalFormatting>
  <conditionalFormatting sqref="P83">
    <cfRule type="cellIs" dxfId="6013" priority="2768" operator="greaterThan">
      <formula>0</formula>
    </cfRule>
  </conditionalFormatting>
  <conditionalFormatting sqref="P83">
    <cfRule type="cellIs" dxfId="6012" priority="2762" operator="greaterThan">
      <formula>0</formula>
    </cfRule>
  </conditionalFormatting>
  <conditionalFormatting sqref="Q83">
    <cfRule type="cellIs" dxfId="6011" priority="2767" operator="lessThan">
      <formula>0</formula>
    </cfRule>
  </conditionalFormatting>
  <conditionalFormatting sqref="R83">
    <cfRule type="cellIs" dxfId="6010" priority="2765" operator="lessThan">
      <formula>0.8</formula>
    </cfRule>
    <cfRule type="cellIs" dxfId="6009" priority="2766" operator="greaterThan">
      <formula>1</formula>
    </cfRule>
  </conditionalFormatting>
  <conditionalFormatting sqref="R83">
    <cfRule type="cellIs" dxfId="6008" priority="2763" operator="greaterThan">
      <formula>1</formula>
    </cfRule>
    <cfRule type="cellIs" dxfId="6007" priority="2764" operator="lessThan">
      <formula>0.8</formula>
    </cfRule>
  </conditionalFormatting>
  <conditionalFormatting sqref="P83">
    <cfRule type="cellIs" dxfId="6006" priority="2756" operator="greaterThan">
      <formula>0</formula>
    </cfRule>
  </conditionalFormatting>
  <conditionalFormatting sqref="Q83">
    <cfRule type="cellIs" dxfId="6005" priority="2761" operator="lessThan">
      <formula>0</formula>
    </cfRule>
  </conditionalFormatting>
  <conditionalFormatting sqref="R83">
    <cfRule type="cellIs" dxfId="6004" priority="2759" operator="lessThan">
      <formula>0.8</formula>
    </cfRule>
    <cfRule type="cellIs" dxfId="6003" priority="2760" operator="greaterThan">
      <formula>1</formula>
    </cfRule>
  </conditionalFormatting>
  <conditionalFormatting sqref="R83">
    <cfRule type="cellIs" dxfId="6002" priority="2757" operator="greaterThan">
      <formula>1</formula>
    </cfRule>
    <cfRule type="cellIs" dxfId="6001" priority="2758" operator="lessThan">
      <formula>0.8</formula>
    </cfRule>
  </conditionalFormatting>
  <conditionalFormatting sqref="R83">
    <cfRule type="cellIs" dxfId="6000" priority="2753" operator="lessThan">
      <formula>0.8</formula>
    </cfRule>
    <cfRule type="cellIs" dxfId="5999" priority="2754" operator="greaterThan">
      <formula>1</formula>
    </cfRule>
  </conditionalFormatting>
  <conditionalFormatting sqref="R83">
    <cfRule type="cellIs" dxfId="5998" priority="2751" operator="greaterThan">
      <formula>1</formula>
    </cfRule>
    <cfRule type="cellIs" dxfId="5997" priority="2752" operator="lessThan">
      <formula>0.8</formula>
    </cfRule>
  </conditionalFormatting>
  <conditionalFormatting sqref="P83">
    <cfRule type="cellIs" dxfId="5996" priority="2750" operator="greaterThan">
      <formula>0</formula>
    </cfRule>
  </conditionalFormatting>
  <conditionalFormatting sqref="Q83">
    <cfRule type="cellIs" dxfId="5995" priority="2755" operator="lessThan">
      <formula>0</formula>
    </cfRule>
  </conditionalFormatting>
  <conditionalFormatting sqref="Q83">
    <cfRule type="cellIs" dxfId="5994" priority="2744" operator="lessThan">
      <formula>0</formula>
    </cfRule>
  </conditionalFormatting>
  <conditionalFormatting sqref="P83">
    <cfRule type="cellIs" dxfId="5993" priority="2745" operator="greaterThan">
      <formula>0</formula>
    </cfRule>
  </conditionalFormatting>
  <conditionalFormatting sqref="R83">
    <cfRule type="cellIs" dxfId="5992" priority="2748" operator="lessThan">
      <formula>0.8</formula>
    </cfRule>
    <cfRule type="cellIs" dxfId="5991" priority="2749" operator="greaterThan">
      <formula>1</formula>
    </cfRule>
  </conditionalFormatting>
  <conditionalFormatting sqref="R83">
    <cfRule type="cellIs" dxfId="5990" priority="2746" operator="greaterThan">
      <formula>1</formula>
    </cfRule>
    <cfRule type="cellIs" dxfId="5989" priority="2747" operator="lessThan">
      <formula>0.8</formula>
    </cfRule>
  </conditionalFormatting>
  <conditionalFormatting sqref="Q83">
    <cfRule type="cellIs" dxfId="5988" priority="2738" operator="lessThan">
      <formula>0</formula>
    </cfRule>
  </conditionalFormatting>
  <conditionalFormatting sqref="R83">
    <cfRule type="cellIs" dxfId="5987" priority="2742" operator="lessThan">
      <formula>0.8</formula>
    </cfRule>
    <cfRule type="cellIs" dxfId="5986" priority="2743" operator="greaterThan">
      <formula>1</formula>
    </cfRule>
  </conditionalFormatting>
  <conditionalFormatting sqref="R83">
    <cfRule type="cellIs" dxfId="5985" priority="2740" operator="greaterThan">
      <formula>1</formula>
    </cfRule>
    <cfRule type="cellIs" dxfId="5984" priority="2741" operator="lessThan">
      <formula>0.8</formula>
    </cfRule>
  </conditionalFormatting>
  <conditionalFormatting sqref="P83">
    <cfRule type="cellIs" dxfId="5983" priority="2739" operator="greaterThan">
      <formula>0</formula>
    </cfRule>
  </conditionalFormatting>
  <conditionalFormatting sqref="Q83">
    <cfRule type="cellIs" dxfId="5982" priority="2737" operator="lessThan">
      <formula>0</formula>
    </cfRule>
  </conditionalFormatting>
  <conditionalFormatting sqref="R83">
    <cfRule type="cellIs" dxfId="5981" priority="2735" operator="lessThan">
      <formula>0.8</formula>
    </cfRule>
    <cfRule type="cellIs" dxfId="5980" priority="2736" operator="greaterThan">
      <formula>1</formula>
    </cfRule>
  </conditionalFormatting>
  <conditionalFormatting sqref="R83">
    <cfRule type="cellIs" dxfId="5979" priority="2733" operator="greaterThan">
      <formula>1</formula>
    </cfRule>
    <cfRule type="cellIs" dxfId="5978" priority="2734" operator="lessThan">
      <formula>0.8</formula>
    </cfRule>
  </conditionalFormatting>
  <conditionalFormatting sqref="P83">
    <cfRule type="cellIs" dxfId="5977" priority="2732" operator="greaterThan">
      <formula>0</formula>
    </cfRule>
  </conditionalFormatting>
  <conditionalFormatting sqref="Q83">
    <cfRule type="cellIs" dxfId="5976" priority="2731" operator="lessThan">
      <formula>0</formula>
    </cfRule>
  </conditionalFormatting>
  <conditionalFormatting sqref="R83">
    <cfRule type="cellIs" dxfId="5975" priority="2729" operator="lessThan">
      <formula>0.8</formula>
    </cfRule>
    <cfRule type="cellIs" dxfId="5974" priority="2730" operator="greaterThan">
      <formula>1</formula>
    </cfRule>
  </conditionalFormatting>
  <conditionalFormatting sqref="R83">
    <cfRule type="cellIs" dxfId="5973" priority="2727" operator="greaterThan">
      <formula>1</formula>
    </cfRule>
    <cfRule type="cellIs" dxfId="5972" priority="2728" operator="lessThan">
      <formula>0.8</formula>
    </cfRule>
  </conditionalFormatting>
  <conditionalFormatting sqref="P83">
    <cfRule type="cellIs" dxfId="5971" priority="2726" operator="greaterThan">
      <formula>0</formula>
    </cfRule>
  </conditionalFormatting>
  <conditionalFormatting sqref="Q83">
    <cfRule type="cellIs" dxfId="5970" priority="2725" operator="lessThan">
      <formula>0</formula>
    </cfRule>
  </conditionalFormatting>
  <conditionalFormatting sqref="R83">
    <cfRule type="cellIs" dxfId="5969" priority="2723" operator="lessThan">
      <formula>0.8</formula>
    </cfRule>
    <cfRule type="cellIs" dxfId="5968" priority="2724" operator="greaterThan">
      <formula>1</formula>
    </cfRule>
  </conditionalFormatting>
  <conditionalFormatting sqref="R83">
    <cfRule type="cellIs" dxfId="5967" priority="2721" operator="greaterThan">
      <formula>1</formula>
    </cfRule>
    <cfRule type="cellIs" dxfId="5966" priority="2722" operator="lessThan">
      <formula>0.8</formula>
    </cfRule>
  </conditionalFormatting>
  <conditionalFormatting sqref="P83">
    <cfRule type="cellIs" dxfId="5965" priority="2720" operator="greaterThan">
      <formula>0</formula>
    </cfRule>
  </conditionalFormatting>
  <conditionalFormatting sqref="Q83">
    <cfRule type="cellIs" dxfId="5964" priority="2719" operator="lessThan">
      <formula>0</formula>
    </cfRule>
  </conditionalFormatting>
  <conditionalFormatting sqref="R83">
    <cfRule type="cellIs" dxfId="5963" priority="2717" operator="lessThan">
      <formula>0.8</formula>
    </cfRule>
    <cfRule type="cellIs" dxfId="5962" priority="2718" operator="greaterThan">
      <formula>1</formula>
    </cfRule>
  </conditionalFormatting>
  <conditionalFormatting sqref="R83">
    <cfRule type="cellIs" dxfId="5961" priority="2715" operator="greaterThan">
      <formula>1</formula>
    </cfRule>
    <cfRule type="cellIs" dxfId="5960" priority="2716" operator="lessThan">
      <formula>0.8</formula>
    </cfRule>
  </conditionalFormatting>
  <conditionalFormatting sqref="P83">
    <cfRule type="cellIs" dxfId="5959" priority="2714" operator="greaterThan">
      <formula>0</formula>
    </cfRule>
  </conditionalFormatting>
  <conditionalFormatting sqref="Q83">
    <cfRule type="cellIs" dxfId="5958" priority="2713" operator="lessThan">
      <formula>0</formula>
    </cfRule>
  </conditionalFormatting>
  <conditionalFormatting sqref="R83">
    <cfRule type="cellIs" dxfId="5957" priority="2711" operator="lessThan">
      <formula>0.8</formula>
    </cfRule>
    <cfRule type="cellIs" dxfId="5956" priority="2712" operator="greaterThan">
      <formula>1</formula>
    </cfRule>
  </conditionalFormatting>
  <conditionalFormatting sqref="R83">
    <cfRule type="cellIs" dxfId="5955" priority="2709" operator="greaterThan">
      <formula>1</formula>
    </cfRule>
    <cfRule type="cellIs" dxfId="5954" priority="2710" operator="lessThan">
      <formula>0.8</formula>
    </cfRule>
  </conditionalFormatting>
  <conditionalFormatting sqref="P83">
    <cfRule type="cellIs" dxfId="5953" priority="2708" operator="greaterThan">
      <formula>0</formula>
    </cfRule>
  </conditionalFormatting>
  <conditionalFormatting sqref="Q83">
    <cfRule type="cellIs" dxfId="5952" priority="2707" operator="lessThan">
      <formula>0</formula>
    </cfRule>
  </conditionalFormatting>
  <conditionalFormatting sqref="R83">
    <cfRule type="cellIs" dxfId="5951" priority="2705" operator="lessThan">
      <formula>0.8</formula>
    </cfRule>
    <cfRule type="cellIs" dxfId="5950" priority="2706" operator="greaterThan">
      <formula>1</formula>
    </cfRule>
  </conditionalFormatting>
  <conditionalFormatting sqref="R83">
    <cfRule type="cellIs" dxfId="5949" priority="2703" operator="greaterThan">
      <formula>1</formula>
    </cfRule>
    <cfRule type="cellIs" dxfId="5948" priority="2704" operator="lessThan">
      <formula>0.8</formula>
    </cfRule>
  </conditionalFormatting>
  <conditionalFormatting sqref="P83">
    <cfRule type="cellIs" dxfId="5947" priority="2702" operator="greaterThan">
      <formula>0</formula>
    </cfRule>
  </conditionalFormatting>
  <conditionalFormatting sqref="Q83">
    <cfRule type="cellIs" dxfId="5946" priority="2701" operator="lessThan">
      <formula>0</formula>
    </cfRule>
  </conditionalFormatting>
  <conditionalFormatting sqref="R83">
    <cfRule type="cellIs" dxfId="5945" priority="2699" operator="lessThan">
      <formula>0.8</formula>
    </cfRule>
    <cfRule type="cellIs" dxfId="5944" priority="2700" operator="greaterThan">
      <formula>1</formula>
    </cfRule>
  </conditionalFormatting>
  <conditionalFormatting sqref="R83">
    <cfRule type="cellIs" dxfId="5943" priority="2697" operator="greaterThan">
      <formula>1</formula>
    </cfRule>
    <cfRule type="cellIs" dxfId="5942" priority="2698" operator="lessThan">
      <formula>0.8</formula>
    </cfRule>
  </conditionalFormatting>
  <conditionalFormatting sqref="P83">
    <cfRule type="cellIs" dxfId="5941" priority="2696" operator="greaterThan">
      <formula>0</formula>
    </cfRule>
  </conditionalFormatting>
  <conditionalFormatting sqref="P83">
    <cfRule type="cellIs" dxfId="5940" priority="2690" operator="greaterThan">
      <formula>0</formula>
    </cfRule>
  </conditionalFormatting>
  <conditionalFormatting sqref="Q83">
    <cfRule type="cellIs" dxfId="5939" priority="2695" operator="lessThan">
      <formula>0</formula>
    </cfRule>
  </conditionalFormatting>
  <conditionalFormatting sqref="R83">
    <cfRule type="cellIs" dxfId="5938" priority="2693" operator="lessThan">
      <formula>0.8</formula>
    </cfRule>
    <cfRule type="cellIs" dxfId="5937" priority="2694" operator="greaterThan">
      <formula>1</formula>
    </cfRule>
  </conditionalFormatting>
  <conditionalFormatting sqref="R83">
    <cfRule type="cellIs" dxfId="5936" priority="2691" operator="greaterThan">
      <formula>1</formula>
    </cfRule>
    <cfRule type="cellIs" dxfId="5935" priority="2692" operator="lessThan">
      <formula>0.8</formula>
    </cfRule>
  </conditionalFormatting>
  <conditionalFormatting sqref="P83">
    <cfRule type="cellIs" dxfId="5934" priority="2684" operator="greaterThan">
      <formula>0</formula>
    </cfRule>
  </conditionalFormatting>
  <conditionalFormatting sqref="Q83">
    <cfRule type="cellIs" dxfId="5933" priority="2689" operator="lessThan">
      <formula>0</formula>
    </cfRule>
  </conditionalFormatting>
  <conditionalFormatting sqref="R83">
    <cfRule type="cellIs" dxfId="5932" priority="2687" operator="lessThan">
      <formula>0.8</formula>
    </cfRule>
    <cfRule type="cellIs" dxfId="5931" priority="2688" operator="greaterThan">
      <formula>1</formula>
    </cfRule>
  </conditionalFormatting>
  <conditionalFormatting sqref="R83">
    <cfRule type="cellIs" dxfId="5930" priority="2685" operator="greaterThan">
      <formula>1</formula>
    </cfRule>
    <cfRule type="cellIs" dxfId="5929" priority="2686" operator="lessThan">
      <formula>0.8</formula>
    </cfRule>
  </conditionalFormatting>
  <conditionalFormatting sqref="R83">
    <cfRule type="cellIs" dxfId="5928" priority="2681" operator="lessThan">
      <formula>0.8</formula>
    </cfRule>
    <cfRule type="cellIs" dxfId="5927" priority="2682" operator="greaterThan">
      <formula>1</formula>
    </cfRule>
  </conditionalFormatting>
  <conditionalFormatting sqref="R83">
    <cfRule type="cellIs" dxfId="5926" priority="2679" operator="greaterThan">
      <formula>1</formula>
    </cfRule>
    <cfRule type="cellIs" dxfId="5925" priority="2680" operator="lessThan">
      <formula>0.8</formula>
    </cfRule>
  </conditionalFormatting>
  <conditionalFormatting sqref="P83">
    <cfRule type="cellIs" dxfId="5924" priority="2678" operator="greaterThan">
      <formula>0</formula>
    </cfRule>
  </conditionalFormatting>
  <conditionalFormatting sqref="Q83">
    <cfRule type="cellIs" dxfId="5923" priority="2683" operator="lessThan">
      <formula>0</formula>
    </cfRule>
  </conditionalFormatting>
  <conditionalFormatting sqref="Q83">
    <cfRule type="cellIs" dxfId="5922" priority="2677" operator="lessThan">
      <formula>0</formula>
    </cfRule>
  </conditionalFormatting>
  <conditionalFormatting sqref="R83">
    <cfRule type="cellIs" dxfId="5921" priority="2675" operator="lessThan">
      <formula>0.8</formula>
    </cfRule>
    <cfRule type="cellIs" dxfId="5920" priority="2676" operator="greaterThan">
      <formula>1</formula>
    </cfRule>
  </conditionalFormatting>
  <conditionalFormatting sqref="R83">
    <cfRule type="cellIs" dxfId="5919" priority="2673" operator="greaterThan">
      <formula>1</formula>
    </cfRule>
    <cfRule type="cellIs" dxfId="5918" priority="2674" operator="lessThan">
      <formula>0.8</formula>
    </cfRule>
  </conditionalFormatting>
  <conditionalFormatting sqref="P83">
    <cfRule type="cellIs" dxfId="5917" priority="2672" operator="greaterThan">
      <formula>0</formula>
    </cfRule>
  </conditionalFormatting>
  <conditionalFormatting sqref="P83">
    <cfRule type="cellIs" dxfId="5916" priority="2666" operator="greaterThan">
      <formula>0</formula>
    </cfRule>
  </conditionalFormatting>
  <conditionalFormatting sqref="Q83">
    <cfRule type="cellIs" dxfId="5915" priority="2671" operator="lessThan">
      <formula>0</formula>
    </cfRule>
  </conditionalFormatting>
  <conditionalFormatting sqref="R83">
    <cfRule type="cellIs" dxfId="5914" priority="2669" operator="lessThan">
      <formula>0.8</formula>
    </cfRule>
    <cfRule type="cellIs" dxfId="5913" priority="2670" operator="greaterThan">
      <formula>1</formula>
    </cfRule>
  </conditionalFormatting>
  <conditionalFormatting sqref="R83">
    <cfRule type="cellIs" dxfId="5912" priority="2667" operator="greaterThan">
      <formula>1</formula>
    </cfRule>
    <cfRule type="cellIs" dxfId="5911" priority="2668" operator="lessThan">
      <formula>0.8</formula>
    </cfRule>
  </conditionalFormatting>
  <conditionalFormatting sqref="P83">
    <cfRule type="cellIs" dxfId="5910" priority="2660" operator="greaterThan">
      <formula>0</formula>
    </cfRule>
  </conditionalFormatting>
  <conditionalFormatting sqref="Q83">
    <cfRule type="cellIs" dxfId="5909" priority="2665" operator="lessThan">
      <formula>0</formula>
    </cfRule>
  </conditionalFormatting>
  <conditionalFormatting sqref="R83">
    <cfRule type="cellIs" dxfId="5908" priority="2663" operator="lessThan">
      <formula>0.8</formula>
    </cfRule>
    <cfRule type="cellIs" dxfId="5907" priority="2664" operator="greaterThan">
      <formula>1</formula>
    </cfRule>
  </conditionalFormatting>
  <conditionalFormatting sqref="R83">
    <cfRule type="cellIs" dxfId="5906" priority="2661" operator="greaterThan">
      <formula>1</formula>
    </cfRule>
    <cfRule type="cellIs" dxfId="5905" priority="2662" operator="lessThan">
      <formula>0.8</formula>
    </cfRule>
  </conditionalFormatting>
  <conditionalFormatting sqref="R83">
    <cfRule type="cellIs" dxfId="5904" priority="2657" operator="lessThan">
      <formula>0.8</formula>
    </cfRule>
    <cfRule type="cellIs" dxfId="5903" priority="2658" operator="greaterThan">
      <formula>1</formula>
    </cfRule>
  </conditionalFormatting>
  <conditionalFormatting sqref="R83">
    <cfRule type="cellIs" dxfId="5902" priority="2655" operator="greaterThan">
      <formula>1</formula>
    </cfRule>
    <cfRule type="cellIs" dxfId="5901" priority="2656" operator="lessThan">
      <formula>0.8</formula>
    </cfRule>
  </conditionalFormatting>
  <conditionalFormatting sqref="P83">
    <cfRule type="cellIs" dxfId="5900" priority="2654" operator="greaterThan">
      <formula>0</formula>
    </cfRule>
  </conditionalFormatting>
  <conditionalFormatting sqref="Q83">
    <cfRule type="cellIs" dxfId="5899" priority="2659" operator="lessThan">
      <formula>0</formula>
    </cfRule>
  </conditionalFormatting>
  <conditionalFormatting sqref="P83">
    <cfRule type="cellIs" dxfId="5898" priority="2648" operator="greaterThan">
      <formula>0</formula>
    </cfRule>
  </conditionalFormatting>
  <conditionalFormatting sqref="Q83">
    <cfRule type="cellIs" dxfId="5897" priority="2653" operator="lessThan">
      <formula>0</formula>
    </cfRule>
  </conditionalFormatting>
  <conditionalFormatting sqref="R83">
    <cfRule type="cellIs" dxfId="5896" priority="2651" operator="lessThan">
      <formula>0.8</formula>
    </cfRule>
    <cfRule type="cellIs" dxfId="5895" priority="2652" operator="greaterThan">
      <formula>1</formula>
    </cfRule>
  </conditionalFormatting>
  <conditionalFormatting sqref="R83">
    <cfRule type="cellIs" dxfId="5894" priority="2649" operator="greaterThan">
      <formula>1</formula>
    </cfRule>
    <cfRule type="cellIs" dxfId="5893" priority="2650" operator="lessThan">
      <formula>0.8</formula>
    </cfRule>
  </conditionalFormatting>
  <conditionalFormatting sqref="R83">
    <cfRule type="cellIs" dxfId="5892" priority="2645" operator="lessThan">
      <formula>0.8</formula>
    </cfRule>
    <cfRule type="cellIs" dxfId="5891" priority="2646" operator="greaterThan">
      <formula>1</formula>
    </cfRule>
  </conditionalFormatting>
  <conditionalFormatting sqref="R83">
    <cfRule type="cellIs" dxfId="5890" priority="2643" operator="greaterThan">
      <formula>1</formula>
    </cfRule>
    <cfRule type="cellIs" dxfId="5889" priority="2644" operator="lessThan">
      <formula>0.8</formula>
    </cfRule>
  </conditionalFormatting>
  <conditionalFormatting sqref="P83">
    <cfRule type="cellIs" dxfId="5888" priority="2642" operator="greaterThan">
      <formula>0</formula>
    </cfRule>
  </conditionalFormatting>
  <conditionalFormatting sqref="Q83">
    <cfRule type="cellIs" dxfId="5887" priority="2647" operator="lessThan">
      <formula>0</formula>
    </cfRule>
  </conditionalFormatting>
  <conditionalFormatting sqref="R83">
    <cfRule type="cellIs" dxfId="5886" priority="2639" operator="lessThan">
      <formula>0.8</formula>
    </cfRule>
    <cfRule type="cellIs" dxfId="5885" priority="2640" operator="greaterThan">
      <formula>1</formula>
    </cfRule>
  </conditionalFormatting>
  <conditionalFormatting sqref="R83">
    <cfRule type="cellIs" dxfId="5884" priority="2637" operator="greaterThan">
      <formula>1</formula>
    </cfRule>
    <cfRule type="cellIs" dxfId="5883" priority="2638" operator="lessThan">
      <formula>0.8</formula>
    </cfRule>
  </conditionalFormatting>
  <conditionalFormatting sqref="P83">
    <cfRule type="cellIs" dxfId="5882" priority="2636" operator="greaterThan">
      <formula>0</formula>
    </cfRule>
  </conditionalFormatting>
  <conditionalFormatting sqref="Q83">
    <cfRule type="cellIs" dxfId="5881" priority="2641" operator="lessThan">
      <formula>0</formula>
    </cfRule>
  </conditionalFormatting>
  <conditionalFormatting sqref="Q83">
    <cfRule type="cellIs" dxfId="5880" priority="2635" operator="lessThan">
      <formula>0</formula>
    </cfRule>
  </conditionalFormatting>
  <conditionalFormatting sqref="R83">
    <cfRule type="cellIs" dxfId="5879" priority="2633" operator="lessThan">
      <formula>0.8</formula>
    </cfRule>
    <cfRule type="cellIs" dxfId="5878" priority="2634" operator="greaterThan">
      <formula>1</formula>
    </cfRule>
  </conditionalFormatting>
  <conditionalFormatting sqref="R83">
    <cfRule type="cellIs" dxfId="5877" priority="2631" operator="greaterThan">
      <formula>1</formula>
    </cfRule>
    <cfRule type="cellIs" dxfId="5876" priority="2632" operator="lessThan">
      <formula>0.8</formula>
    </cfRule>
  </conditionalFormatting>
  <conditionalFormatting sqref="P83">
    <cfRule type="cellIs" dxfId="5875" priority="2630" operator="greaterThan">
      <formula>0</formula>
    </cfRule>
  </conditionalFormatting>
  <conditionalFormatting sqref="Q83">
    <cfRule type="cellIs" dxfId="5874" priority="2624" operator="lessThan">
      <formula>0</formula>
    </cfRule>
  </conditionalFormatting>
  <conditionalFormatting sqref="R83">
    <cfRule type="cellIs" dxfId="5873" priority="2628" operator="lessThan">
      <formula>0.8</formula>
    </cfRule>
    <cfRule type="cellIs" dxfId="5872" priority="2629" operator="greaterThan">
      <formula>1</formula>
    </cfRule>
  </conditionalFormatting>
  <conditionalFormatting sqref="R83">
    <cfRule type="cellIs" dxfId="5871" priority="2626" operator="greaterThan">
      <formula>1</formula>
    </cfRule>
    <cfRule type="cellIs" dxfId="5870" priority="2627" operator="lessThan">
      <formula>0.8</formula>
    </cfRule>
  </conditionalFormatting>
  <conditionalFormatting sqref="P83">
    <cfRule type="cellIs" dxfId="5869" priority="2625" operator="greaterThan">
      <formula>0</formula>
    </cfRule>
  </conditionalFormatting>
  <conditionalFormatting sqref="Q83">
    <cfRule type="cellIs" dxfId="5868" priority="2623" operator="lessThan">
      <formula>0</formula>
    </cfRule>
  </conditionalFormatting>
  <conditionalFormatting sqref="R83">
    <cfRule type="cellIs" dxfId="5867" priority="2621" operator="lessThan">
      <formula>0.8</formula>
    </cfRule>
    <cfRule type="cellIs" dxfId="5866" priority="2622" operator="greaterThan">
      <formula>1</formula>
    </cfRule>
  </conditionalFormatting>
  <conditionalFormatting sqref="R83">
    <cfRule type="cellIs" dxfId="5865" priority="2619" operator="greaterThan">
      <formula>1</formula>
    </cfRule>
    <cfRule type="cellIs" dxfId="5864" priority="2620" operator="lessThan">
      <formula>0.8</formula>
    </cfRule>
  </conditionalFormatting>
  <conditionalFormatting sqref="P83">
    <cfRule type="cellIs" dxfId="5863" priority="2618" operator="greaterThan">
      <formula>0</formula>
    </cfRule>
  </conditionalFormatting>
  <conditionalFormatting sqref="Q83">
    <cfRule type="cellIs" dxfId="5862" priority="2617" operator="lessThan">
      <formula>0</formula>
    </cfRule>
  </conditionalFormatting>
  <conditionalFormatting sqref="R83">
    <cfRule type="cellIs" dxfId="5861" priority="2615" operator="lessThan">
      <formula>0.8</formula>
    </cfRule>
    <cfRule type="cellIs" dxfId="5860" priority="2616" operator="greaterThan">
      <formula>1</formula>
    </cfRule>
  </conditionalFormatting>
  <conditionalFormatting sqref="R83">
    <cfRule type="cellIs" dxfId="5859" priority="2613" operator="greaterThan">
      <formula>1</formula>
    </cfRule>
    <cfRule type="cellIs" dxfId="5858" priority="2614" operator="lessThan">
      <formula>0.8</formula>
    </cfRule>
  </conditionalFormatting>
  <conditionalFormatting sqref="P83">
    <cfRule type="cellIs" dxfId="5857" priority="2612" operator="greaterThan">
      <formula>0</formula>
    </cfRule>
  </conditionalFormatting>
  <conditionalFormatting sqref="Q83">
    <cfRule type="cellIs" dxfId="5856" priority="2611" operator="lessThan">
      <formula>0</formula>
    </cfRule>
  </conditionalFormatting>
  <conditionalFormatting sqref="R83">
    <cfRule type="cellIs" dxfId="5855" priority="2609" operator="lessThan">
      <formula>0.8</formula>
    </cfRule>
    <cfRule type="cellIs" dxfId="5854" priority="2610" operator="greaterThan">
      <formula>1</formula>
    </cfRule>
  </conditionalFormatting>
  <conditionalFormatting sqref="R83">
    <cfRule type="cellIs" dxfId="5853" priority="2607" operator="greaterThan">
      <formula>1</formula>
    </cfRule>
    <cfRule type="cellIs" dxfId="5852" priority="2608" operator="lessThan">
      <formula>0.8</formula>
    </cfRule>
  </conditionalFormatting>
  <conditionalFormatting sqref="P83">
    <cfRule type="cellIs" dxfId="5851" priority="2606" operator="greaterThan">
      <formula>0</formula>
    </cfRule>
  </conditionalFormatting>
  <conditionalFormatting sqref="Q83">
    <cfRule type="cellIs" dxfId="5850" priority="2605" operator="lessThan">
      <formula>0</formula>
    </cfRule>
  </conditionalFormatting>
  <conditionalFormatting sqref="R83">
    <cfRule type="cellIs" dxfId="5849" priority="2603" operator="lessThan">
      <formula>0.8</formula>
    </cfRule>
    <cfRule type="cellIs" dxfId="5848" priority="2604" operator="greaterThan">
      <formula>1</formula>
    </cfRule>
  </conditionalFormatting>
  <conditionalFormatting sqref="R83">
    <cfRule type="cellIs" dxfId="5847" priority="2601" operator="greaterThan">
      <formula>1</formula>
    </cfRule>
    <cfRule type="cellIs" dxfId="5846" priority="2602" operator="lessThan">
      <formula>0.8</formula>
    </cfRule>
  </conditionalFormatting>
  <conditionalFormatting sqref="P83">
    <cfRule type="cellIs" dxfId="5845" priority="2600" operator="greaterThan">
      <formula>0</formula>
    </cfRule>
  </conditionalFormatting>
  <conditionalFormatting sqref="Q83">
    <cfRule type="cellIs" dxfId="5844" priority="2599" operator="lessThan">
      <formula>0</formula>
    </cfRule>
  </conditionalFormatting>
  <conditionalFormatting sqref="R83">
    <cfRule type="cellIs" dxfId="5843" priority="2597" operator="lessThan">
      <formula>0.8</formula>
    </cfRule>
    <cfRule type="cellIs" dxfId="5842" priority="2598" operator="greaterThan">
      <formula>1</formula>
    </cfRule>
  </conditionalFormatting>
  <conditionalFormatting sqref="R83">
    <cfRule type="cellIs" dxfId="5841" priority="2595" operator="greaterThan">
      <formula>1</formula>
    </cfRule>
    <cfRule type="cellIs" dxfId="5840" priority="2596" operator="lessThan">
      <formula>0.8</formula>
    </cfRule>
  </conditionalFormatting>
  <conditionalFormatting sqref="P83">
    <cfRule type="cellIs" dxfId="5839" priority="2594" operator="greaterThan">
      <formula>0</formula>
    </cfRule>
  </conditionalFormatting>
  <conditionalFormatting sqref="P83">
    <cfRule type="cellIs" dxfId="5838" priority="2588" operator="greaterThan">
      <formula>0</formula>
    </cfRule>
  </conditionalFormatting>
  <conditionalFormatting sqref="Q83">
    <cfRule type="cellIs" dxfId="5837" priority="2593" operator="lessThan">
      <formula>0</formula>
    </cfRule>
  </conditionalFormatting>
  <conditionalFormatting sqref="R83">
    <cfRule type="cellIs" dxfId="5836" priority="2591" operator="lessThan">
      <formula>0.8</formula>
    </cfRule>
    <cfRule type="cellIs" dxfId="5835" priority="2592" operator="greaterThan">
      <formula>1</formula>
    </cfRule>
  </conditionalFormatting>
  <conditionalFormatting sqref="R83">
    <cfRule type="cellIs" dxfId="5834" priority="2589" operator="greaterThan">
      <formula>1</formula>
    </cfRule>
    <cfRule type="cellIs" dxfId="5833" priority="2590" operator="lessThan">
      <formula>0.8</formula>
    </cfRule>
  </conditionalFormatting>
  <conditionalFormatting sqref="P83">
    <cfRule type="cellIs" dxfId="5832" priority="2582" operator="greaterThan">
      <formula>0</formula>
    </cfRule>
  </conditionalFormatting>
  <conditionalFormatting sqref="Q83">
    <cfRule type="cellIs" dxfId="5831" priority="2587" operator="lessThan">
      <formula>0</formula>
    </cfRule>
  </conditionalFormatting>
  <conditionalFormatting sqref="R83">
    <cfRule type="cellIs" dxfId="5830" priority="2585" operator="lessThan">
      <formula>0.8</formula>
    </cfRule>
    <cfRule type="cellIs" dxfId="5829" priority="2586" operator="greaterThan">
      <formula>1</formula>
    </cfRule>
  </conditionalFormatting>
  <conditionalFormatting sqref="R83">
    <cfRule type="cellIs" dxfId="5828" priority="2583" operator="greaterThan">
      <formula>1</formula>
    </cfRule>
    <cfRule type="cellIs" dxfId="5827" priority="2584" operator="lessThan">
      <formula>0.8</formula>
    </cfRule>
  </conditionalFormatting>
  <conditionalFormatting sqref="R83">
    <cfRule type="cellIs" dxfId="5826" priority="2579" operator="lessThan">
      <formula>0.8</formula>
    </cfRule>
    <cfRule type="cellIs" dxfId="5825" priority="2580" operator="greaterThan">
      <formula>1</formula>
    </cfRule>
  </conditionalFormatting>
  <conditionalFormatting sqref="R83">
    <cfRule type="cellIs" dxfId="5824" priority="2577" operator="greaterThan">
      <formula>1</formula>
    </cfRule>
    <cfRule type="cellIs" dxfId="5823" priority="2578" operator="lessThan">
      <formula>0.8</formula>
    </cfRule>
  </conditionalFormatting>
  <conditionalFormatting sqref="P83">
    <cfRule type="cellIs" dxfId="5822" priority="2576" operator="greaterThan">
      <formula>0</formula>
    </cfRule>
  </conditionalFormatting>
  <conditionalFormatting sqref="Q83">
    <cfRule type="cellIs" dxfId="5821" priority="2581" operator="lessThan">
      <formula>0</formula>
    </cfRule>
  </conditionalFormatting>
  <conditionalFormatting sqref="P123 P125:P126 P131 P128:P129">
    <cfRule type="cellIs" dxfId="5820" priority="2570" operator="greaterThan">
      <formula>0</formula>
    </cfRule>
  </conditionalFormatting>
  <conditionalFormatting sqref="Q123 Q125:Q126 Q131 Q128:Q129">
    <cfRule type="cellIs" dxfId="5819" priority="2575" operator="lessThan">
      <formula>0</formula>
    </cfRule>
  </conditionalFormatting>
  <conditionalFormatting sqref="R123 R125:R126 R131 R128:R129">
    <cfRule type="cellIs" dxfId="5818" priority="2573" operator="lessThan">
      <formula>0.8</formula>
    </cfRule>
    <cfRule type="cellIs" dxfId="5817" priority="2574" operator="greaterThan">
      <formula>1</formula>
    </cfRule>
  </conditionalFormatting>
  <conditionalFormatting sqref="R123 R125:R126 R131 R128:R129">
    <cfRule type="cellIs" dxfId="5816" priority="2571" operator="greaterThan">
      <formula>1</formula>
    </cfRule>
    <cfRule type="cellIs" dxfId="5815" priority="2572" operator="lessThan">
      <formula>0.8</formula>
    </cfRule>
  </conditionalFormatting>
  <conditionalFormatting sqref="Q123 Q125:Q126 Q131 Q128:Q129">
    <cfRule type="cellIs" dxfId="5814" priority="2569" operator="lessThan">
      <formula>0</formula>
    </cfRule>
  </conditionalFormatting>
  <conditionalFormatting sqref="R123 R125:R126 R131 R128:R129">
    <cfRule type="cellIs" dxfId="5813" priority="2567" operator="lessThan">
      <formula>0.8</formula>
    </cfRule>
    <cfRule type="cellIs" dxfId="5812" priority="2568" operator="greaterThan">
      <formula>1</formula>
    </cfRule>
  </conditionalFormatting>
  <conditionalFormatting sqref="R123 R125:R126 R131 R128:R129">
    <cfRule type="cellIs" dxfId="5811" priority="2565" operator="greaterThan">
      <formula>1</formula>
    </cfRule>
    <cfRule type="cellIs" dxfId="5810" priority="2566" operator="lessThan">
      <formula>0.8</formula>
    </cfRule>
  </conditionalFormatting>
  <conditionalFormatting sqref="P123 P125:P126 P131 P128:P129">
    <cfRule type="cellIs" dxfId="5809" priority="2564" operator="greaterThan">
      <formula>0</formula>
    </cfRule>
  </conditionalFormatting>
  <conditionalFormatting sqref="Q31">
    <cfRule type="cellIs" dxfId="5808" priority="2563" operator="lessThan">
      <formula>0</formula>
    </cfRule>
  </conditionalFormatting>
  <conditionalFormatting sqref="R31">
    <cfRule type="cellIs" dxfId="5807" priority="2561" operator="lessThan">
      <formula>0.8</formula>
    </cfRule>
    <cfRule type="cellIs" dxfId="5806" priority="2562" operator="greaterThan">
      <formula>1</formula>
    </cfRule>
  </conditionalFormatting>
  <conditionalFormatting sqref="R31">
    <cfRule type="cellIs" dxfId="5805" priority="2559" operator="greaterThan">
      <formula>1</formula>
    </cfRule>
    <cfRule type="cellIs" dxfId="5804" priority="2560" operator="lessThan">
      <formula>0.8</formula>
    </cfRule>
  </conditionalFormatting>
  <conditionalFormatting sqref="P31:P38">
    <cfRule type="cellIs" dxfId="5803" priority="2558" operator="greaterThan">
      <formula>0</formula>
    </cfRule>
  </conditionalFormatting>
  <conditionalFormatting sqref="Q31">
    <cfRule type="cellIs" dxfId="5802" priority="2557" operator="lessThan">
      <formula>0</formula>
    </cfRule>
  </conditionalFormatting>
  <conditionalFormatting sqref="R31">
    <cfRule type="cellIs" dxfId="5801" priority="2555" operator="lessThan">
      <formula>0.8</formula>
    </cfRule>
    <cfRule type="cellIs" dxfId="5800" priority="2556" operator="greaterThan">
      <formula>1</formula>
    </cfRule>
  </conditionalFormatting>
  <conditionalFormatting sqref="R31">
    <cfRule type="cellIs" dxfId="5799" priority="2553" operator="greaterThan">
      <formula>1</formula>
    </cfRule>
    <cfRule type="cellIs" dxfId="5798" priority="2554" operator="lessThan">
      <formula>0.8</formula>
    </cfRule>
  </conditionalFormatting>
  <conditionalFormatting sqref="P31:P38">
    <cfRule type="cellIs" dxfId="5797" priority="2552" operator="greaterThan">
      <formula>0</formula>
    </cfRule>
  </conditionalFormatting>
  <conditionalFormatting sqref="Q31">
    <cfRule type="cellIs" dxfId="5796" priority="2551" operator="lessThan">
      <formula>0</formula>
    </cfRule>
  </conditionalFormatting>
  <conditionalFormatting sqref="R31">
    <cfRule type="cellIs" dxfId="5795" priority="2549" operator="lessThan">
      <formula>0.8</formula>
    </cfRule>
    <cfRule type="cellIs" dxfId="5794" priority="2550" operator="greaterThan">
      <formula>1</formula>
    </cfRule>
  </conditionalFormatting>
  <conditionalFormatting sqref="R31">
    <cfRule type="cellIs" dxfId="5793" priority="2547" operator="greaterThan">
      <formula>1</formula>
    </cfRule>
    <cfRule type="cellIs" dxfId="5792" priority="2548" operator="lessThan">
      <formula>0.8</formula>
    </cfRule>
  </conditionalFormatting>
  <conditionalFormatting sqref="P31:P38">
    <cfRule type="cellIs" dxfId="5791" priority="2546" operator="greaterThan">
      <formula>0</formula>
    </cfRule>
  </conditionalFormatting>
  <conditionalFormatting sqref="Q31">
    <cfRule type="cellIs" dxfId="5790" priority="2545" operator="lessThan">
      <formula>0</formula>
    </cfRule>
  </conditionalFormatting>
  <conditionalFormatting sqref="R31">
    <cfRule type="cellIs" dxfId="5789" priority="2543" operator="lessThan">
      <formula>0.8</formula>
    </cfRule>
    <cfRule type="cellIs" dxfId="5788" priority="2544" operator="greaterThan">
      <formula>1</formula>
    </cfRule>
  </conditionalFormatting>
  <conditionalFormatting sqref="R31">
    <cfRule type="cellIs" dxfId="5787" priority="2541" operator="greaterThan">
      <formula>1</formula>
    </cfRule>
    <cfRule type="cellIs" dxfId="5786" priority="2542" operator="lessThan">
      <formula>0.8</formula>
    </cfRule>
  </conditionalFormatting>
  <conditionalFormatting sqref="P31:P38">
    <cfRule type="cellIs" dxfId="5785" priority="2540" operator="greaterThan">
      <formula>0</formula>
    </cfRule>
  </conditionalFormatting>
  <conditionalFormatting sqref="P31:P38">
    <cfRule type="cellIs" dxfId="5784" priority="2534" operator="greaterThan">
      <formula>0</formula>
    </cfRule>
  </conditionalFormatting>
  <conditionalFormatting sqref="Q31">
    <cfRule type="cellIs" dxfId="5783" priority="2539" operator="lessThan">
      <formula>0</formula>
    </cfRule>
  </conditionalFormatting>
  <conditionalFormatting sqref="R31">
    <cfRule type="cellIs" dxfId="5782" priority="2537" operator="lessThan">
      <formula>0.8</formula>
    </cfRule>
    <cfRule type="cellIs" dxfId="5781" priority="2538" operator="greaterThan">
      <formula>1</formula>
    </cfRule>
  </conditionalFormatting>
  <conditionalFormatting sqref="R31">
    <cfRule type="cellIs" dxfId="5780" priority="2535" operator="greaterThan">
      <formula>1</formula>
    </cfRule>
    <cfRule type="cellIs" dxfId="5779" priority="2536" operator="lessThan">
      <formula>0.8</formula>
    </cfRule>
  </conditionalFormatting>
  <conditionalFormatting sqref="P31:P38">
    <cfRule type="cellIs" dxfId="5778" priority="2528" operator="greaterThan">
      <formula>0</formula>
    </cfRule>
  </conditionalFormatting>
  <conditionalFormatting sqref="Q31">
    <cfRule type="cellIs" dxfId="5777" priority="2533" operator="lessThan">
      <formula>0</formula>
    </cfRule>
  </conditionalFormatting>
  <conditionalFormatting sqref="R31">
    <cfRule type="cellIs" dxfId="5776" priority="2531" operator="lessThan">
      <formula>0.8</formula>
    </cfRule>
    <cfRule type="cellIs" dxfId="5775" priority="2532" operator="greaterThan">
      <formula>1</formula>
    </cfRule>
  </conditionalFormatting>
  <conditionalFormatting sqref="R31">
    <cfRule type="cellIs" dxfId="5774" priority="2529" operator="greaterThan">
      <formula>1</formula>
    </cfRule>
    <cfRule type="cellIs" dxfId="5773" priority="2530" operator="lessThan">
      <formula>0.8</formula>
    </cfRule>
  </conditionalFormatting>
  <conditionalFormatting sqref="R31">
    <cfRule type="cellIs" dxfId="5772" priority="2525" operator="lessThan">
      <formula>0.8</formula>
    </cfRule>
    <cfRule type="cellIs" dxfId="5771" priority="2526" operator="greaterThan">
      <formula>1</formula>
    </cfRule>
  </conditionalFormatting>
  <conditionalFormatting sqref="R31">
    <cfRule type="cellIs" dxfId="5770" priority="2523" operator="greaterThan">
      <formula>1</formula>
    </cfRule>
    <cfRule type="cellIs" dxfId="5769" priority="2524" operator="lessThan">
      <formula>0.8</formula>
    </cfRule>
  </conditionalFormatting>
  <conditionalFormatting sqref="P31:P38">
    <cfRule type="cellIs" dxfId="5768" priority="2522" operator="greaterThan">
      <formula>0</formula>
    </cfRule>
  </conditionalFormatting>
  <conditionalFormatting sqref="Q31">
    <cfRule type="cellIs" dxfId="5767" priority="2527" operator="lessThan">
      <formula>0</formula>
    </cfRule>
  </conditionalFormatting>
  <conditionalFormatting sqref="Q31">
    <cfRule type="cellIs" dxfId="5766" priority="2521" operator="lessThan">
      <formula>0</formula>
    </cfRule>
  </conditionalFormatting>
  <conditionalFormatting sqref="R31">
    <cfRule type="cellIs" dxfId="5765" priority="2519" operator="lessThan">
      <formula>0.8</formula>
    </cfRule>
    <cfRule type="cellIs" dxfId="5764" priority="2520" operator="greaterThan">
      <formula>1</formula>
    </cfRule>
  </conditionalFormatting>
  <conditionalFormatting sqref="R31">
    <cfRule type="cellIs" dxfId="5763" priority="2517" operator="greaterThan">
      <formula>1</formula>
    </cfRule>
    <cfRule type="cellIs" dxfId="5762" priority="2518" operator="lessThan">
      <formula>0.8</formula>
    </cfRule>
  </conditionalFormatting>
  <conditionalFormatting sqref="P31:P38">
    <cfRule type="cellIs" dxfId="5761" priority="2516" operator="greaterThan">
      <formula>0</formula>
    </cfRule>
  </conditionalFormatting>
  <conditionalFormatting sqref="P31:P38">
    <cfRule type="cellIs" dxfId="5760" priority="2510" operator="greaterThan">
      <formula>0</formula>
    </cfRule>
  </conditionalFormatting>
  <conditionalFormatting sqref="Q31">
    <cfRule type="cellIs" dxfId="5759" priority="2515" operator="lessThan">
      <formula>0</formula>
    </cfRule>
  </conditionalFormatting>
  <conditionalFormatting sqref="R31">
    <cfRule type="cellIs" dxfId="5758" priority="2513" operator="lessThan">
      <formula>0.8</formula>
    </cfRule>
    <cfRule type="cellIs" dxfId="5757" priority="2514" operator="greaterThan">
      <formula>1</formula>
    </cfRule>
  </conditionalFormatting>
  <conditionalFormatting sqref="R31">
    <cfRule type="cellIs" dxfId="5756" priority="2511" operator="greaterThan">
      <formula>1</formula>
    </cfRule>
    <cfRule type="cellIs" dxfId="5755" priority="2512" operator="lessThan">
      <formula>0.8</formula>
    </cfRule>
  </conditionalFormatting>
  <conditionalFormatting sqref="P31:P38">
    <cfRule type="cellIs" dxfId="5754" priority="2504" operator="greaterThan">
      <formula>0</formula>
    </cfRule>
  </conditionalFormatting>
  <conditionalFormatting sqref="Q31">
    <cfRule type="cellIs" dxfId="5753" priority="2509" operator="lessThan">
      <formula>0</formula>
    </cfRule>
  </conditionalFormatting>
  <conditionalFormatting sqref="R31">
    <cfRule type="cellIs" dxfId="5752" priority="2507" operator="lessThan">
      <formula>0.8</formula>
    </cfRule>
    <cfRule type="cellIs" dxfId="5751" priority="2508" operator="greaterThan">
      <formula>1</formula>
    </cfRule>
  </conditionalFormatting>
  <conditionalFormatting sqref="R31">
    <cfRule type="cellIs" dxfId="5750" priority="2505" operator="greaterThan">
      <formula>1</formula>
    </cfRule>
    <cfRule type="cellIs" dxfId="5749" priority="2506" operator="lessThan">
      <formula>0.8</formula>
    </cfRule>
  </conditionalFormatting>
  <conditionalFormatting sqref="R31">
    <cfRule type="cellIs" dxfId="5748" priority="2501" operator="lessThan">
      <formula>0.8</formula>
    </cfRule>
    <cfRule type="cellIs" dxfId="5747" priority="2502" operator="greaterThan">
      <formula>1</formula>
    </cfRule>
  </conditionalFormatting>
  <conditionalFormatting sqref="R31">
    <cfRule type="cellIs" dxfId="5746" priority="2499" operator="greaterThan">
      <formula>1</formula>
    </cfRule>
    <cfRule type="cellIs" dxfId="5745" priority="2500" operator="lessThan">
      <formula>0.8</formula>
    </cfRule>
  </conditionalFormatting>
  <conditionalFormatting sqref="P31:P38">
    <cfRule type="cellIs" dxfId="5744" priority="2498" operator="greaterThan">
      <formula>0</formula>
    </cfRule>
  </conditionalFormatting>
  <conditionalFormatting sqref="Q31">
    <cfRule type="cellIs" dxfId="5743" priority="2503" operator="lessThan">
      <formula>0</formula>
    </cfRule>
  </conditionalFormatting>
  <conditionalFormatting sqref="P31:P38">
    <cfRule type="cellIs" dxfId="5742" priority="2492" operator="greaterThan">
      <formula>0</formula>
    </cfRule>
  </conditionalFormatting>
  <conditionalFormatting sqref="Q31">
    <cfRule type="cellIs" dxfId="5741" priority="2497" operator="lessThan">
      <formula>0</formula>
    </cfRule>
  </conditionalFormatting>
  <conditionalFormatting sqref="R31">
    <cfRule type="cellIs" dxfId="5740" priority="2495" operator="lessThan">
      <formula>0.8</formula>
    </cfRule>
    <cfRule type="cellIs" dxfId="5739" priority="2496" operator="greaterThan">
      <formula>1</formula>
    </cfRule>
  </conditionalFormatting>
  <conditionalFormatting sqref="R31">
    <cfRule type="cellIs" dxfId="5738" priority="2493" operator="greaterThan">
      <formula>1</formula>
    </cfRule>
    <cfRule type="cellIs" dxfId="5737" priority="2494" operator="lessThan">
      <formula>0.8</formula>
    </cfRule>
  </conditionalFormatting>
  <conditionalFormatting sqref="R31">
    <cfRule type="cellIs" dxfId="5736" priority="2489" operator="lessThan">
      <formula>0.8</formula>
    </cfRule>
    <cfRule type="cellIs" dxfId="5735" priority="2490" operator="greaterThan">
      <formula>1</formula>
    </cfRule>
  </conditionalFormatting>
  <conditionalFormatting sqref="R31">
    <cfRule type="cellIs" dxfId="5734" priority="2487" operator="greaterThan">
      <formula>1</formula>
    </cfRule>
    <cfRule type="cellIs" dxfId="5733" priority="2488" operator="lessThan">
      <formula>0.8</formula>
    </cfRule>
  </conditionalFormatting>
  <conditionalFormatting sqref="P31:P38">
    <cfRule type="cellIs" dxfId="5732" priority="2486" operator="greaterThan">
      <formula>0</formula>
    </cfRule>
  </conditionalFormatting>
  <conditionalFormatting sqref="Q31">
    <cfRule type="cellIs" dxfId="5731" priority="2491" operator="lessThan">
      <formula>0</formula>
    </cfRule>
  </conditionalFormatting>
  <conditionalFormatting sqref="R31">
    <cfRule type="cellIs" dxfId="5730" priority="2483" operator="lessThan">
      <formula>0.8</formula>
    </cfRule>
    <cfRule type="cellIs" dxfId="5729" priority="2484" operator="greaterThan">
      <formula>1</formula>
    </cfRule>
  </conditionalFormatting>
  <conditionalFormatting sqref="R31">
    <cfRule type="cellIs" dxfId="5728" priority="2481" operator="greaterThan">
      <formula>1</formula>
    </cfRule>
    <cfRule type="cellIs" dxfId="5727" priority="2482" operator="lessThan">
      <formula>0.8</formula>
    </cfRule>
  </conditionalFormatting>
  <conditionalFormatting sqref="P31:P38">
    <cfRule type="cellIs" dxfId="5726" priority="2480" operator="greaterThan">
      <formula>0</formula>
    </cfRule>
  </conditionalFormatting>
  <conditionalFormatting sqref="Q31">
    <cfRule type="cellIs" dxfId="5725" priority="2485" operator="lessThan">
      <formula>0</formula>
    </cfRule>
  </conditionalFormatting>
  <conditionalFormatting sqref="Q31">
    <cfRule type="cellIs" dxfId="5724" priority="2479" operator="lessThan">
      <formula>0</formula>
    </cfRule>
  </conditionalFormatting>
  <conditionalFormatting sqref="R31">
    <cfRule type="cellIs" dxfId="5723" priority="2477" operator="lessThan">
      <formula>0.8</formula>
    </cfRule>
    <cfRule type="cellIs" dxfId="5722" priority="2478" operator="greaterThan">
      <formula>1</formula>
    </cfRule>
  </conditionalFormatting>
  <conditionalFormatting sqref="R31">
    <cfRule type="cellIs" dxfId="5721" priority="2475" operator="greaterThan">
      <formula>1</formula>
    </cfRule>
    <cfRule type="cellIs" dxfId="5720" priority="2476" operator="lessThan">
      <formula>0.8</formula>
    </cfRule>
  </conditionalFormatting>
  <conditionalFormatting sqref="P31:P38">
    <cfRule type="cellIs" dxfId="5719" priority="2474" operator="greaterThan">
      <formula>0</formula>
    </cfRule>
  </conditionalFormatting>
  <conditionalFormatting sqref="Q31">
    <cfRule type="cellIs" dxfId="5718" priority="2468" operator="lessThan">
      <formula>0</formula>
    </cfRule>
  </conditionalFormatting>
  <conditionalFormatting sqref="R31">
    <cfRule type="cellIs" dxfId="5717" priority="2472" operator="lessThan">
      <formula>0.8</formula>
    </cfRule>
    <cfRule type="cellIs" dxfId="5716" priority="2473" operator="greaterThan">
      <formula>1</formula>
    </cfRule>
  </conditionalFormatting>
  <conditionalFormatting sqref="R31">
    <cfRule type="cellIs" dxfId="5715" priority="2470" operator="greaterThan">
      <formula>1</formula>
    </cfRule>
    <cfRule type="cellIs" dxfId="5714" priority="2471" operator="lessThan">
      <formula>0.8</formula>
    </cfRule>
  </conditionalFormatting>
  <conditionalFormatting sqref="P31:P38">
    <cfRule type="cellIs" dxfId="5713" priority="2469" operator="greaterThan">
      <formula>0</formula>
    </cfRule>
  </conditionalFormatting>
  <conditionalFormatting sqref="Q31">
    <cfRule type="cellIs" dxfId="5712" priority="2467" operator="lessThan">
      <formula>0</formula>
    </cfRule>
  </conditionalFormatting>
  <conditionalFormatting sqref="R31">
    <cfRule type="cellIs" dxfId="5711" priority="2465" operator="lessThan">
      <formula>0.8</formula>
    </cfRule>
    <cfRule type="cellIs" dxfId="5710" priority="2466" operator="greaterThan">
      <formula>1</formula>
    </cfRule>
  </conditionalFormatting>
  <conditionalFormatting sqref="R31">
    <cfRule type="cellIs" dxfId="5709" priority="2463" operator="greaterThan">
      <formula>1</formula>
    </cfRule>
    <cfRule type="cellIs" dxfId="5708" priority="2464" operator="lessThan">
      <formula>0.8</formula>
    </cfRule>
  </conditionalFormatting>
  <conditionalFormatting sqref="P31:P38">
    <cfRule type="cellIs" dxfId="5707" priority="2462" operator="greaterThan">
      <formula>0</formula>
    </cfRule>
  </conditionalFormatting>
  <conditionalFormatting sqref="Q31">
    <cfRule type="cellIs" dxfId="5706" priority="2461" operator="lessThan">
      <formula>0</formula>
    </cfRule>
  </conditionalFormatting>
  <conditionalFormatting sqref="R31">
    <cfRule type="cellIs" dxfId="5705" priority="2459" operator="lessThan">
      <formula>0.8</formula>
    </cfRule>
    <cfRule type="cellIs" dxfId="5704" priority="2460" operator="greaterThan">
      <formula>1</formula>
    </cfRule>
  </conditionalFormatting>
  <conditionalFormatting sqref="R31">
    <cfRule type="cellIs" dxfId="5703" priority="2457" operator="greaterThan">
      <formula>1</formula>
    </cfRule>
    <cfRule type="cellIs" dxfId="5702" priority="2458" operator="lessThan">
      <formula>0.8</formula>
    </cfRule>
  </conditionalFormatting>
  <conditionalFormatting sqref="P31:P38">
    <cfRule type="cellIs" dxfId="5701" priority="2456" operator="greaterThan">
      <formula>0</formula>
    </cfRule>
  </conditionalFormatting>
  <conditionalFormatting sqref="Q31">
    <cfRule type="cellIs" dxfId="5700" priority="2455" operator="lessThan">
      <formula>0</formula>
    </cfRule>
  </conditionalFormatting>
  <conditionalFormatting sqref="R31">
    <cfRule type="cellIs" dxfId="5699" priority="2453" operator="lessThan">
      <formula>0.8</formula>
    </cfRule>
    <cfRule type="cellIs" dxfId="5698" priority="2454" operator="greaterThan">
      <formula>1</formula>
    </cfRule>
  </conditionalFormatting>
  <conditionalFormatting sqref="R31">
    <cfRule type="cellIs" dxfId="5697" priority="2451" operator="greaterThan">
      <formula>1</formula>
    </cfRule>
    <cfRule type="cellIs" dxfId="5696" priority="2452" operator="lessThan">
      <formula>0.8</formula>
    </cfRule>
  </conditionalFormatting>
  <conditionalFormatting sqref="P31:P38">
    <cfRule type="cellIs" dxfId="5695" priority="2450" operator="greaterThan">
      <formula>0</formula>
    </cfRule>
  </conditionalFormatting>
  <conditionalFormatting sqref="Q31">
    <cfRule type="cellIs" dxfId="5694" priority="2449" operator="lessThan">
      <formula>0</formula>
    </cfRule>
  </conditionalFormatting>
  <conditionalFormatting sqref="R31">
    <cfRule type="cellIs" dxfId="5693" priority="2447" operator="lessThan">
      <formula>0.8</formula>
    </cfRule>
    <cfRule type="cellIs" dxfId="5692" priority="2448" operator="greaterThan">
      <formula>1</formula>
    </cfRule>
  </conditionalFormatting>
  <conditionalFormatting sqref="R31">
    <cfRule type="cellIs" dxfId="5691" priority="2445" operator="greaterThan">
      <formula>1</formula>
    </cfRule>
    <cfRule type="cellIs" dxfId="5690" priority="2446" operator="lessThan">
      <formula>0.8</formula>
    </cfRule>
  </conditionalFormatting>
  <conditionalFormatting sqref="P31:P38">
    <cfRule type="cellIs" dxfId="5689" priority="2444" operator="greaterThan">
      <formula>0</formula>
    </cfRule>
  </conditionalFormatting>
  <conditionalFormatting sqref="Q31">
    <cfRule type="cellIs" dxfId="5688" priority="2443" operator="lessThan">
      <formula>0</formula>
    </cfRule>
  </conditionalFormatting>
  <conditionalFormatting sqref="R31">
    <cfRule type="cellIs" dxfId="5687" priority="2441" operator="lessThan">
      <formula>0.8</formula>
    </cfRule>
    <cfRule type="cellIs" dxfId="5686" priority="2442" operator="greaterThan">
      <formula>1</formula>
    </cfRule>
  </conditionalFormatting>
  <conditionalFormatting sqref="R31">
    <cfRule type="cellIs" dxfId="5685" priority="2439" operator="greaterThan">
      <formula>1</formula>
    </cfRule>
    <cfRule type="cellIs" dxfId="5684" priority="2440" operator="lessThan">
      <formula>0.8</formula>
    </cfRule>
  </conditionalFormatting>
  <conditionalFormatting sqref="P31:P38">
    <cfRule type="cellIs" dxfId="5683" priority="2438" operator="greaterThan">
      <formula>0</formula>
    </cfRule>
  </conditionalFormatting>
  <conditionalFormatting sqref="P31:P38">
    <cfRule type="cellIs" dxfId="5682" priority="2432" operator="greaterThan">
      <formula>0</formula>
    </cfRule>
  </conditionalFormatting>
  <conditionalFormatting sqref="Q31">
    <cfRule type="cellIs" dxfId="5681" priority="2437" operator="lessThan">
      <formula>0</formula>
    </cfRule>
  </conditionalFormatting>
  <conditionalFormatting sqref="R31">
    <cfRule type="cellIs" dxfId="5680" priority="2435" operator="lessThan">
      <formula>0.8</formula>
    </cfRule>
    <cfRule type="cellIs" dxfId="5679" priority="2436" operator="greaterThan">
      <formula>1</formula>
    </cfRule>
  </conditionalFormatting>
  <conditionalFormatting sqref="R31">
    <cfRule type="cellIs" dxfId="5678" priority="2433" operator="greaterThan">
      <formula>1</formula>
    </cfRule>
    <cfRule type="cellIs" dxfId="5677" priority="2434" operator="lessThan">
      <formula>0.8</formula>
    </cfRule>
  </conditionalFormatting>
  <conditionalFormatting sqref="P31:P38">
    <cfRule type="cellIs" dxfId="5676" priority="2426" operator="greaterThan">
      <formula>0</formula>
    </cfRule>
  </conditionalFormatting>
  <conditionalFormatting sqref="Q31">
    <cfRule type="cellIs" dxfId="5675" priority="2431" operator="lessThan">
      <formula>0</formula>
    </cfRule>
  </conditionalFormatting>
  <conditionalFormatting sqref="R31">
    <cfRule type="cellIs" dxfId="5674" priority="2429" operator="lessThan">
      <formula>0.8</formula>
    </cfRule>
    <cfRule type="cellIs" dxfId="5673" priority="2430" operator="greaterThan">
      <formula>1</formula>
    </cfRule>
  </conditionalFormatting>
  <conditionalFormatting sqref="R31">
    <cfRule type="cellIs" dxfId="5672" priority="2427" operator="greaterThan">
      <formula>1</formula>
    </cfRule>
    <cfRule type="cellIs" dxfId="5671" priority="2428" operator="lessThan">
      <formula>0.8</formula>
    </cfRule>
  </conditionalFormatting>
  <conditionalFormatting sqref="R31">
    <cfRule type="cellIs" dxfId="5670" priority="2423" operator="lessThan">
      <formula>0.8</formula>
    </cfRule>
    <cfRule type="cellIs" dxfId="5669" priority="2424" operator="greaterThan">
      <formula>1</formula>
    </cfRule>
  </conditionalFormatting>
  <conditionalFormatting sqref="R31">
    <cfRule type="cellIs" dxfId="5668" priority="2421" operator="greaterThan">
      <formula>1</formula>
    </cfRule>
    <cfRule type="cellIs" dxfId="5667" priority="2422" operator="lessThan">
      <formula>0.8</formula>
    </cfRule>
  </conditionalFormatting>
  <conditionalFormatting sqref="P31:P38">
    <cfRule type="cellIs" dxfId="5666" priority="2420" operator="greaterThan">
      <formula>0</formula>
    </cfRule>
  </conditionalFormatting>
  <conditionalFormatting sqref="Q31">
    <cfRule type="cellIs" dxfId="5665" priority="2425" operator="lessThan">
      <formula>0</formula>
    </cfRule>
  </conditionalFormatting>
  <conditionalFormatting sqref="Q31">
    <cfRule type="cellIs" dxfId="5664" priority="2419" operator="lessThan">
      <formula>0</formula>
    </cfRule>
  </conditionalFormatting>
  <conditionalFormatting sqref="R31">
    <cfRule type="cellIs" dxfId="5663" priority="2417" operator="lessThan">
      <formula>0.8</formula>
    </cfRule>
    <cfRule type="cellIs" dxfId="5662" priority="2418" operator="greaterThan">
      <formula>1</formula>
    </cfRule>
  </conditionalFormatting>
  <conditionalFormatting sqref="R31">
    <cfRule type="cellIs" dxfId="5661" priority="2415" operator="greaterThan">
      <formula>1</formula>
    </cfRule>
    <cfRule type="cellIs" dxfId="5660" priority="2416" operator="lessThan">
      <formula>0.8</formula>
    </cfRule>
  </conditionalFormatting>
  <conditionalFormatting sqref="P31:P38">
    <cfRule type="cellIs" dxfId="5659" priority="2414" operator="greaterThan">
      <formula>0</formula>
    </cfRule>
  </conditionalFormatting>
  <conditionalFormatting sqref="Q31">
    <cfRule type="cellIs" dxfId="5658" priority="2413" operator="lessThan">
      <formula>0</formula>
    </cfRule>
  </conditionalFormatting>
  <conditionalFormatting sqref="R31">
    <cfRule type="cellIs" dxfId="5657" priority="2411" operator="lessThan">
      <formula>0.8</formula>
    </cfRule>
    <cfRule type="cellIs" dxfId="5656" priority="2412" operator="greaterThan">
      <formula>1</formula>
    </cfRule>
  </conditionalFormatting>
  <conditionalFormatting sqref="R31">
    <cfRule type="cellIs" dxfId="5655" priority="2409" operator="greaterThan">
      <formula>1</formula>
    </cfRule>
    <cfRule type="cellIs" dxfId="5654" priority="2410" operator="lessThan">
      <formula>0.8</formula>
    </cfRule>
  </conditionalFormatting>
  <conditionalFormatting sqref="P31:P38">
    <cfRule type="cellIs" dxfId="5653" priority="2408" operator="greaterThan">
      <formula>0</formula>
    </cfRule>
  </conditionalFormatting>
  <conditionalFormatting sqref="Q31">
    <cfRule type="cellIs" dxfId="5652" priority="2407" operator="lessThan">
      <formula>0</formula>
    </cfRule>
  </conditionalFormatting>
  <conditionalFormatting sqref="R31">
    <cfRule type="cellIs" dxfId="5651" priority="2405" operator="lessThan">
      <formula>0.8</formula>
    </cfRule>
    <cfRule type="cellIs" dxfId="5650" priority="2406" operator="greaterThan">
      <formula>1</formula>
    </cfRule>
  </conditionalFormatting>
  <conditionalFormatting sqref="R31">
    <cfRule type="cellIs" dxfId="5649" priority="2403" operator="greaterThan">
      <formula>1</formula>
    </cfRule>
    <cfRule type="cellIs" dxfId="5648" priority="2404" operator="lessThan">
      <formula>0.8</formula>
    </cfRule>
  </conditionalFormatting>
  <conditionalFormatting sqref="P31:P38">
    <cfRule type="cellIs" dxfId="5647" priority="2402" operator="greaterThan">
      <formula>0</formula>
    </cfRule>
  </conditionalFormatting>
  <conditionalFormatting sqref="Q31">
    <cfRule type="cellIs" dxfId="5646" priority="2401" operator="lessThan">
      <formula>0</formula>
    </cfRule>
  </conditionalFormatting>
  <conditionalFormatting sqref="R31">
    <cfRule type="cellIs" dxfId="5645" priority="2399" operator="lessThan">
      <formula>0.8</formula>
    </cfRule>
    <cfRule type="cellIs" dxfId="5644" priority="2400" operator="greaterThan">
      <formula>1</formula>
    </cfRule>
  </conditionalFormatting>
  <conditionalFormatting sqref="R31">
    <cfRule type="cellIs" dxfId="5643" priority="2397" operator="greaterThan">
      <formula>1</formula>
    </cfRule>
    <cfRule type="cellIs" dxfId="5642" priority="2398" operator="lessThan">
      <formula>0.8</formula>
    </cfRule>
  </conditionalFormatting>
  <conditionalFormatting sqref="P31:P38">
    <cfRule type="cellIs" dxfId="5641" priority="2396" operator="greaterThan">
      <formula>0</formula>
    </cfRule>
  </conditionalFormatting>
  <conditionalFormatting sqref="P31:P38">
    <cfRule type="cellIs" dxfId="5640" priority="2390" operator="greaterThan">
      <formula>0</formula>
    </cfRule>
  </conditionalFormatting>
  <conditionalFormatting sqref="Q31">
    <cfRule type="cellIs" dxfId="5639" priority="2395" operator="lessThan">
      <formula>0</formula>
    </cfRule>
  </conditionalFormatting>
  <conditionalFormatting sqref="R31">
    <cfRule type="cellIs" dxfId="5638" priority="2393" operator="lessThan">
      <formula>0.8</formula>
    </cfRule>
    <cfRule type="cellIs" dxfId="5637" priority="2394" operator="greaterThan">
      <formula>1</formula>
    </cfRule>
  </conditionalFormatting>
  <conditionalFormatting sqref="R31">
    <cfRule type="cellIs" dxfId="5636" priority="2391" operator="greaterThan">
      <formula>1</formula>
    </cfRule>
    <cfRule type="cellIs" dxfId="5635" priority="2392" operator="lessThan">
      <formula>0.8</formula>
    </cfRule>
  </conditionalFormatting>
  <conditionalFormatting sqref="P31:P38">
    <cfRule type="cellIs" dxfId="5634" priority="2384" operator="greaterThan">
      <formula>0</formula>
    </cfRule>
  </conditionalFormatting>
  <conditionalFormatting sqref="Q31">
    <cfRule type="cellIs" dxfId="5633" priority="2389" operator="lessThan">
      <formula>0</formula>
    </cfRule>
  </conditionalFormatting>
  <conditionalFormatting sqref="R31">
    <cfRule type="cellIs" dxfId="5632" priority="2387" operator="lessThan">
      <formula>0.8</formula>
    </cfRule>
    <cfRule type="cellIs" dxfId="5631" priority="2388" operator="greaterThan">
      <formula>1</formula>
    </cfRule>
  </conditionalFormatting>
  <conditionalFormatting sqref="R31">
    <cfRule type="cellIs" dxfId="5630" priority="2385" operator="greaterThan">
      <formula>1</formula>
    </cfRule>
    <cfRule type="cellIs" dxfId="5629" priority="2386" operator="lessThan">
      <formula>0.8</formula>
    </cfRule>
  </conditionalFormatting>
  <conditionalFormatting sqref="R31">
    <cfRule type="cellIs" dxfId="5628" priority="2381" operator="lessThan">
      <formula>0.8</formula>
    </cfRule>
    <cfRule type="cellIs" dxfId="5627" priority="2382" operator="greaterThan">
      <formula>1</formula>
    </cfRule>
  </conditionalFormatting>
  <conditionalFormatting sqref="R31">
    <cfRule type="cellIs" dxfId="5626" priority="2379" operator="greaterThan">
      <formula>1</formula>
    </cfRule>
    <cfRule type="cellIs" dxfId="5625" priority="2380" operator="lessThan">
      <formula>0.8</formula>
    </cfRule>
  </conditionalFormatting>
  <conditionalFormatting sqref="P31:P38">
    <cfRule type="cellIs" dxfId="5624" priority="2378" operator="greaterThan">
      <formula>0</formula>
    </cfRule>
  </conditionalFormatting>
  <conditionalFormatting sqref="Q31">
    <cfRule type="cellIs" dxfId="5623" priority="2383" operator="lessThan">
      <formula>0</formula>
    </cfRule>
  </conditionalFormatting>
  <conditionalFormatting sqref="Q31">
    <cfRule type="cellIs" dxfId="5622" priority="2377" operator="lessThan">
      <formula>0</formula>
    </cfRule>
  </conditionalFormatting>
  <conditionalFormatting sqref="R31">
    <cfRule type="cellIs" dxfId="5621" priority="2375" operator="lessThan">
      <formula>0.8</formula>
    </cfRule>
    <cfRule type="cellIs" dxfId="5620" priority="2376" operator="greaterThan">
      <formula>1</formula>
    </cfRule>
  </conditionalFormatting>
  <conditionalFormatting sqref="R31">
    <cfRule type="cellIs" dxfId="5619" priority="2373" operator="greaterThan">
      <formula>1</formula>
    </cfRule>
    <cfRule type="cellIs" dxfId="5618" priority="2374" operator="lessThan">
      <formula>0.8</formula>
    </cfRule>
  </conditionalFormatting>
  <conditionalFormatting sqref="P31:P38">
    <cfRule type="cellIs" dxfId="5617" priority="2372" operator="greaterThan">
      <formula>0</formula>
    </cfRule>
  </conditionalFormatting>
  <conditionalFormatting sqref="P31:P38">
    <cfRule type="cellIs" dxfId="5616" priority="2366" operator="greaterThan">
      <formula>0</formula>
    </cfRule>
  </conditionalFormatting>
  <conditionalFormatting sqref="Q31">
    <cfRule type="cellIs" dxfId="5615" priority="2371" operator="lessThan">
      <formula>0</formula>
    </cfRule>
  </conditionalFormatting>
  <conditionalFormatting sqref="R31">
    <cfRule type="cellIs" dxfId="5614" priority="2369" operator="lessThan">
      <formula>0.8</formula>
    </cfRule>
    <cfRule type="cellIs" dxfId="5613" priority="2370" operator="greaterThan">
      <formula>1</formula>
    </cfRule>
  </conditionalFormatting>
  <conditionalFormatting sqref="R31">
    <cfRule type="cellIs" dxfId="5612" priority="2367" operator="greaterThan">
      <formula>1</formula>
    </cfRule>
    <cfRule type="cellIs" dxfId="5611" priority="2368" operator="lessThan">
      <formula>0.8</formula>
    </cfRule>
  </conditionalFormatting>
  <conditionalFormatting sqref="P31:P38">
    <cfRule type="cellIs" dxfId="5610" priority="2360" operator="greaterThan">
      <formula>0</formula>
    </cfRule>
  </conditionalFormatting>
  <conditionalFormatting sqref="Q31">
    <cfRule type="cellIs" dxfId="5609" priority="2365" operator="lessThan">
      <formula>0</formula>
    </cfRule>
  </conditionalFormatting>
  <conditionalFormatting sqref="R31">
    <cfRule type="cellIs" dxfId="5608" priority="2363" operator="lessThan">
      <formula>0.8</formula>
    </cfRule>
    <cfRule type="cellIs" dxfId="5607" priority="2364" operator="greaterThan">
      <formula>1</formula>
    </cfRule>
  </conditionalFormatting>
  <conditionalFormatting sqref="R31">
    <cfRule type="cellIs" dxfId="5606" priority="2361" operator="greaterThan">
      <formula>1</formula>
    </cfRule>
    <cfRule type="cellIs" dxfId="5605" priority="2362" operator="lessThan">
      <formula>0.8</formula>
    </cfRule>
  </conditionalFormatting>
  <conditionalFormatting sqref="R31">
    <cfRule type="cellIs" dxfId="5604" priority="2357" operator="lessThan">
      <formula>0.8</formula>
    </cfRule>
    <cfRule type="cellIs" dxfId="5603" priority="2358" operator="greaterThan">
      <formula>1</formula>
    </cfRule>
  </conditionalFormatting>
  <conditionalFormatting sqref="R31">
    <cfRule type="cellIs" dxfId="5602" priority="2355" operator="greaterThan">
      <formula>1</formula>
    </cfRule>
    <cfRule type="cellIs" dxfId="5601" priority="2356" operator="lessThan">
      <formula>0.8</formula>
    </cfRule>
  </conditionalFormatting>
  <conditionalFormatting sqref="P31:P38">
    <cfRule type="cellIs" dxfId="5600" priority="2354" operator="greaterThan">
      <formula>0</formula>
    </cfRule>
  </conditionalFormatting>
  <conditionalFormatting sqref="Q31">
    <cfRule type="cellIs" dxfId="5599" priority="2359" operator="lessThan">
      <formula>0</formula>
    </cfRule>
  </conditionalFormatting>
  <conditionalFormatting sqref="P31:P38">
    <cfRule type="cellIs" dxfId="5598" priority="2348" operator="greaterThan">
      <formula>0</formula>
    </cfRule>
  </conditionalFormatting>
  <conditionalFormatting sqref="Q31">
    <cfRule type="cellIs" dxfId="5597" priority="2353" operator="lessThan">
      <formula>0</formula>
    </cfRule>
  </conditionalFormatting>
  <conditionalFormatting sqref="R31">
    <cfRule type="cellIs" dxfId="5596" priority="2351" operator="lessThan">
      <formula>0.8</formula>
    </cfRule>
    <cfRule type="cellIs" dxfId="5595" priority="2352" operator="greaterThan">
      <formula>1</formula>
    </cfRule>
  </conditionalFormatting>
  <conditionalFormatting sqref="R31">
    <cfRule type="cellIs" dxfId="5594" priority="2349" operator="greaterThan">
      <formula>1</formula>
    </cfRule>
    <cfRule type="cellIs" dxfId="5593" priority="2350" operator="lessThan">
      <formula>0.8</formula>
    </cfRule>
  </conditionalFormatting>
  <conditionalFormatting sqref="R31">
    <cfRule type="cellIs" dxfId="5592" priority="2345" operator="lessThan">
      <formula>0.8</formula>
    </cfRule>
    <cfRule type="cellIs" dxfId="5591" priority="2346" operator="greaterThan">
      <formula>1</formula>
    </cfRule>
  </conditionalFormatting>
  <conditionalFormatting sqref="R31">
    <cfRule type="cellIs" dxfId="5590" priority="2343" operator="greaterThan">
      <formula>1</formula>
    </cfRule>
    <cfRule type="cellIs" dxfId="5589" priority="2344" operator="lessThan">
      <formula>0.8</formula>
    </cfRule>
  </conditionalFormatting>
  <conditionalFormatting sqref="P31:P38">
    <cfRule type="cellIs" dxfId="5588" priority="2342" operator="greaterThan">
      <formula>0</formula>
    </cfRule>
  </conditionalFormatting>
  <conditionalFormatting sqref="Q31">
    <cfRule type="cellIs" dxfId="5587" priority="2347" operator="lessThan">
      <formula>0</formula>
    </cfRule>
  </conditionalFormatting>
  <conditionalFormatting sqref="R31">
    <cfRule type="cellIs" dxfId="5586" priority="2339" operator="lessThan">
      <formula>0.8</formula>
    </cfRule>
    <cfRule type="cellIs" dxfId="5585" priority="2340" operator="greaterThan">
      <formula>1</formula>
    </cfRule>
  </conditionalFormatting>
  <conditionalFormatting sqref="R31">
    <cfRule type="cellIs" dxfId="5584" priority="2337" operator="greaterThan">
      <formula>1</formula>
    </cfRule>
    <cfRule type="cellIs" dxfId="5583" priority="2338" operator="lessThan">
      <formula>0.8</formula>
    </cfRule>
  </conditionalFormatting>
  <conditionalFormatting sqref="P31:P38">
    <cfRule type="cellIs" dxfId="5582" priority="2336" operator="greaterThan">
      <formula>0</formula>
    </cfRule>
  </conditionalFormatting>
  <conditionalFormatting sqref="Q31">
    <cfRule type="cellIs" dxfId="5581" priority="2341" operator="lessThan">
      <formula>0</formula>
    </cfRule>
  </conditionalFormatting>
  <conditionalFormatting sqref="Q31">
    <cfRule type="cellIs" dxfId="5580" priority="2335" operator="lessThan">
      <formula>0</formula>
    </cfRule>
  </conditionalFormatting>
  <conditionalFormatting sqref="R31">
    <cfRule type="cellIs" dxfId="5579" priority="2333" operator="lessThan">
      <formula>0.8</formula>
    </cfRule>
    <cfRule type="cellIs" dxfId="5578" priority="2334" operator="greaterThan">
      <formula>1</formula>
    </cfRule>
  </conditionalFormatting>
  <conditionalFormatting sqref="R31">
    <cfRule type="cellIs" dxfId="5577" priority="2331" operator="greaterThan">
      <formula>1</formula>
    </cfRule>
    <cfRule type="cellIs" dxfId="5576" priority="2332" operator="lessThan">
      <formula>0.8</formula>
    </cfRule>
  </conditionalFormatting>
  <conditionalFormatting sqref="P31:P38">
    <cfRule type="cellIs" dxfId="5575" priority="2330" operator="greaterThan">
      <formula>0</formula>
    </cfRule>
  </conditionalFormatting>
  <conditionalFormatting sqref="Q31">
    <cfRule type="cellIs" dxfId="5574" priority="2324" operator="lessThan">
      <formula>0</formula>
    </cfRule>
  </conditionalFormatting>
  <conditionalFormatting sqref="R31">
    <cfRule type="cellIs" dxfId="5573" priority="2328" operator="lessThan">
      <formula>0.8</formula>
    </cfRule>
    <cfRule type="cellIs" dxfId="5572" priority="2329" operator="greaterThan">
      <formula>1</formula>
    </cfRule>
  </conditionalFormatting>
  <conditionalFormatting sqref="R31">
    <cfRule type="cellIs" dxfId="5571" priority="2326" operator="greaterThan">
      <formula>1</formula>
    </cfRule>
    <cfRule type="cellIs" dxfId="5570" priority="2327" operator="lessThan">
      <formula>0.8</formula>
    </cfRule>
  </conditionalFormatting>
  <conditionalFormatting sqref="P31:P38">
    <cfRule type="cellIs" dxfId="5569" priority="2325" operator="greaterThan">
      <formula>0</formula>
    </cfRule>
  </conditionalFormatting>
  <conditionalFormatting sqref="Q31">
    <cfRule type="cellIs" dxfId="5568" priority="2323" operator="lessThan">
      <formula>0</formula>
    </cfRule>
  </conditionalFormatting>
  <conditionalFormatting sqref="R31">
    <cfRule type="cellIs" dxfId="5567" priority="2321" operator="lessThan">
      <formula>0.8</formula>
    </cfRule>
    <cfRule type="cellIs" dxfId="5566" priority="2322" operator="greaterThan">
      <formula>1</formula>
    </cfRule>
  </conditionalFormatting>
  <conditionalFormatting sqref="R31">
    <cfRule type="cellIs" dxfId="5565" priority="2319" operator="greaterThan">
      <formula>1</formula>
    </cfRule>
    <cfRule type="cellIs" dxfId="5564" priority="2320" operator="lessThan">
      <formula>0.8</formula>
    </cfRule>
  </conditionalFormatting>
  <conditionalFormatting sqref="P31:P38">
    <cfRule type="cellIs" dxfId="5563" priority="2318" operator="greaterThan">
      <formula>0</formula>
    </cfRule>
  </conditionalFormatting>
  <conditionalFormatting sqref="Q31">
    <cfRule type="cellIs" dxfId="5562" priority="2317" operator="lessThan">
      <formula>0</formula>
    </cfRule>
  </conditionalFormatting>
  <conditionalFormatting sqref="R31">
    <cfRule type="cellIs" dxfId="5561" priority="2315" operator="lessThan">
      <formula>0.8</formula>
    </cfRule>
    <cfRule type="cellIs" dxfId="5560" priority="2316" operator="greaterThan">
      <formula>1</formula>
    </cfRule>
  </conditionalFormatting>
  <conditionalFormatting sqref="R31">
    <cfRule type="cellIs" dxfId="5559" priority="2313" operator="greaterThan">
      <formula>1</formula>
    </cfRule>
    <cfRule type="cellIs" dxfId="5558" priority="2314" operator="lessThan">
      <formula>0.8</formula>
    </cfRule>
  </conditionalFormatting>
  <conditionalFormatting sqref="P31:P38">
    <cfRule type="cellIs" dxfId="5557" priority="2312" operator="greaterThan">
      <formula>0</formula>
    </cfRule>
  </conditionalFormatting>
  <conditionalFormatting sqref="Q31">
    <cfRule type="cellIs" dxfId="5556" priority="2311" operator="lessThan">
      <formula>0</formula>
    </cfRule>
  </conditionalFormatting>
  <conditionalFormatting sqref="R31">
    <cfRule type="cellIs" dxfId="5555" priority="2309" operator="lessThan">
      <formula>0.8</formula>
    </cfRule>
    <cfRule type="cellIs" dxfId="5554" priority="2310" operator="greaterThan">
      <formula>1</formula>
    </cfRule>
  </conditionalFormatting>
  <conditionalFormatting sqref="R31">
    <cfRule type="cellIs" dxfId="5553" priority="2307" operator="greaterThan">
      <formula>1</formula>
    </cfRule>
    <cfRule type="cellIs" dxfId="5552" priority="2308" operator="lessThan">
      <formula>0.8</formula>
    </cfRule>
  </conditionalFormatting>
  <conditionalFormatting sqref="P31:P38">
    <cfRule type="cellIs" dxfId="5551" priority="2306" operator="greaterThan">
      <formula>0</formula>
    </cfRule>
  </conditionalFormatting>
  <conditionalFormatting sqref="Q31">
    <cfRule type="cellIs" dxfId="5550" priority="2305" operator="lessThan">
      <formula>0</formula>
    </cfRule>
  </conditionalFormatting>
  <conditionalFormatting sqref="R31">
    <cfRule type="cellIs" dxfId="5549" priority="2303" operator="lessThan">
      <formula>0.8</formula>
    </cfRule>
    <cfRule type="cellIs" dxfId="5548" priority="2304" operator="greaterThan">
      <formula>1</formula>
    </cfRule>
  </conditionalFormatting>
  <conditionalFormatting sqref="R31">
    <cfRule type="cellIs" dxfId="5547" priority="2301" operator="greaterThan">
      <formula>1</formula>
    </cfRule>
    <cfRule type="cellIs" dxfId="5546" priority="2302" operator="lessThan">
      <formula>0.8</formula>
    </cfRule>
  </conditionalFormatting>
  <conditionalFormatting sqref="P31:P38">
    <cfRule type="cellIs" dxfId="5545" priority="2300" operator="greaterThan">
      <formula>0</formula>
    </cfRule>
  </conditionalFormatting>
  <conditionalFormatting sqref="Q31">
    <cfRule type="cellIs" dxfId="5544" priority="2299" operator="lessThan">
      <formula>0</formula>
    </cfRule>
  </conditionalFormatting>
  <conditionalFormatting sqref="R31">
    <cfRule type="cellIs" dxfId="5543" priority="2297" operator="lessThan">
      <formula>0.8</formula>
    </cfRule>
    <cfRule type="cellIs" dxfId="5542" priority="2298" operator="greaterThan">
      <formula>1</formula>
    </cfRule>
  </conditionalFormatting>
  <conditionalFormatting sqref="R31">
    <cfRule type="cellIs" dxfId="5541" priority="2295" operator="greaterThan">
      <formula>1</formula>
    </cfRule>
    <cfRule type="cellIs" dxfId="5540" priority="2296" operator="lessThan">
      <formula>0.8</formula>
    </cfRule>
  </conditionalFormatting>
  <conditionalFormatting sqref="P31:P38">
    <cfRule type="cellIs" dxfId="5539" priority="2294" operator="greaterThan">
      <formula>0</formula>
    </cfRule>
  </conditionalFormatting>
  <conditionalFormatting sqref="P31:P38">
    <cfRule type="cellIs" dxfId="5538" priority="2288" operator="greaterThan">
      <formula>0</formula>
    </cfRule>
  </conditionalFormatting>
  <conditionalFormatting sqref="Q31">
    <cfRule type="cellIs" dxfId="5537" priority="2293" operator="lessThan">
      <formula>0</formula>
    </cfRule>
  </conditionalFormatting>
  <conditionalFormatting sqref="R31">
    <cfRule type="cellIs" dxfId="5536" priority="2291" operator="lessThan">
      <formula>0.8</formula>
    </cfRule>
    <cfRule type="cellIs" dxfId="5535" priority="2292" operator="greaterThan">
      <formula>1</formula>
    </cfRule>
  </conditionalFormatting>
  <conditionalFormatting sqref="R31">
    <cfRule type="cellIs" dxfId="5534" priority="2289" operator="greaterThan">
      <formula>1</formula>
    </cfRule>
    <cfRule type="cellIs" dxfId="5533" priority="2290" operator="lessThan">
      <formula>0.8</formula>
    </cfRule>
  </conditionalFormatting>
  <conditionalFormatting sqref="P31:P38">
    <cfRule type="cellIs" dxfId="5532" priority="2282" operator="greaterThan">
      <formula>0</formula>
    </cfRule>
  </conditionalFormatting>
  <conditionalFormatting sqref="Q31">
    <cfRule type="cellIs" dxfId="5531" priority="2287" operator="lessThan">
      <formula>0</formula>
    </cfRule>
  </conditionalFormatting>
  <conditionalFormatting sqref="R31">
    <cfRule type="cellIs" dxfId="5530" priority="2285" operator="lessThan">
      <formula>0.8</formula>
    </cfRule>
    <cfRule type="cellIs" dxfId="5529" priority="2286" operator="greaterThan">
      <formula>1</formula>
    </cfRule>
  </conditionalFormatting>
  <conditionalFormatting sqref="R31">
    <cfRule type="cellIs" dxfId="5528" priority="2283" operator="greaterThan">
      <formula>1</formula>
    </cfRule>
    <cfRule type="cellIs" dxfId="5527" priority="2284" operator="lessThan">
      <formula>0.8</formula>
    </cfRule>
  </conditionalFormatting>
  <conditionalFormatting sqref="R31">
    <cfRule type="cellIs" dxfId="5526" priority="2279" operator="lessThan">
      <formula>0.8</formula>
    </cfRule>
    <cfRule type="cellIs" dxfId="5525" priority="2280" operator="greaterThan">
      <formula>1</formula>
    </cfRule>
  </conditionalFormatting>
  <conditionalFormatting sqref="R31">
    <cfRule type="cellIs" dxfId="5524" priority="2277" operator="greaterThan">
      <formula>1</formula>
    </cfRule>
    <cfRule type="cellIs" dxfId="5523" priority="2278" operator="lessThan">
      <formula>0.8</formula>
    </cfRule>
  </conditionalFormatting>
  <conditionalFormatting sqref="P31:P38">
    <cfRule type="cellIs" dxfId="5522" priority="2276" operator="greaterThan">
      <formula>0</formula>
    </cfRule>
  </conditionalFormatting>
  <conditionalFormatting sqref="Q31">
    <cfRule type="cellIs" dxfId="5521" priority="2281" operator="lessThan">
      <formula>0</formula>
    </cfRule>
  </conditionalFormatting>
  <conditionalFormatting sqref="P79">
    <cfRule type="cellIs" dxfId="5520" priority="2270" operator="greaterThan">
      <formula>0</formula>
    </cfRule>
  </conditionalFormatting>
  <conditionalFormatting sqref="Q79">
    <cfRule type="cellIs" dxfId="5519" priority="2275" operator="lessThan">
      <formula>0</formula>
    </cfRule>
  </conditionalFormatting>
  <conditionalFormatting sqref="R79">
    <cfRule type="cellIs" dxfId="5518" priority="2273" operator="lessThan">
      <formula>0.8</formula>
    </cfRule>
    <cfRule type="cellIs" dxfId="5517" priority="2274" operator="greaterThan">
      <formula>1</formula>
    </cfRule>
  </conditionalFormatting>
  <conditionalFormatting sqref="R79">
    <cfRule type="cellIs" dxfId="5516" priority="2271" operator="greaterThan">
      <formula>1</formula>
    </cfRule>
    <cfRule type="cellIs" dxfId="5515" priority="2272" operator="lessThan">
      <formula>0.8</formula>
    </cfRule>
  </conditionalFormatting>
  <conditionalFormatting sqref="Q79">
    <cfRule type="cellIs" dxfId="5514" priority="2269" operator="lessThan">
      <formula>0</formula>
    </cfRule>
  </conditionalFormatting>
  <conditionalFormatting sqref="R79">
    <cfRule type="cellIs" dxfId="5513" priority="2267" operator="lessThan">
      <formula>0.8</formula>
    </cfRule>
    <cfRule type="cellIs" dxfId="5512" priority="2268" operator="greaterThan">
      <formula>1</formula>
    </cfRule>
  </conditionalFormatting>
  <conditionalFormatting sqref="R79">
    <cfRule type="cellIs" dxfId="5511" priority="2265" operator="greaterThan">
      <formula>1</formula>
    </cfRule>
    <cfRule type="cellIs" dxfId="5510" priority="2266" operator="lessThan">
      <formula>0.8</formula>
    </cfRule>
  </conditionalFormatting>
  <conditionalFormatting sqref="P79">
    <cfRule type="cellIs" dxfId="5509" priority="2264" operator="greaterThan">
      <formula>0</formula>
    </cfRule>
  </conditionalFormatting>
  <conditionalFormatting sqref="P79">
    <cfRule type="cellIs" dxfId="5508" priority="2258" operator="greaterThan">
      <formula>0</formula>
    </cfRule>
  </conditionalFormatting>
  <conditionalFormatting sqref="Q79">
    <cfRule type="cellIs" dxfId="5507" priority="2263" operator="lessThan">
      <formula>0</formula>
    </cfRule>
  </conditionalFormatting>
  <conditionalFormatting sqref="R79">
    <cfRule type="cellIs" dxfId="5506" priority="2261" operator="lessThan">
      <formula>0.8</formula>
    </cfRule>
    <cfRule type="cellIs" dxfId="5505" priority="2262" operator="greaterThan">
      <formula>1</formula>
    </cfRule>
  </conditionalFormatting>
  <conditionalFormatting sqref="R79">
    <cfRule type="cellIs" dxfId="5504" priority="2259" operator="greaterThan">
      <formula>1</formula>
    </cfRule>
    <cfRule type="cellIs" dxfId="5503" priority="2260" operator="lessThan">
      <formula>0.8</formula>
    </cfRule>
  </conditionalFormatting>
  <conditionalFormatting sqref="Q79">
    <cfRule type="cellIs" dxfId="5502" priority="2252" operator="lessThan">
      <formula>0</formula>
    </cfRule>
  </conditionalFormatting>
  <conditionalFormatting sqref="P79">
    <cfRule type="cellIs" dxfId="5501" priority="2253" operator="greaterThan">
      <formula>0</formula>
    </cfRule>
  </conditionalFormatting>
  <conditionalFormatting sqref="R79">
    <cfRule type="cellIs" dxfId="5500" priority="2256" operator="lessThan">
      <formula>0.8</formula>
    </cfRule>
    <cfRule type="cellIs" dxfId="5499" priority="2257" operator="greaterThan">
      <formula>1</formula>
    </cfRule>
  </conditionalFormatting>
  <conditionalFormatting sqref="R79">
    <cfRule type="cellIs" dxfId="5498" priority="2254" operator="greaterThan">
      <formula>1</formula>
    </cfRule>
    <cfRule type="cellIs" dxfId="5497" priority="2255" operator="lessThan">
      <formula>0.8</formula>
    </cfRule>
  </conditionalFormatting>
  <conditionalFormatting sqref="Q79">
    <cfRule type="cellIs" dxfId="5496" priority="2246" operator="lessThan">
      <formula>0</formula>
    </cfRule>
  </conditionalFormatting>
  <conditionalFormatting sqref="R79">
    <cfRule type="cellIs" dxfId="5495" priority="2250" operator="lessThan">
      <formula>0.8</formula>
    </cfRule>
    <cfRule type="cellIs" dxfId="5494" priority="2251" operator="greaterThan">
      <formula>1</formula>
    </cfRule>
  </conditionalFormatting>
  <conditionalFormatting sqref="R79">
    <cfRule type="cellIs" dxfId="5493" priority="2248" operator="greaterThan">
      <formula>1</formula>
    </cfRule>
    <cfRule type="cellIs" dxfId="5492" priority="2249" operator="lessThan">
      <formula>0.8</formula>
    </cfRule>
  </conditionalFormatting>
  <conditionalFormatting sqref="P79">
    <cfRule type="cellIs" dxfId="5491" priority="2247" operator="greaterThan">
      <formula>0</formula>
    </cfRule>
  </conditionalFormatting>
  <conditionalFormatting sqref="Q79">
    <cfRule type="cellIs" dxfId="5490" priority="2245" operator="lessThan">
      <formula>0</formula>
    </cfRule>
  </conditionalFormatting>
  <conditionalFormatting sqref="R79">
    <cfRule type="cellIs" dxfId="5489" priority="2243" operator="lessThan">
      <formula>0.8</formula>
    </cfRule>
    <cfRule type="cellIs" dxfId="5488" priority="2244" operator="greaterThan">
      <formula>1</formula>
    </cfRule>
  </conditionalFormatting>
  <conditionalFormatting sqref="R79">
    <cfRule type="cellIs" dxfId="5487" priority="2241" operator="greaterThan">
      <formula>1</formula>
    </cfRule>
    <cfRule type="cellIs" dxfId="5486" priority="2242" operator="lessThan">
      <formula>0.8</formula>
    </cfRule>
  </conditionalFormatting>
  <conditionalFormatting sqref="P79">
    <cfRule type="cellIs" dxfId="5485" priority="2240" operator="greaterThan">
      <formula>0</formula>
    </cfRule>
  </conditionalFormatting>
  <conditionalFormatting sqref="Q79">
    <cfRule type="cellIs" dxfId="5484" priority="2239" operator="lessThan">
      <formula>0</formula>
    </cfRule>
  </conditionalFormatting>
  <conditionalFormatting sqref="R79">
    <cfRule type="cellIs" dxfId="5483" priority="2237" operator="lessThan">
      <formula>0.8</formula>
    </cfRule>
    <cfRule type="cellIs" dxfId="5482" priority="2238" operator="greaterThan">
      <formula>1</formula>
    </cfRule>
  </conditionalFormatting>
  <conditionalFormatting sqref="R79">
    <cfRule type="cellIs" dxfId="5481" priority="2235" operator="greaterThan">
      <formula>1</formula>
    </cfRule>
    <cfRule type="cellIs" dxfId="5480" priority="2236" operator="lessThan">
      <formula>0.8</formula>
    </cfRule>
  </conditionalFormatting>
  <conditionalFormatting sqref="P79">
    <cfRule type="cellIs" dxfId="5479" priority="2234" operator="greaterThan">
      <formula>0</formula>
    </cfRule>
  </conditionalFormatting>
  <conditionalFormatting sqref="P79">
    <cfRule type="cellIs" dxfId="5478" priority="2228" operator="greaterThan">
      <formula>0</formula>
    </cfRule>
  </conditionalFormatting>
  <conditionalFormatting sqref="Q79">
    <cfRule type="cellIs" dxfId="5477" priority="2233" operator="lessThan">
      <formula>0</formula>
    </cfRule>
  </conditionalFormatting>
  <conditionalFormatting sqref="R79">
    <cfRule type="cellIs" dxfId="5476" priority="2231" operator="lessThan">
      <formula>0.8</formula>
    </cfRule>
    <cfRule type="cellIs" dxfId="5475" priority="2232" operator="greaterThan">
      <formula>1</formula>
    </cfRule>
  </conditionalFormatting>
  <conditionalFormatting sqref="R79">
    <cfRule type="cellIs" dxfId="5474" priority="2229" operator="greaterThan">
      <formula>1</formula>
    </cfRule>
    <cfRule type="cellIs" dxfId="5473" priority="2230" operator="lessThan">
      <formula>0.8</formula>
    </cfRule>
  </conditionalFormatting>
  <conditionalFormatting sqref="P71:P78">
    <cfRule type="cellIs" dxfId="5472" priority="2222" operator="greaterThan">
      <formula>0</formula>
    </cfRule>
  </conditionalFormatting>
  <conditionalFormatting sqref="Q71:Q78">
    <cfRule type="cellIs" dxfId="5471" priority="2227" operator="lessThan">
      <formula>0</formula>
    </cfRule>
  </conditionalFormatting>
  <conditionalFormatting sqref="R71:R78">
    <cfRule type="cellIs" dxfId="5470" priority="2225" operator="lessThan">
      <formula>0.8</formula>
    </cfRule>
    <cfRule type="cellIs" dxfId="5469" priority="2226" operator="greaterThan">
      <formula>1</formula>
    </cfRule>
  </conditionalFormatting>
  <conditionalFormatting sqref="R71:R78">
    <cfRule type="cellIs" dxfId="5468" priority="2223" operator="greaterThan">
      <formula>1</formula>
    </cfRule>
    <cfRule type="cellIs" dxfId="5467" priority="2224" operator="lessThan">
      <formula>0.8</formula>
    </cfRule>
  </conditionalFormatting>
  <conditionalFormatting sqref="Q148:Q154">
    <cfRule type="cellIs" dxfId="5466" priority="2221" operator="lessThan">
      <formula>0</formula>
    </cfRule>
  </conditionalFormatting>
  <conditionalFormatting sqref="R148:R154">
    <cfRule type="cellIs" dxfId="5465" priority="2219" operator="lessThan">
      <formula>0.8</formula>
    </cfRule>
    <cfRule type="cellIs" dxfId="5464" priority="2220" operator="greaterThan">
      <formula>1</formula>
    </cfRule>
  </conditionalFormatting>
  <conditionalFormatting sqref="R148:R154">
    <cfRule type="cellIs" dxfId="5463" priority="2217" operator="greaterThan">
      <formula>1</formula>
    </cfRule>
    <cfRule type="cellIs" dxfId="5462" priority="2218" operator="lessThan">
      <formula>0.8</formula>
    </cfRule>
  </conditionalFormatting>
  <conditionalFormatting sqref="P148:P154">
    <cfRule type="cellIs" dxfId="5461" priority="2216" operator="greaterThan">
      <formula>0</formula>
    </cfRule>
  </conditionalFormatting>
  <conditionalFormatting sqref="Q148:Q154">
    <cfRule type="cellIs" dxfId="5460" priority="2215" operator="lessThan">
      <formula>0</formula>
    </cfRule>
  </conditionalFormatting>
  <conditionalFormatting sqref="R148:R154">
    <cfRule type="cellIs" dxfId="5459" priority="2213" operator="lessThan">
      <formula>0.8</formula>
    </cfRule>
    <cfRule type="cellIs" dxfId="5458" priority="2214" operator="greaterThan">
      <formula>1</formula>
    </cfRule>
  </conditionalFormatting>
  <conditionalFormatting sqref="R148:R154">
    <cfRule type="cellIs" dxfId="5457" priority="2211" operator="greaterThan">
      <formula>1</formula>
    </cfRule>
    <cfRule type="cellIs" dxfId="5456" priority="2212" operator="lessThan">
      <formula>0.8</formula>
    </cfRule>
  </conditionalFormatting>
  <conditionalFormatting sqref="P148:P154">
    <cfRule type="cellIs" dxfId="5455" priority="2210" operator="greaterThan">
      <formula>0</formula>
    </cfRule>
  </conditionalFormatting>
  <conditionalFormatting sqref="Q148:Q154">
    <cfRule type="cellIs" dxfId="5454" priority="2209" operator="lessThan">
      <formula>0</formula>
    </cfRule>
  </conditionalFormatting>
  <conditionalFormatting sqref="R148:R154">
    <cfRule type="cellIs" dxfId="5453" priority="2207" operator="lessThan">
      <formula>0.8</formula>
    </cfRule>
    <cfRule type="cellIs" dxfId="5452" priority="2208" operator="greaterThan">
      <formula>1</formula>
    </cfRule>
  </conditionalFormatting>
  <conditionalFormatting sqref="R148:R154">
    <cfRule type="cellIs" dxfId="5451" priority="2205" operator="greaterThan">
      <formula>1</formula>
    </cfRule>
    <cfRule type="cellIs" dxfId="5450" priority="2206" operator="lessThan">
      <formula>0.8</formula>
    </cfRule>
  </conditionalFormatting>
  <conditionalFormatting sqref="P148:P154">
    <cfRule type="cellIs" dxfId="5449" priority="2204" operator="greaterThan">
      <formula>0</formula>
    </cfRule>
  </conditionalFormatting>
  <conditionalFormatting sqref="Q148:Q154">
    <cfRule type="cellIs" dxfId="5448" priority="2203" operator="lessThan">
      <formula>0</formula>
    </cfRule>
  </conditionalFormatting>
  <conditionalFormatting sqref="R148:R154">
    <cfRule type="cellIs" dxfId="5447" priority="2201" operator="lessThan">
      <formula>0.8</formula>
    </cfRule>
    <cfRule type="cellIs" dxfId="5446" priority="2202" operator="greaterThan">
      <formula>1</formula>
    </cfRule>
  </conditionalFormatting>
  <conditionalFormatting sqref="R148:R154">
    <cfRule type="cellIs" dxfId="5445" priority="2199" operator="greaterThan">
      <formula>1</formula>
    </cfRule>
    <cfRule type="cellIs" dxfId="5444" priority="2200" operator="lessThan">
      <formula>0.8</formula>
    </cfRule>
  </conditionalFormatting>
  <conditionalFormatting sqref="P148:P154">
    <cfRule type="cellIs" dxfId="5443" priority="2198" operator="greaterThan">
      <formula>0</formula>
    </cfRule>
  </conditionalFormatting>
  <conditionalFormatting sqref="P148:P154">
    <cfRule type="cellIs" dxfId="5442" priority="2192" operator="greaterThan">
      <formula>0</formula>
    </cfRule>
  </conditionalFormatting>
  <conditionalFormatting sqref="Q148:Q154">
    <cfRule type="cellIs" dxfId="5441" priority="2197" operator="lessThan">
      <formula>0</formula>
    </cfRule>
  </conditionalFormatting>
  <conditionalFormatting sqref="R148:R154">
    <cfRule type="cellIs" dxfId="5440" priority="2195" operator="lessThan">
      <formula>0.8</formula>
    </cfRule>
    <cfRule type="cellIs" dxfId="5439" priority="2196" operator="greaterThan">
      <formula>1</formula>
    </cfRule>
  </conditionalFormatting>
  <conditionalFormatting sqref="R148:R154">
    <cfRule type="cellIs" dxfId="5438" priority="2193" operator="greaterThan">
      <formula>1</formula>
    </cfRule>
    <cfRule type="cellIs" dxfId="5437" priority="2194" operator="lessThan">
      <formula>0.8</formula>
    </cfRule>
  </conditionalFormatting>
  <conditionalFormatting sqref="P148:P154">
    <cfRule type="cellIs" dxfId="5436" priority="2186" operator="greaterThan">
      <formula>0</formula>
    </cfRule>
  </conditionalFormatting>
  <conditionalFormatting sqref="Q148:Q154">
    <cfRule type="cellIs" dxfId="5435" priority="2191" operator="lessThan">
      <formula>0</formula>
    </cfRule>
  </conditionalFormatting>
  <conditionalFormatting sqref="R148:R154">
    <cfRule type="cellIs" dxfId="5434" priority="2189" operator="lessThan">
      <formula>0.8</formula>
    </cfRule>
    <cfRule type="cellIs" dxfId="5433" priority="2190" operator="greaterThan">
      <formula>1</formula>
    </cfRule>
  </conditionalFormatting>
  <conditionalFormatting sqref="R148:R154">
    <cfRule type="cellIs" dxfId="5432" priority="2187" operator="greaterThan">
      <formula>1</formula>
    </cfRule>
    <cfRule type="cellIs" dxfId="5431" priority="2188" operator="lessThan">
      <formula>0.8</formula>
    </cfRule>
  </conditionalFormatting>
  <conditionalFormatting sqref="R148:R154">
    <cfRule type="cellIs" dxfId="5430" priority="2183" operator="lessThan">
      <formula>0.8</formula>
    </cfRule>
    <cfRule type="cellIs" dxfId="5429" priority="2184" operator="greaterThan">
      <formula>1</formula>
    </cfRule>
  </conditionalFormatting>
  <conditionalFormatting sqref="R148:R154">
    <cfRule type="cellIs" dxfId="5428" priority="2181" operator="greaterThan">
      <formula>1</formula>
    </cfRule>
    <cfRule type="cellIs" dxfId="5427" priority="2182" operator="lessThan">
      <formula>0.8</formula>
    </cfRule>
  </conditionalFormatting>
  <conditionalFormatting sqref="P148:P154">
    <cfRule type="cellIs" dxfId="5426" priority="2180" operator="greaterThan">
      <formula>0</formula>
    </cfRule>
  </conditionalFormatting>
  <conditionalFormatting sqref="Q148:Q154">
    <cfRule type="cellIs" dxfId="5425" priority="2185" operator="lessThan">
      <formula>0</formula>
    </cfRule>
  </conditionalFormatting>
  <conditionalFormatting sqref="Q148:Q154">
    <cfRule type="cellIs" dxfId="5424" priority="2179" operator="lessThan">
      <formula>0</formula>
    </cfRule>
  </conditionalFormatting>
  <conditionalFormatting sqref="R148:R154">
    <cfRule type="cellIs" dxfId="5423" priority="2177" operator="lessThan">
      <formula>0.8</formula>
    </cfRule>
    <cfRule type="cellIs" dxfId="5422" priority="2178" operator="greaterThan">
      <formula>1</formula>
    </cfRule>
  </conditionalFormatting>
  <conditionalFormatting sqref="R148:R154">
    <cfRule type="cellIs" dxfId="5421" priority="2175" operator="greaterThan">
      <formula>1</formula>
    </cfRule>
    <cfRule type="cellIs" dxfId="5420" priority="2176" operator="lessThan">
      <formula>0.8</formula>
    </cfRule>
  </conditionalFormatting>
  <conditionalFormatting sqref="P148:P154">
    <cfRule type="cellIs" dxfId="5419" priority="2174" operator="greaterThan">
      <formula>0</formula>
    </cfRule>
  </conditionalFormatting>
  <conditionalFormatting sqref="P148:P154">
    <cfRule type="cellIs" dxfId="5418" priority="2168" operator="greaterThan">
      <formula>0</formula>
    </cfRule>
  </conditionalFormatting>
  <conditionalFormatting sqref="Q148:Q154">
    <cfRule type="cellIs" dxfId="5417" priority="2173" operator="lessThan">
      <formula>0</formula>
    </cfRule>
  </conditionalFormatting>
  <conditionalFormatting sqref="R148:R154">
    <cfRule type="cellIs" dxfId="5416" priority="2171" operator="lessThan">
      <formula>0.8</formula>
    </cfRule>
    <cfRule type="cellIs" dxfId="5415" priority="2172" operator="greaterThan">
      <formula>1</formula>
    </cfRule>
  </conditionalFormatting>
  <conditionalFormatting sqref="R148:R154">
    <cfRule type="cellIs" dxfId="5414" priority="2169" operator="greaterThan">
      <formula>1</formula>
    </cfRule>
    <cfRule type="cellIs" dxfId="5413" priority="2170" operator="lessThan">
      <formula>0.8</formula>
    </cfRule>
  </conditionalFormatting>
  <conditionalFormatting sqref="P148:P154">
    <cfRule type="cellIs" dxfId="5412" priority="2162" operator="greaterThan">
      <formula>0</formula>
    </cfRule>
  </conditionalFormatting>
  <conditionalFormatting sqref="Q148:Q154">
    <cfRule type="cellIs" dxfId="5411" priority="2167" operator="lessThan">
      <formula>0</formula>
    </cfRule>
  </conditionalFormatting>
  <conditionalFormatting sqref="R148:R154">
    <cfRule type="cellIs" dxfId="5410" priority="2165" operator="lessThan">
      <formula>0.8</formula>
    </cfRule>
    <cfRule type="cellIs" dxfId="5409" priority="2166" operator="greaterThan">
      <formula>1</formula>
    </cfRule>
  </conditionalFormatting>
  <conditionalFormatting sqref="R148:R154">
    <cfRule type="cellIs" dxfId="5408" priority="2163" operator="greaterThan">
      <formula>1</formula>
    </cfRule>
    <cfRule type="cellIs" dxfId="5407" priority="2164" operator="lessThan">
      <formula>0.8</formula>
    </cfRule>
  </conditionalFormatting>
  <conditionalFormatting sqref="R148:R154">
    <cfRule type="cellIs" dxfId="5406" priority="2159" operator="lessThan">
      <formula>0.8</formula>
    </cfRule>
    <cfRule type="cellIs" dxfId="5405" priority="2160" operator="greaterThan">
      <formula>1</formula>
    </cfRule>
  </conditionalFormatting>
  <conditionalFormatting sqref="R148:R154">
    <cfRule type="cellIs" dxfId="5404" priority="2157" operator="greaterThan">
      <formula>1</formula>
    </cfRule>
    <cfRule type="cellIs" dxfId="5403" priority="2158" operator="lessThan">
      <formula>0.8</formula>
    </cfRule>
  </conditionalFormatting>
  <conditionalFormatting sqref="P148:P154">
    <cfRule type="cellIs" dxfId="5402" priority="2156" operator="greaterThan">
      <formula>0</formula>
    </cfRule>
  </conditionalFormatting>
  <conditionalFormatting sqref="Q148:Q154">
    <cfRule type="cellIs" dxfId="5401" priority="2161" operator="lessThan">
      <formula>0</formula>
    </cfRule>
  </conditionalFormatting>
  <conditionalFormatting sqref="P148:P154">
    <cfRule type="cellIs" dxfId="5400" priority="2150" operator="greaterThan">
      <formula>0</formula>
    </cfRule>
  </conditionalFormatting>
  <conditionalFormatting sqref="Q148:Q154">
    <cfRule type="cellIs" dxfId="5399" priority="2155" operator="lessThan">
      <formula>0</formula>
    </cfRule>
  </conditionalFormatting>
  <conditionalFormatting sqref="R148:R154">
    <cfRule type="cellIs" dxfId="5398" priority="2153" operator="lessThan">
      <formula>0.8</formula>
    </cfRule>
    <cfRule type="cellIs" dxfId="5397" priority="2154" operator="greaterThan">
      <formula>1</formula>
    </cfRule>
  </conditionalFormatting>
  <conditionalFormatting sqref="R148:R154">
    <cfRule type="cellIs" dxfId="5396" priority="2151" operator="greaterThan">
      <formula>1</formula>
    </cfRule>
    <cfRule type="cellIs" dxfId="5395" priority="2152" operator="lessThan">
      <formula>0.8</formula>
    </cfRule>
  </conditionalFormatting>
  <conditionalFormatting sqref="R148:R154">
    <cfRule type="cellIs" dxfId="5394" priority="2147" operator="lessThan">
      <formula>0.8</formula>
    </cfRule>
    <cfRule type="cellIs" dxfId="5393" priority="2148" operator="greaterThan">
      <formula>1</formula>
    </cfRule>
  </conditionalFormatting>
  <conditionalFormatting sqref="R148:R154">
    <cfRule type="cellIs" dxfId="5392" priority="2145" operator="greaterThan">
      <formula>1</formula>
    </cfRule>
    <cfRule type="cellIs" dxfId="5391" priority="2146" operator="lessThan">
      <formula>0.8</formula>
    </cfRule>
  </conditionalFormatting>
  <conditionalFormatting sqref="P148:P154">
    <cfRule type="cellIs" dxfId="5390" priority="2144" operator="greaterThan">
      <formula>0</formula>
    </cfRule>
  </conditionalFormatting>
  <conditionalFormatting sqref="Q148:Q154">
    <cfRule type="cellIs" dxfId="5389" priority="2149" operator="lessThan">
      <formula>0</formula>
    </cfRule>
  </conditionalFormatting>
  <conditionalFormatting sqref="R148:R154">
    <cfRule type="cellIs" dxfId="5388" priority="2141" operator="lessThan">
      <formula>0.8</formula>
    </cfRule>
    <cfRule type="cellIs" dxfId="5387" priority="2142" operator="greaterThan">
      <formula>1</formula>
    </cfRule>
  </conditionalFormatting>
  <conditionalFormatting sqref="R148:R154">
    <cfRule type="cellIs" dxfId="5386" priority="2139" operator="greaterThan">
      <formula>1</formula>
    </cfRule>
    <cfRule type="cellIs" dxfId="5385" priority="2140" operator="lessThan">
      <formula>0.8</formula>
    </cfRule>
  </conditionalFormatting>
  <conditionalFormatting sqref="P148:P154">
    <cfRule type="cellIs" dxfId="5384" priority="2138" operator="greaterThan">
      <formula>0</formula>
    </cfRule>
  </conditionalFormatting>
  <conditionalFormatting sqref="Q148:Q154">
    <cfRule type="cellIs" dxfId="5383" priority="2143" operator="lessThan">
      <formula>0</formula>
    </cfRule>
  </conditionalFormatting>
  <conditionalFormatting sqref="Q148:Q154">
    <cfRule type="cellIs" dxfId="5382" priority="2137" operator="lessThan">
      <formula>0</formula>
    </cfRule>
  </conditionalFormatting>
  <conditionalFormatting sqref="R148:R154">
    <cfRule type="cellIs" dxfId="5381" priority="2135" operator="lessThan">
      <formula>0.8</formula>
    </cfRule>
    <cfRule type="cellIs" dxfId="5380" priority="2136" operator="greaterThan">
      <formula>1</formula>
    </cfRule>
  </conditionalFormatting>
  <conditionalFormatting sqref="R148:R154">
    <cfRule type="cellIs" dxfId="5379" priority="2133" operator="greaterThan">
      <formula>1</formula>
    </cfRule>
    <cfRule type="cellIs" dxfId="5378" priority="2134" operator="lessThan">
      <formula>0.8</formula>
    </cfRule>
  </conditionalFormatting>
  <conditionalFormatting sqref="P148:P154">
    <cfRule type="cellIs" dxfId="5377" priority="2132" operator="greaterThan">
      <formula>0</formula>
    </cfRule>
  </conditionalFormatting>
  <conditionalFormatting sqref="Q148:Q154">
    <cfRule type="cellIs" dxfId="5376" priority="2126" operator="lessThan">
      <formula>0</formula>
    </cfRule>
  </conditionalFormatting>
  <conditionalFormatting sqref="R148:R154">
    <cfRule type="cellIs" dxfId="5375" priority="2130" operator="lessThan">
      <formula>0.8</formula>
    </cfRule>
    <cfRule type="cellIs" dxfId="5374" priority="2131" operator="greaterThan">
      <formula>1</formula>
    </cfRule>
  </conditionalFormatting>
  <conditionalFormatting sqref="R148:R154">
    <cfRule type="cellIs" dxfId="5373" priority="2128" operator="greaterThan">
      <formula>1</formula>
    </cfRule>
    <cfRule type="cellIs" dxfId="5372" priority="2129" operator="lessThan">
      <formula>0.8</formula>
    </cfRule>
  </conditionalFormatting>
  <conditionalFormatting sqref="P148:P154">
    <cfRule type="cellIs" dxfId="5371" priority="2127" operator="greaterThan">
      <formula>0</formula>
    </cfRule>
  </conditionalFormatting>
  <conditionalFormatting sqref="Q148:Q154">
    <cfRule type="cellIs" dxfId="5370" priority="2125" operator="lessThan">
      <formula>0</formula>
    </cfRule>
  </conditionalFormatting>
  <conditionalFormatting sqref="R148:R154">
    <cfRule type="cellIs" dxfId="5369" priority="2123" operator="lessThan">
      <formula>0.8</formula>
    </cfRule>
    <cfRule type="cellIs" dxfId="5368" priority="2124" operator="greaterThan">
      <formula>1</formula>
    </cfRule>
  </conditionalFormatting>
  <conditionalFormatting sqref="R148:R154">
    <cfRule type="cellIs" dxfId="5367" priority="2121" operator="greaterThan">
      <formula>1</formula>
    </cfRule>
    <cfRule type="cellIs" dxfId="5366" priority="2122" operator="lessThan">
      <formula>0.8</formula>
    </cfRule>
  </conditionalFormatting>
  <conditionalFormatting sqref="P148:P154">
    <cfRule type="cellIs" dxfId="5365" priority="2120" operator="greaterThan">
      <formula>0</formula>
    </cfRule>
  </conditionalFormatting>
  <conditionalFormatting sqref="Q148:Q154">
    <cfRule type="cellIs" dxfId="5364" priority="2119" operator="lessThan">
      <formula>0</formula>
    </cfRule>
  </conditionalFormatting>
  <conditionalFormatting sqref="R148:R154">
    <cfRule type="cellIs" dxfId="5363" priority="2117" operator="lessThan">
      <formula>0.8</formula>
    </cfRule>
    <cfRule type="cellIs" dxfId="5362" priority="2118" operator="greaterThan">
      <formula>1</formula>
    </cfRule>
  </conditionalFormatting>
  <conditionalFormatting sqref="R148:R154">
    <cfRule type="cellIs" dxfId="5361" priority="2115" operator="greaterThan">
      <formula>1</formula>
    </cfRule>
    <cfRule type="cellIs" dxfId="5360" priority="2116" operator="lessThan">
      <formula>0.8</formula>
    </cfRule>
  </conditionalFormatting>
  <conditionalFormatting sqref="P148:P154">
    <cfRule type="cellIs" dxfId="5359" priority="2114" operator="greaterThan">
      <formula>0</formula>
    </cfRule>
  </conditionalFormatting>
  <conditionalFormatting sqref="Q148:Q154">
    <cfRule type="cellIs" dxfId="5358" priority="2113" operator="lessThan">
      <formula>0</formula>
    </cfRule>
  </conditionalFormatting>
  <conditionalFormatting sqref="R148:R154">
    <cfRule type="cellIs" dxfId="5357" priority="2111" operator="lessThan">
      <formula>0.8</formula>
    </cfRule>
    <cfRule type="cellIs" dxfId="5356" priority="2112" operator="greaterThan">
      <formula>1</formula>
    </cfRule>
  </conditionalFormatting>
  <conditionalFormatting sqref="R148:R154">
    <cfRule type="cellIs" dxfId="5355" priority="2109" operator="greaterThan">
      <formula>1</formula>
    </cfRule>
    <cfRule type="cellIs" dxfId="5354" priority="2110" operator="lessThan">
      <formula>0.8</formula>
    </cfRule>
  </conditionalFormatting>
  <conditionalFormatting sqref="P148:P154">
    <cfRule type="cellIs" dxfId="5353" priority="2108" operator="greaterThan">
      <formula>0</formula>
    </cfRule>
  </conditionalFormatting>
  <conditionalFormatting sqref="Q148:Q154">
    <cfRule type="cellIs" dxfId="5352" priority="2107" operator="lessThan">
      <formula>0</formula>
    </cfRule>
  </conditionalFormatting>
  <conditionalFormatting sqref="R148:R154">
    <cfRule type="cellIs" dxfId="5351" priority="2105" operator="lessThan">
      <formula>0.8</formula>
    </cfRule>
    <cfRule type="cellIs" dxfId="5350" priority="2106" operator="greaterThan">
      <formula>1</formula>
    </cfRule>
  </conditionalFormatting>
  <conditionalFormatting sqref="R148:R154">
    <cfRule type="cellIs" dxfId="5349" priority="2103" operator="greaterThan">
      <formula>1</formula>
    </cfRule>
    <cfRule type="cellIs" dxfId="5348" priority="2104" operator="lessThan">
      <formula>0.8</formula>
    </cfRule>
  </conditionalFormatting>
  <conditionalFormatting sqref="P148:P154">
    <cfRule type="cellIs" dxfId="5347" priority="2102" operator="greaterThan">
      <formula>0</formula>
    </cfRule>
  </conditionalFormatting>
  <conditionalFormatting sqref="Q148:Q154">
    <cfRule type="cellIs" dxfId="5346" priority="2101" operator="lessThan">
      <formula>0</formula>
    </cfRule>
  </conditionalFormatting>
  <conditionalFormatting sqref="R148:R154">
    <cfRule type="cellIs" dxfId="5345" priority="2099" operator="lessThan">
      <formula>0.8</formula>
    </cfRule>
    <cfRule type="cellIs" dxfId="5344" priority="2100" operator="greaterThan">
      <formula>1</formula>
    </cfRule>
  </conditionalFormatting>
  <conditionalFormatting sqref="R148:R154">
    <cfRule type="cellIs" dxfId="5343" priority="2097" operator="greaterThan">
      <formula>1</formula>
    </cfRule>
    <cfRule type="cellIs" dxfId="5342" priority="2098" operator="lessThan">
      <formula>0.8</formula>
    </cfRule>
  </conditionalFormatting>
  <conditionalFormatting sqref="P148:P154">
    <cfRule type="cellIs" dxfId="5341" priority="2096" operator="greaterThan">
      <formula>0</formula>
    </cfRule>
  </conditionalFormatting>
  <conditionalFormatting sqref="P148:P154">
    <cfRule type="cellIs" dxfId="5340" priority="2090" operator="greaterThan">
      <formula>0</formula>
    </cfRule>
  </conditionalFormatting>
  <conditionalFormatting sqref="Q148:Q154">
    <cfRule type="cellIs" dxfId="5339" priority="2095" operator="lessThan">
      <formula>0</formula>
    </cfRule>
  </conditionalFormatting>
  <conditionalFormatting sqref="R148:R154">
    <cfRule type="cellIs" dxfId="5338" priority="2093" operator="lessThan">
      <formula>0.8</formula>
    </cfRule>
    <cfRule type="cellIs" dxfId="5337" priority="2094" operator="greaterThan">
      <formula>1</formula>
    </cfRule>
  </conditionalFormatting>
  <conditionalFormatting sqref="R148:R154">
    <cfRule type="cellIs" dxfId="5336" priority="2091" operator="greaterThan">
      <formula>1</formula>
    </cfRule>
    <cfRule type="cellIs" dxfId="5335" priority="2092" operator="lessThan">
      <formula>0.8</formula>
    </cfRule>
  </conditionalFormatting>
  <conditionalFormatting sqref="P148:P154">
    <cfRule type="cellIs" dxfId="5334" priority="2084" operator="greaterThan">
      <formula>0</formula>
    </cfRule>
  </conditionalFormatting>
  <conditionalFormatting sqref="Q148:Q154">
    <cfRule type="cellIs" dxfId="5333" priority="2089" operator="lessThan">
      <formula>0</formula>
    </cfRule>
  </conditionalFormatting>
  <conditionalFormatting sqref="R148:R154">
    <cfRule type="cellIs" dxfId="5332" priority="2087" operator="lessThan">
      <formula>0.8</formula>
    </cfRule>
    <cfRule type="cellIs" dxfId="5331" priority="2088" operator="greaterThan">
      <formula>1</formula>
    </cfRule>
  </conditionalFormatting>
  <conditionalFormatting sqref="R148:R154">
    <cfRule type="cellIs" dxfId="5330" priority="2085" operator="greaterThan">
      <formula>1</formula>
    </cfRule>
    <cfRule type="cellIs" dxfId="5329" priority="2086" operator="lessThan">
      <formula>0.8</formula>
    </cfRule>
  </conditionalFormatting>
  <conditionalFormatting sqref="R148:R154">
    <cfRule type="cellIs" dxfId="5328" priority="2081" operator="lessThan">
      <formula>0.8</formula>
    </cfRule>
    <cfRule type="cellIs" dxfId="5327" priority="2082" operator="greaterThan">
      <formula>1</formula>
    </cfRule>
  </conditionalFormatting>
  <conditionalFormatting sqref="R148:R154">
    <cfRule type="cellIs" dxfId="5326" priority="2079" operator="greaterThan">
      <formula>1</formula>
    </cfRule>
    <cfRule type="cellIs" dxfId="5325" priority="2080" operator="lessThan">
      <formula>0.8</formula>
    </cfRule>
  </conditionalFormatting>
  <conditionalFormatting sqref="P148:P154">
    <cfRule type="cellIs" dxfId="5324" priority="2078" operator="greaterThan">
      <formula>0</formula>
    </cfRule>
  </conditionalFormatting>
  <conditionalFormatting sqref="Q148:Q154">
    <cfRule type="cellIs" dxfId="5323" priority="2083" operator="lessThan">
      <formula>0</formula>
    </cfRule>
  </conditionalFormatting>
  <conditionalFormatting sqref="Q148:Q154">
    <cfRule type="cellIs" dxfId="5322" priority="2072" operator="lessThan">
      <formula>0</formula>
    </cfRule>
  </conditionalFormatting>
  <conditionalFormatting sqref="P148:P154">
    <cfRule type="cellIs" dxfId="5321" priority="2073" operator="greaterThan">
      <formula>0</formula>
    </cfRule>
  </conditionalFormatting>
  <conditionalFormatting sqref="R148:R154">
    <cfRule type="cellIs" dxfId="5320" priority="2076" operator="lessThan">
      <formula>0.8</formula>
    </cfRule>
    <cfRule type="cellIs" dxfId="5319" priority="2077" operator="greaterThan">
      <formula>1</formula>
    </cfRule>
  </conditionalFormatting>
  <conditionalFormatting sqref="R148:R154">
    <cfRule type="cellIs" dxfId="5318" priority="2074" operator="greaterThan">
      <formula>1</formula>
    </cfRule>
    <cfRule type="cellIs" dxfId="5317" priority="2075" operator="lessThan">
      <formula>0.8</formula>
    </cfRule>
  </conditionalFormatting>
  <conditionalFormatting sqref="Q148:Q154">
    <cfRule type="cellIs" dxfId="5316" priority="2066" operator="lessThan">
      <formula>0</formula>
    </cfRule>
  </conditionalFormatting>
  <conditionalFormatting sqref="R148:R154">
    <cfRule type="cellIs" dxfId="5315" priority="2070" operator="lessThan">
      <formula>0.8</formula>
    </cfRule>
    <cfRule type="cellIs" dxfId="5314" priority="2071" operator="greaterThan">
      <formula>1</formula>
    </cfRule>
  </conditionalFormatting>
  <conditionalFormatting sqref="R148:R154">
    <cfRule type="cellIs" dxfId="5313" priority="2068" operator="greaterThan">
      <formula>1</formula>
    </cfRule>
    <cfRule type="cellIs" dxfId="5312" priority="2069" operator="lessThan">
      <formula>0.8</formula>
    </cfRule>
  </conditionalFormatting>
  <conditionalFormatting sqref="P148:P154">
    <cfRule type="cellIs" dxfId="5311" priority="2067" operator="greaterThan">
      <formula>0</formula>
    </cfRule>
  </conditionalFormatting>
  <conditionalFormatting sqref="Q148:Q154">
    <cfRule type="cellIs" dxfId="5310" priority="2065" operator="lessThan">
      <formula>0</formula>
    </cfRule>
  </conditionalFormatting>
  <conditionalFormatting sqref="R148:R154">
    <cfRule type="cellIs" dxfId="5309" priority="2063" operator="lessThan">
      <formula>0.8</formula>
    </cfRule>
    <cfRule type="cellIs" dxfId="5308" priority="2064" operator="greaterThan">
      <formula>1</formula>
    </cfRule>
  </conditionalFormatting>
  <conditionalFormatting sqref="R148:R154">
    <cfRule type="cellIs" dxfId="5307" priority="2061" operator="greaterThan">
      <formula>1</formula>
    </cfRule>
    <cfRule type="cellIs" dxfId="5306" priority="2062" operator="lessThan">
      <formula>0.8</formula>
    </cfRule>
  </conditionalFormatting>
  <conditionalFormatting sqref="P148:P154">
    <cfRule type="cellIs" dxfId="5305" priority="2060" operator="greaterThan">
      <formula>0</formula>
    </cfRule>
  </conditionalFormatting>
  <conditionalFormatting sqref="Q148:Q154">
    <cfRule type="cellIs" dxfId="5304" priority="2059" operator="lessThan">
      <formula>0</formula>
    </cfRule>
  </conditionalFormatting>
  <conditionalFormatting sqref="R148:R154">
    <cfRule type="cellIs" dxfId="5303" priority="2057" operator="lessThan">
      <formula>0.8</formula>
    </cfRule>
    <cfRule type="cellIs" dxfId="5302" priority="2058" operator="greaterThan">
      <formula>1</formula>
    </cfRule>
  </conditionalFormatting>
  <conditionalFormatting sqref="R148:R154">
    <cfRule type="cellIs" dxfId="5301" priority="2055" operator="greaterThan">
      <formula>1</formula>
    </cfRule>
    <cfRule type="cellIs" dxfId="5300" priority="2056" operator="lessThan">
      <formula>0.8</formula>
    </cfRule>
  </conditionalFormatting>
  <conditionalFormatting sqref="P148:P154">
    <cfRule type="cellIs" dxfId="5299" priority="2054" operator="greaterThan">
      <formula>0</formula>
    </cfRule>
  </conditionalFormatting>
  <conditionalFormatting sqref="Q148:Q154">
    <cfRule type="cellIs" dxfId="5298" priority="2053" operator="lessThan">
      <formula>0</formula>
    </cfRule>
  </conditionalFormatting>
  <conditionalFormatting sqref="R148:R154">
    <cfRule type="cellIs" dxfId="5297" priority="2051" operator="lessThan">
      <formula>0.8</formula>
    </cfRule>
    <cfRule type="cellIs" dxfId="5296" priority="2052" operator="greaterThan">
      <formula>1</formula>
    </cfRule>
  </conditionalFormatting>
  <conditionalFormatting sqref="R148:R154">
    <cfRule type="cellIs" dxfId="5295" priority="2049" operator="greaterThan">
      <formula>1</formula>
    </cfRule>
    <cfRule type="cellIs" dxfId="5294" priority="2050" operator="lessThan">
      <formula>0.8</formula>
    </cfRule>
  </conditionalFormatting>
  <conditionalFormatting sqref="P148:P154">
    <cfRule type="cellIs" dxfId="5293" priority="2048" operator="greaterThan">
      <formula>0</formula>
    </cfRule>
  </conditionalFormatting>
  <conditionalFormatting sqref="Q148:Q154">
    <cfRule type="cellIs" dxfId="5292" priority="2047" operator="lessThan">
      <formula>0</formula>
    </cfRule>
  </conditionalFormatting>
  <conditionalFormatting sqref="R148:R154">
    <cfRule type="cellIs" dxfId="5291" priority="2045" operator="lessThan">
      <formula>0.8</formula>
    </cfRule>
    <cfRule type="cellIs" dxfId="5290" priority="2046" operator="greaterThan">
      <formula>1</formula>
    </cfRule>
  </conditionalFormatting>
  <conditionalFormatting sqref="R148:R154">
    <cfRule type="cellIs" dxfId="5289" priority="2043" operator="greaterThan">
      <formula>1</formula>
    </cfRule>
    <cfRule type="cellIs" dxfId="5288" priority="2044" operator="lessThan">
      <formula>0.8</formula>
    </cfRule>
  </conditionalFormatting>
  <conditionalFormatting sqref="P148:P154">
    <cfRule type="cellIs" dxfId="5287" priority="2042" operator="greaterThan">
      <formula>0</formula>
    </cfRule>
  </conditionalFormatting>
  <conditionalFormatting sqref="Q124 Q127 Q130">
    <cfRule type="cellIs" dxfId="5286" priority="2036" operator="lessThan">
      <formula>0</formula>
    </cfRule>
  </conditionalFormatting>
  <conditionalFormatting sqref="P124 P127 P130">
    <cfRule type="cellIs" dxfId="5285" priority="2037" operator="greaterThan">
      <formula>0</formula>
    </cfRule>
  </conditionalFormatting>
  <conditionalFormatting sqref="R124 R127 R130">
    <cfRule type="cellIs" dxfId="5284" priority="2040" operator="lessThan">
      <formula>0.8</formula>
    </cfRule>
    <cfRule type="cellIs" dxfId="5283" priority="2041" operator="greaterThan">
      <formula>1</formula>
    </cfRule>
  </conditionalFormatting>
  <conditionalFormatting sqref="R124 R127 R130">
    <cfRule type="cellIs" dxfId="5282" priority="2038" operator="greaterThan">
      <formula>1</formula>
    </cfRule>
    <cfRule type="cellIs" dxfId="5281" priority="2039" operator="lessThan">
      <formula>0.8</formula>
    </cfRule>
  </conditionalFormatting>
  <conditionalFormatting sqref="Q124 Q127 Q130">
    <cfRule type="cellIs" dxfId="5280" priority="2030" operator="lessThan">
      <formula>0</formula>
    </cfRule>
  </conditionalFormatting>
  <conditionalFormatting sqref="R124 R127 R130">
    <cfRule type="cellIs" dxfId="5279" priority="2034" operator="lessThan">
      <formula>0.8</formula>
    </cfRule>
    <cfRule type="cellIs" dxfId="5278" priority="2035" operator="greaterThan">
      <formula>1</formula>
    </cfRule>
  </conditionalFormatting>
  <conditionalFormatting sqref="R124 R127 R130">
    <cfRule type="cellIs" dxfId="5277" priority="2032" operator="greaterThan">
      <formula>1</formula>
    </cfRule>
    <cfRule type="cellIs" dxfId="5276" priority="2033" operator="lessThan">
      <formula>0.8</formula>
    </cfRule>
  </conditionalFormatting>
  <conditionalFormatting sqref="P124 P127 P130">
    <cfRule type="cellIs" dxfId="5275" priority="2031" operator="greaterThan">
      <formula>0</formula>
    </cfRule>
  </conditionalFormatting>
  <conditionalFormatting sqref="Q124 Q127 Q130">
    <cfRule type="cellIs" dxfId="5274" priority="2029" operator="lessThan">
      <formula>0</formula>
    </cfRule>
  </conditionalFormatting>
  <conditionalFormatting sqref="R124 R127 R130">
    <cfRule type="cellIs" dxfId="5273" priority="2027" operator="lessThan">
      <formula>0.8</formula>
    </cfRule>
    <cfRule type="cellIs" dxfId="5272" priority="2028" operator="greaterThan">
      <formula>1</formula>
    </cfRule>
  </conditionalFormatting>
  <conditionalFormatting sqref="R124 R127 R130">
    <cfRule type="cellIs" dxfId="5271" priority="2025" operator="greaterThan">
      <formula>1</formula>
    </cfRule>
    <cfRule type="cellIs" dxfId="5270" priority="2026" operator="lessThan">
      <formula>0.8</formula>
    </cfRule>
  </conditionalFormatting>
  <conditionalFormatting sqref="P124 P127 P130">
    <cfRule type="cellIs" dxfId="5269" priority="2024" operator="greaterThan">
      <formula>0</formula>
    </cfRule>
  </conditionalFormatting>
  <conditionalFormatting sqref="Q124 Q127 Q130">
    <cfRule type="cellIs" dxfId="5268" priority="2023" operator="lessThan">
      <formula>0</formula>
    </cfRule>
  </conditionalFormatting>
  <conditionalFormatting sqref="R124 R127 R130">
    <cfRule type="cellIs" dxfId="5267" priority="2021" operator="lessThan">
      <formula>0.8</formula>
    </cfRule>
    <cfRule type="cellIs" dxfId="5266" priority="2022" operator="greaterThan">
      <formula>1</formula>
    </cfRule>
  </conditionalFormatting>
  <conditionalFormatting sqref="R124 R127 R130">
    <cfRule type="cellIs" dxfId="5265" priority="2019" operator="greaterThan">
      <formula>1</formula>
    </cfRule>
    <cfRule type="cellIs" dxfId="5264" priority="2020" operator="lessThan">
      <formula>0.8</formula>
    </cfRule>
  </conditionalFormatting>
  <conditionalFormatting sqref="P124 P127 P130">
    <cfRule type="cellIs" dxfId="5263" priority="2018" operator="greaterThan">
      <formula>0</formula>
    </cfRule>
  </conditionalFormatting>
  <conditionalFormatting sqref="Q124 Q127 Q130">
    <cfRule type="cellIs" dxfId="5262" priority="2017" operator="lessThan">
      <formula>0</formula>
    </cfRule>
  </conditionalFormatting>
  <conditionalFormatting sqref="R124 R127 R130">
    <cfRule type="cellIs" dxfId="5261" priority="2015" operator="lessThan">
      <formula>0.8</formula>
    </cfRule>
    <cfRule type="cellIs" dxfId="5260" priority="2016" operator="greaterThan">
      <formula>1</formula>
    </cfRule>
  </conditionalFormatting>
  <conditionalFormatting sqref="R124 R127 R130">
    <cfRule type="cellIs" dxfId="5259" priority="2013" operator="greaterThan">
      <formula>1</formula>
    </cfRule>
    <cfRule type="cellIs" dxfId="5258" priority="2014" operator="lessThan">
      <formula>0.8</formula>
    </cfRule>
  </conditionalFormatting>
  <conditionalFormatting sqref="P124 P127 P130">
    <cfRule type="cellIs" dxfId="5257" priority="2012" operator="greaterThan">
      <formula>0</formula>
    </cfRule>
  </conditionalFormatting>
  <conditionalFormatting sqref="Q124 Q127 Q130">
    <cfRule type="cellIs" dxfId="5256" priority="2011" operator="lessThan">
      <formula>0</formula>
    </cfRule>
  </conditionalFormatting>
  <conditionalFormatting sqref="R124 R127 R130">
    <cfRule type="cellIs" dxfId="5255" priority="2009" operator="lessThan">
      <formula>0.8</formula>
    </cfRule>
    <cfRule type="cellIs" dxfId="5254" priority="2010" operator="greaterThan">
      <formula>1</formula>
    </cfRule>
  </conditionalFormatting>
  <conditionalFormatting sqref="R124 R127 R130">
    <cfRule type="cellIs" dxfId="5253" priority="2007" operator="greaterThan">
      <formula>1</formula>
    </cfRule>
    <cfRule type="cellIs" dxfId="5252" priority="2008" operator="lessThan">
      <formula>0.8</formula>
    </cfRule>
  </conditionalFormatting>
  <conditionalFormatting sqref="P124 P127 P130">
    <cfRule type="cellIs" dxfId="5251" priority="2006" operator="greaterThan">
      <formula>0</formula>
    </cfRule>
  </conditionalFormatting>
  <conditionalFormatting sqref="Q124 Q127 Q130">
    <cfRule type="cellIs" dxfId="5250" priority="2005" operator="lessThan">
      <formula>0</formula>
    </cfRule>
  </conditionalFormatting>
  <conditionalFormatting sqref="R124 R127 R130">
    <cfRule type="cellIs" dxfId="5249" priority="2003" operator="lessThan">
      <formula>0.8</formula>
    </cfRule>
    <cfRule type="cellIs" dxfId="5248" priority="2004" operator="greaterThan">
      <formula>1</formula>
    </cfRule>
  </conditionalFormatting>
  <conditionalFormatting sqref="R124 R127 R130">
    <cfRule type="cellIs" dxfId="5247" priority="2001" operator="greaterThan">
      <formula>1</formula>
    </cfRule>
    <cfRule type="cellIs" dxfId="5246" priority="2002" operator="lessThan">
      <formula>0.8</formula>
    </cfRule>
  </conditionalFormatting>
  <conditionalFormatting sqref="P124 P127 P130">
    <cfRule type="cellIs" dxfId="5245" priority="2000" operator="greaterThan">
      <formula>0</formula>
    </cfRule>
  </conditionalFormatting>
  <conditionalFormatting sqref="Q124 Q127 Q130">
    <cfRule type="cellIs" dxfId="5244" priority="1999" operator="lessThan">
      <formula>0</formula>
    </cfRule>
  </conditionalFormatting>
  <conditionalFormatting sqref="R124 R127 R130">
    <cfRule type="cellIs" dxfId="5243" priority="1997" operator="lessThan">
      <formula>0.8</formula>
    </cfRule>
    <cfRule type="cellIs" dxfId="5242" priority="1998" operator="greaterThan">
      <formula>1</formula>
    </cfRule>
  </conditionalFormatting>
  <conditionalFormatting sqref="R124 R127 R130">
    <cfRule type="cellIs" dxfId="5241" priority="1995" operator="greaterThan">
      <formula>1</formula>
    </cfRule>
    <cfRule type="cellIs" dxfId="5240" priority="1996" operator="lessThan">
      <formula>0.8</formula>
    </cfRule>
  </conditionalFormatting>
  <conditionalFormatting sqref="P124 P127 P130">
    <cfRule type="cellIs" dxfId="5239" priority="1994" operator="greaterThan">
      <formula>0</formula>
    </cfRule>
  </conditionalFormatting>
  <conditionalFormatting sqref="Q124 Q127 Q130">
    <cfRule type="cellIs" dxfId="5238" priority="1993" operator="lessThan">
      <formula>0</formula>
    </cfRule>
  </conditionalFormatting>
  <conditionalFormatting sqref="R124 R127 R130">
    <cfRule type="cellIs" dxfId="5237" priority="1991" operator="lessThan">
      <formula>0.8</formula>
    </cfRule>
    <cfRule type="cellIs" dxfId="5236" priority="1992" operator="greaterThan">
      <formula>1</formula>
    </cfRule>
  </conditionalFormatting>
  <conditionalFormatting sqref="R124 R127 R130">
    <cfRule type="cellIs" dxfId="5235" priority="1989" operator="greaterThan">
      <formula>1</formula>
    </cfRule>
    <cfRule type="cellIs" dxfId="5234" priority="1990" operator="lessThan">
      <formula>0.8</formula>
    </cfRule>
  </conditionalFormatting>
  <conditionalFormatting sqref="P124 P127 P130">
    <cfRule type="cellIs" dxfId="5233" priority="1988" operator="greaterThan">
      <formula>0</formula>
    </cfRule>
  </conditionalFormatting>
  <conditionalFormatting sqref="P124 P127 P130">
    <cfRule type="cellIs" dxfId="5232" priority="1982" operator="greaterThan">
      <formula>0</formula>
    </cfRule>
  </conditionalFormatting>
  <conditionalFormatting sqref="Q124 Q127 Q130">
    <cfRule type="cellIs" dxfId="5231" priority="1987" operator="lessThan">
      <formula>0</formula>
    </cfRule>
  </conditionalFormatting>
  <conditionalFormatting sqref="R124 R127 R130">
    <cfRule type="cellIs" dxfId="5230" priority="1985" operator="lessThan">
      <formula>0.8</formula>
    </cfRule>
    <cfRule type="cellIs" dxfId="5229" priority="1986" operator="greaterThan">
      <formula>1</formula>
    </cfRule>
  </conditionalFormatting>
  <conditionalFormatting sqref="R124 R127 R130">
    <cfRule type="cellIs" dxfId="5228" priority="1983" operator="greaterThan">
      <formula>1</formula>
    </cfRule>
    <cfRule type="cellIs" dxfId="5227" priority="1984" operator="lessThan">
      <formula>0.8</formula>
    </cfRule>
  </conditionalFormatting>
  <conditionalFormatting sqref="P124 P127 P130">
    <cfRule type="cellIs" dxfId="5226" priority="1976" operator="greaterThan">
      <formula>0</formula>
    </cfRule>
  </conditionalFormatting>
  <conditionalFormatting sqref="Q124 Q127 Q130">
    <cfRule type="cellIs" dxfId="5225" priority="1981" operator="lessThan">
      <formula>0</formula>
    </cfRule>
  </conditionalFormatting>
  <conditionalFormatting sqref="R124 R127 R130">
    <cfRule type="cellIs" dxfId="5224" priority="1979" operator="lessThan">
      <formula>0.8</formula>
    </cfRule>
    <cfRule type="cellIs" dxfId="5223" priority="1980" operator="greaterThan">
      <formula>1</formula>
    </cfRule>
  </conditionalFormatting>
  <conditionalFormatting sqref="R124 R127 R130">
    <cfRule type="cellIs" dxfId="5222" priority="1977" operator="greaterThan">
      <formula>1</formula>
    </cfRule>
    <cfRule type="cellIs" dxfId="5221" priority="1978" operator="lessThan">
      <formula>0.8</formula>
    </cfRule>
  </conditionalFormatting>
  <conditionalFormatting sqref="R124 R127 R130">
    <cfRule type="cellIs" dxfId="5220" priority="1973" operator="lessThan">
      <formula>0.8</formula>
    </cfRule>
    <cfRule type="cellIs" dxfId="5219" priority="1974" operator="greaterThan">
      <formula>1</formula>
    </cfRule>
  </conditionalFormatting>
  <conditionalFormatting sqref="R124 R127 R130">
    <cfRule type="cellIs" dxfId="5218" priority="1971" operator="greaterThan">
      <formula>1</formula>
    </cfRule>
    <cfRule type="cellIs" dxfId="5217" priority="1972" operator="lessThan">
      <formula>0.8</formula>
    </cfRule>
  </conditionalFormatting>
  <conditionalFormatting sqref="P124 P127 P130">
    <cfRule type="cellIs" dxfId="5216" priority="1970" operator="greaterThan">
      <formula>0</formula>
    </cfRule>
  </conditionalFormatting>
  <conditionalFormatting sqref="Q124 Q127 Q130">
    <cfRule type="cellIs" dxfId="5215" priority="1975" operator="lessThan">
      <formula>0</formula>
    </cfRule>
  </conditionalFormatting>
  <conditionalFormatting sqref="Q124 Q127 Q130">
    <cfRule type="cellIs" dxfId="5214" priority="1969" operator="lessThan">
      <formula>0</formula>
    </cfRule>
  </conditionalFormatting>
  <conditionalFormatting sqref="R124 R127 R130">
    <cfRule type="cellIs" dxfId="5213" priority="1967" operator="lessThan">
      <formula>0.8</formula>
    </cfRule>
    <cfRule type="cellIs" dxfId="5212" priority="1968" operator="greaterThan">
      <formula>1</formula>
    </cfRule>
  </conditionalFormatting>
  <conditionalFormatting sqref="R124 R127 R130">
    <cfRule type="cellIs" dxfId="5211" priority="1965" operator="greaterThan">
      <formula>1</formula>
    </cfRule>
    <cfRule type="cellIs" dxfId="5210" priority="1966" operator="lessThan">
      <formula>0.8</formula>
    </cfRule>
  </conditionalFormatting>
  <conditionalFormatting sqref="P124 P127 P130">
    <cfRule type="cellIs" dxfId="5209" priority="1964" operator="greaterThan">
      <formula>0</formula>
    </cfRule>
  </conditionalFormatting>
  <conditionalFormatting sqref="P124 P127 P130">
    <cfRule type="cellIs" dxfId="5208" priority="1958" operator="greaterThan">
      <formula>0</formula>
    </cfRule>
  </conditionalFormatting>
  <conditionalFormatting sqref="Q124 Q127 Q130">
    <cfRule type="cellIs" dxfId="5207" priority="1963" operator="lessThan">
      <formula>0</formula>
    </cfRule>
  </conditionalFormatting>
  <conditionalFormatting sqref="R124 R127 R130">
    <cfRule type="cellIs" dxfId="5206" priority="1961" operator="lessThan">
      <formula>0.8</formula>
    </cfRule>
    <cfRule type="cellIs" dxfId="5205" priority="1962" operator="greaterThan">
      <formula>1</formula>
    </cfRule>
  </conditionalFormatting>
  <conditionalFormatting sqref="R124 R127 R130">
    <cfRule type="cellIs" dxfId="5204" priority="1959" operator="greaterThan">
      <formula>1</formula>
    </cfRule>
    <cfRule type="cellIs" dxfId="5203" priority="1960" operator="lessThan">
      <formula>0.8</formula>
    </cfRule>
  </conditionalFormatting>
  <conditionalFormatting sqref="P124 P127 P130">
    <cfRule type="cellIs" dxfId="5202" priority="1952" operator="greaterThan">
      <formula>0</formula>
    </cfRule>
  </conditionalFormatting>
  <conditionalFormatting sqref="Q124 Q127 Q130">
    <cfRule type="cellIs" dxfId="5201" priority="1957" operator="lessThan">
      <formula>0</formula>
    </cfRule>
  </conditionalFormatting>
  <conditionalFormatting sqref="R124 R127 R130">
    <cfRule type="cellIs" dxfId="5200" priority="1955" operator="lessThan">
      <formula>0.8</formula>
    </cfRule>
    <cfRule type="cellIs" dxfId="5199" priority="1956" operator="greaterThan">
      <formula>1</formula>
    </cfRule>
  </conditionalFormatting>
  <conditionalFormatting sqref="R124 R127 R130">
    <cfRule type="cellIs" dxfId="5198" priority="1953" operator="greaterThan">
      <formula>1</formula>
    </cfRule>
    <cfRule type="cellIs" dxfId="5197" priority="1954" operator="lessThan">
      <formula>0.8</formula>
    </cfRule>
  </conditionalFormatting>
  <conditionalFormatting sqref="R124 R127 R130">
    <cfRule type="cellIs" dxfId="5196" priority="1949" operator="lessThan">
      <formula>0.8</formula>
    </cfRule>
    <cfRule type="cellIs" dxfId="5195" priority="1950" operator="greaterThan">
      <formula>1</formula>
    </cfRule>
  </conditionalFormatting>
  <conditionalFormatting sqref="R124 R127 R130">
    <cfRule type="cellIs" dxfId="5194" priority="1947" operator="greaterThan">
      <formula>1</formula>
    </cfRule>
    <cfRule type="cellIs" dxfId="5193" priority="1948" operator="lessThan">
      <formula>0.8</formula>
    </cfRule>
  </conditionalFormatting>
  <conditionalFormatting sqref="P124 P127 P130">
    <cfRule type="cellIs" dxfId="5192" priority="1946" operator="greaterThan">
      <formula>0</formula>
    </cfRule>
  </conditionalFormatting>
  <conditionalFormatting sqref="Q124 Q127 Q130">
    <cfRule type="cellIs" dxfId="5191" priority="1951" operator="lessThan">
      <formula>0</formula>
    </cfRule>
  </conditionalFormatting>
  <conditionalFormatting sqref="P124 P127 P130">
    <cfRule type="cellIs" dxfId="5190" priority="1940" operator="greaterThan">
      <formula>0</formula>
    </cfRule>
  </conditionalFormatting>
  <conditionalFormatting sqref="Q124 Q127 Q130">
    <cfRule type="cellIs" dxfId="5189" priority="1945" operator="lessThan">
      <formula>0</formula>
    </cfRule>
  </conditionalFormatting>
  <conditionalFormatting sqref="R124 R127 R130">
    <cfRule type="cellIs" dxfId="5188" priority="1943" operator="lessThan">
      <formula>0.8</formula>
    </cfRule>
    <cfRule type="cellIs" dxfId="5187" priority="1944" operator="greaterThan">
      <formula>1</formula>
    </cfRule>
  </conditionalFormatting>
  <conditionalFormatting sqref="R124 R127 R130">
    <cfRule type="cellIs" dxfId="5186" priority="1941" operator="greaterThan">
      <formula>1</formula>
    </cfRule>
    <cfRule type="cellIs" dxfId="5185" priority="1942" operator="lessThan">
      <formula>0.8</formula>
    </cfRule>
  </conditionalFormatting>
  <conditionalFormatting sqref="R124 R127 R130">
    <cfRule type="cellIs" dxfId="5184" priority="1937" operator="lessThan">
      <formula>0.8</formula>
    </cfRule>
    <cfRule type="cellIs" dxfId="5183" priority="1938" operator="greaterThan">
      <formula>1</formula>
    </cfRule>
  </conditionalFormatting>
  <conditionalFormatting sqref="R124 R127 R130">
    <cfRule type="cellIs" dxfId="5182" priority="1935" operator="greaterThan">
      <formula>1</formula>
    </cfRule>
    <cfRule type="cellIs" dxfId="5181" priority="1936" operator="lessThan">
      <formula>0.8</formula>
    </cfRule>
  </conditionalFormatting>
  <conditionalFormatting sqref="P124 P127 P130">
    <cfRule type="cellIs" dxfId="5180" priority="1934" operator="greaterThan">
      <formula>0</formula>
    </cfRule>
  </conditionalFormatting>
  <conditionalFormatting sqref="Q124 Q127 Q130">
    <cfRule type="cellIs" dxfId="5179" priority="1939" operator="lessThan">
      <formula>0</formula>
    </cfRule>
  </conditionalFormatting>
  <conditionalFormatting sqref="R124 R127 R130">
    <cfRule type="cellIs" dxfId="5178" priority="1931" operator="lessThan">
      <formula>0.8</formula>
    </cfRule>
    <cfRule type="cellIs" dxfId="5177" priority="1932" operator="greaterThan">
      <formula>1</formula>
    </cfRule>
  </conditionalFormatting>
  <conditionalFormatting sqref="R124 R127 R130">
    <cfRule type="cellIs" dxfId="5176" priority="1929" operator="greaterThan">
      <formula>1</formula>
    </cfRule>
    <cfRule type="cellIs" dxfId="5175" priority="1930" operator="lessThan">
      <formula>0.8</formula>
    </cfRule>
  </conditionalFormatting>
  <conditionalFormatting sqref="P124 P127 P130">
    <cfRule type="cellIs" dxfId="5174" priority="1928" operator="greaterThan">
      <formula>0</formula>
    </cfRule>
  </conditionalFormatting>
  <conditionalFormatting sqref="Q124 Q127 Q130">
    <cfRule type="cellIs" dxfId="5173" priority="1933" operator="lessThan">
      <formula>0</formula>
    </cfRule>
  </conditionalFormatting>
  <conditionalFormatting sqref="Q124 Q127 Q130">
    <cfRule type="cellIs" dxfId="5172" priority="1927" operator="lessThan">
      <formula>0</formula>
    </cfRule>
  </conditionalFormatting>
  <conditionalFormatting sqref="R124 R127 R130">
    <cfRule type="cellIs" dxfId="5171" priority="1925" operator="lessThan">
      <formula>0.8</formula>
    </cfRule>
    <cfRule type="cellIs" dxfId="5170" priority="1926" operator="greaterThan">
      <formula>1</formula>
    </cfRule>
  </conditionalFormatting>
  <conditionalFormatting sqref="R124 R127 R130">
    <cfRule type="cellIs" dxfId="5169" priority="1923" operator="greaterThan">
      <formula>1</formula>
    </cfRule>
    <cfRule type="cellIs" dxfId="5168" priority="1924" operator="lessThan">
      <formula>0.8</formula>
    </cfRule>
  </conditionalFormatting>
  <conditionalFormatting sqref="P124 P127 P130">
    <cfRule type="cellIs" dxfId="5167" priority="1922" operator="greaterThan">
      <formula>0</formula>
    </cfRule>
  </conditionalFormatting>
  <conditionalFormatting sqref="Q124 Q127 Q130">
    <cfRule type="cellIs" dxfId="5166" priority="1916" operator="lessThan">
      <formula>0</formula>
    </cfRule>
  </conditionalFormatting>
  <conditionalFormatting sqref="R124 R127 R130">
    <cfRule type="cellIs" dxfId="5165" priority="1920" operator="lessThan">
      <formula>0.8</formula>
    </cfRule>
    <cfRule type="cellIs" dxfId="5164" priority="1921" operator="greaterThan">
      <formula>1</formula>
    </cfRule>
  </conditionalFormatting>
  <conditionalFormatting sqref="R124 R127 R130">
    <cfRule type="cellIs" dxfId="5163" priority="1918" operator="greaterThan">
      <formula>1</formula>
    </cfRule>
    <cfRule type="cellIs" dxfId="5162" priority="1919" operator="lessThan">
      <formula>0.8</formula>
    </cfRule>
  </conditionalFormatting>
  <conditionalFormatting sqref="P124 P127 P130">
    <cfRule type="cellIs" dxfId="5161" priority="1917" operator="greaterThan">
      <formula>0</formula>
    </cfRule>
  </conditionalFormatting>
  <conditionalFormatting sqref="Q124 Q127 Q130">
    <cfRule type="cellIs" dxfId="5160" priority="1915" operator="lessThan">
      <formula>0</formula>
    </cfRule>
  </conditionalFormatting>
  <conditionalFormatting sqref="R124 R127 R130">
    <cfRule type="cellIs" dxfId="5159" priority="1913" operator="lessThan">
      <formula>0.8</formula>
    </cfRule>
    <cfRule type="cellIs" dxfId="5158" priority="1914" operator="greaterThan">
      <formula>1</formula>
    </cfRule>
  </conditionalFormatting>
  <conditionalFormatting sqref="R124 R127 R130">
    <cfRule type="cellIs" dxfId="5157" priority="1911" operator="greaterThan">
      <formula>1</formula>
    </cfRule>
    <cfRule type="cellIs" dxfId="5156" priority="1912" operator="lessThan">
      <formula>0.8</formula>
    </cfRule>
  </conditionalFormatting>
  <conditionalFormatting sqref="P124 P127 P130">
    <cfRule type="cellIs" dxfId="5155" priority="1910" operator="greaterThan">
      <formula>0</formula>
    </cfRule>
  </conditionalFormatting>
  <conditionalFormatting sqref="Q124 Q127 Q130">
    <cfRule type="cellIs" dxfId="5154" priority="1909" operator="lessThan">
      <formula>0</formula>
    </cfRule>
  </conditionalFormatting>
  <conditionalFormatting sqref="R124 R127 R130">
    <cfRule type="cellIs" dxfId="5153" priority="1907" operator="lessThan">
      <formula>0.8</formula>
    </cfRule>
    <cfRule type="cellIs" dxfId="5152" priority="1908" operator="greaterThan">
      <formula>1</formula>
    </cfRule>
  </conditionalFormatting>
  <conditionalFormatting sqref="R124 R127 R130">
    <cfRule type="cellIs" dxfId="5151" priority="1905" operator="greaterThan">
      <formula>1</formula>
    </cfRule>
    <cfRule type="cellIs" dxfId="5150" priority="1906" operator="lessThan">
      <formula>0.8</formula>
    </cfRule>
  </conditionalFormatting>
  <conditionalFormatting sqref="P124 P127 P130">
    <cfRule type="cellIs" dxfId="5149" priority="1904" operator="greaterThan">
      <formula>0</formula>
    </cfRule>
  </conditionalFormatting>
  <conditionalFormatting sqref="Q124 Q127 Q130">
    <cfRule type="cellIs" dxfId="5148" priority="1903" operator="lessThan">
      <formula>0</formula>
    </cfRule>
  </conditionalFormatting>
  <conditionalFormatting sqref="R124 R127 R130">
    <cfRule type="cellIs" dxfId="5147" priority="1901" operator="lessThan">
      <formula>0.8</formula>
    </cfRule>
    <cfRule type="cellIs" dxfId="5146" priority="1902" operator="greaterThan">
      <formula>1</formula>
    </cfRule>
  </conditionalFormatting>
  <conditionalFormatting sqref="R124 R127 R130">
    <cfRule type="cellIs" dxfId="5145" priority="1899" operator="greaterThan">
      <formula>1</formula>
    </cfRule>
    <cfRule type="cellIs" dxfId="5144" priority="1900" operator="lessThan">
      <formula>0.8</formula>
    </cfRule>
  </conditionalFormatting>
  <conditionalFormatting sqref="P124 P127 P130">
    <cfRule type="cellIs" dxfId="5143" priority="1898" operator="greaterThan">
      <formula>0</formula>
    </cfRule>
  </conditionalFormatting>
  <conditionalFormatting sqref="Q124 Q127 Q130">
    <cfRule type="cellIs" dxfId="5142" priority="1897" operator="lessThan">
      <formula>0</formula>
    </cfRule>
  </conditionalFormatting>
  <conditionalFormatting sqref="R124 R127 R130">
    <cfRule type="cellIs" dxfId="5141" priority="1895" operator="lessThan">
      <formula>0.8</formula>
    </cfRule>
    <cfRule type="cellIs" dxfId="5140" priority="1896" operator="greaterThan">
      <formula>1</formula>
    </cfRule>
  </conditionalFormatting>
  <conditionalFormatting sqref="R124 R127 R130">
    <cfRule type="cellIs" dxfId="5139" priority="1893" operator="greaterThan">
      <formula>1</formula>
    </cfRule>
    <cfRule type="cellIs" dxfId="5138" priority="1894" operator="lessThan">
      <formula>0.8</formula>
    </cfRule>
  </conditionalFormatting>
  <conditionalFormatting sqref="P124 P127 P130">
    <cfRule type="cellIs" dxfId="5137" priority="1892" operator="greaterThan">
      <formula>0</formula>
    </cfRule>
  </conditionalFormatting>
  <conditionalFormatting sqref="Q124 Q127 Q130">
    <cfRule type="cellIs" dxfId="5136" priority="1891" operator="lessThan">
      <formula>0</formula>
    </cfRule>
  </conditionalFormatting>
  <conditionalFormatting sqref="R124 R127 R130">
    <cfRule type="cellIs" dxfId="5135" priority="1889" operator="lessThan">
      <formula>0.8</formula>
    </cfRule>
    <cfRule type="cellIs" dxfId="5134" priority="1890" operator="greaterThan">
      <formula>1</formula>
    </cfRule>
  </conditionalFormatting>
  <conditionalFormatting sqref="R124 R127 R130">
    <cfRule type="cellIs" dxfId="5133" priority="1887" operator="greaterThan">
      <formula>1</formula>
    </cfRule>
    <cfRule type="cellIs" dxfId="5132" priority="1888" operator="lessThan">
      <formula>0.8</formula>
    </cfRule>
  </conditionalFormatting>
  <conditionalFormatting sqref="P124 P127 P130">
    <cfRule type="cellIs" dxfId="5131" priority="1886" operator="greaterThan">
      <formula>0</formula>
    </cfRule>
  </conditionalFormatting>
  <conditionalFormatting sqref="P124 P127 P130">
    <cfRule type="cellIs" dxfId="5130" priority="1880" operator="greaterThan">
      <formula>0</formula>
    </cfRule>
  </conditionalFormatting>
  <conditionalFormatting sqref="Q124 Q127 Q130">
    <cfRule type="cellIs" dxfId="5129" priority="1885" operator="lessThan">
      <formula>0</formula>
    </cfRule>
  </conditionalFormatting>
  <conditionalFormatting sqref="R124 R127 R130">
    <cfRule type="cellIs" dxfId="5128" priority="1883" operator="lessThan">
      <formula>0.8</formula>
    </cfRule>
    <cfRule type="cellIs" dxfId="5127" priority="1884" operator="greaterThan">
      <formula>1</formula>
    </cfRule>
  </conditionalFormatting>
  <conditionalFormatting sqref="R124 R127 R130">
    <cfRule type="cellIs" dxfId="5126" priority="1881" operator="greaterThan">
      <formula>1</formula>
    </cfRule>
    <cfRule type="cellIs" dxfId="5125" priority="1882" operator="lessThan">
      <formula>0.8</formula>
    </cfRule>
  </conditionalFormatting>
  <conditionalFormatting sqref="P124 P127 P130">
    <cfRule type="cellIs" dxfId="5124" priority="1874" operator="greaterThan">
      <formula>0</formula>
    </cfRule>
  </conditionalFormatting>
  <conditionalFormatting sqref="Q124 Q127 Q130">
    <cfRule type="cellIs" dxfId="5123" priority="1879" operator="lessThan">
      <formula>0</formula>
    </cfRule>
  </conditionalFormatting>
  <conditionalFormatting sqref="R124 R127 R130">
    <cfRule type="cellIs" dxfId="5122" priority="1877" operator="lessThan">
      <formula>0.8</formula>
    </cfRule>
    <cfRule type="cellIs" dxfId="5121" priority="1878" operator="greaterThan">
      <formula>1</formula>
    </cfRule>
  </conditionalFormatting>
  <conditionalFormatting sqref="R124 R127 R130">
    <cfRule type="cellIs" dxfId="5120" priority="1875" operator="greaterThan">
      <formula>1</formula>
    </cfRule>
    <cfRule type="cellIs" dxfId="5119" priority="1876" operator="lessThan">
      <formula>0.8</formula>
    </cfRule>
  </conditionalFormatting>
  <conditionalFormatting sqref="R124 R127 R130">
    <cfRule type="cellIs" dxfId="5118" priority="1871" operator="lessThan">
      <formula>0.8</formula>
    </cfRule>
    <cfRule type="cellIs" dxfId="5117" priority="1872" operator="greaterThan">
      <formula>1</formula>
    </cfRule>
  </conditionalFormatting>
  <conditionalFormatting sqref="R124 R127 R130">
    <cfRule type="cellIs" dxfId="5116" priority="1869" operator="greaterThan">
      <formula>1</formula>
    </cfRule>
    <cfRule type="cellIs" dxfId="5115" priority="1870" operator="lessThan">
      <formula>0.8</formula>
    </cfRule>
  </conditionalFormatting>
  <conditionalFormatting sqref="P124 P127 P130">
    <cfRule type="cellIs" dxfId="5114" priority="1868" operator="greaterThan">
      <formula>0</formula>
    </cfRule>
  </conditionalFormatting>
  <conditionalFormatting sqref="Q124 Q127 Q130">
    <cfRule type="cellIs" dxfId="5113" priority="1873" operator="lessThan">
      <formula>0</formula>
    </cfRule>
  </conditionalFormatting>
  <conditionalFormatting sqref="Q5:Q14">
    <cfRule type="cellIs" dxfId="5112" priority="1867" operator="lessThan">
      <formula>0</formula>
    </cfRule>
  </conditionalFormatting>
  <conditionalFormatting sqref="R5:R14">
    <cfRule type="cellIs" dxfId="5111" priority="1865" operator="lessThan">
      <formula>0.8</formula>
    </cfRule>
    <cfRule type="cellIs" dxfId="5110" priority="1866" operator="greaterThan">
      <formula>1</formula>
    </cfRule>
  </conditionalFormatting>
  <conditionalFormatting sqref="R5:R14">
    <cfRule type="cellIs" dxfId="5109" priority="1863" operator="greaterThan">
      <formula>1</formula>
    </cfRule>
    <cfRule type="cellIs" dxfId="5108" priority="1864" operator="lessThan">
      <formula>0.8</formula>
    </cfRule>
  </conditionalFormatting>
  <conditionalFormatting sqref="P5:P14">
    <cfRule type="cellIs" dxfId="5107" priority="1862" operator="greaterThan">
      <formula>0</formula>
    </cfRule>
  </conditionalFormatting>
  <conditionalFormatting sqref="Q83">
    <cfRule type="cellIs" dxfId="5106" priority="1861" operator="lessThan">
      <formula>0</formula>
    </cfRule>
  </conditionalFormatting>
  <conditionalFormatting sqref="R83">
    <cfRule type="cellIs" dxfId="5105" priority="1859" operator="lessThan">
      <formula>0.8</formula>
    </cfRule>
    <cfRule type="cellIs" dxfId="5104" priority="1860" operator="greaterThan">
      <formula>1</formula>
    </cfRule>
  </conditionalFormatting>
  <conditionalFormatting sqref="R83">
    <cfRule type="cellIs" dxfId="5103" priority="1857" operator="greaterThan">
      <formula>1</formula>
    </cfRule>
    <cfRule type="cellIs" dxfId="5102" priority="1858" operator="lessThan">
      <formula>0.8</formula>
    </cfRule>
  </conditionalFormatting>
  <conditionalFormatting sqref="P83">
    <cfRule type="cellIs" dxfId="5101" priority="1856" operator="greaterThan">
      <formula>0</formula>
    </cfRule>
  </conditionalFormatting>
  <conditionalFormatting sqref="Q83">
    <cfRule type="cellIs" dxfId="5100" priority="1855" operator="lessThan">
      <formula>0</formula>
    </cfRule>
  </conditionalFormatting>
  <conditionalFormatting sqref="R83">
    <cfRule type="cellIs" dxfId="5099" priority="1853" operator="lessThan">
      <formula>0.8</formula>
    </cfRule>
    <cfRule type="cellIs" dxfId="5098" priority="1854" operator="greaterThan">
      <formula>1</formula>
    </cfRule>
  </conditionalFormatting>
  <conditionalFormatting sqref="R83">
    <cfRule type="cellIs" dxfId="5097" priority="1851" operator="greaterThan">
      <formula>1</formula>
    </cfRule>
    <cfRule type="cellIs" dxfId="5096" priority="1852" operator="lessThan">
      <formula>0.8</formula>
    </cfRule>
  </conditionalFormatting>
  <conditionalFormatting sqref="P83">
    <cfRule type="cellIs" dxfId="5095" priority="1850" operator="greaterThan">
      <formula>0</formula>
    </cfRule>
  </conditionalFormatting>
  <conditionalFormatting sqref="Q83">
    <cfRule type="cellIs" dxfId="5094" priority="1849" operator="lessThan">
      <formula>0</formula>
    </cfRule>
  </conditionalFormatting>
  <conditionalFormatting sqref="R83">
    <cfRule type="cellIs" dxfId="5093" priority="1847" operator="lessThan">
      <formula>0.8</formula>
    </cfRule>
    <cfRule type="cellIs" dxfId="5092" priority="1848" operator="greaterThan">
      <formula>1</formula>
    </cfRule>
  </conditionalFormatting>
  <conditionalFormatting sqref="R83">
    <cfRule type="cellIs" dxfId="5091" priority="1845" operator="greaterThan">
      <formula>1</formula>
    </cfRule>
    <cfRule type="cellIs" dxfId="5090" priority="1846" operator="lessThan">
      <formula>0.8</formula>
    </cfRule>
  </conditionalFormatting>
  <conditionalFormatting sqref="P83">
    <cfRule type="cellIs" dxfId="5089" priority="1844" operator="greaterThan">
      <formula>0</formula>
    </cfRule>
  </conditionalFormatting>
  <conditionalFormatting sqref="Q83">
    <cfRule type="cellIs" dxfId="5088" priority="1843" operator="lessThan">
      <formula>0</formula>
    </cfRule>
  </conditionalFormatting>
  <conditionalFormatting sqref="R83">
    <cfRule type="cellIs" dxfId="5087" priority="1841" operator="lessThan">
      <formula>0.8</formula>
    </cfRule>
    <cfRule type="cellIs" dxfId="5086" priority="1842" operator="greaterThan">
      <formula>1</formula>
    </cfRule>
  </conditionalFormatting>
  <conditionalFormatting sqref="R83">
    <cfRule type="cellIs" dxfId="5085" priority="1839" operator="greaterThan">
      <formula>1</formula>
    </cfRule>
    <cfRule type="cellIs" dxfId="5084" priority="1840" operator="lessThan">
      <formula>0.8</formula>
    </cfRule>
  </conditionalFormatting>
  <conditionalFormatting sqref="P83">
    <cfRule type="cellIs" dxfId="5083" priority="1838" operator="greaterThan">
      <formula>0</formula>
    </cfRule>
  </conditionalFormatting>
  <conditionalFormatting sqref="P83">
    <cfRule type="cellIs" dxfId="5082" priority="1832" operator="greaterThan">
      <formula>0</formula>
    </cfRule>
  </conditionalFormatting>
  <conditionalFormatting sqref="Q83">
    <cfRule type="cellIs" dxfId="5081" priority="1837" operator="lessThan">
      <formula>0</formula>
    </cfRule>
  </conditionalFormatting>
  <conditionalFormatting sqref="R83">
    <cfRule type="cellIs" dxfId="5080" priority="1835" operator="lessThan">
      <formula>0.8</formula>
    </cfRule>
    <cfRule type="cellIs" dxfId="5079" priority="1836" operator="greaterThan">
      <formula>1</formula>
    </cfRule>
  </conditionalFormatting>
  <conditionalFormatting sqref="R83">
    <cfRule type="cellIs" dxfId="5078" priority="1833" operator="greaterThan">
      <formula>1</formula>
    </cfRule>
    <cfRule type="cellIs" dxfId="5077" priority="1834" operator="lessThan">
      <formula>0.8</formula>
    </cfRule>
  </conditionalFormatting>
  <conditionalFormatting sqref="P83">
    <cfRule type="cellIs" dxfId="5076" priority="1826" operator="greaterThan">
      <formula>0</formula>
    </cfRule>
  </conditionalFormatting>
  <conditionalFormatting sqref="Q83">
    <cfRule type="cellIs" dxfId="5075" priority="1831" operator="lessThan">
      <formula>0</formula>
    </cfRule>
  </conditionalFormatting>
  <conditionalFormatting sqref="R83">
    <cfRule type="cellIs" dxfId="5074" priority="1829" operator="lessThan">
      <formula>0.8</formula>
    </cfRule>
    <cfRule type="cellIs" dxfId="5073" priority="1830" operator="greaterThan">
      <formula>1</formula>
    </cfRule>
  </conditionalFormatting>
  <conditionalFormatting sqref="R83">
    <cfRule type="cellIs" dxfId="5072" priority="1827" operator="greaterThan">
      <formula>1</formula>
    </cfRule>
    <cfRule type="cellIs" dxfId="5071" priority="1828" operator="lessThan">
      <formula>0.8</formula>
    </cfRule>
  </conditionalFormatting>
  <conditionalFormatting sqref="R83">
    <cfRule type="cellIs" dxfId="5070" priority="1823" operator="lessThan">
      <formula>0.8</formula>
    </cfRule>
    <cfRule type="cellIs" dxfId="5069" priority="1824" operator="greaterThan">
      <formula>1</formula>
    </cfRule>
  </conditionalFormatting>
  <conditionalFormatting sqref="R83">
    <cfRule type="cellIs" dxfId="5068" priority="1821" operator="greaterThan">
      <formula>1</formula>
    </cfRule>
    <cfRule type="cellIs" dxfId="5067" priority="1822" operator="lessThan">
      <formula>0.8</formula>
    </cfRule>
  </conditionalFormatting>
  <conditionalFormatting sqref="P83">
    <cfRule type="cellIs" dxfId="5066" priority="1820" operator="greaterThan">
      <formula>0</formula>
    </cfRule>
  </conditionalFormatting>
  <conditionalFormatting sqref="Q83">
    <cfRule type="cellIs" dxfId="5065" priority="1825" operator="lessThan">
      <formula>0</formula>
    </cfRule>
  </conditionalFormatting>
  <conditionalFormatting sqref="Q83">
    <cfRule type="cellIs" dxfId="5064" priority="1819" operator="lessThan">
      <formula>0</formula>
    </cfRule>
  </conditionalFormatting>
  <conditionalFormatting sqref="R83">
    <cfRule type="cellIs" dxfId="5063" priority="1817" operator="lessThan">
      <formula>0.8</formula>
    </cfRule>
    <cfRule type="cellIs" dxfId="5062" priority="1818" operator="greaterThan">
      <formula>1</formula>
    </cfRule>
  </conditionalFormatting>
  <conditionalFormatting sqref="R83">
    <cfRule type="cellIs" dxfId="5061" priority="1815" operator="greaterThan">
      <formula>1</formula>
    </cfRule>
    <cfRule type="cellIs" dxfId="5060" priority="1816" operator="lessThan">
      <formula>0.8</formula>
    </cfRule>
  </conditionalFormatting>
  <conditionalFormatting sqref="P83">
    <cfRule type="cellIs" dxfId="5059" priority="1814" operator="greaterThan">
      <formula>0</formula>
    </cfRule>
  </conditionalFormatting>
  <conditionalFormatting sqref="P83">
    <cfRule type="cellIs" dxfId="5058" priority="1808" operator="greaterThan">
      <formula>0</formula>
    </cfRule>
  </conditionalFormatting>
  <conditionalFormatting sqref="Q83">
    <cfRule type="cellIs" dxfId="5057" priority="1813" operator="lessThan">
      <formula>0</formula>
    </cfRule>
  </conditionalFormatting>
  <conditionalFormatting sqref="R83">
    <cfRule type="cellIs" dxfId="5056" priority="1811" operator="lessThan">
      <formula>0.8</formula>
    </cfRule>
    <cfRule type="cellIs" dxfId="5055" priority="1812" operator="greaterThan">
      <formula>1</formula>
    </cfRule>
  </conditionalFormatting>
  <conditionalFormatting sqref="R83">
    <cfRule type="cellIs" dxfId="5054" priority="1809" operator="greaterThan">
      <formula>1</formula>
    </cfRule>
    <cfRule type="cellIs" dxfId="5053" priority="1810" operator="lessThan">
      <formula>0.8</formula>
    </cfRule>
  </conditionalFormatting>
  <conditionalFormatting sqref="P83">
    <cfRule type="cellIs" dxfId="5052" priority="1802" operator="greaterThan">
      <formula>0</formula>
    </cfRule>
  </conditionalFormatting>
  <conditionalFormatting sqref="Q83">
    <cfRule type="cellIs" dxfId="5051" priority="1807" operator="lessThan">
      <formula>0</formula>
    </cfRule>
  </conditionalFormatting>
  <conditionalFormatting sqref="R83">
    <cfRule type="cellIs" dxfId="5050" priority="1805" operator="lessThan">
      <formula>0.8</formula>
    </cfRule>
    <cfRule type="cellIs" dxfId="5049" priority="1806" operator="greaterThan">
      <formula>1</formula>
    </cfRule>
  </conditionalFormatting>
  <conditionalFormatting sqref="R83">
    <cfRule type="cellIs" dxfId="5048" priority="1803" operator="greaterThan">
      <formula>1</formula>
    </cfRule>
    <cfRule type="cellIs" dxfId="5047" priority="1804" operator="lessThan">
      <formula>0.8</formula>
    </cfRule>
  </conditionalFormatting>
  <conditionalFormatting sqref="R83">
    <cfRule type="cellIs" dxfId="5046" priority="1799" operator="lessThan">
      <formula>0.8</formula>
    </cfRule>
    <cfRule type="cellIs" dxfId="5045" priority="1800" operator="greaterThan">
      <formula>1</formula>
    </cfRule>
  </conditionalFormatting>
  <conditionalFormatting sqref="R83">
    <cfRule type="cellIs" dxfId="5044" priority="1797" operator="greaterThan">
      <formula>1</formula>
    </cfRule>
    <cfRule type="cellIs" dxfId="5043" priority="1798" operator="lessThan">
      <formula>0.8</formula>
    </cfRule>
  </conditionalFormatting>
  <conditionalFormatting sqref="P83">
    <cfRule type="cellIs" dxfId="5042" priority="1796" operator="greaterThan">
      <formula>0</formula>
    </cfRule>
  </conditionalFormatting>
  <conditionalFormatting sqref="Q83">
    <cfRule type="cellIs" dxfId="5041" priority="1801" operator="lessThan">
      <formula>0</formula>
    </cfRule>
  </conditionalFormatting>
  <conditionalFormatting sqref="P83">
    <cfRule type="cellIs" dxfId="5040" priority="1790" operator="greaterThan">
      <formula>0</formula>
    </cfRule>
  </conditionalFormatting>
  <conditionalFormatting sqref="Q83">
    <cfRule type="cellIs" dxfId="5039" priority="1795" operator="lessThan">
      <formula>0</formula>
    </cfRule>
  </conditionalFormatting>
  <conditionalFormatting sqref="R83">
    <cfRule type="cellIs" dxfId="5038" priority="1793" operator="lessThan">
      <formula>0.8</formula>
    </cfRule>
    <cfRule type="cellIs" dxfId="5037" priority="1794" operator="greaterThan">
      <formula>1</formula>
    </cfRule>
  </conditionalFormatting>
  <conditionalFormatting sqref="R83">
    <cfRule type="cellIs" dxfId="5036" priority="1791" operator="greaterThan">
      <formula>1</formula>
    </cfRule>
    <cfRule type="cellIs" dxfId="5035" priority="1792" operator="lessThan">
      <formula>0.8</formula>
    </cfRule>
  </conditionalFormatting>
  <conditionalFormatting sqref="R83">
    <cfRule type="cellIs" dxfId="5034" priority="1787" operator="lessThan">
      <formula>0.8</formula>
    </cfRule>
    <cfRule type="cellIs" dxfId="5033" priority="1788" operator="greaterThan">
      <formula>1</formula>
    </cfRule>
  </conditionalFormatting>
  <conditionalFormatting sqref="R83">
    <cfRule type="cellIs" dxfId="5032" priority="1785" operator="greaterThan">
      <formula>1</formula>
    </cfRule>
    <cfRule type="cellIs" dxfId="5031" priority="1786" operator="lessThan">
      <formula>0.8</formula>
    </cfRule>
  </conditionalFormatting>
  <conditionalFormatting sqref="P83">
    <cfRule type="cellIs" dxfId="5030" priority="1784" operator="greaterThan">
      <formula>0</formula>
    </cfRule>
  </conditionalFormatting>
  <conditionalFormatting sqref="Q83">
    <cfRule type="cellIs" dxfId="5029" priority="1789" operator="lessThan">
      <formula>0</formula>
    </cfRule>
  </conditionalFormatting>
  <conditionalFormatting sqref="R83">
    <cfRule type="cellIs" dxfId="5028" priority="1781" operator="lessThan">
      <formula>0.8</formula>
    </cfRule>
    <cfRule type="cellIs" dxfId="5027" priority="1782" operator="greaterThan">
      <formula>1</formula>
    </cfRule>
  </conditionalFormatting>
  <conditionalFormatting sqref="R83">
    <cfRule type="cellIs" dxfId="5026" priority="1779" operator="greaterThan">
      <formula>1</formula>
    </cfRule>
    <cfRule type="cellIs" dxfId="5025" priority="1780" operator="lessThan">
      <formula>0.8</formula>
    </cfRule>
  </conditionalFormatting>
  <conditionalFormatting sqref="P83">
    <cfRule type="cellIs" dxfId="5024" priority="1778" operator="greaterThan">
      <formula>0</formula>
    </cfRule>
  </conditionalFormatting>
  <conditionalFormatting sqref="Q83">
    <cfRule type="cellIs" dxfId="5023" priority="1783" operator="lessThan">
      <formula>0</formula>
    </cfRule>
  </conditionalFormatting>
  <conditionalFormatting sqref="Q83">
    <cfRule type="cellIs" dxfId="5022" priority="1777" operator="lessThan">
      <formula>0</formula>
    </cfRule>
  </conditionalFormatting>
  <conditionalFormatting sqref="R83">
    <cfRule type="cellIs" dxfId="5021" priority="1775" operator="lessThan">
      <formula>0.8</formula>
    </cfRule>
    <cfRule type="cellIs" dxfId="5020" priority="1776" operator="greaterThan">
      <formula>1</formula>
    </cfRule>
  </conditionalFormatting>
  <conditionalFormatting sqref="R83">
    <cfRule type="cellIs" dxfId="5019" priority="1773" operator="greaterThan">
      <formula>1</formula>
    </cfRule>
    <cfRule type="cellIs" dxfId="5018" priority="1774" operator="lessThan">
      <formula>0.8</formula>
    </cfRule>
  </conditionalFormatting>
  <conditionalFormatting sqref="P83">
    <cfRule type="cellIs" dxfId="5017" priority="1772" operator="greaterThan">
      <formula>0</formula>
    </cfRule>
  </conditionalFormatting>
  <conditionalFormatting sqref="Q83">
    <cfRule type="cellIs" dxfId="5016" priority="1766" operator="lessThan">
      <formula>0</formula>
    </cfRule>
  </conditionalFormatting>
  <conditionalFormatting sqref="R83">
    <cfRule type="cellIs" dxfId="5015" priority="1770" operator="lessThan">
      <formula>0.8</formula>
    </cfRule>
    <cfRule type="cellIs" dxfId="5014" priority="1771" operator="greaterThan">
      <formula>1</formula>
    </cfRule>
  </conditionalFormatting>
  <conditionalFormatting sqref="R83">
    <cfRule type="cellIs" dxfId="5013" priority="1768" operator="greaterThan">
      <formula>1</formula>
    </cfRule>
    <cfRule type="cellIs" dxfId="5012" priority="1769" operator="lessThan">
      <formula>0.8</formula>
    </cfRule>
  </conditionalFormatting>
  <conditionalFormatting sqref="P83">
    <cfRule type="cellIs" dxfId="5011" priority="1767" operator="greaterThan">
      <formula>0</formula>
    </cfRule>
  </conditionalFormatting>
  <conditionalFormatting sqref="Q83">
    <cfRule type="cellIs" dxfId="5010" priority="1765" operator="lessThan">
      <formula>0</formula>
    </cfRule>
  </conditionalFormatting>
  <conditionalFormatting sqref="R83">
    <cfRule type="cellIs" dxfId="5009" priority="1763" operator="lessThan">
      <formula>0.8</formula>
    </cfRule>
    <cfRule type="cellIs" dxfId="5008" priority="1764" operator="greaterThan">
      <formula>1</formula>
    </cfRule>
  </conditionalFormatting>
  <conditionalFormatting sqref="R83">
    <cfRule type="cellIs" dxfId="5007" priority="1761" operator="greaterThan">
      <formula>1</formula>
    </cfRule>
    <cfRule type="cellIs" dxfId="5006" priority="1762" operator="lessThan">
      <formula>0.8</formula>
    </cfRule>
  </conditionalFormatting>
  <conditionalFormatting sqref="P83">
    <cfRule type="cellIs" dxfId="5005" priority="1760" operator="greaterThan">
      <formula>0</formula>
    </cfRule>
  </conditionalFormatting>
  <conditionalFormatting sqref="Q83">
    <cfRule type="cellIs" dxfId="5004" priority="1759" operator="lessThan">
      <formula>0</formula>
    </cfRule>
  </conditionalFormatting>
  <conditionalFormatting sqref="R83">
    <cfRule type="cellIs" dxfId="5003" priority="1757" operator="lessThan">
      <formula>0.8</formula>
    </cfRule>
    <cfRule type="cellIs" dxfId="5002" priority="1758" operator="greaterThan">
      <formula>1</formula>
    </cfRule>
  </conditionalFormatting>
  <conditionalFormatting sqref="R83">
    <cfRule type="cellIs" dxfId="5001" priority="1755" operator="greaterThan">
      <formula>1</formula>
    </cfRule>
    <cfRule type="cellIs" dxfId="5000" priority="1756" operator="lessThan">
      <formula>0.8</formula>
    </cfRule>
  </conditionalFormatting>
  <conditionalFormatting sqref="P83">
    <cfRule type="cellIs" dxfId="4999" priority="1754" operator="greaterThan">
      <formula>0</formula>
    </cfRule>
  </conditionalFormatting>
  <conditionalFormatting sqref="Q83">
    <cfRule type="cellIs" dxfId="4998" priority="1753" operator="lessThan">
      <formula>0</formula>
    </cfRule>
  </conditionalFormatting>
  <conditionalFormatting sqref="R83">
    <cfRule type="cellIs" dxfId="4997" priority="1751" operator="lessThan">
      <formula>0.8</formula>
    </cfRule>
    <cfRule type="cellIs" dxfId="4996" priority="1752" operator="greaterThan">
      <formula>1</formula>
    </cfRule>
  </conditionalFormatting>
  <conditionalFormatting sqref="R83">
    <cfRule type="cellIs" dxfId="4995" priority="1749" operator="greaterThan">
      <formula>1</formula>
    </cfRule>
    <cfRule type="cellIs" dxfId="4994" priority="1750" operator="lessThan">
      <formula>0.8</formula>
    </cfRule>
  </conditionalFormatting>
  <conditionalFormatting sqref="P83">
    <cfRule type="cellIs" dxfId="4993" priority="1748" operator="greaterThan">
      <formula>0</formula>
    </cfRule>
  </conditionalFormatting>
  <conditionalFormatting sqref="Q83">
    <cfRule type="cellIs" dxfId="4992" priority="1747" operator="lessThan">
      <formula>0</formula>
    </cfRule>
  </conditionalFormatting>
  <conditionalFormatting sqref="R83">
    <cfRule type="cellIs" dxfId="4991" priority="1745" operator="lessThan">
      <formula>0.8</formula>
    </cfRule>
    <cfRule type="cellIs" dxfId="4990" priority="1746" operator="greaterThan">
      <formula>1</formula>
    </cfRule>
  </conditionalFormatting>
  <conditionalFormatting sqref="R83">
    <cfRule type="cellIs" dxfId="4989" priority="1743" operator="greaterThan">
      <formula>1</formula>
    </cfRule>
    <cfRule type="cellIs" dxfId="4988" priority="1744" operator="lessThan">
      <formula>0.8</formula>
    </cfRule>
  </conditionalFormatting>
  <conditionalFormatting sqref="P83">
    <cfRule type="cellIs" dxfId="4987" priority="1742" operator="greaterThan">
      <formula>0</formula>
    </cfRule>
  </conditionalFormatting>
  <conditionalFormatting sqref="Q83">
    <cfRule type="cellIs" dxfId="4986" priority="1741" operator="lessThan">
      <formula>0</formula>
    </cfRule>
  </conditionalFormatting>
  <conditionalFormatting sqref="R83">
    <cfRule type="cellIs" dxfId="4985" priority="1739" operator="lessThan">
      <formula>0.8</formula>
    </cfRule>
    <cfRule type="cellIs" dxfId="4984" priority="1740" operator="greaterThan">
      <formula>1</formula>
    </cfRule>
  </conditionalFormatting>
  <conditionalFormatting sqref="R83">
    <cfRule type="cellIs" dxfId="4983" priority="1737" operator="greaterThan">
      <formula>1</formula>
    </cfRule>
    <cfRule type="cellIs" dxfId="4982" priority="1738" operator="lessThan">
      <formula>0.8</formula>
    </cfRule>
  </conditionalFormatting>
  <conditionalFormatting sqref="P83">
    <cfRule type="cellIs" dxfId="4981" priority="1736" operator="greaterThan">
      <formula>0</formula>
    </cfRule>
  </conditionalFormatting>
  <conditionalFormatting sqref="P83">
    <cfRule type="cellIs" dxfId="4980" priority="1730" operator="greaterThan">
      <formula>0</formula>
    </cfRule>
  </conditionalFormatting>
  <conditionalFormatting sqref="Q83">
    <cfRule type="cellIs" dxfId="4979" priority="1735" operator="lessThan">
      <formula>0</formula>
    </cfRule>
  </conditionalFormatting>
  <conditionalFormatting sqref="R83">
    <cfRule type="cellIs" dxfId="4978" priority="1733" operator="lessThan">
      <formula>0.8</formula>
    </cfRule>
    <cfRule type="cellIs" dxfId="4977" priority="1734" operator="greaterThan">
      <formula>1</formula>
    </cfRule>
  </conditionalFormatting>
  <conditionalFormatting sqref="R83">
    <cfRule type="cellIs" dxfId="4976" priority="1731" operator="greaterThan">
      <formula>1</formula>
    </cfRule>
    <cfRule type="cellIs" dxfId="4975" priority="1732" operator="lessThan">
      <formula>0.8</formula>
    </cfRule>
  </conditionalFormatting>
  <conditionalFormatting sqref="P83">
    <cfRule type="cellIs" dxfId="4974" priority="1724" operator="greaterThan">
      <formula>0</formula>
    </cfRule>
  </conditionalFormatting>
  <conditionalFormatting sqref="Q83">
    <cfRule type="cellIs" dxfId="4973" priority="1729" operator="lessThan">
      <formula>0</formula>
    </cfRule>
  </conditionalFormatting>
  <conditionalFormatting sqref="R83">
    <cfRule type="cellIs" dxfId="4972" priority="1727" operator="lessThan">
      <formula>0.8</formula>
    </cfRule>
    <cfRule type="cellIs" dxfId="4971" priority="1728" operator="greaterThan">
      <formula>1</formula>
    </cfRule>
  </conditionalFormatting>
  <conditionalFormatting sqref="R83">
    <cfRule type="cellIs" dxfId="4970" priority="1725" operator="greaterThan">
      <formula>1</formula>
    </cfRule>
    <cfRule type="cellIs" dxfId="4969" priority="1726" operator="lessThan">
      <formula>0.8</formula>
    </cfRule>
  </conditionalFormatting>
  <conditionalFormatting sqref="R83">
    <cfRule type="cellIs" dxfId="4968" priority="1721" operator="lessThan">
      <formula>0.8</formula>
    </cfRule>
    <cfRule type="cellIs" dxfId="4967" priority="1722" operator="greaterThan">
      <formula>1</formula>
    </cfRule>
  </conditionalFormatting>
  <conditionalFormatting sqref="R83">
    <cfRule type="cellIs" dxfId="4966" priority="1719" operator="greaterThan">
      <formula>1</formula>
    </cfRule>
    <cfRule type="cellIs" dxfId="4965" priority="1720" operator="lessThan">
      <formula>0.8</formula>
    </cfRule>
  </conditionalFormatting>
  <conditionalFormatting sqref="P83">
    <cfRule type="cellIs" dxfId="4964" priority="1718" operator="greaterThan">
      <formula>0</formula>
    </cfRule>
  </conditionalFormatting>
  <conditionalFormatting sqref="Q83">
    <cfRule type="cellIs" dxfId="4963" priority="1723" operator="lessThan">
      <formula>0</formula>
    </cfRule>
  </conditionalFormatting>
  <conditionalFormatting sqref="Q83">
    <cfRule type="cellIs" dxfId="4962" priority="1712" operator="lessThan">
      <formula>0</formula>
    </cfRule>
  </conditionalFormatting>
  <conditionalFormatting sqref="P83">
    <cfRule type="cellIs" dxfId="4961" priority="1713" operator="greaterThan">
      <formula>0</formula>
    </cfRule>
  </conditionalFormatting>
  <conditionalFormatting sqref="R83">
    <cfRule type="cellIs" dxfId="4960" priority="1716" operator="lessThan">
      <formula>0.8</formula>
    </cfRule>
    <cfRule type="cellIs" dxfId="4959" priority="1717" operator="greaterThan">
      <formula>1</formula>
    </cfRule>
  </conditionalFormatting>
  <conditionalFormatting sqref="R83">
    <cfRule type="cellIs" dxfId="4958" priority="1714" operator="greaterThan">
      <formula>1</formula>
    </cfRule>
    <cfRule type="cellIs" dxfId="4957" priority="1715" operator="lessThan">
      <formula>0.8</formula>
    </cfRule>
  </conditionalFormatting>
  <conditionalFormatting sqref="Q83">
    <cfRule type="cellIs" dxfId="4956" priority="1706" operator="lessThan">
      <formula>0</formula>
    </cfRule>
  </conditionalFormatting>
  <conditionalFormatting sqref="R83">
    <cfRule type="cellIs" dxfId="4955" priority="1710" operator="lessThan">
      <formula>0.8</formula>
    </cfRule>
    <cfRule type="cellIs" dxfId="4954" priority="1711" operator="greaterThan">
      <formula>1</formula>
    </cfRule>
  </conditionalFormatting>
  <conditionalFormatting sqref="R83">
    <cfRule type="cellIs" dxfId="4953" priority="1708" operator="greaterThan">
      <formula>1</formula>
    </cfRule>
    <cfRule type="cellIs" dxfId="4952" priority="1709" operator="lessThan">
      <formula>0.8</formula>
    </cfRule>
  </conditionalFormatting>
  <conditionalFormatting sqref="P83">
    <cfRule type="cellIs" dxfId="4951" priority="1707" operator="greaterThan">
      <formula>0</formula>
    </cfRule>
  </conditionalFormatting>
  <conditionalFormatting sqref="Q83">
    <cfRule type="cellIs" dxfId="4950" priority="1705" operator="lessThan">
      <formula>0</formula>
    </cfRule>
  </conditionalFormatting>
  <conditionalFormatting sqref="R83">
    <cfRule type="cellIs" dxfId="4949" priority="1703" operator="lessThan">
      <formula>0.8</formula>
    </cfRule>
    <cfRule type="cellIs" dxfId="4948" priority="1704" operator="greaterThan">
      <formula>1</formula>
    </cfRule>
  </conditionalFormatting>
  <conditionalFormatting sqref="R83">
    <cfRule type="cellIs" dxfId="4947" priority="1701" operator="greaterThan">
      <formula>1</formula>
    </cfRule>
    <cfRule type="cellIs" dxfId="4946" priority="1702" operator="lessThan">
      <formula>0.8</formula>
    </cfRule>
  </conditionalFormatting>
  <conditionalFormatting sqref="P83">
    <cfRule type="cellIs" dxfId="4945" priority="1700" operator="greaterThan">
      <formula>0</formula>
    </cfRule>
  </conditionalFormatting>
  <conditionalFormatting sqref="Q83">
    <cfRule type="cellIs" dxfId="4944" priority="1699" operator="lessThan">
      <formula>0</formula>
    </cfRule>
  </conditionalFormatting>
  <conditionalFormatting sqref="R83">
    <cfRule type="cellIs" dxfId="4943" priority="1697" operator="lessThan">
      <formula>0.8</formula>
    </cfRule>
    <cfRule type="cellIs" dxfId="4942" priority="1698" operator="greaterThan">
      <formula>1</formula>
    </cfRule>
  </conditionalFormatting>
  <conditionalFormatting sqref="R83">
    <cfRule type="cellIs" dxfId="4941" priority="1695" operator="greaterThan">
      <formula>1</formula>
    </cfRule>
    <cfRule type="cellIs" dxfId="4940" priority="1696" operator="lessThan">
      <formula>0.8</formula>
    </cfRule>
  </conditionalFormatting>
  <conditionalFormatting sqref="P83">
    <cfRule type="cellIs" dxfId="4939" priority="1694" operator="greaterThan">
      <formula>0</formula>
    </cfRule>
  </conditionalFormatting>
  <conditionalFormatting sqref="Q83">
    <cfRule type="cellIs" dxfId="4938" priority="1693" operator="lessThan">
      <formula>0</formula>
    </cfRule>
  </conditionalFormatting>
  <conditionalFormatting sqref="R83">
    <cfRule type="cellIs" dxfId="4937" priority="1691" operator="lessThan">
      <formula>0.8</formula>
    </cfRule>
    <cfRule type="cellIs" dxfId="4936" priority="1692" operator="greaterThan">
      <formula>1</formula>
    </cfRule>
  </conditionalFormatting>
  <conditionalFormatting sqref="R83">
    <cfRule type="cellIs" dxfId="4935" priority="1689" operator="greaterThan">
      <formula>1</formula>
    </cfRule>
    <cfRule type="cellIs" dxfId="4934" priority="1690" operator="lessThan">
      <formula>0.8</formula>
    </cfRule>
  </conditionalFormatting>
  <conditionalFormatting sqref="P83">
    <cfRule type="cellIs" dxfId="4933" priority="1688" operator="greaterThan">
      <formula>0</formula>
    </cfRule>
  </conditionalFormatting>
  <conditionalFormatting sqref="Q32:Q39">
    <cfRule type="cellIs" dxfId="4932" priority="1682" operator="lessThan">
      <formula>0</formula>
    </cfRule>
  </conditionalFormatting>
  <conditionalFormatting sqref="P39">
    <cfRule type="cellIs" dxfId="4931" priority="1683" operator="greaterThan">
      <formula>0</formula>
    </cfRule>
  </conditionalFormatting>
  <conditionalFormatting sqref="R32:R39">
    <cfRule type="cellIs" dxfId="4930" priority="1686" operator="lessThan">
      <formula>0.8</formula>
    </cfRule>
    <cfRule type="cellIs" dxfId="4929" priority="1687" operator="greaterThan">
      <formula>1</formula>
    </cfRule>
  </conditionalFormatting>
  <conditionalFormatting sqref="R32:R39">
    <cfRule type="cellIs" dxfId="4928" priority="1684" operator="greaterThan">
      <formula>1</formula>
    </cfRule>
    <cfRule type="cellIs" dxfId="4927" priority="1685" operator="lessThan">
      <formula>0.8</formula>
    </cfRule>
  </conditionalFormatting>
  <conditionalFormatting sqref="Q32:Q39">
    <cfRule type="cellIs" dxfId="4926" priority="1676" operator="lessThan">
      <formula>0</formula>
    </cfRule>
  </conditionalFormatting>
  <conditionalFormatting sqref="R32:R39">
    <cfRule type="cellIs" dxfId="4925" priority="1680" operator="lessThan">
      <formula>0.8</formula>
    </cfRule>
    <cfRule type="cellIs" dxfId="4924" priority="1681" operator="greaterThan">
      <formula>1</formula>
    </cfRule>
  </conditionalFormatting>
  <conditionalFormatting sqref="R32:R39">
    <cfRule type="cellIs" dxfId="4923" priority="1678" operator="greaterThan">
      <formula>1</formula>
    </cfRule>
    <cfRule type="cellIs" dxfId="4922" priority="1679" operator="lessThan">
      <formula>0.8</formula>
    </cfRule>
  </conditionalFormatting>
  <conditionalFormatting sqref="P39">
    <cfRule type="cellIs" dxfId="4921" priority="1677" operator="greaterThan">
      <formula>0</formula>
    </cfRule>
  </conditionalFormatting>
  <conditionalFormatting sqref="Q32:Q39">
    <cfRule type="cellIs" dxfId="4920" priority="1675" operator="lessThan">
      <formula>0</formula>
    </cfRule>
  </conditionalFormatting>
  <conditionalFormatting sqref="R32:R39">
    <cfRule type="cellIs" dxfId="4919" priority="1673" operator="lessThan">
      <formula>0.8</formula>
    </cfRule>
    <cfRule type="cellIs" dxfId="4918" priority="1674" operator="greaterThan">
      <formula>1</formula>
    </cfRule>
  </conditionalFormatting>
  <conditionalFormatting sqref="R32:R39">
    <cfRule type="cellIs" dxfId="4917" priority="1671" operator="greaterThan">
      <formula>1</formula>
    </cfRule>
    <cfRule type="cellIs" dxfId="4916" priority="1672" operator="lessThan">
      <formula>0.8</formula>
    </cfRule>
  </conditionalFormatting>
  <conditionalFormatting sqref="P39">
    <cfRule type="cellIs" dxfId="4915" priority="1670" operator="greaterThan">
      <formula>0</formula>
    </cfRule>
  </conditionalFormatting>
  <conditionalFormatting sqref="Q32:Q39">
    <cfRule type="cellIs" dxfId="4914" priority="1669" operator="lessThan">
      <formula>0</formula>
    </cfRule>
  </conditionalFormatting>
  <conditionalFormatting sqref="R32:R39">
    <cfRule type="cellIs" dxfId="4913" priority="1667" operator="lessThan">
      <formula>0.8</formula>
    </cfRule>
    <cfRule type="cellIs" dxfId="4912" priority="1668" operator="greaterThan">
      <formula>1</formula>
    </cfRule>
  </conditionalFormatting>
  <conditionalFormatting sqref="R32:R39">
    <cfRule type="cellIs" dxfId="4911" priority="1665" operator="greaterThan">
      <formula>1</formula>
    </cfRule>
    <cfRule type="cellIs" dxfId="4910" priority="1666" operator="lessThan">
      <formula>0.8</formula>
    </cfRule>
  </conditionalFormatting>
  <conditionalFormatting sqref="P39">
    <cfRule type="cellIs" dxfId="4909" priority="1664" operator="greaterThan">
      <formula>0</formula>
    </cfRule>
  </conditionalFormatting>
  <conditionalFormatting sqref="Q32:Q39">
    <cfRule type="cellIs" dxfId="4908" priority="1658" operator="lessThan">
      <formula>0</formula>
    </cfRule>
  </conditionalFormatting>
  <conditionalFormatting sqref="R32:R39">
    <cfRule type="cellIs" dxfId="4907" priority="1662" operator="lessThan">
      <formula>0.8</formula>
    </cfRule>
    <cfRule type="cellIs" dxfId="4906" priority="1663" operator="greaterThan">
      <formula>1</formula>
    </cfRule>
  </conditionalFormatting>
  <conditionalFormatting sqref="R32:R39">
    <cfRule type="cellIs" dxfId="4905" priority="1660" operator="greaterThan">
      <formula>1</formula>
    </cfRule>
    <cfRule type="cellIs" dxfId="4904" priority="1661" operator="lessThan">
      <formula>0.8</formula>
    </cfRule>
  </conditionalFormatting>
  <conditionalFormatting sqref="P39">
    <cfRule type="cellIs" dxfId="4903" priority="1659" operator="greaterThan">
      <formula>0</formula>
    </cfRule>
  </conditionalFormatting>
  <conditionalFormatting sqref="Q32:Q39">
    <cfRule type="cellIs" dxfId="4902" priority="1657" operator="lessThan">
      <formula>0</formula>
    </cfRule>
  </conditionalFormatting>
  <conditionalFormatting sqref="R32:R39">
    <cfRule type="cellIs" dxfId="4901" priority="1655" operator="lessThan">
      <formula>0.8</formula>
    </cfRule>
    <cfRule type="cellIs" dxfId="4900" priority="1656" operator="greaterThan">
      <formula>1</formula>
    </cfRule>
  </conditionalFormatting>
  <conditionalFormatting sqref="R32:R39">
    <cfRule type="cellIs" dxfId="4899" priority="1653" operator="greaterThan">
      <formula>1</formula>
    </cfRule>
    <cfRule type="cellIs" dxfId="4898" priority="1654" operator="lessThan">
      <formula>0.8</formula>
    </cfRule>
  </conditionalFormatting>
  <conditionalFormatting sqref="P39">
    <cfRule type="cellIs" dxfId="4897" priority="1652" operator="greaterThan">
      <formula>0</formula>
    </cfRule>
  </conditionalFormatting>
  <conditionalFormatting sqref="Q32:Q39">
    <cfRule type="cellIs" dxfId="4896" priority="1651" operator="lessThan">
      <formula>0</formula>
    </cfRule>
  </conditionalFormatting>
  <conditionalFormatting sqref="R32:R39">
    <cfRule type="cellIs" dxfId="4895" priority="1649" operator="lessThan">
      <formula>0.8</formula>
    </cfRule>
    <cfRule type="cellIs" dxfId="4894" priority="1650" operator="greaterThan">
      <formula>1</formula>
    </cfRule>
  </conditionalFormatting>
  <conditionalFormatting sqref="R32:R39">
    <cfRule type="cellIs" dxfId="4893" priority="1647" operator="greaterThan">
      <formula>1</formula>
    </cfRule>
    <cfRule type="cellIs" dxfId="4892" priority="1648" operator="lessThan">
      <formula>0.8</formula>
    </cfRule>
  </conditionalFormatting>
  <conditionalFormatting sqref="P39">
    <cfRule type="cellIs" dxfId="4891" priority="1646" operator="greaterThan">
      <formula>0</formula>
    </cfRule>
  </conditionalFormatting>
  <conditionalFormatting sqref="Q32:Q39">
    <cfRule type="cellIs" dxfId="4890" priority="1645" operator="lessThan">
      <formula>0</formula>
    </cfRule>
  </conditionalFormatting>
  <conditionalFormatting sqref="R32:R39">
    <cfRule type="cellIs" dxfId="4889" priority="1643" operator="lessThan">
      <formula>0.8</formula>
    </cfRule>
    <cfRule type="cellIs" dxfId="4888" priority="1644" operator="greaterThan">
      <formula>1</formula>
    </cfRule>
  </conditionalFormatting>
  <conditionalFormatting sqref="R32:R39">
    <cfRule type="cellIs" dxfId="4887" priority="1641" operator="greaterThan">
      <formula>1</formula>
    </cfRule>
    <cfRule type="cellIs" dxfId="4886" priority="1642" operator="lessThan">
      <formula>0.8</formula>
    </cfRule>
  </conditionalFormatting>
  <conditionalFormatting sqref="P39">
    <cfRule type="cellIs" dxfId="4885" priority="1640" operator="greaterThan">
      <formula>0</formula>
    </cfRule>
  </conditionalFormatting>
  <conditionalFormatting sqref="Q32:Q39">
    <cfRule type="cellIs" dxfId="4884" priority="1639" operator="lessThan">
      <formula>0</formula>
    </cfRule>
  </conditionalFormatting>
  <conditionalFormatting sqref="R32:R39">
    <cfRule type="cellIs" dxfId="4883" priority="1637" operator="lessThan">
      <formula>0.8</formula>
    </cfRule>
    <cfRule type="cellIs" dxfId="4882" priority="1638" operator="greaterThan">
      <formula>1</formula>
    </cfRule>
  </conditionalFormatting>
  <conditionalFormatting sqref="R32:R39">
    <cfRule type="cellIs" dxfId="4881" priority="1635" operator="greaterThan">
      <formula>1</formula>
    </cfRule>
    <cfRule type="cellIs" dxfId="4880" priority="1636" operator="lessThan">
      <formula>0.8</formula>
    </cfRule>
  </conditionalFormatting>
  <conditionalFormatting sqref="P39">
    <cfRule type="cellIs" dxfId="4879" priority="1634" operator="greaterThan">
      <formula>0</formula>
    </cfRule>
  </conditionalFormatting>
  <conditionalFormatting sqref="Q32:Q39">
    <cfRule type="cellIs" dxfId="4878" priority="1633" operator="lessThan">
      <formula>0</formula>
    </cfRule>
  </conditionalFormatting>
  <conditionalFormatting sqref="R32:R39">
    <cfRule type="cellIs" dxfId="4877" priority="1631" operator="lessThan">
      <formula>0.8</formula>
    </cfRule>
    <cfRule type="cellIs" dxfId="4876" priority="1632" operator="greaterThan">
      <formula>1</formula>
    </cfRule>
  </conditionalFormatting>
  <conditionalFormatting sqref="R32:R39">
    <cfRule type="cellIs" dxfId="4875" priority="1629" operator="greaterThan">
      <formula>1</formula>
    </cfRule>
    <cfRule type="cellIs" dxfId="4874" priority="1630" operator="lessThan">
      <formula>0.8</formula>
    </cfRule>
  </conditionalFormatting>
  <conditionalFormatting sqref="P39">
    <cfRule type="cellIs" dxfId="4873" priority="1628" operator="greaterThan">
      <formula>0</formula>
    </cfRule>
  </conditionalFormatting>
  <conditionalFormatting sqref="P39">
    <cfRule type="cellIs" dxfId="4872" priority="1622" operator="greaterThan">
      <formula>0</formula>
    </cfRule>
  </conditionalFormatting>
  <conditionalFormatting sqref="Q32:Q39">
    <cfRule type="cellIs" dxfId="4871" priority="1627" operator="lessThan">
      <formula>0</formula>
    </cfRule>
  </conditionalFormatting>
  <conditionalFormatting sqref="R32:R39">
    <cfRule type="cellIs" dxfId="4870" priority="1625" operator="lessThan">
      <formula>0.8</formula>
    </cfRule>
    <cfRule type="cellIs" dxfId="4869" priority="1626" operator="greaterThan">
      <formula>1</formula>
    </cfRule>
  </conditionalFormatting>
  <conditionalFormatting sqref="R32:R39">
    <cfRule type="cellIs" dxfId="4868" priority="1623" operator="greaterThan">
      <formula>1</formula>
    </cfRule>
    <cfRule type="cellIs" dxfId="4867" priority="1624" operator="lessThan">
      <formula>0.8</formula>
    </cfRule>
  </conditionalFormatting>
  <conditionalFormatting sqref="P39">
    <cfRule type="cellIs" dxfId="4866" priority="1616" operator="greaterThan">
      <formula>0</formula>
    </cfRule>
  </conditionalFormatting>
  <conditionalFormatting sqref="Q32:Q39">
    <cfRule type="cellIs" dxfId="4865" priority="1621" operator="lessThan">
      <formula>0</formula>
    </cfRule>
  </conditionalFormatting>
  <conditionalFormatting sqref="R32:R39">
    <cfRule type="cellIs" dxfId="4864" priority="1619" operator="lessThan">
      <formula>0.8</formula>
    </cfRule>
    <cfRule type="cellIs" dxfId="4863" priority="1620" operator="greaterThan">
      <formula>1</formula>
    </cfRule>
  </conditionalFormatting>
  <conditionalFormatting sqref="R32:R39">
    <cfRule type="cellIs" dxfId="4862" priority="1617" operator="greaterThan">
      <formula>1</formula>
    </cfRule>
    <cfRule type="cellIs" dxfId="4861" priority="1618" operator="lessThan">
      <formula>0.8</formula>
    </cfRule>
  </conditionalFormatting>
  <conditionalFormatting sqref="R32:R39">
    <cfRule type="cellIs" dxfId="4860" priority="1613" operator="lessThan">
      <formula>0.8</formula>
    </cfRule>
    <cfRule type="cellIs" dxfId="4859" priority="1614" operator="greaterThan">
      <formula>1</formula>
    </cfRule>
  </conditionalFormatting>
  <conditionalFormatting sqref="R32:R39">
    <cfRule type="cellIs" dxfId="4858" priority="1611" operator="greaterThan">
      <formula>1</formula>
    </cfRule>
    <cfRule type="cellIs" dxfId="4857" priority="1612" operator="lessThan">
      <formula>0.8</formula>
    </cfRule>
  </conditionalFormatting>
  <conditionalFormatting sqref="P39">
    <cfRule type="cellIs" dxfId="4856" priority="1610" operator="greaterThan">
      <formula>0</formula>
    </cfRule>
  </conditionalFormatting>
  <conditionalFormatting sqref="Q32:Q39">
    <cfRule type="cellIs" dxfId="4855" priority="1615" operator="lessThan">
      <formula>0</formula>
    </cfRule>
  </conditionalFormatting>
  <conditionalFormatting sqref="Q32:Q39">
    <cfRule type="cellIs" dxfId="4854" priority="1604" operator="lessThan">
      <formula>0</formula>
    </cfRule>
  </conditionalFormatting>
  <conditionalFormatting sqref="P39">
    <cfRule type="cellIs" dxfId="4853" priority="1605" operator="greaterThan">
      <formula>0</formula>
    </cfRule>
  </conditionalFormatting>
  <conditionalFormatting sqref="R32:R39">
    <cfRule type="cellIs" dxfId="4852" priority="1608" operator="lessThan">
      <formula>0.8</formula>
    </cfRule>
    <cfRule type="cellIs" dxfId="4851" priority="1609" operator="greaterThan">
      <formula>1</formula>
    </cfRule>
  </conditionalFormatting>
  <conditionalFormatting sqref="R32:R39">
    <cfRule type="cellIs" dxfId="4850" priority="1606" operator="greaterThan">
      <formula>1</formula>
    </cfRule>
    <cfRule type="cellIs" dxfId="4849" priority="1607" operator="lessThan">
      <formula>0.8</formula>
    </cfRule>
  </conditionalFormatting>
  <conditionalFormatting sqref="Q32:Q39">
    <cfRule type="cellIs" dxfId="4848" priority="1598" operator="lessThan">
      <formula>0</formula>
    </cfRule>
  </conditionalFormatting>
  <conditionalFormatting sqref="R32:R39">
    <cfRule type="cellIs" dxfId="4847" priority="1602" operator="lessThan">
      <formula>0.8</formula>
    </cfRule>
    <cfRule type="cellIs" dxfId="4846" priority="1603" operator="greaterThan">
      <formula>1</formula>
    </cfRule>
  </conditionalFormatting>
  <conditionalFormatting sqref="R32:R39">
    <cfRule type="cellIs" dxfId="4845" priority="1600" operator="greaterThan">
      <formula>1</formula>
    </cfRule>
    <cfRule type="cellIs" dxfId="4844" priority="1601" operator="lessThan">
      <formula>0.8</formula>
    </cfRule>
  </conditionalFormatting>
  <conditionalFormatting sqref="P39">
    <cfRule type="cellIs" dxfId="4843" priority="1599" operator="greaterThan">
      <formula>0</formula>
    </cfRule>
  </conditionalFormatting>
  <conditionalFormatting sqref="Q32:Q39">
    <cfRule type="cellIs" dxfId="4842" priority="1597" operator="lessThan">
      <formula>0</formula>
    </cfRule>
  </conditionalFormatting>
  <conditionalFormatting sqref="R32:R39">
    <cfRule type="cellIs" dxfId="4841" priority="1595" operator="lessThan">
      <formula>0.8</formula>
    </cfRule>
    <cfRule type="cellIs" dxfId="4840" priority="1596" operator="greaterThan">
      <formula>1</formula>
    </cfRule>
  </conditionalFormatting>
  <conditionalFormatting sqref="R32:R39">
    <cfRule type="cellIs" dxfId="4839" priority="1593" operator="greaterThan">
      <formula>1</formula>
    </cfRule>
    <cfRule type="cellIs" dxfId="4838" priority="1594" operator="lessThan">
      <formula>0.8</formula>
    </cfRule>
  </conditionalFormatting>
  <conditionalFormatting sqref="P39">
    <cfRule type="cellIs" dxfId="4837" priority="1592" operator="greaterThan">
      <formula>0</formula>
    </cfRule>
  </conditionalFormatting>
  <conditionalFormatting sqref="Q32:Q39">
    <cfRule type="cellIs" dxfId="4836" priority="1591" operator="lessThan">
      <formula>0</formula>
    </cfRule>
  </conditionalFormatting>
  <conditionalFormatting sqref="R32:R39">
    <cfRule type="cellIs" dxfId="4835" priority="1589" operator="lessThan">
      <formula>0.8</formula>
    </cfRule>
    <cfRule type="cellIs" dxfId="4834" priority="1590" operator="greaterThan">
      <formula>1</formula>
    </cfRule>
  </conditionalFormatting>
  <conditionalFormatting sqref="R32:R39">
    <cfRule type="cellIs" dxfId="4833" priority="1587" operator="greaterThan">
      <formula>1</formula>
    </cfRule>
    <cfRule type="cellIs" dxfId="4832" priority="1588" operator="lessThan">
      <formula>0.8</formula>
    </cfRule>
  </conditionalFormatting>
  <conditionalFormatting sqref="P39">
    <cfRule type="cellIs" dxfId="4831" priority="1586" operator="greaterThan">
      <formula>0</formula>
    </cfRule>
  </conditionalFormatting>
  <conditionalFormatting sqref="Q32:Q39">
    <cfRule type="cellIs" dxfId="4830" priority="1580" operator="lessThan">
      <formula>0</formula>
    </cfRule>
  </conditionalFormatting>
  <conditionalFormatting sqref="P39">
    <cfRule type="cellIs" dxfId="4829" priority="1581" operator="greaterThan">
      <formula>0</formula>
    </cfRule>
  </conditionalFormatting>
  <conditionalFormatting sqref="R32:R39">
    <cfRule type="cellIs" dxfId="4828" priority="1584" operator="lessThan">
      <formula>0.8</formula>
    </cfRule>
    <cfRule type="cellIs" dxfId="4827" priority="1585" operator="greaterThan">
      <formula>1</formula>
    </cfRule>
  </conditionalFormatting>
  <conditionalFormatting sqref="R32:R39">
    <cfRule type="cellIs" dxfId="4826" priority="1582" operator="greaterThan">
      <formula>1</formula>
    </cfRule>
    <cfRule type="cellIs" dxfId="4825" priority="1583" operator="lessThan">
      <formula>0.8</formula>
    </cfRule>
  </conditionalFormatting>
  <conditionalFormatting sqref="Q32:Q39">
    <cfRule type="cellIs" dxfId="4824" priority="1574" operator="lessThan">
      <formula>0</formula>
    </cfRule>
  </conditionalFormatting>
  <conditionalFormatting sqref="R32:R39">
    <cfRule type="cellIs" dxfId="4823" priority="1578" operator="lessThan">
      <formula>0.8</formula>
    </cfRule>
    <cfRule type="cellIs" dxfId="4822" priority="1579" operator="greaterThan">
      <formula>1</formula>
    </cfRule>
  </conditionalFormatting>
  <conditionalFormatting sqref="R32:R39">
    <cfRule type="cellIs" dxfId="4821" priority="1576" operator="greaterThan">
      <formula>1</formula>
    </cfRule>
    <cfRule type="cellIs" dxfId="4820" priority="1577" operator="lessThan">
      <formula>0.8</formula>
    </cfRule>
  </conditionalFormatting>
  <conditionalFormatting sqref="P39">
    <cfRule type="cellIs" dxfId="4819" priority="1575" operator="greaterThan">
      <formula>0</formula>
    </cfRule>
  </conditionalFormatting>
  <conditionalFormatting sqref="Q32:Q39">
    <cfRule type="cellIs" dxfId="4818" priority="1573" operator="lessThan">
      <formula>0</formula>
    </cfRule>
  </conditionalFormatting>
  <conditionalFormatting sqref="R32:R39">
    <cfRule type="cellIs" dxfId="4817" priority="1571" operator="lessThan">
      <formula>0.8</formula>
    </cfRule>
    <cfRule type="cellIs" dxfId="4816" priority="1572" operator="greaterThan">
      <formula>1</formula>
    </cfRule>
  </conditionalFormatting>
  <conditionalFormatting sqref="R32:R39">
    <cfRule type="cellIs" dxfId="4815" priority="1569" operator="greaterThan">
      <formula>1</formula>
    </cfRule>
    <cfRule type="cellIs" dxfId="4814" priority="1570" operator="lessThan">
      <formula>0.8</formula>
    </cfRule>
  </conditionalFormatting>
  <conditionalFormatting sqref="P39">
    <cfRule type="cellIs" dxfId="4813" priority="1568" operator="greaterThan">
      <formula>0</formula>
    </cfRule>
  </conditionalFormatting>
  <conditionalFormatting sqref="Q32:Q39">
    <cfRule type="cellIs" dxfId="4812" priority="1567" operator="lessThan">
      <formula>0</formula>
    </cfRule>
  </conditionalFormatting>
  <conditionalFormatting sqref="R32:R39">
    <cfRule type="cellIs" dxfId="4811" priority="1565" operator="lessThan">
      <formula>0.8</formula>
    </cfRule>
    <cfRule type="cellIs" dxfId="4810" priority="1566" operator="greaterThan">
      <formula>1</formula>
    </cfRule>
  </conditionalFormatting>
  <conditionalFormatting sqref="R32:R39">
    <cfRule type="cellIs" dxfId="4809" priority="1563" operator="greaterThan">
      <formula>1</formula>
    </cfRule>
    <cfRule type="cellIs" dxfId="4808" priority="1564" operator="lessThan">
      <formula>0.8</formula>
    </cfRule>
  </conditionalFormatting>
  <conditionalFormatting sqref="P39">
    <cfRule type="cellIs" dxfId="4807" priority="1562" operator="greaterThan">
      <formula>0</formula>
    </cfRule>
  </conditionalFormatting>
  <conditionalFormatting sqref="Q19:Q25">
    <cfRule type="cellIs" dxfId="4806" priority="1561" operator="lessThan">
      <formula>0</formula>
    </cfRule>
  </conditionalFormatting>
  <conditionalFormatting sqref="R19:R25">
    <cfRule type="cellIs" dxfId="4805" priority="1559" operator="lessThan">
      <formula>0.8</formula>
    </cfRule>
    <cfRule type="cellIs" dxfId="4804" priority="1560" operator="greaterThan">
      <formula>1</formula>
    </cfRule>
  </conditionalFormatting>
  <conditionalFormatting sqref="R19:R25">
    <cfRule type="cellIs" dxfId="4803" priority="1557" operator="greaterThan">
      <formula>1</formula>
    </cfRule>
    <cfRule type="cellIs" dxfId="4802" priority="1558" operator="lessThan">
      <formula>0.8</formula>
    </cfRule>
  </conditionalFormatting>
  <conditionalFormatting sqref="P19:P25">
    <cfRule type="cellIs" dxfId="4801" priority="1556" operator="greaterThan">
      <formula>0</formula>
    </cfRule>
  </conditionalFormatting>
  <conditionalFormatting sqref="R19:R25">
    <cfRule type="cellIs" dxfId="4800" priority="1553" operator="lessThan">
      <formula>0.8</formula>
    </cfRule>
    <cfRule type="cellIs" dxfId="4799" priority="1554" operator="greaterThan">
      <formula>1</formula>
    </cfRule>
  </conditionalFormatting>
  <conditionalFormatting sqref="R19:R25">
    <cfRule type="cellIs" dxfId="4798" priority="1551" operator="greaterThan">
      <formula>1</formula>
    </cfRule>
    <cfRule type="cellIs" dxfId="4797" priority="1552" operator="lessThan">
      <formula>0.8</formula>
    </cfRule>
  </conditionalFormatting>
  <conditionalFormatting sqref="P19:P25">
    <cfRule type="cellIs" dxfId="4796" priority="1550" operator="greaterThan">
      <formula>0</formula>
    </cfRule>
  </conditionalFormatting>
  <conditionalFormatting sqref="Q19:Q25">
    <cfRule type="cellIs" dxfId="4795" priority="1555" operator="lessThan">
      <formula>0</formula>
    </cfRule>
  </conditionalFormatting>
  <conditionalFormatting sqref="R19:R25">
    <cfRule type="cellIs" dxfId="4794" priority="1547" operator="lessThan">
      <formula>0.8</formula>
    </cfRule>
    <cfRule type="cellIs" dxfId="4793" priority="1548" operator="greaterThan">
      <formula>1</formula>
    </cfRule>
  </conditionalFormatting>
  <conditionalFormatting sqref="R19:R25">
    <cfRule type="cellIs" dxfId="4792" priority="1545" operator="greaterThan">
      <formula>1</formula>
    </cfRule>
    <cfRule type="cellIs" dxfId="4791" priority="1546" operator="lessThan">
      <formula>0.8</formula>
    </cfRule>
  </conditionalFormatting>
  <conditionalFormatting sqref="P19:P25">
    <cfRule type="cellIs" dxfId="4790" priority="1544" operator="greaterThan">
      <formula>0</formula>
    </cfRule>
  </conditionalFormatting>
  <conditionalFormatting sqref="Q19:Q25">
    <cfRule type="cellIs" dxfId="4789" priority="1549" operator="lessThan">
      <formula>0</formula>
    </cfRule>
  </conditionalFormatting>
  <conditionalFormatting sqref="Q19:Q25">
    <cfRule type="cellIs" dxfId="4788" priority="1543" operator="lessThan">
      <formula>0</formula>
    </cfRule>
  </conditionalFormatting>
  <conditionalFormatting sqref="R19:R25">
    <cfRule type="cellIs" dxfId="4787" priority="1541" operator="lessThan">
      <formula>0.8</formula>
    </cfRule>
    <cfRule type="cellIs" dxfId="4786" priority="1542" operator="greaterThan">
      <formula>1</formula>
    </cfRule>
  </conditionalFormatting>
  <conditionalFormatting sqref="R19:R25">
    <cfRule type="cellIs" dxfId="4785" priority="1539" operator="greaterThan">
      <formula>1</formula>
    </cfRule>
    <cfRule type="cellIs" dxfId="4784" priority="1540" operator="lessThan">
      <formula>0.8</formula>
    </cfRule>
  </conditionalFormatting>
  <conditionalFormatting sqref="P19:P25">
    <cfRule type="cellIs" dxfId="4783" priority="1538" operator="greaterThan">
      <formula>0</formula>
    </cfRule>
  </conditionalFormatting>
  <conditionalFormatting sqref="Q135:Q136">
    <cfRule type="cellIs" dxfId="4782" priority="1537" operator="lessThan">
      <formula>0</formula>
    </cfRule>
  </conditionalFormatting>
  <conditionalFormatting sqref="R135:R136 R139:R144">
    <cfRule type="cellIs" dxfId="4781" priority="1535" operator="lessThan">
      <formula>0.8</formula>
    </cfRule>
    <cfRule type="cellIs" dxfId="4780" priority="1536" operator="greaterThan">
      <formula>1</formula>
    </cfRule>
  </conditionalFormatting>
  <conditionalFormatting sqref="R135:R136 R139:R144">
    <cfRule type="cellIs" dxfId="4779" priority="1533" operator="greaterThan">
      <formula>1</formula>
    </cfRule>
    <cfRule type="cellIs" dxfId="4778" priority="1534" operator="lessThan">
      <formula>0.8</formula>
    </cfRule>
  </conditionalFormatting>
  <conditionalFormatting sqref="P135:P136 P139">
    <cfRule type="cellIs" dxfId="4777" priority="1532" operator="greaterThan">
      <formula>0</formula>
    </cfRule>
  </conditionalFormatting>
  <conditionalFormatting sqref="P135:P136 P139">
    <cfRule type="cellIs" dxfId="4776" priority="1526" operator="greaterThan">
      <formula>0</formula>
    </cfRule>
  </conditionalFormatting>
  <conditionalFormatting sqref="Q135:Q136">
    <cfRule type="cellIs" dxfId="4775" priority="1531" operator="lessThan">
      <formula>0</formula>
    </cfRule>
  </conditionalFormatting>
  <conditionalFormatting sqref="R135:R136 R139:R144">
    <cfRule type="cellIs" dxfId="4774" priority="1529" operator="lessThan">
      <formula>0.8</formula>
    </cfRule>
    <cfRule type="cellIs" dxfId="4773" priority="1530" operator="greaterThan">
      <formula>1</formula>
    </cfRule>
  </conditionalFormatting>
  <conditionalFormatting sqref="R135:R136 R139:R144">
    <cfRule type="cellIs" dxfId="4772" priority="1527" operator="greaterThan">
      <formula>1</formula>
    </cfRule>
    <cfRule type="cellIs" dxfId="4771" priority="1528" operator="lessThan">
      <formula>0.8</formula>
    </cfRule>
  </conditionalFormatting>
  <conditionalFormatting sqref="P19:P25">
    <cfRule type="cellIs" dxfId="4770" priority="1520" operator="greaterThan">
      <formula>0</formula>
    </cfRule>
  </conditionalFormatting>
  <conditionalFormatting sqref="Q19:Q25">
    <cfRule type="cellIs" dxfId="4769" priority="1525" operator="lessThan">
      <formula>0</formula>
    </cfRule>
  </conditionalFormatting>
  <conditionalFormatting sqref="R19:R25">
    <cfRule type="cellIs" dxfId="4768" priority="1523" operator="lessThan">
      <formula>0.8</formula>
    </cfRule>
    <cfRule type="cellIs" dxfId="4767" priority="1524" operator="greaterThan">
      <formula>1</formula>
    </cfRule>
  </conditionalFormatting>
  <conditionalFormatting sqref="R19:R25">
    <cfRule type="cellIs" dxfId="4766" priority="1521" operator="greaterThan">
      <formula>1</formula>
    </cfRule>
    <cfRule type="cellIs" dxfId="4765" priority="1522" operator="lessThan">
      <formula>0.8</formula>
    </cfRule>
  </conditionalFormatting>
  <conditionalFormatting sqref="Q19:Q25">
    <cfRule type="cellIs" dxfId="4764" priority="1519" operator="lessThan">
      <formula>0</formula>
    </cfRule>
  </conditionalFormatting>
  <conditionalFormatting sqref="R19:R25">
    <cfRule type="cellIs" dxfId="4763" priority="1517" operator="lessThan">
      <formula>0.8</formula>
    </cfRule>
    <cfRule type="cellIs" dxfId="4762" priority="1518" operator="greaterThan">
      <formula>1</formula>
    </cfRule>
  </conditionalFormatting>
  <conditionalFormatting sqref="R19:R25">
    <cfRule type="cellIs" dxfId="4761" priority="1515" operator="greaterThan">
      <formula>1</formula>
    </cfRule>
    <cfRule type="cellIs" dxfId="4760" priority="1516" operator="lessThan">
      <formula>0.8</formula>
    </cfRule>
  </conditionalFormatting>
  <conditionalFormatting sqref="P19:P25">
    <cfRule type="cellIs" dxfId="4759" priority="1514" operator="greaterThan">
      <formula>0</formula>
    </cfRule>
  </conditionalFormatting>
  <conditionalFormatting sqref="Q19:Q25">
    <cfRule type="cellIs" dxfId="4758" priority="1513" operator="lessThan">
      <formula>0</formula>
    </cfRule>
  </conditionalFormatting>
  <conditionalFormatting sqref="R19:R25">
    <cfRule type="cellIs" dxfId="4757" priority="1511" operator="lessThan">
      <formula>0.8</formula>
    </cfRule>
    <cfRule type="cellIs" dxfId="4756" priority="1512" operator="greaterThan">
      <formula>1</formula>
    </cfRule>
  </conditionalFormatting>
  <conditionalFormatting sqref="R19:R25">
    <cfRule type="cellIs" dxfId="4755" priority="1509" operator="greaterThan">
      <formula>1</formula>
    </cfRule>
    <cfRule type="cellIs" dxfId="4754" priority="1510" operator="lessThan">
      <formula>0.8</formula>
    </cfRule>
  </conditionalFormatting>
  <conditionalFormatting sqref="P19:P25">
    <cfRule type="cellIs" dxfId="4753" priority="1508" operator="greaterThan">
      <formula>0</formula>
    </cfRule>
  </conditionalFormatting>
  <conditionalFormatting sqref="Q19:Q25">
    <cfRule type="cellIs" dxfId="4752" priority="1507" operator="lessThan">
      <formula>0</formula>
    </cfRule>
  </conditionalFormatting>
  <conditionalFormatting sqref="R19:R25">
    <cfRule type="cellIs" dxfId="4751" priority="1505" operator="lessThan">
      <formula>0.8</formula>
    </cfRule>
    <cfRule type="cellIs" dxfId="4750" priority="1506" operator="greaterThan">
      <formula>1</formula>
    </cfRule>
  </conditionalFormatting>
  <conditionalFormatting sqref="R19:R25">
    <cfRule type="cellIs" dxfId="4749" priority="1503" operator="greaterThan">
      <formula>1</formula>
    </cfRule>
    <cfRule type="cellIs" dxfId="4748" priority="1504" operator="lessThan">
      <formula>0.8</formula>
    </cfRule>
  </conditionalFormatting>
  <conditionalFormatting sqref="P19:P25">
    <cfRule type="cellIs" dxfId="4747" priority="1502" operator="greaterThan">
      <formula>0</formula>
    </cfRule>
  </conditionalFormatting>
  <conditionalFormatting sqref="R19:R25">
    <cfRule type="cellIs" dxfId="4746" priority="1499" operator="lessThan">
      <formula>0.8</formula>
    </cfRule>
    <cfRule type="cellIs" dxfId="4745" priority="1500" operator="greaterThan">
      <formula>1</formula>
    </cfRule>
  </conditionalFormatting>
  <conditionalFormatting sqref="R19:R25">
    <cfRule type="cellIs" dxfId="4744" priority="1497" operator="greaterThan">
      <formula>1</formula>
    </cfRule>
    <cfRule type="cellIs" dxfId="4743" priority="1498" operator="lessThan">
      <formula>0.8</formula>
    </cfRule>
  </conditionalFormatting>
  <conditionalFormatting sqref="P19:P25">
    <cfRule type="cellIs" dxfId="4742" priority="1496" operator="greaterThan">
      <formula>0</formula>
    </cfRule>
  </conditionalFormatting>
  <conditionalFormatting sqref="Q19:Q25">
    <cfRule type="cellIs" dxfId="4741" priority="1501" operator="lessThan">
      <formula>0</formula>
    </cfRule>
  </conditionalFormatting>
  <conditionalFormatting sqref="Q19:Q25">
    <cfRule type="cellIs" dxfId="4740" priority="1495" operator="lessThan">
      <formula>0</formula>
    </cfRule>
  </conditionalFormatting>
  <conditionalFormatting sqref="R19:R25">
    <cfRule type="cellIs" dxfId="4739" priority="1493" operator="lessThan">
      <formula>0.8</formula>
    </cfRule>
    <cfRule type="cellIs" dxfId="4738" priority="1494" operator="greaterThan">
      <formula>1</formula>
    </cfRule>
  </conditionalFormatting>
  <conditionalFormatting sqref="R19:R25">
    <cfRule type="cellIs" dxfId="4737" priority="1491" operator="greaterThan">
      <formula>1</formula>
    </cfRule>
    <cfRule type="cellIs" dxfId="4736" priority="1492" operator="lessThan">
      <formula>0.8</formula>
    </cfRule>
  </conditionalFormatting>
  <conditionalFormatting sqref="P19:P25">
    <cfRule type="cellIs" dxfId="4735" priority="1490" operator="greaterThan">
      <formula>0</formula>
    </cfRule>
  </conditionalFormatting>
  <conditionalFormatting sqref="P19:P25">
    <cfRule type="cellIs" dxfId="4734" priority="1484" operator="greaterThan">
      <formula>0</formula>
    </cfRule>
  </conditionalFormatting>
  <conditionalFormatting sqref="Q19:Q25">
    <cfRule type="cellIs" dxfId="4733" priority="1489" operator="lessThan">
      <formula>0</formula>
    </cfRule>
  </conditionalFormatting>
  <conditionalFormatting sqref="R19:R25">
    <cfRule type="cellIs" dxfId="4732" priority="1487" operator="lessThan">
      <formula>0.8</formula>
    </cfRule>
    <cfRule type="cellIs" dxfId="4731" priority="1488" operator="greaterThan">
      <formula>1</formula>
    </cfRule>
  </conditionalFormatting>
  <conditionalFormatting sqref="R19:R25">
    <cfRule type="cellIs" dxfId="4730" priority="1485" operator="greaterThan">
      <formula>1</formula>
    </cfRule>
    <cfRule type="cellIs" dxfId="4729" priority="1486" operator="lessThan">
      <formula>0.8</formula>
    </cfRule>
  </conditionalFormatting>
  <conditionalFormatting sqref="P19:P25">
    <cfRule type="cellIs" dxfId="4728" priority="1478" operator="greaterThan">
      <formula>0</formula>
    </cfRule>
  </conditionalFormatting>
  <conditionalFormatting sqref="Q19:Q25">
    <cfRule type="cellIs" dxfId="4727" priority="1483" operator="lessThan">
      <formula>0</formula>
    </cfRule>
  </conditionalFormatting>
  <conditionalFormatting sqref="R19:R25">
    <cfRule type="cellIs" dxfId="4726" priority="1481" operator="lessThan">
      <formula>0.8</formula>
    </cfRule>
    <cfRule type="cellIs" dxfId="4725" priority="1482" operator="greaterThan">
      <formula>1</formula>
    </cfRule>
  </conditionalFormatting>
  <conditionalFormatting sqref="R19:R25">
    <cfRule type="cellIs" dxfId="4724" priority="1479" operator="greaterThan">
      <formula>1</formula>
    </cfRule>
    <cfRule type="cellIs" dxfId="4723" priority="1480" operator="lessThan">
      <formula>0.8</formula>
    </cfRule>
  </conditionalFormatting>
  <conditionalFormatting sqref="Q19:Q25">
    <cfRule type="cellIs" dxfId="4722" priority="1477" operator="lessThan">
      <formula>0</formula>
    </cfRule>
  </conditionalFormatting>
  <conditionalFormatting sqref="R19:R25">
    <cfRule type="cellIs" dxfId="4721" priority="1475" operator="lessThan">
      <formula>0.8</formula>
    </cfRule>
    <cfRule type="cellIs" dxfId="4720" priority="1476" operator="greaterThan">
      <formula>1</formula>
    </cfRule>
  </conditionalFormatting>
  <conditionalFormatting sqref="R19:R25">
    <cfRule type="cellIs" dxfId="4719" priority="1473" operator="greaterThan">
      <formula>1</formula>
    </cfRule>
    <cfRule type="cellIs" dxfId="4718" priority="1474" operator="lessThan">
      <formula>0.8</formula>
    </cfRule>
  </conditionalFormatting>
  <conditionalFormatting sqref="P19:P25">
    <cfRule type="cellIs" dxfId="4717" priority="1472" operator="greaterThan">
      <formula>0</formula>
    </cfRule>
  </conditionalFormatting>
  <conditionalFormatting sqref="Q19:Q25">
    <cfRule type="cellIs" dxfId="4716" priority="1471" operator="lessThan">
      <formula>0</formula>
    </cfRule>
  </conditionalFormatting>
  <conditionalFormatting sqref="R19:R25">
    <cfRule type="cellIs" dxfId="4715" priority="1469" operator="lessThan">
      <formula>0.8</formula>
    </cfRule>
    <cfRule type="cellIs" dxfId="4714" priority="1470" operator="greaterThan">
      <formula>1</formula>
    </cfRule>
  </conditionalFormatting>
  <conditionalFormatting sqref="R19:R25">
    <cfRule type="cellIs" dxfId="4713" priority="1467" operator="greaterThan">
      <formula>1</formula>
    </cfRule>
    <cfRule type="cellIs" dxfId="4712" priority="1468" operator="lessThan">
      <formula>0.8</formula>
    </cfRule>
  </conditionalFormatting>
  <conditionalFormatting sqref="P19:P25">
    <cfRule type="cellIs" dxfId="4711" priority="1466" operator="greaterThan">
      <formula>0</formula>
    </cfRule>
  </conditionalFormatting>
  <conditionalFormatting sqref="P19:P25">
    <cfRule type="cellIs" dxfId="4710" priority="1460" operator="greaterThan">
      <formula>0</formula>
    </cfRule>
  </conditionalFormatting>
  <conditionalFormatting sqref="Q19:Q25">
    <cfRule type="cellIs" dxfId="4709" priority="1465" operator="lessThan">
      <formula>0</formula>
    </cfRule>
  </conditionalFormatting>
  <conditionalFormatting sqref="R19:R25">
    <cfRule type="cellIs" dxfId="4708" priority="1463" operator="lessThan">
      <formula>0.8</formula>
    </cfRule>
    <cfRule type="cellIs" dxfId="4707" priority="1464" operator="greaterThan">
      <formula>1</formula>
    </cfRule>
  </conditionalFormatting>
  <conditionalFormatting sqref="R19:R25">
    <cfRule type="cellIs" dxfId="4706" priority="1461" operator="greaterThan">
      <formula>1</formula>
    </cfRule>
    <cfRule type="cellIs" dxfId="4705" priority="1462" operator="lessThan">
      <formula>0.8</formula>
    </cfRule>
  </conditionalFormatting>
  <conditionalFormatting sqref="Q19:Q25">
    <cfRule type="cellIs" dxfId="4704" priority="1459" operator="lessThan">
      <formula>0</formula>
    </cfRule>
  </conditionalFormatting>
  <conditionalFormatting sqref="R19:R25">
    <cfRule type="cellIs" dxfId="4703" priority="1457" operator="lessThan">
      <formula>0.8</formula>
    </cfRule>
    <cfRule type="cellIs" dxfId="4702" priority="1458" operator="greaterThan">
      <formula>1</formula>
    </cfRule>
  </conditionalFormatting>
  <conditionalFormatting sqref="R19:R25">
    <cfRule type="cellIs" dxfId="4701" priority="1455" operator="greaterThan">
      <formula>1</formula>
    </cfRule>
    <cfRule type="cellIs" dxfId="4700" priority="1456" operator="lessThan">
      <formula>0.8</formula>
    </cfRule>
  </conditionalFormatting>
  <conditionalFormatting sqref="P19:P25">
    <cfRule type="cellIs" dxfId="4699" priority="1454" operator="greaterThan">
      <formula>0</formula>
    </cfRule>
  </conditionalFormatting>
  <conditionalFormatting sqref="Q19:Q25">
    <cfRule type="cellIs" dxfId="4698" priority="1453" operator="lessThan">
      <formula>0</formula>
    </cfRule>
  </conditionalFormatting>
  <conditionalFormatting sqref="R19:R25">
    <cfRule type="cellIs" dxfId="4697" priority="1451" operator="lessThan">
      <formula>0.8</formula>
    </cfRule>
    <cfRule type="cellIs" dxfId="4696" priority="1452" operator="greaterThan">
      <formula>1</formula>
    </cfRule>
  </conditionalFormatting>
  <conditionalFormatting sqref="R19:R25">
    <cfRule type="cellIs" dxfId="4695" priority="1449" operator="greaterThan">
      <formula>1</formula>
    </cfRule>
    <cfRule type="cellIs" dxfId="4694" priority="1450" operator="lessThan">
      <formula>0.8</formula>
    </cfRule>
  </conditionalFormatting>
  <conditionalFormatting sqref="P19:P25">
    <cfRule type="cellIs" dxfId="4693" priority="1448" operator="greaterThan">
      <formula>0</formula>
    </cfRule>
  </conditionalFormatting>
  <conditionalFormatting sqref="Q19:Q25">
    <cfRule type="cellIs" dxfId="4692" priority="1447" operator="lessThan">
      <formula>0</formula>
    </cfRule>
  </conditionalFormatting>
  <conditionalFormatting sqref="R19:R25">
    <cfRule type="cellIs" dxfId="4691" priority="1445" operator="lessThan">
      <formula>0.8</formula>
    </cfRule>
    <cfRule type="cellIs" dxfId="4690" priority="1446" operator="greaterThan">
      <formula>1</formula>
    </cfRule>
  </conditionalFormatting>
  <conditionalFormatting sqref="R19:R25">
    <cfRule type="cellIs" dxfId="4689" priority="1443" operator="greaterThan">
      <formula>1</formula>
    </cfRule>
    <cfRule type="cellIs" dxfId="4688" priority="1444" operator="lessThan">
      <formula>0.8</formula>
    </cfRule>
  </conditionalFormatting>
  <conditionalFormatting sqref="P19:P25">
    <cfRule type="cellIs" dxfId="4687" priority="1442" operator="greaterThan">
      <formula>0</formula>
    </cfRule>
  </conditionalFormatting>
  <conditionalFormatting sqref="R19:R25">
    <cfRule type="cellIs" dxfId="4686" priority="1439" operator="lessThan">
      <formula>0.8</formula>
    </cfRule>
    <cfRule type="cellIs" dxfId="4685" priority="1440" operator="greaterThan">
      <formula>1</formula>
    </cfRule>
  </conditionalFormatting>
  <conditionalFormatting sqref="R19:R25">
    <cfRule type="cellIs" dxfId="4684" priority="1437" operator="greaterThan">
      <formula>1</formula>
    </cfRule>
    <cfRule type="cellIs" dxfId="4683" priority="1438" operator="lessThan">
      <formula>0.8</formula>
    </cfRule>
  </conditionalFormatting>
  <conditionalFormatting sqref="P19:P25">
    <cfRule type="cellIs" dxfId="4682" priority="1436" operator="greaterThan">
      <formula>0</formula>
    </cfRule>
  </conditionalFormatting>
  <conditionalFormatting sqref="Q19:Q25">
    <cfRule type="cellIs" dxfId="4681" priority="1441" operator="lessThan">
      <formula>0</formula>
    </cfRule>
  </conditionalFormatting>
  <conditionalFormatting sqref="Q40">
    <cfRule type="cellIs" dxfId="4680" priority="1435" operator="lessThan">
      <formula>0</formula>
    </cfRule>
  </conditionalFormatting>
  <conditionalFormatting sqref="R40">
    <cfRule type="cellIs" dxfId="4679" priority="1433" operator="lessThan">
      <formula>0.8</formula>
    </cfRule>
    <cfRule type="cellIs" dxfId="4678" priority="1434" operator="greaterThan">
      <formula>1</formula>
    </cfRule>
  </conditionalFormatting>
  <conditionalFormatting sqref="R40">
    <cfRule type="cellIs" dxfId="4677" priority="1431" operator="greaterThan">
      <formula>1</formula>
    </cfRule>
    <cfRule type="cellIs" dxfId="4676" priority="1432" operator="lessThan">
      <formula>0.8</formula>
    </cfRule>
  </conditionalFormatting>
  <conditionalFormatting sqref="P40">
    <cfRule type="cellIs" dxfId="4675" priority="1430" operator="greaterThan">
      <formula>0</formula>
    </cfRule>
  </conditionalFormatting>
  <conditionalFormatting sqref="P40">
    <cfRule type="cellIs" dxfId="4674" priority="1424" operator="greaterThan">
      <formula>0</formula>
    </cfRule>
  </conditionalFormatting>
  <conditionalFormatting sqref="Q40">
    <cfRule type="cellIs" dxfId="4673" priority="1429" operator="lessThan">
      <formula>0</formula>
    </cfRule>
  </conditionalFormatting>
  <conditionalFormatting sqref="R40">
    <cfRule type="cellIs" dxfId="4672" priority="1427" operator="lessThan">
      <formula>0.8</formula>
    </cfRule>
    <cfRule type="cellIs" dxfId="4671" priority="1428" operator="greaterThan">
      <formula>1</formula>
    </cfRule>
  </conditionalFormatting>
  <conditionalFormatting sqref="R40">
    <cfRule type="cellIs" dxfId="4670" priority="1425" operator="greaterThan">
      <formula>1</formula>
    </cfRule>
    <cfRule type="cellIs" dxfId="4669" priority="1426" operator="lessThan">
      <formula>0.8</formula>
    </cfRule>
  </conditionalFormatting>
  <conditionalFormatting sqref="P40">
    <cfRule type="cellIs" dxfId="4668" priority="1418" operator="greaterThan">
      <formula>0</formula>
    </cfRule>
  </conditionalFormatting>
  <conditionalFormatting sqref="Q40">
    <cfRule type="cellIs" dxfId="4667" priority="1423" operator="lessThan">
      <formula>0</formula>
    </cfRule>
  </conditionalFormatting>
  <conditionalFormatting sqref="R40">
    <cfRule type="cellIs" dxfId="4666" priority="1421" operator="lessThan">
      <formula>0.8</formula>
    </cfRule>
    <cfRule type="cellIs" dxfId="4665" priority="1422" operator="greaterThan">
      <formula>1</formula>
    </cfRule>
  </conditionalFormatting>
  <conditionalFormatting sqref="R40">
    <cfRule type="cellIs" dxfId="4664" priority="1419" operator="greaterThan">
      <formula>1</formula>
    </cfRule>
    <cfRule type="cellIs" dxfId="4663" priority="1420" operator="lessThan">
      <formula>0.8</formula>
    </cfRule>
  </conditionalFormatting>
  <conditionalFormatting sqref="Q40">
    <cfRule type="cellIs" dxfId="4662" priority="1417" operator="lessThan">
      <formula>0</formula>
    </cfRule>
  </conditionalFormatting>
  <conditionalFormatting sqref="R40">
    <cfRule type="cellIs" dxfId="4661" priority="1415" operator="lessThan">
      <formula>0.8</formula>
    </cfRule>
    <cfRule type="cellIs" dxfId="4660" priority="1416" operator="greaterThan">
      <formula>1</formula>
    </cfRule>
  </conditionalFormatting>
  <conditionalFormatting sqref="R40">
    <cfRule type="cellIs" dxfId="4659" priority="1413" operator="greaterThan">
      <formula>1</formula>
    </cfRule>
    <cfRule type="cellIs" dxfId="4658" priority="1414" operator="lessThan">
      <formula>0.8</formula>
    </cfRule>
  </conditionalFormatting>
  <conditionalFormatting sqref="P40">
    <cfRule type="cellIs" dxfId="4657" priority="1412" operator="greaterThan">
      <formula>0</formula>
    </cfRule>
  </conditionalFormatting>
  <conditionalFormatting sqref="P40">
    <cfRule type="cellIs" dxfId="4656" priority="1406" operator="greaterThan">
      <formula>0</formula>
    </cfRule>
  </conditionalFormatting>
  <conditionalFormatting sqref="Q40">
    <cfRule type="cellIs" dxfId="4655" priority="1411" operator="lessThan">
      <formula>0</formula>
    </cfRule>
  </conditionalFormatting>
  <conditionalFormatting sqref="R40">
    <cfRule type="cellIs" dxfId="4654" priority="1409" operator="lessThan">
      <formula>0.8</formula>
    </cfRule>
    <cfRule type="cellIs" dxfId="4653" priority="1410" operator="greaterThan">
      <formula>1</formula>
    </cfRule>
  </conditionalFormatting>
  <conditionalFormatting sqref="R40">
    <cfRule type="cellIs" dxfId="4652" priority="1407" operator="greaterThan">
      <formula>1</formula>
    </cfRule>
    <cfRule type="cellIs" dxfId="4651" priority="1408" operator="lessThan">
      <formula>0.8</formula>
    </cfRule>
  </conditionalFormatting>
  <conditionalFormatting sqref="P40">
    <cfRule type="cellIs" dxfId="4650" priority="1400" operator="greaterThan">
      <formula>0</formula>
    </cfRule>
  </conditionalFormatting>
  <conditionalFormatting sqref="Q40">
    <cfRule type="cellIs" dxfId="4649" priority="1405" operator="lessThan">
      <formula>0</formula>
    </cfRule>
  </conditionalFormatting>
  <conditionalFormatting sqref="R40">
    <cfRule type="cellIs" dxfId="4648" priority="1403" operator="lessThan">
      <formula>0.8</formula>
    </cfRule>
    <cfRule type="cellIs" dxfId="4647" priority="1404" operator="greaterThan">
      <formula>1</formula>
    </cfRule>
  </conditionalFormatting>
  <conditionalFormatting sqref="R40">
    <cfRule type="cellIs" dxfId="4646" priority="1401" operator="greaterThan">
      <formula>1</formula>
    </cfRule>
    <cfRule type="cellIs" dxfId="4645" priority="1402" operator="lessThan">
      <formula>0.8</formula>
    </cfRule>
  </conditionalFormatting>
  <conditionalFormatting sqref="P40">
    <cfRule type="cellIs" dxfId="4644" priority="1394" operator="greaterThan">
      <formula>0</formula>
    </cfRule>
  </conditionalFormatting>
  <conditionalFormatting sqref="Q40">
    <cfRule type="cellIs" dxfId="4643" priority="1399" operator="lessThan">
      <formula>0</formula>
    </cfRule>
  </conditionalFormatting>
  <conditionalFormatting sqref="R40">
    <cfRule type="cellIs" dxfId="4642" priority="1397" operator="lessThan">
      <formula>0.8</formula>
    </cfRule>
    <cfRule type="cellIs" dxfId="4641" priority="1398" operator="greaterThan">
      <formula>1</formula>
    </cfRule>
  </conditionalFormatting>
  <conditionalFormatting sqref="R40">
    <cfRule type="cellIs" dxfId="4640" priority="1395" operator="greaterThan">
      <formula>1</formula>
    </cfRule>
    <cfRule type="cellIs" dxfId="4639" priority="1396" operator="lessThan">
      <formula>0.8</formula>
    </cfRule>
  </conditionalFormatting>
  <conditionalFormatting sqref="Q40">
    <cfRule type="cellIs" dxfId="4638" priority="1388" operator="lessThan">
      <formula>0</formula>
    </cfRule>
  </conditionalFormatting>
  <conditionalFormatting sqref="P40">
    <cfRule type="cellIs" dxfId="4637" priority="1389" operator="greaterThan">
      <formula>0</formula>
    </cfRule>
  </conditionalFormatting>
  <conditionalFormatting sqref="R40">
    <cfRule type="cellIs" dxfId="4636" priority="1392" operator="lessThan">
      <formula>0.8</formula>
    </cfRule>
    <cfRule type="cellIs" dxfId="4635" priority="1393" operator="greaterThan">
      <formula>1</formula>
    </cfRule>
  </conditionalFormatting>
  <conditionalFormatting sqref="R40">
    <cfRule type="cellIs" dxfId="4634" priority="1390" operator="greaterThan">
      <formula>1</formula>
    </cfRule>
    <cfRule type="cellIs" dxfId="4633" priority="1391" operator="lessThan">
      <formula>0.8</formula>
    </cfRule>
  </conditionalFormatting>
  <conditionalFormatting sqref="Q40">
    <cfRule type="cellIs" dxfId="4632" priority="1382" operator="lessThan">
      <formula>0</formula>
    </cfRule>
  </conditionalFormatting>
  <conditionalFormatting sqref="R40">
    <cfRule type="cellIs" dxfId="4631" priority="1386" operator="lessThan">
      <formula>0.8</formula>
    </cfRule>
    <cfRule type="cellIs" dxfId="4630" priority="1387" operator="greaterThan">
      <formula>1</formula>
    </cfRule>
  </conditionalFormatting>
  <conditionalFormatting sqref="R40">
    <cfRule type="cellIs" dxfId="4629" priority="1384" operator="greaterThan">
      <formula>1</formula>
    </cfRule>
    <cfRule type="cellIs" dxfId="4628" priority="1385" operator="lessThan">
      <formula>0.8</formula>
    </cfRule>
  </conditionalFormatting>
  <conditionalFormatting sqref="P40">
    <cfRule type="cellIs" dxfId="4627" priority="1383" operator="greaterThan">
      <formula>0</formula>
    </cfRule>
  </conditionalFormatting>
  <conditionalFormatting sqref="Q40">
    <cfRule type="cellIs" dxfId="4626" priority="1381" operator="lessThan">
      <formula>0</formula>
    </cfRule>
  </conditionalFormatting>
  <conditionalFormatting sqref="R40">
    <cfRule type="cellIs" dxfId="4625" priority="1379" operator="lessThan">
      <formula>0.8</formula>
    </cfRule>
    <cfRule type="cellIs" dxfId="4624" priority="1380" operator="greaterThan">
      <formula>1</formula>
    </cfRule>
  </conditionalFormatting>
  <conditionalFormatting sqref="R40">
    <cfRule type="cellIs" dxfId="4623" priority="1377" operator="greaterThan">
      <formula>1</formula>
    </cfRule>
    <cfRule type="cellIs" dxfId="4622" priority="1378" operator="lessThan">
      <formula>0.8</formula>
    </cfRule>
  </conditionalFormatting>
  <conditionalFormatting sqref="P40">
    <cfRule type="cellIs" dxfId="4621" priority="1376" operator="greaterThan">
      <formula>0</formula>
    </cfRule>
  </conditionalFormatting>
  <conditionalFormatting sqref="Q40">
    <cfRule type="cellIs" dxfId="4620" priority="1375" operator="lessThan">
      <formula>0</formula>
    </cfRule>
  </conditionalFormatting>
  <conditionalFormatting sqref="R40">
    <cfRule type="cellIs" dxfId="4619" priority="1373" operator="lessThan">
      <formula>0.8</formula>
    </cfRule>
    <cfRule type="cellIs" dxfId="4618" priority="1374" operator="greaterThan">
      <formula>1</formula>
    </cfRule>
  </conditionalFormatting>
  <conditionalFormatting sqref="R40">
    <cfRule type="cellIs" dxfId="4617" priority="1371" operator="greaterThan">
      <formula>1</formula>
    </cfRule>
    <cfRule type="cellIs" dxfId="4616" priority="1372" operator="lessThan">
      <formula>0.8</formula>
    </cfRule>
  </conditionalFormatting>
  <conditionalFormatting sqref="P40">
    <cfRule type="cellIs" dxfId="4615" priority="1370" operator="greaterThan">
      <formula>0</formula>
    </cfRule>
  </conditionalFormatting>
  <conditionalFormatting sqref="Q32:Q39">
    <cfRule type="cellIs" dxfId="4614" priority="1369" operator="lessThan">
      <formula>0</formula>
    </cfRule>
  </conditionalFormatting>
  <conditionalFormatting sqref="R32:R39">
    <cfRule type="cellIs" dxfId="4613" priority="1367" operator="lessThan">
      <formula>0.8</formula>
    </cfRule>
    <cfRule type="cellIs" dxfId="4612" priority="1368" operator="greaterThan">
      <formula>1</formula>
    </cfRule>
  </conditionalFormatting>
  <conditionalFormatting sqref="R32:R39">
    <cfRule type="cellIs" dxfId="4611" priority="1365" operator="greaterThan">
      <formula>1</formula>
    </cfRule>
    <cfRule type="cellIs" dxfId="4610" priority="1366" operator="lessThan">
      <formula>0.8</formula>
    </cfRule>
  </conditionalFormatting>
  <conditionalFormatting sqref="P39">
    <cfRule type="cellIs" dxfId="4609" priority="1364" operator="greaterThan">
      <formula>0</formula>
    </cfRule>
  </conditionalFormatting>
  <conditionalFormatting sqref="Q32:Q39">
    <cfRule type="cellIs" dxfId="4608" priority="1363" operator="lessThan">
      <formula>0</formula>
    </cfRule>
  </conditionalFormatting>
  <conditionalFormatting sqref="R32:R39">
    <cfRule type="cellIs" dxfId="4607" priority="1361" operator="lessThan">
      <formula>0.8</formula>
    </cfRule>
    <cfRule type="cellIs" dxfId="4606" priority="1362" operator="greaterThan">
      <formula>1</formula>
    </cfRule>
  </conditionalFormatting>
  <conditionalFormatting sqref="R32:R39">
    <cfRule type="cellIs" dxfId="4605" priority="1359" operator="greaterThan">
      <formula>1</formula>
    </cfRule>
    <cfRule type="cellIs" dxfId="4604" priority="1360" operator="lessThan">
      <formula>0.8</formula>
    </cfRule>
  </conditionalFormatting>
  <conditionalFormatting sqref="P39">
    <cfRule type="cellIs" dxfId="4603" priority="1358" operator="greaterThan">
      <formula>0</formula>
    </cfRule>
  </conditionalFormatting>
  <conditionalFormatting sqref="Q32:Q39">
    <cfRule type="cellIs" dxfId="4602" priority="1357" operator="lessThan">
      <formula>0</formula>
    </cfRule>
  </conditionalFormatting>
  <conditionalFormatting sqref="R32:R39">
    <cfRule type="cellIs" dxfId="4601" priority="1355" operator="lessThan">
      <formula>0.8</formula>
    </cfRule>
    <cfRule type="cellIs" dxfId="4600" priority="1356" operator="greaterThan">
      <formula>1</formula>
    </cfRule>
  </conditionalFormatting>
  <conditionalFormatting sqref="R32:R39">
    <cfRule type="cellIs" dxfId="4599" priority="1353" operator="greaterThan">
      <formula>1</formula>
    </cfRule>
    <cfRule type="cellIs" dxfId="4598" priority="1354" operator="lessThan">
      <formula>0.8</formula>
    </cfRule>
  </conditionalFormatting>
  <conditionalFormatting sqref="P39">
    <cfRule type="cellIs" dxfId="4597" priority="1352" operator="greaterThan">
      <formula>0</formula>
    </cfRule>
  </conditionalFormatting>
  <conditionalFormatting sqref="Q32:Q39">
    <cfRule type="cellIs" dxfId="4596" priority="1351" operator="lessThan">
      <formula>0</formula>
    </cfRule>
  </conditionalFormatting>
  <conditionalFormatting sqref="R32:R39">
    <cfRule type="cellIs" dxfId="4595" priority="1349" operator="lessThan">
      <formula>0.8</formula>
    </cfRule>
    <cfRule type="cellIs" dxfId="4594" priority="1350" operator="greaterThan">
      <formula>1</formula>
    </cfRule>
  </conditionalFormatting>
  <conditionalFormatting sqref="R32:R39">
    <cfRule type="cellIs" dxfId="4593" priority="1347" operator="greaterThan">
      <formula>1</formula>
    </cfRule>
    <cfRule type="cellIs" dxfId="4592" priority="1348" operator="lessThan">
      <formula>0.8</formula>
    </cfRule>
  </conditionalFormatting>
  <conditionalFormatting sqref="P39">
    <cfRule type="cellIs" dxfId="4591" priority="1346" operator="greaterThan">
      <formula>0</formula>
    </cfRule>
  </conditionalFormatting>
  <conditionalFormatting sqref="P39">
    <cfRule type="cellIs" dxfId="4590" priority="1340" operator="greaterThan">
      <formula>0</formula>
    </cfRule>
  </conditionalFormatting>
  <conditionalFormatting sqref="Q32:Q39">
    <cfRule type="cellIs" dxfId="4589" priority="1345" operator="lessThan">
      <formula>0</formula>
    </cfRule>
  </conditionalFormatting>
  <conditionalFormatting sqref="R32:R39">
    <cfRule type="cellIs" dxfId="4588" priority="1343" operator="lessThan">
      <formula>0.8</formula>
    </cfRule>
    <cfRule type="cellIs" dxfId="4587" priority="1344" operator="greaterThan">
      <formula>1</formula>
    </cfRule>
  </conditionalFormatting>
  <conditionalFormatting sqref="R32:R39">
    <cfRule type="cellIs" dxfId="4586" priority="1341" operator="greaterThan">
      <formula>1</formula>
    </cfRule>
    <cfRule type="cellIs" dxfId="4585" priority="1342" operator="lessThan">
      <formula>0.8</formula>
    </cfRule>
  </conditionalFormatting>
  <conditionalFormatting sqref="P39">
    <cfRule type="cellIs" dxfId="4584" priority="1334" operator="greaterThan">
      <formula>0</formula>
    </cfRule>
  </conditionalFormatting>
  <conditionalFormatting sqref="Q32:Q39">
    <cfRule type="cellIs" dxfId="4583" priority="1339" operator="lessThan">
      <formula>0</formula>
    </cfRule>
  </conditionalFormatting>
  <conditionalFormatting sqref="R32:R39">
    <cfRule type="cellIs" dxfId="4582" priority="1337" operator="lessThan">
      <formula>0.8</formula>
    </cfRule>
    <cfRule type="cellIs" dxfId="4581" priority="1338" operator="greaterThan">
      <formula>1</formula>
    </cfRule>
  </conditionalFormatting>
  <conditionalFormatting sqref="R32:R39">
    <cfRule type="cellIs" dxfId="4580" priority="1335" operator="greaterThan">
      <formula>1</formula>
    </cfRule>
    <cfRule type="cellIs" dxfId="4579" priority="1336" operator="lessThan">
      <formula>0.8</formula>
    </cfRule>
  </conditionalFormatting>
  <conditionalFormatting sqref="R32:R39">
    <cfRule type="cellIs" dxfId="4578" priority="1331" operator="lessThan">
      <formula>0.8</formula>
    </cfRule>
    <cfRule type="cellIs" dxfId="4577" priority="1332" operator="greaterThan">
      <formula>1</formula>
    </cfRule>
  </conditionalFormatting>
  <conditionalFormatting sqref="R32:R39">
    <cfRule type="cellIs" dxfId="4576" priority="1329" operator="greaterThan">
      <formula>1</formula>
    </cfRule>
    <cfRule type="cellIs" dxfId="4575" priority="1330" operator="lessThan">
      <formula>0.8</formula>
    </cfRule>
  </conditionalFormatting>
  <conditionalFormatting sqref="P39">
    <cfRule type="cellIs" dxfId="4574" priority="1328" operator="greaterThan">
      <formula>0</formula>
    </cfRule>
  </conditionalFormatting>
  <conditionalFormatting sqref="Q32:Q39">
    <cfRule type="cellIs" dxfId="4573" priority="1333" operator="lessThan">
      <formula>0</formula>
    </cfRule>
  </conditionalFormatting>
  <conditionalFormatting sqref="Q32:Q39">
    <cfRule type="cellIs" dxfId="4572" priority="1327" operator="lessThan">
      <formula>0</formula>
    </cfRule>
  </conditionalFormatting>
  <conditionalFormatting sqref="R32:R39">
    <cfRule type="cellIs" dxfId="4571" priority="1325" operator="lessThan">
      <formula>0.8</formula>
    </cfRule>
    <cfRule type="cellIs" dxfId="4570" priority="1326" operator="greaterThan">
      <formula>1</formula>
    </cfRule>
  </conditionalFormatting>
  <conditionalFormatting sqref="R32:R39">
    <cfRule type="cellIs" dxfId="4569" priority="1323" operator="greaterThan">
      <formula>1</formula>
    </cfRule>
    <cfRule type="cellIs" dxfId="4568" priority="1324" operator="lessThan">
      <formula>0.8</formula>
    </cfRule>
  </conditionalFormatting>
  <conditionalFormatting sqref="P39">
    <cfRule type="cellIs" dxfId="4567" priority="1322" operator="greaterThan">
      <formula>0</formula>
    </cfRule>
  </conditionalFormatting>
  <conditionalFormatting sqref="P39">
    <cfRule type="cellIs" dxfId="4566" priority="1316" operator="greaterThan">
      <formula>0</formula>
    </cfRule>
  </conditionalFormatting>
  <conditionalFormatting sqref="Q32:Q39">
    <cfRule type="cellIs" dxfId="4565" priority="1321" operator="lessThan">
      <formula>0</formula>
    </cfRule>
  </conditionalFormatting>
  <conditionalFormatting sqref="R32:R39">
    <cfRule type="cellIs" dxfId="4564" priority="1319" operator="lessThan">
      <formula>0.8</formula>
    </cfRule>
    <cfRule type="cellIs" dxfId="4563" priority="1320" operator="greaterThan">
      <formula>1</formula>
    </cfRule>
  </conditionalFormatting>
  <conditionalFormatting sqref="R32:R39">
    <cfRule type="cellIs" dxfId="4562" priority="1317" operator="greaterThan">
      <formula>1</formula>
    </cfRule>
    <cfRule type="cellIs" dxfId="4561" priority="1318" operator="lessThan">
      <formula>0.8</formula>
    </cfRule>
  </conditionalFormatting>
  <conditionalFormatting sqref="P39">
    <cfRule type="cellIs" dxfId="4560" priority="1310" operator="greaterThan">
      <formula>0</formula>
    </cfRule>
  </conditionalFormatting>
  <conditionalFormatting sqref="Q32:Q39">
    <cfRule type="cellIs" dxfId="4559" priority="1315" operator="lessThan">
      <formula>0</formula>
    </cfRule>
  </conditionalFormatting>
  <conditionalFormatting sqref="R32:R39">
    <cfRule type="cellIs" dxfId="4558" priority="1313" operator="lessThan">
      <formula>0.8</formula>
    </cfRule>
    <cfRule type="cellIs" dxfId="4557" priority="1314" operator="greaterThan">
      <formula>1</formula>
    </cfRule>
  </conditionalFormatting>
  <conditionalFormatting sqref="R32:R39">
    <cfRule type="cellIs" dxfId="4556" priority="1311" operator="greaterThan">
      <formula>1</formula>
    </cfRule>
    <cfRule type="cellIs" dxfId="4555" priority="1312" operator="lessThan">
      <formula>0.8</formula>
    </cfRule>
  </conditionalFormatting>
  <conditionalFormatting sqref="R32:R39">
    <cfRule type="cellIs" dxfId="4554" priority="1307" operator="lessThan">
      <formula>0.8</formula>
    </cfRule>
    <cfRule type="cellIs" dxfId="4553" priority="1308" operator="greaterThan">
      <formula>1</formula>
    </cfRule>
  </conditionalFormatting>
  <conditionalFormatting sqref="R32:R39">
    <cfRule type="cellIs" dxfId="4552" priority="1305" operator="greaterThan">
      <formula>1</formula>
    </cfRule>
    <cfRule type="cellIs" dxfId="4551" priority="1306" operator="lessThan">
      <formula>0.8</formula>
    </cfRule>
  </conditionalFormatting>
  <conditionalFormatting sqref="P39">
    <cfRule type="cellIs" dxfId="4550" priority="1304" operator="greaterThan">
      <formula>0</formula>
    </cfRule>
  </conditionalFormatting>
  <conditionalFormatting sqref="Q32:Q39">
    <cfRule type="cellIs" dxfId="4549" priority="1309" operator="lessThan">
      <formula>0</formula>
    </cfRule>
  </conditionalFormatting>
  <conditionalFormatting sqref="P39">
    <cfRule type="cellIs" dxfId="4548" priority="1298" operator="greaterThan">
      <formula>0</formula>
    </cfRule>
  </conditionalFormatting>
  <conditionalFormatting sqref="Q32:Q39">
    <cfRule type="cellIs" dxfId="4547" priority="1303" operator="lessThan">
      <formula>0</formula>
    </cfRule>
  </conditionalFormatting>
  <conditionalFormatting sqref="R32:R39">
    <cfRule type="cellIs" dxfId="4546" priority="1301" operator="lessThan">
      <formula>0.8</formula>
    </cfRule>
    <cfRule type="cellIs" dxfId="4545" priority="1302" operator="greaterThan">
      <formula>1</formula>
    </cfRule>
  </conditionalFormatting>
  <conditionalFormatting sqref="R32:R39">
    <cfRule type="cellIs" dxfId="4544" priority="1299" operator="greaterThan">
      <formula>1</formula>
    </cfRule>
    <cfRule type="cellIs" dxfId="4543" priority="1300" operator="lessThan">
      <formula>0.8</formula>
    </cfRule>
  </conditionalFormatting>
  <conditionalFormatting sqref="R32:R39">
    <cfRule type="cellIs" dxfId="4542" priority="1295" operator="lessThan">
      <formula>0.8</formula>
    </cfRule>
    <cfRule type="cellIs" dxfId="4541" priority="1296" operator="greaterThan">
      <formula>1</formula>
    </cfRule>
  </conditionalFormatting>
  <conditionalFormatting sqref="R32:R39">
    <cfRule type="cellIs" dxfId="4540" priority="1293" operator="greaterThan">
      <formula>1</formula>
    </cfRule>
    <cfRule type="cellIs" dxfId="4539" priority="1294" operator="lessThan">
      <formula>0.8</formula>
    </cfRule>
  </conditionalFormatting>
  <conditionalFormatting sqref="P39">
    <cfRule type="cellIs" dxfId="4538" priority="1292" operator="greaterThan">
      <formula>0</formula>
    </cfRule>
  </conditionalFormatting>
  <conditionalFormatting sqref="Q32:Q39">
    <cfRule type="cellIs" dxfId="4537" priority="1297" operator="lessThan">
      <formula>0</formula>
    </cfRule>
  </conditionalFormatting>
  <conditionalFormatting sqref="R32:R39">
    <cfRule type="cellIs" dxfId="4536" priority="1289" operator="lessThan">
      <formula>0.8</formula>
    </cfRule>
    <cfRule type="cellIs" dxfId="4535" priority="1290" operator="greaterThan">
      <formula>1</formula>
    </cfRule>
  </conditionalFormatting>
  <conditionalFormatting sqref="R32:R39">
    <cfRule type="cellIs" dxfId="4534" priority="1287" operator="greaterThan">
      <formula>1</formula>
    </cfRule>
    <cfRule type="cellIs" dxfId="4533" priority="1288" operator="lessThan">
      <formula>0.8</formula>
    </cfRule>
  </conditionalFormatting>
  <conditionalFormatting sqref="P39">
    <cfRule type="cellIs" dxfId="4532" priority="1286" operator="greaterThan">
      <formula>0</formula>
    </cfRule>
  </conditionalFormatting>
  <conditionalFormatting sqref="Q32:Q39">
    <cfRule type="cellIs" dxfId="4531" priority="1291" operator="lessThan">
      <formula>0</formula>
    </cfRule>
  </conditionalFormatting>
  <conditionalFormatting sqref="Q32:Q39">
    <cfRule type="cellIs" dxfId="4530" priority="1285" operator="lessThan">
      <formula>0</formula>
    </cfRule>
  </conditionalFormatting>
  <conditionalFormatting sqref="R32:R39">
    <cfRule type="cellIs" dxfId="4529" priority="1283" operator="lessThan">
      <formula>0.8</formula>
    </cfRule>
    <cfRule type="cellIs" dxfId="4528" priority="1284" operator="greaterThan">
      <formula>1</formula>
    </cfRule>
  </conditionalFormatting>
  <conditionalFormatting sqref="R32:R39">
    <cfRule type="cellIs" dxfId="4527" priority="1281" operator="greaterThan">
      <formula>1</formula>
    </cfRule>
    <cfRule type="cellIs" dxfId="4526" priority="1282" operator="lessThan">
      <formula>0.8</formula>
    </cfRule>
  </conditionalFormatting>
  <conditionalFormatting sqref="P39">
    <cfRule type="cellIs" dxfId="4525" priority="1280" operator="greaterThan">
      <formula>0</formula>
    </cfRule>
  </conditionalFormatting>
  <conditionalFormatting sqref="Q32:Q39">
    <cfRule type="cellIs" dxfId="4524" priority="1274" operator="lessThan">
      <formula>0</formula>
    </cfRule>
  </conditionalFormatting>
  <conditionalFormatting sqref="R32:R39">
    <cfRule type="cellIs" dxfId="4523" priority="1278" operator="lessThan">
      <formula>0.8</formula>
    </cfRule>
    <cfRule type="cellIs" dxfId="4522" priority="1279" operator="greaterThan">
      <formula>1</formula>
    </cfRule>
  </conditionalFormatting>
  <conditionalFormatting sqref="R32:R39">
    <cfRule type="cellIs" dxfId="4521" priority="1276" operator="greaterThan">
      <formula>1</formula>
    </cfRule>
    <cfRule type="cellIs" dxfId="4520" priority="1277" operator="lessThan">
      <formula>0.8</formula>
    </cfRule>
  </conditionalFormatting>
  <conditionalFormatting sqref="P39">
    <cfRule type="cellIs" dxfId="4519" priority="1275" operator="greaterThan">
      <formula>0</formula>
    </cfRule>
  </conditionalFormatting>
  <conditionalFormatting sqref="Q32:Q39">
    <cfRule type="cellIs" dxfId="4518" priority="1273" operator="lessThan">
      <formula>0</formula>
    </cfRule>
  </conditionalFormatting>
  <conditionalFormatting sqref="R32:R39">
    <cfRule type="cellIs" dxfId="4517" priority="1271" operator="lessThan">
      <formula>0.8</formula>
    </cfRule>
    <cfRule type="cellIs" dxfId="4516" priority="1272" operator="greaterThan">
      <formula>1</formula>
    </cfRule>
  </conditionalFormatting>
  <conditionalFormatting sqref="R32:R39">
    <cfRule type="cellIs" dxfId="4515" priority="1269" operator="greaterThan">
      <formula>1</formula>
    </cfRule>
    <cfRule type="cellIs" dxfId="4514" priority="1270" operator="lessThan">
      <formula>0.8</formula>
    </cfRule>
  </conditionalFormatting>
  <conditionalFormatting sqref="P39">
    <cfRule type="cellIs" dxfId="4513" priority="1268" operator="greaterThan">
      <formula>0</formula>
    </cfRule>
  </conditionalFormatting>
  <conditionalFormatting sqref="Q32:Q39">
    <cfRule type="cellIs" dxfId="4512" priority="1267" operator="lessThan">
      <formula>0</formula>
    </cfRule>
  </conditionalFormatting>
  <conditionalFormatting sqref="R32:R39">
    <cfRule type="cellIs" dxfId="4511" priority="1265" operator="lessThan">
      <formula>0.8</formula>
    </cfRule>
    <cfRule type="cellIs" dxfId="4510" priority="1266" operator="greaterThan">
      <formula>1</formula>
    </cfRule>
  </conditionalFormatting>
  <conditionalFormatting sqref="R32:R39">
    <cfRule type="cellIs" dxfId="4509" priority="1263" operator="greaterThan">
      <formula>1</formula>
    </cfRule>
    <cfRule type="cellIs" dxfId="4508" priority="1264" operator="lessThan">
      <formula>0.8</formula>
    </cfRule>
  </conditionalFormatting>
  <conditionalFormatting sqref="P39">
    <cfRule type="cellIs" dxfId="4507" priority="1262" operator="greaterThan">
      <formula>0</formula>
    </cfRule>
  </conditionalFormatting>
  <conditionalFormatting sqref="Q32:Q39">
    <cfRule type="cellIs" dxfId="4506" priority="1261" operator="lessThan">
      <formula>0</formula>
    </cfRule>
  </conditionalFormatting>
  <conditionalFormatting sqref="R32:R39">
    <cfRule type="cellIs" dxfId="4505" priority="1259" operator="lessThan">
      <formula>0.8</formula>
    </cfRule>
    <cfRule type="cellIs" dxfId="4504" priority="1260" operator="greaterThan">
      <formula>1</formula>
    </cfRule>
  </conditionalFormatting>
  <conditionalFormatting sqref="R32:R39">
    <cfRule type="cellIs" dxfId="4503" priority="1257" operator="greaterThan">
      <formula>1</formula>
    </cfRule>
    <cfRule type="cellIs" dxfId="4502" priority="1258" operator="lessThan">
      <formula>0.8</formula>
    </cfRule>
  </conditionalFormatting>
  <conditionalFormatting sqref="P39">
    <cfRule type="cellIs" dxfId="4501" priority="1256" operator="greaterThan">
      <formula>0</formula>
    </cfRule>
  </conditionalFormatting>
  <conditionalFormatting sqref="Q32:Q39">
    <cfRule type="cellIs" dxfId="4500" priority="1255" operator="lessThan">
      <formula>0</formula>
    </cfRule>
  </conditionalFormatting>
  <conditionalFormatting sqref="R32:R39">
    <cfRule type="cellIs" dxfId="4499" priority="1253" operator="lessThan">
      <formula>0.8</formula>
    </cfRule>
    <cfRule type="cellIs" dxfId="4498" priority="1254" operator="greaterThan">
      <formula>1</formula>
    </cfRule>
  </conditionalFormatting>
  <conditionalFormatting sqref="R32:R39">
    <cfRule type="cellIs" dxfId="4497" priority="1251" operator="greaterThan">
      <formula>1</formula>
    </cfRule>
    <cfRule type="cellIs" dxfId="4496" priority="1252" operator="lessThan">
      <formula>0.8</formula>
    </cfRule>
  </conditionalFormatting>
  <conditionalFormatting sqref="P39">
    <cfRule type="cellIs" dxfId="4495" priority="1250" operator="greaterThan">
      <formula>0</formula>
    </cfRule>
  </conditionalFormatting>
  <conditionalFormatting sqref="Q32:Q39">
    <cfRule type="cellIs" dxfId="4494" priority="1249" operator="lessThan">
      <formula>0</formula>
    </cfRule>
  </conditionalFormatting>
  <conditionalFormatting sqref="R32:R39">
    <cfRule type="cellIs" dxfId="4493" priority="1247" operator="lessThan">
      <formula>0.8</formula>
    </cfRule>
    <cfRule type="cellIs" dxfId="4492" priority="1248" operator="greaterThan">
      <formula>1</formula>
    </cfRule>
  </conditionalFormatting>
  <conditionalFormatting sqref="R32:R39">
    <cfRule type="cellIs" dxfId="4491" priority="1245" operator="greaterThan">
      <formula>1</formula>
    </cfRule>
    <cfRule type="cellIs" dxfId="4490" priority="1246" operator="lessThan">
      <formula>0.8</formula>
    </cfRule>
  </conditionalFormatting>
  <conditionalFormatting sqref="P39">
    <cfRule type="cellIs" dxfId="4489" priority="1244" operator="greaterThan">
      <formula>0</formula>
    </cfRule>
  </conditionalFormatting>
  <conditionalFormatting sqref="P39">
    <cfRule type="cellIs" dxfId="4488" priority="1238" operator="greaterThan">
      <formula>0</formula>
    </cfRule>
  </conditionalFormatting>
  <conditionalFormatting sqref="Q32:Q39">
    <cfRule type="cellIs" dxfId="4487" priority="1243" operator="lessThan">
      <formula>0</formula>
    </cfRule>
  </conditionalFormatting>
  <conditionalFormatting sqref="R32:R39">
    <cfRule type="cellIs" dxfId="4486" priority="1241" operator="lessThan">
      <formula>0.8</formula>
    </cfRule>
    <cfRule type="cellIs" dxfId="4485" priority="1242" operator="greaterThan">
      <formula>1</formula>
    </cfRule>
  </conditionalFormatting>
  <conditionalFormatting sqref="R32:R39">
    <cfRule type="cellIs" dxfId="4484" priority="1239" operator="greaterThan">
      <formula>1</formula>
    </cfRule>
    <cfRule type="cellIs" dxfId="4483" priority="1240" operator="lessThan">
      <formula>0.8</formula>
    </cfRule>
  </conditionalFormatting>
  <conditionalFormatting sqref="P39">
    <cfRule type="cellIs" dxfId="4482" priority="1232" operator="greaterThan">
      <formula>0</formula>
    </cfRule>
  </conditionalFormatting>
  <conditionalFormatting sqref="Q32:Q39">
    <cfRule type="cellIs" dxfId="4481" priority="1237" operator="lessThan">
      <formula>0</formula>
    </cfRule>
  </conditionalFormatting>
  <conditionalFormatting sqref="R32:R39">
    <cfRule type="cellIs" dxfId="4480" priority="1235" operator="lessThan">
      <formula>0.8</formula>
    </cfRule>
    <cfRule type="cellIs" dxfId="4479" priority="1236" operator="greaterThan">
      <formula>1</formula>
    </cfRule>
  </conditionalFormatting>
  <conditionalFormatting sqref="R32:R39">
    <cfRule type="cellIs" dxfId="4478" priority="1233" operator="greaterThan">
      <formula>1</formula>
    </cfRule>
    <cfRule type="cellIs" dxfId="4477" priority="1234" operator="lessThan">
      <formula>0.8</formula>
    </cfRule>
  </conditionalFormatting>
  <conditionalFormatting sqref="R32:R39">
    <cfRule type="cellIs" dxfId="4476" priority="1229" operator="lessThan">
      <formula>0.8</formula>
    </cfRule>
    <cfRule type="cellIs" dxfId="4475" priority="1230" operator="greaterThan">
      <formula>1</formula>
    </cfRule>
  </conditionalFormatting>
  <conditionalFormatting sqref="R32:R39">
    <cfRule type="cellIs" dxfId="4474" priority="1227" operator="greaterThan">
      <formula>1</formula>
    </cfRule>
    <cfRule type="cellIs" dxfId="4473" priority="1228" operator="lessThan">
      <formula>0.8</formula>
    </cfRule>
  </conditionalFormatting>
  <conditionalFormatting sqref="P39">
    <cfRule type="cellIs" dxfId="4472" priority="1226" operator="greaterThan">
      <formula>0</formula>
    </cfRule>
  </conditionalFormatting>
  <conditionalFormatting sqref="Q32:Q39">
    <cfRule type="cellIs" dxfId="4471" priority="1231" operator="lessThan">
      <formula>0</formula>
    </cfRule>
  </conditionalFormatting>
  <conditionalFormatting sqref="Q32:Q39">
    <cfRule type="cellIs" dxfId="4470" priority="1220" operator="lessThan">
      <formula>0</formula>
    </cfRule>
  </conditionalFormatting>
  <conditionalFormatting sqref="P39">
    <cfRule type="cellIs" dxfId="4469" priority="1221" operator="greaterThan">
      <formula>0</formula>
    </cfRule>
  </conditionalFormatting>
  <conditionalFormatting sqref="R32:R39">
    <cfRule type="cellIs" dxfId="4468" priority="1224" operator="lessThan">
      <formula>0.8</formula>
    </cfRule>
    <cfRule type="cellIs" dxfId="4467" priority="1225" operator="greaterThan">
      <formula>1</formula>
    </cfRule>
  </conditionalFormatting>
  <conditionalFormatting sqref="R32:R39">
    <cfRule type="cellIs" dxfId="4466" priority="1222" operator="greaterThan">
      <formula>1</formula>
    </cfRule>
    <cfRule type="cellIs" dxfId="4465" priority="1223" operator="lessThan">
      <formula>0.8</formula>
    </cfRule>
  </conditionalFormatting>
  <conditionalFormatting sqref="Q32:Q39">
    <cfRule type="cellIs" dxfId="4464" priority="1214" operator="lessThan">
      <formula>0</formula>
    </cfRule>
  </conditionalFormatting>
  <conditionalFormatting sqref="R32:R39">
    <cfRule type="cellIs" dxfId="4463" priority="1218" operator="lessThan">
      <formula>0.8</formula>
    </cfRule>
    <cfRule type="cellIs" dxfId="4462" priority="1219" operator="greaterThan">
      <formula>1</formula>
    </cfRule>
  </conditionalFormatting>
  <conditionalFormatting sqref="R32:R39">
    <cfRule type="cellIs" dxfId="4461" priority="1216" operator="greaterThan">
      <formula>1</formula>
    </cfRule>
    <cfRule type="cellIs" dxfId="4460" priority="1217" operator="lessThan">
      <formula>0.8</formula>
    </cfRule>
  </conditionalFormatting>
  <conditionalFormatting sqref="P39">
    <cfRule type="cellIs" dxfId="4459" priority="1215" operator="greaterThan">
      <formula>0</formula>
    </cfRule>
  </conditionalFormatting>
  <conditionalFormatting sqref="Q32:Q39">
    <cfRule type="cellIs" dxfId="4458" priority="1213" operator="lessThan">
      <formula>0</formula>
    </cfRule>
  </conditionalFormatting>
  <conditionalFormatting sqref="R32:R39">
    <cfRule type="cellIs" dxfId="4457" priority="1211" operator="lessThan">
      <formula>0.8</formula>
    </cfRule>
    <cfRule type="cellIs" dxfId="4456" priority="1212" operator="greaterThan">
      <formula>1</formula>
    </cfRule>
  </conditionalFormatting>
  <conditionalFormatting sqref="R32:R39">
    <cfRule type="cellIs" dxfId="4455" priority="1209" operator="greaterThan">
      <formula>1</formula>
    </cfRule>
    <cfRule type="cellIs" dxfId="4454" priority="1210" operator="lessThan">
      <formula>0.8</formula>
    </cfRule>
  </conditionalFormatting>
  <conditionalFormatting sqref="P39">
    <cfRule type="cellIs" dxfId="4453" priority="1208" operator="greaterThan">
      <formula>0</formula>
    </cfRule>
  </conditionalFormatting>
  <conditionalFormatting sqref="Q32:Q39">
    <cfRule type="cellIs" dxfId="4452" priority="1207" operator="lessThan">
      <formula>0</formula>
    </cfRule>
  </conditionalFormatting>
  <conditionalFormatting sqref="R32:R39">
    <cfRule type="cellIs" dxfId="4451" priority="1205" operator="lessThan">
      <formula>0.8</formula>
    </cfRule>
    <cfRule type="cellIs" dxfId="4450" priority="1206" operator="greaterThan">
      <formula>1</formula>
    </cfRule>
  </conditionalFormatting>
  <conditionalFormatting sqref="R32:R39">
    <cfRule type="cellIs" dxfId="4449" priority="1203" operator="greaterThan">
      <formula>1</formula>
    </cfRule>
    <cfRule type="cellIs" dxfId="4448" priority="1204" operator="lessThan">
      <formula>0.8</formula>
    </cfRule>
  </conditionalFormatting>
  <conditionalFormatting sqref="P39">
    <cfRule type="cellIs" dxfId="4447" priority="1202" operator="greaterThan">
      <formula>0</formula>
    </cfRule>
  </conditionalFormatting>
  <conditionalFormatting sqref="Q32:Q39">
    <cfRule type="cellIs" dxfId="4446" priority="1201" operator="lessThan">
      <formula>0</formula>
    </cfRule>
  </conditionalFormatting>
  <conditionalFormatting sqref="R32:R39">
    <cfRule type="cellIs" dxfId="4445" priority="1199" operator="lessThan">
      <formula>0.8</formula>
    </cfRule>
    <cfRule type="cellIs" dxfId="4444" priority="1200" operator="greaterThan">
      <formula>1</formula>
    </cfRule>
  </conditionalFormatting>
  <conditionalFormatting sqref="R32:R39">
    <cfRule type="cellIs" dxfId="4443" priority="1197" operator="greaterThan">
      <formula>1</formula>
    </cfRule>
    <cfRule type="cellIs" dxfId="4442" priority="1198" operator="lessThan">
      <formula>0.8</formula>
    </cfRule>
  </conditionalFormatting>
  <conditionalFormatting sqref="P39">
    <cfRule type="cellIs" dxfId="4441" priority="1196" operator="greaterThan">
      <formula>0</formula>
    </cfRule>
  </conditionalFormatting>
  <conditionalFormatting sqref="Q32:Q39">
    <cfRule type="cellIs" dxfId="4440" priority="1195" operator="lessThan">
      <formula>0</formula>
    </cfRule>
  </conditionalFormatting>
  <conditionalFormatting sqref="R32:R39">
    <cfRule type="cellIs" dxfId="4439" priority="1193" operator="lessThan">
      <formula>0.8</formula>
    </cfRule>
    <cfRule type="cellIs" dxfId="4438" priority="1194" operator="greaterThan">
      <formula>1</formula>
    </cfRule>
  </conditionalFormatting>
  <conditionalFormatting sqref="R32:R39">
    <cfRule type="cellIs" dxfId="4437" priority="1191" operator="greaterThan">
      <formula>1</formula>
    </cfRule>
    <cfRule type="cellIs" dxfId="4436" priority="1192" operator="lessThan">
      <formula>0.8</formula>
    </cfRule>
  </conditionalFormatting>
  <conditionalFormatting sqref="P39">
    <cfRule type="cellIs" dxfId="4435" priority="1190" operator="greaterThan">
      <formula>0</formula>
    </cfRule>
  </conditionalFormatting>
  <conditionalFormatting sqref="Q96:Q103 Q105">
    <cfRule type="cellIs" dxfId="4434" priority="1184" operator="lessThan">
      <formula>0</formula>
    </cfRule>
  </conditionalFormatting>
  <conditionalFormatting sqref="P96:P103 P105">
    <cfRule type="cellIs" dxfId="4433" priority="1185" operator="greaterThan">
      <formula>0</formula>
    </cfRule>
  </conditionalFormatting>
  <conditionalFormatting sqref="R96:R103 R105">
    <cfRule type="cellIs" dxfId="4432" priority="1188" operator="lessThan">
      <formula>0.8</formula>
    </cfRule>
    <cfRule type="cellIs" dxfId="4431" priority="1189" operator="greaterThan">
      <formula>1</formula>
    </cfRule>
  </conditionalFormatting>
  <conditionalFormatting sqref="R96:R103 R105">
    <cfRule type="cellIs" dxfId="4430" priority="1186" operator="greaterThan">
      <formula>1</formula>
    </cfRule>
    <cfRule type="cellIs" dxfId="4429" priority="1187" operator="lessThan">
      <formula>0.8</formula>
    </cfRule>
  </conditionalFormatting>
  <conditionalFormatting sqref="Q96:Q103 Q105">
    <cfRule type="cellIs" dxfId="4428" priority="1178" operator="lessThan">
      <formula>0</formula>
    </cfRule>
  </conditionalFormatting>
  <conditionalFormatting sqref="R96:R103 R105">
    <cfRule type="cellIs" dxfId="4427" priority="1182" operator="lessThan">
      <formula>0.8</formula>
    </cfRule>
    <cfRule type="cellIs" dxfId="4426" priority="1183" operator="greaterThan">
      <formula>1</formula>
    </cfRule>
  </conditionalFormatting>
  <conditionalFormatting sqref="R96:R103 R105">
    <cfRule type="cellIs" dxfId="4425" priority="1180" operator="greaterThan">
      <formula>1</formula>
    </cfRule>
    <cfRule type="cellIs" dxfId="4424" priority="1181" operator="lessThan">
      <formula>0.8</formula>
    </cfRule>
  </conditionalFormatting>
  <conditionalFormatting sqref="P96:P103 P105">
    <cfRule type="cellIs" dxfId="4423" priority="1179" operator="greaterThan">
      <formula>0</formula>
    </cfRule>
  </conditionalFormatting>
  <conditionalFormatting sqref="Q96:Q103 Q105">
    <cfRule type="cellIs" dxfId="4422" priority="1177" operator="lessThan">
      <formula>0</formula>
    </cfRule>
  </conditionalFormatting>
  <conditionalFormatting sqref="R96:R103 R105">
    <cfRule type="cellIs" dxfId="4421" priority="1175" operator="lessThan">
      <formula>0.8</formula>
    </cfRule>
    <cfRule type="cellIs" dxfId="4420" priority="1176" operator="greaterThan">
      <formula>1</formula>
    </cfRule>
  </conditionalFormatting>
  <conditionalFormatting sqref="R96:R103 R105">
    <cfRule type="cellIs" dxfId="4419" priority="1173" operator="greaterThan">
      <formula>1</formula>
    </cfRule>
    <cfRule type="cellIs" dxfId="4418" priority="1174" operator="lessThan">
      <formula>0.8</formula>
    </cfRule>
  </conditionalFormatting>
  <conditionalFormatting sqref="P96:P103 P105">
    <cfRule type="cellIs" dxfId="4417" priority="1172" operator="greaterThan">
      <formula>0</formula>
    </cfRule>
  </conditionalFormatting>
  <conditionalFormatting sqref="Q96:Q103 Q105">
    <cfRule type="cellIs" dxfId="4416" priority="1171" operator="lessThan">
      <formula>0</formula>
    </cfRule>
  </conditionalFormatting>
  <conditionalFormatting sqref="R96:R103 R105">
    <cfRule type="cellIs" dxfId="4415" priority="1169" operator="lessThan">
      <formula>0.8</formula>
    </cfRule>
    <cfRule type="cellIs" dxfId="4414" priority="1170" operator="greaterThan">
      <formula>1</formula>
    </cfRule>
  </conditionalFormatting>
  <conditionalFormatting sqref="R96:R103 R105">
    <cfRule type="cellIs" dxfId="4413" priority="1167" operator="greaterThan">
      <formula>1</formula>
    </cfRule>
    <cfRule type="cellIs" dxfId="4412" priority="1168" operator="lessThan">
      <formula>0.8</formula>
    </cfRule>
  </conditionalFormatting>
  <conditionalFormatting sqref="P96:P103 P105">
    <cfRule type="cellIs" dxfId="4411" priority="1166" operator="greaterThan">
      <formula>0</formula>
    </cfRule>
  </conditionalFormatting>
  <conditionalFormatting sqref="Q96:Q103 Q105">
    <cfRule type="cellIs" dxfId="4410" priority="1160" operator="lessThan">
      <formula>0</formula>
    </cfRule>
  </conditionalFormatting>
  <conditionalFormatting sqref="R96:R103 R105">
    <cfRule type="cellIs" dxfId="4409" priority="1164" operator="lessThan">
      <formula>0.8</formula>
    </cfRule>
    <cfRule type="cellIs" dxfId="4408" priority="1165" operator="greaterThan">
      <formula>1</formula>
    </cfRule>
  </conditionalFormatting>
  <conditionalFormatting sqref="R96:R103 R105">
    <cfRule type="cellIs" dxfId="4407" priority="1162" operator="greaterThan">
      <formula>1</formula>
    </cfRule>
    <cfRule type="cellIs" dxfId="4406" priority="1163" operator="lessThan">
      <formula>0.8</formula>
    </cfRule>
  </conditionalFormatting>
  <conditionalFormatting sqref="P96:P103 P105">
    <cfRule type="cellIs" dxfId="4405" priority="1161" operator="greaterThan">
      <formula>0</formula>
    </cfRule>
  </conditionalFormatting>
  <conditionalFormatting sqref="Q96:Q103 Q105">
    <cfRule type="cellIs" dxfId="4404" priority="1159" operator="lessThan">
      <formula>0</formula>
    </cfRule>
  </conditionalFormatting>
  <conditionalFormatting sqref="R96:R103 R105">
    <cfRule type="cellIs" dxfId="4403" priority="1157" operator="lessThan">
      <formula>0.8</formula>
    </cfRule>
    <cfRule type="cellIs" dxfId="4402" priority="1158" operator="greaterThan">
      <formula>1</formula>
    </cfRule>
  </conditionalFormatting>
  <conditionalFormatting sqref="R96:R103 R105">
    <cfRule type="cellIs" dxfId="4401" priority="1155" operator="greaterThan">
      <formula>1</formula>
    </cfRule>
    <cfRule type="cellIs" dxfId="4400" priority="1156" operator="lessThan">
      <formula>0.8</formula>
    </cfRule>
  </conditionalFormatting>
  <conditionalFormatting sqref="P96:P103 P105">
    <cfRule type="cellIs" dxfId="4399" priority="1154" operator="greaterThan">
      <formula>0</formula>
    </cfRule>
  </conditionalFormatting>
  <conditionalFormatting sqref="Q96:Q103 Q105">
    <cfRule type="cellIs" dxfId="4398" priority="1153" operator="lessThan">
      <formula>0</formula>
    </cfRule>
  </conditionalFormatting>
  <conditionalFormatting sqref="R96:R103 R105">
    <cfRule type="cellIs" dxfId="4397" priority="1151" operator="lessThan">
      <formula>0.8</formula>
    </cfRule>
    <cfRule type="cellIs" dxfId="4396" priority="1152" operator="greaterThan">
      <formula>1</formula>
    </cfRule>
  </conditionalFormatting>
  <conditionalFormatting sqref="R96:R103 R105">
    <cfRule type="cellIs" dxfId="4395" priority="1149" operator="greaterThan">
      <formula>1</formula>
    </cfRule>
    <cfRule type="cellIs" dxfId="4394" priority="1150" operator="lessThan">
      <formula>0.8</formula>
    </cfRule>
  </conditionalFormatting>
  <conditionalFormatting sqref="P96:P103 P105">
    <cfRule type="cellIs" dxfId="4393" priority="1148" operator="greaterThan">
      <formula>0</formula>
    </cfRule>
  </conditionalFormatting>
  <conditionalFormatting sqref="Q96:Q103 Q105">
    <cfRule type="cellIs" dxfId="4392" priority="1147" operator="lessThan">
      <formula>0</formula>
    </cfRule>
  </conditionalFormatting>
  <conditionalFormatting sqref="R96:R103 R105">
    <cfRule type="cellIs" dxfId="4391" priority="1145" operator="lessThan">
      <formula>0.8</formula>
    </cfRule>
    <cfRule type="cellIs" dxfId="4390" priority="1146" operator="greaterThan">
      <formula>1</formula>
    </cfRule>
  </conditionalFormatting>
  <conditionalFormatting sqref="R96:R103 R105">
    <cfRule type="cellIs" dxfId="4389" priority="1143" operator="greaterThan">
      <formula>1</formula>
    </cfRule>
    <cfRule type="cellIs" dxfId="4388" priority="1144" operator="lessThan">
      <formula>0.8</formula>
    </cfRule>
  </conditionalFormatting>
  <conditionalFormatting sqref="P96:P103 P105">
    <cfRule type="cellIs" dxfId="4387" priority="1142" operator="greaterThan">
      <formula>0</formula>
    </cfRule>
  </conditionalFormatting>
  <conditionalFormatting sqref="Q96:Q103 Q105">
    <cfRule type="cellIs" dxfId="4386" priority="1141" operator="lessThan">
      <formula>0</formula>
    </cfRule>
  </conditionalFormatting>
  <conditionalFormatting sqref="R96:R103 R105">
    <cfRule type="cellIs" dxfId="4385" priority="1139" operator="lessThan">
      <formula>0.8</formula>
    </cfRule>
    <cfRule type="cellIs" dxfId="4384" priority="1140" operator="greaterThan">
      <formula>1</formula>
    </cfRule>
  </conditionalFormatting>
  <conditionalFormatting sqref="R96:R103 R105">
    <cfRule type="cellIs" dxfId="4383" priority="1137" operator="greaterThan">
      <formula>1</formula>
    </cfRule>
    <cfRule type="cellIs" dxfId="4382" priority="1138" operator="lessThan">
      <formula>0.8</formula>
    </cfRule>
  </conditionalFormatting>
  <conditionalFormatting sqref="P96:P103 P105">
    <cfRule type="cellIs" dxfId="4381" priority="1136" operator="greaterThan">
      <formula>0</formula>
    </cfRule>
  </conditionalFormatting>
  <conditionalFormatting sqref="Q96:Q103 Q105">
    <cfRule type="cellIs" dxfId="4380" priority="1135" operator="lessThan">
      <formula>0</formula>
    </cfRule>
  </conditionalFormatting>
  <conditionalFormatting sqref="R96:R103 R105">
    <cfRule type="cellIs" dxfId="4379" priority="1133" operator="lessThan">
      <formula>0.8</formula>
    </cfRule>
    <cfRule type="cellIs" dxfId="4378" priority="1134" operator="greaterThan">
      <formula>1</formula>
    </cfRule>
  </conditionalFormatting>
  <conditionalFormatting sqref="R96:R103 R105">
    <cfRule type="cellIs" dxfId="4377" priority="1131" operator="greaterThan">
      <formula>1</formula>
    </cfRule>
    <cfRule type="cellIs" dxfId="4376" priority="1132" operator="lessThan">
      <formula>0.8</formula>
    </cfRule>
  </conditionalFormatting>
  <conditionalFormatting sqref="P96:P103 P105">
    <cfRule type="cellIs" dxfId="4375" priority="1130" operator="greaterThan">
      <formula>0</formula>
    </cfRule>
  </conditionalFormatting>
  <conditionalFormatting sqref="P96:P103 P105">
    <cfRule type="cellIs" dxfId="4374" priority="1124" operator="greaterThan">
      <formula>0</formula>
    </cfRule>
  </conditionalFormatting>
  <conditionalFormatting sqref="Q96:Q103 Q105">
    <cfRule type="cellIs" dxfId="4373" priority="1129" operator="lessThan">
      <formula>0</formula>
    </cfRule>
  </conditionalFormatting>
  <conditionalFormatting sqref="R96:R103 R105">
    <cfRule type="cellIs" dxfId="4372" priority="1127" operator="lessThan">
      <formula>0.8</formula>
    </cfRule>
    <cfRule type="cellIs" dxfId="4371" priority="1128" operator="greaterThan">
      <formula>1</formula>
    </cfRule>
  </conditionalFormatting>
  <conditionalFormatting sqref="R96:R103 R105">
    <cfRule type="cellIs" dxfId="4370" priority="1125" operator="greaterThan">
      <formula>1</formula>
    </cfRule>
    <cfRule type="cellIs" dxfId="4369" priority="1126" operator="lessThan">
      <formula>0.8</formula>
    </cfRule>
  </conditionalFormatting>
  <conditionalFormatting sqref="P96:P103 P105">
    <cfRule type="cellIs" dxfId="4368" priority="1118" operator="greaterThan">
      <formula>0</formula>
    </cfRule>
  </conditionalFormatting>
  <conditionalFormatting sqref="Q96:Q103 Q105">
    <cfRule type="cellIs" dxfId="4367" priority="1123" operator="lessThan">
      <formula>0</formula>
    </cfRule>
  </conditionalFormatting>
  <conditionalFormatting sqref="R96:R103 R105">
    <cfRule type="cellIs" dxfId="4366" priority="1121" operator="lessThan">
      <formula>0.8</formula>
    </cfRule>
    <cfRule type="cellIs" dxfId="4365" priority="1122" operator="greaterThan">
      <formula>1</formula>
    </cfRule>
  </conditionalFormatting>
  <conditionalFormatting sqref="R96:R103 R105">
    <cfRule type="cellIs" dxfId="4364" priority="1119" operator="greaterThan">
      <formula>1</formula>
    </cfRule>
    <cfRule type="cellIs" dxfId="4363" priority="1120" operator="lessThan">
      <formula>0.8</formula>
    </cfRule>
  </conditionalFormatting>
  <conditionalFormatting sqref="R96:R103 R105">
    <cfRule type="cellIs" dxfId="4362" priority="1115" operator="lessThan">
      <formula>0.8</formula>
    </cfRule>
    <cfRule type="cellIs" dxfId="4361" priority="1116" operator="greaterThan">
      <formula>1</formula>
    </cfRule>
  </conditionalFormatting>
  <conditionalFormatting sqref="R96:R103 R105">
    <cfRule type="cellIs" dxfId="4360" priority="1113" operator="greaterThan">
      <formula>1</formula>
    </cfRule>
    <cfRule type="cellIs" dxfId="4359" priority="1114" operator="lessThan">
      <formula>0.8</formula>
    </cfRule>
  </conditionalFormatting>
  <conditionalFormatting sqref="P96:P103 P105">
    <cfRule type="cellIs" dxfId="4358" priority="1112" operator="greaterThan">
      <formula>0</formula>
    </cfRule>
  </conditionalFormatting>
  <conditionalFormatting sqref="Q96:Q103 Q105">
    <cfRule type="cellIs" dxfId="4357" priority="1117" operator="lessThan">
      <formula>0</formula>
    </cfRule>
  </conditionalFormatting>
  <conditionalFormatting sqref="Q96:Q103 Q105">
    <cfRule type="cellIs" dxfId="4356" priority="1106" operator="lessThan">
      <formula>0</formula>
    </cfRule>
  </conditionalFormatting>
  <conditionalFormatting sqref="P96:P103 P105">
    <cfRule type="cellIs" dxfId="4355" priority="1107" operator="greaterThan">
      <formula>0</formula>
    </cfRule>
  </conditionalFormatting>
  <conditionalFormatting sqref="R96:R103 R105">
    <cfRule type="cellIs" dxfId="4354" priority="1110" operator="lessThan">
      <formula>0.8</formula>
    </cfRule>
    <cfRule type="cellIs" dxfId="4353" priority="1111" operator="greaterThan">
      <formula>1</formula>
    </cfRule>
  </conditionalFormatting>
  <conditionalFormatting sqref="R96:R103 R105">
    <cfRule type="cellIs" dxfId="4352" priority="1108" operator="greaterThan">
      <formula>1</formula>
    </cfRule>
    <cfRule type="cellIs" dxfId="4351" priority="1109" operator="lessThan">
      <formula>0.8</formula>
    </cfRule>
  </conditionalFormatting>
  <conditionalFormatting sqref="Q96:Q103 Q105">
    <cfRule type="cellIs" dxfId="4350" priority="1100" operator="lessThan">
      <formula>0</formula>
    </cfRule>
  </conditionalFormatting>
  <conditionalFormatting sqref="R96:R103 R105">
    <cfRule type="cellIs" dxfId="4349" priority="1104" operator="lessThan">
      <formula>0.8</formula>
    </cfRule>
    <cfRule type="cellIs" dxfId="4348" priority="1105" operator="greaterThan">
      <formula>1</formula>
    </cfRule>
  </conditionalFormatting>
  <conditionalFormatting sqref="R96:R103 R105">
    <cfRule type="cellIs" dxfId="4347" priority="1102" operator="greaterThan">
      <formula>1</formula>
    </cfRule>
    <cfRule type="cellIs" dxfId="4346" priority="1103" operator="lessThan">
      <formula>0.8</formula>
    </cfRule>
  </conditionalFormatting>
  <conditionalFormatting sqref="P96:P103 P105">
    <cfRule type="cellIs" dxfId="4345" priority="1101" operator="greaterThan">
      <formula>0</formula>
    </cfRule>
  </conditionalFormatting>
  <conditionalFormatting sqref="Q96:Q103 Q105">
    <cfRule type="cellIs" dxfId="4344" priority="1099" operator="lessThan">
      <formula>0</formula>
    </cfRule>
  </conditionalFormatting>
  <conditionalFormatting sqref="R96:R103 R105">
    <cfRule type="cellIs" dxfId="4343" priority="1097" operator="lessThan">
      <formula>0.8</formula>
    </cfRule>
    <cfRule type="cellIs" dxfId="4342" priority="1098" operator="greaterThan">
      <formula>1</formula>
    </cfRule>
  </conditionalFormatting>
  <conditionalFormatting sqref="R96:R103 R105">
    <cfRule type="cellIs" dxfId="4341" priority="1095" operator="greaterThan">
      <formula>1</formula>
    </cfRule>
    <cfRule type="cellIs" dxfId="4340" priority="1096" operator="lessThan">
      <formula>0.8</formula>
    </cfRule>
  </conditionalFormatting>
  <conditionalFormatting sqref="P96:P103 P105">
    <cfRule type="cellIs" dxfId="4339" priority="1094" operator="greaterThan">
      <formula>0</formula>
    </cfRule>
  </conditionalFormatting>
  <conditionalFormatting sqref="Q96:Q103 Q105">
    <cfRule type="cellIs" dxfId="4338" priority="1093" operator="lessThan">
      <formula>0</formula>
    </cfRule>
  </conditionalFormatting>
  <conditionalFormatting sqref="R96:R103 R105">
    <cfRule type="cellIs" dxfId="4337" priority="1091" operator="lessThan">
      <formula>0.8</formula>
    </cfRule>
    <cfRule type="cellIs" dxfId="4336" priority="1092" operator="greaterThan">
      <formula>1</formula>
    </cfRule>
  </conditionalFormatting>
  <conditionalFormatting sqref="R96:R103 R105">
    <cfRule type="cellIs" dxfId="4335" priority="1089" operator="greaterThan">
      <formula>1</formula>
    </cfRule>
    <cfRule type="cellIs" dxfId="4334" priority="1090" operator="lessThan">
      <formula>0.8</formula>
    </cfRule>
  </conditionalFormatting>
  <conditionalFormatting sqref="P96:P103 P105">
    <cfRule type="cellIs" dxfId="4333" priority="1088" operator="greaterThan">
      <formula>0</formula>
    </cfRule>
  </conditionalFormatting>
  <conditionalFormatting sqref="Q96:Q103 Q105">
    <cfRule type="cellIs" dxfId="4332" priority="1082" operator="lessThan">
      <formula>0</formula>
    </cfRule>
  </conditionalFormatting>
  <conditionalFormatting sqref="P96:P103 P105">
    <cfRule type="cellIs" dxfId="4331" priority="1083" operator="greaterThan">
      <formula>0</formula>
    </cfRule>
  </conditionalFormatting>
  <conditionalFormatting sqref="R96:R103 R105">
    <cfRule type="cellIs" dxfId="4330" priority="1086" operator="lessThan">
      <formula>0.8</formula>
    </cfRule>
    <cfRule type="cellIs" dxfId="4329" priority="1087" operator="greaterThan">
      <formula>1</formula>
    </cfRule>
  </conditionalFormatting>
  <conditionalFormatting sqref="R96:R103 R105">
    <cfRule type="cellIs" dxfId="4328" priority="1084" operator="greaterThan">
      <formula>1</formula>
    </cfRule>
    <cfRule type="cellIs" dxfId="4327" priority="1085" operator="lessThan">
      <formula>0.8</formula>
    </cfRule>
  </conditionalFormatting>
  <conditionalFormatting sqref="Q96:Q103 Q105">
    <cfRule type="cellIs" dxfId="4326" priority="1076" operator="lessThan">
      <formula>0</formula>
    </cfRule>
  </conditionalFormatting>
  <conditionalFormatting sqref="R96:R103 R105">
    <cfRule type="cellIs" dxfId="4325" priority="1080" operator="lessThan">
      <formula>0.8</formula>
    </cfRule>
    <cfRule type="cellIs" dxfId="4324" priority="1081" operator="greaterThan">
      <formula>1</formula>
    </cfRule>
  </conditionalFormatting>
  <conditionalFormatting sqref="R96:R103 R105">
    <cfRule type="cellIs" dxfId="4323" priority="1078" operator="greaterThan">
      <formula>1</formula>
    </cfRule>
    <cfRule type="cellIs" dxfId="4322" priority="1079" operator="lessThan">
      <formula>0.8</formula>
    </cfRule>
  </conditionalFormatting>
  <conditionalFormatting sqref="P96:P103 P105">
    <cfRule type="cellIs" dxfId="4321" priority="1077" operator="greaterThan">
      <formula>0</formula>
    </cfRule>
  </conditionalFormatting>
  <conditionalFormatting sqref="Q96:Q103 Q105">
    <cfRule type="cellIs" dxfId="4320" priority="1075" operator="lessThan">
      <formula>0</formula>
    </cfRule>
  </conditionalFormatting>
  <conditionalFormatting sqref="R96:R103 R105">
    <cfRule type="cellIs" dxfId="4319" priority="1073" operator="lessThan">
      <formula>0.8</formula>
    </cfRule>
    <cfRule type="cellIs" dxfId="4318" priority="1074" operator="greaterThan">
      <formula>1</formula>
    </cfRule>
  </conditionalFormatting>
  <conditionalFormatting sqref="R96:R103 R105">
    <cfRule type="cellIs" dxfId="4317" priority="1071" operator="greaterThan">
      <formula>1</formula>
    </cfRule>
    <cfRule type="cellIs" dxfId="4316" priority="1072" operator="lessThan">
      <formula>0.8</formula>
    </cfRule>
  </conditionalFormatting>
  <conditionalFormatting sqref="P96:P103 P105">
    <cfRule type="cellIs" dxfId="4315" priority="1070" operator="greaterThan">
      <formula>0</formula>
    </cfRule>
  </conditionalFormatting>
  <conditionalFormatting sqref="Q96:Q103 Q105">
    <cfRule type="cellIs" dxfId="4314" priority="1069" operator="lessThan">
      <formula>0</formula>
    </cfRule>
  </conditionalFormatting>
  <conditionalFormatting sqref="R96:R103 R105">
    <cfRule type="cellIs" dxfId="4313" priority="1067" operator="lessThan">
      <formula>0.8</formula>
    </cfRule>
    <cfRule type="cellIs" dxfId="4312" priority="1068" operator="greaterThan">
      <formula>1</formula>
    </cfRule>
  </conditionalFormatting>
  <conditionalFormatting sqref="R96:R103 R105">
    <cfRule type="cellIs" dxfId="4311" priority="1065" operator="greaterThan">
      <formula>1</formula>
    </cfRule>
    <cfRule type="cellIs" dxfId="4310" priority="1066" operator="lessThan">
      <formula>0.8</formula>
    </cfRule>
  </conditionalFormatting>
  <conditionalFormatting sqref="P96:P103 P105">
    <cfRule type="cellIs" dxfId="4309" priority="1064" operator="greaterThan">
      <formula>0</formula>
    </cfRule>
  </conditionalFormatting>
  <conditionalFormatting sqref="P124 P127 P130">
    <cfRule type="cellIs" dxfId="4308" priority="1058" operator="greaterThan">
      <formula>0</formula>
    </cfRule>
  </conditionalFormatting>
  <conditionalFormatting sqref="Q124 Q127 Q130">
    <cfRule type="cellIs" dxfId="4307" priority="1063" operator="lessThan">
      <formula>0</formula>
    </cfRule>
  </conditionalFormatting>
  <conditionalFormatting sqref="R124 R127 R130">
    <cfRule type="cellIs" dxfId="4306" priority="1061" operator="lessThan">
      <formula>0.8</formula>
    </cfRule>
    <cfRule type="cellIs" dxfId="4305" priority="1062" operator="greaterThan">
      <formula>1</formula>
    </cfRule>
  </conditionalFormatting>
  <conditionalFormatting sqref="R124 R127 R130">
    <cfRule type="cellIs" dxfId="4304" priority="1059" operator="greaterThan">
      <formula>1</formula>
    </cfRule>
    <cfRule type="cellIs" dxfId="4303" priority="1060" operator="lessThan">
      <formula>0.8</formula>
    </cfRule>
  </conditionalFormatting>
  <conditionalFormatting sqref="Q124 Q127 Q130">
    <cfRule type="cellIs" dxfId="4302" priority="1057" operator="lessThan">
      <formula>0</formula>
    </cfRule>
  </conditionalFormatting>
  <conditionalFormatting sqref="R124 R127 R130">
    <cfRule type="cellIs" dxfId="4301" priority="1055" operator="lessThan">
      <formula>0.8</formula>
    </cfRule>
    <cfRule type="cellIs" dxfId="4300" priority="1056" operator="greaterThan">
      <formula>1</formula>
    </cfRule>
  </conditionalFormatting>
  <conditionalFormatting sqref="R124 R127 R130">
    <cfRule type="cellIs" dxfId="4299" priority="1053" operator="greaterThan">
      <formula>1</formula>
    </cfRule>
    <cfRule type="cellIs" dxfId="4298" priority="1054" operator="lessThan">
      <formula>0.8</formula>
    </cfRule>
  </conditionalFormatting>
  <conditionalFormatting sqref="P124 P127 P130">
    <cfRule type="cellIs" dxfId="4297" priority="1052" operator="greaterThan">
      <formula>0</formula>
    </cfRule>
  </conditionalFormatting>
  <conditionalFormatting sqref="Q123 Q125:Q126 Q131 Q128:Q129">
    <cfRule type="cellIs" dxfId="4296" priority="1051" operator="lessThan">
      <formula>0</formula>
    </cfRule>
  </conditionalFormatting>
  <conditionalFormatting sqref="R123 R125:R126 R131 R128:R129">
    <cfRule type="cellIs" dxfId="4295" priority="1049" operator="lessThan">
      <formula>0.8</formula>
    </cfRule>
    <cfRule type="cellIs" dxfId="4294" priority="1050" operator="greaterThan">
      <formula>1</formula>
    </cfRule>
  </conditionalFormatting>
  <conditionalFormatting sqref="R123 R125:R126 R131 R128:R129">
    <cfRule type="cellIs" dxfId="4293" priority="1047" operator="greaterThan">
      <formula>1</formula>
    </cfRule>
    <cfRule type="cellIs" dxfId="4292" priority="1048" operator="lessThan">
      <formula>0.8</formula>
    </cfRule>
  </conditionalFormatting>
  <conditionalFormatting sqref="P123 P125:P126 P131 P128:P129">
    <cfRule type="cellIs" dxfId="4291" priority="1046" operator="greaterThan">
      <formula>0</formula>
    </cfRule>
  </conditionalFormatting>
  <conditionalFormatting sqref="P123 P125:P126 P131 P128:P129">
    <cfRule type="cellIs" dxfId="4290" priority="1040" operator="greaterThan">
      <formula>0</formula>
    </cfRule>
  </conditionalFormatting>
  <conditionalFormatting sqref="Q123 Q125:Q126 Q131 Q128:Q129">
    <cfRule type="cellIs" dxfId="4289" priority="1045" operator="lessThan">
      <formula>0</formula>
    </cfRule>
  </conditionalFormatting>
  <conditionalFormatting sqref="R123 R125:R126 R131 R128:R129">
    <cfRule type="cellIs" dxfId="4288" priority="1043" operator="lessThan">
      <formula>0.8</formula>
    </cfRule>
    <cfRule type="cellIs" dxfId="4287" priority="1044" operator="greaterThan">
      <formula>1</formula>
    </cfRule>
  </conditionalFormatting>
  <conditionalFormatting sqref="R123 R125:R126 R131 R128:R129">
    <cfRule type="cellIs" dxfId="4286" priority="1041" operator="greaterThan">
      <formula>1</formula>
    </cfRule>
    <cfRule type="cellIs" dxfId="4285" priority="1042" operator="lessThan">
      <formula>0.8</formula>
    </cfRule>
  </conditionalFormatting>
  <conditionalFormatting sqref="P122">
    <cfRule type="cellIs" dxfId="4284" priority="1034" operator="greaterThan">
      <formula>0</formula>
    </cfRule>
  </conditionalFormatting>
  <conditionalFormatting sqref="Q122">
    <cfRule type="cellIs" dxfId="4283" priority="1039" operator="lessThan">
      <formula>0</formula>
    </cfRule>
  </conditionalFormatting>
  <conditionalFormatting sqref="R122">
    <cfRule type="cellIs" dxfId="4282" priority="1037" operator="lessThan">
      <formula>0.8</formula>
    </cfRule>
    <cfRule type="cellIs" dxfId="4281" priority="1038" operator="greaterThan">
      <formula>1</formula>
    </cfRule>
  </conditionalFormatting>
  <conditionalFormatting sqref="R122">
    <cfRule type="cellIs" dxfId="4280" priority="1035" operator="greaterThan">
      <formula>1</formula>
    </cfRule>
    <cfRule type="cellIs" dxfId="4279" priority="1036" operator="lessThan">
      <formula>0.8</formula>
    </cfRule>
  </conditionalFormatting>
  <conditionalFormatting sqref="P137 P140 P142 P144">
    <cfRule type="cellIs" dxfId="4278" priority="1033" operator="greaterThan">
      <formula>0</formula>
    </cfRule>
  </conditionalFormatting>
  <conditionalFormatting sqref="Q137:Q144">
    <cfRule type="cellIs" dxfId="4277" priority="1032" operator="lessThan">
      <formula>0</formula>
    </cfRule>
  </conditionalFormatting>
  <conditionalFormatting sqref="R137">
    <cfRule type="cellIs" dxfId="4276" priority="1030" operator="lessThan">
      <formula>0.8</formula>
    </cfRule>
    <cfRule type="cellIs" dxfId="4275" priority="1031" operator="greaterThan">
      <formula>1</formula>
    </cfRule>
  </conditionalFormatting>
  <conditionalFormatting sqref="R137">
    <cfRule type="cellIs" dxfId="4274" priority="1028" operator="greaterThan">
      <formula>1</formula>
    </cfRule>
    <cfRule type="cellIs" dxfId="4273" priority="1029" operator="lessThan">
      <formula>0.8</formula>
    </cfRule>
  </conditionalFormatting>
  <conditionalFormatting sqref="P137 P140 P142 P144">
    <cfRule type="cellIs" dxfId="4272" priority="1027" operator="greaterThan">
      <formula>0</formula>
    </cfRule>
  </conditionalFormatting>
  <conditionalFormatting sqref="Q137:Q144">
    <cfRule type="cellIs" dxfId="4271" priority="1026" operator="lessThan">
      <formula>0</formula>
    </cfRule>
  </conditionalFormatting>
  <conditionalFormatting sqref="R137">
    <cfRule type="cellIs" dxfId="4270" priority="1024" operator="lessThan">
      <formula>0.8</formula>
    </cfRule>
    <cfRule type="cellIs" dxfId="4269" priority="1025" operator="greaterThan">
      <formula>1</formula>
    </cfRule>
  </conditionalFormatting>
  <conditionalFormatting sqref="R137">
    <cfRule type="cellIs" dxfId="4268" priority="1022" operator="greaterThan">
      <formula>1</formula>
    </cfRule>
    <cfRule type="cellIs" dxfId="4267" priority="1023" operator="lessThan">
      <formula>0.8</formula>
    </cfRule>
  </conditionalFormatting>
  <conditionalFormatting sqref="P137 P140 P142 P144">
    <cfRule type="cellIs" dxfId="4266" priority="1021" operator="greaterThan">
      <formula>0</formula>
    </cfRule>
  </conditionalFormatting>
  <conditionalFormatting sqref="P137 P140 P142 P144">
    <cfRule type="cellIs" dxfId="4265" priority="1015" operator="greaterThan">
      <formula>0</formula>
    </cfRule>
  </conditionalFormatting>
  <conditionalFormatting sqref="Q137:Q144">
    <cfRule type="cellIs" dxfId="4264" priority="1020" operator="lessThan">
      <formula>0</formula>
    </cfRule>
  </conditionalFormatting>
  <conditionalFormatting sqref="R137">
    <cfRule type="cellIs" dxfId="4263" priority="1018" operator="lessThan">
      <formula>0.8</formula>
    </cfRule>
    <cfRule type="cellIs" dxfId="4262" priority="1019" operator="greaterThan">
      <formula>1</formula>
    </cfRule>
  </conditionalFormatting>
  <conditionalFormatting sqref="R137">
    <cfRule type="cellIs" dxfId="4261" priority="1016" operator="greaterThan">
      <formula>1</formula>
    </cfRule>
    <cfRule type="cellIs" dxfId="4260" priority="1017" operator="lessThan">
      <formula>0.8</formula>
    </cfRule>
  </conditionalFormatting>
  <conditionalFormatting sqref="Q137:Q144">
    <cfRule type="cellIs" dxfId="4259" priority="1014" operator="lessThan">
      <formula>0</formula>
    </cfRule>
  </conditionalFormatting>
  <conditionalFormatting sqref="R137">
    <cfRule type="cellIs" dxfId="4258" priority="1012" operator="lessThan">
      <formula>0.8</formula>
    </cfRule>
    <cfRule type="cellIs" dxfId="4257" priority="1013" operator="greaterThan">
      <formula>1</formula>
    </cfRule>
  </conditionalFormatting>
  <conditionalFormatting sqref="R137">
    <cfRule type="cellIs" dxfId="4256" priority="1010" operator="greaterThan">
      <formula>1</formula>
    </cfRule>
    <cfRule type="cellIs" dxfId="4255" priority="1011" operator="lessThan">
      <formula>0.8</formula>
    </cfRule>
  </conditionalFormatting>
  <conditionalFormatting sqref="P137 P140 P142 P144">
    <cfRule type="cellIs" dxfId="4254" priority="1009" operator="greaterThan">
      <formula>0</formula>
    </cfRule>
  </conditionalFormatting>
  <conditionalFormatting sqref="Q137:Q144">
    <cfRule type="cellIs" dxfId="4253" priority="1008" operator="lessThan">
      <formula>0</formula>
    </cfRule>
  </conditionalFormatting>
  <conditionalFormatting sqref="R137">
    <cfRule type="cellIs" dxfId="4252" priority="1006" operator="lessThan">
      <formula>0.8</formula>
    </cfRule>
    <cfRule type="cellIs" dxfId="4251" priority="1007" operator="greaterThan">
      <formula>1</formula>
    </cfRule>
  </conditionalFormatting>
  <conditionalFormatting sqref="R137">
    <cfRule type="cellIs" dxfId="4250" priority="1004" operator="greaterThan">
      <formula>1</formula>
    </cfRule>
    <cfRule type="cellIs" dxfId="4249" priority="1005" operator="lessThan">
      <formula>0.8</formula>
    </cfRule>
  </conditionalFormatting>
  <conditionalFormatting sqref="P137 P140 P142 P144">
    <cfRule type="cellIs" dxfId="4248" priority="1003" operator="greaterThan">
      <formula>0</formula>
    </cfRule>
  </conditionalFormatting>
  <conditionalFormatting sqref="P137 P140 P142 P144">
    <cfRule type="cellIs" dxfId="4247" priority="997" operator="greaterThan">
      <formula>0</formula>
    </cfRule>
  </conditionalFormatting>
  <conditionalFormatting sqref="Q137:Q144">
    <cfRule type="cellIs" dxfId="4246" priority="1002" operator="lessThan">
      <formula>0</formula>
    </cfRule>
  </conditionalFormatting>
  <conditionalFormatting sqref="R137">
    <cfRule type="cellIs" dxfId="4245" priority="1000" operator="lessThan">
      <formula>0.8</formula>
    </cfRule>
    <cfRule type="cellIs" dxfId="4244" priority="1001" operator="greaterThan">
      <formula>1</formula>
    </cfRule>
  </conditionalFormatting>
  <conditionalFormatting sqref="R137">
    <cfRule type="cellIs" dxfId="4243" priority="998" operator="greaterThan">
      <formula>1</formula>
    </cfRule>
    <cfRule type="cellIs" dxfId="4242" priority="999" operator="lessThan">
      <formula>0.8</formula>
    </cfRule>
  </conditionalFormatting>
  <conditionalFormatting sqref="Q137:Q144">
    <cfRule type="cellIs" dxfId="4241" priority="996" operator="lessThan">
      <formula>0</formula>
    </cfRule>
  </conditionalFormatting>
  <conditionalFormatting sqref="R137">
    <cfRule type="cellIs" dxfId="4240" priority="994" operator="lessThan">
      <formula>0.8</formula>
    </cfRule>
    <cfRule type="cellIs" dxfId="4239" priority="995" operator="greaterThan">
      <formula>1</formula>
    </cfRule>
  </conditionalFormatting>
  <conditionalFormatting sqref="R137">
    <cfRule type="cellIs" dxfId="4238" priority="992" operator="greaterThan">
      <formula>1</formula>
    </cfRule>
    <cfRule type="cellIs" dxfId="4237" priority="993" operator="lessThan">
      <formula>0.8</formula>
    </cfRule>
  </conditionalFormatting>
  <conditionalFormatting sqref="P137 P140 P142 P144">
    <cfRule type="cellIs" dxfId="4236" priority="991" operator="greaterThan">
      <formula>0</formula>
    </cfRule>
  </conditionalFormatting>
  <conditionalFormatting sqref="Q137:Q144">
    <cfRule type="cellIs" dxfId="4235" priority="990" operator="lessThan">
      <formula>0</formula>
    </cfRule>
  </conditionalFormatting>
  <conditionalFormatting sqref="R137">
    <cfRule type="cellIs" dxfId="4234" priority="988" operator="lessThan">
      <formula>0.8</formula>
    </cfRule>
    <cfRule type="cellIs" dxfId="4233" priority="989" operator="greaterThan">
      <formula>1</formula>
    </cfRule>
  </conditionalFormatting>
  <conditionalFormatting sqref="R137">
    <cfRule type="cellIs" dxfId="4232" priority="986" operator="greaterThan">
      <formula>1</formula>
    </cfRule>
    <cfRule type="cellIs" dxfId="4231" priority="987" operator="lessThan">
      <formula>0.8</formula>
    </cfRule>
  </conditionalFormatting>
  <conditionalFormatting sqref="P137 P140 P142 P144">
    <cfRule type="cellIs" dxfId="4230" priority="985" operator="greaterThan">
      <formula>0</formula>
    </cfRule>
  </conditionalFormatting>
  <conditionalFormatting sqref="P137 P140 P142 P144">
    <cfRule type="cellIs" dxfId="4229" priority="979" operator="greaterThan">
      <formula>0</formula>
    </cfRule>
  </conditionalFormatting>
  <conditionalFormatting sqref="Q137:Q144">
    <cfRule type="cellIs" dxfId="4228" priority="984" operator="lessThan">
      <formula>0</formula>
    </cfRule>
  </conditionalFormatting>
  <conditionalFormatting sqref="R137">
    <cfRule type="cellIs" dxfId="4227" priority="982" operator="lessThan">
      <formula>0.8</formula>
    </cfRule>
    <cfRule type="cellIs" dxfId="4226" priority="983" operator="greaterThan">
      <formula>1</formula>
    </cfRule>
  </conditionalFormatting>
  <conditionalFormatting sqref="R137">
    <cfRule type="cellIs" dxfId="4225" priority="980" operator="greaterThan">
      <formula>1</formula>
    </cfRule>
    <cfRule type="cellIs" dxfId="4224" priority="981" operator="lessThan">
      <formula>0.8</formula>
    </cfRule>
  </conditionalFormatting>
  <conditionalFormatting sqref="Q137:Q144">
    <cfRule type="cellIs" dxfId="4223" priority="978" operator="lessThan">
      <formula>0</formula>
    </cfRule>
  </conditionalFormatting>
  <conditionalFormatting sqref="R137">
    <cfRule type="cellIs" dxfId="4222" priority="976" operator="lessThan">
      <formula>0.8</formula>
    </cfRule>
    <cfRule type="cellIs" dxfId="4221" priority="977" operator="greaterThan">
      <formula>1</formula>
    </cfRule>
  </conditionalFormatting>
  <conditionalFormatting sqref="R137">
    <cfRule type="cellIs" dxfId="4220" priority="974" operator="greaterThan">
      <formula>1</formula>
    </cfRule>
    <cfRule type="cellIs" dxfId="4219" priority="975" operator="lessThan">
      <formula>0.8</formula>
    </cfRule>
  </conditionalFormatting>
  <conditionalFormatting sqref="P137 P140 P142 P144">
    <cfRule type="cellIs" dxfId="4218" priority="973" operator="greaterThan">
      <formula>0</formula>
    </cfRule>
  </conditionalFormatting>
  <conditionalFormatting sqref="P138 P141 P143">
    <cfRule type="cellIs" dxfId="4217" priority="968" operator="greaterThan">
      <formula>0</formula>
    </cfRule>
  </conditionalFormatting>
  <conditionalFormatting sqref="R138">
    <cfRule type="cellIs" dxfId="4216" priority="971" operator="lessThan">
      <formula>0.8</formula>
    </cfRule>
    <cfRule type="cellIs" dxfId="4215" priority="972" operator="greaterThan">
      <formula>1</formula>
    </cfRule>
  </conditionalFormatting>
  <conditionalFormatting sqref="R138">
    <cfRule type="cellIs" dxfId="4214" priority="969" operator="greaterThan">
      <formula>1</formula>
    </cfRule>
    <cfRule type="cellIs" dxfId="4213" priority="970" operator="lessThan">
      <formula>0.8</formula>
    </cfRule>
  </conditionalFormatting>
  <conditionalFormatting sqref="R138">
    <cfRule type="cellIs" dxfId="4212" priority="966" operator="lessThan">
      <formula>0.8</formula>
    </cfRule>
    <cfRule type="cellIs" dxfId="4211" priority="967" operator="greaterThan">
      <formula>1</formula>
    </cfRule>
  </conditionalFormatting>
  <conditionalFormatting sqref="R138">
    <cfRule type="cellIs" dxfId="4210" priority="964" operator="greaterThan">
      <formula>1</formula>
    </cfRule>
    <cfRule type="cellIs" dxfId="4209" priority="965" operator="lessThan">
      <formula>0.8</formula>
    </cfRule>
  </conditionalFormatting>
  <conditionalFormatting sqref="P138 P141 P143">
    <cfRule type="cellIs" dxfId="4208" priority="963" operator="greaterThan">
      <formula>0</formula>
    </cfRule>
  </conditionalFormatting>
  <conditionalFormatting sqref="R138">
    <cfRule type="cellIs" dxfId="4207" priority="961" operator="lessThan">
      <formula>0.8</formula>
    </cfRule>
    <cfRule type="cellIs" dxfId="4206" priority="962" operator="greaterThan">
      <formula>1</formula>
    </cfRule>
  </conditionalFormatting>
  <conditionalFormatting sqref="R138">
    <cfRule type="cellIs" dxfId="4205" priority="959" operator="greaterThan">
      <formula>1</formula>
    </cfRule>
    <cfRule type="cellIs" dxfId="4204" priority="960" operator="lessThan">
      <formula>0.8</formula>
    </cfRule>
  </conditionalFormatting>
  <conditionalFormatting sqref="P138 P141 P143">
    <cfRule type="cellIs" dxfId="4203" priority="958" operator="greaterThan">
      <formula>0</formula>
    </cfRule>
  </conditionalFormatting>
  <conditionalFormatting sqref="R138">
    <cfRule type="cellIs" dxfId="4202" priority="956" operator="lessThan">
      <formula>0.8</formula>
    </cfRule>
    <cfRule type="cellIs" dxfId="4201" priority="957" operator="greaterThan">
      <formula>1</formula>
    </cfRule>
  </conditionalFormatting>
  <conditionalFormatting sqref="R138">
    <cfRule type="cellIs" dxfId="4200" priority="954" operator="greaterThan">
      <formula>1</formula>
    </cfRule>
    <cfRule type="cellIs" dxfId="4199" priority="955" operator="lessThan">
      <formula>0.8</formula>
    </cfRule>
  </conditionalFormatting>
  <conditionalFormatting sqref="P138 P141 P143">
    <cfRule type="cellIs" dxfId="4198" priority="953" operator="greaterThan">
      <formula>0</formula>
    </cfRule>
  </conditionalFormatting>
  <conditionalFormatting sqref="R138">
    <cfRule type="cellIs" dxfId="4197" priority="951" operator="lessThan">
      <formula>0.8</formula>
    </cfRule>
    <cfRule type="cellIs" dxfId="4196" priority="952" operator="greaterThan">
      <formula>1</formula>
    </cfRule>
  </conditionalFormatting>
  <conditionalFormatting sqref="R138">
    <cfRule type="cellIs" dxfId="4195" priority="949" operator="greaterThan">
      <formula>1</formula>
    </cfRule>
    <cfRule type="cellIs" dxfId="4194" priority="950" operator="lessThan">
      <formula>0.8</formula>
    </cfRule>
  </conditionalFormatting>
  <conditionalFormatting sqref="R138">
    <cfRule type="cellIs" dxfId="4193" priority="947" operator="lessThan">
      <formula>0.8</formula>
    </cfRule>
    <cfRule type="cellIs" dxfId="4192" priority="948" operator="greaterThan">
      <formula>1</formula>
    </cfRule>
  </conditionalFormatting>
  <conditionalFormatting sqref="R138">
    <cfRule type="cellIs" dxfId="4191" priority="945" operator="greaterThan">
      <formula>1</formula>
    </cfRule>
    <cfRule type="cellIs" dxfId="4190" priority="946" operator="lessThan">
      <formula>0.8</formula>
    </cfRule>
  </conditionalFormatting>
  <conditionalFormatting sqref="P138 P141 P143">
    <cfRule type="cellIs" dxfId="4189" priority="944" operator="greaterThan">
      <formula>0</formula>
    </cfRule>
  </conditionalFormatting>
  <conditionalFormatting sqref="P138 P141 P143">
    <cfRule type="cellIs" dxfId="4188" priority="939" operator="greaterThan">
      <formula>0</formula>
    </cfRule>
  </conditionalFormatting>
  <conditionalFormatting sqref="R138">
    <cfRule type="cellIs" dxfId="4187" priority="942" operator="lessThan">
      <formula>0.8</formula>
    </cfRule>
    <cfRule type="cellIs" dxfId="4186" priority="943" operator="greaterThan">
      <formula>1</formula>
    </cfRule>
  </conditionalFormatting>
  <conditionalFormatting sqref="R138">
    <cfRule type="cellIs" dxfId="4185" priority="940" operator="greaterThan">
      <formula>1</formula>
    </cfRule>
    <cfRule type="cellIs" dxfId="4184" priority="941" operator="lessThan">
      <formula>0.8</formula>
    </cfRule>
  </conditionalFormatting>
  <conditionalFormatting sqref="R138">
    <cfRule type="cellIs" dxfId="4183" priority="937" operator="lessThan">
      <formula>0.8</formula>
    </cfRule>
    <cfRule type="cellIs" dxfId="4182" priority="938" operator="greaterThan">
      <formula>1</formula>
    </cfRule>
  </conditionalFormatting>
  <conditionalFormatting sqref="R138">
    <cfRule type="cellIs" dxfId="4181" priority="935" operator="greaterThan">
      <formula>1</formula>
    </cfRule>
    <cfRule type="cellIs" dxfId="4180" priority="936" operator="lessThan">
      <formula>0.8</formula>
    </cfRule>
  </conditionalFormatting>
  <conditionalFormatting sqref="P138 P141 P143">
    <cfRule type="cellIs" dxfId="4179" priority="934" operator="greaterThan">
      <formula>0</formula>
    </cfRule>
  </conditionalFormatting>
  <conditionalFormatting sqref="Q148:Q154">
    <cfRule type="cellIs" dxfId="4178" priority="933" operator="lessThan">
      <formula>0</formula>
    </cfRule>
  </conditionalFormatting>
  <conditionalFormatting sqref="R148:R154">
    <cfRule type="cellIs" dxfId="4177" priority="931" operator="lessThan">
      <formula>0.8</formula>
    </cfRule>
    <cfRule type="cellIs" dxfId="4176" priority="932" operator="greaterThan">
      <formula>1</formula>
    </cfRule>
  </conditionalFormatting>
  <conditionalFormatting sqref="R148:R154">
    <cfRule type="cellIs" dxfId="4175" priority="929" operator="greaterThan">
      <formula>1</formula>
    </cfRule>
    <cfRule type="cellIs" dxfId="4174" priority="930" operator="lessThan">
      <formula>0.8</formula>
    </cfRule>
  </conditionalFormatting>
  <conditionalFormatting sqref="P148:P154">
    <cfRule type="cellIs" dxfId="4173" priority="928" operator="greaterThan">
      <formula>0</formula>
    </cfRule>
  </conditionalFormatting>
  <conditionalFormatting sqref="P148:P154">
    <cfRule type="cellIs" dxfId="4172" priority="922" operator="greaterThan">
      <formula>0</formula>
    </cfRule>
  </conditionalFormatting>
  <conditionalFormatting sqref="Q148:Q154">
    <cfRule type="cellIs" dxfId="4171" priority="927" operator="lessThan">
      <formula>0</formula>
    </cfRule>
  </conditionalFormatting>
  <conditionalFormatting sqref="R148:R154">
    <cfRule type="cellIs" dxfId="4170" priority="925" operator="lessThan">
      <formula>0.8</formula>
    </cfRule>
    <cfRule type="cellIs" dxfId="4169" priority="926" operator="greaterThan">
      <formula>1</formula>
    </cfRule>
  </conditionalFormatting>
  <conditionalFormatting sqref="R148:R154">
    <cfRule type="cellIs" dxfId="4168" priority="923" operator="greaterThan">
      <formula>1</formula>
    </cfRule>
    <cfRule type="cellIs" dxfId="4167" priority="924" operator="lessThan">
      <formula>0.8</formula>
    </cfRule>
  </conditionalFormatting>
  <conditionalFormatting sqref="Q148:Q154">
    <cfRule type="cellIs" dxfId="4166" priority="921" operator="lessThan">
      <formula>0</formula>
    </cfRule>
  </conditionalFormatting>
  <conditionalFormatting sqref="R148:R154">
    <cfRule type="cellIs" dxfId="4165" priority="919" operator="lessThan">
      <formula>0.8</formula>
    </cfRule>
    <cfRule type="cellIs" dxfId="4164" priority="920" operator="greaterThan">
      <formula>1</formula>
    </cfRule>
  </conditionalFormatting>
  <conditionalFormatting sqref="R148:R154">
    <cfRule type="cellIs" dxfId="4163" priority="917" operator="greaterThan">
      <formula>1</formula>
    </cfRule>
    <cfRule type="cellIs" dxfId="4162" priority="918" operator="lessThan">
      <formula>0.8</formula>
    </cfRule>
  </conditionalFormatting>
  <conditionalFormatting sqref="P148:P154">
    <cfRule type="cellIs" dxfId="4161" priority="916" operator="greaterThan">
      <formula>0</formula>
    </cfRule>
  </conditionalFormatting>
  <conditionalFormatting sqref="Q148:Q154">
    <cfRule type="cellIs" dxfId="4160" priority="915" operator="lessThan">
      <formula>0</formula>
    </cfRule>
  </conditionalFormatting>
  <conditionalFormatting sqref="R148:R154">
    <cfRule type="cellIs" dxfId="4159" priority="913" operator="lessThan">
      <formula>0.8</formula>
    </cfRule>
    <cfRule type="cellIs" dxfId="4158" priority="914" operator="greaterThan">
      <formula>1</formula>
    </cfRule>
  </conditionalFormatting>
  <conditionalFormatting sqref="R148:R154">
    <cfRule type="cellIs" dxfId="4157" priority="911" operator="greaterThan">
      <formula>1</formula>
    </cfRule>
    <cfRule type="cellIs" dxfId="4156" priority="912" operator="lessThan">
      <formula>0.8</formula>
    </cfRule>
  </conditionalFormatting>
  <conditionalFormatting sqref="P148:P154">
    <cfRule type="cellIs" dxfId="4155" priority="910" operator="greaterThan">
      <formula>0</formula>
    </cfRule>
  </conditionalFormatting>
  <conditionalFormatting sqref="P148:P154">
    <cfRule type="cellIs" dxfId="4154" priority="904" operator="greaterThan">
      <formula>0</formula>
    </cfRule>
  </conditionalFormatting>
  <conditionalFormatting sqref="Q148:Q154">
    <cfRule type="cellIs" dxfId="4153" priority="909" operator="lessThan">
      <formula>0</formula>
    </cfRule>
  </conditionalFormatting>
  <conditionalFormatting sqref="R148:R154">
    <cfRule type="cellIs" dxfId="4152" priority="907" operator="lessThan">
      <formula>0.8</formula>
    </cfRule>
    <cfRule type="cellIs" dxfId="4151" priority="908" operator="greaterThan">
      <formula>1</formula>
    </cfRule>
  </conditionalFormatting>
  <conditionalFormatting sqref="R148:R154">
    <cfRule type="cellIs" dxfId="4150" priority="905" operator="greaterThan">
      <formula>1</formula>
    </cfRule>
    <cfRule type="cellIs" dxfId="4149" priority="906" operator="lessThan">
      <formula>0.8</formula>
    </cfRule>
  </conditionalFormatting>
  <conditionalFormatting sqref="Q148:Q154">
    <cfRule type="cellIs" dxfId="4148" priority="903" operator="lessThan">
      <formula>0</formula>
    </cfRule>
  </conditionalFormatting>
  <conditionalFormatting sqref="R148:R154">
    <cfRule type="cellIs" dxfId="4147" priority="901" operator="lessThan">
      <formula>0.8</formula>
    </cfRule>
    <cfRule type="cellIs" dxfId="4146" priority="902" operator="greaterThan">
      <formula>1</formula>
    </cfRule>
  </conditionalFormatting>
  <conditionalFormatting sqref="R148:R154">
    <cfRule type="cellIs" dxfId="4145" priority="899" operator="greaterThan">
      <formula>1</formula>
    </cfRule>
    <cfRule type="cellIs" dxfId="4144" priority="900" operator="lessThan">
      <formula>0.8</formula>
    </cfRule>
  </conditionalFormatting>
  <conditionalFormatting sqref="P148:P154">
    <cfRule type="cellIs" dxfId="4143" priority="898" operator="greaterThan">
      <formula>0</formula>
    </cfRule>
  </conditionalFormatting>
  <conditionalFormatting sqref="Q148:Q154">
    <cfRule type="cellIs" dxfId="4142" priority="892" operator="lessThan">
      <formula>0</formula>
    </cfRule>
  </conditionalFormatting>
  <conditionalFormatting sqref="P148:P154">
    <cfRule type="cellIs" dxfId="4141" priority="893" operator="greaterThan">
      <formula>0</formula>
    </cfRule>
  </conditionalFormatting>
  <conditionalFormatting sqref="R148:R154">
    <cfRule type="cellIs" dxfId="4140" priority="896" operator="lessThan">
      <formula>0.8</formula>
    </cfRule>
    <cfRule type="cellIs" dxfId="4139" priority="897" operator="greaterThan">
      <formula>1</formula>
    </cfRule>
  </conditionalFormatting>
  <conditionalFormatting sqref="R148:R154">
    <cfRule type="cellIs" dxfId="4138" priority="894" operator="greaterThan">
      <formula>1</formula>
    </cfRule>
    <cfRule type="cellIs" dxfId="4137" priority="895" operator="lessThan">
      <formula>0.8</formula>
    </cfRule>
  </conditionalFormatting>
  <conditionalFormatting sqref="Q148:Q154">
    <cfRule type="cellIs" dxfId="4136" priority="886" operator="lessThan">
      <formula>0</formula>
    </cfRule>
  </conditionalFormatting>
  <conditionalFormatting sqref="R148:R154">
    <cfRule type="cellIs" dxfId="4135" priority="890" operator="lessThan">
      <formula>0.8</formula>
    </cfRule>
    <cfRule type="cellIs" dxfId="4134" priority="891" operator="greaterThan">
      <formula>1</formula>
    </cfRule>
  </conditionalFormatting>
  <conditionalFormatting sqref="R148:R154">
    <cfRule type="cellIs" dxfId="4133" priority="888" operator="greaterThan">
      <formula>1</formula>
    </cfRule>
    <cfRule type="cellIs" dxfId="4132" priority="889" operator="lessThan">
      <formula>0.8</formula>
    </cfRule>
  </conditionalFormatting>
  <conditionalFormatting sqref="P148:P154">
    <cfRule type="cellIs" dxfId="4131" priority="887" operator="greaterThan">
      <formula>0</formula>
    </cfRule>
  </conditionalFormatting>
  <conditionalFormatting sqref="Q148:Q154">
    <cfRule type="cellIs" dxfId="4130" priority="885" operator="lessThan">
      <formula>0</formula>
    </cfRule>
  </conditionalFormatting>
  <conditionalFormatting sqref="R148:R154">
    <cfRule type="cellIs" dxfId="4129" priority="883" operator="lessThan">
      <formula>0.8</formula>
    </cfRule>
    <cfRule type="cellIs" dxfId="4128" priority="884" operator="greaterThan">
      <formula>1</formula>
    </cfRule>
  </conditionalFormatting>
  <conditionalFormatting sqref="R148:R154">
    <cfRule type="cellIs" dxfId="4127" priority="881" operator="greaterThan">
      <formula>1</formula>
    </cfRule>
    <cfRule type="cellIs" dxfId="4126" priority="882" operator="lessThan">
      <formula>0.8</formula>
    </cfRule>
  </conditionalFormatting>
  <conditionalFormatting sqref="P148:P154">
    <cfRule type="cellIs" dxfId="4125" priority="880" operator="greaterThan">
      <formula>0</formula>
    </cfRule>
  </conditionalFormatting>
  <conditionalFormatting sqref="Q148:Q154">
    <cfRule type="cellIs" dxfId="4124" priority="879" operator="lessThan">
      <formula>0</formula>
    </cfRule>
  </conditionalFormatting>
  <conditionalFormatting sqref="R148:R154">
    <cfRule type="cellIs" dxfId="4123" priority="877" operator="lessThan">
      <formula>0.8</formula>
    </cfRule>
    <cfRule type="cellIs" dxfId="4122" priority="878" operator="greaterThan">
      <formula>1</formula>
    </cfRule>
  </conditionalFormatting>
  <conditionalFormatting sqref="R148:R154">
    <cfRule type="cellIs" dxfId="4121" priority="875" operator="greaterThan">
      <formula>1</formula>
    </cfRule>
    <cfRule type="cellIs" dxfId="4120" priority="876" operator="lessThan">
      <formula>0.8</formula>
    </cfRule>
  </conditionalFormatting>
  <conditionalFormatting sqref="P148:P154">
    <cfRule type="cellIs" dxfId="4119" priority="874" operator="greaterThan">
      <formula>0</formula>
    </cfRule>
  </conditionalFormatting>
  <conditionalFormatting sqref="Q148:Q154">
    <cfRule type="cellIs" dxfId="4118" priority="873" operator="lessThan">
      <formula>0</formula>
    </cfRule>
  </conditionalFormatting>
  <conditionalFormatting sqref="R148:R154">
    <cfRule type="cellIs" dxfId="4117" priority="871" operator="lessThan">
      <formula>0.8</formula>
    </cfRule>
    <cfRule type="cellIs" dxfId="4116" priority="872" operator="greaterThan">
      <formula>1</formula>
    </cfRule>
  </conditionalFormatting>
  <conditionalFormatting sqref="R148:R154">
    <cfRule type="cellIs" dxfId="4115" priority="869" operator="greaterThan">
      <formula>1</formula>
    </cfRule>
    <cfRule type="cellIs" dxfId="4114" priority="870" operator="lessThan">
      <formula>0.8</formula>
    </cfRule>
  </conditionalFormatting>
  <conditionalFormatting sqref="P148:P154">
    <cfRule type="cellIs" dxfId="4113" priority="868" operator="greaterThan">
      <formula>0</formula>
    </cfRule>
  </conditionalFormatting>
  <conditionalFormatting sqref="Q148:Q154">
    <cfRule type="cellIs" dxfId="4112" priority="867" operator="lessThan">
      <formula>0</formula>
    </cfRule>
  </conditionalFormatting>
  <conditionalFormatting sqref="R148:R154">
    <cfRule type="cellIs" dxfId="4111" priority="865" operator="lessThan">
      <formula>0.8</formula>
    </cfRule>
    <cfRule type="cellIs" dxfId="4110" priority="866" operator="greaterThan">
      <formula>1</formula>
    </cfRule>
  </conditionalFormatting>
  <conditionalFormatting sqref="R148:R154">
    <cfRule type="cellIs" dxfId="4109" priority="863" operator="greaterThan">
      <formula>1</formula>
    </cfRule>
    <cfRule type="cellIs" dxfId="4108" priority="864" operator="lessThan">
      <formula>0.8</formula>
    </cfRule>
  </conditionalFormatting>
  <conditionalFormatting sqref="P148:P154">
    <cfRule type="cellIs" dxfId="4107" priority="862" operator="greaterThan">
      <formula>0</formula>
    </cfRule>
  </conditionalFormatting>
  <conditionalFormatting sqref="Q148:Q154">
    <cfRule type="cellIs" dxfId="4106" priority="861" operator="lessThan">
      <formula>0</formula>
    </cfRule>
  </conditionalFormatting>
  <conditionalFormatting sqref="R148:R154">
    <cfRule type="cellIs" dxfId="4105" priority="859" operator="lessThan">
      <formula>0.8</formula>
    </cfRule>
    <cfRule type="cellIs" dxfId="4104" priority="860" operator="greaterThan">
      <formula>1</formula>
    </cfRule>
  </conditionalFormatting>
  <conditionalFormatting sqref="R148:R154">
    <cfRule type="cellIs" dxfId="4103" priority="857" operator="greaterThan">
      <formula>1</formula>
    </cfRule>
    <cfRule type="cellIs" dxfId="4102" priority="858" operator="lessThan">
      <formula>0.8</formula>
    </cfRule>
  </conditionalFormatting>
  <conditionalFormatting sqref="P148:P154">
    <cfRule type="cellIs" dxfId="4101" priority="856" operator="greaterThan">
      <formula>0</formula>
    </cfRule>
  </conditionalFormatting>
  <conditionalFormatting sqref="Q148:Q154">
    <cfRule type="cellIs" dxfId="4100" priority="855" operator="lessThan">
      <formula>0</formula>
    </cfRule>
  </conditionalFormatting>
  <conditionalFormatting sqref="R148:R154">
    <cfRule type="cellIs" dxfId="4099" priority="853" operator="lessThan">
      <formula>0.8</formula>
    </cfRule>
    <cfRule type="cellIs" dxfId="4098" priority="854" operator="greaterThan">
      <formula>1</formula>
    </cfRule>
  </conditionalFormatting>
  <conditionalFormatting sqref="R148:R154">
    <cfRule type="cellIs" dxfId="4097" priority="851" operator="greaterThan">
      <formula>1</formula>
    </cfRule>
    <cfRule type="cellIs" dxfId="4096" priority="852" operator="lessThan">
      <formula>0.8</formula>
    </cfRule>
  </conditionalFormatting>
  <conditionalFormatting sqref="P148:P154">
    <cfRule type="cellIs" dxfId="4095" priority="850" operator="greaterThan">
      <formula>0</formula>
    </cfRule>
  </conditionalFormatting>
  <conditionalFormatting sqref="Q148:Q154">
    <cfRule type="cellIs" dxfId="4094" priority="849" operator="lessThan">
      <formula>0</formula>
    </cfRule>
  </conditionalFormatting>
  <conditionalFormatting sqref="R148:R154">
    <cfRule type="cellIs" dxfId="4093" priority="847" operator="lessThan">
      <formula>0.8</formula>
    </cfRule>
    <cfRule type="cellIs" dxfId="4092" priority="848" operator="greaterThan">
      <formula>1</formula>
    </cfRule>
  </conditionalFormatting>
  <conditionalFormatting sqref="R148:R154">
    <cfRule type="cellIs" dxfId="4091" priority="845" operator="greaterThan">
      <formula>1</formula>
    </cfRule>
    <cfRule type="cellIs" dxfId="4090" priority="846" operator="lessThan">
      <formula>0.8</formula>
    </cfRule>
  </conditionalFormatting>
  <conditionalFormatting sqref="P148:P154">
    <cfRule type="cellIs" dxfId="4089" priority="844" operator="greaterThan">
      <formula>0</formula>
    </cfRule>
  </conditionalFormatting>
  <conditionalFormatting sqref="P148:P154">
    <cfRule type="cellIs" dxfId="4088" priority="838" operator="greaterThan">
      <formula>0</formula>
    </cfRule>
  </conditionalFormatting>
  <conditionalFormatting sqref="Q148:Q154">
    <cfRule type="cellIs" dxfId="4087" priority="843" operator="lessThan">
      <formula>0</formula>
    </cfRule>
  </conditionalFormatting>
  <conditionalFormatting sqref="R148:R154">
    <cfRule type="cellIs" dxfId="4086" priority="841" operator="lessThan">
      <formula>0.8</formula>
    </cfRule>
    <cfRule type="cellIs" dxfId="4085" priority="842" operator="greaterThan">
      <formula>1</formula>
    </cfRule>
  </conditionalFormatting>
  <conditionalFormatting sqref="R148:R154">
    <cfRule type="cellIs" dxfId="4084" priority="839" operator="greaterThan">
      <formula>1</formula>
    </cfRule>
    <cfRule type="cellIs" dxfId="4083" priority="840" operator="lessThan">
      <formula>0.8</formula>
    </cfRule>
  </conditionalFormatting>
  <conditionalFormatting sqref="P148:P154">
    <cfRule type="cellIs" dxfId="4082" priority="832" operator="greaterThan">
      <formula>0</formula>
    </cfRule>
  </conditionalFormatting>
  <conditionalFormatting sqref="Q148:Q154">
    <cfRule type="cellIs" dxfId="4081" priority="837" operator="lessThan">
      <formula>0</formula>
    </cfRule>
  </conditionalFormatting>
  <conditionalFormatting sqref="R148:R154">
    <cfRule type="cellIs" dxfId="4080" priority="835" operator="lessThan">
      <formula>0.8</formula>
    </cfRule>
    <cfRule type="cellIs" dxfId="4079" priority="836" operator="greaterThan">
      <formula>1</formula>
    </cfRule>
  </conditionalFormatting>
  <conditionalFormatting sqref="R148:R154">
    <cfRule type="cellIs" dxfId="4078" priority="833" operator="greaterThan">
      <formula>1</formula>
    </cfRule>
    <cfRule type="cellIs" dxfId="4077" priority="834" operator="lessThan">
      <formula>0.8</formula>
    </cfRule>
  </conditionalFormatting>
  <conditionalFormatting sqref="R148:R154">
    <cfRule type="cellIs" dxfId="4076" priority="829" operator="lessThan">
      <formula>0.8</formula>
    </cfRule>
    <cfRule type="cellIs" dxfId="4075" priority="830" operator="greaterThan">
      <formula>1</formula>
    </cfRule>
  </conditionalFormatting>
  <conditionalFormatting sqref="R148:R154">
    <cfRule type="cellIs" dxfId="4074" priority="827" operator="greaterThan">
      <formula>1</formula>
    </cfRule>
    <cfRule type="cellIs" dxfId="4073" priority="828" operator="lessThan">
      <formula>0.8</formula>
    </cfRule>
  </conditionalFormatting>
  <conditionalFormatting sqref="P148:P154">
    <cfRule type="cellIs" dxfId="4072" priority="826" operator="greaterThan">
      <formula>0</formula>
    </cfRule>
  </conditionalFormatting>
  <conditionalFormatting sqref="Q148:Q154">
    <cfRule type="cellIs" dxfId="4071" priority="831" operator="lessThan">
      <formula>0</formula>
    </cfRule>
  </conditionalFormatting>
  <conditionalFormatting sqref="Q148:Q154">
    <cfRule type="cellIs" dxfId="4070" priority="825" operator="lessThan">
      <formula>0</formula>
    </cfRule>
  </conditionalFormatting>
  <conditionalFormatting sqref="R148:R154">
    <cfRule type="cellIs" dxfId="4069" priority="823" operator="lessThan">
      <formula>0.8</formula>
    </cfRule>
    <cfRule type="cellIs" dxfId="4068" priority="824" operator="greaterThan">
      <formula>1</formula>
    </cfRule>
  </conditionalFormatting>
  <conditionalFormatting sqref="R148:R154">
    <cfRule type="cellIs" dxfId="4067" priority="821" operator="greaterThan">
      <formula>1</formula>
    </cfRule>
    <cfRule type="cellIs" dxfId="4066" priority="822" operator="lessThan">
      <formula>0.8</formula>
    </cfRule>
  </conditionalFormatting>
  <conditionalFormatting sqref="P148:P154">
    <cfRule type="cellIs" dxfId="4065" priority="820" operator="greaterThan">
      <formula>0</formula>
    </cfRule>
  </conditionalFormatting>
  <conditionalFormatting sqref="P148:P154">
    <cfRule type="cellIs" dxfId="4064" priority="814" operator="greaterThan">
      <formula>0</formula>
    </cfRule>
  </conditionalFormatting>
  <conditionalFormatting sqref="Q148:Q154">
    <cfRule type="cellIs" dxfId="4063" priority="819" operator="lessThan">
      <formula>0</formula>
    </cfRule>
  </conditionalFormatting>
  <conditionalFormatting sqref="R148:R154">
    <cfRule type="cellIs" dxfId="4062" priority="817" operator="lessThan">
      <formula>0.8</formula>
    </cfRule>
    <cfRule type="cellIs" dxfId="4061" priority="818" operator="greaterThan">
      <formula>1</formula>
    </cfRule>
  </conditionalFormatting>
  <conditionalFormatting sqref="R148:R154">
    <cfRule type="cellIs" dxfId="4060" priority="815" operator="greaterThan">
      <formula>1</formula>
    </cfRule>
    <cfRule type="cellIs" dxfId="4059" priority="816" operator="lessThan">
      <formula>0.8</formula>
    </cfRule>
  </conditionalFormatting>
  <conditionalFormatting sqref="P148:P154">
    <cfRule type="cellIs" dxfId="4058" priority="808" operator="greaterThan">
      <formula>0</formula>
    </cfRule>
  </conditionalFormatting>
  <conditionalFormatting sqref="Q148:Q154">
    <cfRule type="cellIs" dxfId="4057" priority="813" operator="lessThan">
      <formula>0</formula>
    </cfRule>
  </conditionalFormatting>
  <conditionalFormatting sqref="R148:R154">
    <cfRule type="cellIs" dxfId="4056" priority="811" operator="lessThan">
      <formula>0.8</formula>
    </cfRule>
    <cfRule type="cellIs" dxfId="4055" priority="812" operator="greaterThan">
      <formula>1</formula>
    </cfRule>
  </conditionalFormatting>
  <conditionalFormatting sqref="R148:R154">
    <cfRule type="cellIs" dxfId="4054" priority="809" operator="greaterThan">
      <formula>1</formula>
    </cfRule>
    <cfRule type="cellIs" dxfId="4053" priority="810" operator="lessThan">
      <formula>0.8</formula>
    </cfRule>
  </conditionalFormatting>
  <conditionalFormatting sqref="R148:R154">
    <cfRule type="cellIs" dxfId="4052" priority="805" operator="lessThan">
      <formula>0.8</formula>
    </cfRule>
    <cfRule type="cellIs" dxfId="4051" priority="806" operator="greaterThan">
      <formula>1</formula>
    </cfRule>
  </conditionalFormatting>
  <conditionalFormatting sqref="R148:R154">
    <cfRule type="cellIs" dxfId="4050" priority="803" operator="greaterThan">
      <formula>1</formula>
    </cfRule>
    <cfRule type="cellIs" dxfId="4049" priority="804" operator="lessThan">
      <formula>0.8</formula>
    </cfRule>
  </conditionalFormatting>
  <conditionalFormatting sqref="P148:P154">
    <cfRule type="cellIs" dxfId="4048" priority="802" operator="greaterThan">
      <formula>0</formula>
    </cfRule>
  </conditionalFormatting>
  <conditionalFormatting sqref="Q148:Q154">
    <cfRule type="cellIs" dxfId="4047" priority="807" operator="lessThan">
      <formula>0</formula>
    </cfRule>
  </conditionalFormatting>
  <conditionalFormatting sqref="P148:P154">
    <cfRule type="cellIs" dxfId="4046" priority="796" operator="greaterThan">
      <formula>0</formula>
    </cfRule>
  </conditionalFormatting>
  <conditionalFormatting sqref="Q148:Q154">
    <cfRule type="cellIs" dxfId="4045" priority="801" operator="lessThan">
      <formula>0</formula>
    </cfRule>
  </conditionalFormatting>
  <conditionalFormatting sqref="R148:R154">
    <cfRule type="cellIs" dxfId="4044" priority="799" operator="lessThan">
      <formula>0.8</formula>
    </cfRule>
    <cfRule type="cellIs" dxfId="4043" priority="800" operator="greaterThan">
      <formula>1</formula>
    </cfRule>
  </conditionalFormatting>
  <conditionalFormatting sqref="R148:R154">
    <cfRule type="cellIs" dxfId="4042" priority="797" operator="greaterThan">
      <formula>1</formula>
    </cfRule>
    <cfRule type="cellIs" dxfId="4041" priority="798" operator="lessThan">
      <formula>0.8</formula>
    </cfRule>
  </conditionalFormatting>
  <conditionalFormatting sqref="R148:R154">
    <cfRule type="cellIs" dxfId="4040" priority="793" operator="lessThan">
      <formula>0.8</formula>
    </cfRule>
    <cfRule type="cellIs" dxfId="4039" priority="794" operator="greaterThan">
      <formula>1</formula>
    </cfRule>
  </conditionalFormatting>
  <conditionalFormatting sqref="R148:R154">
    <cfRule type="cellIs" dxfId="4038" priority="791" operator="greaterThan">
      <formula>1</formula>
    </cfRule>
    <cfRule type="cellIs" dxfId="4037" priority="792" operator="lessThan">
      <formula>0.8</formula>
    </cfRule>
  </conditionalFormatting>
  <conditionalFormatting sqref="P148:P154">
    <cfRule type="cellIs" dxfId="4036" priority="790" operator="greaterThan">
      <formula>0</formula>
    </cfRule>
  </conditionalFormatting>
  <conditionalFormatting sqref="Q148:Q154">
    <cfRule type="cellIs" dxfId="4035" priority="795" operator="lessThan">
      <formula>0</formula>
    </cfRule>
  </conditionalFormatting>
  <conditionalFormatting sqref="R148:R154">
    <cfRule type="cellIs" dxfId="4034" priority="787" operator="lessThan">
      <formula>0.8</formula>
    </cfRule>
    <cfRule type="cellIs" dxfId="4033" priority="788" operator="greaterThan">
      <formula>1</formula>
    </cfRule>
  </conditionalFormatting>
  <conditionalFormatting sqref="R148:R154">
    <cfRule type="cellIs" dxfId="4032" priority="785" operator="greaterThan">
      <formula>1</formula>
    </cfRule>
    <cfRule type="cellIs" dxfId="4031" priority="786" operator="lessThan">
      <formula>0.8</formula>
    </cfRule>
  </conditionalFormatting>
  <conditionalFormatting sqref="P148:P154">
    <cfRule type="cellIs" dxfId="4030" priority="784" operator="greaterThan">
      <formula>0</formula>
    </cfRule>
  </conditionalFormatting>
  <conditionalFormatting sqref="Q148:Q154">
    <cfRule type="cellIs" dxfId="4029" priority="789" operator="lessThan">
      <formula>0</formula>
    </cfRule>
  </conditionalFormatting>
  <conditionalFormatting sqref="Q148:Q154">
    <cfRule type="cellIs" dxfId="4028" priority="783" operator="lessThan">
      <formula>0</formula>
    </cfRule>
  </conditionalFormatting>
  <conditionalFormatting sqref="R148:R154">
    <cfRule type="cellIs" dxfId="4027" priority="781" operator="lessThan">
      <formula>0.8</formula>
    </cfRule>
    <cfRule type="cellIs" dxfId="4026" priority="782" operator="greaterThan">
      <formula>1</formula>
    </cfRule>
  </conditionalFormatting>
  <conditionalFormatting sqref="R148:R154">
    <cfRule type="cellIs" dxfId="4025" priority="779" operator="greaterThan">
      <formula>1</formula>
    </cfRule>
    <cfRule type="cellIs" dxfId="4024" priority="780" operator="lessThan">
      <formula>0.8</formula>
    </cfRule>
  </conditionalFormatting>
  <conditionalFormatting sqref="P148:P154">
    <cfRule type="cellIs" dxfId="4023" priority="778" operator="greaterThan">
      <formula>0</formula>
    </cfRule>
  </conditionalFormatting>
  <conditionalFormatting sqref="Q148:Q154">
    <cfRule type="cellIs" dxfId="4022" priority="772" operator="lessThan">
      <formula>0</formula>
    </cfRule>
  </conditionalFormatting>
  <conditionalFormatting sqref="R148:R154">
    <cfRule type="cellIs" dxfId="4021" priority="776" operator="lessThan">
      <formula>0.8</formula>
    </cfRule>
    <cfRule type="cellIs" dxfId="4020" priority="777" operator="greaterThan">
      <formula>1</formula>
    </cfRule>
  </conditionalFormatting>
  <conditionalFormatting sqref="R148:R154">
    <cfRule type="cellIs" dxfId="4019" priority="774" operator="greaterThan">
      <formula>1</formula>
    </cfRule>
    <cfRule type="cellIs" dxfId="4018" priority="775" operator="lessThan">
      <formula>0.8</formula>
    </cfRule>
  </conditionalFormatting>
  <conditionalFormatting sqref="P148:P154">
    <cfRule type="cellIs" dxfId="4017" priority="773" operator="greaterThan">
      <formula>0</formula>
    </cfRule>
  </conditionalFormatting>
  <conditionalFormatting sqref="Q148:Q154">
    <cfRule type="cellIs" dxfId="4016" priority="771" operator="lessThan">
      <formula>0</formula>
    </cfRule>
  </conditionalFormatting>
  <conditionalFormatting sqref="R148:R154">
    <cfRule type="cellIs" dxfId="4015" priority="769" operator="lessThan">
      <formula>0.8</formula>
    </cfRule>
    <cfRule type="cellIs" dxfId="4014" priority="770" operator="greaterThan">
      <formula>1</formula>
    </cfRule>
  </conditionalFormatting>
  <conditionalFormatting sqref="R148:R154">
    <cfRule type="cellIs" dxfId="4013" priority="767" operator="greaterThan">
      <formula>1</formula>
    </cfRule>
    <cfRule type="cellIs" dxfId="4012" priority="768" operator="lessThan">
      <formula>0.8</formula>
    </cfRule>
  </conditionalFormatting>
  <conditionalFormatting sqref="P148:P154">
    <cfRule type="cellIs" dxfId="4011" priority="766" operator="greaterThan">
      <formula>0</formula>
    </cfRule>
  </conditionalFormatting>
  <conditionalFormatting sqref="Q148:Q154">
    <cfRule type="cellIs" dxfId="4010" priority="765" operator="lessThan">
      <formula>0</formula>
    </cfRule>
  </conditionalFormatting>
  <conditionalFormatting sqref="R148:R154">
    <cfRule type="cellIs" dxfId="4009" priority="763" operator="lessThan">
      <formula>0.8</formula>
    </cfRule>
    <cfRule type="cellIs" dxfId="4008" priority="764" operator="greaterThan">
      <formula>1</formula>
    </cfRule>
  </conditionalFormatting>
  <conditionalFormatting sqref="R148:R154">
    <cfRule type="cellIs" dxfId="4007" priority="761" operator="greaterThan">
      <formula>1</formula>
    </cfRule>
    <cfRule type="cellIs" dxfId="4006" priority="762" operator="lessThan">
      <formula>0.8</formula>
    </cfRule>
  </conditionalFormatting>
  <conditionalFormatting sqref="P148:P154">
    <cfRule type="cellIs" dxfId="4005" priority="760" operator="greaterThan">
      <formula>0</formula>
    </cfRule>
  </conditionalFormatting>
  <conditionalFormatting sqref="Q148:Q154">
    <cfRule type="cellIs" dxfId="4004" priority="759" operator="lessThan">
      <formula>0</formula>
    </cfRule>
  </conditionalFormatting>
  <conditionalFormatting sqref="R148:R154">
    <cfRule type="cellIs" dxfId="4003" priority="757" operator="lessThan">
      <formula>0.8</formula>
    </cfRule>
    <cfRule type="cellIs" dxfId="4002" priority="758" operator="greaterThan">
      <formula>1</formula>
    </cfRule>
  </conditionalFormatting>
  <conditionalFormatting sqref="R148:R154">
    <cfRule type="cellIs" dxfId="4001" priority="755" operator="greaterThan">
      <formula>1</formula>
    </cfRule>
    <cfRule type="cellIs" dxfId="4000" priority="756" operator="lessThan">
      <formula>0.8</formula>
    </cfRule>
  </conditionalFormatting>
  <conditionalFormatting sqref="P148:P154">
    <cfRule type="cellIs" dxfId="3999" priority="754" operator="greaterThan">
      <formula>0</formula>
    </cfRule>
  </conditionalFormatting>
  <conditionalFormatting sqref="Q148:Q154">
    <cfRule type="cellIs" dxfId="3998" priority="753" operator="lessThan">
      <formula>0</formula>
    </cfRule>
  </conditionalFormatting>
  <conditionalFormatting sqref="R148:R154">
    <cfRule type="cellIs" dxfId="3997" priority="751" operator="lessThan">
      <formula>0.8</formula>
    </cfRule>
    <cfRule type="cellIs" dxfId="3996" priority="752" operator="greaterThan">
      <formula>1</formula>
    </cfRule>
  </conditionalFormatting>
  <conditionalFormatting sqref="R148:R154">
    <cfRule type="cellIs" dxfId="3995" priority="749" operator="greaterThan">
      <formula>1</formula>
    </cfRule>
    <cfRule type="cellIs" dxfId="3994" priority="750" operator="lessThan">
      <formula>0.8</formula>
    </cfRule>
  </conditionalFormatting>
  <conditionalFormatting sqref="P148:P154">
    <cfRule type="cellIs" dxfId="3993" priority="748" operator="greaterThan">
      <formula>0</formula>
    </cfRule>
  </conditionalFormatting>
  <conditionalFormatting sqref="Q148:Q154">
    <cfRule type="cellIs" dxfId="3992" priority="747" operator="lessThan">
      <formula>0</formula>
    </cfRule>
  </conditionalFormatting>
  <conditionalFormatting sqref="R148:R154">
    <cfRule type="cellIs" dxfId="3991" priority="745" operator="lessThan">
      <formula>0.8</formula>
    </cfRule>
    <cfRule type="cellIs" dxfId="3990" priority="746" operator="greaterThan">
      <formula>1</formula>
    </cfRule>
  </conditionalFormatting>
  <conditionalFormatting sqref="R148:R154">
    <cfRule type="cellIs" dxfId="3989" priority="743" operator="greaterThan">
      <formula>1</formula>
    </cfRule>
    <cfRule type="cellIs" dxfId="3988" priority="744" operator="lessThan">
      <formula>0.8</formula>
    </cfRule>
  </conditionalFormatting>
  <conditionalFormatting sqref="P148:P154">
    <cfRule type="cellIs" dxfId="3987" priority="742" operator="greaterThan">
      <formula>0</formula>
    </cfRule>
  </conditionalFormatting>
  <conditionalFormatting sqref="P148:P154">
    <cfRule type="cellIs" dxfId="3986" priority="736" operator="greaterThan">
      <formula>0</formula>
    </cfRule>
  </conditionalFormatting>
  <conditionalFormatting sqref="Q148:Q154">
    <cfRule type="cellIs" dxfId="3985" priority="741" operator="lessThan">
      <formula>0</formula>
    </cfRule>
  </conditionalFormatting>
  <conditionalFormatting sqref="R148:R154">
    <cfRule type="cellIs" dxfId="3984" priority="739" operator="lessThan">
      <formula>0.8</formula>
    </cfRule>
    <cfRule type="cellIs" dxfId="3983" priority="740" operator="greaterThan">
      <formula>1</formula>
    </cfRule>
  </conditionalFormatting>
  <conditionalFormatting sqref="R148:R154">
    <cfRule type="cellIs" dxfId="3982" priority="737" operator="greaterThan">
      <formula>1</formula>
    </cfRule>
    <cfRule type="cellIs" dxfId="3981" priority="738" operator="lessThan">
      <formula>0.8</formula>
    </cfRule>
  </conditionalFormatting>
  <conditionalFormatting sqref="P148:P154">
    <cfRule type="cellIs" dxfId="3980" priority="730" operator="greaterThan">
      <formula>0</formula>
    </cfRule>
  </conditionalFormatting>
  <conditionalFormatting sqref="Q148:Q154">
    <cfRule type="cellIs" dxfId="3979" priority="735" operator="lessThan">
      <formula>0</formula>
    </cfRule>
  </conditionalFormatting>
  <conditionalFormatting sqref="R148:R154">
    <cfRule type="cellIs" dxfId="3978" priority="733" operator="lessThan">
      <formula>0.8</formula>
    </cfRule>
    <cfRule type="cellIs" dxfId="3977" priority="734" operator="greaterThan">
      <formula>1</formula>
    </cfRule>
  </conditionalFormatting>
  <conditionalFormatting sqref="R148:R154">
    <cfRule type="cellIs" dxfId="3976" priority="731" operator="greaterThan">
      <formula>1</formula>
    </cfRule>
    <cfRule type="cellIs" dxfId="3975" priority="732" operator="lessThan">
      <formula>0.8</formula>
    </cfRule>
  </conditionalFormatting>
  <conditionalFormatting sqref="R148:R154">
    <cfRule type="cellIs" dxfId="3974" priority="727" operator="lessThan">
      <formula>0.8</formula>
    </cfRule>
    <cfRule type="cellIs" dxfId="3973" priority="728" operator="greaterThan">
      <formula>1</formula>
    </cfRule>
  </conditionalFormatting>
  <conditionalFormatting sqref="R148:R154">
    <cfRule type="cellIs" dxfId="3972" priority="725" operator="greaterThan">
      <formula>1</formula>
    </cfRule>
    <cfRule type="cellIs" dxfId="3971" priority="726" operator="lessThan">
      <formula>0.8</formula>
    </cfRule>
  </conditionalFormatting>
  <conditionalFormatting sqref="P148:P154">
    <cfRule type="cellIs" dxfId="3970" priority="724" operator="greaterThan">
      <formula>0</formula>
    </cfRule>
  </conditionalFormatting>
  <conditionalFormatting sqref="Q148:Q154">
    <cfRule type="cellIs" dxfId="3969" priority="729" operator="lessThan">
      <formula>0</formula>
    </cfRule>
  </conditionalFormatting>
  <conditionalFormatting sqref="P44:P51">
    <cfRule type="cellIs" dxfId="3968" priority="718" operator="greaterThan">
      <formula>0</formula>
    </cfRule>
  </conditionalFormatting>
  <conditionalFormatting sqref="Q44:Q51">
    <cfRule type="cellIs" dxfId="3967" priority="723" operator="lessThan">
      <formula>0</formula>
    </cfRule>
  </conditionalFormatting>
  <conditionalFormatting sqref="R44:R51">
    <cfRule type="cellIs" dxfId="3966" priority="721" operator="lessThan">
      <formula>0.8</formula>
    </cfRule>
    <cfRule type="cellIs" dxfId="3965" priority="722" operator="greaterThan">
      <formula>1</formula>
    </cfRule>
  </conditionalFormatting>
  <conditionalFormatting sqref="R44:R51">
    <cfRule type="cellIs" dxfId="3964" priority="719" operator="greaterThan">
      <formula>1</formula>
    </cfRule>
    <cfRule type="cellIs" dxfId="3963" priority="720" operator="lessThan">
      <formula>0.8</formula>
    </cfRule>
  </conditionalFormatting>
  <conditionalFormatting sqref="Q84:Q91">
    <cfRule type="cellIs" dxfId="3962" priority="717" operator="lessThan">
      <formula>0</formula>
    </cfRule>
  </conditionalFormatting>
  <conditionalFormatting sqref="R84:R91">
    <cfRule type="cellIs" dxfId="3961" priority="715" operator="lessThan">
      <formula>0.8</formula>
    </cfRule>
    <cfRule type="cellIs" dxfId="3960" priority="716" operator="greaterThan">
      <formula>1</formula>
    </cfRule>
  </conditionalFormatting>
  <conditionalFormatting sqref="R84:R91">
    <cfRule type="cellIs" dxfId="3959" priority="713" operator="greaterThan">
      <formula>1</formula>
    </cfRule>
    <cfRule type="cellIs" dxfId="3958" priority="714" operator="lessThan">
      <formula>0.8</formula>
    </cfRule>
  </conditionalFormatting>
  <conditionalFormatting sqref="P84:P91">
    <cfRule type="cellIs" dxfId="3957" priority="712" operator="greaterThan">
      <formula>0</formula>
    </cfRule>
  </conditionalFormatting>
  <conditionalFormatting sqref="Q84:Q91">
    <cfRule type="cellIs" dxfId="3956" priority="711" operator="lessThan">
      <formula>0</formula>
    </cfRule>
  </conditionalFormatting>
  <conditionalFormatting sqref="R84:R91">
    <cfRule type="cellIs" dxfId="3955" priority="709" operator="lessThan">
      <formula>0.8</formula>
    </cfRule>
    <cfRule type="cellIs" dxfId="3954" priority="710" operator="greaterThan">
      <formula>1</formula>
    </cfRule>
  </conditionalFormatting>
  <conditionalFormatting sqref="R84:R91">
    <cfRule type="cellIs" dxfId="3953" priority="707" operator="greaterThan">
      <formula>1</formula>
    </cfRule>
    <cfRule type="cellIs" dxfId="3952" priority="708" operator="lessThan">
      <formula>0.8</formula>
    </cfRule>
  </conditionalFormatting>
  <conditionalFormatting sqref="P84:P91">
    <cfRule type="cellIs" dxfId="3951" priority="706" operator="greaterThan">
      <formula>0</formula>
    </cfRule>
  </conditionalFormatting>
  <conditionalFormatting sqref="Q84:Q91">
    <cfRule type="cellIs" dxfId="3950" priority="705" operator="lessThan">
      <formula>0</formula>
    </cfRule>
  </conditionalFormatting>
  <conditionalFormatting sqref="R84:R91">
    <cfRule type="cellIs" dxfId="3949" priority="703" operator="lessThan">
      <formula>0.8</formula>
    </cfRule>
    <cfRule type="cellIs" dxfId="3948" priority="704" operator="greaterThan">
      <formula>1</formula>
    </cfRule>
  </conditionalFormatting>
  <conditionalFormatting sqref="R84:R91">
    <cfRule type="cellIs" dxfId="3947" priority="701" operator="greaterThan">
      <formula>1</formula>
    </cfRule>
    <cfRule type="cellIs" dxfId="3946" priority="702" operator="lessThan">
      <formula>0.8</formula>
    </cfRule>
  </conditionalFormatting>
  <conditionalFormatting sqref="P84:P91">
    <cfRule type="cellIs" dxfId="3945" priority="700" operator="greaterThan">
      <formula>0</formula>
    </cfRule>
  </conditionalFormatting>
  <conditionalFormatting sqref="Q84:Q91">
    <cfRule type="cellIs" dxfId="3944" priority="699" operator="lessThan">
      <formula>0</formula>
    </cfRule>
  </conditionalFormatting>
  <conditionalFormatting sqref="R84:R91">
    <cfRule type="cellIs" dxfId="3943" priority="697" operator="lessThan">
      <formula>0.8</formula>
    </cfRule>
    <cfRule type="cellIs" dxfId="3942" priority="698" operator="greaterThan">
      <formula>1</formula>
    </cfRule>
  </conditionalFormatting>
  <conditionalFormatting sqref="R84:R91">
    <cfRule type="cellIs" dxfId="3941" priority="695" operator="greaterThan">
      <formula>1</formula>
    </cfRule>
    <cfRule type="cellIs" dxfId="3940" priority="696" operator="lessThan">
      <formula>0.8</formula>
    </cfRule>
  </conditionalFormatting>
  <conditionalFormatting sqref="P84:P91">
    <cfRule type="cellIs" dxfId="3939" priority="694" operator="greaterThan">
      <formula>0</formula>
    </cfRule>
  </conditionalFormatting>
  <conditionalFormatting sqref="P84:P91">
    <cfRule type="cellIs" dxfId="3938" priority="688" operator="greaterThan">
      <formula>0</formula>
    </cfRule>
  </conditionalFormatting>
  <conditionalFormatting sqref="Q84:Q91">
    <cfRule type="cellIs" dxfId="3937" priority="693" operator="lessThan">
      <formula>0</formula>
    </cfRule>
  </conditionalFormatting>
  <conditionalFormatting sqref="R84:R91">
    <cfRule type="cellIs" dxfId="3936" priority="691" operator="lessThan">
      <formula>0.8</formula>
    </cfRule>
    <cfRule type="cellIs" dxfId="3935" priority="692" operator="greaterThan">
      <formula>1</formula>
    </cfRule>
  </conditionalFormatting>
  <conditionalFormatting sqref="R84:R91">
    <cfRule type="cellIs" dxfId="3934" priority="689" operator="greaterThan">
      <formula>1</formula>
    </cfRule>
    <cfRule type="cellIs" dxfId="3933" priority="690" operator="lessThan">
      <formula>0.8</formula>
    </cfRule>
  </conditionalFormatting>
  <conditionalFormatting sqref="P84:P91">
    <cfRule type="cellIs" dxfId="3932" priority="682" operator="greaterThan">
      <formula>0</formula>
    </cfRule>
  </conditionalFormatting>
  <conditionalFormatting sqref="Q84:Q91">
    <cfRule type="cellIs" dxfId="3931" priority="687" operator="lessThan">
      <formula>0</formula>
    </cfRule>
  </conditionalFormatting>
  <conditionalFormatting sqref="R84:R91">
    <cfRule type="cellIs" dxfId="3930" priority="685" operator="lessThan">
      <formula>0.8</formula>
    </cfRule>
    <cfRule type="cellIs" dxfId="3929" priority="686" operator="greaterThan">
      <formula>1</formula>
    </cfRule>
  </conditionalFormatting>
  <conditionalFormatting sqref="R84:R91">
    <cfRule type="cellIs" dxfId="3928" priority="683" operator="greaterThan">
      <formula>1</formula>
    </cfRule>
    <cfRule type="cellIs" dxfId="3927" priority="684" operator="lessThan">
      <formula>0.8</formula>
    </cfRule>
  </conditionalFormatting>
  <conditionalFormatting sqref="R84:R91">
    <cfRule type="cellIs" dxfId="3926" priority="679" operator="lessThan">
      <formula>0.8</formula>
    </cfRule>
    <cfRule type="cellIs" dxfId="3925" priority="680" operator="greaterThan">
      <formula>1</formula>
    </cfRule>
  </conditionalFormatting>
  <conditionalFormatting sqref="R84:R91">
    <cfRule type="cellIs" dxfId="3924" priority="677" operator="greaterThan">
      <formula>1</formula>
    </cfRule>
    <cfRule type="cellIs" dxfId="3923" priority="678" operator="lessThan">
      <formula>0.8</formula>
    </cfRule>
  </conditionalFormatting>
  <conditionalFormatting sqref="P84:P91">
    <cfRule type="cellIs" dxfId="3922" priority="676" operator="greaterThan">
      <formula>0</formula>
    </cfRule>
  </conditionalFormatting>
  <conditionalFormatting sqref="Q84:Q91">
    <cfRule type="cellIs" dxfId="3921" priority="681" operator="lessThan">
      <formula>0</formula>
    </cfRule>
  </conditionalFormatting>
  <conditionalFormatting sqref="Q84:Q91">
    <cfRule type="cellIs" dxfId="3920" priority="675" operator="lessThan">
      <formula>0</formula>
    </cfRule>
  </conditionalFormatting>
  <conditionalFormatting sqref="R84:R91">
    <cfRule type="cellIs" dxfId="3919" priority="673" operator="lessThan">
      <formula>0.8</formula>
    </cfRule>
    <cfRule type="cellIs" dxfId="3918" priority="674" operator="greaterThan">
      <formula>1</formula>
    </cfRule>
  </conditionalFormatting>
  <conditionalFormatting sqref="R84:R91">
    <cfRule type="cellIs" dxfId="3917" priority="671" operator="greaterThan">
      <formula>1</formula>
    </cfRule>
    <cfRule type="cellIs" dxfId="3916" priority="672" operator="lessThan">
      <formula>0.8</formula>
    </cfRule>
  </conditionalFormatting>
  <conditionalFormatting sqref="P84:P91">
    <cfRule type="cellIs" dxfId="3915" priority="670" operator="greaterThan">
      <formula>0</formula>
    </cfRule>
  </conditionalFormatting>
  <conditionalFormatting sqref="P84:P91">
    <cfRule type="cellIs" dxfId="3914" priority="664" operator="greaterThan">
      <formula>0</formula>
    </cfRule>
  </conditionalFormatting>
  <conditionalFormatting sqref="Q84:Q91">
    <cfRule type="cellIs" dxfId="3913" priority="669" operator="lessThan">
      <formula>0</formula>
    </cfRule>
  </conditionalFormatting>
  <conditionalFormatting sqref="R84:R91">
    <cfRule type="cellIs" dxfId="3912" priority="667" operator="lessThan">
      <formula>0.8</formula>
    </cfRule>
    <cfRule type="cellIs" dxfId="3911" priority="668" operator="greaterThan">
      <formula>1</formula>
    </cfRule>
  </conditionalFormatting>
  <conditionalFormatting sqref="R84:R91">
    <cfRule type="cellIs" dxfId="3910" priority="665" operator="greaterThan">
      <formula>1</formula>
    </cfRule>
    <cfRule type="cellIs" dxfId="3909" priority="666" operator="lessThan">
      <formula>0.8</formula>
    </cfRule>
  </conditionalFormatting>
  <conditionalFormatting sqref="P84:P91">
    <cfRule type="cellIs" dxfId="3908" priority="658" operator="greaterThan">
      <formula>0</formula>
    </cfRule>
  </conditionalFormatting>
  <conditionalFormatting sqref="Q84:Q91">
    <cfRule type="cellIs" dxfId="3907" priority="663" operator="lessThan">
      <formula>0</formula>
    </cfRule>
  </conditionalFormatting>
  <conditionalFormatting sqref="R84:R91">
    <cfRule type="cellIs" dxfId="3906" priority="661" operator="lessThan">
      <formula>0.8</formula>
    </cfRule>
    <cfRule type="cellIs" dxfId="3905" priority="662" operator="greaterThan">
      <formula>1</formula>
    </cfRule>
  </conditionalFormatting>
  <conditionalFormatting sqref="R84:R91">
    <cfRule type="cellIs" dxfId="3904" priority="659" operator="greaterThan">
      <formula>1</formula>
    </cfRule>
    <cfRule type="cellIs" dxfId="3903" priority="660" operator="lessThan">
      <formula>0.8</formula>
    </cfRule>
  </conditionalFormatting>
  <conditionalFormatting sqref="R84:R91">
    <cfRule type="cellIs" dxfId="3902" priority="655" operator="lessThan">
      <formula>0.8</formula>
    </cfRule>
    <cfRule type="cellIs" dxfId="3901" priority="656" operator="greaterThan">
      <formula>1</formula>
    </cfRule>
  </conditionalFormatting>
  <conditionalFormatting sqref="R84:R91">
    <cfRule type="cellIs" dxfId="3900" priority="653" operator="greaterThan">
      <formula>1</formula>
    </cfRule>
    <cfRule type="cellIs" dxfId="3899" priority="654" operator="lessThan">
      <formula>0.8</formula>
    </cfRule>
  </conditionalFormatting>
  <conditionalFormatting sqref="P84:P91">
    <cfRule type="cellIs" dxfId="3898" priority="652" operator="greaterThan">
      <formula>0</formula>
    </cfRule>
  </conditionalFormatting>
  <conditionalFormatting sqref="Q84:Q91">
    <cfRule type="cellIs" dxfId="3897" priority="657" operator="lessThan">
      <formula>0</formula>
    </cfRule>
  </conditionalFormatting>
  <conditionalFormatting sqref="P84:P91">
    <cfRule type="cellIs" dxfId="3896" priority="646" operator="greaterThan">
      <formula>0</formula>
    </cfRule>
  </conditionalFormatting>
  <conditionalFormatting sqref="Q84:Q91">
    <cfRule type="cellIs" dxfId="3895" priority="651" operator="lessThan">
      <formula>0</formula>
    </cfRule>
  </conditionalFormatting>
  <conditionalFormatting sqref="R84:R91">
    <cfRule type="cellIs" dxfId="3894" priority="649" operator="lessThan">
      <formula>0.8</formula>
    </cfRule>
    <cfRule type="cellIs" dxfId="3893" priority="650" operator="greaterThan">
      <formula>1</formula>
    </cfRule>
  </conditionalFormatting>
  <conditionalFormatting sqref="R84:R91">
    <cfRule type="cellIs" dxfId="3892" priority="647" operator="greaterThan">
      <formula>1</formula>
    </cfRule>
    <cfRule type="cellIs" dxfId="3891" priority="648" operator="lessThan">
      <formula>0.8</formula>
    </cfRule>
  </conditionalFormatting>
  <conditionalFormatting sqref="R84:R91">
    <cfRule type="cellIs" dxfId="3890" priority="643" operator="lessThan">
      <formula>0.8</formula>
    </cfRule>
    <cfRule type="cellIs" dxfId="3889" priority="644" operator="greaterThan">
      <formula>1</formula>
    </cfRule>
  </conditionalFormatting>
  <conditionalFormatting sqref="R84:R91">
    <cfRule type="cellIs" dxfId="3888" priority="641" operator="greaterThan">
      <formula>1</formula>
    </cfRule>
    <cfRule type="cellIs" dxfId="3887" priority="642" operator="lessThan">
      <formula>0.8</formula>
    </cfRule>
  </conditionalFormatting>
  <conditionalFormatting sqref="P84:P91">
    <cfRule type="cellIs" dxfId="3886" priority="640" operator="greaterThan">
      <formula>0</formula>
    </cfRule>
  </conditionalFormatting>
  <conditionalFormatting sqref="Q84:Q91">
    <cfRule type="cellIs" dxfId="3885" priority="645" operator="lessThan">
      <formula>0</formula>
    </cfRule>
  </conditionalFormatting>
  <conditionalFormatting sqref="R84:R91">
    <cfRule type="cellIs" dxfId="3884" priority="637" operator="lessThan">
      <formula>0.8</formula>
    </cfRule>
    <cfRule type="cellIs" dxfId="3883" priority="638" operator="greaterThan">
      <formula>1</formula>
    </cfRule>
  </conditionalFormatting>
  <conditionalFormatting sqref="R84:R91">
    <cfRule type="cellIs" dxfId="3882" priority="635" operator="greaterThan">
      <formula>1</formula>
    </cfRule>
    <cfRule type="cellIs" dxfId="3881" priority="636" operator="lessThan">
      <formula>0.8</formula>
    </cfRule>
  </conditionalFormatting>
  <conditionalFormatting sqref="P84:P91">
    <cfRule type="cellIs" dxfId="3880" priority="634" operator="greaterThan">
      <formula>0</formula>
    </cfRule>
  </conditionalFormatting>
  <conditionalFormatting sqref="Q84:Q91">
    <cfRule type="cellIs" dxfId="3879" priority="639" operator="lessThan">
      <formula>0</formula>
    </cfRule>
  </conditionalFormatting>
  <conditionalFormatting sqref="Q84:Q91">
    <cfRule type="cellIs" dxfId="3878" priority="633" operator="lessThan">
      <formula>0</formula>
    </cfRule>
  </conditionalFormatting>
  <conditionalFormatting sqref="R84:R91">
    <cfRule type="cellIs" dxfId="3877" priority="631" operator="lessThan">
      <formula>0.8</formula>
    </cfRule>
    <cfRule type="cellIs" dxfId="3876" priority="632" operator="greaterThan">
      <formula>1</formula>
    </cfRule>
  </conditionalFormatting>
  <conditionalFormatting sqref="R84:R91">
    <cfRule type="cellIs" dxfId="3875" priority="629" operator="greaterThan">
      <formula>1</formula>
    </cfRule>
    <cfRule type="cellIs" dxfId="3874" priority="630" operator="lessThan">
      <formula>0.8</formula>
    </cfRule>
  </conditionalFormatting>
  <conditionalFormatting sqref="P84:P91">
    <cfRule type="cellIs" dxfId="3873" priority="628" operator="greaterThan">
      <formula>0</formula>
    </cfRule>
  </conditionalFormatting>
  <conditionalFormatting sqref="Q84:Q91">
    <cfRule type="cellIs" dxfId="3872" priority="622" operator="lessThan">
      <formula>0</formula>
    </cfRule>
  </conditionalFormatting>
  <conditionalFormatting sqref="R84:R91">
    <cfRule type="cellIs" dxfId="3871" priority="626" operator="lessThan">
      <formula>0.8</formula>
    </cfRule>
    <cfRule type="cellIs" dxfId="3870" priority="627" operator="greaterThan">
      <formula>1</formula>
    </cfRule>
  </conditionalFormatting>
  <conditionalFormatting sqref="R84:R91">
    <cfRule type="cellIs" dxfId="3869" priority="624" operator="greaterThan">
      <formula>1</formula>
    </cfRule>
    <cfRule type="cellIs" dxfId="3868" priority="625" operator="lessThan">
      <formula>0.8</formula>
    </cfRule>
  </conditionalFormatting>
  <conditionalFormatting sqref="P84:P91">
    <cfRule type="cellIs" dxfId="3867" priority="623" operator="greaterThan">
      <formula>0</formula>
    </cfRule>
  </conditionalFormatting>
  <conditionalFormatting sqref="Q84:Q91">
    <cfRule type="cellIs" dxfId="3866" priority="621" operator="lessThan">
      <formula>0</formula>
    </cfRule>
  </conditionalFormatting>
  <conditionalFormatting sqref="R84:R91">
    <cfRule type="cellIs" dxfId="3865" priority="619" operator="lessThan">
      <formula>0.8</formula>
    </cfRule>
    <cfRule type="cellIs" dxfId="3864" priority="620" operator="greaterThan">
      <formula>1</formula>
    </cfRule>
  </conditionalFormatting>
  <conditionalFormatting sqref="R84:R91">
    <cfRule type="cellIs" dxfId="3863" priority="617" operator="greaterThan">
      <formula>1</formula>
    </cfRule>
    <cfRule type="cellIs" dxfId="3862" priority="618" operator="lessThan">
      <formula>0.8</formula>
    </cfRule>
  </conditionalFormatting>
  <conditionalFormatting sqref="P84:P91">
    <cfRule type="cellIs" dxfId="3861" priority="616" operator="greaterThan">
      <formula>0</formula>
    </cfRule>
  </conditionalFormatting>
  <conditionalFormatting sqref="Q84:Q91">
    <cfRule type="cellIs" dxfId="3860" priority="615" operator="lessThan">
      <formula>0</formula>
    </cfRule>
  </conditionalFormatting>
  <conditionalFormatting sqref="R84:R91">
    <cfRule type="cellIs" dxfId="3859" priority="613" operator="lessThan">
      <formula>0.8</formula>
    </cfRule>
    <cfRule type="cellIs" dxfId="3858" priority="614" operator="greaterThan">
      <formula>1</formula>
    </cfRule>
  </conditionalFormatting>
  <conditionalFormatting sqref="R84:R91">
    <cfRule type="cellIs" dxfId="3857" priority="611" operator="greaterThan">
      <formula>1</formula>
    </cfRule>
    <cfRule type="cellIs" dxfId="3856" priority="612" operator="lessThan">
      <formula>0.8</formula>
    </cfRule>
  </conditionalFormatting>
  <conditionalFormatting sqref="P84:P91">
    <cfRule type="cellIs" dxfId="3855" priority="610" operator="greaterThan">
      <formula>0</formula>
    </cfRule>
  </conditionalFormatting>
  <conditionalFormatting sqref="Q84:Q91">
    <cfRule type="cellIs" dxfId="3854" priority="609" operator="lessThan">
      <formula>0</formula>
    </cfRule>
  </conditionalFormatting>
  <conditionalFormatting sqref="R84:R91">
    <cfRule type="cellIs" dxfId="3853" priority="607" operator="lessThan">
      <formula>0.8</formula>
    </cfRule>
    <cfRule type="cellIs" dxfId="3852" priority="608" operator="greaterThan">
      <formula>1</formula>
    </cfRule>
  </conditionalFormatting>
  <conditionalFormatting sqref="R84:R91">
    <cfRule type="cellIs" dxfId="3851" priority="605" operator="greaterThan">
      <formula>1</formula>
    </cfRule>
    <cfRule type="cellIs" dxfId="3850" priority="606" operator="lessThan">
      <formula>0.8</formula>
    </cfRule>
  </conditionalFormatting>
  <conditionalFormatting sqref="P84:P91">
    <cfRule type="cellIs" dxfId="3849" priority="604" operator="greaterThan">
      <formula>0</formula>
    </cfRule>
  </conditionalFormatting>
  <conditionalFormatting sqref="Q84:Q91">
    <cfRule type="cellIs" dxfId="3848" priority="603" operator="lessThan">
      <formula>0</formula>
    </cfRule>
  </conditionalFormatting>
  <conditionalFormatting sqref="R84:R91">
    <cfRule type="cellIs" dxfId="3847" priority="601" operator="lessThan">
      <formula>0.8</formula>
    </cfRule>
    <cfRule type="cellIs" dxfId="3846" priority="602" operator="greaterThan">
      <formula>1</formula>
    </cfRule>
  </conditionalFormatting>
  <conditionalFormatting sqref="R84:R91">
    <cfRule type="cellIs" dxfId="3845" priority="599" operator="greaterThan">
      <formula>1</formula>
    </cfRule>
    <cfRule type="cellIs" dxfId="3844" priority="600" operator="lessThan">
      <formula>0.8</formula>
    </cfRule>
  </conditionalFormatting>
  <conditionalFormatting sqref="P84:P91">
    <cfRule type="cellIs" dxfId="3843" priority="598" operator="greaterThan">
      <formula>0</formula>
    </cfRule>
  </conditionalFormatting>
  <conditionalFormatting sqref="Q84:Q91">
    <cfRule type="cellIs" dxfId="3842" priority="597" operator="lessThan">
      <formula>0</formula>
    </cfRule>
  </conditionalFormatting>
  <conditionalFormatting sqref="R84:R91">
    <cfRule type="cellIs" dxfId="3841" priority="595" operator="lessThan">
      <formula>0.8</formula>
    </cfRule>
    <cfRule type="cellIs" dxfId="3840" priority="596" operator="greaterThan">
      <formula>1</formula>
    </cfRule>
  </conditionalFormatting>
  <conditionalFormatting sqref="R84:R91">
    <cfRule type="cellIs" dxfId="3839" priority="593" operator="greaterThan">
      <formula>1</formula>
    </cfRule>
    <cfRule type="cellIs" dxfId="3838" priority="594" operator="lessThan">
      <formula>0.8</formula>
    </cfRule>
  </conditionalFormatting>
  <conditionalFormatting sqref="P84:P91">
    <cfRule type="cellIs" dxfId="3837" priority="592" operator="greaterThan">
      <formula>0</formula>
    </cfRule>
  </conditionalFormatting>
  <conditionalFormatting sqref="P84:P91">
    <cfRule type="cellIs" dxfId="3836" priority="586" operator="greaterThan">
      <formula>0</formula>
    </cfRule>
  </conditionalFormatting>
  <conditionalFormatting sqref="Q84:Q91">
    <cfRule type="cellIs" dxfId="3835" priority="591" operator="lessThan">
      <formula>0</formula>
    </cfRule>
  </conditionalFormatting>
  <conditionalFormatting sqref="R84:R91">
    <cfRule type="cellIs" dxfId="3834" priority="589" operator="lessThan">
      <formula>0.8</formula>
    </cfRule>
    <cfRule type="cellIs" dxfId="3833" priority="590" operator="greaterThan">
      <formula>1</formula>
    </cfRule>
  </conditionalFormatting>
  <conditionalFormatting sqref="R84:R91">
    <cfRule type="cellIs" dxfId="3832" priority="587" operator="greaterThan">
      <formula>1</formula>
    </cfRule>
    <cfRule type="cellIs" dxfId="3831" priority="588" operator="lessThan">
      <formula>0.8</formula>
    </cfRule>
  </conditionalFormatting>
  <conditionalFormatting sqref="P84:P91">
    <cfRule type="cellIs" dxfId="3830" priority="580" operator="greaterThan">
      <formula>0</formula>
    </cfRule>
  </conditionalFormatting>
  <conditionalFormatting sqref="Q84:Q91">
    <cfRule type="cellIs" dxfId="3829" priority="585" operator="lessThan">
      <formula>0</formula>
    </cfRule>
  </conditionalFormatting>
  <conditionalFormatting sqref="R84:R91">
    <cfRule type="cellIs" dxfId="3828" priority="583" operator="lessThan">
      <formula>0.8</formula>
    </cfRule>
    <cfRule type="cellIs" dxfId="3827" priority="584" operator="greaterThan">
      <formula>1</formula>
    </cfRule>
  </conditionalFormatting>
  <conditionalFormatting sqref="R84:R91">
    <cfRule type="cellIs" dxfId="3826" priority="581" operator="greaterThan">
      <formula>1</formula>
    </cfRule>
    <cfRule type="cellIs" dxfId="3825" priority="582" operator="lessThan">
      <formula>0.8</formula>
    </cfRule>
  </conditionalFormatting>
  <conditionalFormatting sqref="R84:R91">
    <cfRule type="cellIs" dxfId="3824" priority="577" operator="lessThan">
      <formula>0.8</formula>
    </cfRule>
    <cfRule type="cellIs" dxfId="3823" priority="578" operator="greaterThan">
      <formula>1</formula>
    </cfRule>
  </conditionalFormatting>
  <conditionalFormatting sqref="R84:R91">
    <cfRule type="cellIs" dxfId="3822" priority="575" operator="greaterThan">
      <formula>1</formula>
    </cfRule>
    <cfRule type="cellIs" dxfId="3821" priority="576" operator="lessThan">
      <formula>0.8</formula>
    </cfRule>
  </conditionalFormatting>
  <conditionalFormatting sqref="P84:P91">
    <cfRule type="cellIs" dxfId="3820" priority="574" operator="greaterThan">
      <formula>0</formula>
    </cfRule>
  </conditionalFormatting>
  <conditionalFormatting sqref="Q84:Q91">
    <cfRule type="cellIs" dxfId="3819" priority="579" operator="lessThan">
      <formula>0</formula>
    </cfRule>
  </conditionalFormatting>
  <conditionalFormatting sqref="Q84:Q91">
    <cfRule type="cellIs" dxfId="3818" priority="573" operator="lessThan">
      <formula>0</formula>
    </cfRule>
  </conditionalFormatting>
  <conditionalFormatting sqref="R84:R91">
    <cfRule type="cellIs" dxfId="3817" priority="571" operator="lessThan">
      <formula>0.8</formula>
    </cfRule>
    <cfRule type="cellIs" dxfId="3816" priority="572" operator="greaterThan">
      <formula>1</formula>
    </cfRule>
  </conditionalFormatting>
  <conditionalFormatting sqref="R84:R91">
    <cfRule type="cellIs" dxfId="3815" priority="569" operator="greaterThan">
      <formula>1</formula>
    </cfRule>
    <cfRule type="cellIs" dxfId="3814" priority="570" operator="lessThan">
      <formula>0.8</formula>
    </cfRule>
  </conditionalFormatting>
  <conditionalFormatting sqref="P84:P91">
    <cfRule type="cellIs" dxfId="3813" priority="568" operator="greaterThan">
      <formula>0</formula>
    </cfRule>
  </conditionalFormatting>
  <conditionalFormatting sqref="Q84:Q91">
    <cfRule type="cellIs" dxfId="3812" priority="567" operator="lessThan">
      <formula>0</formula>
    </cfRule>
  </conditionalFormatting>
  <conditionalFormatting sqref="R84:R91">
    <cfRule type="cellIs" dxfId="3811" priority="565" operator="lessThan">
      <formula>0.8</formula>
    </cfRule>
    <cfRule type="cellIs" dxfId="3810" priority="566" operator="greaterThan">
      <formula>1</formula>
    </cfRule>
  </conditionalFormatting>
  <conditionalFormatting sqref="R84:R91">
    <cfRule type="cellIs" dxfId="3809" priority="563" operator="greaterThan">
      <formula>1</formula>
    </cfRule>
    <cfRule type="cellIs" dxfId="3808" priority="564" operator="lessThan">
      <formula>0.8</formula>
    </cfRule>
  </conditionalFormatting>
  <conditionalFormatting sqref="P84:P91">
    <cfRule type="cellIs" dxfId="3807" priority="562" operator="greaterThan">
      <formula>0</formula>
    </cfRule>
  </conditionalFormatting>
  <conditionalFormatting sqref="Q84:Q91">
    <cfRule type="cellIs" dxfId="3806" priority="561" operator="lessThan">
      <formula>0</formula>
    </cfRule>
  </conditionalFormatting>
  <conditionalFormatting sqref="R84:R91">
    <cfRule type="cellIs" dxfId="3805" priority="559" operator="lessThan">
      <formula>0.8</formula>
    </cfRule>
    <cfRule type="cellIs" dxfId="3804" priority="560" operator="greaterThan">
      <formula>1</formula>
    </cfRule>
  </conditionalFormatting>
  <conditionalFormatting sqref="R84:R91">
    <cfRule type="cellIs" dxfId="3803" priority="557" operator="greaterThan">
      <formula>1</formula>
    </cfRule>
    <cfRule type="cellIs" dxfId="3802" priority="558" operator="lessThan">
      <formula>0.8</formula>
    </cfRule>
  </conditionalFormatting>
  <conditionalFormatting sqref="P84:P91">
    <cfRule type="cellIs" dxfId="3801" priority="556" operator="greaterThan">
      <formula>0</formula>
    </cfRule>
  </conditionalFormatting>
  <conditionalFormatting sqref="Q84:Q91">
    <cfRule type="cellIs" dxfId="3800" priority="555" operator="lessThan">
      <formula>0</formula>
    </cfRule>
  </conditionalFormatting>
  <conditionalFormatting sqref="R84:R91">
    <cfRule type="cellIs" dxfId="3799" priority="553" operator="lessThan">
      <formula>0.8</formula>
    </cfRule>
    <cfRule type="cellIs" dxfId="3798" priority="554" operator="greaterThan">
      <formula>1</formula>
    </cfRule>
  </conditionalFormatting>
  <conditionalFormatting sqref="R84:R91">
    <cfRule type="cellIs" dxfId="3797" priority="551" operator="greaterThan">
      <formula>1</formula>
    </cfRule>
    <cfRule type="cellIs" dxfId="3796" priority="552" operator="lessThan">
      <formula>0.8</formula>
    </cfRule>
  </conditionalFormatting>
  <conditionalFormatting sqref="P84:P91">
    <cfRule type="cellIs" dxfId="3795" priority="550" operator="greaterThan">
      <formula>0</formula>
    </cfRule>
  </conditionalFormatting>
  <conditionalFormatting sqref="P84:P91">
    <cfRule type="cellIs" dxfId="3794" priority="544" operator="greaterThan">
      <formula>0</formula>
    </cfRule>
  </conditionalFormatting>
  <conditionalFormatting sqref="Q84:Q91">
    <cfRule type="cellIs" dxfId="3793" priority="549" operator="lessThan">
      <formula>0</formula>
    </cfRule>
  </conditionalFormatting>
  <conditionalFormatting sqref="R84:R91">
    <cfRule type="cellIs" dxfId="3792" priority="547" operator="lessThan">
      <formula>0.8</formula>
    </cfRule>
    <cfRule type="cellIs" dxfId="3791" priority="548" operator="greaterThan">
      <formula>1</formula>
    </cfRule>
  </conditionalFormatting>
  <conditionalFormatting sqref="R84:R91">
    <cfRule type="cellIs" dxfId="3790" priority="545" operator="greaterThan">
      <formula>1</formula>
    </cfRule>
    <cfRule type="cellIs" dxfId="3789" priority="546" operator="lessThan">
      <formula>0.8</formula>
    </cfRule>
  </conditionalFormatting>
  <conditionalFormatting sqref="P84:P91">
    <cfRule type="cellIs" dxfId="3788" priority="538" operator="greaterThan">
      <formula>0</formula>
    </cfRule>
  </conditionalFormatting>
  <conditionalFormatting sqref="Q84:Q91">
    <cfRule type="cellIs" dxfId="3787" priority="543" operator="lessThan">
      <formula>0</formula>
    </cfRule>
  </conditionalFormatting>
  <conditionalFormatting sqref="R84:R91">
    <cfRule type="cellIs" dxfId="3786" priority="541" operator="lessThan">
      <formula>0.8</formula>
    </cfRule>
    <cfRule type="cellIs" dxfId="3785" priority="542" operator="greaterThan">
      <formula>1</formula>
    </cfRule>
  </conditionalFormatting>
  <conditionalFormatting sqref="R84:R91">
    <cfRule type="cellIs" dxfId="3784" priority="539" operator="greaterThan">
      <formula>1</formula>
    </cfRule>
    <cfRule type="cellIs" dxfId="3783" priority="540" operator="lessThan">
      <formula>0.8</formula>
    </cfRule>
  </conditionalFormatting>
  <conditionalFormatting sqref="R84:R91">
    <cfRule type="cellIs" dxfId="3782" priority="535" operator="lessThan">
      <formula>0.8</formula>
    </cfRule>
    <cfRule type="cellIs" dxfId="3781" priority="536" operator="greaterThan">
      <formula>1</formula>
    </cfRule>
  </conditionalFormatting>
  <conditionalFormatting sqref="R84:R91">
    <cfRule type="cellIs" dxfId="3780" priority="533" operator="greaterThan">
      <formula>1</formula>
    </cfRule>
    <cfRule type="cellIs" dxfId="3779" priority="534" operator="lessThan">
      <formula>0.8</formula>
    </cfRule>
  </conditionalFormatting>
  <conditionalFormatting sqref="P84:P91">
    <cfRule type="cellIs" dxfId="3778" priority="532" operator="greaterThan">
      <formula>0</formula>
    </cfRule>
  </conditionalFormatting>
  <conditionalFormatting sqref="Q84:Q91">
    <cfRule type="cellIs" dxfId="3777" priority="537" operator="lessThan">
      <formula>0</formula>
    </cfRule>
  </conditionalFormatting>
  <conditionalFormatting sqref="Q84:Q91">
    <cfRule type="cellIs" dxfId="3776" priority="531" operator="lessThan">
      <formula>0</formula>
    </cfRule>
  </conditionalFormatting>
  <conditionalFormatting sqref="R84:R91">
    <cfRule type="cellIs" dxfId="3775" priority="529" operator="lessThan">
      <formula>0.8</formula>
    </cfRule>
    <cfRule type="cellIs" dxfId="3774" priority="530" operator="greaterThan">
      <formula>1</formula>
    </cfRule>
  </conditionalFormatting>
  <conditionalFormatting sqref="R84:R91">
    <cfRule type="cellIs" dxfId="3773" priority="527" operator="greaterThan">
      <formula>1</formula>
    </cfRule>
    <cfRule type="cellIs" dxfId="3772" priority="528" operator="lessThan">
      <formula>0.8</formula>
    </cfRule>
  </conditionalFormatting>
  <conditionalFormatting sqref="P84:P91">
    <cfRule type="cellIs" dxfId="3771" priority="526" operator="greaterThan">
      <formula>0</formula>
    </cfRule>
  </conditionalFormatting>
  <conditionalFormatting sqref="P84:P91">
    <cfRule type="cellIs" dxfId="3770" priority="520" operator="greaterThan">
      <formula>0</formula>
    </cfRule>
  </conditionalFormatting>
  <conditionalFormatting sqref="Q84:Q91">
    <cfRule type="cellIs" dxfId="3769" priority="525" operator="lessThan">
      <formula>0</formula>
    </cfRule>
  </conditionalFormatting>
  <conditionalFormatting sqref="R84:R91">
    <cfRule type="cellIs" dxfId="3768" priority="523" operator="lessThan">
      <formula>0.8</formula>
    </cfRule>
    <cfRule type="cellIs" dxfId="3767" priority="524" operator="greaterThan">
      <formula>1</formula>
    </cfRule>
  </conditionalFormatting>
  <conditionalFormatting sqref="R84:R91">
    <cfRule type="cellIs" dxfId="3766" priority="521" operator="greaterThan">
      <formula>1</formula>
    </cfRule>
    <cfRule type="cellIs" dxfId="3765" priority="522" operator="lessThan">
      <formula>0.8</formula>
    </cfRule>
  </conditionalFormatting>
  <conditionalFormatting sqref="P84:P91">
    <cfRule type="cellIs" dxfId="3764" priority="514" operator="greaterThan">
      <formula>0</formula>
    </cfRule>
  </conditionalFormatting>
  <conditionalFormatting sqref="Q84:Q91">
    <cfRule type="cellIs" dxfId="3763" priority="519" operator="lessThan">
      <formula>0</formula>
    </cfRule>
  </conditionalFormatting>
  <conditionalFormatting sqref="R84:R91">
    <cfRule type="cellIs" dxfId="3762" priority="517" operator="lessThan">
      <formula>0.8</formula>
    </cfRule>
    <cfRule type="cellIs" dxfId="3761" priority="518" operator="greaterThan">
      <formula>1</formula>
    </cfRule>
  </conditionalFormatting>
  <conditionalFormatting sqref="R84:R91">
    <cfRule type="cellIs" dxfId="3760" priority="515" operator="greaterThan">
      <formula>1</formula>
    </cfRule>
    <cfRule type="cellIs" dxfId="3759" priority="516" operator="lessThan">
      <formula>0.8</formula>
    </cfRule>
  </conditionalFormatting>
  <conditionalFormatting sqref="R84:R91">
    <cfRule type="cellIs" dxfId="3758" priority="511" operator="lessThan">
      <formula>0.8</formula>
    </cfRule>
    <cfRule type="cellIs" dxfId="3757" priority="512" operator="greaterThan">
      <formula>1</formula>
    </cfRule>
  </conditionalFormatting>
  <conditionalFormatting sqref="R84:R91">
    <cfRule type="cellIs" dxfId="3756" priority="509" operator="greaterThan">
      <formula>1</formula>
    </cfRule>
    <cfRule type="cellIs" dxfId="3755" priority="510" operator="lessThan">
      <formula>0.8</formula>
    </cfRule>
  </conditionalFormatting>
  <conditionalFormatting sqref="P84:P91">
    <cfRule type="cellIs" dxfId="3754" priority="508" operator="greaterThan">
      <formula>0</formula>
    </cfRule>
  </conditionalFormatting>
  <conditionalFormatting sqref="Q84:Q91">
    <cfRule type="cellIs" dxfId="3753" priority="513" operator="lessThan">
      <formula>0</formula>
    </cfRule>
  </conditionalFormatting>
  <conditionalFormatting sqref="P84:P91">
    <cfRule type="cellIs" dxfId="3752" priority="502" operator="greaterThan">
      <formula>0</formula>
    </cfRule>
  </conditionalFormatting>
  <conditionalFormatting sqref="Q84:Q91">
    <cfRule type="cellIs" dxfId="3751" priority="507" operator="lessThan">
      <formula>0</formula>
    </cfRule>
  </conditionalFormatting>
  <conditionalFormatting sqref="R84:R91">
    <cfRule type="cellIs" dxfId="3750" priority="505" operator="lessThan">
      <formula>0.8</formula>
    </cfRule>
    <cfRule type="cellIs" dxfId="3749" priority="506" operator="greaterThan">
      <formula>1</formula>
    </cfRule>
  </conditionalFormatting>
  <conditionalFormatting sqref="R84:R91">
    <cfRule type="cellIs" dxfId="3748" priority="503" operator="greaterThan">
      <formula>1</formula>
    </cfRule>
    <cfRule type="cellIs" dxfId="3747" priority="504" operator="lessThan">
      <formula>0.8</formula>
    </cfRule>
  </conditionalFormatting>
  <conditionalFormatting sqref="R84:R91">
    <cfRule type="cellIs" dxfId="3746" priority="499" operator="lessThan">
      <formula>0.8</formula>
    </cfRule>
    <cfRule type="cellIs" dxfId="3745" priority="500" operator="greaterThan">
      <formula>1</formula>
    </cfRule>
  </conditionalFormatting>
  <conditionalFormatting sqref="R84:R91">
    <cfRule type="cellIs" dxfId="3744" priority="497" operator="greaterThan">
      <formula>1</formula>
    </cfRule>
    <cfRule type="cellIs" dxfId="3743" priority="498" operator="lessThan">
      <formula>0.8</formula>
    </cfRule>
  </conditionalFormatting>
  <conditionalFormatting sqref="P84:P91">
    <cfRule type="cellIs" dxfId="3742" priority="496" operator="greaterThan">
      <formula>0</formula>
    </cfRule>
  </conditionalFormatting>
  <conditionalFormatting sqref="Q84:Q91">
    <cfRule type="cellIs" dxfId="3741" priority="501" operator="lessThan">
      <formula>0</formula>
    </cfRule>
  </conditionalFormatting>
  <conditionalFormatting sqref="R84:R91">
    <cfRule type="cellIs" dxfId="3740" priority="493" operator="lessThan">
      <formula>0.8</formula>
    </cfRule>
    <cfRule type="cellIs" dxfId="3739" priority="494" operator="greaterThan">
      <formula>1</formula>
    </cfRule>
  </conditionalFormatting>
  <conditionalFormatting sqref="R84:R91">
    <cfRule type="cellIs" dxfId="3738" priority="491" operator="greaterThan">
      <formula>1</formula>
    </cfRule>
    <cfRule type="cellIs" dxfId="3737" priority="492" operator="lessThan">
      <formula>0.8</formula>
    </cfRule>
  </conditionalFormatting>
  <conditionalFormatting sqref="P84:P91">
    <cfRule type="cellIs" dxfId="3736" priority="490" operator="greaterThan">
      <formula>0</formula>
    </cfRule>
  </conditionalFormatting>
  <conditionalFormatting sqref="Q84:Q91">
    <cfRule type="cellIs" dxfId="3735" priority="495" operator="lessThan">
      <formula>0</formula>
    </cfRule>
  </conditionalFormatting>
  <conditionalFormatting sqref="Q84:Q91">
    <cfRule type="cellIs" dxfId="3734" priority="489" operator="lessThan">
      <formula>0</formula>
    </cfRule>
  </conditionalFormatting>
  <conditionalFormatting sqref="R84:R91">
    <cfRule type="cellIs" dxfId="3733" priority="487" operator="lessThan">
      <formula>0.8</formula>
    </cfRule>
    <cfRule type="cellIs" dxfId="3732" priority="488" operator="greaterThan">
      <formula>1</formula>
    </cfRule>
  </conditionalFormatting>
  <conditionalFormatting sqref="R84:R91">
    <cfRule type="cellIs" dxfId="3731" priority="485" operator="greaterThan">
      <formula>1</formula>
    </cfRule>
    <cfRule type="cellIs" dxfId="3730" priority="486" operator="lessThan">
      <formula>0.8</formula>
    </cfRule>
  </conditionalFormatting>
  <conditionalFormatting sqref="P84:P91">
    <cfRule type="cellIs" dxfId="3729" priority="484" operator="greaterThan">
      <formula>0</formula>
    </cfRule>
  </conditionalFormatting>
  <conditionalFormatting sqref="Q84:Q91">
    <cfRule type="cellIs" dxfId="3728" priority="478" operator="lessThan">
      <formula>0</formula>
    </cfRule>
  </conditionalFormatting>
  <conditionalFormatting sqref="R84:R91">
    <cfRule type="cellIs" dxfId="3727" priority="482" operator="lessThan">
      <formula>0.8</formula>
    </cfRule>
    <cfRule type="cellIs" dxfId="3726" priority="483" operator="greaterThan">
      <formula>1</formula>
    </cfRule>
  </conditionalFormatting>
  <conditionalFormatting sqref="R84:R91">
    <cfRule type="cellIs" dxfId="3725" priority="480" operator="greaterThan">
      <formula>1</formula>
    </cfRule>
    <cfRule type="cellIs" dxfId="3724" priority="481" operator="lessThan">
      <formula>0.8</formula>
    </cfRule>
  </conditionalFormatting>
  <conditionalFormatting sqref="P84:P91">
    <cfRule type="cellIs" dxfId="3723" priority="479" operator="greaterThan">
      <formula>0</formula>
    </cfRule>
  </conditionalFormatting>
  <conditionalFormatting sqref="Q84:Q91">
    <cfRule type="cellIs" dxfId="3722" priority="477" operator="lessThan">
      <formula>0</formula>
    </cfRule>
  </conditionalFormatting>
  <conditionalFormatting sqref="R84:R91">
    <cfRule type="cellIs" dxfId="3721" priority="475" operator="lessThan">
      <formula>0.8</formula>
    </cfRule>
    <cfRule type="cellIs" dxfId="3720" priority="476" operator="greaterThan">
      <formula>1</formula>
    </cfRule>
  </conditionalFormatting>
  <conditionalFormatting sqref="R84:R91">
    <cfRule type="cellIs" dxfId="3719" priority="473" operator="greaterThan">
      <formula>1</formula>
    </cfRule>
    <cfRule type="cellIs" dxfId="3718" priority="474" operator="lessThan">
      <formula>0.8</formula>
    </cfRule>
  </conditionalFormatting>
  <conditionalFormatting sqref="P84:P91">
    <cfRule type="cellIs" dxfId="3717" priority="472" operator="greaterThan">
      <formula>0</formula>
    </cfRule>
  </conditionalFormatting>
  <conditionalFormatting sqref="Q84:Q91">
    <cfRule type="cellIs" dxfId="3716" priority="471" operator="lessThan">
      <formula>0</formula>
    </cfRule>
  </conditionalFormatting>
  <conditionalFormatting sqref="R84:R91">
    <cfRule type="cellIs" dxfId="3715" priority="469" operator="lessThan">
      <formula>0.8</formula>
    </cfRule>
    <cfRule type="cellIs" dxfId="3714" priority="470" operator="greaterThan">
      <formula>1</formula>
    </cfRule>
  </conditionalFormatting>
  <conditionalFormatting sqref="R84:R91">
    <cfRule type="cellIs" dxfId="3713" priority="467" operator="greaterThan">
      <formula>1</formula>
    </cfRule>
    <cfRule type="cellIs" dxfId="3712" priority="468" operator="lessThan">
      <formula>0.8</formula>
    </cfRule>
  </conditionalFormatting>
  <conditionalFormatting sqref="P84:P91">
    <cfRule type="cellIs" dxfId="3711" priority="466" operator="greaterThan">
      <formula>0</formula>
    </cfRule>
  </conditionalFormatting>
  <conditionalFormatting sqref="Q84:Q91">
    <cfRule type="cellIs" dxfId="3710" priority="465" operator="lessThan">
      <formula>0</formula>
    </cfRule>
  </conditionalFormatting>
  <conditionalFormatting sqref="R84:R91">
    <cfRule type="cellIs" dxfId="3709" priority="463" operator="lessThan">
      <formula>0.8</formula>
    </cfRule>
    <cfRule type="cellIs" dxfId="3708" priority="464" operator="greaterThan">
      <formula>1</formula>
    </cfRule>
  </conditionalFormatting>
  <conditionalFormatting sqref="R84:R91">
    <cfRule type="cellIs" dxfId="3707" priority="461" operator="greaterThan">
      <formula>1</formula>
    </cfRule>
    <cfRule type="cellIs" dxfId="3706" priority="462" operator="lessThan">
      <formula>0.8</formula>
    </cfRule>
  </conditionalFormatting>
  <conditionalFormatting sqref="P84:P91">
    <cfRule type="cellIs" dxfId="3705" priority="460" operator="greaterThan">
      <formula>0</formula>
    </cfRule>
  </conditionalFormatting>
  <conditionalFormatting sqref="Q84:Q91">
    <cfRule type="cellIs" dxfId="3704" priority="459" operator="lessThan">
      <formula>0</formula>
    </cfRule>
  </conditionalFormatting>
  <conditionalFormatting sqref="R84:R91">
    <cfRule type="cellIs" dxfId="3703" priority="457" operator="lessThan">
      <formula>0.8</formula>
    </cfRule>
    <cfRule type="cellIs" dxfId="3702" priority="458" operator="greaterThan">
      <formula>1</formula>
    </cfRule>
  </conditionalFormatting>
  <conditionalFormatting sqref="R84:R91">
    <cfRule type="cellIs" dxfId="3701" priority="455" operator="greaterThan">
      <formula>1</formula>
    </cfRule>
    <cfRule type="cellIs" dxfId="3700" priority="456" operator="lessThan">
      <formula>0.8</formula>
    </cfRule>
  </conditionalFormatting>
  <conditionalFormatting sqref="P84:P91">
    <cfRule type="cellIs" dxfId="3699" priority="454" operator="greaterThan">
      <formula>0</formula>
    </cfRule>
  </conditionalFormatting>
  <conditionalFormatting sqref="Q84:Q91">
    <cfRule type="cellIs" dxfId="3698" priority="453" operator="lessThan">
      <formula>0</formula>
    </cfRule>
  </conditionalFormatting>
  <conditionalFormatting sqref="R84:R91">
    <cfRule type="cellIs" dxfId="3697" priority="451" operator="lessThan">
      <formula>0.8</formula>
    </cfRule>
    <cfRule type="cellIs" dxfId="3696" priority="452" operator="greaterThan">
      <formula>1</formula>
    </cfRule>
  </conditionalFormatting>
  <conditionalFormatting sqref="R84:R91">
    <cfRule type="cellIs" dxfId="3695" priority="449" operator="greaterThan">
      <formula>1</formula>
    </cfRule>
    <cfRule type="cellIs" dxfId="3694" priority="450" operator="lessThan">
      <formula>0.8</formula>
    </cfRule>
  </conditionalFormatting>
  <conditionalFormatting sqref="P84:P91">
    <cfRule type="cellIs" dxfId="3693" priority="448" operator="greaterThan">
      <formula>0</formula>
    </cfRule>
  </conditionalFormatting>
  <conditionalFormatting sqref="P84:P91">
    <cfRule type="cellIs" dxfId="3692" priority="442" operator="greaterThan">
      <formula>0</formula>
    </cfRule>
  </conditionalFormatting>
  <conditionalFormatting sqref="Q84:Q91">
    <cfRule type="cellIs" dxfId="3691" priority="447" operator="lessThan">
      <formula>0</formula>
    </cfRule>
  </conditionalFormatting>
  <conditionalFormatting sqref="R84:R91">
    <cfRule type="cellIs" dxfId="3690" priority="445" operator="lessThan">
      <formula>0.8</formula>
    </cfRule>
    <cfRule type="cellIs" dxfId="3689" priority="446" operator="greaterThan">
      <formula>1</formula>
    </cfRule>
  </conditionalFormatting>
  <conditionalFormatting sqref="R84:R91">
    <cfRule type="cellIs" dxfId="3688" priority="443" operator="greaterThan">
      <formula>1</formula>
    </cfRule>
    <cfRule type="cellIs" dxfId="3687" priority="444" operator="lessThan">
      <formula>0.8</formula>
    </cfRule>
  </conditionalFormatting>
  <conditionalFormatting sqref="P84:P91">
    <cfRule type="cellIs" dxfId="3686" priority="436" operator="greaterThan">
      <formula>0</formula>
    </cfRule>
  </conditionalFormatting>
  <conditionalFormatting sqref="Q84:Q91">
    <cfRule type="cellIs" dxfId="3685" priority="441" operator="lessThan">
      <formula>0</formula>
    </cfRule>
  </conditionalFormatting>
  <conditionalFormatting sqref="R84:R91">
    <cfRule type="cellIs" dxfId="3684" priority="439" operator="lessThan">
      <formula>0.8</formula>
    </cfRule>
    <cfRule type="cellIs" dxfId="3683" priority="440" operator="greaterThan">
      <formula>1</formula>
    </cfRule>
  </conditionalFormatting>
  <conditionalFormatting sqref="R84:R91">
    <cfRule type="cellIs" dxfId="3682" priority="437" operator="greaterThan">
      <formula>1</formula>
    </cfRule>
    <cfRule type="cellIs" dxfId="3681" priority="438" operator="lessThan">
      <formula>0.8</formula>
    </cfRule>
  </conditionalFormatting>
  <conditionalFormatting sqref="R84:R91">
    <cfRule type="cellIs" dxfId="3680" priority="433" operator="lessThan">
      <formula>0.8</formula>
    </cfRule>
    <cfRule type="cellIs" dxfId="3679" priority="434" operator="greaterThan">
      <formula>1</formula>
    </cfRule>
  </conditionalFormatting>
  <conditionalFormatting sqref="R84:R91">
    <cfRule type="cellIs" dxfId="3678" priority="431" operator="greaterThan">
      <formula>1</formula>
    </cfRule>
    <cfRule type="cellIs" dxfId="3677" priority="432" operator="lessThan">
      <formula>0.8</formula>
    </cfRule>
  </conditionalFormatting>
  <conditionalFormatting sqref="P84:P91">
    <cfRule type="cellIs" dxfId="3676" priority="430" operator="greaterThan">
      <formula>0</formula>
    </cfRule>
  </conditionalFormatting>
  <conditionalFormatting sqref="Q84:Q91">
    <cfRule type="cellIs" dxfId="3675" priority="435" operator="lessThan">
      <formula>0</formula>
    </cfRule>
  </conditionalFormatting>
  <conditionalFormatting sqref="Q84:Q91">
    <cfRule type="cellIs" dxfId="3674" priority="424" operator="lessThan">
      <formula>0</formula>
    </cfRule>
  </conditionalFormatting>
  <conditionalFormatting sqref="P84:P91">
    <cfRule type="cellIs" dxfId="3673" priority="425" operator="greaterThan">
      <formula>0</formula>
    </cfRule>
  </conditionalFormatting>
  <conditionalFormatting sqref="R84:R91">
    <cfRule type="cellIs" dxfId="3672" priority="428" operator="lessThan">
      <formula>0.8</formula>
    </cfRule>
    <cfRule type="cellIs" dxfId="3671" priority="429" operator="greaterThan">
      <formula>1</formula>
    </cfRule>
  </conditionalFormatting>
  <conditionalFormatting sqref="R84:R91">
    <cfRule type="cellIs" dxfId="3670" priority="426" operator="greaterThan">
      <formula>1</formula>
    </cfRule>
    <cfRule type="cellIs" dxfId="3669" priority="427" operator="lessThan">
      <formula>0.8</formula>
    </cfRule>
  </conditionalFormatting>
  <conditionalFormatting sqref="Q84:Q91">
    <cfRule type="cellIs" dxfId="3668" priority="418" operator="lessThan">
      <formula>0</formula>
    </cfRule>
  </conditionalFormatting>
  <conditionalFormatting sqref="R84:R91">
    <cfRule type="cellIs" dxfId="3667" priority="422" operator="lessThan">
      <formula>0.8</formula>
    </cfRule>
    <cfRule type="cellIs" dxfId="3666" priority="423" operator="greaterThan">
      <formula>1</formula>
    </cfRule>
  </conditionalFormatting>
  <conditionalFormatting sqref="R84:R91">
    <cfRule type="cellIs" dxfId="3665" priority="420" operator="greaterThan">
      <formula>1</formula>
    </cfRule>
    <cfRule type="cellIs" dxfId="3664" priority="421" operator="lessThan">
      <formula>0.8</formula>
    </cfRule>
  </conditionalFormatting>
  <conditionalFormatting sqref="P84:P91">
    <cfRule type="cellIs" dxfId="3663" priority="419" operator="greaterThan">
      <formula>0</formula>
    </cfRule>
  </conditionalFormatting>
  <conditionalFormatting sqref="Q84:Q91">
    <cfRule type="cellIs" dxfId="3662" priority="417" operator="lessThan">
      <formula>0</formula>
    </cfRule>
  </conditionalFormatting>
  <conditionalFormatting sqref="R84:R91">
    <cfRule type="cellIs" dxfId="3661" priority="415" operator="lessThan">
      <formula>0.8</formula>
    </cfRule>
    <cfRule type="cellIs" dxfId="3660" priority="416" operator="greaterThan">
      <formula>1</formula>
    </cfRule>
  </conditionalFormatting>
  <conditionalFormatting sqref="R84:R91">
    <cfRule type="cellIs" dxfId="3659" priority="413" operator="greaterThan">
      <formula>1</formula>
    </cfRule>
    <cfRule type="cellIs" dxfId="3658" priority="414" operator="lessThan">
      <formula>0.8</formula>
    </cfRule>
  </conditionalFormatting>
  <conditionalFormatting sqref="P84:P91">
    <cfRule type="cellIs" dxfId="3657" priority="412" operator="greaterThan">
      <formula>0</formula>
    </cfRule>
  </conditionalFormatting>
  <conditionalFormatting sqref="Q84:Q91">
    <cfRule type="cellIs" dxfId="3656" priority="411" operator="lessThan">
      <formula>0</formula>
    </cfRule>
  </conditionalFormatting>
  <conditionalFormatting sqref="R84:R91">
    <cfRule type="cellIs" dxfId="3655" priority="409" operator="lessThan">
      <formula>0.8</formula>
    </cfRule>
    <cfRule type="cellIs" dxfId="3654" priority="410" operator="greaterThan">
      <formula>1</formula>
    </cfRule>
  </conditionalFormatting>
  <conditionalFormatting sqref="R84:R91">
    <cfRule type="cellIs" dxfId="3653" priority="407" operator="greaterThan">
      <formula>1</formula>
    </cfRule>
    <cfRule type="cellIs" dxfId="3652" priority="408" operator="lessThan">
      <formula>0.8</formula>
    </cfRule>
  </conditionalFormatting>
  <conditionalFormatting sqref="P84:P91">
    <cfRule type="cellIs" dxfId="3651" priority="406" operator="greaterThan">
      <formula>0</formula>
    </cfRule>
  </conditionalFormatting>
  <conditionalFormatting sqref="Q84:Q91">
    <cfRule type="cellIs" dxfId="3650" priority="405" operator="lessThan">
      <formula>0</formula>
    </cfRule>
  </conditionalFormatting>
  <conditionalFormatting sqref="R84:R91">
    <cfRule type="cellIs" dxfId="3649" priority="403" operator="lessThan">
      <formula>0.8</formula>
    </cfRule>
    <cfRule type="cellIs" dxfId="3648" priority="404" operator="greaterThan">
      <formula>1</formula>
    </cfRule>
  </conditionalFormatting>
  <conditionalFormatting sqref="R84:R91">
    <cfRule type="cellIs" dxfId="3647" priority="401" operator="greaterThan">
      <formula>1</formula>
    </cfRule>
    <cfRule type="cellIs" dxfId="3646" priority="402" operator="lessThan">
      <formula>0.8</formula>
    </cfRule>
  </conditionalFormatting>
  <conditionalFormatting sqref="P84:P91">
    <cfRule type="cellIs" dxfId="3645" priority="400" operator="greaterThan">
      <formula>0</formula>
    </cfRule>
  </conditionalFormatting>
  <conditionalFormatting sqref="Q84:Q91">
    <cfRule type="cellIs" dxfId="3644" priority="399" operator="lessThan">
      <formula>0</formula>
    </cfRule>
  </conditionalFormatting>
  <conditionalFormatting sqref="R84:R91">
    <cfRule type="cellIs" dxfId="3643" priority="397" operator="lessThan">
      <formula>0.8</formula>
    </cfRule>
    <cfRule type="cellIs" dxfId="3642" priority="398" operator="greaterThan">
      <formula>1</formula>
    </cfRule>
  </conditionalFormatting>
  <conditionalFormatting sqref="R84:R91">
    <cfRule type="cellIs" dxfId="3641" priority="395" operator="greaterThan">
      <formula>1</formula>
    </cfRule>
    <cfRule type="cellIs" dxfId="3640" priority="396" operator="lessThan">
      <formula>0.8</formula>
    </cfRule>
  </conditionalFormatting>
  <conditionalFormatting sqref="P84:P91">
    <cfRule type="cellIs" dxfId="3639" priority="394" operator="greaterThan">
      <formula>0</formula>
    </cfRule>
  </conditionalFormatting>
  <conditionalFormatting sqref="Q84:Q91">
    <cfRule type="cellIs" dxfId="3638" priority="393" operator="lessThan">
      <formula>0</formula>
    </cfRule>
  </conditionalFormatting>
  <conditionalFormatting sqref="R84:R91">
    <cfRule type="cellIs" dxfId="3637" priority="391" operator="lessThan">
      <formula>0.8</formula>
    </cfRule>
    <cfRule type="cellIs" dxfId="3636" priority="392" operator="greaterThan">
      <formula>1</formula>
    </cfRule>
  </conditionalFormatting>
  <conditionalFormatting sqref="R84:R91">
    <cfRule type="cellIs" dxfId="3635" priority="389" operator="greaterThan">
      <formula>1</formula>
    </cfRule>
    <cfRule type="cellIs" dxfId="3634" priority="390" operator="lessThan">
      <formula>0.8</formula>
    </cfRule>
  </conditionalFormatting>
  <conditionalFormatting sqref="P84:P91">
    <cfRule type="cellIs" dxfId="3633" priority="388" operator="greaterThan">
      <formula>0</formula>
    </cfRule>
  </conditionalFormatting>
  <conditionalFormatting sqref="Q84:Q91">
    <cfRule type="cellIs" dxfId="3632" priority="387" operator="lessThan">
      <formula>0</formula>
    </cfRule>
  </conditionalFormatting>
  <conditionalFormatting sqref="R84:R91">
    <cfRule type="cellIs" dxfId="3631" priority="385" operator="lessThan">
      <formula>0.8</formula>
    </cfRule>
    <cfRule type="cellIs" dxfId="3630" priority="386" operator="greaterThan">
      <formula>1</formula>
    </cfRule>
  </conditionalFormatting>
  <conditionalFormatting sqref="R84:R91">
    <cfRule type="cellIs" dxfId="3629" priority="383" operator="greaterThan">
      <formula>1</formula>
    </cfRule>
    <cfRule type="cellIs" dxfId="3628" priority="384" operator="lessThan">
      <formula>0.8</formula>
    </cfRule>
  </conditionalFormatting>
  <conditionalFormatting sqref="P84:P91">
    <cfRule type="cellIs" dxfId="3627" priority="382" operator="greaterThan">
      <formula>0</formula>
    </cfRule>
  </conditionalFormatting>
  <conditionalFormatting sqref="Q84:Q91">
    <cfRule type="cellIs" dxfId="3626" priority="381" operator="lessThan">
      <formula>0</formula>
    </cfRule>
  </conditionalFormatting>
  <conditionalFormatting sqref="R84:R91">
    <cfRule type="cellIs" dxfId="3625" priority="379" operator="lessThan">
      <formula>0.8</formula>
    </cfRule>
    <cfRule type="cellIs" dxfId="3624" priority="380" operator="greaterThan">
      <formula>1</formula>
    </cfRule>
  </conditionalFormatting>
  <conditionalFormatting sqref="R84:R91">
    <cfRule type="cellIs" dxfId="3623" priority="377" operator="greaterThan">
      <formula>1</formula>
    </cfRule>
    <cfRule type="cellIs" dxfId="3622" priority="378" operator="lessThan">
      <formula>0.8</formula>
    </cfRule>
  </conditionalFormatting>
  <conditionalFormatting sqref="P84:P91">
    <cfRule type="cellIs" dxfId="3621" priority="376" operator="greaterThan">
      <formula>0</formula>
    </cfRule>
  </conditionalFormatting>
  <conditionalFormatting sqref="P84:P91">
    <cfRule type="cellIs" dxfId="3620" priority="370" operator="greaterThan">
      <formula>0</formula>
    </cfRule>
  </conditionalFormatting>
  <conditionalFormatting sqref="Q84:Q91">
    <cfRule type="cellIs" dxfId="3619" priority="375" operator="lessThan">
      <formula>0</formula>
    </cfRule>
  </conditionalFormatting>
  <conditionalFormatting sqref="R84:R91">
    <cfRule type="cellIs" dxfId="3618" priority="373" operator="lessThan">
      <formula>0.8</formula>
    </cfRule>
    <cfRule type="cellIs" dxfId="3617" priority="374" operator="greaterThan">
      <formula>1</formula>
    </cfRule>
  </conditionalFormatting>
  <conditionalFormatting sqref="R84:R91">
    <cfRule type="cellIs" dxfId="3616" priority="371" operator="greaterThan">
      <formula>1</formula>
    </cfRule>
    <cfRule type="cellIs" dxfId="3615" priority="372" operator="lessThan">
      <formula>0.8</formula>
    </cfRule>
  </conditionalFormatting>
  <conditionalFormatting sqref="P84:P91">
    <cfRule type="cellIs" dxfId="3614" priority="364" operator="greaterThan">
      <formula>0</formula>
    </cfRule>
  </conditionalFormatting>
  <conditionalFormatting sqref="Q84:Q91">
    <cfRule type="cellIs" dxfId="3613" priority="369" operator="lessThan">
      <formula>0</formula>
    </cfRule>
  </conditionalFormatting>
  <conditionalFormatting sqref="R84:R91">
    <cfRule type="cellIs" dxfId="3612" priority="367" operator="lessThan">
      <formula>0.8</formula>
    </cfRule>
    <cfRule type="cellIs" dxfId="3611" priority="368" operator="greaterThan">
      <formula>1</formula>
    </cfRule>
  </conditionalFormatting>
  <conditionalFormatting sqref="R84:R91">
    <cfRule type="cellIs" dxfId="3610" priority="365" operator="greaterThan">
      <formula>1</formula>
    </cfRule>
    <cfRule type="cellIs" dxfId="3609" priority="366" operator="lessThan">
      <formula>0.8</formula>
    </cfRule>
  </conditionalFormatting>
  <conditionalFormatting sqref="R84:R91">
    <cfRule type="cellIs" dxfId="3608" priority="361" operator="lessThan">
      <formula>0.8</formula>
    </cfRule>
    <cfRule type="cellIs" dxfId="3607" priority="362" operator="greaterThan">
      <formula>1</formula>
    </cfRule>
  </conditionalFormatting>
  <conditionalFormatting sqref="R84:R91">
    <cfRule type="cellIs" dxfId="3606" priority="359" operator="greaterThan">
      <formula>1</formula>
    </cfRule>
    <cfRule type="cellIs" dxfId="3605" priority="360" operator="lessThan">
      <formula>0.8</formula>
    </cfRule>
  </conditionalFormatting>
  <conditionalFormatting sqref="P84:P91">
    <cfRule type="cellIs" dxfId="3604" priority="358" operator="greaterThan">
      <formula>0</formula>
    </cfRule>
  </conditionalFormatting>
  <conditionalFormatting sqref="Q84:Q91">
    <cfRule type="cellIs" dxfId="3603" priority="363" operator="lessThan">
      <formula>0</formula>
    </cfRule>
  </conditionalFormatting>
  <conditionalFormatting sqref="Q84:Q91">
    <cfRule type="cellIs" dxfId="3602" priority="357" operator="lessThan">
      <formula>0</formula>
    </cfRule>
  </conditionalFormatting>
  <conditionalFormatting sqref="R84:R91">
    <cfRule type="cellIs" dxfId="3601" priority="355" operator="lessThan">
      <formula>0.8</formula>
    </cfRule>
    <cfRule type="cellIs" dxfId="3600" priority="356" operator="greaterThan">
      <formula>1</formula>
    </cfRule>
  </conditionalFormatting>
  <conditionalFormatting sqref="R84:R91">
    <cfRule type="cellIs" dxfId="3599" priority="353" operator="greaterThan">
      <formula>1</formula>
    </cfRule>
    <cfRule type="cellIs" dxfId="3598" priority="354" operator="lessThan">
      <formula>0.8</formula>
    </cfRule>
  </conditionalFormatting>
  <conditionalFormatting sqref="P84:P91">
    <cfRule type="cellIs" dxfId="3597" priority="352" operator="greaterThan">
      <formula>0</formula>
    </cfRule>
  </conditionalFormatting>
  <conditionalFormatting sqref="P84:P91">
    <cfRule type="cellIs" dxfId="3596" priority="346" operator="greaterThan">
      <formula>0</formula>
    </cfRule>
  </conditionalFormatting>
  <conditionalFormatting sqref="Q84:Q91">
    <cfRule type="cellIs" dxfId="3595" priority="351" operator="lessThan">
      <formula>0</formula>
    </cfRule>
  </conditionalFormatting>
  <conditionalFormatting sqref="R84:R91">
    <cfRule type="cellIs" dxfId="3594" priority="349" operator="lessThan">
      <formula>0.8</formula>
    </cfRule>
    <cfRule type="cellIs" dxfId="3593" priority="350" operator="greaterThan">
      <formula>1</formula>
    </cfRule>
  </conditionalFormatting>
  <conditionalFormatting sqref="R84:R91">
    <cfRule type="cellIs" dxfId="3592" priority="347" operator="greaterThan">
      <formula>1</formula>
    </cfRule>
    <cfRule type="cellIs" dxfId="3591" priority="348" operator="lessThan">
      <formula>0.8</formula>
    </cfRule>
  </conditionalFormatting>
  <conditionalFormatting sqref="P84:P91">
    <cfRule type="cellIs" dxfId="3590" priority="340" operator="greaterThan">
      <formula>0</formula>
    </cfRule>
  </conditionalFormatting>
  <conditionalFormatting sqref="Q84:Q91">
    <cfRule type="cellIs" dxfId="3589" priority="345" operator="lessThan">
      <formula>0</formula>
    </cfRule>
  </conditionalFormatting>
  <conditionalFormatting sqref="R84:R91">
    <cfRule type="cellIs" dxfId="3588" priority="343" operator="lessThan">
      <formula>0.8</formula>
    </cfRule>
    <cfRule type="cellIs" dxfId="3587" priority="344" operator="greaterThan">
      <formula>1</formula>
    </cfRule>
  </conditionalFormatting>
  <conditionalFormatting sqref="R84:R91">
    <cfRule type="cellIs" dxfId="3586" priority="341" operator="greaterThan">
      <formula>1</formula>
    </cfRule>
    <cfRule type="cellIs" dxfId="3585" priority="342" operator="lessThan">
      <formula>0.8</formula>
    </cfRule>
  </conditionalFormatting>
  <conditionalFormatting sqref="R84:R91">
    <cfRule type="cellIs" dxfId="3584" priority="337" operator="lessThan">
      <formula>0.8</formula>
    </cfRule>
    <cfRule type="cellIs" dxfId="3583" priority="338" operator="greaterThan">
      <formula>1</formula>
    </cfRule>
  </conditionalFormatting>
  <conditionalFormatting sqref="R84:R91">
    <cfRule type="cellIs" dxfId="3582" priority="335" operator="greaterThan">
      <formula>1</formula>
    </cfRule>
    <cfRule type="cellIs" dxfId="3581" priority="336" operator="lessThan">
      <formula>0.8</formula>
    </cfRule>
  </conditionalFormatting>
  <conditionalFormatting sqref="P84:P91">
    <cfRule type="cellIs" dxfId="3580" priority="334" operator="greaterThan">
      <formula>0</formula>
    </cfRule>
  </conditionalFormatting>
  <conditionalFormatting sqref="Q84:Q91">
    <cfRule type="cellIs" dxfId="3579" priority="339" operator="lessThan">
      <formula>0</formula>
    </cfRule>
  </conditionalFormatting>
  <conditionalFormatting sqref="P84:P91">
    <cfRule type="cellIs" dxfId="3578" priority="328" operator="greaterThan">
      <formula>0</formula>
    </cfRule>
  </conditionalFormatting>
  <conditionalFormatting sqref="Q84:Q91">
    <cfRule type="cellIs" dxfId="3577" priority="333" operator="lessThan">
      <formula>0</formula>
    </cfRule>
  </conditionalFormatting>
  <conditionalFormatting sqref="R84:R91">
    <cfRule type="cellIs" dxfId="3576" priority="331" operator="lessThan">
      <formula>0.8</formula>
    </cfRule>
    <cfRule type="cellIs" dxfId="3575" priority="332" operator="greaterThan">
      <formula>1</formula>
    </cfRule>
  </conditionalFormatting>
  <conditionalFormatting sqref="R84:R91">
    <cfRule type="cellIs" dxfId="3574" priority="329" operator="greaterThan">
      <formula>1</formula>
    </cfRule>
    <cfRule type="cellIs" dxfId="3573" priority="330" operator="lessThan">
      <formula>0.8</formula>
    </cfRule>
  </conditionalFormatting>
  <conditionalFormatting sqref="R84:R91">
    <cfRule type="cellIs" dxfId="3572" priority="325" operator="lessThan">
      <formula>0.8</formula>
    </cfRule>
    <cfRule type="cellIs" dxfId="3571" priority="326" operator="greaterThan">
      <formula>1</formula>
    </cfRule>
  </conditionalFormatting>
  <conditionalFormatting sqref="R84:R91">
    <cfRule type="cellIs" dxfId="3570" priority="323" operator="greaterThan">
      <formula>1</formula>
    </cfRule>
    <cfRule type="cellIs" dxfId="3569" priority="324" operator="lessThan">
      <formula>0.8</formula>
    </cfRule>
  </conditionalFormatting>
  <conditionalFormatting sqref="P84:P91">
    <cfRule type="cellIs" dxfId="3568" priority="322" operator="greaterThan">
      <formula>0</formula>
    </cfRule>
  </conditionalFormatting>
  <conditionalFormatting sqref="Q84:Q91">
    <cfRule type="cellIs" dxfId="3567" priority="327" operator="lessThan">
      <formula>0</formula>
    </cfRule>
  </conditionalFormatting>
  <conditionalFormatting sqref="R84:R91">
    <cfRule type="cellIs" dxfId="3566" priority="319" operator="lessThan">
      <formula>0.8</formula>
    </cfRule>
    <cfRule type="cellIs" dxfId="3565" priority="320" operator="greaterThan">
      <formula>1</formula>
    </cfRule>
  </conditionalFormatting>
  <conditionalFormatting sqref="R84:R91">
    <cfRule type="cellIs" dxfId="3564" priority="317" operator="greaterThan">
      <formula>1</formula>
    </cfRule>
    <cfRule type="cellIs" dxfId="3563" priority="318" operator="lessThan">
      <formula>0.8</formula>
    </cfRule>
  </conditionalFormatting>
  <conditionalFormatting sqref="P84:P91">
    <cfRule type="cellIs" dxfId="3562" priority="316" operator="greaterThan">
      <formula>0</formula>
    </cfRule>
  </conditionalFormatting>
  <conditionalFormatting sqref="Q84:Q91">
    <cfRule type="cellIs" dxfId="3561" priority="321" operator="lessThan">
      <formula>0</formula>
    </cfRule>
  </conditionalFormatting>
  <conditionalFormatting sqref="Q84:Q91">
    <cfRule type="cellIs" dxfId="3560" priority="315" operator="lessThan">
      <formula>0</formula>
    </cfRule>
  </conditionalFormatting>
  <conditionalFormatting sqref="R84:R91">
    <cfRule type="cellIs" dxfId="3559" priority="313" operator="lessThan">
      <formula>0.8</formula>
    </cfRule>
    <cfRule type="cellIs" dxfId="3558" priority="314" operator="greaterThan">
      <formula>1</formula>
    </cfRule>
  </conditionalFormatting>
  <conditionalFormatting sqref="R84:R91">
    <cfRule type="cellIs" dxfId="3557" priority="311" operator="greaterThan">
      <formula>1</formula>
    </cfRule>
    <cfRule type="cellIs" dxfId="3556" priority="312" operator="lessThan">
      <formula>0.8</formula>
    </cfRule>
  </conditionalFormatting>
  <conditionalFormatting sqref="P84:P91">
    <cfRule type="cellIs" dxfId="3555" priority="310" operator="greaterThan">
      <formula>0</formula>
    </cfRule>
  </conditionalFormatting>
  <conditionalFormatting sqref="Q84:Q91">
    <cfRule type="cellIs" dxfId="3554" priority="304" operator="lessThan">
      <formula>0</formula>
    </cfRule>
  </conditionalFormatting>
  <conditionalFormatting sqref="R84:R91">
    <cfRule type="cellIs" dxfId="3553" priority="308" operator="lessThan">
      <formula>0.8</formula>
    </cfRule>
    <cfRule type="cellIs" dxfId="3552" priority="309" operator="greaterThan">
      <formula>1</formula>
    </cfRule>
  </conditionalFormatting>
  <conditionalFormatting sqref="R84:R91">
    <cfRule type="cellIs" dxfId="3551" priority="306" operator="greaterThan">
      <formula>1</formula>
    </cfRule>
    <cfRule type="cellIs" dxfId="3550" priority="307" operator="lessThan">
      <formula>0.8</formula>
    </cfRule>
  </conditionalFormatting>
  <conditionalFormatting sqref="P84:P91">
    <cfRule type="cellIs" dxfId="3549" priority="305" operator="greaterThan">
      <formula>0</formula>
    </cfRule>
  </conditionalFormatting>
  <conditionalFormatting sqref="Q84:Q91">
    <cfRule type="cellIs" dxfId="3548" priority="303" operator="lessThan">
      <formula>0</formula>
    </cfRule>
  </conditionalFormatting>
  <conditionalFormatting sqref="R84:R91">
    <cfRule type="cellIs" dxfId="3547" priority="301" operator="lessThan">
      <formula>0.8</formula>
    </cfRule>
    <cfRule type="cellIs" dxfId="3546" priority="302" operator="greaterThan">
      <formula>1</formula>
    </cfRule>
  </conditionalFormatting>
  <conditionalFormatting sqref="R84:R91">
    <cfRule type="cellIs" dxfId="3545" priority="299" operator="greaterThan">
      <formula>1</formula>
    </cfRule>
    <cfRule type="cellIs" dxfId="3544" priority="300" operator="lessThan">
      <formula>0.8</formula>
    </cfRule>
  </conditionalFormatting>
  <conditionalFormatting sqref="P84:P91">
    <cfRule type="cellIs" dxfId="3543" priority="298" operator="greaterThan">
      <formula>0</formula>
    </cfRule>
  </conditionalFormatting>
  <conditionalFormatting sqref="Q84:Q91">
    <cfRule type="cellIs" dxfId="3542" priority="297" operator="lessThan">
      <formula>0</formula>
    </cfRule>
  </conditionalFormatting>
  <conditionalFormatting sqref="R84:R91">
    <cfRule type="cellIs" dxfId="3541" priority="295" operator="lessThan">
      <formula>0.8</formula>
    </cfRule>
    <cfRule type="cellIs" dxfId="3540" priority="296" operator="greaterThan">
      <formula>1</formula>
    </cfRule>
  </conditionalFormatting>
  <conditionalFormatting sqref="R84:R91">
    <cfRule type="cellIs" dxfId="3539" priority="293" operator="greaterThan">
      <formula>1</formula>
    </cfRule>
    <cfRule type="cellIs" dxfId="3538" priority="294" operator="lessThan">
      <formula>0.8</formula>
    </cfRule>
  </conditionalFormatting>
  <conditionalFormatting sqref="P84:P91">
    <cfRule type="cellIs" dxfId="3537" priority="292" operator="greaterThan">
      <formula>0</formula>
    </cfRule>
  </conditionalFormatting>
  <conditionalFormatting sqref="Q84:Q91">
    <cfRule type="cellIs" dxfId="3536" priority="291" operator="lessThan">
      <formula>0</formula>
    </cfRule>
  </conditionalFormatting>
  <conditionalFormatting sqref="R84:R91">
    <cfRule type="cellIs" dxfId="3535" priority="289" operator="lessThan">
      <formula>0.8</formula>
    </cfRule>
    <cfRule type="cellIs" dxfId="3534" priority="290" operator="greaterThan">
      <formula>1</formula>
    </cfRule>
  </conditionalFormatting>
  <conditionalFormatting sqref="R84:R91">
    <cfRule type="cellIs" dxfId="3533" priority="287" operator="greaterThan">
      <formula>1</formula>
    </cfRule>
    <cfRule type="cellIs" dxfId="3532" priority="288" operator="lessThan">
      <formula>0.8</formula>
    </cfRule>
  </conditionalFormatting>
  <conditionalFormatting sqref="P84:P91">
    <cfRule type="cellIs" dxfId="3531" priority="286" operator="greaterThan">
      <formula>0</formula>
    </cfRule>
  </conditionalFormatting>
  <conditionalFormatting sqref="Q84:Q91">
    <cfRule type="cellIs" dxfId="3530" priority="285" operator="lessThan">
      <formula>0</formula>
    </cfRule>
  </conditionalFormatting>
  <conditionalFormatting sqref="R84:R91">
    <cfRule type="cellIs" dxfId="3529" priority="283" operator="lessThan">
      <formula>0.8</formula>
    </cfRule>
    <cfRule type="cellIs" dxfId="3528" priority="284" operator="greaterThan">
      <formula>1</formula>
    </cfRule>
  </conditionalFormatting>
  <conditionalFormatting sqref="R84:R91">
    <cfRule type="cellIs" dxfId="3527" priority="281" operator="greaterThan">
      <formula>1</formula>
    </cfRule>
    <cfRule type="cellIs" dxfId="3526" priority="282" operator="lessThan">
      <formula>0.8</formula>
    </cfRule>
  </conditionalFormatting>
  <conditionalFormatting sqref="P84:P91">
    <cfRule type="cellIs" dxfId="3525" priority="280" operator="greaterThan">
      <formula>0</formula>
    </cfRule>
  </conditionalFormatting>
  <conditionalFormatting sqref="Q84:Q91">
    <cfRule type="cellIs" dxfId="3524" priority="279" operator="lessThan">
      <formula>0</formula>
    </cfRule>
  </conditionalFormatting>
  <conditionalFormatting sqref="R84:R91">
    <cfRule type="cellIs" dxfId="3523" priority="277" operator="lessThan">
      <formula>0.8</formula>
    </cfRule>
    <cfRule type="cellIs" dxfId="3522" priority="278" operator="greaterThan">
      <formula>1</formula>
    </cfRule>
  </conditionalFormatting>
  <conditionalFormatting sqref="R84:R91">
    <cfRule type="cellIs" dxfId="3521" priority="275" operator="greaterThan">
      <formula>1</formula>
    </cfRule>
    <cfRule type="cellIs" dxfId="3520" priority="276" operator="lessThan">
      <formula>0.8</formula>
    </cfRule>
  </conditionalFormatting>
  <conditionalFormatting sqref="P84:P91">
    <cfRule type="cellIs" dxfId="3519" priority="274" operator="greaterThan">
      <formula>0</formula>
    </cfRule>
  </conditionalFormatting>
  <conditionalFormatting sqref="P84:P91">
    <cfRule type="cellIs" dxfId="3518" priority="268" operator="greaterThan">
      <formula>0</formula>
    </cfRule>
  </conditionalFormatting>
  <conditionalFormatting sqref="Q84:Q91">
    <cfRule type="cellIs" dxfId="3517" priority="273" operator="lessThan">
      <formula>0</formula>
    </cfRule>
  </conditionalFormatting>
  <conditionalFormatting sqref="R84:R91">
    <cfRule type="cellIs" dxfId="3516" priority="271" operator="lessThan">
      <formula>0.8</formula>
    </cfRule>
    <cfRule type="cellIs" dxfId="3515" priority="272" operator="greaterThan">
      <formula>1</formula>
    </cfRule>
  </conditionalFormatting>
  <conditionalFormatting sqref="R84:R91">
    <cfRule type="cellIs" dxfId="3514" priority="269" operator="greaterThan">
      <formula>1</formula>
    </cfRule>
    <cfRule type="cellIs" dxfId="3513" priority="270" operator="lessThan">
      <formula>0.8</formula>
    </cfRule>
  </conditionalFormatting>
  <conditionalFormatting sqref="P84:P91">
    <cfRule type="cellIs" dxfId="3512" priority="262" operator="greaterThan">
      <formula>0</formula>
    </cfRule>
  </conditionalFormatting>
  <conditionalFormatting sqref="Q84:Q91">
    <cfRule type="cellIs" dxfId="3511" priority="267" operator="lessThan">
      <formula>0</formula>
    </cfRule>
  </conditionalFormatting>
  <conditionalFormatting sqref="R84:R91">
    <cfRule type="cellIs" dxfId="3510" priority="265" operator="lessThan">
      <formula>0.8</formula>
    </cfRule>
    <cfRule type="cellIs" dxfId="3509" priority="266" operator="greaterThan">
      <formula>1</formula>
    </cfRule>
  </conditionalFormatting>
  <conditionalFormatting sqref="R84:R91">
    <cfRule type="cellIs" dxfId="3508" priority="263" operator="greaterThan">
      <formula>1</formula>
    </cfRule>
    <cfRule type="cellIs" dxfId="3507" priority="264" operator="lessThan">
      <formula>0.8</formula>
    </cfRule>
  </conditionalFormatting>
  <conditionalFormatting sqref="R84:R91">
    <cfRule type="cellIs" dxfId="3506" priority="259" operator="lessThan">
      <formula>0.8</formula>
    </cfRule>
    <cfRule type="cellIs" dxfId="3505" priority="260" operator="greaterThan">
      <formula>1</formula>
    </cfRule>
  </conditionalFormatting>
  <conditionalFormatting sqref="R84:R91">
    <cfRule type="cellIs" dxfId="3504" priority="257" operator="greaterThan">
      <formula>1</formula>
    </cfRule>
    <cfRule type="cellIs" dxfId="3503" priority="258" operator="lessThan">
      <formula>0.8</formula>
    </cfRule>
  </conditionalFormatting>
  <conditionalFormatting sqref="P84:P91">
    <cfRule type="cellIs" dxfId="3502" priority="256" operator="greaterThan">
      <formula>0</formula>
    </cfRule>
  </conditionalFormatting>
  <conditionalFormatting sqref="Q84:Q91">
    <cfRule type="cellIs" dxfId="3501" priority="261" operator="lessThan">
      <formula>0</formula>
    </cfRule>
  </conditionalFormatting>
  <conditionalFormatting sqref="Q84:Q91">
    <cfRule type="cellIs" dxfId="3500" priority="255" operator="lessThan">
      <formula>0</formula>
    </cfRule>
  </conditionalFormatting>
  <conditionalFormatting sqref="R84:R91">
    <cfRule type="cellIs" dxfId="3499" priority="253" operator="lessThan">
      <formula>0.8</formula>
    </cfRule>
    <cfRule type="cellIs" dxfId="3498" priority="254" operator="greaterThan">
      <formula>1</formula>
    </cfRule>
  </conditionalFormatting>
  <conditionalFormatting sqref="R84:R91">
    <cfRule type="cellIs" dxfId="3497" priority="251" operator="greaterThan">
      <formula>1</formula>
    </cfRule>
    <cfRule type="cellIs" dxfId="3496" priority="252" operator="lessThan">
      <formula>0.8</formula>
    </cfRule>
  </conditionalFormatting>
  <conditionalFormatting sqref="P84:P91">
    <cfRule type="cellIs" dxfId="3495" priority="250" operator="greaterThan">
      <formula>0</formula>
    </cfRule>
  </conditionalFormatting>
  <conditionalFormatting sqref="Q84:Q91">
    <cfRule type="cellIs" dxfId="3494" priority="249" operator="lessThan">
      <formula>0</formula>
    </cfRule>
  </conditionalFormatting>
  <conditionalFormatting sqref="R84:R91">
    <cfRule type="cellIs" dxfId="3493" priority="247" operator="lessThan">
      <formula>0.8</formula>
    </cfRule>
    <cfRule type="cellIs" dxfId="3492" priority="248" operator="greaterThan">
      <formula>1</formula>
    </cfRule>
  </conditionalFormatting>
  <conditionalFormatting sqref="R84:R91">
    <cfRule type="cellIs" dxfId="3491" priority="245" operator="greaterThan">
      <formula>1</formula>
    </cfRule>
    <cfRule type="cellIs" dxfId="3490" priority="246" operator="lessThan">
      <formula>0.8</formula>
    </cfRule>
  </conditionalFormatting>
  <conditionalFormatting sqref="P84:P91">
    <cfRule type="cellIs" dxfId="3489" priority="244" operator="greaterThan">
      <formula>0</formula>
    </cfRule>
  </conditionalFormatting>
  <conditionalFormatting sqref="Q84:Q91">
    <cfRule type="cellIs" dxfId="3488" priority="243" operator="lessThan">
      <formula>0</formula>
    </cfRule>
  </conditionalFormatting>
  <conditionalFormatting sqref="R84:R91">
    <cfRule type="cellIs" dxfId="3487" priority="241" operator="lessThan">
      <formula>0.8</formula>
    </cfRule>
    <cfRule type="cellIs" dxfId="3486" priority="242" operator="greaterThan">
      <formula>1</formula>
    </cfRule>
  </conditionalFormatting>
  <conditionalFormatting sqref="R84:R91">
    <cfRule type="cellIs" dxfId="3485" priority="239" operator="greaterThan">
      <formula>1</formula>
    </cfRule>
    <cfRule type="cellIs" dxfId="3484" priority="240" operator="lessThan">
      <formula>0.8</formula>
    </cfRule>
  </conditionalFormatting>
  <conditionalFormatting sqref="P84:P91">
    <cfRule type="cellIs" dxfId="3483" priority="238" operator="greaterThan">
      <formula>0</formula>
    </cfRule>
  </conditionalFormatting>
  <conditionalFormatting sqref="Q84:Q91">
    <cfRule type="cellIs" dxfId="3482" priority="237" operator="lessThan">
      <formula>0</formula>
    </cfRule>
  </conditionalFormatting>
  <conditionalFormatting sqref="R84:R91">
    <cfRule type="cellIs" dxfId="3481" priority="235" operator="lessThan">
      <formula>0.8</formula>
    </cfRule>
    <cfRule type="cellIs" dxfId="3480" priority="236" operator="greaterThan">
      <formula>1</formula>
    </cfRule>
  </conditionalFormatting>
  <conditionalFormatting sqref="R84:R91">
    <cfRule type="cellIs" dxfId="3479" priority="233" operator="greaterThan">
      <formula>1</formula>
    </cfRule>
    <cfRule type="cellIs" dxfId="3478" priority="234" operator="lessThan">
      <formula>0.8</formula>
    </cfRule>
  </conditionalFormatting>
  <conditionalFormatting sqref="P84:P91">
    <cfRule type="cellIs" dxfId="3477" priority="232" operator="greaterThan">
      <formula>0</formula>
    </cfRule>
  </conditionalFormatting>
  <conditionalFormatting sqref="P84:P91">
    <cfRule type="cellIs" dxfId="3476" priority="226" operator="greaterThan">
      <formula>0</formula>
    </cfRule>
  </conditionalFormatting>
  <conditionalFormatting sqref="Q84:Q91">
    <cfRule type="cellIs" dxfId="3475" priority="231" operator="lessThan">
      <formula>0</formula>
    </cfRule>
  </conditionalFormatting>
  <conditionalFormatting sqref="R84:R91">
    <cfRule type="cellIs" dxfId="3474" priority="229" operator="lessThan">
      <formula>0.8</formula>
    </cfRule>
    <cfRule type="cellIs" dxfId="3473" priority="230" operator="greaterThan">
      <formula>1</formula>
    </cfRule>
  </conditionalFormatting>
  <conditionalFormatting sqref="R84:R91">
    <cfRule type="cellIs" dxfId="3472" priority="227" operator="greaterThan">
      <formula>1</formula>
    </cfRule>
    <cfRule type="cellIs" dxfId="3471" priority="228" operator="lessThan">
      <formula>0.8</formula>
    </cfRule>
  </conditionalFormatting>
  <conditionalFormatting sqref="P84:P91">
    <cfRule type="cellIs" dxfId="3470" priority="220" operator="greaterThan">
      <formula>0</formula>
    </cfRule>
  </conditionalFormatting>
  <conditionalFormatting sqref="Q84:Q91">
    <cfRule type="cellIs" dxfId="3469" priority="225" operator="lessThan">
      <formula>0</formula>
    </cfRule>
  </conditionalFormatting>
  <conditionalFormatting sqref="R84:R91">
    <cfRule type="cellIs" dxfId="3468" priority="223" operator="lessThan">
      <formula>0.8</formula>
    </cfRule>
    <cfRule type="cellIs" dxfId="3467" priority="224" operator="greaterThan">
      <formula>1</formula>
    </cfRule>
  </conditionalFormatting>
  <conditionalFormatting sqref="R84:R91">
    <cfRule type="cellIs" dxfId="3466" priority="221" operator="greaterThan">
      <formula>1</formula>
    </cfRule>
    <cfRule type="cellIs" dxfId="3465" priority="222" operator="lessThan">
      <formula>0.8</formula>
    </cfRule>
  </conditionalFormatting>
  <conditionalFormatting sqref="R84:R91">
    <cfRule type="cellIs" dxfId="3464" priority="217" operator="lessThan">
      <formula>0.8</formula>
    </cfRule>
    <cfRule type="cellIs" dxfId="3463" priority="218" operator="greaterThan">
      <formula>1</formula>
    </cfRule>
  </conditionalFormatting>
  <conditionalFormatting sqref="R84:R91">
    <cfRule type="cellIs" dxfId="3462" priority="215" operator="greaterThan">
      <formula>1</formula>
    </cfRule>
    <cfRule type="cellIs" dxfId="3461" priority="216" operator="lessThan">
      <formula>0.8</formula>
    </cfRule>
  </conditionalFormatting>
  <conditionalFormatting sqref="P84:P91">
    <cfRule type="cellIs" dxfId="3460" priority="214" operator="greaterThan">
      <formula>0</formula>
    </cfRule>
  </conditionalFormatting>
  <conditionalFormatting sqref="Q84:Q91">
    <cfRule type="cellIs" dxfId="3459" priority="219" operator="lessThan">
      <formula>0</formula>
    </cfRule>
  </conditionalFormatting>
  <conditionalFormatting sqref="Q84:Q91">
    <cfRule type="cellIs" dxfId="3458" priority="213" operator="lessThan">
      <formula>0</formula>
    </cfRule>
  </conditionalFormatting>
  <conditionalFormatting sqref="R84:R91">
    <cfRule type="cellIs" dxfId="3457" priority="211" operator="lessThan">
      <formula>0.8</formula>
    </cfRule>
    <cfRule type="cellIs" dxfId="3456" priority="212" operator="greaterThan">
      <formula>1</formula>
    </cfRule>
  </conditionalFormatting>
  <conditionalFormatting sqref="R84:R91">
    <cfRule type="cellIs" dxfId="3455" priority="209" operator="greaterThan">
      <formula>1</formula>
    </cfRule>
    <cfRule type="cellIs" dxfId="3454" priority="210" operator="lessThan">
      <formula>0.8</formula>
    </cfRule>
  </conditionalFormatting>
  <conditionalFormatting sqref="P84:P91">
    <cfRule type="cellIs" dxfId="3453" priority="208" operator="greaterThan">
      <formula>0</formula>
    </cfRule>
  </conditionalFormatting>
  <conditionalFormatting sqref="P84:P91">
    <cfRule type="cellIs" dxfId="3452" priority="202" operator="greaterThan">
      <formula>0</formula>
    </cfRule>
  </conditionalFormatting>
  <conditionalFormatting sqref="Q84:Q91">
    <cfRule type="cellIs" dxfId="3451" priority="207" operator="lessThan">
      <formula>0</formula>
    </cfRule>
  </conditionalFormatting>
  <conditionalFormatting sqref="R84:R91">
    <cfRule type="cellIs" dxfId="3450" priority="205" operator="lessThan">
      <formula>0.8</formula>
    </cfRule>
    <cfRule type="cellIs" dxfId="3449" priority="206" operator="greaterThan">
      <formula>1</formula>
    </cfRule>
  </conditionalFormatting>
  <conditionalFormatting sqref="R84:R91">
    <cfRule type="cellIs" dxfId="3448" priority="203" operator="greaterThan">
      <formula>1</formula>
    </cfRule>
    <cfRule type="cellIs" dxfId="3447" priority="204" operator="lessThan">
      <formula>0.8</formula>
    </cfRule>
  </conditionalFormatting>
  <conditionalFormatting sqref="P84:P91">
    <cfRule type="cellIs" dxfId="3446" priority="196" operator="greaterThan">
      <formula>0</formula>
    </cfRule>
  </conditionalFormatting>
  <conditionalFormatting sqref="Q84:Q91">
    <cfRule type="cellIs" dxfId="3445" priority="201" operator="lessThan">
      <formula>0</formula>
    </cfRule>
  </conditionalFormatting>
  <conditionalFormatting sqref="R84:R91">
    <cfRule type="cellIs" dxfId="3444" priority="199" operator="lessThan">
      <formula>0.8</formula>
    </cfRule>
    <cfRule type="cellIs" dxfId="3443" priority="200" operator="greaterThan">
      <formula>1</formula>
    </cfRule>
  </conditionalFormatting>
  <conditionalFormatting sqref="R84:R91">
    <cfRule type="cellIs" dxfId="3442" priority="197" operator="greaterThan">
      <formula>1</formula>
    </cfRule>
    <cfRule type="cellIs" dxfId="3441" priority="198" operator="lessThan">
      <formula>0.8</formula>
    </cfRule>
  </conditionalFormatting>
  <conditionalFormatting sqref="R84:R91">
    <cfRule type="cellIs" dxfId="3440" priority="193" operator="lessThan">
      <formula>0.8</formula>
    </cfRule>
    <cfRule type="cellIs" dxfId="3439" priority="194" operator="greaterThan">
      <formula>1</formula>
    </cfRule>
  </conditionalFormatting>
  <conditionalFormatting sqref="R84:R91">
    <cfRule type="cellIs" dxfId="3438" priority="191" operator="greaterThan">
      <formula>1</formula>
    </cfRule>
    <cfRule type="cellIs" dxfId="3437" priority="192" operator="lessThan">
      <formula>0.8</formula>
    </cfRule>
  </conditionalFormatting>
  <conditionalFormatting sqref="P84:P91">
    <cfRule type="cellIs" dxfId="3436" priority="190" operator="greaterThan">
      <formula>0</formula>
    </cfRule>
  </conditionalFormatting>
  <conditionalFormatting sqref="Q84:Q91">
    <cfRule type="cellIs" dxfId="3435" priority="195" operator="lessThan">
      <formula>0</formula>
    </cfRule>
  </conditionalFormatting>
  <conditionalFormatting sqref="P84:P91">
    <cfRule type="cellIs" dxfId="3434" priority="184" operator="greaterThan">
      <formula>0</formula>
    </cfRule>
  </conditionalFormatting>
  <conditionalFormatting sqref="Q84:Q91">
    <cfRule type="cellIs" dxfId="3433" priority="189" operator="lessThan">
      <formula>0</formula>
    </cfRule>
  </conditionalFormatting>
  <conditionalFormatting sqref="R84:R91">
    <cfRule type="cellIs" dxfId="3432" priority="187" operator="lessThan">
      <formula>0.8</formula>
    </cfRule>
    <cfRule type="cellIs" dxfId="3431" priority="188" operator="greaterThan">
      <formula>1</formula>
    </cfRule>
  </conditionalFormatting>
  <conditionalFormatting sqref="R84:R91">
    <cfRule type="cellIs" dxfId="3430" priority="185" operator="greaterThan">
      <formula>1</formula>
    </cfRule>
    <cfRule type="cellIs" dxfId="3429" priority="186" operator="lessThan">
      <formula>0.8</formula>
    </cfRule>
  </conditionalFormatting>
  <conditionalFormatting sqref="R84:R91">
    <cfRule type="cellIs" dxfId="3428" priority="181" operator="lessThan">
      <formula>0.8</formula>
    </cfRule>
    <cfRule type="cellIs" dxfId="3427" priority="182" operator="greaterThan">
      <formula>1</formula>
    </cfRule>
  </conditionalFormatting>
  <conditionalFormatting sqref="R84:R91">
    <cfRule type="cellIs" dxfId="3426" priority="179" operator="greaterThan">
      <formula>1</formula>
    </cfRule>
    <cfRule type="cellIs" dxfId="3425" priority="180" operator="lessThan">
      <formula>0.8</formula>
    </cfRule>
  </conditionalFormatting>
  <conditionalFormatting sqref="P84:P91">
    <cfRule type="cellIs" dxfId="3424" priority="178" operator="greaterThan">
      <formula>0</formula>
    </cfRule>
  </conditionalFormatting>
  <conditionalFormatting sqref="Q84:Q91">
    <cfRule type="cellIs" dxfId="3423" priority="183" operator="lessThan">
      <formula>0</formula>
    </cfRule>
  </conditionalFormatting>
  <conditionalFormatting sqref="R84:R91">
    <cfRule type="cellIs" dxfId="3422" priority="175" operator="lessThan">
      <formula>0.8</formula>
    </cfRule>
    <cfRule type="cellIs" dxfId="3421" priority="176" operator="greaterThan">
      <formula>1</formula>
    </cfRule>
  </conditionalFormatting>
  <conditionalFormatting sqref="R84:R91">
    <cfRule type="cellIs" dxfId="3420" priority="173" operator="greaterThan">
      <formula>1</formula>
    </cfRule>
    <cfRule type="cellIs" dxfId="3419" priority="174" operator="lessThan">
      <formula>0.8</formula>
    </cfRule>
  </conditionalFormatting>
  <conditionalFormatting sqref="P84:P91">
    <cfRule type="cellIs" dxfId="3418" priority="172" operator="greaterThan">
      <formula>0</formula>
    </cfRule>
  </conditionalFormatting>
  <conditionalFormatting sqref="Q84:Q91">
    <cfRule type="cellIs" dxfId="3417" priority="177" operator="lessThan">
      <formula>0</formula>
    </cfRule>
  </conditionalFormatting>
  <conditionalFormatting sqref="Q84:Q91">
    <cfRule type="cellIs" dxfId="3416" priority="171" operator="lessThan">
      <formula>0</formula>
    </cfRule>
  </conditionalFormatting>
  <conditionalFormatting sqref="R84:R91">
    <cfRule type="cellIs" dxfId="3415" priority="169" operator="lessThan">
      <formula>0.8</formula>
    </cfRule>
    <cfRule type="cellIs" dxfId="3414" priority="170" operator="greaterThan">
      <formula>1</formula>
    </cfRule>
  </conditionalFormatting>
  <conditionalFormatting sqref="R84:R91">
    <cfRule type="cellIs" dxfId="3413" priority="167" operator="greaterThan">
      <formula>1</formula>
    </cfRule>
    <cfRule type="cellIs" dxfId="3412" priority="168" operator="lessThan">
      <formula>0.8</formula>
    </cfRule>
  </conditionalFormatting>
  <conditionalFormatting sqref="P84:P91">
    <cfRule type="cellIs" dxfId="3411" priority="166" operator="greaterThan">
      <formula>0</formula>
    </cfRule>
  </conditionalFormatting>
  <conditionalFormatting sqref="Q84:Q91">
    <cfRule type="cellIs" dxfId="3410" priority="160" operator="lessThan">
      <formula>0</formula>
    </cfRule>
  </conditionalFormatting>
  <conditionalFormatting sqref="R84:R91">
    <cfRule type="cellIs" dxfId="3409" priority="164" operator="lessThan">
      <formula>0.8</formula>
    </cfRule>
    <cfRule type="cellIs" dxfId="3408" priority="165" operator="greaterThan">
      <formula>1</formula>
    </cfRule>
  </conditionalFormatting>
  <conditionalFormatting sqref="R84:R91">
    <cfRule type="cellIs" dxfId="3407" priority="162" operator="greaterThan">
      <formula>1</formula>
    </cfRule>
    <cfRule type="cellIs" dxfId="3406" priority="163" operator="lessThan">
      <formula>0.8</formula>
    </cfRule>
  </conditionalFormatting>
  <conditionalFormatting sqref="P84:P91">
    <cfRule type="cellIs" dxfId="3405" priority="161" operator="greaterThan">
      <formula>0</formula>
    </cfRule>
  </conditionalFormatting>
  <conditionalFormatting sqref="Q84:Q91">
    <cfRule type="cellIs" dxfId="3404" priority="159" operator="lessThan">
      <formula>0</formula>
    </cfRule>
  </conditionalFormatting>
  <conditionalFormatting sqref="R84:R91">
    <cfRule type="cellIs" dxfId="3403" priority="157" operator="lessThan">
      <formula>0.8</formula>
    </cfRule>
    <cfRule type="cellIs" dxfId="3402" priority="158" operator="greaterThan">
      <formula>1</formula>
    </cfRule>
  </conditionalFormatting>
  <conditionalFormatting sqref="R84:R91">
    <cfRule type="cellIs" dxfId="3401" priority="155" operator="greaterThan">
      <formula>1</formula>
    </cfRule>
    <cfRule type="cellIs" dxfId="3400" priority="156" operator="lessThan">
      <formula>0.8</formula>
    </cfRule>
  </conditionalFormatting>
  <conditionalFormatting sqref="P84:P91">
    <cfRule type="cellIs" dxfId="3399" priority="154" operator="greaterThan">
      <formula>0</formula>
    </cfRule>
  </conditionalFormatting>
  <conditionalFormatting sqref="Q84:Q91">
    <cfRule type="cellIs" dxfId="3398" priority="153" operator="lessThan">
      <formula>0</formula>
    </cfRule>
  </conditionalFormatting>
  <conditionalFormatting sqref="R84:R91">
    <cfRule type="cellIs" dxfId="3397" priority="151" operator="lessThan">
      <formula>0.8</formula>
    </cfRule>
    <cfRule type="cellIs" dxfId="3396" priority="152" operator="greaterThan">
      <formula>1</formula>
    </cfRule>
  </conditionalFormatting>
  <conditionalFormatting sqref="R84:R91">
    <cfRule type="cellIs" dxfId="3395" priority="149" operator="greaterThan">
      <formula>1</formula>
    </cfRule>
    <cfRule type="cellIs" dxfId="3394" priority="150" operator="lessThan">
      <formula>0.8</formula>
    </cfRule>
  </conditionalFormatting>
  <conditionalFormatting sqref="P84:P91">
    <cfRule type="cellIs" dxfId="3393" priority="148" operator="greaterThan">
      <formula>0</formula>
    </cfRule>
  </conditionalFormatting>
  <conditionalFormatting sqref="Q84:Q91">
    <cfRule type="cellIs" dxfId="3392" priority="147" operator="lessThan">
      <formula>0</formula>
    </cfRule>
  </conditionalFormatting>
  <conditionalFormatting sqref="R84:R91">
    <cfRule type="cellIs" dxfId="3391" priority="145" operator="lessThan">
      <formula>0.8</formula>
    </cfRule>
    <cfRule type="cellIs" dxfId="3390" priority="146" operator="greaterThan">
      <formula>1</formula>
    </cfRule>
  </conditionalFormatting>
  <conditionalFormatting sqref="R84:R91">
    <cfRule type="cellIs" dxfId="3389" priority="143" operator="greaterThan">
      <formula>1</formula>
    </cfRule>
    <cfRule type="cellIs" dxfId="3388" priority="144" operator="lessThan">
      <formula>0.8</formula>
    </cfRule>
  </conditionalFormatting>
  <conditionalFormatting sqref="P84:P91">
    <cfRule type="cellIs" dxfId="3387" priority="142" operator="greaterThan">
      <formula>0</formula>
    </cfRule>
  </conditionalFormatting>
  <conditionalFormatting sqref="Q84:Q91">
    <cfRule type="cellIs" dxfId="3386" priority="141" operator="lessThan">
      <formula>0</formula>
    </cfRule>
  </conditionalFormatting>
  <conditionalFormatting sqref="R84:R91">
    <cfRule type="cellIs" dxfId="3385" priority="139" operator="lessThan">
      <formula>0.8</formula>
    </cfRule>
    <cfRule type="cellIs" dxfId="3384" priority="140" operator="greaterThan">
      <formula>1</formula>
    </cfRule>
  </conditionalFormatting>
  <conditionalFormatting sqref="R84:R91">
    <cfRule type="cellIs" dxfId="3383" priority="137" operator="greaterThan">
      <formula>1</formula>
    </cfRule>
    <cfRule type="cellIs" dxfId="3382" priority="138" operator="lessThan">
      <formula>0.8</formula>
    </cfRule>
  </conditionalFormatting>
  <conditionalFormatting sqref="P84:P91">
    <cfRule type="cellIs" dxfId="3381" priority="136" operator="greaterThan">
      <formula>0</formula>
    </cfRule>
  </conditionalFormatting>
  <conditionalFormatting sqref="Q84:Q91">
    <cfRule type="cellIs" dxfId="3380" priority="135" operator="lessThan">
      <formula>0</formula>
    </cfRule>
  </conditionalFormatting>
  <conditionalFormatting sqref="R84:R91">
    <cfRule type="cellIs" dxfId="3379" priority="133" operator="lessThan">
      <formula>0.8</formula>
    </cfRule>
    <cfRule type="cellIs" dxfId="3378" priority="134" operator="greaterThan">
      <formula>1</formula>
    </cfRule>
  </conditionalFormatting>
  <conditionalFormatting sqref="R84:R91">
    <cfRule type="cellIs" dxfId="3377" priority="131" operator="greaterThan">
      <formula>1</formula>
    </cfRule>
    <cfRule type="cellIs" dxfId="3376" priority="132" operator="lessThan">
      <formula>0.8</formula>
    </cfRule>
  </conditionalFormatting>
  <conditionalFormatting sqref="P84:P91">
    <cfRule type="cellIs" dxfId="3375" priority="130" operator="greaterThan">
      <formula>0</formula>
    </cfRule>
  </conditionalFormatting>
  <conditionalFormatting sqref="P84:P91">
    <cfRule type="cellIs" dxfId="3374" priority="124" operator="greaterThan">
      <formula>0</formula>
    </cfRule>
  </conditionalFormatting>
  <conditionalFormatting sqref="Q84:Q91">
    <cfRule type="cellIs" dxfId="3373" priority="129" operator="lessThan">
      <formula>0</formula>
    </cfRule>
  </conditionalFormatting>
  <conditionalFormatting sqref="R84:R91">
    <cfRule type="cellIs" dxfId="3372" priority="127" operator="lessThan">
      <formula>0.8</formula>
    </cfRule>
    <cfRule type="cellIs" dxfId="3371" priority="128" operator="greaterThan">
      <formula>1</formula>
    </cfRule>
  </conditionalFormatting>
  <conditionalFormatting sqref="R84:R91">
    <cfRule type="cellIs" dxfId="3370" priority="125" operator="greaterThan">
      <formula>1</formula>
    </cfRule>
    <cfRule type="cellIs" dxfId="3369" priority="126" operator="lessThan">
      <formula>0.8</formula>
    </cfRule>
  </conditionalFormatting>
  <conditionalFormatting sqref="P84:P91">
    <cfRule type="cellIs" dxfId="3368" priority="118" operator="greaterThan">
      <formula>0</formula>
    </cfRule>
  </conditionalFormatting>
  <conditionalFormatting sqref="Q84:Q91">
    <cfRule type="cellIs" dxfId="3367" priority="123" operator="lessThan">
      <formula>0</formula>
    </cfRule>
  </conditionalFormatting>
  <conditionalFormatting sqref="R84:R91">
    <cfRule type="cellIs" dxfId="3366" priority="121" operator="lessThan">
      <formula>0.8</formula>
    </cfRule>
    <cfRule type="cellIs" dxfId="3365" priority="122" operator="greaterThan">
      <formula>1</formula>
    </cfRule>
  </conditionalFormatting>
  <conditionalFormatting sqref="R84:R91">
    <cfRule type="cellIs" dxfId="3364" priority="119" operator="greaterThan">
      <formula>1</formula>
    </cfRule>
    <cfRule type="cellIs" dxfId="3363" priority="120" operator="lessThan">
      <formula>0.8</formula>
    </cfRule>
  </conditionalFormatting>
  <conditionalFormatting sqref="R84:R91">
    <cfRule type="cellIs" dxfId="3362" priority="115" operator="lessThan">
      <formula>0.8</formula>
    </cfRule>
    <cfRule type="cellIs" dxfId="3361" priority="116" operator="greaterThan">
      <formula>1</formula>
    </cfRule>
  </conditionalFormatting>
  <conditionalFormatting sqref="R84:R91">
    <cfRule type="cellIs" dxfId="3360" priority="113" operator="greaterThan">
      <formula>1</formula>
    </cfRule>
    <cfRule type="cellIs" dxfId="3359" priority="114" operator="lessThan">
      <formula>0.8</formula>
    </cfRule>
  </conditionalFormatting>
  <conditionalFormatting sqref="P84:P91">
    <cfRule type="cellIs" dxfId="3358" priority="112" operator="greaterThan">
      <formula>0</formula>
    </cfRule>
  </conditionalFormatting>
  <conditionalFormatting sqref="Q84:Q91">
    <cfRule type="cellIs" dxfId="3357" priority="117" operator="lessThan">
      <formula>0</formula>
    </cfRule>
  </conditionalFormatting>
  <conditionalFormatting sqref="Q84:Q91">
    <cfRule type="cellIs" dxfId="3356" priority="106" operator="lessThan">
      <formula>0</formula>
    </cfRule>
  </conditionalFormatting>
  <conditionalFormatting sqref="P84:P91">
    <cfRule type="cellIs" dxfId="3355" priority="107" operator="greaterThan">
      <formula>0</formula>
    </cfRule>
  </conditionalFormatting>
  <conditionalFormatting sqref="R84:R91">
    <cfRule type="cellIs" dxfId="3354" priority="110" operator="lessThan">
      <formula>0.8</formula>
    </cfRule>
    <cfRule type="cellIs" dxfId="3353" priority="111" operator="greaterThan">
      <formula>1</formula>
    </cfRule>
  </conditionalFormatting>
  <conditionalFormatting sqref="R84:R91">
    <cfRule type="cellIs" dxfId="3352" priority="108" operator="greaterThan">
      <formula>1</formula>
    </cfRule>
    <cfRule type="cellIs" dxfId="3351" priority="109" operator="lessThan">
      <formula>0.8</formula>
    </cfRule>
  </conditionalFormatting>
  <conditionalFormatting sqref="Q84:Q91">
    <cfRule type="cellIs" dxfId="3350" priority="100" operator="lessThan">
      <formula>0</formula>
    </cfRule>
  </conditionalFormatting>
  <conditionalFormatting sqref="R84:R91">
    <cfRule type="cellIs" dxfId="3349" priority="104" operator="lessThan">
      <formula>0.8</formula>
    </cfRule>
    <cfRule type="cellIs" dxfId="3348" priority="105" operator="greaterThan">
      <formula>1</formula>
    </cfRule>
  </conditionalFormatting>
  <conditionalFormatting sqref="R84:R91">
    <cfRule type="cellIs" dxfId="3347" priority="102" operator="greaterThan">
      <formula>1</formula>
    </cfRule>
    <cfRule type="cellIs" dxfId="3346" priority="103" operator="lessThan">
      <formula>0.8</formula>
    </cfRule>
  </conditionalFormatting>
  <conditionalFormatting sqref="P84:P91">
    <cfRule type="cellIs" dxfId="3345" priority="101" operator="greaterThan">
      <formula>0</formula>
    </cfRule>
  </conditionalFormatting>
  <conditionalFormatting sqref="Q84:Q91">
    <cfRule type="cellIs" dxfId="3344" priority="99" operator="lessThan">
      <formula>0</formula>
    </cfRule>
  </conditionalFormatting>
  <conditionalFormatting sqref="R84:R91">
    <cfRule type="cellIs" dxfId="3343" priority="97" operator="lessThan">
      <formula>0.8</formula>
    </cfRule>
    <cfRule type="cellIs" dxfId="3342" priority="98" operator="greaterThan">
      <formula>1</formula>
    </cfRule>
  </conditionalFormatting>
  <conditionalFormatting sqref="R84:R91">
    <cfRule type="cellIs" dxfId="3341" priority="95" operator="greaterThan">
      <formula>1</formula>
    </cfRule>
    <cfRule type="cellIs" dxfId="3340" priority="96" operator="lessThan">
      <formula>0.8</formula>
    </cfRule>
  </conditionalFormatting>
  <conditionalFormatting sqref="P84:P91">
    <cfRule type="cellIs" dxfId="3339" priority="94" operator="greaterThan">
      <formula>0</formula>
    </cfRule>
  </conditionalFormatting>
  <conditionalFormatting sqref="Q84:Q91">
    <cfRule type="cellIs" dxfId="3338" priority="93" operator="lessThan">
      <formula>0</formula>
    </cfRule>
  </conditionalFormatting>
  <conditionalFormatting sqref="R84:R91">
    <cfRule type="cellIs" dxfId="3337" priority="91" operator="lessThan">
      <formula>0.8</formula>
    </cfRule>
    <cfRule type="cellIs" dxfId="3336" priority="92" operator="greaterThan">
      <formula>1</formula>
    </cfRule>
  </conditionalFormatting>
  <conditionalFormatting sqref="R84:R91">
    <cfRule type="cellIs" dxfId="3335" priority="89" operator="greaterThan">
      <formula>1</formula>
    </cfRule>
    <cfRule type="cellIs" dxfId="3334" priority="90" operator="lessThan">
      <formula>0.8</formula>
    </cfRule>
  </conditionalFormatting>
  <conditionalFormatting sqref="P84:P91">
    <cfRule type="cellIs" dxfId="3333" priority="88" operator="greaterThan">
      <formula>0</formula>
    </cfRule>
  </conditionalFormatting>
  <conditionalFormatting sqref="Q84:Q91">
    <cfRule type="cellIs" dxfId="3332" priority="87" operator="lessThan">
      <formula>0</formula>
    </cfRule>
  </conditionalFormatting>
  <conditionalFormatting sqref="R84:R91">
    <cfRule type="cellIs" dxfId="3331" priority="85" operator="lessThan">
      <formula>0.8</formula>
    </cfRule>
    <cfRule type="cellIs" dxfId="3330" priority="86" operator="greaterThan">
      <formula>1</formula>
    </cfRule>
  </conditionalFormatting>
  <conditionalFormatting sqref="R84:R91">
    <cfRule type="cellIs" dxfId="3329" priority="83" operator="greaterThan">
      <formula>1</formula>
    </cfRule>
    <cfRule type="cellIs" dxfId="3328" priority="84" operator="lessThan">
      <formula>0.8</formula>
    </cfRule>
  </conditionalFormatting>
  <conditionalFormatting sqref="P84:P91">
    <cfRule type="cellIs" dxfId="3327" priority="82" operator="greaterThan">
      <formula>0</formula>
    </cfRule>
  </conditionalFormatting>
  <conditionalFormatting sqref="Q162:Q167">
    <cfRule type="cellIs" dxfId="3326" priority="81" operator="lessThan">
      <formula>0</formula>
    </cfRule>
  </conditionalFormatting>
  <conditionalFormatting sqref="R162:R167">
    <cfRule type="cellIs" dxfId="3325" priority="79" operator="lessThan">
      <formula>0.8</formula>
    </cfRule>
    <cfRule type="cellIs" dxfId="3324" priority="80" operator="greaterThan">
      <formula>1</formula>
    </cfRule>
  </conditionalFormatting>
  <conditionalFormatting sqref="R162:R167">
    <cfRule type="cellIs" dxfId="3323" priority="77" operator="greaterThan">
      <formula>1</formula>
    </cfRule>
    <cfRule type="cellIs" dxfId="3322" priority="78" operator="lessThan">
      <formula>0.8</formula>
    </cfRule>
  </conditionalFormatting>
  <conditionalFormatting sqref="P162:P167">
    <cfRule type="cellIs" dxfId="3321" priority="76" operator="greaterThan">
      <formula>0</formula>
    </cfRule>
  </conditionalFormatting>
  <conditionalFormatting sqref="P168">
    <cfRule type="cellIs" dxfId="3320" priority="70" operator="greaterThan">
      <formula>0</formula>
    </cfRule>
  </conditionalFormatting>
  <conditionalFormatting sqref="R168">
    <cfRule type="cellIs" dxfId="3319" priority="73" operator="lessThan">
      <formula>0.8</formula>
    </cfRule>
    <cfRule type="cellIs" dxfId="3318" priority="74" operator="greaterThan">
      <formula>1</formula>
    </cfRule>
  </conditionalFormatting>
  <conditionalFormatting sqref="R168">
    <cfRule type="cellIs" dxfId="3317" priority="71" operator="greaterThan">
      <formula>1</formula>
    </cfRule>
    <cfRule type="cellIs" dxfId="3316" priority="72" operator="lessThan">
      <formula>0.8</formula>
    </cfRule>
  </conditionalFormatting>
  <conditionalFormatting sqref="Q168">
    <cfRule type="cellIs" dxfId="3315" priority="75" operator="lessThan">
      <formula>0</formula>
    </cfRule>
  </conditionalFormatting>
  <conditionalFormatting sqref="Q161">
    <cfRule type="cellIs" dxfId="3314" priority="69" operator="lessThan">
      <formula>0</formula>
    </cfRule>
  </conditionalFormatting>
  <conditionalFormatting sqref="R161">
    <cfRule type="cellIs" dxfId="3313" priority="67" operator="lessThan">
      <formula>0.8</formula>
    </cfRule>
    <cfRule type="cellIs" dxfId="3312" priority="68" operator="greaterThan">
      <formula>1</formula>
    </cfRule>
  </conditionalFormatting>
  <conditionalFormatting sqref="R161">
    <cfRule type="cellIs" dxfId="3311" priority="65" operator="greaterThan">
      <formula>1</formula>
    </cfRule>
    <cfRule type="cellIs" dxfId="3310" priority="66" operator="lessThan">
      <formula>0.8</formula>
    </cfRule>
  </conditionalFormatting>
  <conditionalFormatting sqref="P161">
    <cfRule type="cellIs" dxfId="3309" priority="64" operator="greaterThan">
      <formula>0</formula>
    </cfRule>
  </conditionalFormatting>
  <conditionalFormatting sqref="Q162:Q167">
    <cfRule type="cellIs" dxfId="3308" priority="63" operator="lessThan">
      <formula>0</formula>
    </cfRule>
  </conditionalFormatting>
  <conditionalFormatting sqref="R162:R167">
    <cfRule type="cellIs" dxfId="3307" priority="61" operator="lessThan">
      <formula>0.8</formula>
    </cfRule>
    <cfRule type="cellIs" dxfId="3306" priority="62" operator="greaterThan">
      <formula>1</formula>
    </cfRule>
  </conditionalFormatting>
  <conditionalFormatting sqref="R162:R167">
    <cfRule type="cellIs" dxfId="3305" priority="59" operator="greaterThan">
      <formula>1</formula>
    </cfRule>
    <cfRule type="cellIs" dxfId="3304" priority="60" operator="lessThan">
      <formula>0.8</formula>
    </cfRule>
  </conditionalFormatting>
  <conditionalFormatting sqref="P162:P167">
    <cfRule type="cellIs" dxfId="3303" priority="58" operator="greaterThan">
      <formula>0</formula>
    </cfRule>
  </conditionalFormatting>
  <conditionalFormatting sqref="Q162:Q167">
    <cfRule type="cellIs" dxfId="3302" priority="57" operator="lessThan">
      <formula>0</formula>
    </cfRule>
  </conditionalFormatting>
  <conditionalFormatting sqref="R162:R167">
    <cfRule type="cellIs" dxfId="3301" priority="55" operator="lessThan">
      <formula>0.8</formula>
    </cfRule>
    <cfRule type="cellIs" dxfId="3300" priority="56" operator="greaterThan">
      <formula>1</formula>
    </cfRule>
  </conditionalFormatting>
  <conditionalFormatting sqref="R162:R167">
    <cfRule type="cellIs" dxfId="3299" priority="53" operator="greaterThan">
      <formula>1</formula>
    </cfRule>
    <cfRule type="cellIs" dxfId="3298" priority="54" operator="lessThan">
      <formula>0.8</formula>
    </cfRule>
  </conditionalFormatting>
  <conditionalFormatting sqref="P162:P167">
    <cfRule type="cellIs" dxfId="3297" priority="52" operator="greaterThan">
      <formula>0</formula>
    </cfRule>
  </conditionalFormatting>
  <conditionalFormatting sqref="Q168">
    <cfRule type="cellIs" dxfId="3296" priority="51" operator="lessThan">
      <formula>0</formula>
    </cfRule>
  </conditionalFormatting>
  <conditionalFormatting sqref="R168">
    <cfRule type="cellIs" dxfId="3295" priority="49" operator="lessThan">
      <formula>0.8</formula>
    </cfRule>
    <cfRule type="cellIs" dxfId="3294" priority="50" operator="greaterThan">
      <formula>1</formula>
    </cfRule>
  </conditionalFormatting>
  <conditionalFormatting sqref="R168">
    <cfRule type="cellIs" dxfId="3293" priority="47" operator="greaterThan">
      <formula>1</formula>
    </cfRule>
    <cfRule type="cellIs" dxfId="3292" priority="48" operator="lessThan">
      <formula>0.8</formula>
    </cfRule>
  </conditionalFormatting>
  <conditionalFormatting sqref="P168">
    <cfRule type="cellIs" dxfId="3291" priority="46" operator="greaterThan">
      <formula>0</formula>
    </cfRule>
  </conditionalFormatting>
  <conditionalFormatting sqref="Q161">
    <cfRule type="cellIs" dxfId="3290" priority="45" operator="lessThan">
      <formula>0</formula>
    </cfRule>
  </conditionalFormatting>
  <conditionalFormatting sqref="R161">
    <cfRule type="cellIs" dxfId="3289" priority="43" operator="lessThan">
      <formula>0.8</formula>
    </cfRule>
    <cfRule type="cellIs" dxfId="3288" priority="44" operator="greaterThan">
      <formula>1</formula>
    </cfRule>
  </conditionalFormatting>
  <conditionalFormatting sqref="R161">
    <cfRule type="cellIs" dxfId="3287" priority="41" operator="greaterThan">
      <formula>1</formula>
    </cfRule>
    <cfRule type="cellIs" dxfId="3286" priority="42" operator="lessThan">
      <formula>0.8</formula>
    </cfRule>
  </conditionalFormatting>
  <conditionalFormatting sqref="P161">
    <cfRule type="cellIs" dxfId="3285" priority="40" operator="greaterThan">
      <formula>0</formula>
    </cfRule>
  </conditionalFormatting>
  <conditionalFormatting sqref="Q162:Q167">
    <cfRule type="cellIs" dxfId="3284" priority="39" operator="lessThan">
      <formula>0</formula>
    </cfRule>
  </conditionalFormatting>
  <conditionalFormatting sqref="R162:R167">
    <cfRule type="cellIs" dxfId="3283" priority="37" operator="lessThan">
      <formula>0.8</formula>
    </cfRule>
    <cfRule type="cellIs" dxfId="3282" priority="38" operator="greaterThan">
      <formula>1</formula>
    </cfRule>
  </conditionalFormatting>
  <conditionalFormatting sqref="R162:R167">
    <cfRule type="cellIs" dxfId="3281" priority="35" operator="greaterThan">
      <formula>1</formula>
    </cfRule>
    <cfRule type="cellIs" dxfId="3280" priority="36" operator="lessThan">
      <formula>0.8</formula>
    </cfRule>
  </conditionalFormatting>
  <conditionalFormatting sqref="P162:P167">
    <cfRule type="cellIs" dxfId="3279" priority="34" operator="greaterThan">
      <formula>0</formula>
    </cfRule>
  </conditionalFormatting>
  <conditionalFormatting sqref="Q161">
    <cfRule type="cellIs" dxfId="3278" priority="33" operator="lessThan">
      <formula>0</formula>
    </cfRule>
  </conditionalFormatting>
  <conditionalFormatting sqref="R161">
    <cfRule type="cellIs" dxfId="3277" priority="31" operator="lessThan">
      <formula>0.8</formula>
    </cfRule>
    <cfRule type="cellIs" dxfId="3276" priority="32" operator="greaterThan">
      <formula>1</formula>
    </cfRule>
  </conditionalFormatting>
  <conditionalFormatting sqref="R161">
    <cfRule type="cellIs" dxfId="3275" priority="29" operator="greaterThan">
      <formula>1</formula>
    </cfRule>
    <cfRule type="cellIs" dxfId="3274" priority="30" operator="lessThan">
      <formula>0.8</formula>
    </cfRule>
  </conditionalFormatting>
  <conditionalFormatting sqref="P161">
    <cfRule type="cellIs" dxfId="3273" priority="28" operator="greaterThan">
      <formula>0</formula>
    </cfRule>
  </conditionalFormatting>
  <conditionalFormatting sqref="Q162:Q167">
    <cfRule type="cellIs" dxfId="3272" priority="27" operator="lessThan">
      <formula>0</formula>
    </cfRule>
  </conditionalFormatting>
  <conditionalFormatting sqref="R162:R167">
    <cfRule type="cellIs" dxfId="3271" priority="25" operator="lessThan">
      <formula>0.8</formula>
    </cfRule>
    <cfRule type="cellIs" dxfId="3270" priority="26" operator="greaterThan">
      <formula>1</formula>
    </cfRule>
  </conditionalFormatting>
  <conditionalFormatting sqref="R162:R167">
    <cfRule type="cellIs" dxfId="3269" priority="23" operator="greaterThan">
      <formula>1</formula>
    </cfRule>
    <cfRule type="cellIs" dxfId="3268" priority="24" operator="lessThan">
      <formula>0.8</formula>
    </cfRule>
  </conditionalFormatting>
  <conditionalFormatting sqref="P162:P167">
    <cfRule type="cellIs" dxfId="3267" priority="22" operator="greaterThan">
      <formula>0</formula>
    </cfRule>
  </conditionalFormatting>
  <conditionalFormatting sqref="Q161">
    <cfRule type="cellIs" dxfId="3266" priority="21" operator="lessThan">
      <formula>0</formula>
    </cfRule>
  </conditionalFormatting>
  <conditionalFormatting sqref="R161">
    <cfRule type="cellIs" dxfId="3265" priority="19" operator="lessThan">
      <formula>0.8</formula>
    </cfRule>
    <cfRule type="cellIs" dxfId="3264" priority="20" operator="greaterThan">
      <formula>1</formula>
    </cfRule>
  </conditionalFormatting>
  <conditionalFormatting sqref="R161">
    <cfRule type="cellIs" dxfId="3263" priority="17" operator="greaterThan">
      <formula>1</formula>
    </cfRule>
    <cfRule type="cellIs" dxfId="3262" priority="18" operator="lessThan">
      <formula>0.8</formula>
    </cfRule>
  </conditionalFormatting>
  <conditionalFormatting sqref="P161">
    <cfRule type="cellIs" dxfId="3261" priority="16" operator="greaterThan">
      <formula>0</formula>
    </cfRule>
  </conditionalFormatting>
  <conditionalFormatting sqref="P168">
    <cfRule type="cellIs" dxfId="3260" priority="10" operator="greaterThan">
      <formula>0</formula>
    </cfRule>
  </conditionalFormatting>
  <conditionalFormatting sqref="R168">
    <cfRule type="cellIs" dxfId="3259" priority="13" operator="lessThan">
      <formula>0.8</formula>
    </cfRule>
    <cfRule type="cellIs" dxfId="3258" priority="14" operator="greaterThan">
      <formula>1</formula>
    </cfRule>
  </conditionalFormatting>
  <conditionalFormatting sqref="R168">
    <cfRule type="cellIs" dxfId="3257" priority="11" operator="greaterThan">
      <formula>1</formula>
    </cfRule>
    <cfRule type="cellIs" dxfId="3256" priority="12" operator="lessThan">
      <formula>0.8</formula>
    </cfRule>
  </conditionalFormatting>
  <conditionalFormatting sqref="Q168">
    <cfRule type="cellIs" dxfId="3255" priority="15" operator="lessThan">
      <formula>0</formula>
    </cfRule>
  </conditionalFormatting>
  <conditionalFormatting sqref="AF30">
    <cfRule type="cellIs" dxfId="3254" priority="9" operator="lessThan">
      <formula>0</formula>
    </cfRule>
  </conditionalFormatting>
  <conditionalFormatting sqref="AG30">
    <cfRule type="cellIs" dxfId="3253" priority="7" operator="greaterThan">
      <formula>1</formula>
    </cfRule>
    <cfRule type="cellIs" dxfId="3252" priority="8" operator="lessThan">
      <formula>0.8</formula>
    </cfRule>
  </conditionalFormatting>
  <conditionalFormatting sqref="P104">
    <cfRule type="cellIs" dxfId="3251" priority="1" operator="greaterThan">
      <formula>0</formula>
    </cfRule>
  </conditionalFormatting>
  <conditionalFormatting sqref="Q104">
    <cfRule type="cellIs" dxfId="3250" priority="6" operator="lessThan">
      <formula>0</formula>
    </cfRule>
  </conditionalFormatting>
  <conditionalFormatting sqref="R104">
    <cfRule type="cellIs" dxfId="3249" priority="4" operator="lessThan">
      <formula>0.8</formula>
    </cfRule>
    <cfRule type="cellIs" dxfId="3248" priority="5" operator="greaterThan">
      <formula>1</formula>
    </cfRule>
  </conditionalFormatting>
  <conditionalFormatting sqref="R104">
    <cfRule type="cellIs" dxfId="3247" priority="2" operator="greaterThan">
      <formula>1</formula>
    </cfRule>
    <cfRule type="cellIs" dxfId="3246" priority="3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X26" sqref="X2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50" t="s">
        <v>0</v>
      </c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2"/>
      <c r="N1" s="1"/>
      <c r="O1" s="1"/>
    </row>
    <row r="2" spans="2:17" ht="27.75" customHeight="1">
      <c r="B2" s="550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1"/>
      <c r="O2" s="1"/>
    </row>
    <row r="3" spans="2:17" ht="46.5" customHeight="1">
      <c r="B3" s="543" t="s">
        <v>1</v>
      </c>
      <c r="C3" s="504"/>
      <c r="D3" s="553" t="s">
        <v>367</v>
      </c>
      <c r="E3" s="554"/>
      <c r="F3" s="543" t="s">
        <v>2</v>
      </c>
      <c r="G3" s="504"/>
      <c r="H3" s="555">
        <v>279766</v>
      </c>
      <c r="I3" s="556"/>
      <c r="J3" s="543" t="s">
        <v>3</v>
      </c>
      <c r="K3" s="504"/>
      <c r="L3" s="548">
        <v>9482240.3394694775</v>
      </c>
      <c r="M3" s="549"/>
      <c r="N3" s="378"/>
      <c r="O3" s="378"/>
      <c r="P3" s="378"/>
      <c r="Q3" s="378"/>
    </row>
    <row r="4" spans="2:17" ht="24" customHeight="1">
      <c r="B4" s="543" t="s">
        <v>150</v>
      </c>
      <c r="C4" s="504"/>
      <c r="D4" s="535" t="s">
        <v>150</v>
      </c>
      <c r="E4" s="536"/>
      <c r="F4" s="546" t="s">
        <v>151</v>
      </c>
      <c r="G4" s="547"/>
      <c r="H4" s="546" t="s">
        <v>152</v>
      </c>
      <c r="I4" s="547"/>
      <c r="J4" s="546" t="s">
        <v>153</v>
      </c>
      <c r="K4" s="547"/>
      <c r="L4" s="548" t="s">
        <v>154</v>
      </c>
      <c r="M4" s="549"/>
      <c r="N4" s="529" t="s">
        <v>4</v>
      </c>
      <c r="O4" s="530"/>
      <c r="P4" s="530" t="s">
        <v>5</v>
      </c>
      <c r="Q4" s="530"/>
    </row>
    <row r="5" spans="2:17" ht="24" customHeight="1">
      <c r="B5" s="531" t="s">
        <v>35</v>
      </c>
      <c r="C5" s="510"/>
      <c r="D5" s="535" t="s">
        <v>155</v>
      </c>
      <c r="E5" s="536"/>
      <c r="F5" s="535" t="s">
        <v>6</v>
      </c>
      <c r="G5" s="536"/>
      <c r="H5" s="537" t="s">
        <v>7</v>
      </c>
      <c r="I5" s="538"/>
      <c r="J5" s="539" t="s">
        <v>8</v>
      </c>
      <c r="K5" s="540"/>
      <c r="L5" s="541" t="s">
        <v>9</v>
      </c>
      <c r="M5" s="542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532"/>
      <c r="C6" s="533"/>
      <c r="D6" s="543" t="s">
        <v>10</v>
      </c>
      <c r="E6" s="504"/>
      <c r="F6" s="544">
        <f>AVERAGE(D13:O13,P13:Q13,D30:E30,G30:H30,J30:M30)</f>
        <v>382.98078953052931</v>
      </c>
      <c r="G6" s="545"/>
      <c r="H6" s="523">
        <f>AVERAGE(D13:P13,Q13)</f>
        <v>139.6840978336889</v>
      </c>
      <c r="I6" s="524"/>
      <c r="J6" s="523">
        <f>AVERAGE(D30:E30,G30:H30)</f>
        <v>736.25</v>
      </c>
      <c r="K6" s="524"/>
      <c r="L6" s="525">
        <f>AVERAGE(J30:M30)</f>
        <v>881.25</v>
      </c>
      <c r="M6" s="526"/>
      <c r="N6" s="527">
        <v>0</v>
      </c>
      <c r="O6" s="512">
        <v>0</v>
      </c>
      <c r="P6" s="528">
        <v>6</v>
      </c>
      <c r="Q6" s="512">
        <v>4</v>
      </c>
    </row>
    <row r="7" spans="2:17" s="5" customFormat="1" ht="39.6" customHeight="1">
      <c r="B7" s="532"/>
      <c r="C7" s="533"/>
      <c r="D7" s="513" t="s">
        <v>11</v>
      </c>
      <c r="E7" s="514"/>
      <c r="F7" s="515">
        <f>AVERAGE(D14:O14,P14:Q14,D31:E31,J31:M31,G31:H31)</f>
        <v>354.32559220152206</v>
      </c>
      <c r="G7" s="516"/>
      <c r="H7" s="517">
        <f>AVERAGE(D14:P14,Q14)</f>
        <v>126.65799958855304</v>
      </c>
      <c r="I7" s="518"/>
      <c r="J7" s="517">
        <f>AVERAGE(D31:E31,G31:H31)</f>
        <v>692.79827094083339</v>
      </c>
      <c r="K7" s="518"/>
      <c r="L7" s="519">
        <f>AVERAGE(J31:M31)</f>
        <v>812.68948760760236</v>
      </c>
      <c r="M7" s="520"/>
      <c r="N7" s="527"/>
      <c r="O7" s="512"/>
      <c r="P7" s="528"/>
      <c r="Q7" s="512"/>
    </row>
    <row r="8" spans="2:17" s="5" customFormat="1" ht="39.6" customHeight="1">
      <c r="B8" s="534"/>
      <c r="C8" s="511"/>
      <c r="D8" s="513" t="s">
        <v>12</v>
      </c>
      <c r="E8" s="514"/>
      <c r="F8" s="521">
        <f>AVERAGE(D15:O15,P15:Q15,D32:E32,G32:H32,J32:M32)</f>
        <v>0.91176899656971278</v>
      </c>
      <c r="G8" s="522"/>
      <c r="H8" s="521">
        <f>AVERAGE(D15:O15,P15:Q15)</f>
        <v>0.90364422207984407</v>
      </c>
      <c r="I8" s="522"/>
      <c r="J8" s="521">
        <f>AVERAGE(D32:E32,G32:H32)</f>
        <v>0.92573963104321</v>
      </c>
      <c r="K8" s="522"/>
      <c r="L8" s="521">
        <f>AVERAGE(J32:M32)</f>
        <v>0.92623507281075568</v>
      </c>
      <c r="M8" s="522"/>
      <c r="N8" s="527"/>
      <c r="O8" s="512"/>
      <c r="P8" s="528"/>
      <c r="Q8" s="512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00" t="s">
        <v>192</v>
      </c>
      <c r="C10" s="506"/>
      <c r="D10" s="507" t="s">
        <v>193</v>
      </c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8"/>
      <c r="Q10" s="509"/>
    </row>
    <row r="11" spans="2:17" ht="17.25" customHeight="1">
      <c r="B11" s="491" t="s">
        <v>194</v>
      </c>
      <c r="C11" s="510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493"/>
      <c r="C12" s="511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495" t="s">
        <v>35</v>
      </c>
      <c r="C13" s="14" t="s">
        <v>208</v>
      </c>
      <c r="D13" s="19">
        <v>146.62538699690401</v>
      </c>
      <c r="E13" s="19">
        <v>106.61029411764706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77.685284640171858</v>
      </c>
      <c r="K13" s="19">
        <v>105.72949530689469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496"/>
      <c r="C14" s="14" t="s">
        <v>209</v>
      </c>
      <c r="D14" s="19">
        <v>132.72473666198451</v>
      </c>
      <c r="E14" s="19">
        <v>98.294051566157961</v>
      </c>
      <c r="F14" s="19">
        <v>99.300075095258492</v>
      </c>
      <c r="G14" s="19">
        <v>315.93543494489734</v>
      </c>
      <c r="H14" s="19">
        <v>223.39338350237648</v>
      </c>
      <c r="I14" s="19">
        <v>82.730683564016005</v>
      </c>
      <c r="J14" s="19">
        <v>69.843124697193716</v>
      </c>
      <c r="K14" s="19">
        <v>97.354921912047175</v>
      </c>
      <c r="L14" s="19">
        <v>92.369279375998175</v>
      </c>
      <c r="M14" s="19">
        <v>75.359998033774815</v>
      </c>
      <c r="N14" s="19">
        <v>79.108231839569342</v>
      </c>
      <c r="O14" s="19">
        <v>77.432720628117394</v>
      </c>
      <c r="P14" s="19">
        <v>198.66456278625915</v>
      </c>
      <c r="Q14" s="9">
        <v>130.70078963209215</v>
      </c>
    </row>
    <row r="15" spans="2:17" ht="39.9" customHeight="1">
      <c r="B15" s="497"/>
      <c r="C15" s="379" t="s">
        <v>210</v>
      </c>
      <c r="D15" s="10">
        <f t="shared" ref="D15:Q15" si="0">D14/D13</f>
        <v>0.90519615586615287</v>
      </c>
      <c r="E15" s="10">
        <f t="shared" si="0"/>
        <v>0.92199400048261826</v>
      </c>
      <c r="F15" s="10">
        <f t="shared" si="0"/>
        <v>0.84120156871090845</v>
      </c>
      <c r="G15" s="10">
        <f t="shared" si="0"/>
        <v>0.89743978622028808</v>
      </c>
      <c r="H15" s="10">
        <f t="shared" si="0"/>
        <v>0.97734605282289699</v>
      </c>
      <c r="I15" s="10">
        <f t="shared" si="0"/>
        <v>0.90665518862986627</v>
      </c>
      <c r="J15" s="10">
        <f t="shared" si="0"/>
        <v>0.89905218241392815</v>
      </c>
      <c r="K15" s="10">
        <f t="shared" si="0"/>
        <v>0.92079245842856672</v>
      </c>
      <c r="L15" s="10">
        <f t="shared" si="0"/>
        <v>0.88116437430564676</v>
      </c>
      <c r="M15" s="10">
        <f t="shared" si="0"/>
        <v>0.91618280811521002</v>
      </c>
      <c r="N15" s="10">
        <f t="shared" si="0"/>
        <v>0.91904635516459321</v>
      </c>
      <c r="O15" s="10">
        <f t="shared" si="0"/>
        <v>0.8830315639273898</v>
      </c>
      <c r="P15" s="381">
        <f t="shared" si="0"/>
        <v>0.91057801648247394</v>
      </c>
      <c r="Q15" s="11">
        <f t="shared" si="0"/>
        <v>0.87133859754728105</v>
      </c>
    </row>
    <row r="16" spans="2:17" ht="22.8" customHeight="1">
      <c r="B16" s="498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499"/>
      <c r="C17" s="379" t="s">
        <v>36</v>
      </c>
      <c r="D17" s="12">
        <v>0.70208333333333317</v>
      </c>
      <c r="E17" s="12">
        <v>0.62222222222222223</v>
      </c>
      <c r="F17" s="12">
        <v>0.69444444444444453</v>
      </c>
      <c r="G17" s="12">
        <v>0.64513888888888893</v>
      </c>
      <c r="H17" s="12">
        <v>0.66041666666666665</v>
      </c>
      <c r="I17" s="12">
        <v>0.76388888888888884</v>
      </c>
      <c r="J17" s="12">
        <v>0.79722222222222205</v>
      </c>
      <c r="K17" s="12">
        <v>0.76736111111111094</v>
      </c>
      <c r="L17" s="12">
        <v>0.92499999999999982</v>
      </c>
      <c r="M17" s="12">
        <v>0.95833333333333326</v>
      </c>
      <c r="N17" s="12">
        <v>1.0027777777777778</v>
      </c>
      <c r="O17" s="22">
        <v>0.93680555555555556</v>
      </c>
      <c r="P17" s="12">
        <v>0.66111111111111098</v>
      </c>
      <c r="Q17" s="382">
        <v>0.65625</v>
      </c>
    </row>
    <row r="18" spans="2:17" ht="22.8" customHeight="1">
      <c r="B18" s="502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503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502" t="s">
        <v>16</v>
      </c>
      <c r="C20" s="383" t="s">
        <v>213</v>
      </c>
      <c r="D20" s="384" t="s">
        <v>15</v>
      </c>
      <c r="E20" s="384" t="s">
        <v>15</v>
      </c>
      <c r="F20" s="384" t="s">
        <v>15</v>
      </c>
      <c r="G20" s="384" t="s">
        <v>15</v>
      </c>
      <c r="H20" s="384">
        <v>1</v>
      </c>
      <c r="I20" s="384" t="s">
        <v>15</v>
      </c>
      <c r="J20" s="384">
        <v>1</v>
      </c>
      <c r="K20" s="384">
        <v>2</v>
      </c>
      <c r="L20" s="384">
        <v>2</v>
      </c>
      <c r="M20" s="384" t="s">
        <v>15</v>
      </c>
      <c r="N20" s="384" t="s">
        <v>15</v>
      </c>
      <c r="O20" s="384" t="s">
        <v>15</v>
      </c>
      <c r="P20" s="384" t="s">
        <v>15</v>
      </c>
      <c r="Q20" s="385"/>
    </row>
    <row r="21" spans="2:17" ht="22.8" customHeight="1">
      <c r="B21" s="503"/>
      <c r="C21" s="383" t="s">
        <v>215</v>
      </c>
      <c r="D21" s="384">
        <v>1</v>
      </c>
      <c r="E21" s="384">
        <v>1</v>
      </c>
      <c r="F21" s="384">
        <v>1</v>
      </c>
      <c r="G21" s="384">
        <v>1</v>
      </c>
      <c r="H21" s="384" t="s">
        <v>15</v>
      </c>
      <c r="I21" s="384" t="s">
        <v>15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17" ht="22.8" customHeight="1">
      <c r="B22" s="481" t="s">
        <v>216</v>
      </c>
      <c r="C22" s="504"/>
      <c r="D22" s="386">
        <v>18.5</v>
      </c>
      <c r="E22" s="386">
        <v>17.333333333333332</v>
      </c>
      <c r="F22" s="386">
        <v>15.428571428571429</v>
      </c>
      <c r="G22" s="386">
        <v>5.7142857142857144</v>
      </c>
      <c r="H22" s="386">
        <v>6.6</v>
      </c>
      <c r="I22" s="386">
        <v>16.428571428571427</v>
      </c>
      <c r="J22" s="386">
        <v>18.571428571428573</v>
      </c>
      <c r="K22" s="386">
        <v>16.285714285714285</v>
      </c>
      <c r="L22" s="386">
        <v>14.5</v>
      </c>
      <c r="M22" s="386">
        <v>18.5</v>
      </c>
      <c r="N22" s="386">
        <v>17.5</v>
      </c>
      <c r="O22" s="386">
        <v>17.166666666666668</v>
      </c>
      <c r="P22" s="386">
        <v>11.333333333333334</v>
      </c>
      <c r="Q22" s="387">
        <v>12</v>
      </c>
    </row>
    <row r="23" spans="2:17" ht="22.8" customHeight="1">
      <c r="B23" s="481" t="s">
        <v>217</v>
      </c>
      <c r="C23" s="50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481" t="s">
        <v>218</v>
      </c>
      <c r="C24" s="50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483" t="s">
        <v>219</v>
      </c>
      <c r="C25" s="505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00"/>
      <c r="C27" s="501"/>
      <c r="D27" s="485" t="s">
        <v>220</v>
      </c>
      <c r="E27" s="486"/>
      <c r="F27" s="486"/>
      <c r="G27" s="486"/>
      <c r="H27" s="487"/>
      <c r="I27" s="488" t="s">
        <v>221</v>
      </c>
      <c r="J27" s="489"/>
      <c r="K27" s="489"/>
      <c r="L27" s="489"/>
      <c r="M27" s="490"/>
      <c r="N27" s="378"/>
      <c r="O27" s="378"/>
      <c r="P27" s="378"/>
      <c r="Q27" s="378"/>
    </row>
    <row r="28" spans="2:17" ht="17.25" customHeight="1">
      <c r="B28" s="491" t="s">
        <v>194</v>
      </c>
      <c r="C28" s="492"/>
      <c r="D28" s="388">
        <v>1</v>
      </c>
      <c r="E28" s="448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493"/>
      <c r="C29" s="494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495" t="s">
        <v>35</v>
      </c>
      <c r="C30" s="392" t="s">
        <v>208</v>
      </c>
      <c r="D30" s="20">
        <v>320</v>
      </c>
      <c r="E30" s="450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496"/>
      <c r="C31" s="392" t="s">
        <v>209</v>
      </c>
      <c r="D31" s="394">
        <v>271.0266666666671</v>
      </c>
      <c r="E31" s="8">
        <v>772.57130124777166</v>
      </c>
      <c r="F31" s="8">
        <v>0</v>
      </c>
      <c r="G31" s="8">
        <v>812.995628933391</v>
      </c>
      <c r="H31" s="395">
        <v>914.5994869155038</v>
      </c>
      <c r="I31" s="394">
        <v>0</v>
      </c>
      <c r="J31" s="8">
        <v>920.57142857142765</v>
      </c>
      <c r="K31" s="8">
        <v>624.01111111111118</v>
      </c>
      <c r="L31" s="8">
        <v>865.43593984839958</v>
      </c>
      <c r="M31" s="395">
        <v>840.73947089947058</v>
      </c>
      <c r="N31" s="378"/>
      <c r="O31" s="378"/>
      <c r="P31" s="378"/>
      <c r="Q31" s="378"/>
    </row>
    <row r="32" spans="2:17" ht="39.9" customHeight="1">
      <c r="B32" s="497"/>
      <c r="C32" s="449" t="s">
        <v>210</v>
      </c>
      <c r="D32" s="396">
        <f t="shared" ref="D32:M32" si="1">D31/D30</f>
        <v>0.8469583333333347</v>
      </c>
      <c r="E32" s="10">
        <f t="shared" si="1"/>
        <v>0.93645006211851112</v>
      </c>
      <c r="F32" s="10">
        <f t="shared" si="1"/>
        <v>0</v>
      </c>
      <c r="G32" s="10">
        <f t="shared" si="1"/>
        <v>0.90332847659265669</v>
      </c>
      <c r="H32" s="10">
        <f t="shared" si="1"/>
        <v>1.0162216521283376</v>
      </c>
      <c r="I32" s="394">
        <f t="shared" si="1"/>
        <v>0</v>
      </c>
      <c r="J32" s="10">
        <f t="shared" si="1"/>
        <v>1.1158441558441548</v>
      </c>
      <c r="K32" s="10">
        <f t="shared" si="1"/>
        <v>0.69334567901234578</v>
      </c>
      <c r="L32" s="10">
        <f t="shared" si="1"/>
        <v>0.96159548872044398</v>
      </c>
      <c r="M32" s="11">
        <f t="shared" si="1"/>
        <v>0.93415496766607842</v>
      </c>
      <c r="N32" s="378"/>
      <c r="O32" s="378"/>
      <c r="P32" s="378"/>
      <c r="Q32" s="378"/>
    </row>
    <row r="33" spans="2:17" ht="25.8" customHeight="1">
      <c r="B33" s="498" t="s">
        <v>211</v>
      </c>
      <c r="C33" s="449" t="s">
        <v>212</v>
      </c>
      <c r="D33" s="397">
        <v>0.18055555555555555</v>
      </c>
      <c r="E33" s="12">
        <v>0.18055555555555555</v>
      </c>
      <c r="F33" s="12">
        <v>0</v>
      </c>
      <c r="G33" s="12">
        <v>2962.0408163265315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8"/>
      <c r="O33" s="378"/>
      <c r="P33" s="378"/>
      <c r="Q33" s="378"/>
    </row>
    <row r="34" spans="2:17" ht="25.8" customHeight="1">
      <c r="B34" s="499"/>
      <c r="C34" s="449" t="s">
        <v>36</v>
      </c>
      <c r="D34" s="397">
        <v>0.22222222222222221</v>
      </c>
      <c r="E34" s="12">
        <v>0.30972222222222223</v>
      </c>
      <c r="F34" s="12">
        <v>0</v>
      </c>
      <c r="G34" s="12">
        <v>1056.470588235288</v>
      </c>
      <c r="H34" s="382">
        <v>0.54027777777777775</v>
      </c>
      <c r="I34" s="23">
        <v>0</v>
      </c>
      <c r="J34" s="12">
        <v>0.74652777777777779</v>
      </c>
      <c r="K34" s="12">
        <v>0.80208333333333337</v>
      </c>
      <c r="L34" s="12">
        <v>46147.086805555555</v>
      </c>
      <c r="M34" s="13">
        <v>46146.052083333336</v>
      </c>
      <c r="N34" s="378"/>
      <c r="O34" s="378"/>
      <c r="P34" s="378"/>
      <c r="Q34" s="378"/>
    </row>
    <row r="35" spans="2:17" ht="25.8" customHeight="1">
      <c r="B35" s="481" t="s">
        <v>216</v>
      </c>
      <c r="C35" s="482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481" t="s">
        <v>217</v>
      </c>
      <c r="C36" s="482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481" t="s">
        <v>218</v>
      </c>
      <c r="C37" s="482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483" t="s">
        <v>219</v>
      </c>
      <c r="C38" s="484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245" priority="4" operator="lessThan">
      <formula>0.8</formula>
    </cfRule>
  </conditionalFormatting>
  <conditionalFormatting sqref="J32:L32">
    <cfRule type="cellIs" dxfId="3244" priority="3" operator="lessThan">
      <formula>0.8</formula>
    </cfRule>
  </conditionalFormatting>
  <conditionalFormatting sqref="M32">
    <cfRule type="cellIs" dxfId="3243" priority="2" operator="lessThan">
      <formula>0.8</formula>
    </cfRule>
  </conditionalFormatting>
  <conditionalFormatting sqref="H32">
    <cfRule type="cellIs" dxfId="324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23" sqref="I23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400</v>
      </c>
      <c r="B1" s="281"/>
      <c r="C1" s="282"/>
      <c r="D1" s="283" t="s">
        <v>401</v>
      </c>
      <c r="E1" s="284">
        <f>SUM(G5:G124)</f>
        <v>94807</v>
      </c>
      <c r="F1" s="285" t="s">
        <v>3</v>
      </c>
      <c r="G1" s="286">
        <f>SUM(H5:H124)</f>
        <v>1882420.5463636364</v>
      </c>
      <c r="H1" s="287" t="s">
        <v>402</v>
      </c>
      <c r="I1" s="288">
        <f>+J16+J64+J24+J38+J51+J81+J100+J91+J57+J124+J111</f>
        <v>42.923809523809531</v>
      </c>
      <c r="J1" s="557" t="s">
        <v>403</v>
      </c>
      <c r="K1" s="558"/>
      <c r="L1" s="559"/>
      <c r="M1" s="557" t="s">
        <v>369</v>
      </c>
      <c r="N1" s="558"/>
      <c r="O1" s="558"/>
      <c r="P1" s="558"/>
      <c r="Q1" s="558"/>
      <c r="R1" s="559"/>
    </row>
    <row r="2" spans="1:18" ht="26.25" customHeight="1" thickBot="1">
      <c r="A2" s="563" t="s">
        <v>404</v>
      </c>
      <c r="B2" s="564"/>
      <c r="C2" s="290"/>
      <c r="D2" s="456" t="s">
        <v>376</v>
      </c>
      <c r="E2" s="291">
        <f>AVERAGE(L16,L24,L38,L51,L100,L111,L91)</f>
        <v>597.38620617957815</v>
      </c>
      <c r="F2" s="292" t="s">
        <v>40</v>
      </c>
      <c r="G2" s="293">
        <f>G1/E1</f>
        <v>19.855290710217982</v>
      </c>
      <c r="H2" s="294" t="s">
        <v>405</v>
      </c>
      <c r="I2" s="295">
        <f>COUNT(I5:I124)</f>
        <v>0</v>
      </c>
      <c r="J2" s="560"/>
      <c r="K2" s="561"/>
      <c r="L2" s="562"/>
      <c r="M2" s="560"/>
      <c r="N2" s="561"/>
      <c r="O2" s="561"/>
      <c r="P2" s="561"/>
      <c r="Q2" s="561"/>
      <c r="R2" s="562"/>
    </row>
    <row r="3" spans="1:18" ht="23.25" customHeight="1">
      <c r="A3" s="565" t="s">
        <v>377</v>
      </c>
      <c r="B3" s="567" t="s">
        <v>406</v>
      </c>
      <c r="C3" s="458"/>
      <c r="D3" s="568" t="s">
        <v>378</v>
      </c>
      <c r="E3" s="568"/>
      <c r="F3" s="569" t="s">
        <v>43</v>
      </c>
      <c r="G3" s="570" t="s">
        <v>407</v>
      </c>
      <c r="H3" s="571" t="s">
        <v>408</v>
      </c>
      <c r="I3" s="572" t="s">
        <v>379</v>
      </c>
      <c r="J3" s="574" t="s">
        <v>381</v>
      </c>
      <c r="K3" s="587" t="s">
        <v>380</v>
      </c>
      <c r="L3" s="589" t="s">
        <v>376</v>
      </c>
      <c r="M3" s="591" t="s">
        <v>48</v>
      </c>
      <c r="N3" s="591"/>
      <c r="O3" s="574" t="s">
        <v>121</v>
      </c>
      <c r="P3" s="592" t="s">
        <v>409</v>
      </c>
      <c r="Q3" s="574" t="s">
        <v>410</v>
      </c>
      <c r="R3" s="574"/>
    </row>
    <row r="4" spans="1:18" ht="15.75" customHeight="1">
      <c r="A4" s="566"/>
      <c r="B4" s="567"/>
      <c r="C4" s="458"/>
      <c r="D4" s="568"/>
      <c r="E4" s="568"/>
      <c r="F4" s="569"/>
      <c r="G4" s="570"/>
      <c r="H4" s="571"/>
      <c r="I4" s="573"/>
      <c r="J4" s="586"/>
      <c r="K4" s="588"/>
      <c r="L4" s="590"/>
      <c r="M4" s="454" t="s">
        <v>50</v>
      </c>
      <c r="N4" s="454" t="s">
        <v>51</v>
      </c>
      <c r="O4" s="586"/>
      <c r="P4" s="593"/>
      <c r="Q4" s="296" t="s">
        <v>389</v>
      </c>
      <c r="R4" s="296" t="s">
        <v>411</v>
      </c>
    </row>
    <row r="5" spans="1:18">
      <c r="A5" s="575" t="s">
        <v>412</v>
      </c>
      <c r="B5" s="297">
        <v>0</v>
      </c>
      <c r="C5" s="297"/>
      <c r="D5" s="298" t="s">
        <v>256</v>
      </c>
      <c r="E5" s="298"/>
      <c r="F5" s="299" t="s">
        <v>148</v>
      </c>
      <c r="G5" s="458">
        <v>2416</v>
      </c>
      <c r="H5" s="300">
        <f>F5*G5</f>
        <v>0</v>
      </c>
      <c r="I5" s="460"/>
      <c r="J5" s="301">
        <v>9</v>
      </c>
      <c r="K5" s="302">
        <f t="shared" ref="K5:K11" si="0">G5/P5*60</f>
        <v>1610.6666666666667</v>
      </c>
      <c r="L5" s="303">
        <f t="shared" ref="L5:L11" si="1">K5/J5</f>
        <v>178.96296296296296</v>
      </c>
      <c r="M5" s="304">
        <v>0.17361111111111113</v>
      </c>
      <c r="N5" s="304">
        <v>0.23611111111111113</v>
      </c>
      <c r="O5" s="296">
        <v>10</v>
      </c>
      <c r="P5" s="455">
        <f t="shared" ref="P5:P11" si="2">(N5-M5)*24*60</f>
        <v>90</v>
      </c>
      <c r="Q5" s="305"/>
      <c r="R5" s="305"/>
    </row>
    <row r="6" spans="1:18">
      <c r="A6" s="575"/>
      <c r="B6" s="297">
        <v>0</v>
      </c>
      <c r="C6" s="297"/>
      <c r="D6" s="298" t="s">
        <v>257</v>
      </c>
      <c r="E6" s="298"/>
      <c r="F6" s="299" t="s">
        <v>148</v>
      </c>
      <c r="G6" s="458">
        <v>2262</v>
      </c>
      <c r="H6" s="300">
        <f t="shared" ref="H6:H15" si="3">F6*G6</f>
        <v>0</v>
      </c>
      <c r="I6" s="460"/>
      <c r="J6" s="301">
        <v>9</v>
      </c>
      <c r="K6" s="302">
        <f t="shared" si="0"/>
        <v>1596.7058823529417</v>
      </c>
      <c r="L6" s="303">
        <f t="shared" si="1"/>
        <v>177.4117647058824</v>
      </c>
      <c r="M6" s="304">
        <v>0.23958333333333334</v>
      </c>
      <c r="N6" s="304">
        <v>0.2986111111111111</v>
      </c>
      <c r="O6" s="296">
        <v>5</v>
      </c>
      <c r="P6" s="455">
        <f t="shared" si="2"/>
        <v>84.999999999999972</v>
      </c>
      <c r="Q6" s="296"/>
      <c r="R6" s="296"/>
    </row>
    <row r="7" spans="1:18">
      <c r="A7" s="575"/>
      <c r="B7" s="297" t="s">
        <v>149</v>
      </c>
      <c r="C7" s="297"/>
      <c r="D7" s="298" t="s">
        <v>258</v>
      </c>
      <c r="E7" s="298"/>
      <c r="F7" s="299">
        <v>36.450000000000003</v>
      </c>
      <c r="G7" s="458">
        <v>4873</v>
      </c>
      <c r="H7" s="300">
        <f t="shared" si="3"/>
        <v>177620.85</v>
      </c>
      <c r="I7" s="460"/>
      <c r="J7" s="301">
        <v>15</v>
      </c>
      <c r="K7" s="302">
        <f t="shared" si="0"/>
        <v>1499.3846153846152</v>
      </c>
      <c r="L7" s="303">
        <f t="shared" si="1"/>
        <v>99.958974358974345</v>
      </c>
      <c r="M7" s="304">
        <v>0.30208333333333331</v>
      </c>
      <c r="N7" s="304">
        <v>0.4375</v>
      </c>
      <c r="O7" s="296">
        <v>5</v>
      </c>
      <c r="P7" s="455">
        <f t="shared" si="2"/>
        <v>195.00000000000003</v>
      </c>
      <c r="Q7" s="305">
        <v>0.44444444444444442</v>
      </c>
      <c r="R7" s="305">
        <v>0.47569444444444442</v>
      </c>
    </row>
    <row r="8" spans="1:18">
      <c r="A8" s="575"/>
      <c r="B8" s="297" t="s">
        <v>149</v>
      </c>
      <c r="C8" s="297"/>
      <c r="D8" s="298" t="s">
        <v>259</v>
      </c>
      <c r="E8" s="298"/>
      <c r="F8" s="299">
        <v>29.85</v>
      </c>
      <c r="G8" s="458">
        <v>2416</v>
      </c>
      <c r="H8" s="300">
        <f t="shared" si="3"/>
        <v>72117.600000000006</v>
      </c>
      <c r="I8" s="460"/>
      <c r="J8" s="301">
        <v>12</v>
      </c>
      <c r="K8" s="302">
        <f t="shared" si="0"/>
        <v>1812.0000000000009</v>
      </c>
      <c r="L8" s="303">
        <f t="shared" si="1"/>
        <v>151.00000000000009</v>
      </c>
      <c r="M8" s="304">
        <v>0.47916666666666669</v>
      </c>
      <c r="N8" s="304">
        <v>0.53472222222222221</v>
      </c>
      <c r="O8" s="296">
        <v>5</v>
      </c>
      <c r="P8" s="455">
        <f t="shared" si="2"/>
        <v>79.999999999999957</v>
      </c>
      <c r="Q8" s="305"/>
      <c r="R8" s="305"/>
    </row>
    <row r="9" spans="1:18">
      <c r="A9" s="575"/>
      <c r="B9" s="297" t="s">
        <v>149</v>
      </c>
      <c r="C9" s="297"/>
      <c r="D9" s="298" t="s">
        <v>260</v>
      </c>
      <c r="E9" s="298"/>
      <c r="F9" s="299">
        <v>29.52</v>
      </c>
      <c r="G9" s="306">
        <v>2262</v>
      </c>
      <c r="H9" s="300">
        <f t="shared" si="3"/>
        <v>66774.240000000005</v>
      </c>
      <c r="I9" s="460"/>
      <c r="J9" s="301">
        <v>12</v>
      </c>
      <c r="K9" s="302">
        <f t="shared" si="0"/>
        <v>1696.4999999999995</v>
      </c>
      <c r="L9" s="303">
        <f t="shared" si="1"/>
        <v>141.37499999999997</v>
      </c>
      <c r="M9" s="304">
        <v>0.53819444444444442</v>
      </c>
      <c r="N9" s="304">
        <v>0.59375</v>
      </c>
      <c r="O9" s="296">
        <v>5</v>
      </c>
      <c r="P9" s="455">
        <f t="shared" si="2"/>
        <v>80.000000000000028</v>
      </c>
      <c r="Q9" s="305"/>
      <c r="R9" s="305"/>
    </row>
    <row r="10" spans="1:18">
      <c r="A10" s="575"/>
      <c r="B10" s="297" t="s">
        <v>149</v>
      </c>
      <c r="C10" s="297"/>
      <c r="D10" s="298" t="s">
        <v>261</v>
      </c>
      <c r="E10" s="298"/>
      <c r="F10" s="299">
        <v>23.19</v>
      </c>
      <c r="G10" s="306">
        <v>706</v>
      </c>
      <c r="H10" s="300">
        <f t="shared" si="3"/>
        <v>16372.140000000001</v>
      </c>
      <c r="I10" s="460"/>
      <c r="J10" s="301">
        <v>15</v>
      </c>
      <c r="K10" s="302">
        <f t="shared" si="0"/>
        <v>1210.2857142857129</v>
      </c>
      <c r="L10" s="303">
        <f t="shared" si="1"/>
        <v>80.685714285714184</v>
      </c>
      <c r="M10" s="304">
        <v>0.59722222222222221</v>
      </c>
      <c r="N10" s="304">
        <v>0.62152777777777779</v>
      </c>
      <c r="O10" s="296">
        <v>5</v>
      </c>
      <c r="P10" s="455">
        <f t="shared" si="2"/>
        <v>35.000000000000036</v>
      </c>
      <c r="Q10" s="305"/>
      <c r="R10" s="305"/>
    </row>
    <row r="11" spans="1:18">
      <c r="A11" s="575"/>
      <c r="B11" s="297" t="s">
        <v>149</v>
      </c>
      <c r="C11" s="297"/>
      <c r="D11" s="298" t="s">
        <v>262</v>
      </c>
      <c r="E11" s="298"/>
      <c r="F11" s="299">
        <v>23.55</v>
      </c>
      <c r="G11" s="306">
        <v>962</v>
      </c>
      <c r="H11" s="300">
        <f t="shared" si="3"/>
        <v>22655.100000000002</v>
      </c>
      <c r="I11" s="460"/>
      <c r="J11" s="301">
        <v>15</v>
      </c>
      <c r="K11" s="302">
        <f t="shared" si="0"/>
        <v>1282.6666666666665</v>
      </c>
      <c r="L11" s="303">
        <f t="shared" si="1"/>
        <v>85.511111111111106</v>
      </c>
      <c r="M11" s="304">
        <v>0.625</v>
      </c>
      <c r="N11" s="304">
        <v>0.65625</v>
      </c>
      <c r="O11" s="296">
        <v>5</v>
      </c>
      <c r="P11" s="455">
        <f t="shared" si="2"/>
        <v>45</v>
      </c>
      <c r="Q11" s="305"/>
      <c r="R11" s="305"/>
    </row>
    <row r="12" spans="1:18">
      <c r="A12" s="576"/>
      <c r="B12" s="297">
        <v>0</v>
      </c>
      <c r="C12" s="459"/>
      <c r="D12" s="298"/>
      <c r="E12" s="298"/>
      <c r="F12" s="299" t="s">
        <v>148</v>
      </c>
      <c r="G12" s="457"/>
      <c r="H12" s="300">
        <f t="shared" si="3"/>
        <v>0</v>
      </c>
      <c r="I12" s="460"/>
      <c r="J12" s="301"/>
      <c r="K12" s="302"/>
      <c r="L12" s="303"/>
      <c r="M12" s="304"/>
      <c r="N12" s="304"/>
      <c r="O12" s="296"/>
      <c r="P12" s="455"/>
      <c r="Q12" s="305"/>
      <c r="R12" s="296"/>
    </row>
    <row r="13" spans="1:18">
      <c r="A13" s="576"/>
      <c r="B13" s="297">
        <v>0</v>
      </c>
      <c r="C13" s="297"/>
      <c r="D13" s="452"/>
      <c r="E13" s="453"/>
      <c r="F13" s="299" t="s">
        <v>148</v>
      </c>
      <c r="G13" s="306"/>
      <c r="H13" s="300">
        <f t="shared" si="3"/>
        <v>0</v>
      </c>
      <c r="I13" s="460"/>
      <c r="J13" s="301"/>
      <c r="K13" s="302"/>
      <c r="L13" s="303"/>
      <c r="M13" s="304"/>
      <c r="N13" s="304"/>
      <c r="O13" s="296"/>
      <c r="P13" s="455"/>
      <c r="Q13" s="296"/>
      <c r="R13" s="296"/>
    </row>
    <row r="14" spans="1:18">
      <c r="A14" s="576"/>
      <c r="B14" s="297">
        <v>0</v>
      </c>
      <c r="C14" s="297"/>
      <c r="D14" s="452"/>
      <c r="E14" s="453"/>
      <c r="F14" s="299" t="s">
        <v>148</v>
      </c>
      <c r="G14" s="306"/>
      <c r="H14" s="300">
        <f t="shared" si="3"/>
        <v>0</v>
      </c>
      <c r="I14" s="460"/>
      <c r="J14" s="301"/>
      <c r="K14" s="302"/>
      <c r="L14" s="303"/>
      <c r="M14" s="304"/>
      <c r="N14" s="304"/>
      <c r="O14" s="296"/>
      <c r="P14" s="455"/>
      <c r="Q14" s="296"/>
      <c r="R14" s="296"/>
    </row>
    <row r="15" spans="1:18">
      <c r="A15" s="576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60"/>
      <c r="J15" s="301"/>
      <c r="K15" s="302"/>
      <c r="L15" s="303"/>
      <c r="M15" s="304"/>
      <c r="N15" s="304"/>
      <c r="O15" s="296"/>
      <c r="P15" s="455"/>
      <c r="Q15" s="296"/>
      <c r="R15" s="296"/>
    </row>
    <row r="16" spans="1:18" ht="15.75" customHeight="1">
      <c r="A16" s="577"/>
      <c r="B16" s="297">
        <v>0</v>
      </c>
      <c r="C16" s="308" t="s">
        <v>413</v>
      </c>
      <c r="D16" s="578" t="s">
        <v>396</v>
      </c>
      <c r="E16" s="578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1529.7442207652289</v>
      </c>
      <c r="L16" s="314">
        <f>AVERAGE(L5:L15)</f>
        <v>130.70078963209215</v>
      </c>
      <c r="M16" s="304"/>
      <c r="N16" s="304"/>
      <c r="O16" s="302"/>
      <c r="P16" s="302"/>
      <c r="Q16" s="303"/>
      <c r="R16" s="303"/>
    </row>
    <row r="17" spans="1:18" ht="15.75" customHeight="1">
      <c r="A17" s="579" t="s">
        <v>414</v>
      </c>
      <c r="B17" s="297" t="s">
        <v>149</v>
      </c>
      <c r="C17" s="459"/>
      <c r="D17" s="582" t="s">
        <v>415</v>
      </c>
      <c r="E17" s="583"/>
      <c r="F17" s="299">
        <v>14.03</v>
      </c>
      <c r="G17" s="458">
        <v>371</v>
      </c>
      <c r="H17" s="315">
        <f t="shared" ref="H17:H23" si="4">F17*G17</f>
        <v>5205.13</v>
      </c>
      <c r="I17" s="316"/>
      <c r="J17" s="301">
        <v>6</v>
      </c>
      <c r="K17" s="302">
        <f>G17/P17*60</f>
        <v>1484.0000000000014</v>
      </c>
      <c r="L17" s="303">
        <f>K17/J17</f>
        <v>247.33333333333357</v>
      </c>
      <c r="M17" s="304">
        <v>0.18055555555555555</v>
      </c>
      <c r="N17" s="304">
        <v>0.19097222222222221</v>
      </c>
      <c r="O17" s="296">
        <v>20</v>
      </c>
      <c r="P17" s="455">
        <f>(N17-M17)*24*60</f>
        <v>14.999999999999986</v>
      </c>
      <c r="Q17" s="296"/>
      <c r="R17" s="296"/>
    </row>
    <row r="18" spans="1:18" ht="15.75" customHeight="1">
      <c r="A18" s="579"/>
      <c r="B18" s="297" t="s">
        <v>146</v>
      </c>
      <c r="C18" s="459"/>
      <c r="D18" s="584" t="s">
        <v>416</v>
      </c>
      <c r="E18" s="585"/>
      <c r="F18" s="299">
        <v>14.49</v>
      </c>
      <c r="G18" s="457">
        <v>614</v>
      </c>
      <c r="H18" s="300">
        <f t="shared" si="4"/>
        <v>8896.86</v>
      </c>
      <c r="I18" s="460"/>
      <c r="J18" s="301">
        <v>5</v>
      </c>
      <c r="K18" s="302">
        <f>G18/P18*60</f>
        <v>1473.6000000000029</v>
      </c>
      <c r="L18" s="303">
        <f>K18/J18</f>
        <v>294.7200000000006</v>
      </c>
      <c r="M18" s="304">
        <v>0.20486111111111113</v>
      </c>
      <c r="N18" s="304">
        <v>0.22222222222222221</v>
      </c>
      <c r="O18" s="296">
        <v>20</v>
      </c>
      <c r="P18" s="455">
        <f t="shared" ref="P18" si="5">(N18-M18)*24*60</f>
        <v>24.99999999999995</v>
      </c>
      <c r="Q18" s="305"/>
      <c r="R18" s="305"/>
    </row>
    <row r="19" spans="1:18" ht="15.75" customHeight="1">
      <c r="A19" s="579"/>
      <c r="B19" s="297">
        <v>0</v>
      </c>
      <c r="C19" s="459"/>
      <c r="D19" s="584"/>
      <c r="E19" s="585"/>
      <c r="F19" s="299" t="s">
        <v>148</v>
      </c>
      <c r="G19" s="457"/>
      <c r="H19" s="300">
        <f t="shared" si="4"/>
        <v>0</v>
      </c>
      <c r="I19" s="460"/>
      <c r="J19" s="301"/>
      <c r="K19" s="302"/>
      <c r="L19" s="303"/>
      <c r="M19" s="304"/>
      <c r="N19" s="304"/>
      <c r="O19" s="296"/>
      <c r="P19" s="455"/>
      <c r="Q19" s="305"/>
      <c r="R19" s="305"/>
    </row>
    <row r="20" spans="1:18" ht="15.75" customHeight="1">
      <c r="A20" s="580"/>
      <c r="B20" s="297">
        <v>0</v>
      </c>
      <c r="C20" s="459"/>
      <c r="D20" s="317"/>
      <c r="E20" s="453"/>
      <c r="F20" s="299" t="s">
        <v>148</v>
      </c>
      <c r="G20" s="457"/>
      <c r="H20" s="300">
        <f t="shared" si="4"/>
        <v>0</v>
      </c>
      <c r="I20" s="460"/>
      <c r="J20" s="301"/>
      <c r="K20" s="302"/>
      <c r="L20" s="303"/>
      <c r="M20" s="304"/>
      <c r="N20" s="304"/>
      <c r="O20" s="296"/>
      <c r="P20" s="455"/>
      <c r="Q20" s="296"/>
      <c r="R20" s="296"/>
    </row>
    <row r="21" spans="1:18" ht="15.75" customHeight="1">
      <c r="A21" s="580"/>
      <c r="B21" s="297">
        <v>0</v>
      </c>
      <c r="C21" s="459"/>
      <c r="D21" s="317"/>
      <c r="E21" s="453"/>
      <c r="F21" s="299" t="s">
        <v>148</v>
      </c>
      <c r="G21" s="457"/>
      <c r="H21" s="300">
        <f t="shared" si="4"/>
        <v>0</v>
      </c>
      <c r="I21" s="460"/>
      <c r="J21" s="301"/>
      <c r="K21" s="302"/>
      <c r="L21" s="303"/>
      <c r="M21" s="304"/>
      <c r="N21" s="304"/>
      <c r="O21" s="296"/>
      <c r="P21" s="455"/>
      <c r="Q21" s="296"/>
      <c r="R21" s="296"/>
    </row>
    <row r="22" spans="1:18" ht="15.75" customHeight="1">
      <c r="A22" s="580"/>
      <c r="B22" s="297">
        <v>0</v>
      </c>
      <c r="C22" s="459"/>
      <c r="D22" s="317"/>
      <c r="E22" s="453"/>
      <c r="F22" s="299" t="s">
        <v>148</v>
      </c>
      <c r="G22" s="457"/>
      <c r="H22" s="300">
        <f t="shared" si="4"/>
        <v>0</v>
      </c>
      <c r="I22" s="460"/>
      <c r="J22" s="301"/>
      <c r="K22" s="302"/>
      <c r="L22" s="303"/>
      <c r="M22" s="304"/>
      <c r="N22" s="304"/>
      <c r="O22" s="296"/>
      <c r="P22" s="455"/>
      <c r="Q22" s="296"/>
      <c r="R22" s="296"/>
    </row>
    <row r="23" spans="1:18" ht="15.75" customHeight="1">
      <c r="A23" s="580"/>
      <c r="B23" s="297">
        <v>0</v>
      </c>
      <c r="C23" s="459"/>
      <c r="D23" s="317"/>
      <c r="E23" s="453"/>
      <c r="F23" s="299" t="s">
        <v>148</v>
      </c>
      <c r="G23" s="457"/>
      <c r="H23" s="300">
        <f t="shared" si="4"/>
        <v>0</v>
      </c>
      <c r="I23" s="460"/>
      <c r="J23" s="301"/>
      <c r="K23" s="302"/>
      <c r="L23" s="303"/>
      <c r="M23" s="304"/>
      <c r="N23" s="304"/>
      <c r="O23" s="296"/>
      <c r="P23" s="455"/>
      <c r="Q23" s="296"/>
      <c r="R23" s="296"/>
    </row>
    <row r="24" spans="1:18" ht="17.399999999999999" customHeight="1">
      <c r="A24" s="581"/>
      <c r="B24" s="297">
        <v>0</v>
      </c>
      <c r="C24" s="6" t="s">
        <v>417</v>
      </c>
      <c r="D24" s="578" t="s">
        <v>396</v>
      </c>
      <c r="E24" s="578"/>
      <c r="F24" s="309"/>
      <c r="G24" s="318"/>
      <c r="H24" s="311"/>
      <c r="I24" s="312"/>
      <c r="J24" s="313">
        <f>AVERAGE(J17:J23)</f>
        <v>5.5</v>
      </c>
      <c r="K24" s="313">
        <f>AVERAGE(K17:K23)</f>
        <v>1478.800000000002</v>
      </c>
      <c r="L24" s="314">
        <f>AVERAGE(L17:L23)</f>
        <v>271.0266666666671</v>
      </c>
      <c r="M24" s="304"/>
      <c r="N24" s="304"/>
      <c r="O24" s="296"/>
      <c r="P24" s="296"/>
      <c r="Q24" s="296"/>
      <c r="R24" s="296"/>
    </row>
    <row r="25" spans="1:18">
      <c r="A25" s="594" t="s">
        <v>418</v>
      </c>
      <c r="B25" s="297" t="s">
        <v>146</v>
      </c>
      <c r="C25" s="319"/>
      <c r="D25" s="321" t="s">
        <v>419</v>
      </c>
      <c r="E25" s="320"/>
      <c r="F25" s="299">
        <v>15.03</v>
      </c>
      <c r="G25" s="458">
        <v>1581</v>
      </c>
      <c r="H25" s="300">
        <f t="shared" ref="H25:H37" si="6">F25*G25</f>
        <v>23762.43</v>
      </c>
      <c r="I25" s="460"/>
      <c r="J25" s="301">
        <v>4</v>
      </c>
      <c r="K25" s="302">
        <f t="shared" ref="K25:K27" si="7">G25/P25*60</f>
        <v>2789.9999999999964</v>
      </c>
      <c r="L25" s="303">
        <f t="shared" ref="L25:L27" si="8">K25/J25</f>
        <v>697.49999999999909</v>
      </c>
      <c r="M25" s="304">
        <v>0.18055555555555555</v>
      </c>
      <c r="N25" s="304">
        <v>0.20416666666666669</v>
      </c>
      <c r="O25" s="296">
        <v>20</v>
      </c>
      <c r="P25" s="455">
        <f t="shared" ref="P25:P27" si="9">(N25-M25)*24*60</f>
        <v>34.000000000000043</v>
      </c>
      <c r="Q25" s="305"/>
      <c r="R25" s="305"/>
    </row>
    <row r="26" spans="1:18">
      <c r="A26" s="594"/>
      <c r="B26" s="297" t="s">
        <v>146</v>
      </c>
      <c r="C26" s="319"/>
      <c r="D26" s="317" t="s">
        <v>122</v>
      </c>
      <c r="E26" s="322"/>
      <c r="F26" s="299">
        <v>18.18</v>
      </c>
      <c r="G26" s="458">
        <v>3164</v>
      </c>
      <c r="H26" s="300">
        <f t="shared" si="6"/>
        <v>57521.52</v>
      </c>
      <c r="I26" s="460"/>
      <c r="J26" s="301">
        <v>4</v>
      </c>
      <c r="K26" s="302">
        <f t="shared" si="7"/>
        <v>2791.7647058823532</v>
      </c>
      <c r="L26" s="303">
        <f t="shared" si="8"/>
        <v>697.94117647058829</v>
      </c>
      <c r="M26" s="304">
        <v>0.21805555555555556</v>
      </c>
      <c r="N26" s="304">
        <v>0.26527777777777778</v>
      </c>
      <c r="O26" s="296">
        <v>20</v>
      </c>
      <c r="P26" s="455">
        <f t="shared" si="9"/>
        <v>68</v>
      </c>
      <c r="Q26" s="305"/>
      <c r="R26" s="305"/>
    </row>
    <row r="27" spans="1:18">
      <c r="A27" s="594"/>
      <c r="B27" s="297" t="s">
        <v>146</v>
      </c>
      <c r="C27" s="319"/>
      <c r="D27" s="321" t="s">
        <v>124</v>
      </c>
      <c r="E27" s="322"/>
      <c r="F27" s="299">
        <v>18.53</v>
      </c>
      <c r="G27" s="458">
        <v>2029</v>
      </c>
      <c r="H27" s="300">
        <f t="shared" si="6"/>
        <v>37597.370000000003</v>
      </c>
      <c r="I27" s="460"/>
      <c r="J27" s="301">
        <v>3</v>
      </c>
      <c r="K27" s="302">
        <f t="shared" si="7"/>
        <v>2766.818181818182</v>
      </c>
      <c r="L27" s="303">
        <f t="shared" si="8"/>
        <v>922.27272727272737</v>
      </c>
      <c r="M27" s="304">
        <v>0.27916666666666667</v>
      </c>
      <c r="N27" s="304">
        <v>0.30972222222222223</v>
      </c>
      <c r="O27" s="296">
        <v>20</v>
      </c>
      <c r="P27" s="455">
        <f t="shared" si="9"/>
        <v>44</v>
      </c>
      <c r="Q27" s="305"/>
      <c r="R27" s="305"/>
    </row>
    <row r="28" spans="1:18">
      <c r="A28" s="594"/>
      <c r="B28" s="297">
        <v>0</v>
      </c>
      <c r="C28" s="459"/>
      <c r="D28" s="317"/>
      <c r="E28" s="322"/>
      <c r="F28" s="299" t="s">
        <v>148</v>
      </c>
      <c r="G28" s="458"/>
      <c r="H28" s="300">
        <f t="shared" si="6"/>
        <v>0</v>
      </c>
      <c r="I28" s="460"/>
      <c r="J28" s="301"/>
      <c r="K28" s="302"/>
      <c r="L28" s="303"/>
      <c r="M28" s="304"/>
      <c r="N28" s="304"/>
      <c r="O28" s="296"/>
      <c r="P28" s="455"/>
      <c r="Q28" s="305"/>
      <c r="R28" s="305"/>
    </row>
    <row r="29" spans="1:18">
      <c r="A29" s="594"/>
      <c r="B29" s="297">
        <v>0</v>
      </c>
      <c r="C29" s="458"/>
      <c r="D29" s="321"/>
      <c r="E29" s="322"/>
      <c r="F29" s="299" t="s">
        <v>148</v>
      </c>
      <c r="G29" s="458"/>
      <c r="H29" s="300">
        <f t="shared" si="6"/>
        <v>0</v>
      </c>
      <c r="I29" s="460"/>
      <c r="J29" s="301"/>
      <c r="K29" s="302"/>
      <c r="L29" s="303"/>
      <c r="M29" s="304"/>
      <c r="N29" s="304"/>
      <c r="O29" s="296"/>
      <c r="P29" s="455"/>
      <c r="Q29" s="305"/>
      <c r="R29" s="305"/>
    </row>
    <row r="30" spans="1:18">
      <c r="A30" s="594"/>
      <c r="B30" s="297">
        <v>0</v>
      </c>
      <c r="C30" s="458"/>
      <c r="D30" s="323"/>
      <c r="E30" s="322"/>
      <c r="F30" s="299" t="s">
        <v>148</v>
      </c>
      <c r="G30" s="458"/>
      <c r="H30" s="300">
        <f t="shared" si="6"/>
        <v>0</v>
      </c>
      <c r="I30" s="460"/>
      <c r="J30" s="301"/>
      <c r="K30" s="302"/>
      <c r="L30" s="303"/>
      <c r="M30" s="304"/>
      <c r="N30" s="304"/>
      <c r="O30" s="296"/>
      <c r="P30" s="455"/>
      <c r="Q30" s="305"/>
      <c r="R30" s="305"/>
    </row>
    <row r="31" spans="1:18" ht="15.75" customHeight="1">
      <c r="A31" s="594"/>
      <c r="B31" s="297">
        <v>0</v>
      </c>
      <c r="C31" s="459"/>
      <c r="D31" s="317"/>
      <c r="E31" s="322"/>
      <c r="F31" s="299" t="s">
        <v>148</v>
      </c>
      <c r="G31" s="458"/>
      <c r="H31" s="300">
        <f t="shared" si="6"/>
        <v>0</v>
      </c>
      <c r="I31" s="460"/>
      <c r="J31" s="301"/>
      <c r="K31" s="302"/>
      <c r="L31" s="303"/>
      <c r="M31" s="304"/>
      <c r="N31" s="304"/>
      <c r="O31" s="296"/>
      <c r="P31" s="455"/>
      <c r="Q31" s="305"/>
      <c r="R31" s="305"/>
    </row>
    <row r="32" spans="1:18">
      <c r="A32" s="594"/>
      <c r="B32" s="297">
        <v>0</v>
      </c>
      <c r="C32" s="459"/>
      <c r="D32" s="317"/>
      <c r="E32" s="453"/>
      <c r="F32" s="299" t="s">
        <v>148</v>
      </c>
      <c r="G32" s="458"/>
      <c r="H32" s="300">
        <f t="shared" si="6"/>
        <v>0</v>
      </c>
      <c r="I32" s="460"/>
      <c r="J32" s="301"/>
      <c r="K32" s="302"/>
      <c r="L32" s="303"/>
      <c r="M32" s="304"/>
      <c r="N32" s="304"/>
      <c r="O32" s="296"/>
      <c r="P32" s="455"/>
      <c r="Q32" s="305"/>
      <c r="R32" s="305"/>
    </row>
    <row r="33" spans="1:18">
      <c r="A33" s="594"/>
      <c r="B33" s="297">
        <v>0</v>
      </c>
      <c r="C33" s="458"/>
      <c r="D33" s="321"/>
      <c r="E33" s="322"/>
      <c r="F33" s="299" t="s">
        <v>148</v>
      </c>
      <c r="G33" s="458"/>
      <c r="H33" s="300">
        <f t="shared" si="6"/>
        <v>0</v>
      </c>
      <c r="I33" s="460"/>
      <c r="J33" s="301"/>
      <c r="K33" s="302"/>
      <c r="L33" s="303"/>
      <c r="M33" s="304"/>
      <c r="N33" s="304"/>
      <c r="O33" s="296"/>
      <c r="P33" s="455"/>
      <c r="Q33" s="305"/>
      <c r="R33" s="305"/>
    </row>
    <row r="34" spans="1:18">
      <c r="A34" s="594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60"/>
      <c r="J34" s="301"/>
      <c r="K34" s="302"/>
      <c r="L34" s="303"/>
      <c r="M34" s="304"/>
      <c r="N34" s="304"/>
      <c r="O34" s="296"/>
      <c r="P34" s="455"/>
      <c r="Q34" s="305"/>
      <c r="R34" s="305"/>
    </row>
    <row r="35" spans="1:18">
      <c r="A35" s="594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60"/>
      <c r="J35" s="301"/>
      <c r="K35" s="302"/>
      <c r="L35" s="303"/>
      <c r="M35" s="304"/>
      <c r="N35" s="304"/>
      <c r="O35" s="296"/>
      <c r="P35" s="455"/>
      <c r="Q35" s="305"/>
      <c r="R35" s="305"/>
    </row>
    <row r="36" spans="1:18">
      <c r="A36" s="594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60"/>
      <c r="J36" s="301"/>
      <c r="K36" s="302"/>
      <c r="L36" s="303"/>
      <c r="M36" s="304"/>
      <c r="N36" s="304"/>
      <c r="O36" s="296"/>
      <c r="P36" s="455"/>
      <c r="Q36" s="305"/>
      <c r="R36" s="305"/>
    </row>
    <row r="37" spans="1:18">
      <c r="A37" s="594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60"/>
      <c r="J37" s="301"/>
      <c r="K37" s="302"/>
      <c r="L37" s="303"/>
      <c r="M37" s="304"/>
      <c r="N37" s="304"/>
      <c r="O37" s="296"/>
      <c r="P37" s="455"/>
      <c r="Q37" s="305"/>
      <c r="R37" s="305"/>
    </row>
    <row r="38" spans="1:18" ht="17.399999999999999" customHeight="1">
      <c r="A38" s="595"/>
      <c r="B38" s="297">
        <v>0</v>
      </c>
      <c r="C38" s="6" t="s">
        <v>27</v>
      </c>
      <c r="D38" s="596" t="s">
        <v>123</v>
      </c>
      <c r="E38" s="596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2782.8609625668437</v>
      </c>
      <c r="L38" s="314">
        <f>AVERAGE(L25:L37)</f>
        <v>772.57130124777166</v>
      </c>
      <c r="M38" s="304"/>
      <c r="N38" s="304"/>
      <c r="O38" s="302"/>
      <c r="P38" s="302"/>
      <c r="Q38" s="303"/>
      <c r="R38" s="303"/>
    </row>
    <row r="39" spans="1:18" ht="16.2" customHeight="1">
      <c r="A39" s="597" t="s">
        <v>420</v>
      </c>
      <c r="B39" s="297">
        <v>0</v>
      </c>
      <c r="C39" s="459"/>
      <c r="D39" s="320"/>
      <c r="E39" s="453"/>
      <c r="F39" s="299" t="s">
        <v>148</v>
      </c>
      <c r="G39" s="458"/>
      <c r="H39" s="300">
        <f t="shared" ref="H39:H47" si="10">F39*G39</f>
        <v>0</v>
      </c>
      <c r="I39" s="460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598"/>
      <c r="B40" s="297">
        <v>0</v>
      </c>
      <c r="C40" s="459"/>
      <c r="D40" s="320"/>
      <c r="E40" s="453"/>
      <c r="F40" s="299" t="s">
        <v>148</v>
      </c>
      <c r="G40" s="458"/>
      <c r="H40" s="300">
        <f t="shared" si="10"/>
        <v>0</v>
      </c>
      <c r="I40" s="460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598"/>
      <c r="B41" s="297">
        <v>0</v>
      </c>
      <c r="C41" s="459"/>
      <c r="D41" s="320"/>
      <c r="E41" s="453"/>
      <c r="F41" s="299" t="s">
        <v>148</v>
      </c>
      <c r="G41" s="458"/>
      <c r="H41" s="300">
        <f t="shared" si="10"/>
        <v>0</v>
      </c>
      <c r="I41" s="460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598"/>
      <c r="B42" s="297">
        <v>0</v>
      </c>
      <c r="C42" s="459"/>
      <c r="D42" s="338"/>
      <c r="E42" s="453"/>
      <c r="F42" s="299" t="s">
        <v>148</v>
      </c>
      <c r="G42" s="458"/>
      <c r="H42" s="300">
        <f t="shared" si="10"/>
        <v>0</v>
      </c>
      <c r="I42" s="460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598"/>
      <c r="B43" s="297">
        <v>0</v>
      </c>
      <c r="C43" s="459"/>
      <c r="D43" s="321"/>
      <c r="E43" s="453"/>
      <c r="F43" s="299" t="s">
        <v>148</v>
      </c>
      <c r="G43" s="458"/>
      <c r="H43" s="300">
        <f t="shared" si="10"/>
        <v>0</v>
      </c>
      <c r="I43" s="460"/>
      <c r="J43" s="301"/>
      <c r="K43" s="302"/>
      <c r="L43" s="303"/>
      <c r="M43" s="304"/>
      <c r="N43" s="304"/>
      <c r="O43" s="296"/>
      <c r="P43" s="455"/>
      <c r="Q43" s="305"/>
      <c r="R43" s="305"/>
    </row>
    <row r="44" spans="1:18">
      <c r="A44" s="598"/>
      <c r="B44" s="297">
        <v>0</v>
      </c>
      <c r="C44" s="459"/>
      <c r="D44" s="321"/>
      <c r="E44" s="327"/>
      <c r="F44" s="299" t="s">
        <v>148</v>
      </c>
      <c r="G44" s="328"/>
      <c r="H44" s="329">
        <f t="shared" si="10"/>
        <v>0</v>
      </c>
      <c r="I44" s="461"/>
      <c r="J44" s="301"/>
      <c r="K44" s="302"/>
      <c r="L44" s="303"/>
      <c r="M44" s="304"/>
      <c r="N44" s="304"/>
      <c r="O44" s="296"/>
      <c r="P44" s="455"/>
      <c r="Q44" s="305"/>
      <c r="R44" s="305"/>
    </row>
    <row r="45" spans="1:18">
      <c r="A45" s="598"/>
      <c r="B45" s="297">
        <v>0</v>
      </c>
      <c r="C45" s="459"/>
      <c r="D45" s="321"/>
      <c r="E45" s="322"/>
      <c r="F45" s="299" t="s">
        <v>148</v>
      </c>
      <c r="G45" s="458"/>
      <c r="H45" s="300">
        <f t="shared" si="10"/>
        <v>0</v>
      </c>
      <c r="I45" s="460"/>
      <c r="J45" s="301"/>
      <c r="K45" s="302"/>
      <c r="L45" s="303"/>
      <c r="M45" s="304"/>
      <c r="N45" s="304"/>
      <c r="O45" s="296"/>
      <c r="P45" s="455"/>
      <c r="Q45" s="305"/>
      <c r="R45" s="305"/>
    </row>
    <row r="46" spans="1:18">
      <c r="A46" s="598"/>
      <c r="B46" s="297">
        <v>0</v>
      </c>
      <c r="C46" s="459"/>
      <c r="D46" s="337"/>
      <c r="E46" s="327"/>
      <c r="F46" s="299" t="s">
        <v>148</v>
      </c>
      <c r="G46" s="328"/>
      <c r="H46" s="329">
        <f t="shared" si="10"/>
        <v>0</v>
      </c>
      <c r="I46" s="461"/>
      <c r="J46" s="301"/>
      <c r="K46" s="302"/>
      <c r="L46" s="303"/>
      <c r="M46" s="304"/>
      <c r="N46" s="304"/>
      <c r="O46" s="296"/>
      <c r="P46" s="455"/>
      <c r="Q46" s="305"/>
      <c r="R46" s="305"/>
    </row>
    <row r="47" spans="1:18">
      <c r="A47" s="598"/>
      <c r="B47" s="297">
        <v>0</v>
      </c>
      <c r="C47" s="459"/>
      <c r="D47" s="320"/>
      <c r="E47" s="322"/>
      <c r="F47" s="299" t="s">
        <v>148</v>
      </c>
      <c r="G47" s="458"/>
      <c r="H47" s="300">
        <f t="shared" si="10"/>
        <v>0</v>
      </c>
      <c r="I47" s="460"/>
      <c r="J47" s="301"/>
      <c r="K47" s="302"/>
      <c r="L47" s="303"/>
      <c r="M47" s="304"/>
      <c r="N47" s="304"/>
      <c r="O47" s="296"/>
      <c r="P47" s="455"/>
      <c r="Q47" s="305"/>
      <c r="R47" s="305"/>
    </row>
    <row r="48" spans="1:18">
      <c r="A48" s="599"/>
      <c r="B48" s="297">
        <v>0</v>
      </c>
      <c r="C48" s="458"/>
      <c r="D48" s="337"/>
      <c r="E48" s="376"/>
      <c r="F48" s="299" t="s">
        <v>148</v>
      </c>
      <c r="G48" s="458"/>
      <c r="H48" s="300"/>
      <c r="I48" s="460"/>
      <c r="J48" s="301"/>
      <c r="K48" s="302"/>
      <c r="L48" s="303"/>
      <c r="M48" s="304"/>
      <c r="N48" s="304"/>
      <c r="O48" s="296"/>
      <c r="P48" s="455"/>
      <c r="Q48" s="305"/>
      <c r="R48" s="305"/>
    </row>
    <row r="49" spans="1:18">
      <c r="A49" s="599"/>
      <c r="B49" s="297">
        <v>0</v>
      </c>
      <c r="C49" s="458"/>
      <c r="D49" s="330"/>
      <c r="E49" s="331"/>
      <c r="F49" s="299" t="s">
        <v>148</v>
      </c>
      <c r="G49" s="296"/>
      <c r="H49" s="329">
        <f>F49*G49</f>
        <v>0</v>
      </c>
      <c r="I49" s="455"/>
      <c r="J49" s="301"/>
      <c r="K49" s="302"/>
      <c r="L49" s="303"/>
      <c r="M49" s="304"/>
      <c r="N49" s="304"/>
      <c r="O49" s="296"/>
      <c r="P49" s="455"/>
      <c r="Q49" s="305"/>
      <c r="R49" s="305"/>
    </row>
    <row r="50" spans="1:18">
      <c r="A50" s="599"/>
      <c r="B50" s="297">
        <v>0</v>
      </c>
      <c r="C50" s="458"/>
      <c r="D50" s="330"/>
      <c r="E50" s="331"/>
      <c r="F50" s="299" t="s">
        <v>148</v>
      </c>
      <c r="G50" s="296"/>
      <c r="H50" s="329">
        <f>F50*G50</f>
        <v>0</v>
      </c>
      <c r="I50" s="455"/>
      <c r="J50" s="301"/>
      <c r="K50" s="302"/>
      <c r="L50" s="303"/>
      <c r="M50" s="304"/>
      <c r="N50" s="304"/>
      <c r="O50" s="296"/>
      <c r="P50" s="455"/>
      <c r="Q50" s="305"/>
      <c r="R50" s="305"/>
    </row>
    <row r="51" spans="1:18" ht="15.75" customHeight="1">
      <c r="A51" s="600"/>
      <c r="B51" s="297">
        <v>0</v>
      </c>
      <c r="C51" s="6" t="s">
        <v>28</v>
      </c>
      <c r="D51" s="578" t="s">
        <v>396</v>
      </c>
      <c r="E51" s="578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01" t="s">
        <v>421</v>
      </c>
      <c r="B52" s="297" t="s">
        <v>146</v>
      </c>
      <c r="C52" s="459"/>
      <c r="D52" s="320" t="s">
        <v>129</v>
      </c>
      <c r="E52" s="335"/>
      <c r="F52" s="299">
        <v>18.18</v>
      </c>
      <c r="G52" s="458">
        <v>898</v>
      </c>
      <c r="H52" s="300">
        <f>F52*G52</f>
        <v>16325.64</v>
      </c>
      <c r="I52" s="460"/>
      <c r="J52" s="301">
        <v>3</v>
      </c>
      <c r="K52" s="302">
        <f>G52/P52*60</f>
        <v>3169.4117647058638</v>
      </c>
      <c r="L52" s="303">
        <f>K52/J52</f>
        <v>1056.470588235288</v>
      </c>
      <c r="M52" s="304">
        <v>0.30555555555555552</v>
      </c>
      <c r="N52" s="304">
        <v>0.31736111111111115</v>
      </c>
      <c r="O52" s="302">
        <v>10</v>
      </c>
      <c r="P52" s="455">
        <f>(N52-M52)*24*60</f>
        <v>17.000000000000099</v>
      </c>
      <c r="Q52" s="305"/>
      <c r="R52" s="305"/>
    </row>
    <row r="53" spans="1:18" ht="15.6" customHeight="1">
      <c r="A53" s="602"/>
      <c r="B53" s="297" t="s">
        <v>146</v>
      </c>
      <c r="C53" s="459"/>
      <c r="D53" s="320" t="s">
        <v>125</v>
      </c>
      <c r="E53" s="336"/>
      <c r="F53" s="299">
        <v>25.03</v>
      </c>
      <c r="G53" s="306">
        <v>873</v>
      </c>
      <c r="H53" s="300">
        <f t="shared" ref="H53:H116" si="11">F53*G53</f>
        <v>21851.190000000002</v>
      </c>
      <c r="I53" s="460"/>
      <c r="J53" s="301">
        <v>4</v>
      </c>
      <c r="K53" s="302">
        <f t="shared" ref="K53:K57" si="12">G53/P53*60</f>
        <v>3081.1764705882465</v>
      </c>
      <c r="L53" s="303">
        <f t="shared" ref="L53:L57" si="13">K53/J53</f>
        <v>770.29411764706163</v>
      </c>
      <c r="M53" s="304">
        <v>0.33124999999999999</v>
      </c>
      <c r="N53" s="304">
        <v>0.3430555555555555</v>
      </c>
      <c r="O53" s="302">
        <v>20</v>
      </c>
      <c r="P53" s="455">
        <f t="shared" ref="P53:P57" si="14">(N53-M53)*24*60</f>
        <v>16.99999999999994</v>
      </c>
      <c r="Q53" s="305"/>
      <c r="R53" s="305"/>
    </row>
    <row r="54" spans="1:18" ht="15.6" customHeight="1">
      <c r="A54" s="602"/>
      <c r="B54" s="297" t="s">
        <v>146</v>
      </c>
      <c r="C54" s="459"/>
      <c r="D54" s="320" t="s">
        <v>126</v>
      </c>
      <c r="E54" s="453"/>
      <c r="F54" s="299">
        <v>24.82</v>
      </c>
      <c r="G54" s="306">
        <v>1142</v>
      </c>
      <c r="H54" s="300">
        <f t="shared" si="11"/>
        <v>28344.44</v>
      </c>
      <c r="I54" s="460"/>
      <c r="J54" s="301">
        <v>4</v>
      </c>
      <c r="K54" s="302">
        <f t="shared" si="12"/>
        <v>3114.5454545454545</v>
      </c>
      <c r="L54" s="303">
        <f t="shared" si="13"/>
        <v>778.63636363636363</v>
      </c>
      <c r="M54" s="304">
        <v>0.35694444444444445</v>
      </c>
      <c r="N54" s="304">
        <v>0.37222222222222223</v>
      </c>
      <c r="O54" s="302">
        <v>20</v>
      </c>
      <c r="P54" s="455">
        <f t="shared" si="14"/>
        <v>22</v>
      </c>
      <c r="Q54" s="305"/>
      <c r="R54" s="305"/>
    </row>
    <row r="55" spans="1:18" ht="15.6" customHeight="1">
      <c r="A55" s="602"/>
      <c r="B55" s="297" t="s">
        <v>146</v>
      </c>
      <c r="C55" s="459"/>
      <c r="D55" s="320" t="s">
        <v>127</v>
      </c>
      <c r="E55" s="322"/>
      <c r="F55" s="299">
        <v>30</v>
      </c>
      <c r="G55" s="306">
        <v>1670</v>
      </c>
      <c r="H55" s="300">
        <f t="shared" si="11"/>
        <v>50100</v>
      </c>
      <c r="I55" s="460"/>
      <c r="J55" s="301">
        <v>4</v>
      </c>
      <c r="K55" s="302">
        <f t="shared" si="12"/>
        <v>3131.2499999999959</v>
      </c>
      <c r="L55" s="303">
        <f t="shared" si="13"/>
        <v>782.81249999999898</v>
      </c>
      <c r="M55" s="304">
        <v>0.38611111111111113</v>
      </c>
      <c r="N55" s="304">
        <v>0.40833333333333338</v>
      </c>
      <c r="O55" s="302">
        <v>20</v>
      </c>
      <c r="P55" s="455">
        <f t="shared" si="14"/>
        <v>32.000000000000043</v>
      </c>
      <c r="Q55" s="305">
        <v>0.40833333333333338</v>
      </c>
      <c r="R55" s="305">
        <v>0.45</v>
      </c>
    </row>
    <row r="56" spans="1:18" ht="15.6" customHeight="1">
      <c r="A56" s="602"/>
      <c r="B56" s="297" t="s">
        <v>146</v>
      </c>
      <c r="C56" s="459"/>
      <c r="D56" s="321" t="s">
        <v>422</v>
      </c>
      <c r="E56" s="322"/>
      <c r="F56" s="299">
        <v>23.72</v>
      </c>
      <c r="G56" s="306">
        <v>2419</v>
      </c>
      <c r="H56" s="300">
        <f t="shared" si="11"/>
        <v>57378.68</v>
      </c>
      <c r="I56" s="460"/>
      <c r="J56" s="301">
        <v>4</v>
      </c>
      <c r="K56" s="302">
        <f t="shared" si="12"/>
        <v>2962.0408163265315</v>
      </c>
      <c r="L56" s="303">
        <f t="shared" si="13"/>
        <v>740.51020408163288</v>
      </c>
      <c r="M56" s="304">
        <v>0.46736111111111112</v>
      </c>
      <c r="N56" s="304">
        <v>0.50138888888888888</v>
      </c>
      <c r="O56" s="302">
        <v>20</v>
      </c>
      <c r="P56" s="455">
        <f t="shared" si="14"/>
        <v>48.999999999999986</v>
      </c>
      <c r="Q56" s="305"/>
      <c r="R56" s="305"/>
    </row>
    <row r="57" spans="1:18" ht="15.75" customHeight="1">
      <c r="A57" s="602"/>
      <c r="B57" s="297" t="s">
        <v>146</v>
      </c>
      <c r="C57" s="6" t="s">
        <v>31</v>
      </c>
      <c r="D57" s="338" t="s">
        <v>423</v>
      </c>
      <c r="E57" s="322"/>
      <c r="F57" s="299">
        <v>27.48</v>
      </c>
      <c r="G57" s="306">
        <v>2997</v>
      </c>
      <c r="H57" s="300">
        <f t="shared" si="11"/>
        <v>82357.56</v>
      </c>
      <c r="I57" s="460"/>
      <c r="J57" s="301">
        <v>4</v>
      </c>
      <c r="K57" s="302">
        <f t="shared" si="12"/>
        <v>2997.0000000000027</v>
      </c>
      <c r="L57" s="303">
        <f t="shared" si="13"/>
        <v>749.25000000000068</v>
      </c>
      <c r="M57" s="304">
        <v>0.51527777777777783</v>
      </c>
      <c r="N57" s="304">
        <v>0.55694444444444446</v>
      </c>
      <c r="O57" s="302">
        <v>20</v>
      </c>
      <c r="P57" s="455">
        <f t="shared" si="14"/>
        <v>59.999999999999943</v>
      </c>
      <c r="Q57" s="305"/>
      <c r="R57" s="305"/>
    </row>
    <row r="58" spans="1:18" ht="15.6" customHeight="1">
      <c r="A58" s="602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60"/>
      <c r="J58" s="301"/>
      <c r="K58" s="302"/>
      <c r="L58" s="303"/>
      <c r="M58" s="304"/>
      <c r="N58" s="304"/>
      <c r="O58" s="302"/>
      <c r="P58" s="455"/>
      <c r="Q58" s="305"/>
      <c r="R58" s="305"/>
    </row>
    <row r="59" spans="1:18" ht="15.6" customHeight="1">
      <c r="A59" s="602"/>
      <c r="B59" s="297">
        <v>0</v>
      </c>
      <c r="C59" s="459"/>
      <c r="D59" s="337"/>
      <c r="E59" s="322"/>
      <c r="F59" s="299" t="s">
        <v>148</v>
      </c>
      <c r="G59" s="306"/>
      <c r="H59" s="300">
        <f t="shared" si="11"/>
        <v>0</v>
      </c>
      <c r="I59" s="460"/>
      <c r="J59" s="301"/>
      <c r="K59" s="302"/>
      <c r="L59" s="303"/>
      <c r="M59" s="304"/>
      <c r="N59" s="304"/>
      <c r="O59" s="302"/>
      <c r="P59" s="455"/>
      <c r="Q59" s="305"/>
      <c r="R59" s="305"/>
    </row>
    <row r="60" spans="1:18" ht="15.6" customHeight="1">
      <c r="A60" s="602"/>
      <c r="B60" s="297">
        <v>0</v>
      </c>
      <c r="C60" s="459"/>
      <c r="D60" s="338"/>
      <c r="E60" s="341"/>
      <c r="F60" s="299" t="s">
        <v>148</v>
      </c>
      <c r="G60" s="306"/>
      <c r="H60" s="300">
        <f t="shared" si="11"/>
        <v>0</v>
      </c>
      <c r="I60" s="460"/>
      <c r="J60" s="301"/>
      <c r="K60" s="302"/>
      <c r="L60" s="303"/>
      <c r="M60" s="304"/>
      <c r="N60" s="304"/>
      <c r="O60" s="302"/>
      <c r="P60" s="455"/>
      <c r="Q60" s="305"/>
      <c r="R60" s="305"/>
    </row>
    <row r="61" spans="1:18" ht="15.6" customHeight="1">
      <c r="A61" s="602"/>
      <c r="B61" s="297">
        <v>0</v>
      </c>
      <c r="C61" s="459"/>
      <c r="D61" s="320"/>
      <c r="E61" s="322"/>
      <c r="F61" s="299" t="s">
        <v>148</v>
      </c>
      <c r="G61" s="306"/>
      <c r="H61" s="300">
        <f t="shared" si="11"/>
        <v>0</v>
      </c>
      <c r="I61" s="460"/>
      <c r="J61" s="301"/>
      <c r="K61" s="302"/>
      <c r="L61" s="303"/>
      <c r="M61" s="304"/>
      <c r="N61" s="304"/>
      <c r="O61" s="302"/>
      <c r="P61" s="455"/>
      <c r="Q61" s="305"/>
      <c r="R61" s="305"/>
    </row>
    <row r="62" spans="1:18" ht="15.6" customHeight="1">
      <c r="A62" s="602"/>
      <c r="B62" s="297">
        <v>0</v>
      </c>
      <c r="C62" s="459"/>
      <c r="D62" s="337"/>
      <c r="E62" s="342"/>
      <c r="F62" s="299" t="s">
        <v>148</v>
      </c>
      <c r="G62" s="306"/>
      <c r="H62" s="300">
        <f t="shared" si="11"/>
        <v>0</v>
      </c>
      <c r="I62" s="460"/>
      <c r="J62" s="301"/>
      <c r="K62" s="302"/>
      <c r="L62" s="303"/>
      <c r="M62" s="304"/>
      <c r="N62" s="304"/>
      <c r="O62" s="302"/>
      <c r="P62" s="455"/>
      <c r="Q62" s="305"/>
      <c r="R62" s="305"/>
    </row>
    <row r="63" spans="1:18" ht="15.6" customHeight="1">
      <c r="A63" s="602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61"/>
      <c r="J63" s="301"/>
      <c r="K63" s="302"/>
      <c r="L63" s="303"/>
      <c r="M63" s="304"/>
      <c r="N63" s="304"/>
      <c r="O63" s="296"/>
      <c r="P63" s="455"/>
      <c r="Q63" s="305"/>
      <c r="R63" s="305"/>
    </row>
    <row r="64" spans="1:18" ht="15.75" customHeight="1">
      <c r="A64" s="603"/>
      <c r="B64" s="297">
        <v>0</v>
      </c>
      <c r="C64" s="6" t="s">
        <v>424</v>
      </c>
      <c r="D64" s="578" t="s">
        <v>396</v>
      </c>
      <c r="E64" s="578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3075.904084361016</v>
      </c>
      <c r="L64" s="314">
        <f>AVERAGE(L52:L63)</f>
        <v>812.995628933391</v>
      </c>
      <c r="M64" s="304"/>
      <c r="N64" s="304"/>
      <c r="O64" s="296"/>
      <c r="P64" s="296"/>
      <c r="Q64" s="296"/>
      <c r="R64" s="296"/>
    </row>
    <row r="65" spans="1:18" ht="15.6" customHeight="1">
      <c r="A65" s="604" t="s">
        <v>425</v>
      </c>
      <c r="B65" s="297" t="s">
        <v>146</v>
      </c>
      <c r="C65" s="459"/>
      <c r="D65" s="321" t="s">
        <v>426</v>
      </c>
      <c r="E65" s="335"/>
      <c r="F65" s="299">
        <v>22.281818181818181</v>
      </c>
      <c r="G65" s="458">
        <v>670</v>
      </c>
      <c r="H65" s="300">
        <f>F65*G65</f>
        <v>14928.818181818182</v>
      </c>
      <c r="I65" s="460"/>
      <c r="J65" s="301">
        <v>4</v>
      </c>
      <c r="K65" s="302">
        <f t="shared" ref="K65:K71" si="15">G65/P65*60</f>
        <v>3092.3076923076942</v>
      </c>
      <c r="L65" s="303">
        <f t="shared" ref="L65:L71" si="16">K65/J65</f>
        <v>773.07692307692355</v>
      </c>
      <c r="M65" s="304">
        <v>0.18055555555555555</v>
      </c>
      <c r="N65" s="304">
        <v>0.18958333333333333</v>
      </c>
      <c r="O65" s="302">
        <v>20</v>
      </c>
      <c r="P65" s="455">
        <f>(N65-M65)*24*60</f>
        <v>12.999999999999993</v>
      </c>
      <c r="Q65" s="305"/>
      <c r="R65" s="305"/>
    </row>
    <row r="66" spans="1:18" ht="15.6" customHeight="1">
      <c r="A66" s="605"/>
      <c r="B66" s="297" t="s">
        <v>146</v>
      </c>
      <c r="C66" s="459"/>
      <c r="D66" s="321" t="s">
        <v>130</v>
      </c>
      <c r="E66" s="336"/>
      <c r="F66" s="299">
        <v>18.18</v>
      </c>
      <c r="G66" s="306">
        <v>1612</v>
      </c>
      <c r="H66" s="300">
        <f t="shared" ref="H66:H74" si="17">F66*G66</f>
        <v>29306.16</v>
      </c>
      <c r="I66" s="460"/>
      <c r="J66" s="301">
        <v>3</v>
      </c>
      <c r="K66" s="302">
        <f t="shared" si="15"/>
        <v>3119.999999999995</v>
      </c>
      <c r="L66" s="303">
        <f t="shared" si="16"/>
        <v>1039.9999999999984</v>
      </c>
      <c r="M66" s="304">
        <v>0.20347222222222219</v>
      </c>
      <c r="N66" s="304">
        <v>0.22500000000000001</v>
      </c>
      <c r="O66" s="302">
        <v>20</v>
      </c>
      <c r="P66" s="455">
        <f t="shared" ref="P66:P71" si="18">(N66-M66)*24*60</f>
        <v>31.00000000000005</v>
      </c>
      <c r="Q66" s="305"/>
      <c r="R66" s="305"/>
    </row>
    <row r="67" spans="1:18" ht="15.6" customHeight="1">
      <c r="A67" s="605"/>
      <c r="B67" s="297" t="s">
        <v>146</v>
      </c>
      <c r="C67" s="459"/>
      <c r="D67" s="337" t="s">
        <v>427</v>
      </c>
      <c r="E67" s="322"/>
      <c r="F67" s="299">
        <v>17.890909090909091</v>
      </c>
      <c r="G67" s="306">
        <v>1794</v>
      </c>
      <c r="H67" s="300">
        <f t="shared" si="17"/>
        <v>32096.290909090909</v>
      </c>
      <c r="I67" s="460"/>
      <c r="J67" s="301">
        <v>3</v>
      </c>
      <c r="K67" s="302">
        <f t="shared" si="15"/>
        <v>3165.8823529411766</v>
      </c>
      <c r="L67" s="303">
        <f t="shared" si="16"/>
        <v>1055.2941176470588</v>
      </c>
      <c r="M67" s="304">
        <v>0.2388888888888889</v>
      </c>
      <c r="N67" s="304">
        <v>0.26250000000000001</v>
      </c>
      <c r="O67" s="302">
        <v>20</v>
      </c>
      <c r="P67" s="455">
        <f t="shared" si="18"/>
        <v>34</v>
      </c>
      <c r="Q67" s="305">
        <v>0.26250000000000001</v>
      </c>
      <c r="R67" s="305">
        <v>0.30416666666666664</v>
      </c>
    </row>
    <row r="68" spans="1:18" ht="15.6" customHeight="1">
      <c r="A68" s="605"/>
      <c r="B68" s="297" t="s">
        <v>146</v>
      </c>
      <c r="C68" s="459"/>
      <c r="D68" s="337" t="s">
        <v>131</v>
      </c>
      <c r="E68" s="322"/>
      <c r="F68" s="299">
        <v>14.285714285714283</v>
      </c>
      <c r="G68" s="306">
        <v>2764</v>
      </c>
      <c r="H68" s="300">
        <f t="shared" si="17"/>
        <v>39485.714285714275</v>
      </c>
      <c r="I68" s="460"/>
      <c r="J68" s="301">
        <v>3</v>
      </c>
      <c r="K68" s="302">
        <f t="shared" si="15"/>
        <v>1863.3707865168553</v>
      </c>
      <c r="L68" s="303">
        <f t="shared" si="16"/>
        <v>621.12359550561848</v>
      </c>
      <c r="M68" s="304">
        <v>0.3215277777777778</v>
      </c>
      <c r="N68" s="304">
        <v>0.3833333333333333</v>
      </c>
      <c r="O68" s="302">
        <v>20</v>
      </c>
      <c r="P68" s="455">
        <f t="shared" si="18"/>
        <v>88.999999999999929</v>
      </c>
      <c r="Q68" s="305"/>
      <c r="R68" s="305"/>
    </row>
    <row r="69" spans="1:18" ht="15.6" customHeight="1">
      <c r="A69" s="605"/>
      <c r="B69" s="297" t="s">
        <v>146</v>
      </c>
      <c r="C69" s="459"/>
      <c r="D69" s="321" t="s">
        <v>428</v>
      </c>
      <c r="E69" s="322"/>
      <c r="F69" s="299">
        <v>16.66</v>
      </c>
      <c r="G69" s="306">
        <v>3079</v>
      </c>
      <c r="H69" s="300">
        <f t="shared" si="17"/>
        <v>51296.14</v>
      </c>
      <c r="I69" s="460"/>
      <c r="J69" s="301">
        <v>4</v>
      </c>
      <c r="K69" s="302">
        <f t="shared" si="15"/>
        <v>3185.1724137931014</v>
      </c>
      <c r="L69" s="303">
        <f t="shared" si="16"/>
        <v>796.29310344827536</v>
      </c>
      <c r="M69" s="304">
        <v>0.3972222222222222</v>
      </c>
      <c r="N69" s="304">
        <v>0.4375</v>
      </c>
      <c r="O69" s="302">
        <v>20</v>
      </c>
      <c r="P69" s="455">
        <f t="shared" si="18"/>
        <v>58.000000000000036</v>
      </c>
      <c r="Q69" s="305"/>
      <c r="R69" s="305"/>
    </row>
    <row r="70" spans="1:18" ht="15.75" customHeight="1">
      <c r="A70" s="605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3013</v>
      </c>
      <c r="H70" s="300">
        <f t="shared" si="17"/>
        <v>42272.39</v>
      </c>
      <c r="I70" s="460"/>
      <c r="J70" s="301">
        <v>3</v>
      </c>
      <c r="K70" s="302">
        <f t="shared" si="15"/>
        <v>3171.5789473684235</v>
      </c>
      <c r="L70" s="303">
        <f t="shared" si="16"/>
        <v>1057.1929824561412</v>
      </c>
      <c r="M70" s="304">
        <v>0.4513888888888889</v>
      </c>
      <c r="N70" s="304">
        <v>0.4909722222222222</v>
      </c>
      <c r="O70" s="302">
        <v>20</v>
      </c>
      <c r="P70" s="455">
        <f t="shared" si="18"/>
        <v>56.999999999999957</v>
      </c>
      <c r="Q70" s="305"/>
      <c r="R70" s="305"/>
    </row>
    <row r="71" spans="1:18" ht="15.6" customHeight="1">
      <c r="A71" s="605"/>
      <c r="B71" s="297" t="s">
        <v>146</v>
      </c>
      <c r="C71" s="339"/>
      <c r="D71" s="337" t="s">
        <v>429</v>
      </c>
      <c r="E71" s="322"/>
      <c r="F71" s="299">
        <v>25.2</v>
      </c>
      <c r="G71" s="340">
        <v>2701</v>
      </c>
      <c r="H71" s="300">
        <f t="shared" si="17"/>
        <v>68065.2</v>
      </c>
      <c r="I71" s="460"/>
      <c r="J71" s="301">
        <v>3</v>
      </c>
      <c r="K71" s="302">
        <f t="shared" si="15"/>
        <v>3177.6470588235306</v>
      </c>
      <c r="L71" s="303">
        <f t="shared" si="16"/>
        <v>1059.2156862745103</v>
      </c>
      <c r="M71" s="304">
        <v>0.50486111111111109</v>
      </c>
      <c r="N71" s="304">
        <v>0.54027777777777775</v>
      </c>
      <c r="O71" s="302">
        <v>20</v>
      </c>
      <c r="P71" s="455">
        <f t="shared" si="18"/>
        <v>50.999999999999979</v>
      </c>
      <c r="Q71" s="305"/>
      <c r="R71" s="305"/>
    </row>
    <row r="72" spans="1:18" ht="15.6" customHeight="1">
      <c r="A72" s="605"/>
      <c r="B72" s="297">
        <v>0</v>
      </c>
      <c r="C72" s="459"/>
      <c r="D72" s="337"/>
      <c r="E72" s="322"/>
      <c r="F72" s="299" t="s">
        <v>148</v>
      </c>
      <c r="G72" s="306"/>
      <c r="H72" s="300">
        <f t="shared" si="17"/>
        <v>0</v>
      </c>
      <c r="I72" s="460"/>
      <c r="J72" s="301"/>
      <c r="K72" s="302"/>
      <c r="L72" s="303"/>
      <c r="M72" s="304"/>
      <c r="N72" s="304"/>
      <c r="O72" s="302"/>
      <c r="P72" s="455"/>
      <c r="Q72" s="305"/>
      <c r="R72" s="305"/>
    </row>
    <row r="73" spans="1:18" ht="15.6" customHeight="1">
      <c r="A73" s="605"/>
      <c r="B73" s="297">
        <v>0</v>
      </c>
      <c r="C73" s="459"/>
      <c r="D73" s="337"/>
      <c r="E73" s="322"/>
      <c r="F73" s="299" t="s">
        <v>148</v>
      </c>
      <c r="G73" s="306"/>
      <c r="H73" s="300">
        <f t="shared" si="17"/>
        <v>0</v>
      </c>
      <c r="I73" s="460"/>
      <c r="J73" s="301"/>
      <c r="K73" s="302"/>
      <c r="L73" s="303"/>
      <c r="M73" s="304"/>
      <c r="N73" s="304"/>
      <c r="O73" s="302"/>
      <c r="P73" s="455"/>
      <c r="Q73" s="305"/>
      <c r="R73" s="305"/>
    </row>
    <row r="74" spans="1:18" ht="15.6" customHeight="1">
      <c r="A74" s="605"/>
      <c r="B74" s="297">
        <v>0</v>
      </c>
      <c r="C74" s="459"/>
      <c r="D74" s="337"/>
      <c r="E74" s="322"/>
      <c r="F74" s="299" t="s">
        <v>148</v>
      </c>
      <c r="G74" s="306"/>
      <c r="H74" s="300">
        <f t="shared" si="17"/>
        <v>0</v>
      </c>
      <c r="I74" s="460"/>
      <c r="J74" s="301"/>
      <c r="K74" s="302"/>
      <c r="L74" s="303"/>
      <c r="M74" s="304"/>
      <c r="N74" s="304"/>
      <c r="O74" s="302"/>
      <c r="P74" s="455"/>
      <c r="Q74" s="305"/>
      <c r="R74" s="305"/>
    </row>
    <row r="75" spans="1:18" ht="15.75" customHeight="1">
      <c r="A75" s="606"/>
      <c r="B75" s="297">
        <v>0</v>
      </c>
      <c r="C75" s="6" t="s">
        <v>430</v>
      </c>
      <c r="D75" s="578" t="s">
        <v>396</v>
      </c>
      <c r="E75" s="578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2967.9941788215397</v>
      </c>
      <c r="L75" s="314">
        <f>AVERAGE(L65:L74)</f>
        <v>914.5994869155038</v>
      </c>
      <c r="M75" s="304"/>
      <c r="N75" s="304"/>
      <c r="O75" s="296"/>
      <c r="P75" s="296"/>
      <c r="Q75" s="296"/>
      <c r="R75" s="296"/>
    </row>
    <row r="76" spans="1:18" ht="16.2" customHeight="1">
      <c r="A76" s="607" t="s">
        <v>132</v>
      </c>
      <c r="B76" s="297">
        <v>0</v>
      </c>
      <c r="C76" s="308"/>
      <c r="D76" s="608"/>
      <c r="E76" s="609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55"/>
      <c r="Q76" s="305"/>
      <c r="R76" s="305"/>
    </row>
    <row r="77" spans="1:18">
      <c r="A77" s="607"/>
      <c r="B77" s="297">
        <v>0</v>
      </c>
      <c r="C77" s="308"/>
      <c r="D77" s="608"/>
      <c r="E77" s="609"/>
      <c r="F77" s="299" t="s">
        <v>148</v>
      </c>
      <c r="G77" s="458"/>
      <c r="H77" s="300">
        <f t="shared" si="11"/>
        <v>0</v>
      </c>
      <c r="I77" s="460"/>
      <c r="J77" s="301"/>
      <c r="K77" s="302"/>
      <c r="L77" s="303"/>
      <c r="M77" s="304"/>
      <c r="N77" s="304"/>
      <c r="O77" s="296"/>
      <c r="P77" s="455"/>
      <c r="Q77" s="296"/>
      <c r="R77" s="296"/>
    </row>
    <row r="78" spans="1:18">
      <c r="A78" s="607"/>
      <c r="B78" s="297">
        <v>0</v>
      </c>
      <c r="C78" s="308"/>
      <c r="D78" s="451"/>
      <c r="E78" s="451"/>
      <c r="F78" s="299" t="s">
        <v>148</v>
      </c>
      <c r="G78" s="324"/>
      <c r="H78" s="300">
        <f t="shared" si="11"/>
        <v>0</v>
      </c>
      <c r="I78" s="460"/>
      <c r="J78" s="301"/>
      <c r="K78" s="302"/>
      <c r="L78" s="303"/>
      <c r="M78" s="304"/>
      <c r="N78" s="304"/>
      <c r="O78" s="296"/>
      <c r="P78" s="455"/>
      <c r="Q78" s="296"/>
      <c r="R78" s="296"/>
    </row>
    <row r="79" spans="1:18">
      <c r="A79" s="607"/>
      <c r="B79" s="297">
        <v>0</v>
      </c>
      <c r="C79" s="308"/>
      <c r="D79" s="451"/>
      <c r="E79" s="451"/>
      <c r="F79" s="299" t="s">
        <v>148</v>
      </c>
      <c r="G79" s="324"/>
      <c r="H79" s="300">
        <f t="shared" si="11"/>
        <v>0</v>
      </c>
      <c r="I79" s="460"/>
      <c r="J79" s="301"/>
      <c r="K79" s="302"/>
      <c r="L79" s="303"/>
      <c r="M79" s="304"/>
      <c r="N79" s="304"/>
      <c r="O79" s="296"/>
      <c r="P79" s="455"/>
      <c r="Q79" s="296"/>
      <c r="R79" s="296"/>
    </row>
    <row r="80" spans="1:18">
      <c r="A80" s="607"/>
      <c r="B80" s="297">
        <v>0</v>
      </c>
      <c r="C80" s="308"/>
      <c r="D80" s="451"/>
      <c r="E80" s="451"/>
      <c r="F80" s="299" t="s">
        <v>148</v>
      </c>
      <c r="G80" s="324"/>
      <c r="H80" s="300">
        <f t="shared" si="11"/>
        <v>0</v>
      </c>
      <c r="I80" s="460"/>
      <c r="J80" s="301"/>
      <c r="K80" s="302"/>
      <c r="L80" s="303"/>
      <c r="M80" s="304"/>
      <c r="N80" s="304"/>
      <c r="O80" s="296"/>
      <c r="P80" s="455"/>
      <c r="Q80" s="296"/>
      <c r="R80" s="296"/>
    </row>
    <row r="81" spans="1:18" ht="15.75" customHeight="1">
      <c r="A81" s="607"/>
      <c r="B81" s="297">
        <v>0</v>
      </c>
      <c r="C81" s="6" t="s">
        <v>31</v>
      </c>
      <c r="D81" s="596" t="s">
        <v>396</v>
      </c>
      <c r="E81" s="596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12" t="s">
        <v>431</v>
      </c>
      <c r="B82" s="297" t="s">
        <v>146</v>
      </c>
      <c r="C82" s="319"/>
      <c r="D82" s="320" t="s">
        <v>432</v>
      </c>
      <c r="E82" s="346"/>
      <c r="F82" s="299">
        <v>17.22</v>
      </c>
      <c r="G82" s="324">
        <v>1611</v>
      </c>
      <c r="H82" s="347">
        <f t="shared" ref="H82:H90" si="19">F82*G82</f>
        <v>27741.42</v>
      </c>
      <c r="I82" s="460"/>
      <c r="J82" s="301">
        <v>3</v>
      </c>
      <c r="K82" s="302">
        <f t="shared" ref="K82" si="20">G82/P82*60</f>
        <v>2761.7142857142831</v>
      </c>
      <c r="L82" s="303">
        <f t="shared" ref="L82" si="21">K82/J82</f>
        <v>920.57142857142765</v>
      </c>
      <c r="M82" s="304">
        <v>0.72222222222222221</v>
      </c>
      <c r="N82" s="304">
        <v>0.74652777777777779</v>
      </c>
      <c r="O82" s="302">
        <v>20</v>
      </c>
      <c r="P82" s="455">
        <f t="shared" ref="P82" si="22">(N82-M82)*24*60</f>
        <v>35.000000000000036</v>
      </c>
      <c r="Q82" s="305"/>
      <c r="R82" s="305"/>
    </row>
    <row r="83" spans="1:18">
      <c r="A83" s="613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60"/>
      <c r="J83" s="301"/>
      <c r="K83" s="302"/>
      <c r="L83" s="303"/>
      <c r="M83" s="304"/>
      <c r="N83" s="304"/>
      <c r="O83" s="302"/>
      <c r="P83" s="455"/>
      <c r="Q83" s="305"/>
      <c r="R83" s="305"/>
    </row>
    <row r="84" spans="1:18">
      <c r="A84" s="613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60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13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60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13"/>
      <c r="B86" s="297">
        <v>0</v>
      </c>
      <c r="C86" s="319"/>
      <c r="D86" s="320"/>
      <c r="E86" s="346"/>
      <c r="F86" s="299" t="s">
        <v>148</v>
      </c>
      <c r="G86" s="458"/>
      <c r="H86" s="348">
        <f t="shared" si="19"/>
        <v>0</v>
      </c>
      <c r="I86" s="460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13"/>
      <c r="B87" s="297"/>
      <c r="C87" s="319"/>
      <c r="D87" s="320"/>
      <c r="E87" s="346"/>
      <c r="F87" s="299" t="s">
        <v>148</v>
      </c>
      <c r="G87" s="458"/>
      <c r="H87" s="348">
        <f t="shared" si="19"/>
        <v>0</v>
      </c>
      <c r="I87" s="460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13"/>
      <c r="B88" s="297">
        <v>0</v>
      </c>
      <c r="C88" s="319"/>
      <c r="D88" s="320"/>
      <c r="E88" s="346"/>
      <c r="F88" s="299" t="s">
        <v>148</v>
      </c>
      <c r="G88" s="458"/>
      <c r="H88" s="348">
        <f t="shared" si="19"/>
        <v>0</v>
      </c>
      <c r="I88" s="460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13"/>
      <c r="B89" s="297">
        <v>0</v>
      </c>
      <c r="C89" s="319"/>
      <c r="D89" s="320"/>
      <c r="E89" s="346"/>
      <c r="F89" s="299" t="s">
        <v>148</v>
      </c>
      <c r="G89" s="458"/>
      <c r="H89" s="348">
        <f t="shared" si="19"/>
        <v>0</v>
      </c>
      <c r="I89" s="460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13"/>
      <c r="B90" s="297">
        <v>0</v>
      </c>
      <c r="C90" s="319"/>
      <c r="D90" s="320"/>
      <c r="E90" s="346"/>
      <c r="F90" s="299" t="s">
        <v>148</v>
      </c>
      <c r="G90" s="458"/>
      <c r="H90" s="348">
        <f t="shared" si="19"/>
        <v>0</v>
      </c>
      <c r="I90" s="460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13"/>
      <c r="B91" s="297">
        <v>0</v>
      </c>
      <c r="C91" s="6" t="s">
        <v>418</v>
      </c>
      <c r="D91" s="614" t="s">
        <v>396</v>
      </c>
      <c r="E91" s="614"/>
      <c r="F91" s="309"/>
      <c r="G91" s="350"/>
      <c r="H91" s="351"/>
      <c r="I91" s="312"/>
      <c r="J91" s="313">
        <f>AVERAGE(J82:J90)</f>
        <v>3</v>
      </c>
      <c r="K91" s="313">
        <f>AVERAGE(K82:K90)</f>
        <v>2761.7142857142831</v>
      </c>
      <c r="L91" s="314">
        <f>AVERAGE(L82:L90)</f>
        <v>920.57142857142765</v>
      </c>
      <c r="M91" s="304"/>
      <c r="N91" s="304"/>
      <c r="O91" s="302"/>
      <c r="P91" s="302"/>
      <c r="Q91" s="303"/>
      <c r="R91" s="303"/>
    </row>
    <row r="92" spans="1:18" ht="16.2" customHeight="1">
      <c r="A92" s="615" t="s">
        <v>433</v>
      </c>
      <c r="B92" s="297" t="s">
        <v>146</v>
      </c>
      <c r="C92" s="308"/>
      <c r="D92" s="352" t="s">
        <v>434</v>
      </c>
      <c r="E92" s="346"/>
      <c r="F92" s="299">
        <v>24.54</v>
      </c>
      <c r="G92" s="458">
        <v>1643</v>
      </c>
      <c r="H92" s="300">
        <f t="shared" ref="H92:H99" si="23">F92*G92</f>
        <v>40319.22</v>
      </c>
      <c r="I92" s="460"/>
      <c r="J92" s="301">
        <v>3</v>
      </c>
      <c r="K92" s="302">
        <f>G92/P92*60</f>
        <v>2190.666666666667</v>
      </c>
      <c r="L92" s="303">
        <f t="shared" ref="L92:L93" si="24">K92/J92</f>
        <v>730.22222222222229</v>
      </c>
      <c r="M92" s="304">
        <v>0.72222222222222221</v>
      </c>
      <c r="N92" s="304">
        <v>0.75347222222222221</v>
      </c>
      <c r="O92" s="296">
        <v>20</v>
      </c>
      <c r="P92" s="455">
        <f>(N92-M92)*24*60</f>
        <v>45</v>
      </c>
      <c r="Q92" s="305"/>
      <c r="R92" s="305"/>
    </row>
    <row r="93" spans="1:18">
      <c r="A93" s="616"/>
      <c r="B93" s="297" t="s">
        <v>146</v>
      </c>
      <c r="C93" s="308"/>
      <c r="D93" s="320" t="s">
        <v>435</v>
      </c>
      <c r="E93" s="341"/>
      <c r="F93" s="299">
        <v>23.27</v>
      </c>
      <c r="G93" s="306">
        <v>1726</v>
      </c>
      <c r="H93" s="300">
        <f t="shared" si="23"/>
        <v>40164.019999999997</v>
      </c>
      <c r="I93" s="460"/>
      <c r="J93" s="301">
        <v>4</v>
      </c>
      <c r="K93" s="302">
        <f t="shared" ref="K93" si="25">G93/P93*60</f>
        <v>2071.2000000000007</v>
      </c>
      <c r="L93" s="303">
        <f t="shared" si="24"/>
        <v>517.80000000000018</v>
      </c>
      <c r="M93" s="304">
        <v>0.76736111111111116</v>
      </c>
      <c r="N93" s="304">
        <v>0.80208333333333337</v>
      </c>
      <c r="O93" s="296">
        <v>20</v>
      </c>
      <c r="P93" s="455">
        <f>(N93-M93)*24*60</f>
        <v>49.999999999999986</v>
      </c>
      <c r="Q93" s="305"/>
      <c r="R93" s="305"/>
    </row>
    <row r="94" spans="1:18">
      <c r="A94" s="616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60"/>
      <c r="J94" s="301">
        <v>4</v>
      </c>
      <c r="K94" s="302"/>
      <c r="L94" s="303"/>
      <c r="M94" s="304"/>
      <c r="N94" s="304"/>
      <c r="O94" s="296"/>
      <c r="P94" s="455"/>
      <c r="Q94" s="305"/>
      <c r="R94" s="305"/>
    </row>
    <row r="95" spans="1:18">
      <c r="A95" s="617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60"/>
      <c r="J95" s="301"/>
      <c r="K95" s="302"/>
      <c r="L95" s="303"/>
      <c r="M95" s="304"/>
      <c r="N95" s="304"/>
      <c r="O95" s="296"/>
      <c r="P95" s="455"/>
      <c r="Q95" s="305"/>
      <c r="R95" s="305"/>
    </row>
    <row r="96" spans="1:18">
      <c r="A96" s="617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60"/>
      <c r="J96" s="301"/>
      <c r="K96" s="302"/>
      <c r="L96" s="303"/>
      <c r="M96" s="304"/>
      <c r="N96" s="304"/>
      <c r="O96" s="296"/>
      <c r="P96" s="455"/>
      <c r="Q96" s="305"/>
      <c r="R96" s="305"/>
    </row>
    <row r="97" spans="1:18">
      <c r="A97" s="617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60"/>
      <c r="J97" s="301"/>
      <c r="K97" s="302"/>
      <c r="L97" s="303"/>
      <c r="M97" s="304"/>
      <c r="N97" s="304"/>
      <c r="O97" s="296"/>
      <c r="P97" s="455"/>
      <c r="Q97" s="305"/>
      <c r="R97" s="305"/>
    </row>
    <row r="98" spans="1:18">
      <c r="A98" s="617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60"/>
      <c r="J98" s="301"/>
      <c r="K98" s="302"/>
      <c r="L98" s="303"/>
      <c r="M98" s="304"/>
      <c r="N98" s="304"/>
      <c r="O98" s="296"/>
      <c r="P98" s="455"/>
      <c r="Q98" s="305"/>
      <c r="R98" s="305"/>
    </row>
    <row r="99" spans="1:18">
      <c r="A99" s="617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60"/>
      <c r="J99" s="301"/>
      <c r="K99" s="302"/>
      <c r="L99" s="303"/>
      <c r="M99" s="304"/>
      <c r="N99" s="304"/>
      <c r="O99" s="296"/>
      <c r="P99" s="455"/>
      <c r="Q99" s="305"/>
      <c r="R99" s="305"/>
    </row>
    <row r="100" spans="1:18" ht="15.75" customHeight="1">
      <c r="A100" s="617"/>
      <c r="B100" s="297">
        <v>0</v>
      </c>
      <c r="C100" s="6" t="s">
        <v>436</v>
      </c>
      <c r="D100" s="618" t="s">
        <v>396</v>
      </c>
      <c r="E100" s="619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2130.9333333333338</v>
      </c>
      <c r="L100" s="314">
        <f>AVERAGE(L92:L99)</f>
        <v>624.01111111111118</v>
      </c>
      <c r="M100" s="304"/>
      <c r="N100" s="304"/>
      <c r="O100" s="302"/>
      <c r="P100" s="302"/>
      <c r="Q100" s="303"/>
      <c r="R100" s="303"/>
    </row>
    <row r="101" spans="1:18" ht="16.2" customHeight="1">
      <c r="A101" s="620" t="s">
        <v>437</v>
      </c>
      <c r="B101" s="297" t="s">
        <v>146</v>
      </c>
      <c r="C101" s="6"/>
      <c r="D101" s="341" t="s">
        <v>137</v>
      </c>
      <c r="E101" s="354"/>
      <c r="F101" s="299">
        <v>25.03</v>
      </c>
      <c r="G101" s="458">
        <v>1367</v>
      </c>
      <c r="H101" s="300">
        <f t="shared" ref="H101:H110" si="26">F101*G101</f>
        <v>34216.01</v>
      </c>
      <c r="I101" s="460"/>
      <c r="J101" s="301">
        <v>4</v>
      </c>
      <c r="K101" s="302">
        <f>G101/P101*60</f>
        <v>2734.0000000000095</v>
      </c>
      <c r="L101" s="303">
        <f t="shared" ref="L101:L105" si="27">K101/J101</f>
        <v>683.50000000000239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8">(N101-M101)*24*60</f>
        <v>29.999999999999893</v>
      </c>
      <c r="Q101" s="303"/>
      <c r="R101" s="305"/>
    </row>
    <row r="102" spans="1:18" ht="15.6" customHeight="1">
      <c r="A102" s="620"/>
      <c r="B102" s="297" t="s">
        <v>146</v>
      </c>
      <c r="C102" s="6"/>
      <c r="D102" s="320" t="s">
        <v>138</v>
      </c>
      <c r="E102" s="354"/>
      <c r="F102" s="299">
        <v>24.82</v>
      </c>
      <c r="G102" s="458">
        <v>2133</v>
      </c>
      <c r="H102" s="300">
        <f t="shared" si="26"/>
        <v>52941.06</v>
      </c>
      <c r="I102" s="460"/>
      <c r="J102" s="301">
        <v>4</v>
      </c>
      <c r="K102" s="302">
        <f t="shared" ref="K102:K105" si="29">G102/P102*60</f>
        <v>2844</v>
      </c>
      <c r="L102" s="303">
        <f t="shared" si="27"/>
        <v>711</v>
      </c>
      <c r="M102" s="304">
        <v>0.75694444444444453</v>
      </c>
      <c r="N102" s="304">
        <v>0.78819444444444453</v>
      </c>
      <c r="O102" s="296">
        <v>20</v>
      </c>
      <c r="P102" s="302">
        <f t="shared" si="28"/>
        <v>45</v>
      </c>
      <c r="Q102" s="305"/>
      <c r="R102" s="305"/>
    </row>
    <row r="103" spans="1:18">
      <c r="A103" s="620"/>
      <c r="B103" s="297" t="s">
        <v>146</v>
      </c>
      <c r="C103" s="6"/>
      <c r="D103" s="320" t="s">
        <v>438</v>
      </c>
      <c r="E103" s="320"/>
      <c r="F103" s="299">
        <v>30</v>
      </c>
      <c r="G103" s="458">
        <v>2432</v>
      </c>
      <c r="H103" s="300">
        <f t="shared" si="26"/>
        <v>72960</v>
      </c>
      <c r="I103" s="460"/>
      <c r="J103" s="301">
        <v>3</v>
      </c>
      <c r="K103" s="302">
        <f t="shared" si="29"/>
        <v>2918.4000000000101</v>
      </c>
      <c r="L103" s="303">
        <f t="shared" si="27"/>
        <v>972.80000000000337</v>
      </c>
      <c r="M103" s="304">
        <v>0.80208333333333337</v>
      </c>
      <c r="N103" s="304">
        <v>0.83680555555555547</v>
      </c>
      <c r="O103" s="296">
        <v>20</v>
      </c>
      <c r="P103" s="302">
        <f t="shared" si="28"/>
        <v>49.999999999999822</v>
      </c>
      <c r="Q103" s="305"/>
      <c r="R103" s="305"/>
    </row>
    <row r="104" spans="1:18">
      <c r="A104" s="620"/>
      <c r="B104" s="297" t="s">
        <v>146</v>
      </c>
      <c r="C104" s="6"/>
      <c r="D104" s="337" t="s">
        <v>139</v>
      </c>
      <c r="E104" s="341"/>
      <c r="F104" s="299">
        <v>28.57</v>
      </c>
      <c r="G104" s="458">
        <v>3357</v>
      </c>
      <c r="H104" s="300">
        <f t="shared" si="26"/>
        <v>95909.49</v>
      </c>
      <c r="I104" s="460"/>
      <c r="J104" s="301">
        <v>3</v>
      </c>
      <c r="K104" s="302">
        <f t="shared" si="29"/>
        <v>2877.428571428582</v>
      </c>
      <c r="L104" s="303">
        <f t="shared" si="27"/>
        <v>959.14285714286063</v>
      </c>
      <c r="M104" s="304">
        <v>0.85069444444444453</v>
      </c>
      <c r="N104" s="304">
        <v>0.89930555555555547</v>
      </c>
      <c r="O104" s="296">
        <v>20</v>
      </c>
      <c r="P104" s="302">
        <f>(N104-M104)*24*60</f>
        <v>69.999999999999744</v>
      </c>
      <c r="Q104" s="305">
        <v>0.89930555555555547</v>
      </c>
      <c r="R104" s="305">
        <v>0.94097222222222221</v>
      </c>
    </row>
    <row r="105" spans="1:18">
      <c r="A105" s="620"/>
      <c r="B105" s="297" t="s">
        <v>146</v>
      </c>
      <c r="C105" s="6"/>
      <c r="D105" s="320" t="s">
        <v>140</v>
      </c>
      <c r="E105" s="337"/>
      <c r="F105" s="299">
        <v>14.285714285714283</v>
      </c>
      <c r="G105" s="458">
        <v>9507</v>
      </c>
      <c r="H105" s="300">
        <f t="shared" si="26"/>
        <v>135814.28571428568</v>
      </c>
      <c r="I105" s="460"/>
      <c r="J105" s="301">
        <v>3</v>
      </c>
      <c r="K105" s="302">
        <f t="shared" si="29"/>
        <v>3002.2105262973946</v>
      </c>
      <c r="L105" s="303">
        <f t="shared" si="27"/>
        <v>1000.7368420991315</v>
      </c>
      <c r="M105" s="304">
        <v>46146.954861111109</v>
      </c>
      <c r="N105" s="304">
        <v>46147.086805555555</v>
      </c>
      <c r="O105" s="296">
        <v>20</v>
      </c>
      <c r="P105" s="302">
        <f>(N105-M105)*24*60</f>
        <v>190.00000000116415</v>
      </c>
      <c r="Q105" s="303"/>
      <c r="R105" s="305"/>
    </row>
    <row r="106" spans="1:18">
      <c r="A106" s="620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6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20"/>
      <c r="B107" s="297">
        <v>0</v>
      </c>
      <c r="C107" s="6"/>
      <c r="D107" s="320"/>
      <c r="E107" s="337"/>
      <c r="F107" s="299" t="s">
        <v>148</v>
      </c>
      <c r="G107" s="458"/>
      <c r="H107" s="300">
        <f t="shared" si="26"/>
        <v>0</v>
      </c>
      <c r="I107" s="46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20"/>
      <c r="B108" s="297">
        <v>0</v>
      </c>
      <c r="C108" s="6"/>
      <c r="D108" s="320"/>
      <c r="E108" s="337"/>
      <c r="F108" s="299" t="s">
        <v>148</v>
      </c>
      <c r="G108" s="458"/>
      <c r="H108" s="300">
        <f t="shared" si="26"/>
        <v>0</v>
      </c>
      <c r="I108" s="46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20"/>
      <c r="B109" s="297">
        <v>0</v>
      </c>
      <c r="C109" s="308"/>
      <c r="D109" s="320"/>
      <c r="E109" s="337"/>
      <c r="F109" s="299" t="s">
        <v>148</v>
      </c>
      <c r="G109" s="458"/>
      <c r="H109" s="300">
        <f t="shared" si="26"/>
        <v>0</v>
      </c>
      <c r="I109" s="46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20"/>
      <c r="B110" s="297">
        <v>0</v>
      </c>
      <c r="C110" s="308"/>
      <c r="D110" s="320"/>
      <c r="E110" s="337"/>
      <c r="F110" s="299" t="s">
        <v>148</v>
      </c>
      <c r="G110" s="458"/>
      <c r="H110" s="300">
        <f t="shared" si="26"/>
        <v>0</v>
      </c>
      <c r="I110" s="46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20"/>
      <c r="B111" s="297">
        <v>0</v>
      </c>
      <c r="C111" s="6" t="s">
        <v>424</v>
      </c>
      <c r="D111" s="596" t="s">
        <v>396</v>
      </c>
      <c r="E111" s="621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2875.2078195451991</v>
      </c>
      <c r="L111" s="314">
        <f>AVERAGE(L101:L110)</f>
        <v>865.43593984839958</v>
      </c>
      <c r="M111" s="304"/>
      <c r="N111" s="304"/>
      <c r="O111" s="302"/>
      <c r="P111" s="302"/>
      <c r="Q111" s="303"/>
      <c r="R111" s="296"/>
    </row>
    <row r="112" spans="1:18" ht="16.2" customHeight="1">
      <c r="A112" s="610" t="s">
        <v>439</v>
      </c>
      <c r="B112" s="297" t="s">
        <v>146</v>
      </c>
      <c r="C112" s="6"/>
      <c r="D112" s="337" t="s">
        <v>134</v>
      </c>
      <c r="E112" s="357"/>
      <c r="F112" s="299">
        <v>16.7</v>
      </c>
      <c r="G112" s="458">
        <v>1170</v>
      </c>
      <c r="H112" s="347">
        <f t="shared" si="11"/>
        <v>19539</v>
      </c>
      <c r="I112" s="460"/>
      <c r="J112" s="301">
        <v>3</v>
      </c>
      <c r="K112" s="302">
        <f t="shared" ref="K112:K118" si="30">G112/P112*60</f>
        <v>2807.9999999999923</v>
      </c>
      <c r="L112" s="303">
        <f t="shared" ref="L112:L118" si="31">K112/J112</f>
        <v>935.99999999999739</v>
      </c>
      <c r="M112" s="304">
        <v>0.72222222222222221</v>
      </c>
      <c r="N112" s="304">
        <v>0.73958333333333337</v>
      </c>
      <c r="O112" s="296">
        <v>20</v>
      </c>
      <c r="P112" s="455">
        <f t="shared" ref="P112:P118" si="32">(N112-M112)*24*60</f>
        <v>25.000000000000071</v>
      </c>
      <c r="Q112" s="296"/>
      <c r="R112" s="296"/>
    </row>
    <row r="113" spans="1:18">
      <c r="A113" s="610"/>
      <c r="B113" s="297" t="s">
        <v>146</v>
      </c>
      <c r="C113" s="319"/>
      <c r="D113" s="451" t="s">
        <v>141</v>
      </c>
      <c r="E113" s="451"/>
      <c r="F113" s="299">
        <v>18.18</v>
      </c>
      <c r="G113" s="458">
        <v>1042</v>
      </c>
      <c r="H113" s="347">
        <f t="shared" si="11"/>
        <v>18943.560000000001</v>
      </c>
      <c r="I113" s="460"/>
      <c r="J113" s="301">
        <v>4</v>
      </c>
      <c r="K113" s="302">
        <f t="shared" si="30"/>
        <v>2500.8000000000247</v>
      </c>
      <c r="L113" s="303">
        <f t="shared" si="31"/>
        <v>625.20000000000618</v>
      </c>
      <c r="M113" s="304">
        <v>0.75694444444444453</v>
      </c>
      <c r="N113" s="304">
        <v>0.77430555555555547</v>
      </c>
      <c r="O113" s="296">
        <v>20</v>
      </c>
      <c r="P113" s="455">
        <f t="shared" si="32"/>
        <v>24.999999999999751</v>
      </c>
      <c r="Q113" s="305"/>
      <c r="R113" s="305"/>
    </row>
    <row r="114" spans="1:18">
      <c r="A114" s="610"/>
      <c r="B114" s="297" t="s">
        <v>146</v>
      </c>
      <c r="C114" s="319"/>
      <c r="D114" s="451" t="s">
        <v>440</v>
      </c>
      <c r="E114" s="320"/>
      <c r="F114" s="299">
        <v>18.18</v>
      </c>
      <c r="G114" s="458">
        <v>1185</v>
      </c>
      <c r="H114" s="347">
        <f t="shared" si="11"/>
        <v>21543.3</v>
      </c>
      <c r="I114" s="460"/>
      <c r="J114" s="301">
        <v>3</v>
      </c>
      <c r="K114" s="302">
        <f t="shared" si="30"/>
        <v>2843.9999999999918</v>
      </c>
      <c r="L114" s="303">
        <f t="shared" si="31"/>
        <v>947.99999999999727</v>
      </c>
      <c r="M114" s="304">
        <v>0.78472222222222221</v>
      </c>
      <c r="N114" s="304">
        <v>0.80208333333333337</v>
      </c>
      <c r="O114" s="296">
        <v>20</v>
      </c>
      <c r="P114" s="455">
        <f t="shared" si="32"/>
        <v>25.000000000000071</v>
      </c>
      <c r="Q114" s="305"/>
      <c r="R114" s="305"/>
    </row>
    <row r="115" spans="1:18">
      <c r="A115" s="610"/>
      <c r="B115" s="297" t="s">
        <v>146</v>
      </c>
      <c r="C115" s="319"/>
      <c r="D115" s="320" t="s">
        <v>133</v>
      </c>
      <c r="E115" s="341"/>
      <c r="F115" s="299">
        <v>16.66</v>
      </c>
      <c r="G115" s="458">
        <v>6254</v>
      </c>
      <c r="H115" s="347">
        <f t="shared" si="11"/>
        <v>104191.64</v>
      </c>
      <c r="I115" s="460"/>
      <c r="J115" s="301">
        <v>4</v>
      </c>
      <c r="K115" s="302">
        <f t="shared" si="30"/>
        <v>3001.9199999999992</v>
      </c>
      <c r="L115" s="303">
        <f t="shared" si="31"/>
        <v>750.47999999999979</v>
      </c>
      <c r="M115" s="304">
        <v>0.81597222222222221</v>
      </c>
      <c r="N115" s="304">
        <v>0.90277777777777779</v>
      </c>
      <c r="O115" s="296">
        <v>20</v>
      </c>
      <c r="P115" s="455">
        <f t="shared" si="32"/>
        <v>125.00000000000003</v>
      </c>
      <c r="Q115" s="305"/>
      <c r="R115" s="305"/>
    </row>
    <row r="116" spans="1:18">
      <c r="A116" s="610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58">
        <v>1132</v>
      </c>
      <c r="H116" s="347">
        <f t="shared" si="11"/>
        <v>25223.018181818181</v>
      </c>
      <c r="I116" s="460"/>
      <c r="J116" s="301">
        <v>4</v>
      </c>
      <c r="K116" s="302">
        <f t="shared" si="30"/>
        <v>2716.7999999999925</v>
      </c>
      <c r="L116" s="303">
        <f t="shared" si="31"/>
        <v>679.19999999999811</v>
      </c>
      <c r="M116" s="304">
        <v>0.91666666666666663</v>
      </c>
      <c r="N116" s="349">
        <v>0.93402777777777779</v>
      </c>
      <c r="O116" s="296">
        <v>20</v>
      </c>
      <c r="P116" s="455">
        <f t="shared" si="32"/>
        <v>25.000000000000071</v>
      </c>
      <c r="Q116" s="305">
        <v>0.93402777777777779</v>
      </c>
      <c r="R116" s="305">
        <v>0.97569444444444453</v>
      </c>
    </row>
    <row r="117" spans="1:18">
      <c r="A117" s="610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58">
        <v>4355</v>
      </c>
      <c r="H117" s="347">
        <f t="shared" ref="H117:H123" si="33">F117*G117</f>
        <v>77914.909090909088</v>
      </c>
      <c r="I117" s="460"/>
      <c r="J117" s="301">
        <v>3</v>
      </c>
      <c r="K117" s="302">
        <f t="shared" si="30"/>
        <v>2903.333333333333</v>
      </c>
      <c r="L117" s="303">
        <f t="shared" si="31"/>
        <v>967.77777777777771</v>
      </c>
      <c r="M117" s="304">
        <v>46145.989583333336</v>
      </c>
      <c r="N117" s="304">
        <v>46146.052083333336</v>
      </c>
      <c r="O117" s="302">
        <v>20</v>
      </c>
      <c r="P117" s="455">
        <f t="shared" si="32"/>
        <v>90</v>
      </c>
      <c r="Q117" s="305"/>
      <c r="R117" s="305"/>
    </row>
    <row r="118" spans="1:18">
      <c r="A118" s="610"/>
      <c r="B118" s="297" t="s">
        <v>146</v>
      </c>
      <c r="C118" s="319"/>
      <c r="D118" s="320" t="s">
        <v>441</v>
      </c>
      <c r="E118" s="336"/>
      <c r="F118" s="299">
        <v>14.03</v>
      </c>
      <c r="G118" s="458">
        <v>6605</v>
      </c>
      <c r="H118" s="347">
        <f t="shared" si="33"/>
        <v>92668.15</v>
      </c>
      <c r="I118" s="460"/>
      <c r="J118" s="301">
        <v>3</v>
      </c>
      <c r="K118" s="302">
        <f t="shared" si="30"/>
        <v>2935.5555555555552</v>
      </c>
      <c r="L118" s="303">
        <f t="shared" si="31"/>
        <v>978.51851851851836</v>
      </c>
      <c r="M118" s="304">
        <v>6.5972222222222224E-2</v>
      </c>
      <c r="N118" s="304">
        <v>0.15972222222222224</v>
      </c>
      <c r="O118" s="302">
        <v>20</v>
      </c>
      <c r="P118" s="455">
        <f t="shared" si="32"/>
        <v>135.00000000000003</v>
      </c>
      <c r="Q118" s="305"/>
      <c r="R118" s="305"/>
    </row>
    <row r="119" spans="1:18">
      <c r="A119" s="610"/>
      <c r="B119" s="297">
        <v>0</v>
      </c>
      <c r="C119" s="319"/>
      <c r="D119" s="337"/>
      <c r="E119" s="336"/>
      <c r="F119" s="299" t="s">
        <v>148</v>
      </c>
      <c r="G119" s="458"/>
      <c r="H119" s="347">
        <f t="shared" si="33"/>
        <v>0</v>
      </c>
      <c r="I119" s="460"/>
      <c r="J119" s="301"/>
      <c r="K119" s="302"/>
      <c r="L119" s="303"/>
      <c r="M119" s="304"/>
      <c r="N119" s="304"/>
      <c r="O119" s="296"/>
      <c r="P119" s="455"/>
      <c r="Q119" s="305"/>
      <c r="R119" s="305"/>
    </row>
    <row r="120" spans="1:18">
      <c r="A120" s="610"/>
      <c r="B120" s="297">
        <v>0</v>
      </c>
      <c r="C120" s="319"/>
      <c r="D120" s="337"/>
      <c r="E120" s="336"/>
      <c r="F120" s="299" t="s">
        <v>148</v>
      </c>
      <c r="G120" s="458"/>
      <c r="H120" s="347">
        <f t="shared" si="33"/>
        <v>0</v>
      </c>
      <c r="I120" s="460"/>
      <c r="J120" s="301"/>
      <c r="K120" s="302"/>
      <c r="L120" s="303"/>
      <c r="M120" s="304"/>
      <c r="N120" s="304"/>
      <c r="O120" s="296"/>
      <c r="P120" s="455"/>
      <c r="Q120" s="305"/>
      <c r="R120" s="305"/>
    </row>
    <row r="121" spans="1:18">
      <c r="A121" s="610"/>
      <c r="B121" s="297">
        <v>0</v>
      </c>
      <c r="C121" s="319"/>
      <c r="D121" s="337"/>
      <c r="E121" s="336"/>
      <c r="F121" s="299" t="s">
        <v>148</v>
      </c>
      <c r="G121" s="458"/>
      <c r="H121" s="347">
        <f t="shared" si="33"/>
        <v>0</v>
      </c>
      <c r="I121" s="460"/>
      <c r="J121" s="301"/>
      <c r="K121" s="302"/>
      <c r="L121" s="303"/>
      <c r="M121" s="304"/>
      <c r="N121" s="304"/>
      <c r="O121" s="296"/>
      <c r="P121" s="455"/>
      <c r="Q121" s="305"/>
      <c r="R121" s="305"/>
    </row>
    <row r="122" spans="1:18" ht="15.6" customHeight="1">
      <c r="A122" s="610"/>
      <c r="B122" s="297">
        <v>0</v>
      </c>
      <c r="C122" s="319"/>
      <c r="D122" s="337"/>
      <c r="E122" s="336"/>
      <c r="F122" s="299" t="s">
        <v>148</v>
      </c>
      <c r="G122" s="458"/>
      <c r="H122" s="347">
        <f t="shared" si="33"/>
        <v>0</v>
      </c>
      <c r="I122" s="460"/>
      <c r="J122" s="301"/>
      <c r="K122" s="302"/>
      <c r="L122" s="303"/>
      <c r="M122" s="304"/>
      <c r="N122" s="304"/>
      <c r="O122" s="296"/>
      <c r="P122" s="455"/>
      <c r="Q122" s="305"/>
      <c r="R122" s="305"/>
    </row>
    <row r="123" spans="1:18">
      <c r="A123" s="610"/>
      <c r="B123" s="297">
        <v>0</v>
      </c>
      <c r="C123" s="319"/>
      <c r="D123" s="337"/>
      <c r="E123" s="336"/>
      <c r="F123" s="299" t="s">
        <v>148</v>
      </c>
      <c r="G123" s="458"/>
      <c r="H123" s="347">
        <f t="shared" si="33"/>
        <v>0</v>
      </c>
      <c r="I123" s="460"/>
      <c r="J123" s="301"/>
      <c r="K123" s="302"/>
      <c r="L123" s="303"/>
      <c r="M123" s="304"/>
      <c r="N123" s="304"/>
      <c r="O123" s="296"/>
      <c r="P123" s="455"/>
      <c r="Q123" s="305"/>
      <c r="R123" s="305"/>
    </row>
    <row r="124" spans="1:18" ht="17.399999999999999" customHeight="1">
      <c r="A124" s="610"/>
      <c r="B124" s="308">
        <v>0</v>
      </c>
      <c r="C124" s="6" t="s">
        <v>430</v>
      </c>
      <c r="D124" s="611" t="s">
        <v>396</v>
      </c>
      <c r="E124" s="611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2815.772698412698</v>
      </c>
      <c r="L124" s="314">
        <f>AVERAGE(L112:L123)</f>
        <v>840.73947089947058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abSelected="1" zoomScale="60" zoomScaleNormal="60" workbookViewId="0">
      <pane ySplit="4" topLeftCell="A5" activePane="bottomLeft" state="frozen"/>
      <selection activeCell="M103" sqref="M103"/>
      <selection pane="bottomLeft" activeCell="AB31" sqref="AB31:AC3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163</v>
      </c>
      <c r="B1" s="28"/>
      <c r="C1" s="28"/>
      <c r="D1" s="479" t="s">
        <v>113</v>
      </c>
      <c r="E1" s="29">
        <f>SUM(G5:G173)</f>
        <v>184959</v>
      </c>
      <c r="F1" s="462" t="s">
        <v>3</v>
      </c>
      <c r="G1" s="30">
        <f>SUM(H5:H173)</f>
        <v>7599819.7931058416</v>
      </c>
      <c r="H1" s="480" t="s">
        <v>37</v>
      </c>
      <c r="I1" s="31">
        <f>M17+M30+M43+M56+M69+M82+M95+M108+M121+M134+M147+M160+M173</f>
        <v>193.86190476190475</v>
      </c>
      <c r="J1" s="622" t="s">
        <v>38</v>
      </c>
      <c r="K1" s="622"/>
      <c r="L1" s="622"/>
      <c r="M1" s="622" t="s">
        <v>39</v>
      </c>
      <c r="N1" s="622"/>
      <c r="O1" s="622"/>
      <c r="P1" s="622" t="s">
        <v>368</v>
      </c>
      <c r="Q1" s="622"/>
      <c r="R1" s="622"/>
      <c r="S1" s="622"/>
      <c r="T1" s="622" t="s">
        <v>369</v>
      </c>
      <c r="U1" s="622"/>
      <c r="V1" s="622"/>
      <c r="W1" s="622"/>
      <c r="X1" s="622"/>
      <c r="Y1" s="622"/>
      <c r="Z1" s="32" t="s">
        <v>370</v>
      </c>
      <c r="AA1" s="32" t="s">
        <v>371</v>
      </c>
      <c r="AB1" s="623" t="s">
        <v>372</v>
      </c>
      <c r="AC1" s="624"/>
      <c r="AD1" s="32" t="s">
        <v>370</v>
      </c>
      <c r="AE1" s="32" t="s">
        <v>373</v>
      </c>
      <c r="AF1" s="622" t="s">
        <v>374</v>
      </c>
      <c r="AG1" s="627"/>
      <c r="AH1" s="627"/>
    </row>
    <row r="2" spans="1:34" ht="26.25" customHeight="1">
      <c r="A2" s="632" t="s">
        <v>375</v>
      </c>
      <c r="B2" s="632"/>
      <c r="C2" s="479"/>
      <c r="D2" s="479" t="s">
        <v>376</v>
      </c>
      <c r="E2" s="34">
        <f>AVERAGE(O17,O30,O43,O56,O69,O82,O95,O108,O121,O134,O147,O160,O173)</f>
        <v>126.34701573905002</v>
      </c>
      <c r="F2" s="35" t="s">
        <v>40</v>
      </c>
      <c r="G2" s="36">
        <f>G1/E1</f>
        <v>41.089213247832447</v>
      </c>
      <c r="H2" s="480" t="s">
        <v>41</v>
      </c>
      <c r="I2" s="480">
        <f>COUNT(I5:I173)</f>
        <v>9</v>
      </c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25"/>
      <c r="AC2" s="626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627"/>
      <c r="AG2" s="627"/>
      <c r="AH2" s="627"/>
    </row>
    <row r="3" spans="1:34" ht="30.6" customHeight="1">
      <c r="A3" s="633" t="s">
        <v>377</v>
      </c>
      <c r="B3" s="633" t="s">
        <v>42</v>
      </c>
      <c r="C3" s="634"/>
      <c r="D3" s="633" t="s">
        <v>378</v>
      </c>
      <c r="E3" s="633"/>
      <c r="F3" s="634" t="s">
        <v>43</v>
      </c>
      <c r="G3" s="647" t="s">
        <v>44</v>
      </c>
      <c r="H3" s="634" t="s">
        <v>45</v>
      </c>
      <c r="I3" s="628" t="s">
        <v>379</v>
      </c>
      <c r="J3" s="629" t="s">
        <v>46</v>
      </c>
      <c r="K3" s="630" t="s">
        <v>47</v>
      </c>
      <c r="L3" s="631" t="s">
        <v>35</v>
      </c>
      <c r="M3" s="647" t="s">
        <v>46</v>
      </c>
      <c r="N3" s="630" t="s">
        <v>380</v>
      </c>
      <c r="O3" s="631" t="s">
        <v>376</v>
      </c>
      <c r="P3" s="629" t="s">
        <v>381</v>
      </c>
      <c r="Q3" s="631" t="s">
        <v>376</v>
      </c>
      <c r="R3" s="640" t="s">
        <v>382</v>
      </c>
      <c r="S3" s="641" t="s">
        <v>383</v>
      </c>
      <c r="T3" s="647" t="s">
        <v>48</v>
      </c>
      <c r="U3" s="647"/>
      <c r="V3" s="648" t="s">
        <v>49</v>
      </c>
      <c r="W3" s="628" t="s">
        <v>384</v>
      </c>
      <c r="X3" s="647" t="s">
        <v>385</v>
      </c>
      <c r="Y3" s="647"/>
      <c r="Z3" s="649" t="s">
        <v>386</v>
      </c>
      <c r="AA3" s="650"/>
      <c r="AB3" s="636" t="s">
        <v>387</v>
      </c>
      <c r="AC3" s="637"/>
      <c r="AD3" s="638" t="s">
        <v>388</v>
      </c>
      <c r="AE3" s="639"/>
      <c r="AF3" s="630" t="s">
        <v>380</v>
      </c>
      <c r="AG3" s="640" t="s">
        <v>382</v>
      </c>
      <c r="AH3" s="641" t="s">
        <v>383</v>
      </c>
    </row>
    <row r="4" spans="1:34" ht="30.6" customHeight="1">
      <c r="A4" s="634"/>
      <c r="B4" s="633"/>
      <c r="C4" s="635"/>
      <c r="D4" s="633"/>
      <c r="E4" s="633"/>
      <c r="F4" s="635"/>
      <c r="G4" s="647"/>
      <c r="H4" s="635"/>
      <c r="I4" s="628"/>
      <c r="J4" s="629"/>
      <c r="K4" s="630"/>
      <c r="L4" s="631"/>
      <c r="M4" s="647"/>
      <c r="N4" s="630"/>
      <c r="O4" s="631"/>
      <c r="P4" s="629"/>
      <c r="Q4" s="631"/>
      <c r="R4" s="640"/>
      <c r="S4" s="641"/>
      <c r="T4" s="474" t="s">
        <v>50</v>
      </c>
      <c r="U4" s="474" t="s">
        <v>51</v>
      </c>
      <c r="V4" s="647"/>
      <c r="W4" s="628"/>
      <c r="X4" s="462" t="s">
        <v>389</v>
      </c>
      <c r="Y4" s="462" t="s">
        <v>36</v>
      </c>
      <c r="Z4" s="474" t="s">
        <v>390</v>
      </c>
      <c r="AA4" s="474" t="s">
        <v>391</v>
      </c>
      <c r="AB4" s="637"/>
      <c r="AC4" s="637"/>
      <c r="AD4" s="474" t="s">
        <v>392</v>
      </c>
      <c r="AE4" s="39" t="s">
        <v>393</v>
      </c>
      <c r="AF4" s="630"/>
      <c r="AG4" s="640"/>
      <c r="AH4" s="641"/>
    </row>
    <row r="5" spans="1:34" ht="18.75" customHeight="1">
      <c r="A5" s="642" t="s">
        <v>394</v>
      </c>
      <c r="B5" s="40" t="s">
        <v>142</v>
      </c>
      <c r="C5" s="41"/>
      <c r="D5" s="42" t="s">
        <v>52</v>
      </c>
      <c r="E5" s="43"/>
      <c r="F5" s="361">
        <v>37.83</v>
      </c>
      <c r="G5" s="44">
        <v>7507</v>
      </c>
      <c r="H5" s="45">
        <f t="shared" ref="H5:H16" si="0">F5*G5</f>
        <v>283989.81</v>
      </c>
      <c r="I5" s="475"/>
      <c r="J5" s="46">
        <v>20</v>
      </c>
      <c r="K5" s="44">
        <v>2400</v>
      </c>
      <c r="L5" s="47">
        <v>120</v>
      </c>
      <c r="M5" s="476">
        <v>20</v>
      </c>
      <c r="N5" s="44">
        <f t="shared" ref="N5:N10" si="1">G5/W5*60</f>
        <v>2263.4170854271356</v>
      </c>
      <c r="O5" s="47">
        <f t="shared" ref="O5:O10" si="2">N5/M5</f>
        <v>113.17085427135677</v>
      </c>
      <c r="P5" s="48">
        <f t="shared" ref="P5:P10" si="3">M5-J5</f>
        <v>0</v>
      </c>
      <c r="Q5" s="49">
        <f t="shared" ref="Q5:Q10" si="4">O5-L5</f>
        <v>-6.8291457286432262</v>
      </c>
      <c r="R5" s="465">
        <f t="shared" ref="R5:R10" si="5">O5/L5</f>
        <v>0.9430904522613065</v>
      </c>
      <c r="S5" s="645">
        <f>R17</f>
        <v>0.90519615586615287</v>
      </c>
      <c r="T5" s="89">
        <v>0.25</v>
      </c>
      <c r="U5" s="89">
        <v>0.38819444444444445</v>
      </c>
      <c r="V5" s="462">
        <v>5</v>
      </c>
      <c r="W5" s="475">
        <f>(U5-T5)*24*60</f>
        <v>199</v>
      </c>
      <c r="X5" s="462"/>
      <c r="Y5" s="462"/>
      <c r="Z5" s="51"/>
      <c r="AA5" s="51"/>
      <c r="AB5" s="633"/>
      <c r="AC5" s="633"/>
      <c r="AD5" s="52"/>
      <c r="AE5" s="52"/>
      <c r="AF5" s="48">
        <f t="shared" ref="AF5:AF70" si="6">N5-K5</f>
        <v>-136.58291457286441</v>
      </c>
      <c r="AG5" s="465">
        <f t="shared" ref="AG5:AG70" si="7">N5/K5</f>
        <v>0.9430904522613065</v>
      </c>
      <c r="AH5" s="645">
        <f>AG17</f>
        <v>0.92325471151078486</v>
      </c>
    </row>
    <row r="6" spans="1:34" ht="19.2" customHeight="1">
      <c r="A6" s="643"/>
      <c r="B6" s="40" t="s">
        <v>142</v>
      </c>
      <c r="C6" s="41"/>
      <c r="D6" s="42" t="s">
        <v>252</v>
      </c>
      <c r="E6" s="43"/>
      <c r="F6" s="361">
        <v>38.99</v>
      </c>
      <c r="G6" s="44">
        <v>1547</v>
      </c>
      <c r="H6" s="45">
        <f t="shared" si="0"/>
        <v>60317.530000000006</v>
      </c>
      <c r="I6" s="475"/>
      <c r="J6" s="46">
        <v>17</v>
      </c>
      <c r="K6" s="44">
        <v>2700</v>
      </c>
      <c r="L6" s="47">
        <v>158.8235294117647</v>
      </c>
      <c r="M6" s="476">
        <v>17</v>
      </c>
      <c r="N6" s="44">
        <f t="shared" si="1"/>
        <v>2379.9999999999986</v>
      </c>
      <c r="O6" s="47">
        <f t="shared" si="2"/>
        <v>139.99999999999991</v>
      </c>
      <c r="P6" s="48">
        <f t="shared" si="3"/>
        <v>0</v>
      </c>
      <c r="Q6" s="49">
        <f t="shared" si="4"/>
        <v>-18.823529411764781</v>
      </c>
      <c r="R6" s="465">
        <f t="shared" si="5"/>
        <v>0.88148148148148098</v>
      </c>
      <c r="S6" s="645"/>
      <c r="T6" s="89">
        <v>0.40416666666666667</v>
      </c>
      <c r="U6" s="89">
        <v>0.43125000000000002</v>
      </c>
      <c r="V6" s="462">
        <v>23</v>
      </c>
      <c r="W6" s="475">
        <f t="shared" ref="W6:W17" si="8">(U6-T6)*24*60</f>
        <v>39.000000000000021</v>
      </c>
      <c r="X6" s="53">
        <v>0.39166666666666666</v>
      </c>
      <c r="Y6" s="53">
        <v>0.40138888888888885</v>
      </c>
      <c r="Z6" s="54"/>
      <c r="AA6" s="54"/>
      <c r="AB6" s="633"/>
      <c r="AC6" s="633"/>
      <c r="AD6" s="463"/>
      <c r="AE6" s="463"/>
      <c r="AF6" s="48">
        <f t="shared" si="6"/>
        <v>-320.00000000000136</v>
      </c>
      <c r="AG6" s="465">
        <f t="shared" si="7"/>
        <v>0.88148148148148098</v>
      </c>
      <c r="AH6" s="645"/>
    </row>
    <row r="7" spans="1:34" ht="19.2" customHeight="1">
      <c r="A7" s="643"/>
      <c r="B7" s="40" t="s">
        <v>142</v>
      </c>
      <c r="C7" s="41"/>
      <c r="D7" s="42" t="s">
        <v>246</v>
      </c>
      <c r="E7" s="43"/>
      <c r="F7" s="361">
        <v>28.86</v>
      </c>
      <c r="G7" s="44">
        <v>1851</v>
      </c>
      <c r="H7" s="45">
        <f t="shared" si="0"/>
        <v>53419.86</v>
      </c>
      <c r="I7" s="475"/>
      <c r="J7" s="46">
        <v>17</v>
      </c>
      <c r="K7" s="44">
        <v>2700</v>
      </c>
      <c r="L7" s="47">
        <v>158.8235294117647</v>
      </c>
      <c r="M7" s="476">
        <v>17</v>
      </c>
      <c r="N7" s="44">
        <f t="shared" si="1"/>
        <v>2414.3478260869565</v>
      </c>
      <c r="O7" s="47">
        <f t="shared" si="2"/>
        <v>142.02046035805625</v>
      </c>
      <c r="P7" s="48">
        <f t="shared" si="3"/>
        <v>0</v>
      </c>
      <c r="Q7" s="49">
        <f t="shared" si="4"/>
        <v>-16.803069053708441</v>
      </c>
      <c r="R7" s="465">
        <f t="shared" si="5"/>
        <v>0.89420289855072466</v>
      </c>
      <c r="S7" s="645"/>
      <c r="T7" s="89">
        <v>0.43611111111111112</v>
      </c>
      <c r="U7" s="89">
        <v>0.46805555555555556</v>
      </c>
      <c r="V7" s="462">
        <v>7</v>
      </c>
      <c r="W7" s="475">
        <f t="shared" si="8"/>
        <v>46</v>
      </c>
      <c r="X7" s="53"/>
      <c r="Y7" s="53"/>
      <c r="Z7" s="54"/>
      <c r="AA7" s="54"/>
      <c r="AB7" s="633"/>
      <c r="AC7" s="633"/>
      <c r="AD7" s="463"/>
      <c r="AE7" s="463"/>
      <c r="AF7" s="48">
        <f t="shared" si="6"/>
        <v>-285.6521739130435</v>
      </c>
      <c r="AG7" s="465">
        <f t="shared" si="7"/>
        <v>0.89420289855072466</v>
      </c>
      <c r="AH7" s="645"/>
    </row>
    <row r="8" spans="1:34" ht="19.2" customHeight="1">
      <c r="A8" s="643"/>
      <c r="B8" s="40" t="s">
        <v>142</v>
      </c>
      <c r="C8" s="41"/>
      <c r="D8" s="42" t="s">
        <v>53</v>
      </c>
      <c r="E8" s="43"/>
      <c r="F8" s="361">
        <v>31.11</v>
      </c>
      <c r="G8" s="44">
        <v>2607</v>
      </c>
      <c r="H8" s="45">
        <f t="shared" si="0"/>
        <v>81103.77</v>
      </c>
      <c r="I8" s="475"/>
      <c r="J8" s="46">
        <v>18</v>
      </c>
      <c r="K8" s="44">
        <v>2700</v>
      </c>
      <c r="L8" s="47">
        <v>150</v>
      </c>
      <c r="M8" s="476">
        <v>19</v>
      </c>
      <c r="N8" s="44">
        <f t="shared" si="1"/>
        <v>2522.903225806454</v>
      </c>
      <c r="O8" s="47">
        <f t="shared" si="2"/>
        <v>132.78438030560284</v>
      </c>
      <c r="P8" s="48">
        <f t="shared" si="3"/>
        <v>1</v>
      </c>
      <c r="Q8" s="49">
        <f t="shared" si="4"/>
        <v>-17.215619694397162</v>
      </c>
      <c r="R8" s="465">
        <f t="shared" si="5"/>
        <v>0.88522920203735223</v>
      </c>
      <c r="S8" s="645"/>
      <c r="T8" s="89">
        <v>0.5083333333333333</v>
      </c>
      <c r="U8" s="89">
        <v>0.55138888888888882</v>
      </c>
      <c r="V8" s="462">
        <v>5</v>
      </c>
      <c r="W8" s="475">
        <f t="shared" si="8"/>
        <v>61.999999999999943</v>
      </c>
      <c r="X8" s="53"/>
      <c r="Y8" s="53"/>
      <c r="Z8" s="54"/>
      <c r="AA8" s="54"/>
      <c r="AB8" s="633"/>
      <c r="AC8" s="633"/>
      <c r="AD8" s="463"/>
      <c r="AE8" s="463"/>
      <c r="AF8" s="48">
        <f t="shared" si="6"/>
        <v>-177.09677419354603</v>
      </c>
      <c r="AG8" s="465">
        <f t="shared" si="7"/>
        <v>0.93440860215053856</v>
      </c>
      <c r="AH8" s="645"/>
    </row>
    <row r="9" spans="1:34" ht="19.2" customHeight="1">
      <c r="A9" s="643"/>
      <c r="B9" s="40" t="s">
        <v>142</v>
      </c>
      <c r="C9" s="55"/>
      <c r="D9" s="42" t="s">
        <v>54</v>
      </c>
      <c r="E9" s="56"/>
      <c r="F9" s="361">
        <v>38.479999999999997</v>
      </c>
      <c r="G9" s="57">
        <v>3367</v>
      </c>
      <c r="H9" s="45">
        <f t="shared" si="0"/>
        <v>129562.15999999999</v>
      </c>
      <c r="I9" s="463"/>
      <c r="J9" s="46">
        <v>18</v>
      </c>
      <c r="K9" s="44">
        <v>2700</v>
      </c>
      <c r="L9" s="47">
        <v>150</v>
      </c>
      <c r="M9" s="476">
        <v>19</v>
      </c>
      <c r="N9" s="44">
        <f t="shared" si="1"/>
        <v>2525.2499999999991</v>
      </c>
      <c r="O9" s="47">
        <f t="shared" si="2"/>
        <v>132.90789473684205</v>
      </c>
      <c r="P9" s="48">
        <f t="shared" si="3"/>
        <v>1</v>
      </c>
      <c r="Q9" s="49">
        <f t="shared" si="4"/>
        <v>-17.092105263157947</v>
      </c>
      <c r="R9" s="465">
        <f t="shared" si="5"/>
        <v>0.88605263157894698</v>
      </c>
      <c r="S9" s="645"/>
      <c r="T9" s="89">
        <v>0.55694444444444435</v>
      </c>
      <c r="U9" s="89">
        <v>0.61249999999999993</v>
      </c>
      <c r="V9" s="462">
        <v>8</v>
      </c>
      <c r="W9" s="475">
        <f t="shared" si="8"/>
        <v>80.000000000000028</v>
      </c>
      <c r="X9" s="53"/>
      <c r="Y9" s="53"/>
      <c r="Z9" s="54"/>
      <c r="AA9" s="54"/>
      <c r="AB9" s="633"/>
      <c r="AC9" s="633"/>
      <c r="AD9" s="463"/>
      <c r="AE9" s="463">
        <v>1</v>
      </c>
      <c r="AF9" s="48">
        <f t="shared" si="6"/>
        <v>-174.75000000000091</v>
      </c>
      <c r="AG9" s="465">
        <f t="shared" si="7"/>
        <v>0.93527777777777743</v>
      </c>
      <c r="AH9" s="645"/>
    </row>
    <row r="10" spans="1:34" ht="19.2" customHeight="1">
      <c r="A10" s="644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4590</v>
      </c>
      <c r="H10" s="45">
        <f t="shared" si="0"/>
        <v>173502</v>
      </c>
      <c r="I10" s="475"/>
      <c r="J10" s="46">
        <v>19</v>
      </c>
      <c r="K10" s="44">
        <v>2700</v>
      </c>
      <c r="L10" s="47">
        <v>142.10526315789474</v>
      </c>
      <c r="M10" s="476">
        <v>19</v>
      </c>
      <c r="N10" s="44">
        <f t="shared" si="1"/>
        <v>2573.8317757009363</v>
      </c>
      <c r="O10" s="47">
        <f t="shared" si="2"/>
        <v>135.46483030004927</v>
      </c>
      <c r="P10" s="48">
        <f t="shared" si="3"/>
        <v>0</v>
      </c>
      <c r="Q10" s="49">
        <f t="shared" si="4"/>
        <v>-6.6404328578454681</v>
      </c>
      <c r="R10" s="465">
        <f t="shared" si="5"/>
        <v>0.95327102803738373</v>
      </c>
      <c r="S10" s="646"/>
      <c r="T10" s="89">
        <v>0.62777777777777766</v>
      </c>
      <c r="U10" s="89">
        <v>0.70208333333333317</v>
      </c>
      <c r="V10" s="462">
        <v>22</v>
      </c>
      <c r="W10" s="475">
        <f t="shared" si="8"/>
        <v>106.99999999999994</v>
      </c>
      <c r="X10" s="53">
        <v>0.61597222222222225</v>
      </c>
      <c r="Y10" s="53">
        <v>0.625</v>
      </c>
      <c r="Z10" s="54"/>
      <c r="AA10" s="54"/>
      <c r="AB10" s="633"/>
      <c r="AC10" s="633"/>
      <c r="AD10" s="463"/>
      <c r="AE10" s="463"/>
      <c r="AF10" s="48">
        <f t="shared" si="6"/>
        <v>-126.1682242990637</v>
      </c>
      <c r="AG10" s="465">
        <f t="shared" si="7"/>
        <v>0.95327102803738384</v>
      </c>
      <c r="AH10" s="646"/>
    </row>
    <row r="11" spans="1:34" ht="19.2" customHeight="1">
      <c r="A11" s="644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475"/>
      <c r="J11" s="46"/>
      <c r="K11" s="44"/>
      <c r="L11" s="47"/>
      <c r="M11" s="476"/>
      <c r="N11" s="44"/>
      <c r="O11" s="47"/>
      <c r="P11" s="48"/>
      <c r="Q11" s="49"/>
      <c r="R11" s="465"/>
      <c r="S11" s="646"/>
      <c r="T11" s="89"/>
      <c r="U11" s="89"/>
      <c r="V11" s="462"/>
      <c r="W11" s="475">
        <f t="shared" si="8"/>
        <v>0</v>
      </c>
      <c r="X11" s="53"/>
      <c r="Y11" s="53"/>
      <c r="Z11" s="54"/>
      <c r="AA11" s="54"/>
      <c r="AB11" s="633"/>
      <c r="AC11" s="633"/>
      <c r="AD11" s="463"/>
      <c r="AE11" s="463"/>
      <c r="AF11" s="48">
        <f t="shared" si="6"/>
        <v>0</v>
      </c>
      <c r="AG11" s="465" t="e">
        <f t="shared" si="7"/>
        <v>#DIV/0!</v>
      </c>
      <c r="AH11" s="646"/>
    </row>
    <row r="12" spans="1:34" ht="19.2" customHeight="1">
      <c r="A12" s="644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475"/>
      <c r="J12" s="46"/>
      <c r="K12" s="44"/>
      <c r="L12" s="47"/>
      <c r="M12" s="476"/>
      <c r="N12" s="44"/>
      <c r="O12" s="47"/>
      <c r="P12" s="48"/>
      <c r="Q12" s="49"/>
      <c r="R12" s="465"/>
      <c r="S12" s="646"/>
      <c r="T12" s="89"/>
      <c r="U12" s="89"/>
      <c r="V12" s="462"/>
      <c r="W12" s="475">
        <f t="shared" si="8"/>
        <v>0</v>
      </c>
      <c r="X12" s="53"/>
      <c r="Y12" s="53"/>
      <c r="Z12" s="54"/>
      <c r="AA12" s="54"/>
      <c r="AB12" s="633"/>
      <c r="AC12" s="633"/>
      <c r="AD12" s="463"/>
      <c r="AE12" s="463"/>
      <c r="AF12" s="48">
        <f t="shared" si="6"/>
        <v>0</v>
      </c>
      <c r="AG12" s="465" t="e">
        <f t="shared" si="7"/>
        <v>#DIV/0!</v>
      </c>
      <c r="AH12" s="646"/>
    </row>
    <row r="13" spans="1:34" ht="19.2" customHeight="1">
      <c r="A13" s="644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477"/>
      <c r="J13" s="46"/>
      <c r="K13" s="44"/>
      <c r="L13" s="47"/>
      <c r="M13" s="62"/>
      <c r="N13" s="44"/>
      <c r="O13" s="47"/>
      <c r="P13" s="48"/>
      <c r="Q13" s="49"/>
      <c r="R13" s="465"/>
      <c r="S13" s="646"/>
      <c r="T13" s="89"/>
      <c r="U13" s="89"/>
      <c r="V13" s="477"/>
      <c r="W13" s="475">
        <f t="shared" si="8"/>
        <v>0</v>
      </c>
      <c r="X13" s="64"/>
      <c r="Y13" s="64"/>
      <c r="Z13" s="54"/>
      <c r="AA13" s="54"/>
      <c r="AB13" s="633"/>
      <c r="AC13" s="633"/>
      <c r="AD13" s="463"/>
      <c r="AE13" s="463"/>
      <c r="AF13" s="48">
        <f t="shared" si="6"/>
        <v>0</v>
      </c>
      <c r="AG13" s="465" t="e">
        <f t="shared" si="7"/>
        <v>#DIV/0!</v>
      </c>
      <c r="AH13" s="646"/>
    </row>
    <row r="14" spans="1:34" ht="19.2" customHeight="1">
      <c r="A14" s="644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477"/>
      <c r="J14" s="46"/>
      <c r="K14" s="44"/>
      <c r="L14" s="47"/>
      <c r="M14" s="62"/>
      <c r="N14" s="44"/>
      <c r="O14" s="47"/>
      <c r="P14" s="48"/>
      <c r="Q14" s="49"/>
      <c r="R14" s="465"/>
      <c r="S14" s="646"/>
      <c r="T14" s="89"/>
      <c r="U14" s="89"/>
      <c r="V14" s="477"/>
      <c r="W14" s="475">
        <f t="shared" si="8"/>
        <v>0</v>
      </c>
      <c r="X14" s="64"/>
      <c r="Y14" s="64"/>
      <c r="Z14" s="54"/>
      <c r="AA14" s="54"/>
      <c r="AB14" s="633"/>
      <c r="AC14" s="633"/>
      <c r="AD14" s="463"/>
      <c r="AE14" s="463"/>
      <c r="AF14" s="65"/>
      <c r="AG14" s="465" t="e">
        <f t="shared" si="7"/>
        <v>#DIV/0!</v>
      </c>
      <c r="AH14" s="646"/>
    </row>
    <row r="15" spans="1:34" ht="19.2" customHeight="1">
      <c r="A15" s="644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477"/>
      <c r="J15" s="46"/>
      <c r="K15" s="44"/>
      <c r="L15" s="47"/>
      <c r="M15" s="62"/>
      <c r="N15" s="68"/>
      <c r="O15" s="47"/>
      <c r="P15" s="48"/>
      <c r="Q15" s="49"/>
      <c r="R15" s="465"/>
      <c r="S15" s="646"/>
      <c r="T15" s="89"/>
      <c r="U15" s="89"/>
      <c r="V15" s="477"/>
      <c r="W15" s="475">
        <f t="shared" si="8"/>
        <v>0</v>
      </c>
      <c r="X15" s="64"/>
      <c r="Y15" s="64"/>
      <c r="Z15" s="54"/>
      <c r="AA15" s="54"/>
      <c r="AB15" s="633"/>
      <c r="AC15" s="633"/>
      <c r="AD15" s="463"/>
      <c r="AE15" s="463"/>
      <c r="AF15" s="65"/>
      <c r="AG15" s="465" t="e">
        <f t="shared" si="7"/>
        <v>#DIV/0!</v>
      </c>
      <c r="AH15" s="646"/>
    </row>
    <row r="16" spans="1:34" ht="19.2" customHeight="1">
      <c r="A16" s="644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477"/>
      <c r="J16" s="46"/>
      <c r="K16" s="44"/>
      <c r="L16" s="47"/>
      <c r="M16" s="62"/>
      <c r="N16" s="68"/>
      <c r="O16" s="47"/>
      <c r="P16" s="48"/>
      <c r="Q16" s="49"/>
      <c r="R16" s="465"/>
      <c r="S16" s="646"/>
      <c r="T16" s="89"/>
      <c r="U16" s="89"/>
      <c r="V16" s="477"/>
      <c r="W16" s="475">
        <f t="shared" si="8"/>
        <v>0</v>
      </c>
      <c r="X16" s="64"/>
      <c r="Y16" s="64"/>
      <c r="Z16" s="54"/>
      <c r="AA16" s="54"/>
      <c r="AB16" s="633"/>
      <c r="AC16" s="633"/>
      <c r="AD16" s="463"/>
      <c r="AE16" s="463"/>
      <c r="AF16" s="65"/>
      <c r="AG16" s="465" t="e">
        <f t="shared" si="7"/>
        <v>#DIV/0!</v>
      </c>
      <c r="AH16" s="646"/>
    </row>
    <row r="17" spans="1:34" ht="19.2" customHeight="1">
      <c r="A17" s="644"/>
      <c r="B17" s="69">
        <v>0</v>
      </c>
      <c r="C17" s="69" t="s">
        <v>395</v>
      </c>
      <c r="D17" s="651" t="s">
        <v>396</v>
      </c>
      <c r="E17" s="651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J17:O17" si="9">AVERAGE(M5:M16)</f>
        <v>18.5</v>
      </c>
      <c r="N17" s="70">
        <f t="shared" si="9"/>
        <v>2446.6249855035799</v>
      </c>
      <c r="O17" s="73">
        <f t="shared" si="9"/>
        <v>132.72473666198451</v>
      </c>
      <c r="P17" s="65">
        <f t="shared" ref="P17:P23" si="10">M17-J17</f>
        <v>0.33333333333333215</v>
      </c>
      <c r="Q17" s="74">
        <f t="shared" ref="Q17:Q23" si="11">O17-L17</f>
        <v>-13.900650334919504</v>
      </c>
      <c r="R17" s="75">
        <f>O17/L17</f>
        <v>0.90519615586615287</v>
      </c>
      <c r="S17" s="646"/>
      <c r="T17" s="89"/>
      <c r="U17" s="89"/>
      <c r="V17" s="47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33"/>
      <c r="AC17" s="633"/>
      <c r="AD17" s="79">
        <f>SUM(AD5:AD16)</f>
        <v>0</v>
      </c>
      <c r="AE17" s="79">
        <f>SUM(AE5:AE16)</f>
        <v>1</v>
      </c>
      <c r="AF17" s="65">
        <f t="shared" si="6"/>
        <v>-203.37501449642014</v>
      </c>
      <c r="AG17" s="468">
        <f t="shared" si="7"/>
        <v>0.92325471151078486</v>
      </c>
      <c r="AH17" s="646"/>
    </row>
    <row r="18" spans="1:34" ht="19.2" customHeight="1">
      <c r="A18" s="653" t="s">
        <v>397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3333.85</v>
      </c>
      <c r="H18" s="84">
        <f t="shared" ref="H18:H29" si="12">F18*G18</f>
        <v>122885.711</v>
      </c>
      <c r="I18" s="46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2222.5666666666666</v>
      </c>
      <c r="O18" s="86">
        <f t="shared" ref="O18:O23" si="14">N18/M18</f>
        <v>123.47592592592592</v>
      </c>
      <c r="P18" s="54">
        <f t="shared" si="10"/>
        <v>1</v>
      </c>
      <c r="Q18" s="88">
        <f t="shared" si="11"/>
        <v>-8.8770152505446589</v>
      </c>
      <c r="R18" s="464">
        <f t="shared" ref="R18:R23" si="15">O18/L18</f>
        <v>0.93292921810699592</v>
      </c>
      <c r="S18" s="654">
        <f>R30</f>
        <v>0.92199400048261826</v>
      </c>
      <c r="T18" s="89">
        <v>0.16666666666666666</v>
      </c>
      <c r="U18" s="89">
        <v>0.22916666666666666</v>
      </c>
      <c r="V18" s="463">
        <v>5</v>
      </c>
      <c r="W18" s="90">
        <f>(U18-T18)*24*60</f>
        <v>90</v>
      </c>
      <c r="X18" s="86"/>
      <c r="Y18" s="86"/>
      <c r="Z18" s="54"/>
      <c r="AA18" s="54"/>
      <c r="AB18" s="633"/>
      <c r="AC18" s="633"/>
      <c r="AD18" s="463"/>
      <c r="AE18" s="463"/>
      <c r="AF18" s="91">
        <f t="shared" si="6"/>
        <v>-27.433333333333394</v>
      </c>
      <c r="AG18" s="92">
        <f t="shared" si="7"/>
        <v>0.98780740740740736</v>
      </c>
      <c r="AH18" s="655">
        <f>AG30</f>
        <v>0.95378132010011907</v>
      </c>
    </row>
    <row r="19" spans="1:34" ht="19.2" customHeight="1">
      <c r="A19" s="653"/>
      <c r="B19" s="471" t="s">
        <v>144</v>
      </c>
      <c r="C19" s="470"/>
      <c r="D19" s="82" t="s">
        <v>62</v>
      </c>
      <c r="E19" s="83"/>
      <c r="F19" s="361">
        <v>38.39</v>
      </c>
      <c r="G19" s="57">
        <v>2368</v>
      </c>
      <c r="H19" s="84">
        <f t="shared" si="12"/>
        <v>90907.520000000004</v>
      </c>
      <c r="I19" s="46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1449.7959183673472</v>
      </c>
      <c r="O19" s="95">
        <f t="shared" si="14"/>
        <v>85.282112845138073</v>
      </c>
      <c r="P19" s="54">
        <f t="shared" si="10"/>
        <v>1</v>
      </c>
      <c r="Q19" s="88">
        <f t="shared" si="11"/>
        <v>-16.967887154861927</v>
      </c>
      <c r="R19" s="464">
        <f t="shared" si="15"/>
        <v>0.83405489335098359</v>
      </c>
      <c r="S19" s="654"/>
      <c r="T19" s="89">
        <v>0.23402777777777778</v>
      </c>
      <c r="U19" s="89">
        <v>0.30208333333333331</v>
      </c>
      <c r="V19" s="463">
        <v>7</v>
      </c>
      <c r="W19" s="90">
        <f>(U19-T19)*24*60</f>
        <v>97.999999999999972</v>
      </c>
      <c r="X19" s="96"/>
      <c r="Y19" s="96"/>
      <c r="Z19" s="54"/>
      <c r="AA19" s="54"/>
      <c r="AB19" s="633"/>
      <c r="AC19" s="633"/>
      <c r="AD19" s="463"/>
      <c r="AE19" s="463"/>
      <c r="AF19" s="48">
        <f t="shared" si="6"/>
        <v>-186.20408163265279</v>
      </c>
      <c r="AG19" s="465">
        <f t="shared" si="7"/>
        <v>0.88618332418542001</v>
      </c>
      <c r="AH19" s="656"/>
    </row>
    <row r="20" spans="1:34" ht="19.2" customHeight="1">
      <c r="A20" s="653"/>
      <c r="B20" s="471" t="s">
        <v>144</v>
      </c>
      <c r="C20" s="55"/>
      <c r="D20" s="42" t="s">
        <v>247</v>
      </c>
      <c r="E20" s="83"/>
      <c r="F20" s="361">
        <v>49.91</v>
      </c>
      <c r="G20" s="57">
        <v>2793.6</v>
      </c>
      <c r="H20" s="84">
        <f t="shared" si="12"/>
        <v>139428.57599999997</v>
      </c>
      <c r="I20" s="46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1457.5304347826088</v>
      </c>
      <c r="O20" s="95">
        <f t="shared" si="14"/>
        <v>85.73708439897699</v>
      </c>
      <c r="P20" s="54">
        <f t="shared" si="10"/>
        <v>0</v>
      </c>
      <c r="Q20" s="88">
        <f t="shared" si="11"/>
        <v>-2.4982097186700685</v>
      </c>
      <c r="R20" s="464">
        <f t="shared" si="15"/>
        <v>0.9716869565217392</v>
      </c>
      <c r="S20" s="654"/>
      <c r="T20" s="89">
        <v>0.31736111111111109</v>
      </c>
      <c r="U20" s="89">
        <v>0.3972222222222222</v>
      </c>
      <c r="V20" s="463">
        <v>22</v>
      </c>
      <c r="W20" s="90">
        <f t="shared" ref="W20:W29" si="16">(U20-T20)*24*60</f>
        <v>114.99999999999999</v>
      </c>
      <c r="X20" s="96">
        <v>0.30624999999999997</v>
      </c>
      <c r="Y20" s="96">
        <v>0.31597222222222221</v>
      </c>
      <c r="Z20" s="54"/>
      <c r="AA20" s="54"/>
      <c r="AB20" s="633"/>
      <c r="AC20" s="633"/>
      <c r="AD20" s="463"/>
      <c r="AE20" s="463">
        <v>1</v>
      </c>
      <c r="AF20" s="91">
        <f t="shared" si="6"/>
        <v>-42.469565217391164</v>
      </c>
      <c r="AG20" s="92">
        <f t="shared" si="7"/>
        <v>0.9716869565217392</v>
      </c>
      <c r="AH20" s="656"/>
    </row>
    <row r="21" spans="1:34" ht="19.2" customHeight="1">
      <c r="A21" s="653"/>
      <c r="B21" s="471" t="s">
        <v>144</v>
      </c>
      <c r="C21" s="97"/>
      <c r="D21" s="98" t="s">
        <v>253</v>
      </c>
      <c r="E21" s="43"/>
      <c r="F21" s="361">
        <v>56.43</v>
      </c>
      <c r="G21" s="44">
        <v>2680.7999999999997</v>
      </c>
      <c r="H21" s="84">
        <f t="shared" si="12"/>
        <v>151277.54399999999</v>
      </c>
      <c r="I21" s="462"/>
      <c r="J21" s="93">
        <v>17</v>
      </c>
      <c r="K21" s="44">
        <v>1636</v>
      </c>
      <c r="L21" s="47">
        <v>96.235294117647058</v>
      </c>
      <c r="M21" s="476">
        <v>17</v>
      </c>
      <c r="N21" s="94">
        <f t="shared" si="13"/>
        <v>1449.0810810810808</v>
      </c>
      <c r="O21" s="95">
        <f t="shared" si="14"/>
        <v>85.240063593004749</v>
      </c>
      <c r="P21" s="54">
        <f t="shared" si="10"/>
        <v>0</v>
      </c>
      <c r="Q21" s="88">
        <f t="shared" si="11"/>
        <v>-10.995230524642309</v>
      </c>
      <c r="R21" s="464">
        <f t="shared" si="15"/>
        <v>0.88574638207890022</v>
      </c>
      <c r="S21" s="654"/>
      <c r="T21" s="89">
        <v>0.41319444444444442</v>
      </c>
      <c r="U21" s="89">
        <v>0.49027777777777776</v>
      </c>
      <c r="V21" s="463">
        <v>23</v>
      </c>
      <c r="W21" s="90">
        <f t="shared" si="16"/>
        <v>111</v>
      </c>
      <c r="X21" s="96">
        <v>0.40138888888888885</v>
      </c>
      <c r="Y21" s="96">
        <v>0.41250000000000003</v>
      </c>
      <c r="Z21" s="54"/>
      <c r="AA21" s="54"/>
      <c r="AB21" s="633"/>
      <c r="AC21" s="633"/>
      <c r="AD21" s="463"/>
      <c r="AE21" s="463"/>
      <c r="AF21" s="48">
        <f t="shared" si="6"/>
        <v>-186.91891891891919</v>
      </c>
      <c r="AG21" s="465">
        <f t="shared" si="7"/>
        <v>0.88574638207890022</v>
      </c>
      <c r="AH21" s="657"/>
    </row>
    <row r="22" spans="1:34" ht="19.2" customHeight="1">
      <c r="A22" s="653"/>
      <c r="B22" s="471" t="s">
        <v>144</v>
      </c>
      <c r="C22" s="97"/>
      <c r="D22" s="42" t="s">
        <v>247</v>
      </c>
      <c r="E22" s="43"/>
      <c r="F22" s="361">
        <v>49.91</v>
      </c>
      <c r="G22" s="44">
        <v>1862.4</v>
      </c>
      <c r="H22" s="84">
        <f t="shared" si="12"/>
        <v>92952.383999999991</v>
      </c>
      <c r="I22" s="462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1451.2207792207785</v>
      </c>
      <c r="O22" s="95">
        <f t="shared" si="14"/>
        <v>85.365928189457563</v>
      </c>
      <c r="P22" s="54">
        <f t="shared" si="10"/>
        <v>0</v>
      </c>
      <c r="Q22" s="88">
        <f t="shared" si="11"/>
        <v>-2.8693659281894952</v>
      </c>
      <c r="R22" s="464">
        <f t="shared" si="15"/>
        <v>0.96748051948051905</v>
      </c>
      <c r="S22" s="654"/>
      <c r="T22" s="89">
        <v>0.53055555555555556</v>
      </c>
      <c r="U22" s="89">
        <v>0.58402777777777781</v>
      </c>
      <c r="V22" s="463">
        <v>5</v>
      </c>
      <c r="W22" s="90">
        <f t="shared" si="16"/>
        <v>77.000000000000043</v>
      </c>
      <c r="X22" s="96"/>
      <c r="Y22" s="96"/>
      <c r="Z22" s="54"/>
      <c r="AA22" s="54"/>
      <c r="AB22" s="633"/>
      <c r="AC22" s="633"/>
      <c r="AD22" s="463"/>
      <c r="AE22" s="463"/>
      <c r="AF22" s="91">
        <f t="shared" si="6"/>
        <v>-48.779220779221532</v>
      </c>
      <c r="AG22" s="92">
        <f t="shared" si="7"/>
        <v>0.96748051948051894</v>
      </c>
      <c r="AH22" s="657"/>
    </row>
    <row r="23" spans="1:34" ht="19.2" customHeight="1">
      <c r="A23" s="653"/>
      <c r="B23" s="471" t="s">
        <v>142</v>
      </c>
      <c r="C23" s="97"/>
      <c r="D23" s="42" t="s">
        <v>60</v>
      </c>
      <c r="E23" s="43"/>
      <c r="F23" s="361">
        <v>36.86</v>
      </c>
      <c r="G23" s="44">
        <v>1795.1499999999999</v>
      </c>
      <c r="H23" s="84">
        <f t="shared" si="12"/>
        <v>66169.228999999992</v>
      </c>
      <c r="I23" s="462">
        <v>1</v>
      </c>
      <c r="J23" s="93">
        <v>17</v>
      </c>
      <c r="K23" s="44">
        <v>2250</v>
      </c>
      <c r="L23" s="47">
        <v>132.35294117647058</v>
      </c>
      <c r="M23" s="476">
        <v>18</v>
      </c>
      <c r="N23" s="94">
        <f t="shared" si="13"/>
        <v>2243.9375000000005</v>
      </c>
      <c r="O23" s="95">
        <f t="shared" si="14"/>
        <v>124.66319444444447</v>
      </c>
      <c r="P23" s="54">
        <f t="shared" si="10"/>
        <v>1</v>
      </c>
      <c r="Q23" s="88">
        <f t="shared" si="11"/>
        <v>-7.6897467320261086</v>
      </c>
      <c r="R23" s="464">
        <f t="shared" si="15"/>
        <v>0.94189969135802498</v>
      </c>
      <c r="S23" s="654"/>
      <c r="T23" s="89">
        <v>0.58888888888888891</v>
      </c>
      <c r="U23" s="89">
        <v>0.62222222222222223</v>
      </c>
      <c r="V23" s="463">
        <v>7</v>
      </c>
      <c r="W23" s="90">
        <f t="shared" si="16"/>
        <v>47.999999999999986</v>
      </c>
      <c r="X23" s="96"/>
      <c r="Y23" s="96"/>
      <c r="Z23" s="54"/>
      <c r="AA23" s="54"/>
      <c r="AB23" s="633"/>
      <c r="AC23" s="633"/>
      <c r="AD23" s="463"/>
      <c r="AE23" s="463"/>
      <c r="AF23" s="48">
        <f t="shared" si="6"/>
        <v>-6.0624999999995453</v>
      </c>
      <c r="AG23" s="465">
        <f t="shared" si="7"/>
        <v>0.99730555555555578</v>
      </c>
      <c r="AH23" s="657"/>
    </row>
    <row r="24" spans="1:34" ht="19.2" customHeight="1">
      <c r="A24" s="653"/>
      <c r="B24" s="471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64"/>
      <c r="S24" s="654"/>
      <c r="T24" s="89"/>
      <c r="U24" s="89"/>
      <c r="V24" s="463"/>
      <c r="W24" s="90">
        <f t="shared" si="16"/>
        <v>0</v>
      </c>
      <c r="X24" s="463"/>
      <c r="Y24" s="463"/>
      <c r="Z24" s="54"/>
      <c r="AA24" s="54"/>
      <c r="AB24" s="633"/>
      <c r="AC24" s="633"/>
      <c r="AD24" s="463"/>
      <c r="AE24" s="463"/>
      <c r="AF24" s="91">
        <f t="shared" si="6"/>
        <v>0</v>
      </c>
      <c r="AG24" s="92" t="e">
        <f t="shared" si="7"/>
        <v>#DIV/0!</v>
      </c>
      <c r="AH24" s="657"/>
    </row>
    <row r="25" spans="1:34" ht="19.2" customHeight="1">
      <c r="A25" s="653"/>
      <c r="B25" s="471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64"/>
      <c r="S25" s="654"/>
      <c r="T25" s="89"/>
      <c r="U25" s="89"/>
      <c r="V25" s="463"/>
      <c r="W25" s="90">
        <f t="shared" si="16"/>
        <v>0</v>
      </c>
      <c r="X25" s="463"/>
      <c r="Y25" s="463"/>
      <c r="Z25" s="54"/>
      <c r="AA25" s="54"/>
      <c r="AB25" s="633"/>
      <c r="AC25" s="633"/>
      <c r="AD25" s="463"/>
      <c r="AE25" s="463"/>
      <c r="AF25" s="48">
        <f t="shared" si="6"/>
        <v>0</v>
      </c>
      <c r="AG25" s="465" t="e">
        <f t="shared" si="7"/>
        <v>#DIV/0!</v>
      </c>
      <c r="AH25" s="657"/>
    </row>
    <row r="26" spans="1:34" ht="19.2" customHeight="1">
      <c r="A26" s="653"/>
      <c r="B26" s="471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64"/>
      <c r="S26" s="654"/>
      <c r="T26" s="89"/>
      <c r="U26" s="89"/>
      <c r="V26" s="463"/>
      <c r="W26" s="90">
        <f t="shared" si="16"/>
        <v>0</v>
      </c>
      <c r="X26" s="463"/>
      <c r="Y26" s="463"/>
      <c r="Z26" s="54"/>
      <c r="AA26" s="54"/>
      <c r="AB26" s="633"/>
      <c r="AC26" s="633"/>
      <c r="AD26" s="463"/>
      <c r="AE26" s="463"/>
      <c r="AF26" s="91">
        <f t="shared" si="6"/>
        <v>0</v>
      </c>
      <c r="AG26" s="92" t="e">
        <f t="shared" si="7"/>
        <v>#DIV/0!</v>
      </c>
      <c r="AH26" s="657"/>
    </row>
    <row r="27" spans="1:34" ht="19.2" customHeight="1">
      <c r="A27" s="653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64"/>
      <c r="S27" s="654"/>
      <c r="T27" s="89"/>
      <c r="U27" s="89"/>
      <c r="V27" s="463"/>
      <c r="W27" s="90">
        <f t="shared" si="16"/>
        <v>0</v>
      </c>
      <c r="X27" s="463"/>
      <c r="Y27" s="463"/>
      <c r="Z27" s="54"/>
      <c r="AA27" s="54"/>
      <c r="AB27" s="633"/>
      <c r="AC27" s="633"/>
      <c r="AD27" s="463"/>
      <c r="AE27" s="463"/>
      <c r="AF27" s="48">
        <f t="shared" si="6"/>
        <v>0</v>
      </c>
      <c r="AG27" s="465" t="e">
        <f t="shared" si="7"/>
        <v>#DIV/0!</v>
      </c>
      <c r="AH27" s="657"/>
    </row>
    <row r="28" spans="1:34" ht="19.2" customHeight="1">
      <c r="A28" s="653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64"/>
      <c r="S28" s="654"/>
      <c r="T28" s="89"/>
      <c r="U28" s="89"/>
      <c r="V28" s="463"/>
      <c r="W28" s="90">
        <f t="shared" si="16"/>
        <v>0</v>
      </c>
      <c r="X28" s="463"/>
      <c r="Y28" s="463"/>
      <c r="Z28" s="54"/>
      <c r="AA28" s="54"/>
      <c r="AB28" s="633"/>
      <c r="AC28" s="633"/>
      <c r="AD28" s="463"/>
      <c r="AE28" s="463"/>
      <c r="AF28" s="91">
        <f t="shared" si="6"/>
        <v>0</v>
      </c>
      <c r="AG28" s="92" t="e">
        <f t="shared" si="7"/>
        <v>#DIV/0!</v>
      </c>
      <c r="AH28" s="657"/>
    </row>
    <row r="29" spans="1:34" ht="19.2" customHeight="1">
      <c r="A29" s="653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64"/>
      <c r="S29" s="654"/>
      <c r="T29" s="89"/>
      <c r="U29" s="89"/>
      <c r="V29" s="463"/>
      <c r="W29" s="90">
        <f t="shared" si="16"/>
        <v>0</v>
      </c>
      <c r="X29" s="463"/>
      <c r="Y29" s="463"/>
      <c r="Z29" s="54"/>
      <c r="AA29" s="54"/>
      <c r="AB29" s="633"/>
      <c r="AC29" s="633"/>
      <c r="AD29" s="463"/>
      <c r="AE29" s="463"/>
      <c r="AF29" s="48">
        <f t="shared" si="6"/>
        <v>0</v>
      </c>
      <c r="AG29" s="465"/>
      <c r="AH29" s="657"/>
    </row>
    <row r="30" spans="1:34" ht="19.2" customHeight="1">
      <c r="A30" s="653"/>
      <c r="B30" s="99">
        <v>0</v>
      </c>
      <c r="C30" s="100" t="s">
        <v>398</v>
      </c>
      <c r="D30" s="652" t="s">
        <v>396</v>
      </c>
      <c r="E30" s="652"/>
      <c r="F30" s="365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J30:O30" si="17">AVERAGE(M18:M29)</f>
        <v>17.333333333333332</v>
      </c>
      <c r="N30" s="101">
        <f t="shared" si="17"/>
        <v>1712.3553966864138</v>
      </c>
      <c r="O30" s="104">
        <f t="shared" si="17"/>
        <v>98.294051566157961</v>
      </c>
      <c r="P30" s="54">
        <f t="shared" ref="P30:P38" si="18">M30-J30</f>
        <v>0.5</v>
      </c>
      <c r="Q30" s="88">
        <f t="shared" ref="Q30:Q37" si="19">O30-L30</f>
        <v>-8.316242551489097</v>
      </c>
      <c r="R30" s="105">
        <f t="shared" ref="R30:R37" si="20">O30/L30</f>
        <v>0.92199400048261826</v>
      </c>
      <c r="S30" s="654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33"/>
      <c r="AC30" s="633"/>
      <c r="AD30" s="107">
        <f>SUM(AD18:AD29)</f>
        <v>0</v>
      </c>
      <c r="AE30" s="107">
        <f>SUM(AE18:AE29)</f>
        <v>1</v>
      </c>
      <c r="AF30" s="108">
        <f t="shared" si="6"/>
        <v>-82.977936646919488</v>
      </c>
      <c r="AG30" s="109">
        <f t="shared" ref="AG30" si="21">N30/K30</f>
        <v>0.95378132010011907</v>
      </c>
      <c r="AH30" s="658"/>
    </row>
    <row r="31" spans="1:34" ht="19.2" customHeight="1">
      <c r="A31" s="661" t="s">
        <v>399</v>
      </c>
      <c r="B31" s="110" t="s">
        <v>146</v>
      </c>
      <c r="C31" s="66"/>
      <c r="D31" s="111" t="s">
        <v>63</v>
      </c>
      <c r="E31" s="112"/>
      <c r="F31" s="366">
        <v>35.33</v>
      </c>
      <c r="G31" s="94">
        <v>2381</v>
      </c>
      <c r="H31" s="113">
        <f t="shared" ref="H31:H40" si="22">F31*G31</f>
        <v>84120.73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1855.3246753246754</v>
      </c>
      <c r="O31" s="116">
        <f t="shared" ref="O31:O37" si="24">N31/M31</f>
        <v>154.6103896103896</v>
      </c>
      <c r="P31" s="117">
        <f t="shared" si="18"/>
        <v>0</v>
      </c>
      <c r="Q31" s="118">
        <f t="shared" si="19"/>
        <v>-21.889610389610397</v>
      </c>
      <c r="R31" s="467">
        <f t="shared" si="20"/>
        <v>0.87597954453478533</v>
      </c>
      <c r="S31" s="663">
        <f>R43</f>
        <v>0.84120156871090845</v>
      </c>
      <c r="T31" s="119">
        <v>0.16666666666666666</v>
      </c>
      <c r="U31" s="119">
        <v>0.22013888888888888</v>
      </c>
      <c r="V31" s="52">
        <v>5</v>
      </c>
      <c r="W31" s="120">
        <f t="shared" ref="W31:W42" si="25">(U31-T31)*24*60</f>
        <v>77</v>
      </c>
      <c r="X31" s="52"/>
      <c r="Y31" s="52"/>
      <c r="Z31" s="51"/>
      <c r="AA31" s="51"/>
      <c r="AB31" s="633"/>
      <c r="AC31" s="633"/>
      <c r="AD31" s="52"/>
      <c r="AE31" s="52"/>
      <c r="AF31" s="117">
        <f t="shared" si="6"/>
        <v>-262.67532467532465</v>
      </c>
      <c r="AG31" s="121">
        <f t="shared" si="7"/>
        <v>0.87597954453478533</v>
      </c>
      <c r="AH31" s="659">
        <f>AG43</f>
        <v>0.85671899978377664</v>
      </c>
    </row>
    <row r="32" spans="1:34" ht="19.2" customHeight="1">
      <c r="A32" s="662"/>
      <c r="B32" s="122" t="s">
        <v>146</v>
      </c>
      <c r="C32" s="123"/>
      <c r="D32" s="98" t="s">
        <v>101</v>
      </c>
      <c r="E32" s="43"/>
      <c r="F32" s="361">
        <v>34.229999999999997</v>
      </c>
      <c r="G32" s="44">
        <v>2089</v>
      </c>
      <c r="H32" s="84">
        <f t="shared" si="22"/>
        <v>71506.469999999987</v>
      </c>
      <c r="I32" s="475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1870.7462686567153</v>
      </c>
      <c r="O32" s="47">
        <f t="shared" si="24"/>
        <v>155.89552238805962</v>
      </c>
      <c r="P32" s="117">
        <f t="shared" si="18"/>
        <v>0</v>
      </c>
      <c r="Q32" s="49">
        <f t="shared" si="19"/>
        <v>-20.604477611940382</v>
      </c>
      <c r="R32" s="465">
        <f t="shared" si="20"/>
        <v>0.88326075007399218</v>
      </c>
      <c r="S32" s="654"/>
      <c r="T32" s="89">
        <v>0.22569444444444445</v>
      </c>
      <c r="U32" s="89">
        <v>0.27222222222222225</v>
      </c>
      <c r="V32" s="463">
        <v>8</v>
      </c>
      <c r="W32" s="90">
        <f t="shared" si="25"/>
        <v>67.000000000000043</v>
      </c>
      <c r="X32" s="124"/>
      <c r="Y32" s="124"/>
      <c r="Z32" s="125"/>
      <c r="AA32" s="125"/>
      <c r="AB32" s="633"/>
      <c r="AC32" s="633"/>
      <c r="AD32" s="463"/>
      <c r="AE32" s="463">
        <v>1</v>
      </c>
      <c r="AF32" s="48">
        <f t="shared" si="6"/>
        <v>-247.2537313432847</v>
      </c>
      <c r="AG32" s="465">
        <f t="shared" si="7"/>
        <v>0.88326075007399207</v>
      </c>
      <c r="AH32" s="645"/>
    </row>
    <row r="33" spans="1:34" ht="19.2" customHeight="1">
      <c r="A33" s="662"/>
      <c r="B33" s="122" t="s">
        <v>147</v>
      </c>
      <c r="C33" s="463"/>
      <c r="D33" s="82" t="s">
        <v>186</v>
      </c>
      <c r="E33" s="83"/>
      <c r="F33" s="361">
        <v>54.09</v>
      </c>
      <c r="G33" s="57">
        <v>1024.5</v>
      </c>
      <c r="H33" s="84">
        <f t="shared" si="22"/>
        <v>55415.205000000002</v>
      </c>
      <c r="I33" s="463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1254.4897959183677</v>
      </c>
      <c r="O33" s="47">
        <f t="shared" si="24"/>
        <v>69.693877551020421</v>
      </c>
      <c r="P33" s="117">
        <f t="shared" si="18"/>
        <v>0</v>
      </c>
      <c r="Q33" s="49">
        <f t="shared" si="19"/>
        <v>-13.639455782312908</v>
      </c>
      <c r="R33" s="465">
        <f t="shared" si="20"/>
        <v>0.83632653061224504</v>
      </c>
      <c r="S33" s="654"/>
      <c r="T33" s="89">
        <v>0.28750000000000003</v>
      </c>
      <c r="U33" s="89">
        <v>0.3215277777777778</v>
      </c>
      <c r="V33" s="463">
        <v>22</v>
      </c>
      <c r="W33" s="90">
        <f t="shared" si="25"/>
        <v>48.999999999999986</v>
      </c>
      <c r="X33" s="124">
        <v>0.27638888888888885</v>
      </c>
      <c r="Y33" s="124">
        <v>0.28680555555555554</v>
      </c>
      <c r="Z33" s="125"/>
      <c r="AA33" s="125"/>
      <c r="AB33" s="633"/>
      <c r="AC33" s="633"/>
      <c r="AD33" s="463"/>
      <c r="AE33" s="463"/>
      <c r="AF33" s="48">
        <f t="shared" si="6"/>
        <v>-245.51020408163231</v>
      </c>
      <c r="AG33" s="126">
        <f t="shared" si="7"/>
        <v>0.83632653061224516</v>
      </c>
      <c r="AH33" s="645"/>
    </row>
    <row r="34" spans="1:34" ht="19.2" customHeight="1">
      <c r="A34" s="662"/>
      <c r="B34" s="122" t="s">
        <v>144</v>
      </c>
      <c r="C34" s="127"/>
      <c r="D34" s="82" t="s">
        <v>241</v>
      </c>
      <c r="E34" s="83"/>
      <c r="F34" s="361">
        <v>49.91</v>
      </c>
      <c r="G34" s="57">
        <v>3147.9500000000003</v>
      </c>
      <c r="H34" s="84">
        <f t="shared" si="22"/>
        <v>157114.1845</v>
      </c>
      <c r="I34" s="463"/>
      <c r="J34" s="46">
        <v>15</v>
      </c>
      <c r="K34" s="44">
        <v>1500</v>
      </c>
      <c r="L34" s="47">
        <v>100</v>
      </c>
      <c r="M34" s="46">
        <v>16</v>
      </c>
      <c r="N34" s="44">
        <f t="shared" si="23"/>
        <v>1302.5999999999997</v>
      </c>
      <c r="O34" s="47">
        <f t="shared" si="24"/>
        <v>81.41249999999998</v>
      </c>
      <c r="P34" s="117">
        <f t="shared" si="18"/>
        <v>1</v>
      </c>
      <c r="Q34" s="49">
        <f t="shared" si="19"/>
        <v>-18.58750000000002</v>
      </c>
      <c r="R34" s="465">
        <f t="shared" si="20"/>
        <v>0.81412499999999977</v>
      </c>
      <c r="S34" s="654"/>
      <c r="T34" s="89">
        <v>0.32569444444444445</v>
      </c>
      <c r="U34" s="89">
        <v>0.42638888888888893</v>
      </c>
      <c r="V34" s="463">
        <v>6</v>
      </c>
      <c r="W34" s="90">
        <f t="shared" si="25"/>
        <v>145.00000000000006</v>
      </c>
      <c r="X34" s="124"/>
      <c r="Y34" s="124"/>
      <c r="Z34" s="125"/>
      <c r="AA34" s="125"/>
      <c r="AB34" s="633"/>
      <c r="AC34" s="633"/>
      <c r="AD34" s="463"/>
      <c r="AE34" s="463"/>
      <c r="AF34" s="48">
        <f t="shared" si="6"/>
        <v>-197.40000000000032</v>
      </c>
      <c r="AG34" s="126">
        <f t="shared" si="7"/>
        <v>0.86839999999999984</v>
      </c>
      <c r="AH34" s="645"/>
    </row>
    <row r="35" spans="1:34" ht="19.2" customHeight="1">
      <c r="A35" s="662"/>
      <c r="B35" s="122" t="s">
        <v>144</v>
      </c>
      <c r="C35" s="41"/>
      <c r="D35" s="42" t="s">
        <v>250</v>
      </c>
      <c r="E35" s="43"/>
      <c r="F35" s="361">
        <v>56.43</v>
      </c>
      <c r="G35" s="128">
        <v>2950</v>
      </c>
      <c r="H35" s="84">
        <f t="shared" si="22"/>
        <v>166468.5</v>
      </c>
      <c r="I35" s="462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1291.9708029197072</v>
      </c>
      <c r="O35" s="47">
        <f t="shared" si="24"/>
        <v>75.998282524688662</v>
      </c>
      <c r="P35" s="117">
        <f t="shared" si="18"/>
        <v>1</v>
      </c>
      <c r="Q35" s="49">
        <f t="shared" si="19"/>
        <v>-17.751717475311338</v>
      </c>
      <c r="R35" s="465">
        <f t="shared" si="20"/>
        <v>0.81064834693001242</v>
      </c>
      <c r="S35" s="654"/>
      <c r="T35" s="89">
        <v>0.44236111111111115</v>
      </c>
      <c r="U35" s="89">
        <v>0.53750000000000009</v>
      </c>
      <c r="V35" s="463">
        <v>23</v>
      </c>
      <c r="W35" s="90">
        <f t="shared" si="25"/>
        <v>137.00000000000009</v>
      </c>
      <c r="X35" s="124">
        <v>0.43055555555555558</v>
      </c>
      <c r="Y35" s="124">
        <v>0.44097222222222227</v>
      </c>
      <c r="Z35" s="125"/>
      <c r="AA35" s="125"/>
      <c r="AB35" s="633"/>
      <c r="AC35" s="633"/>
      <c r="AD35" s="463"/>
      <c r="AE35" s="463"/>
      <c r="AF35" s="117">
        <f t="shared" si="6"/>
        <v>-208.02919708029276</v>
      </c>
      <c r="AG35" s="121">
        <f t="shared" si="7"/>
        <v>0.86131386861313819</v>
      </c>
      <c r="AH35" s="646"/>
    </row>
    <row r="36" spans="1:34" ht="19.2" customHeight="1">
      <c r="A36" s="662"/>
      <c r="B36" s="122" t="s">
        <v>144</v>
      </c>
      <c r="C36" s="129"/>
      <c r="D36" s="42" t="s">
        <v>253</v>
      </c>
      <c r="E36" s="83"/>
      <c r="F36" s="361">
        <v>56.43</v>
      </c>
      <c r="G36" s="57">
        <v>1787.2</v>
      </c>
      <c r="H36" s="84">
        <f t="shared" si="22"/>
        <v>100851.696</v>
      </c>
      <c r="I36" s="463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1291.9518072289154</v>
      </c>
      <c r="O36" s="47">
        <f t="shared" si="24"/>
        <v>75.997165131112666</v>
      </c>
      <c r="P36" s="117">
        <f t="shared" si="18"/>
        <v>0</v>
      </c>
      <c r="Q36" s="49">
        <f t="shared" si="19"/>
        <v>-20.238128986534392</v>
      </c>
      <c r="R36" s="465">
        <f t="shared" si="20"/>
        <v>0.78970159366070625</v>
      </c>
      <c r="S36" s="654"/>
      <c r="T36" s="89">
        <v>0.57777777777777783</v>
      </c>
      <c r="U36" s="89">
        <v>0.63541666666666674</v>
      </c>
      <c r="V36" s="463">
        <v>5</v>
      </c>
      <c r="W36" s="90">
        <f t="shared" si="25"/>
        <v>83.000000000000028</v>
      </c>
      <c r="X36" s="124"/>
      <c r="Y36" s="124"/>
      <c r="Z36" s="125"/>
      <c r="AA36" s="125"/>
      <c r="AB36" s="633"/>
      <c r="AC36" s="633"/>
      <c r="AD36" s="463"/>
      <c r="AE36" s="463"/>
      <c r="AF36" s="48">
        <f t="shared" si="6"/>
        <v>-344.04819277108459</v>
      </c>
      <c r="AG36" s="465">
        <f t="shared" si="7"/>
        <v>0.78970159366070625</v>
      </c>
      <c r="AH36" s="646"/>
    </row>
    <row r="37" spans="1:34" ht="19.2" customHeight="1">
      <c r="A37" s="662"/>
      <c r="B37" s="122" t="s">
        <v>144</v>
      </c>
      <c r="C37" s="129"/>
      <c r="D37" s="82" t="s">
        <v>241</v>
      </c>
      <c r="E37" s="83"/>
      <c r="F37" s="361">
        <v>49.91</v>
      </c>
      <c r="G37" s="57">
        <v>1695.05</v>
      </c>
      <c r="H37" s="84">
        <f t="shared" si="22"/>
        <v>84599.945499999987</v>
      </c>
      <c r="I37" s="463">
        <v>1</v>
      </c>
      <c r="J37" s="46">
        <v>15</v>
      </c>
      <c r="K37" s="44">
        <v>1500</v>
      </c>
      <c r="L37" s="47">
        <v>100</v>
      </c>
      <c r="M37" s="46">
        <v>16</v>
      </c>
      <c r="N37" s="44">
        <f t="shared" si="23"/>
        <v>1303.8846153846146</v>
      </c>
      <c r="O37" s="47">
        <f t="shared" si="24"/>
        <v>81.49278846153841</v>
      </c>
      <c r="P37" s="117">
        <f t="shared" si="18"/>
        <v>1</v>
      </c>
      <c r="Q37" s="49">
        <f t="shared" si="19"/>
        <v>-18.50721153846159</v>
      </c>
      <c r="R37" s="465">
        <f t="shared" si="20"/>
        <v>0.81492788461538412</v>
      </c>
      <c r="S37" s="654"/>
      <c r="T37" s="89">
        <v>0.64027777777777783</v>
      </c>
      <c r="U37" s="89">
        <v>0.69444444444444453</v>
      </c>
      <c r="V37" s="463">
        <v>7</v>
      </c>
      <c r="W37" s="90">
        <f t="shared" si="25"/>
        <v>78.000000000000043</v>
      </c>
      <c r="X37" s="124"/>
      <c r="Y37" s="124"/>
      <c r="Z37" s="125"/>
      <c r="AA37" s="125"/>
      <c r="AB37" s="633"/>
      <c r="AC37" s="633"/>
      <c r="AD37" s="463"/>
      <c r="AE37" s="463"/>
      <c r="AF37" s="48">
        <f t="shared" si="6"/>
        <v>-196.11538461538544</v>
      </c>
      <c r="AG37" s="126">
        <f t="shared" si="7"/>
        <v>0.86925641025640976</v>
      </c>
      <c r="AH37" s="646"/>
    </row>
    <row r="38" spans="1:34" ht="19.2" customHeight="1">
      <c r="A38" s="662"/>
      <c r="B38" s="122">
        <v>0</v>
      </c>
      <c r="C38" s="129"/>
      <c r="D38" s="82"/>
      <c r="E38" s="83"/>
      <c r="F38" s="361" t="s">
        <v>148</v>
      </c>
      <c r="G38" s="57"/>
      <c r="H38" s="84">
        <f t="shared" si="22"/>
        <v>0</v>
      </c>
      <c r="I38" s="463"/>
      <c r="J38" s="46"/>
      <c r="K38" s="44"/>
      <c r="L38" s="47"/>
      <c r="M38" s="473"/>
      <c r="N38" s="44"/>
      <c r="O38" s="47"/>
      <c r="P38" s="117">
        <f t="shared" si="18"/>
        <v>0</v>
      </c>
      <c r="Q38" s="49"/>
      <c r="R38" s="465"/>
      <c r="S38" s="654"/>
      <c r="T38" s="89"/>
      <c r="U38" s="89"/>
      <c r="V38" s="463" t="s">
        <v>15</v>
      </c>
      <c r="W38" s="90">
        <f t="shared" si="25"/>
        <v>0</v>
      </c>
      <c r="X38" s="124"/>
      <c r="Y38" s="124"/>
      <c r="Z38" s="125"/>
      <c r="AA38" s="125"/>
      <c r="AB38" s="633"/>
      <c r="AC38" s="633"/>
      <c r="AD38" s="463"/>
      <c r="AE38" s="463"/>
      <c r="AF38" s="48">
        <f t="shared" si="6"/>
        <v>0</v>
      </c>
      <c r="AG38" s="126" t="e">
        <f t="shared" si="7"/>
        <v>#DIV/0!</v>
      </c>
      <c r="AH38" s="646"/>
    </row>
    <row r="39" spans="1:34" ht="19.2" customHeight="1">
      <c r="A39" s="662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463"/>
      <c r="J39" s="46"/>
      <c r="K39" s="44"/>
      <c r="L39" s="47"/>
      <c r="M39" s="473"/>
      <c r="N39" s="44"/>
      <c r="O39" s="47"/>
      <c r="P39" s="48"/>
      <c r="Q39" s="49"/>
      <c r="R39" s="465"/>
      <c r="S39" s="654"/>
      <c r="T39" s="89"/>
      <c r="U39" s="89"/>
      <c r="V39" s="463"/>
      <c r="W39" s="90">
        <f t="shared" si="25"/>
        <v>0</v>
      </c>
      <c r="X39" s="124"/>
      <c r="Y39" s="124"/>
      <c r="Z39" s="125"/>
      <c r="AA39" s="125"/>
      <c r="AB39" s="633"/>
      <c r="AC39" s="633"/>
      <c r="AD39" s="463"/>
      <c r="AE39" s="463"/>
      <c r="AF39" s="117">
        <f t="shared" si="6"/>
        <v>0</v>
      </c>
      <c r="AG39" s="121" t="e">
        <f t="shared" si="7"/>
        <v>#DIV/0!</v>
      </c>
      <c r="AH39" s="646"/>
    </row>
    <row r="40" spans="1:34" ht="19.2" customHeight="1">
      <c r="A40" s="662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62"/>
      <c r="J40" s="132"/>
      <c r="K40" s="133"/>
      <c r="L40" s="134"/>
      <c r="M40" s="476"/>
      <c r="N40" s="44"/>
      <c r="O40" s="47"/>
      <c r="P40" s="48"/>
      <c r="Q40" s="49"/>
      <c r="R40" s="465"/>
      <c r="S40" s="654"/>
      <c r="T40" s="89"/>
      <c r="U40" s="89"/>
      <c r="V40" s="463"/>
      <c r="W40" s="90">
        <f t="shared" si="25"/>
        <v>0</v>
      </c>
      <c r="X40" s="124"/>
      <c r="Y40" s="124"/>
      <c r="Z40" s="125"/>
      <c r="AA40" s="125"/>
      <c r="AB40" s="633"/>
      <c r="AC40" s="633"/>
      <c r="AD40" s="463"/>
      <c r="AE40" s="463"/>
      <c r="AF40" s="48">
        <f t="shared" si="6"/>
        <v>0</v>
      </c>
      <c r="AG40" s="465" t="e">
        <f t="shared" si="7"/>
        <v>#DIV/0!</v>
      </c>
      <c r="AH40" s="646"/>
    </row>
    <row r="41" spans="1:34" ht="19.2" customHeight="1">
      <c r="A41" s="662"/>
      <c r="B41" s="463">
        <v>0</v>
      </c>
      <c r="C41" s="55"/>
      <c r="D41" s="82"/>
      <c r="E41" s="83"/>
      <c r="F41" s="361" t="s">
        <v>148</v>
      </c>
      <c r="G41" s="57"/>
      <c r="H41" s="84"/>
      <c r="I41" s="463"/>
      <c r="J41" s="87"/>
      <c r="K41" s="57"/>
      <c r="L41" s="86"/>
      <c r="M41" s="473"/>
      <c r="N41" s="57"/>
      <c r="O41" s="86"/>
      <c r="P41" s="54"/>
      <c r="Q41" s="88"/>
      <c r="R41" s="464"/>
      <c r="S41" s="654"/>
      <c r="T41" s="89"/>
      <c r="U41" s="89"/>
      <c r="V41" s="463"/>
      <c r="W41" s="90">
        <f t="shared" si="25"/>
        <v>0</v>
      </c>
      <c r="X41" s="124"/>
      <c r="Y41" s="124"/>
      <c r="Z41" s="125"/>
      <c r="AA41" s="125"/>
      <c r="AB41" s="633"/>
      <c r="AC41" s="633"/>
      <c r="AD41" s="463"/>
      <c r="AE41" s="463"/>
      <c r="AF41" s="48"/>
      <c r="AG41" s="130"/>
      <c r="AH41" s="646"/>
    </row>
    <row r="42" spans="1:34" ht="19.2" customHeight="1">
      <c r="A42" s="662"/>
      <c r="B42" s="463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463"/>
      <c r="J42" s="87"/>
      <c r="K42" s="57"/>
      <c r="L42" s="86"/>
      <c r="M42" s="473"/>
      <c r="N42" s="57"/>
      <c r="O42" s="86"/>
      <c r="P42" s="54"/>
      <c r="Q42" s="88"/>
      <c r="R42" s="464"/>
      <c r="S42" s="654"/>
      <c r="T42" s="89"/>
      <c r="U42" s="89"/>
      <c r="V42" s="463"/>
      <c r="W42" s="90">
        <f t="shared" si="25"/>
        <v>0</v>
      </c>
      <c r="X42" s="124"/>
      <c r="Y42" s="124"/>
      <c r="Z42" s="125"/>
      <c r="AA42" s="125"/>
      <c r="AB42" s="633"/>
      <c r="AC42" s="633"/>
      <c r="AD42" s="463"/>
      <c r="AE42" s="463"/>
      <c r="AF42" s="48"/>
      <c r="AG42" s="130"/>
      <c r="AH42" s="646"/>
    </row>
    <row r="43" spans="1:34" ht="19.2" customHeight="1">
      <c r="A43" s="662"/>
      <c r="B43" s="122">
        <v>0</v>
      </c>
      <c r="C43" s="100" t="s">
        <v>230</v>
      </c>
      <c r="D43" s="660" t="s">
        <v>120</v>
      </c>
      <c r="E43" s="660"/>
      <c r="F43" s="365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J43:O43" si="26">AVERAGE(M31:M42)</f>
        <v>15.428571428571429</v>
      </c>
      <c r="N43" s="101">
        <f t="shared" si="26"/>
        <v>1452.9954236332851</v>
      </c>
      <c r="O43" s="104">
        <f t="shared" si="26"/>
        <v>99.300075095258492</v>
      </c>
      <c r="P43" s="54">
        <f>M43-J43</f>
        <v>0.42857142857142883</v>
      </c>
      <c r="Q43" s="88">
        <f>N43-K43</f>
        <v>-243.0045763667149</v>
      </c>
      <c r="R43" s="105">
        <f t="shared" ref="R43:R50" si="27">O43/L43</f>
        <v>0.84120156871090845</v>
      </c>
      <c r="S43" s="654"/>
      <c r="T43" s="89"/>
      <c r="U43" s="89"/>
      <c r="V43" s="463"/>
      <c r="W43" s="463"/>
      <c r="X43" s="124"/>
      <c r="Y43" s="124"/>
      <c r="Z43" s="135">
        <f>SUM(Z31:Z42)</f>
        <v>0</v>
      </c>
      <c r="AA43" s="135">
        <f>SUM(AA31:AA42)</f>
        <v>0</v>
      </c>
      <c r="AB43" s="633"/>
      <c r="AC43" s="633"/>
      <c r="AD43" s="107">
        <f>SUM(AD31:AD42)</f>
        <v>0</v>
      </c>
      <c r="AE43" s="107">
        <f>SUM(AE31:AE42)</f>
        <v>1</v>
      </c>
      <c r="AF43" s="48">
        <f t="shared" ref="AF43:AF54" si="28">N43-K43</f>
        <v>-243.0045763667149</v>
      </c>
      <c r="AG43" s="468">
        <f t="shared" si="7"/>
        <v>0.85671899978377664</v>
      </c>
      <c r="AH43" s="646"/>
    </row>
    <row r="44" spans="1:34" s="148" customFormat="1" ht="19.2" customHeight="1">
      <c r="A44" s="664" t="s">
        <v>231</v>
      </c>
      <c r="B44" s="97" t="s">
        <v>146</v>
      </c>
      <c r="C44" s="136"/>
      <c r="D44" s="42" t="s">
        <v>77</v>
      </c>
      <c r="E44" s="43"/>
      <c r="F44" s="368">
        <v>24.73</v>
      </c>
      <c r="G44" s="137">
        <v>2407</v>
      </c>
      <c r="H44" s="45">
        <f>F44*G44</f>
        <v>59525.11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2155.5223880597018</v>
      </c>
      <c r="O44" s="141">
        <f t="shared" ref="O44:O50" si="30">N44/M44</f>
        <v>431.10447761194035</v>
      </c>
      <c r="P44" s="51">
        <f t="shared" ref="P44:P50" si="31">M44-J44</f>
        <v>1</v>
      </c>
      <c r="Q44" s="142">
        <f t="shared" ref="Q44:Q50" si="32">O44-L44</f>
        <v>-68.895522388059646</v>
      </c>
      <c r="R44" s="143">
        <f t="shared" si="27"/>
        <v>0.86220895522388075</v>
      </c>
      <c r="S44" s="645">
        <f>R56</f>
        <v>0.89743978622028808</v>
      </c>
      <c r="T44" s="119">
        <v>0.16666666666666666</v>
      </c>
      <c r="U44" s="119">
        <v>0.21319444444444444</v>
      </c>
      <c r="V44" s="145">
        <v>5</v>
      </c>
      <c r="W44" s="146">
        <f t="shared" ref="W44:W56" si="33">(U44-T44)*24*60</f>
        <v>67</v>
      </c>
      <c r="X44" s="124"/>
      <c r="Y44" s="124"/>
      <c r="Z44" s="125"/>
      <c r="AA44" s="125"/>
      <c r="AB44" s="633"/>
      <c r="AC44" s="633"/>
      <c r="AD44" s="463"/>
      <c r="AE44" s="463"/>
      <c r="AF44" s="147">
        <f t="shared" si="28"/>
        <v>155.52238805970183</v>
      </c>
      <c r="AG44" s="472">
        <f t="shared" si="7"/>
        <v>1.0777611940298508</v>
      </c>
      <c r="AH44" s="667">
        <f>AG56</f>
        <v>1.0184144486391506</v>
      </c>
    </row>
    <row r="45" spans="1:34" s="148" customFormat="1" ht="19.2" customHeight="1">
      <c r="A45" s="665"/>
      <c r="B45" s="97" t="s">
        <v>146</v>
      </c>
      <c r="C45" s="136"/>
      <c r="D45" s="42" t="s">
        <v>78</v>
      </c>
      <c r="E45" s="43"/>
      <c r="F45" s="368">
        <v>24.73</v>
      </c>
      <c r="G45" s="137">
        <v>2325</v>
      </c>
      <c r="H45" s="45">
        <f>F45*G45</f>
        <v>57497.25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2179.6875000000009</v>
      </c>
      <c r="O45" s="141">
        <f t="shared" si="30"/>
        <v>435.93750000000017</v>
      </c>
      <c r="P45" s="51">
        <f t="shared" si="31"/>
        <v>1</v>
      </c>
      <c r="Q45" s="142">
        <f t="shared" si="32"/>
        <v>-64.062499999999829</v>
      </c>
      <c r="R45" s="143">
        <f t="shared" si="27"/>
        <v>0.87187500000000029</v>
      </c>
      <c r="S45" s="645"/>
      <c r="T45" s="89">
        <v>0.21666666666666665</v>
      </c>
      <c r="U45" s="89">
        <v>0.26111111111111107</v>
      </c>
      <c r="V45" s="145">
        <v>5</v>
      </c>
      <c r="W45" s="146">
        <f t="shared" si="33"/>
        <v>63.999999999999972</v>
      </c>
      <c r="X45" s="124"/>
      <c r="Y45" s="124"/>
      <c r="Z45" s="125"/>
      <c r="AA45" s="125"/>
      <c r="AB45" s="633"/>
      <c r="AC45" s="633"/>
      <c r="AD45" s="463"/>
      <c r="AE45" s="463"/>
      <c r="AF45" s="147">
        <f t="shared" si="28"/>
        <v>179.68750000000091</v>
      </c>
      <c r="AG45" s="472">
        <f t="shared" si="7"/>
        <v>1.0898437500000004</v>
      </c>
      <c r="AH45" s="667"/>
    </row>
    <row r="46" spans="1:34" s="148" customFormat="1" ht="19.2" customHeight="1">
      <c r="A46" s="665"/>
      <c r="B46" s="97" t="s">
        <v>146</v>
      </c>
      <c r="C46" s="136"/>
      <c r="D46" s="42" t="s">
        <v>160</v>
      </c>
      <c r="E46" s="43"/>
      <c r="F46" s="368">
        <v>21.92</v>
      </c>
      <c r="G46" s="137">
        <v>491</v>
      </c>
      <c r="H46" s="45">
        <f t="shared" ref="H46:H50" si="34">F46*G46</f>
        <v>10762.720000000001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1963.9999999999966</v>
      </c>
      <c r="O46" s="141">
        <f t="shared" si="30"/>
        <v>392.79999999999933</v>
      </c>
      <c r="P46" s="51">
        <f t="shared" si="31"/>
        <v>1</v>
      </c>
      <c r="Q46" s="142">
        <f t="shared" si="32"/>
        <v>-107.20000000000067</v>
      </c>
      <c r="R46" s="143">
        <f t="shared" si="27"/>
        <v>0.78559999999999863</v>
      </c>
      <c r="S46" s="645"/>
      <c r="T46" s="89">
        <v>0.26458333333333328</v>
      </c>
      <c r="U46" s="89">
        <v>0.27499999999999997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633"/>
      <c r="AC46" s="633"/>
      <c r="AD46" s="463"/>
      <c r="AE46" s="463">
        <v>1</v>
      </c>
      <c r="AF46" s="147">
        <f t="shared" si="28"/>
        <v>-36.000000000003411</v>
      </c>
      <c r="AG46" s="472">
        <f t="shared" si="7"/>
        <v>0.98199999999999832</v>
      </c>
      <c r="AH46" s="667"/>
    </row>
    <row r="47" spans="1:34" s="148" customFormat="1" ht="19.2" customHeight="1">
      <c r="A47" s="665"/>
      <c r="B47" s="97">
        <v>0</v>
      </c>
      <c r="C47" s="136"/>
      <c r="D47" s="150" t="s">
        <v>67</v>
      </c>
      <c r="E47" s="151"/>
      <c r="F47" s="368">
        <v>31.43</v>
      </c>
      <c r="G47" s="140">
        <v>2147</v>
      </c>
      <c r="H47" s="45">
        <f t="shared" si="34"/>
        <v>67480.210000000006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1480.6896551724135</v>
      </c>
      <c r="O47" s="141">
        <f t="shared" si="30"/>
        <v>211.52709359605907</v>
      </c>
      <c r="P47" s="51">
        <f t="shared" si="31"/>
        <v>0</v>
      </c>
      <c r="Q47" s="142">
        <f t="shared" si="32"/>
        <v>-2.7586206896552028</v>
      </c>
      <c r="R47" s="143">
        <f t="shared" si="27"/>
        <v>0.98712643678160905</v>
      </c>
      <c r="S47" s="645"/>
      <c r="T47" s="89">
        <v>0.28888888888888886</v>
      </c>
      <c r="U47" s="89">
        <v>0.34930555555555554</v>
      </c>
      <c r="V47" s="140">
        <v>20</v>
      </c>
      <c r="W47" s="146">
        <f t="shared" si="33"/>
        <v>87.000000000000014</v>
      </c>
      <c r="X47" s="124">
        <v>0.27847222222222223</v>
      </c>
      <c r="Y47" s="124">
        <v>0.28819444444444448</v>
      </c>
      <c r="Z47" s="125"/>
      <c r="AA47" s="125"/>
      <c r="AB47" s="633"/>
      <c r="AC47" s="633"/>
      <c r="AD47" s="463"/>
      <c r="AE47" s="463"/>
      <c r="AF47" s="147">
        <f t="shared" si="28"/>
        <v>-19.310344827586505</v>
      </c>
      <c r="AG47" s="472">
        <f t="shared" si="7"/>
        <v>0.98712643678160905</v>
      </c>
      <c r="AH47" s="667"/>
    </row>
    <row r="48" spans="1:34" s="148" customFormat="1" ht="19.2" customHeight="1">
      <c r="A48" s="665"/>
      <c r="B48" s="97">
        <v>0</v>
      </c>
      <c r="C48" s="136"/>
      <c r="D48" s="153" t="s">
        <v>240</v>
      </c>
      <c r="E48" s="151"/>
      <c r="F48" s="368">
        <v>11.86</v>
      </c>
      <c r="G48" s="140">
        <v>2231</v>
      </c>
      <c r="H48" s="45">
        <f t="shared" si="34"/>
        <v>26459.66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1487.3333333333333</v>
      </c>
      <c r="O48" s="141">
        <f t="shared" si="30"/>
        <v>247.88888888888889</v>
      </c>
      <c r="P48" s="51">
        <f t="shared" si="31"/>
        <v>0</v>
      </c>
      <c r="Q48" s="142">
        <f t="shared" si="32"/>
        <v>-2.1111111111111143</v>
      </c>
      <c r="R48" s="143">
        <f t="shared" si="27"/>
        <v>0.99155555555555552</v>
      </c>
      <c r="S48" s="645"/>
      <c r="T48" s="89">
        <v>0.36666666666666664</v>
      </c>
      <c r="U48" s="89">
        <v>0.42916666666666664</v>
      </c>
      <c r="V48" s="137">
        <v>25</v>
      </c>
      <c r="W48" s="146">
        <f t="shared" si="33"/>
        <v>90</v>
      </c>
      <c r="X48" s="124">
        <v>0.3527777777777778</v>
      </c>
      <c r="Y48" s="124">
        <v>0.36527777777777781</v>
      </c>
      <c r="Z48" s="125"/>
      <c r="AA48" s="125"/>
      <c r="AB48" s="633"/>
      <c r="AC48" s="633"/>
      <c r="AD48" s="463"/>
      <c r="AE48" s="463"/>
      <c r="AF48" s="147">
        <f t="shared" si="28"/>
        <v>-12.666666666666742</v>
      </c>
      <c r="AG48" s="472">
        <f t="shared" si="7"/>
        <v>0.99155555555555552</v>
      </c>
      <c r="AH48" s="667"/>
    </row>
    <row r="49" spans="1:34" s="148" customFormat="1" ht="19.2" customHeight="1">
      <c r="A49" s="665"/>
      <c r="B49" s="97" t="s">
        <v>147</v>
      </c>
      <c r="C49" s="136"/>
      <c r="D49" s="153" t="s">
        <v>66</v>
      </c>
      <c r="E49" s="151"/>
      <c r="F49" s="368">
        <v>10.09</v>
      </c>
      <c r="G49" s="137">
        <v>2547.9299999999998</v>
      </c>
      <c r="H49" s="45">
        <f t="shared" si="34"/>
        <v>25708.613699999998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1469.9596153846162</v>
      </c>
      <c r="O49" s="141">
        <f t="shared" si="30"/>
        <v>244.99326923076936</v>
      </c>
      <c r="P49" s="51">
        <f t="shared" si="31"/>
        <v>0</v>
      </c>
      <c r="Q49" s="142">
        <f t="shared" si="32"/>
        <v>-5.0067307692306429</v>
      </c>
      <c r="R49" s="143">
        <f t="shared" si="27"/>
        <v>0.97997307692307745</v>
      </c>
      <c r="S49" s="645"/>
      <c r="T49" s="89">
        <v>0.44652777777777775</v>
      </c>
      <c r="U49" s="89">
        <v>0.51874999999999993</v>
      </c>
      <c r="V49" s="137">
        <v>25</v>
      </c>
      <c r="W49" s="146">
        <f t="shared" si="33"/>
        <v>103.99999999999994</v>
      </c>
      <c r="X49" s="155">
        <v>0.43263888888888885</v>
      </c>
      <c r="Y49" s="155">
        <v>0.44444444444444442</v>
      </c>
      <c r="Z49" s="156"/>
      <c r="AA49" s="125"/>
      <c r="AB49" s="633"/>
      <c r="AC49" s="633"/>
      <c r="AD49" s="463"/>
      <c r="AE49" s="463"/>
      <c r="AF49" s="147">
        <f t="shared" si="28"/>
        <v>-30.0403846153838</v>
      </c>
      <c r="AG49" s="472">
        <f t="shared" si="7"/>
        <v>0.97997307692307745</v>
      </c>
      <c r="AH49" s="667"/>
    </row>
    <row r="50" spans="1:34" s="148" customFormat="1" ht="19.2" customHeight="1">
      <c r="A50" s="665"/>
      <c r="B50" s="97" t="s">
        <v>147</v>
      </c>
      <c r="C50" s="136"/>
      <c r="D50" s="153" t="s">
        <v>66</v>
      </c>
      <c r="E50" s="151"/>
      <c r="F50" s="368">
        <v>10.09</v>
      </c>
      <c r="G50" s="137">
        <v>3882.56</v>
      </c>
      <c r="H50" s="45">
        <f t="shared" si="34"/>
        <v>39175.030399999996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1483.7808917197444</v>
      </c>
      <c r="O50" s="141">
        <f t="shared" si="30"/>
        <v>247.29681528662408</v>
      </c>
      <c r="P50" s="51">
        <f t="shared" si="31"/>
        <v>0</v>
      </c>
      <c r="Q50" s="142">
        <f t="shared" si="32"/>
        <v>-2.7031847133759186</v>
      </c>
      <c r="R50" s="143">
        <f t="shared" si="27"/>
        <v>0.98918726114649635</v>
      </c>
      <c r="S50" s="645"/>
      <c r="T50" s="89">
        <v>0.53611111111111109</v>
      </c>
      <c r="U50" s="89">
        <v>0.64513888888888893</v>
      </c>
      <c r="V50" s="137">
        <v>25</v>
      </c>
      <c r="W50" s="146">
        <f t="shared" si="33"/>
        <v>157.00000000000009</v>
      </c>
      <c r="X50" s="155">
        <v>0.52222222222222225</v>
      </c>
      <c r="Y50" s="155">
        <v>0.53472222222222221</v>
      </c>
      <c r="Z50" s="156"/>
      <c r="AA50" s="156"/>
      <c r="AB50" s="633"/>
      <c r="AC50" s="633"/>
      <c r="AD50" s="463"/>
      <c r="AE50" s="463"/>
      <c r="AF50" s="147">
        <f t="shared" si="28"/>
        <v>-16.219108280255568</v>
      </c>
      <c r="AG50" s="472">
        <f t="shared" si="7"/>
        <v>0.98918726114649624</v>
      </c>
      <c r="AH50" s="667"/>
    </row>
    <row r="51" spans="1:34" s="148" customFormat="1" ht="19.2" customHeight="1">
      <c r="A51" s="665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45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633"/>
      <c r="AC51" s="633"/>
      <c r="AD51" s="463"/>
      <c r="AE51" s="463"/>
      <c r="AF51" s="147">
        <f t="shared" si="28"/>
        <v>0</v>
      </c>
      <c r="AG51" s="472" t="e">
        <f t="shared" si="7"/>
        <v>#DIV/0!</v>
      </c>
      <c r="AH51" s="667"/>
    </row>
    <row r="52" spans="1:34" s="148" customFormat="1" ht="19.2" customHeight="1">
      <c r="A52" s="665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64"/>
      <c r="S52" s="645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633"/>
      <c r="AC52" s="633"/>
      <c r="AD52" s="463"/>
      <c r="AE52" s="463"/>
      <c r="AF52" s="147">
        <f t="shared" si="28"/>
        <v>0</v>
      </c>
      <c r="AG52" s="472" t="e">
        <f t="shared" si="7"/>
        <v>#DIV/0!</v>
      </c>
      <c r="AH52" s="667"/>
    </row>
    <row r="53" spans="1:34" s="148" customFormat="1" ht="19.2" customHeight="1">
      <c r="A53" s="665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64"/>
      <c r="S53" s="645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33"/>
      <c r="AC53" s="633"/>
      <c r="AD53" s="463"/>
      <c r="AE53" s="463"/>
      <c r="AF53" s="147">
        <f t="shared" si="28"/>
        <v>0</v>
      </c>
      <c r="AG53" s="472" t="e">
        <f t="shared" si="7"/>
        <v>#DIV/0!</v>
      </c>
      <c r="AH53" s="667"/>
    </row>
    <row r="54" spans="1:34" s="148" customFormat="1" ht="19.2" customHeight="1">
      <c r="A54" s="665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64"/>
      <c r="S54" s="645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33"/>
      <c r="AC54" s="633"/>
      <c r="AD54" s="463"/>
      <c r="AE54" s="463"/>
      <c r="AF54" s="147">
        <f t="shared" si="28"/>
        <v>0</v>
      </c>
      <c r="AG54" s="472" t="e">
        <f t="shared" si="7"/>
        <v>#DIV/0!</v>
      </c>
      <c r="AH54" s="667"/>
    </row>
    <row r="55" spans="1:34" s="148" customFormat="1" ht="19.2" customHeight="1">
      <c r="A55" s="665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64"/>
      <c r="S55" s="645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33"/>
      <c r="AC55" s="633"/>
      <c r="AD55" s="463"/>
      <c r="AE55" s="463"/>
      <c r="AF55" s="147"/>
      <c r="AG55" s="472"/>
      <c r="AH55" s="667"/>
    </row>
    <row r="56" spans="1:34" ht="19.2" customHeight="1">
      <c r="A56" s="666"/>
      <c r="B56" s="160">
        <v>0</v>
      </c>
      <c r="C56" s="100" t="s">
        <v>232</v>
      </c>
      <c r="D56" s="660" t="s">
        <v>120</v>
      </c>
      <c r="E56" s="660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J56:O56" si="35">AVERAGE(M44:M55)</f>
        <v>5.7142857142857144</v>
      </c>
      <c r="N56" s="101">
        <f t="shared" si="35"/>
        <v>1745.8533405242581</v>
      </c>
      <c r="O56" s="104">
        <f t="shared" si="35"/>
        <v>315.93543494489734</v>
      </c>
      <c r="P56" s="161">
        <f>M56-J56</f>
        <v>0.42857142857142883</v>
      </c>
      <c r="Q56" s="118">
        <f>N56-K56</f>
        <v>31.56762623854388</v>
      </c>
      <c r="R56" s="162">
        <f t="shared" ref="R56:R61" si="36">O56/L56</f>
        <v>0.89743978622028808</v>
      </c>
      <c r="S56" s="645"/>
      <c r="T56" s="163"/>
      <c r="U56" s="163"/>
      <c r="V56" s="478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33"/>
      <c r="AC56" s="633"/>
      <c r="AD56" s="107">
        <f>SUM(AD44:AD55)</f>
        <v>0</v>
      </c>
      <c r="AE56" s="107">
        <f>SUM(AE44:AE55)</f>
        <v>1</v>
      </c>
      <c r="AF56" s="165">
        <f>N56-K56</f>
        <v>31.56762623854388</v>
      </c>
      <c r="AG56" s="464">
        <f>N56/K56</f>
        <v>1.0184144486391506</v>
      </c>
      <c r="AH56" s="667"/>
    </row>
    <row r="57" spans="1:34" ht="19.2" customHeight="1">
      <c r="A57" s="670" t="s">
        <v>189</v>
      </c>
      <c r="B57" s="97" t="s">
        <v>145</v>
      </c>
      <c r="C57" s="166"/>
      <c r="D57" s="167" t="s">
        <v>68</v>
      </c>
      <c r="E57" s="112"/>
      <c r="F57" s="361">
        <v>28.26</v>
      </c>
      <c r="G57" s="137">
        <v>2186</v>
      </c>
      <c r="H57" s="84">
        <f t="shared" ref="H57:H66" si="37">F57*G57</f>
        <v>61776.36</v>
      </c>
      <c r="I57" s="463"/>
      <c r="J57" s="87">
        <v>7</v>
      </c>
      <c r="K57" s="57">
        <v>1500</v>
      </c>
      <c r="L57" s="86">
        <v>214.28571428571428</v>
      </c>
      <c r="M57" s="473">
        <v>7</v>
      </c>
      <c r="N57" s="57">
        <f t="shared" ref="N57:N61" si="38">G57/W57*60</f>
        <v>1457.3333333333333</v>
      </c>
      <c r="O57" s="86">
        <f t="shared" ref="O57:O61" si="39">N57/M57</f>
        <v>208.19047619047618</v>
      </c>
      <c r="P57" s="168">
        <f t="shared" ref="P57:P61" si="40">M57-J57</f>
        <v>0</v>
      </c>
      <c r="Q57" s="49">
        <f t="shared" ref="Q57:Q61" si="41">O57-L57</f>
        <v>-6.095238095238102</v>
      </c>
      <c r="R57" s="465">
        <f t="shared" si="36"/>
        <v>0.97155555555555551</v>
      </c>
      <c r="S57" s="645">
        <f>R69</f>
        <v>0.97734605282289699</v>
      </c>
      <c r="T57" s="144">
        <v>0.16666666666666666</v>
      </c>
      <c r="U57" s="144">
        <v>0.22916666666666666</v>
      </c>
      <c r="V57" s="462">
        <v>5</v>
      </c>
      <c r="W57" s="475">
        <f>(U57-T57)*24*60</f>
        <v>90</v>
      </c>
      <c r="X57" s="53"/>
      <c r="Y57" s="53"/>
      <c r="Z57" s="54"/>
      <c r="AA57" s="54"/>
      <c r="AB57" s="633"/>
      <c r="AC57" s="633"/>
      <c r="AD57" s="463"/>
      <c r="AE57" s="463"/>
      <c r="AF57" s="48">
        <f t="shared" si="6"/>
        <v>-42.666666666666742</v>
      </c>
      <c r="AG57" s="467">
        <f t="shared" si="7"/>
        <v>0.97155555555555551</v>
      </c>
      <c r="AH57" s="659">
        <f>AG69</f>
        <v>0.97804010519938522</v>
      </c>
    </row>
    <row r="58" spans="1:34" ht="19.2" customHeight="1">
      <c r="A58" s="631"/>
      <c r="B58" s="97" t="s">
        <v>145</v>
      </c>
      <c r="C58" s="470"/>
      <c r="D58" s="42" t="s">
        <v>69</v>
      </c>
      <c r="E58" s="43"/>
      <c r="F58" s="361">
        <v>27.88</v>
      </c>
      <c r="G58" s="137">
        <v>3781</v>
      </c>
      <c r="H58" s="45">
        <f t="shared" si="37"/>
        <v>105414.28</v>
      </c>
      <c r="I58" s="462"/>
      <c r="J58" s="46">
        <v>7</v>
      </c>
      <c r="K58" s="44">
        <v>1500</v>
      </c>
      <c r="L58" s="86">
        <v>214.28571428571428</v>
      </c>
      <c r="M58" s="476">
        <v>7</v>
      </c>
      <c r="N58" s="44">
        <f t="shared" si="38"/>
        <v>1492.5</v>
      </c>
      <c r="O58" s="47">
        <f t="shared" si="39"/>
        <v>213.21428571428572</v>
      </c>
      <c r="P58" s="168">
        <f t="shared" si="40"/>
        <v>0</v>
      </c>
      <c r="Q58" s="49">
        <f t="shared" si="41"/>
        <v>-1.0714285714285552</v>
      </c>
      <c r="R58" s="465">
        <f t="shared" si="36"/>
        <v>0.99500000000000011</v>
      </c>
      <c r="S58" s="645"/>
      <c r="T58" s="169">
        <v>0.24652777777777776</v>
      </c>
      <c r="U58" s="169">
        <v>0.3520833333333333</v>
      </c>
      <c r="V58" s="462">
        <v>25</v>
      </c>
      <c r="W58" s="475">
        <f>(U58-T58)*24*60</f>
        <v>152</v>
      </c>
      <c r="X58" s="53">
        <v>0.23263888888888887</v>
      </c>
      <c r="Y58" s="53">
        <v>0.24374999999999999</v>
      </c>
      <c r="Z58" s="54"/>
      <c r="AA58" s="54"/>
      <c r="AB58" s="668"/>
      <c r="AC58" s="669"/>
      <c r="AD58" s="463"/>
      <c r="AE58" s="463"/>
      <c r="AF58" s="48">
        <f t="shared" si="6"/>
        <v>-7.5</v>
      </c>
      <c r="AG58" s="465">
        <f t="shared" si="7"/>
        <v>0.995</v>
      </c>
      <c r="AH58" s="645"/>
    </row>
    <row r="59" spans="1:34" ht="19.2" customHeight="1">
      <c r="A59" s="631"/>
      <c r="B59" s="97" t="s">
        <v>145</v>
      </c>
      <c r="C59" s="470"/>
      <c r="D59" s="42" t="s">
        <v>70</v>
      </c>
      <c r="E59" s="43"/>
      <c r="F59" s="361">
        <v>28</v>
      </c>
      <c r="G59" s="137">
        <v>3291</v>
      </c>
      <c r="H59" s="45">
        <f t="shared" si="37"/>
        <v>92148</v>
      </c>
      <c r="I59" s="462"/>
      <c r="J59" s="46">
        <v>7</v>
      </c>
      <c r="K59" s="44">
        <v>1500</v>
      </c>
      <c r="L59" s="86">
        <v>214.28571428571428</v>
      </c>
      <c r="M59" s="476">
        <v>7</v>
      </c>
      <c r="N59" s="44">
        <f t="shared" si="38"/>
        <v>1484.6616541353374</v>
      </c>
      <c r="O59" s="47">
        <f t="shared" si="39"/>
        <v>212.09452201933391</v>
      </c>
      <c r="P59" s="168">
        <f t="shared" si="40"/>
        <v>0</v>
      </c>
      <c r="Q59" s="49">
        <f t="shared" si="41"/>
        <v>-2.1911922663803693</v>
      </c>
      <c r="R59" s="465">
        <f t="shared" si="36"/>
        <v>0.98977443609022497</v>
      </c>
      <c r="S59" s="645"/>
      <c r="T59" s="169">
        <v>0.36944444444444441</v>
      </c>
      <c r="U59" s="169">
        <v>0.46180555555555558</v>
      </c>
      <c r="V59" s="145">
        <v>25</v>
      </c>
      <c r="W59" s="475">
        <f t="shared" ref="W59:W69" si="42">(U59-T59)*24*60</f>
        <v>133.00000000000009</v>
      </c>
      <c r="X59" s="53">
        <v>0.35555555555555557</v>
      </c>
      <c r="Y59" s="53">
        <v>0.3666666666666667</v>
      </c>
      <c r="Z59" s="54"/>
      <c r="AA59" s="54"/>
      <c r="AB59" s="633"/>
      <c r="AC59" s="633"/>
      <c r="AD59" s="463"/>
      <c r="AE59" s="463"/>
      <c r="AF59" s="48">
        <f t="shared" si="6"/>
        <v>-15.338345864662642</v>
      </c>
      <c r="AG59" s="465">
        <f t="shared" si="7"/>
        <v>0.98977443609022486</v>
      </c>
      <c r="AH59" s="645"/>
    </row>
    <row r="60" spans="1:34" ht="19.2" customHeight="1">
      <c r="A60" s="631"/>
      <c r="B60" s="97" t="s">
        <v>147</v>
      </c>
      <c r="C60" s="470"/>
      <c r="D60" s="42" t="s">
        <v>66</v>
      </c>
      <c r="E60" s="43"/>
      <c r="F60" s="361">
        <v>10.09</v>
      </c>
      <c r="G60" s="137">
        <v>2547.9299999999998</v>
      </c>
      <c r="H60" s="45">
        <f t="shared" si="37"/>
        <v>25708.613699999998</v>
      </c>
      <c r="I60" s="46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1455.9600000000016</v>
      </c>
      <c r="O60" s="47">
        <f t="shared" si="39"/>
        <v>242.66000000000028</v>
      </c>
      <c r="P60" s="168">
        <f t="shared" si="40"/>
        <v>0</v>
      </c>
      <c r="Q60" s="49">
        <f t="shared" si="41"/>
        <v>-7.3399999999997192</v>
      </c>
      <c r="R60" s="465">
        <f t="shared" si="36"/>
        <v>0.97064000000000117</v>
      </c>
      <c r="S60" s="645"/>
      <c r="T60" s="169">
        <v>0.47916666666666669</v>
      </c>
      <c r="U60" s="169">
        <v>0.55208333333333326</v>
      </c>
      <c r="V60" s="145">
        <v>25</v>
      </c>
      <c r="W60" s="475">
        <f t="shared" si="42"/>
        <v>104.99999999999987</v>
      </c>
      <c r="X60" s="53">
        <v>0.46388888888888885</v>
      </c>
      <c r="Y60" s="53">
        <v>0.47500000000000003</v>
      </c>
      <c r="Z60" s="54"/>
      <c r="AA60" s="54"/>
      <c r="AB60" s="633"/>
      <c r="AC60" s="633"/>
      <c r="AD60" s="463">
        <v>1</v>
      </c>
      <c r="AE60" s="463"/>
      <c r="AF60" s="48">
        <f t="shared" si="6"/>
        <v>-44.039999999998372</v>
      </c>
      <c r="AG60" s="467">
        <f t="shared" si="7"/>
        <v>0.97064000000000106</v>
      </c>
      <c r="AH60" s="645"/>
    </row>
    <row r="61" spans="1:34" ht="19.2" customHeight="1">
      <c r="A61" s="631"/>
      <c r="B61" s="97" t="s">
        <v>147</v>
      </c>
      <c r="C61" s="470"/>
      <c r="D61" s="42" t="s">
        <v>66</v>
      </c>
      <c r="E61" s="43"/>
      <c r="F61" s="361">
        <v>10.09</v>
      </c>
      <c r="G61" s="137">
        <v>3154.58</v>
      </c>
      <c r="H61" s="45">
        <f t="shared" si="37"/>
        <v>31829.712199999998</v>
      </c>
      <c r="I61" s="46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1444.8458015267174</v>
      </c>
      <c r="O61" s="47">
        <f t="shared" si="39"/>
        <v>240.80763358778623</v>
      </c>
      <c r="P61" s="168">
        <f t="shared" si="40"/>
        <v>0</v>
      </c>
      <c r="Q61" s="49">
        <f t="shared" si="41"/>
        <v>-9.1923664122137723</v>
      </c>
      <c r="R61" s="465">
        <f t="shared" si="36"/>
        <v>0.96323053435114492</v>
      </c>
      <c r="S61" s="645"/>
      <c r="T61" s="169">
        <v>0.56944444444444442</v>
      </c>
      <c r="U61" s="169">
        <v>0.66041666666666665</v>
      </c>
      <c r="V61" s="145">
        <v>25</v>
      </c>
      <c r="W61" s="475">
        <f t="shared" si="42"/>
        <v>131</v>
      </c>
      <c r="X61" s="53">
        <v>0.55555555555555558</v>
      </c>
      <c r="Y61" s="53">
        <v>0.56666666666666665</v>
      </c>
      <c r="Z61" s="54"/>
      <c r="AA61" s="54"/>
      <c r="AB61" s="633"/>
      <c r="AC61" s="633"/>
      <c r="AD61" s="463"/>
      <c r="AE61" s="463"/>
      <c r="AF61" s="48">
        <f t="shared" si="6"/>
        <v>-55.154198473282577</v>
      </c>
      <c r="AG61" s="465">
        <f t="shared" si="7"/>
        <v>0.96323053435114492</v>
      </c>
      <c r="AH61" s="645"/>
    </row>
    <row r="62" spans="1:34" ht="19.2" customHeight="1">
      <c r="A62" s="631"/>
      <c r="B62" s="97">
        <v>0</v>
      </c>
      <c r="C62" s="470"/>
      <c r="D62" s="42"/>
      <c r="E62" s="43"/>
      <c r="F62" s="361" t="s">
        <v>148</v>
      </c>
      <c r="G62" s="137"/>
      <c r="H62" s="45">
        <f t="shared" si="37"/>
        <v>0</v>
      </c>
      <c r="I62" s="462"/>
      <c r="J62" s="170"/>
      <c r="K62" s="61"/>
      <c r="L62" s="86"/>
      <c r="M62" s="62"/>
      <c r="N62" s="44"/>
      <c r="O62" s="47"/>
      <c r="P62" s="168"/>
      <c r="Q62" s="49"/>
      <c r="R62" s="465"/>
      <c r="S62" s="645"/>
      <c r="T62" s="169"/>
      <c r="U62" s="169"/>
      <c r="V62" s="145"/>
      <c r="W62" s="475">
        <f t="shared" si="42"/>
        <v>0</v>
      </c>
      <c r="X62" s="53"/>
      <c r="Y62" s="53"/>
      <c r="Z62" s="54"/>
      <c r="AA62" s="54"/>
      <c r="AB62" s="633"/>
      <c r="AC62" s="633"/>
      <c r="AD62" s="463"/>
      <c r="AE62" s="463"/>
      <c r="AF62" s="48">
        <f t="shared" si="6"/>
        <v>0</v>
      </c>
      <c r="AG62" s="465" t="e">
        <f t="shared" si="7"/>
        <v>#DIV/0!</v>
      </c>
      <c r="AH62" s="645"/>
    </row>
    <row r="63" spans="1:34" ht="19.2" customHeight="1">
      <c r="A63" s="631"/>
      <c r="B63" s="97">
        <v>0</v>
      </c>
      <c r="C63" s="470"/>
      <c r="D63" s="42"/>
      <c r="E63" s="43"/>
      <c r="F63" s="361" t="s">
        <v>148</v>
      </c>
      <c r="G63" s="137"/>
      <c r="H63" s="45">
        <f t="shared" si="37"/>
        <v>0</v>
      </c>
      <c r="I63" s="462"/>
      <c r="J63" s="46"/>
      <c r="K63" s="44"/>
      <c r="L63" s="86"/>
      <c r="M63" s="62"/>
      <c r="N63" s="44"/>
      <c r="O63" s="47"/>
      <c r="P63" s="168"/>
      <c r="Q63" s="49"/>
      <c r="R63" s="465"/>
      <c r="S63" s="645"/>
      <c r="T63" s="169"/>
      <c r="U63" s="169"/>
      <c r="V63" s="145"/>
      <c r="W63" s="475">
        <f t="shared" si="42"/>
        <v>0</v>
      </c>
      <c r="X63" s="53"/>
      <c r="Y63" s="53"/>
      <c r="Z63" s="54"/>
      <c r="AA63" s="54"/>
      <c r="AB63" s="633"/>
      <c r="AC63" s="633"/>
      <c r="AD63" s="463"/>
      <c r="AE63" s="463"/>
      <c r="AF63" s="48">
        <f t="shared" si="6"/>
        <v>0</v>
      </c>
      <c r="AG63" s="467" t="e">
        <f t="shared" si="7"/>
        <v>#DIV/0!</v>
      </c>
      <c r="AH63" s="645"/>
    </row>
    <row r="64" spans="1:34" ht="19.2" customHeight="1">
      <c r="A64" s="631"/>
      <c r="B64" s="97">
        <v>0</v>
      </c>
      <c r="C64" s="470"/>
      <c r="D64" s="42"/>
      <c r="E64" s="43"/>
      <c r="F64" s="361" t="s">
        <v>148</v>
      </c>
      <c r="G64" s="137"/>
      <c r="H64" s="45">
        <f t="shared" si="37"/>
        <v>0</v>
      </c>
      <c r="I64" s="462"/>
      <c r="J64" s="170"/>
      <c r="K64" s="61"/>
      <c r="L64" s="86"/>
      <c r="M64" s="62"/>
      <c r="N64" s="44"/>
      <c r="O64" s="47"/>
      <c r="P64" s="168"/>
      <c r="Q64" s="49"/>
      <c r="R64" s="465"/>
      <c r="S64" s="645"/>
      <c r="T64" s="169"/>
      <c r="U64" s="169"/>
      <c r="V64" s="145"/>
      <c r="W64" s="475">
        <f t="shared" si="42"/>
        <v>0</v>
      </c>
      <c r="X64" s="462"/>
      <c r="Y64" s="462"/>
      <c r="Z64" s="54"/>
      <c r="AA64" s="54"/>
      <c r="AB64" s="633"/>
      <c r="AC64" s="633"/>
      <c r="AD64" s="463"/>
      <c r="AE64" s="463"/>
      <c r="AF64" s="48">
        <f t="shared" si="6"/>
        <v>0</v>
      </c>
      <c r="AG64" s="465" t="e">
        <f t="shared" si="7"/>
        <v>#DIV/0!</v>
      </c>
      <c r="AH64" s="645"/>
    </row>
    <row r="65" spans="1:34" ht="19.2" customHeight="1">
      <c r="A65" s="631"/>
      <c r="B65" s="97">
        <v>0</v>
      </c>
      <c r="C65" s="470"/>
      <c r="D65" s="42"/>
      <c r="E65" s="43"/>
      <c r="F65" s="361" t="s">
        <v>148</v>
      </c>
      <c r="G65" s="137"/>
      <c r="H65" s="45">
        <f t="shared" si="37"/>
        <v>0</v>
      </c>
      <c r="I65" s="462"/>
      <c r="J65" s="170"/>
      <c r="K65" s="61"/>
      <c r="L65" s="86"/>
      <c r="M65" s="62"/>
      <c r="N65" s="61"/>
      <c r="O65" s="77"/>
      <c r="P65" s="48"/>
      <c r="Q65" s="49"/>
      <c r="R65" s="465"/>
      <c r="S65" s="645"/>
      <c r="T65" s="169"/>
      <c r="U65" s="169"/>
      <c r="V65" s="145"/>
      <c r="W65" s="475">
        <f t="shared" si="42"/>
        <v>0</v>
      </c>
      <c r="X65" s="462"/>
      <c r="Y65" s="462"/>
      <c r="Z65" s="54"/>
      <c r="AA65" s="54"/>
      <c r="AB65" s="633"/>
      <c r="AC65" s="633"/>
      <c r="AD65" s="463"/>
      <c r="AE65" s="463"/>
      <c r="AF65" s="48">
        <f t="shared" si="6"/>
        <v>0</v>
      </c>
      <c r="AG65" s="465" t="e">
        <f t="shared" si="7"/>
        <v>#DIV/0!</v>
      </c>
      <c r="AH65" s="645"/>
    </row>
    <row r="66" spans="1:34" ht="19.2" customHeight="1">
      <c r="A66" s="631"/>
      <c r="B66" s="97">
        <v>0</v>
      </c>
      <c r="C66" s="470"/>
      <c r="D66" s="42"/>
      <c r="E66" s="43"/>
      <c r="F66" s="361" t="s">
        <v>148</v>
      </c>
      <c r="G66" s="137"/>
      <c r="H66" s="45">
        <f t="shared" si="37"/>
        <v>0</v>
      </c>
      <c r="I66" s="462"/>
      <c r="J66" s="170"/>
      <c r="K66" s="61"/>
      <c r="L66" s="86"/>
      <c r="M66" s="62"/>
      <c r="N66" s="61"/>
      <c r="O66" s="77"/>
      <c r="P66" s="48"/>
      <c r="Q66" s="49"/>
      <c r="R66" s="465"/>
      <c r="S66" s="645"/>
      <c r="T66" s="169"/>
      <c r="U66" s="169"/>
      <c r="V66" s="145"/>
      <c r="W66" s="475">
        <f t="shared" si="42"/>
        <v>0</v>
      </c>
      <c r="X66" s="462"/>
      <c r="Y66" s="462"/>
      <c r="Z66" s="54"/>
      <c r="AA66" s="54"/>
      <c r="AB66" s="633"/>
      <c r="AC66" s="633"/>
      <c r="AD66" s="463"/>
      <c r="AE66" s="463"/>
      <c r="AF66" s="48">
        <f t="shared" si="6"/>
        <v>0</v>
      </c>
      <c r="AG66" s="467" t="e">
        <f t="shared" si="7"/>
        <v>#DIV/0!</v>
      </c>
      <c r="AH66" s="645"/>
    </row>
    <row r="67" spans="1:34" ht="19.2" customHeight="1">
      <c r="A67" s="631"/>
      <c r="B67" s="97">
        <v>0</v>
      </c>
      <c r="C67" s="470"/>
      <c r="D67" s="42"/>
      <c r="E67" s="43"/>
      <c r="F67" s="361" t="s">
        <v>148</v>
      </c>
      <c r="G67" s="137"/>
      <c r="H67" s="45">
        <f>F67*G67</f>
        <v>0</v>
      </c>
      <c r="I67" s="462"/>
      <c r="J67" s="170"/>
      <c r="K67" s="61"/>
      <c r="L67" s="86"/>
      <c r="M67" s="62"/>
      <c r="N67" s="61"/>
      <c r="O67" s="77"/>
      <c r="P67" s="48"/>
      <c r="Q67" s="49"/>
      <c r="R67" s="465"/>
      <c r="S67" s="645"/>
      <c r="T67" s="169"/>
      <c r="U67" s="169"/>
      <c r="V67" s="145"/>
      <c r="W67" s="475">
        <f t="shared" si="42"/>
        <v>0</v>
      </c>
      <c r="X67" s="462"/>
      <c r="Y67" s="462"/>
      <c r="Z67" s="54"/>
      <c r="AA67" s="54"/>
      <c r="AB67" s="633"/>
      <c r="AC67" s="633"/>
      <c r="AD67" s="463"/>
      <c r="AE67" s="463"/>
      <c r="AF67" s="48">
        <f t="shared" si="6"/>
        <v>0</v>
      </c>
      <c r="AG67" s="465" t="e">
        <f t="shared" si="7"/>
        <v>#DIV/0!</v>
      </c>
      <c r="AH67" s="645"/>
    </row>
    <row r="68" spans="1:34" ht="19.2" customHeight="1">
      <c r="A68" s="631"/>
      <c r="B68" s="462">
        <v>0</v>
      </c>
      <c r="C68" s="470"/>
      <c r="D68" s="42"/>
      <c r="E68" s="43"/>
      <c r="F68" s="368" t="s">
        <v>148</v>
      </c>
      <c r="G68" s="137"/>
      <c r="H68" s="45">
        <f>F68*G68</f>
        <v>0</v>
      </c>
      <c r="I68" s="462"/>
      <c r="J68" s="170"/>
      <c r="K68" s="61"/>
      <c r="L68" s="86"/>
      <c r="M68" s="62"/>
      <c r="N68" s="61"/>
      <c r="O68" s="77"/>
      <c r="P68" s="48"/>
      <c r="Q68" s="49"/>
      <c r="R68" s="465"/>
      <c r="S68" s="645"/>
      <c r="T68" s="169"/>
      <c r="U68" s="169"/>
      <c r="V68" s="145"/>
      <c r="W68" s="475">
        <f t="shared" si="42"/>
        <v>0</v>
      </c>
      <c r="X68" s="462"/>
      <c r="Y68" s="462"/>
      <c r="Z68" s="54"/>
      <c r="AA68" s="54"/>
      <c r="AB68" s="633"/>
      <c r="AC68" s="633"/>
      <c r="AD68" s="463"/>
      <c r="AE68" s="463"/>
      <c r="AF68" s="48"/>
      <c r="AG68" s="465"/>
      <c r="AH68" s="645"/>
    </row>
    <row r="69" spans="1:34" ht="19.2" customHeight="1">
      <c r="A69" s="631"/>
      <c r="B69" s="171">
        <v>0</v>
      </c>
      <c r="C69" s="6" t="s">
        <v>173</v>
      </c>
      <c r="D69" s="660" t="s">
        <v>120</v>
      </c>
      <c r="E69" s="660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1467.0601577990778</v>
      </c>
      <c r="O69" s="73">
        <f t="shared" si="43"/>
        <v>223.39338350237648</v>
      </c>
      <c r="P69" s="48">
        <f>M69-J69</f>
        <v>0</v>
      </c>
      <c r="Q69" s="49">
        <f>N69-K69</f>
        <v>-32.939842200922158</v>
      </c>
      <c r="R69" s="175">
        <f t="shared" ref="R69:R76" si="44">O69/L69</f>
        <v>0.97734605282289699</v>
      </c>
      <c r="S69" s="645"/>
      <c r="T69" s="144"/>
      <c r="U69" s="144"/>
      <c r="V69" s="44"/>
      <c r="W69" s="47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33"/>
      <c r="AC69" s="633"/>
      <c r="AD69" s="107">
        <f>SUM(AD57:AD68)</f>
        <v>1</v>
      </c>
      <c r="AE69" s="107">
        <f>SUM(AE57:AE68)</f>
        <v>0</v>
      </c>
      <c r="AF69" s="48">
        <f t="shared" si="6"/>
        <v>-32.939842200922158</v>
      </c>
      <c r="AG69" s="465">
        <f t="shared" si="7"/>
        <v>0.97804010519938522</v>
      </c>
      <c r="AH69" s="645"/>
    </row>
    <row r="70" spans="1:34" ht="19.2" customHeight="1">
      <c r="A70" s="641" t="s">
        <v>233</v>
      </c>
      <c r="B70" s="462" t="s">
        <v>144</v>
      </c>
      <c r="C70" s="97"/>
      <c r="D70" s="42" t="s">
        <v>71</v>
      </c>
      <c r="E70" s="43"/>
      <c r="F70" s="361">
        <v>62.13</v>
      </c>
      <c r="G70" s="57">
        <v>428</v>
      </c>
      <c r="H70" s="45">
        <f>F70*G70</f>
        <v>26591.64</v>
      </c>
      <c r="I70" s="462"/>
      <c r="J70" s="46">
        <v>14</v>
      </c>
      <c r="K70" s="44">
        <v>1500</v>
      </c>
      <c r="L70" s="47">
        <v>107.14285714285714</v>
      </c>
      <c r="M70" s="476">
        <v>14</v>
      </c>
      <c r="N70" s="44">
        <f t="shared" ref="N70:N76" si="45">G70/W70*60</f>
        <v>1222.8571428571424</v>
      </c>
      <c r="O70" s="47">
        <f t="shared" ref="O70:O76" si="46">N70/M70</f>
        <v>87.346938775510168</v>
      </c>
      <c r="P70" s="48">
        <f t="shared" ref="P70:P76" si="47">M70-J70</f>
        <v>0</v>
      </c>
      <c r="Q70" s="49">
        <f t="shared" ref="Q70:Q76" si="48">O70-L70</f>
        <v>-19.795918367346971</v>
      </c>
      <c r="R70" s="465">
        <f t="shared" si="44"/>
        <v>0.81523809523809498</v>
      </c>
      <c r="S70" s="645">
        <f>R82</f>
        <v>0.90665518862986627</v>
      </c>
      <c r="T70" s="50">
        <v>0.25</v>
      </c>
      <c r="U70" s="50">
        <v>0.26458333333333334</v>
      </c>
      <c r="V70" s="462">
        <v>5</v>
      </c>
      <c r="W70" s="475">
        <f>(U70-T70)*24*60</f>
        <v>21.000000000000007</v>
      </c>
      <c r="X70" s="462"/>
      <c r="Y70" s="462"/>
      <c r="Z70" s="54"/>
      <c r="AA70" s="54"/>
      <c r="AB70" s="633"/>
      <c r="AC70" s="633"/>
      <c r="AD70" s="463"/>
      <c r="AE70" s="463"/>
      <c r="AF70" s="48">
        <f t="shared" si="6"/>
        <v>-277.14285714285757</v>
      </c>
      <c r="AG70" s="465">
        <f t="shared" si="7"/>
        <v>0.81523809523809498</v>
      </c>
      <c r="AH70" s="645">
        <f>AG82</f>
        <v>0.91756808811761092</v>
      </c>
    </row>
    <row r="71" spans="1:34" ht="19.2" customHeight="1">
      <c r="A71" s="641"/>
      <c r="B71" s="462" t="s">
        <v>143</v>
      </c>
      <c r="C71" s="41"/>
      <c r="D71" s="176" t="s">
        <v>72</v>
      </c>
      <c r="E71" s="43"/>
      <c r="F71" s="361">
        <v>47.65</v>
      </c>
      <c r="G71" s="44">
        <v>2446</v>
      </c>
      <c r="H71" s="45">
        <f>F71*G71</f>
        <v>116551.9</v>
      </c>
      <c r="I71" s="462"/>
      <c r="J71" s="46">
        <v>18</v>
      </c>
      <c r="K71" s="177">
        <v>1440</v>
      </c>
      <c r="L71" s="47">
        <v>80</v>
      </c>
      <c r="M71" s="473">
        <v>18</v>
      </c>
      <c r="N71" s="44">
        <f t="shared" si="45"/>
        <v>1371.5887850467288</v>
      </c>
      <c r="O71" s="47">
        <f t="shared" si="46"/>
        <v>76.199376947040491</v>
      </c>
      <c r="P71" s="48">
        <f t="shared" si="47"/>
        <v>0</v>
      </c>
      <c r="Q71" s="49">
        <f t="shared" si="48"/>
        <v>-3.8006230529595086</v>
      </c>
      <c r="R71" s="465">
        <f t="shared" si="44"/>
        <v>0.95249221183800614</v>
      </c>
      <c r="S71" s="645"/>
      <c r="T71" s="50">
        <v>0.26874999999999999</v>
      </c>
      <c r="U71" s="50">
        <v>0.34305555555555556</v>
      </c>
      <c r="V71" s="462">
        <v>6</v>
      </c>
      <c r="W71" s="475">
        <f t="shared" ref="W71:W81" si="49">(U71-T71)*24*60</f>
        <v>107.00000000000001</v>
      </c>
      <c r="X71" s="53"/>
      <c r="Y71" s="53"/>
      <c r="Z71" s="54"/>
      <c r="AA71" s="54"/>
      <c r="AB71" s="633"/>
      <c r="AC71" s="633"/>
      <c r="AD71" s="463"/>
      <c r="AE71" s="463"/>
      <c r="AF71" s="48">
        <f>N71-K71</f>
        <v>-68.411214953271156</v>
      </c>
      <c r="AG71" s="465">
        <f>N71/K71</f>
        <v>0.95249221183800614</v>
      </c>
      <c r="AH71" s="645"/>
    </row>
    <row r="72" spans="1:34" ht="19.2" customHeight="1">
      <c r="A72" s="641"/>
      <c r="B72" s="462" t="s">
        <v>147</v>
      </c>
      <c r="C72" s="66"/>
      <c r="D72" s="176" t="s">
        <v>161</v>
      </c>
      <c r="E72" s="43"/>
      <c r="F72" s="361">
        <v>56.85</v>
      </c>
      <c r="G72" s="44">
        <v>2372</v>
      </c>
      <c r="H72" s="45">
        <f t="shared" ref="H72:H80" si="50">F72*G72</f>
        <v>134848.20000000001</v>
      </c>
      <c r="I72" s="462"/>
      <c r="J72" s="87">
        <v>18</v>
      </c>
      <c r="K72" s="57">
        <v>1636</v>
      </c>
      <c r="L72" s="86">
        <v>90.888888888888886</v>
      </c>
      <c r="M72" s="476">
        <v>18</v>
      </c>
      <c r="N72" s="44">
        <f t="shared" si="45"/>
        <v>1452.2448979591841</v>
      </c>
      <c r="O72" s="47">
        <f t="shared" si="46"/>
        <v>80.680272108843553</v>
      </c>
      <c r="P72" s="48">
        <f t="shared" si="47"/>
        <v>0</v>
      </c>
      <c r="Q72" s="49">
        <f t="shared" si="48"/>
        <v>-10.208616780045332</v>
      </c>
      <c r="R72" s="465">
        <f t="shared" si="44"/>
        <v>0.88768025547627383</v>
      </c>
      <c r="S72" s="645"/>
      <c r="T72" s="50">
        <v>0.35902777777777778</v>
      </c>
      <c r="U72" s="50">
        <v>0.42708333333333331</v>
      </c>
      <c r="V72" s="462">
        <v>23</v>
      </c>
      <c r="W72" s="475">
        <f t="shared" si="49"/>
        <v>97.999999999999972</v>
      </c>
      <c r="X72" s="53">
        <v>0.34652777777777777</v>
      </c>
      <c r="Y72" s="53">
        <v>0.3576388888888889</v>
      </c>
      <c r="Z72" s="54"/>
      <c r="AA72" s="54"/>
      <c r="AB72" s="633"/>
      <c r="AC72" s="633"/>
      <c r="AD72" s="463"/>
      <c r="AE72" s="463"/>
      <c r="AF72" s="48">
        <f>N72-K72</f>
        <v>-183.75510204081593</v>
      </c>
      <c r="AG72" s="465">
        <f>N72/K72</f>
        <v>0.88768025547627394</v>
      </c>
      <c r="AH72" s="645"/>
    </row>
    <row r="73" spans="1:34" ht="19.2" customHeight="1">
      <c r="A73" s="641"/>
      <c r="B73" s="462" t="s">
        <v>143</v>
      </c>
      <c r="C73" s="178"/>
      <c r="D73" s="179" t="s">
        <v>248</v>
      </c>
      <c r="E73" s="180"/>
      <c r="F73" s="361">
        <v>61.02</v>
      </c>
      <c r="G73" s="44">
        <v>3807</v>
      </c>
      <c r="H73" s="45">
        <f t="shared" si="50"/>
        <v>232303.14</v>
      </c>
      <c r="I73" s="463"/>
      <c r="J73" s="181">
        <v>15</v>
      </c>
      <c r="K73" s="182">
        <v>1440</v>
      </c>
      <c r="L73" s="86">
        <v>96</v>
      </c>
      <c r="M73" s="473">
        <v>16</v>
      </c>
      <c r="N73" s="44">
        <f t="shared" si="45"/>
        <v>1445.6962025316457</v>
      </c>
      <c r="O73" s="47">
        <f t="shared" si="46"/>
        <v>90.356012658227854</v>
      </c>
      <c r="P73" s="48">
        <f t="shared" si="47"/>
        <v>1</v>
      </c>
      <c r="Q73" s="49">
        <f t="shared" si="48"/>
        <v>-5.6439873417721458</v>
      </c>
      <c r="R73" s="465">
        <f t="shared" si="44"/>
        <v>0.94120846518987344</v>
      </c>
      <c r="S73" s="645"/>
      <c r="T73" s="50">
        <v>0.43194444444444441</v>
      </c>
      <c r="U73" s="50">
        <v>0.54166666666666663</v>
      </c>
      <c r="V73" s="462">
        <v>7</v>
      </c>
      <c r="W73" s="475">
        <f t="shared" si="49"/>
        <v>158</v>
      </c>
      <c r="X73" s="183"/>
      <c r="Y73" s="183"/>
      <c r="Z73" s="125"/>
      <c r="AA73" s="125"/>
      <c r="AB73" s="633"/>
      <c r="AC73" s="633"/>
      <c r="AD73" s="463"/>
      <c r="AE73" s="463"/>
      <c r="AF73" s="48">
        <f>N73-K73</f>
        <v>5.6962025316456675</v>
      </c>
      <c r="AG73" s="465">
        <f>N73/K73</f>
        <v>1.0039556962025318</v>
      </c>
      <c r="AH73" s="645"/>
    </row>
    <row r="74" spans="1:34" ht="19.2" customHeight="1">
      <c r="A74" s="641"/>
      <c r="B74" s="462" t="s">
        <v>143</v>
      </c>
      <c r="C74" s="178"/>
      <c r="D74" s="179" t="s">
        <v>74</v>
      </c>
      <c r="E74" s="180"/>
      <c r="F74" s="361">
        <v>53.76</v>
      </c>
      <c r="G74" s="44">
        <v>1643.3999999999999</v>
      </c>
      <c r="H74" s="45">
        <f t="shared" si="50"/>
        <v>88349.183999999994</v>
      </c>
      <c r="I74" s="462"/>
      <c r="J74" s="46">
        <v>16</v>
      </c>
      <c r="K74" s="177">
        <v>1440</v>
      </c>
      <c r="L74" s="47">
        <v>90</v>
      </c>
      <c r="M74" s="476">
        <v>16</v>
      </c>
      <c r="N74" s="44">
        <f t="shared" si="45"/>
        <v>1332.4864864864853</v>
      </c>
      <c r="O74" s="47">
        <f t="shared" si="46"/>
        <v>83.280405405405332</v>
      </c>
      <c r="P74" s="48">
        <f t="shared" si="47"/>
        <v>0</v>
      </c>
      <c r="Q74" s="49">
        <f t="shared" si="48"/>
        <v>-6.7195945945946676</v>
      </c>
      <c r="R74" s="465">
        <f t="shared" si="44"/>
        <v>0.92533783783783707</v>
      </c>
      <c r="S74" s="645"/>
      <c r="T74" s="50">
        <v>0.54513888888888884</v>
      </c>
      <c r="U74" s="50">
        <v>0.59652777777777777</v>
      </c>
      <c r="V74" s="462">
        <v>5</v>
      </c>
      <c r="W74" s="475">
        <f t="shared" si="49"/>
        <v>74.000000000000057</v>
      </c>
      <c r="X74" s="183"/>
      <c r="Y74" s="183"/>
      <c r="Z74" s="125"/>
      <c r="AA74" s="125"/>
      <c r="AB74" s="633"/>
      <c r="AC74" s="633"/>
      <c r="AD74" s="463"/>
      <c r="AE74" s="463"/>
      <c r="AF74" s="48">
        <f t="shared" ref="AF74:AF80" si="51">N74-K74</f>
        <v>-107.51351351351468</v>
      </c>
      <c r="AG74" s="465">
        <f t="shared" ref="AG74:AG80" si="52">N74/K74</f>
        <v>0.92533783783783707</v>
      </c>
      <c r="AH74" s="645"/>
    </row>
    <row r="75" spans="1:34" ht="19.2" customHeight="1">
      <c r="A75" s="641"/>
      <c r="B75" s="462" t="s">
        <v>143</v>
      </c>
      <c r="C75" s="66"/>
      <c r="D75" s="176" t="s">
        <v>75</v>
      </c>
      <c r="E75" s="43"/>
      <c r="F75" s="361">
        <v>47.51</v>
      </c>
      <c r="G75" s="57">
        <v>2756</v>
      </c>
      <c r="H75" s="45">
        <f t="shared" si="50"/>
        <v>130937.56</v>
      </c>
      <c r="I75" s="462"/>
      <c r="J75" s="87">
        <v>17</v>
      </c>
      <c r="K75" s="57">
        <v>1440</v>
      </c>
      <c r="L75" s="86">
        <v>84.705882352941174</v>
      </c>
      <c r="M75" s="476">
        <v>17</v>
      </c>
      <c r="N75" s="44">
        <f t="shared" si="45"/>
        <v>1344.3902439024387</v>
      </c>
      <c r="O75" s="47">
        <f t="shared" si="46"/>
        <v>79.081779053084631</v>
      </c>
      <c r="P75" s="48">
        <f t="shared" si="47"/>
        <v>0</v>
      </c>
      <c r="Q75" s="49">
        <f t="shared" si="48"/>
        <v>-5.624103299856543</v>
      </c>
      <c r="R75" s="465">
        <f t="shared" si="44"/>
        <v>0.93360433604336024</v>
      </c>
      <c r="S75" s="645"/>
      <c r="T75" s="50">
        <v>0.6381944444444444</v>
      </c>
      <c r="U75" s="50">
        <v>0.72361111111111109</v>
      </c>
      <c r="V75" s="462">
        <v>7</v>
      </c>
      <c r="W75" s="475">
        <f t="shared" si="49"/>
        <v>123.00000000000004</v>
      </c>
      <c r="X75" s="183"/>
      <c r="Y75" s="183"/>
      <c r="Z75" s="125"/>
      <c r="AA75" s="125"/>
      <c r="AB75" s="633"/>
      <c r="AC75" s="633"/>
      <c r="AD75" s="463"/>
      <c r="AE75" s="463"/>
      <c r="AF75" s="48">
        <f t="shared" si="51"/>
        <v>-95.609756097561331</v>
      </c>
      <c r="AG75" s="465">
        <f t="shared" si="52"/>
        <v>0.93360433604336024</v>
      </c>
      <c r="AH75" s="645"/>
    </row>
    <row r="76" spans="1:34" ht="19.2" customHeight="1">
      <c r="A76" s="641"/>
      <c r="B76" s="462" t="s">
        <v>143</v>
      </c>
      <c r="C76" s="178"/>
      <c r="D76" s="179" t="s">
        <v>74</v>
      </c>
      <c r="E76" s="180"/>
      <c r="F76" s="361">
        <v>53.76</v>
      </c>
      <c r="G76" s="177">
        <v>1095.6000000000001</v>
      </c>
      <c r="H76" s="45">
        <f t="shared" si="50"/>
        <v>58899.456000000006</v>
      </c>
      <c r="I76" s="462">
        <v>1</v>
      </c>
      <c r="J76" s="181">
        <v>16</v>
      </c>
      <c r="K76" s="182">
        <v>1440</v>
      </c>
      <c r="L76" s="86">
        <v>90</v>
      </c>
      <c r="M76" s="473">
        <v>16</v>
      </c>
      <c r="N76" s="44">
        <f t="shared" si="45"/>
        <v>1314.7200000000005</v>
      </c>
      <c r="O76" s="47">
        <f t="shared" si="46"/>
        <v>82.17000000000003</v>
      </c>
      <c r="P76" s="48">
        <f t="shared" si="47"/>
        <v>0</v>
      </c>
      <c r="Q76" s="49">
        <f t="shared" si="48"/>
        <v>-7.8299999999999699</v>
      </c>
      <c r="R76" s="465">
        <f t="shared" si="44"/>
        <v>0.91300000000000037</v>
      </c>
      <c r="S76" s="645"/>
      <c r="T76" s="50">
        <v>0.72916666666666663</v>
      </c>
      <c r="U76" s="50">
        <v>0.76388888888888884</v>
      </c>
      <c r="V76" s="462">
        <v>8</v>
      </c>
      <c r="W76" s="475">
        <f t="shared" si="49"/>
        <v>49.999999999999986</v>
      </c>
      <c r="X76" s="183"/>
      <c r="Y76" s="183"/>
      <c r="Z76" s="125"/>
      <c r="AA76" s="125"/>
      <c r="AB76" s="633"/>
      <c r="AC76" s="633"/>
      <c r="AD76" s="463"/>
      <c r="AE76" s="463"/>
      <c r="AF76" s="48">
        <f t="shared" si="51"/>
        <v>-125.27999999999952</v>
      </c>
      <c r="AG76" s="465">
        <f t="shared" si="52"/>
        <v>0.91300000000000037</v>
      </c>
      <c r="AH76" s="645"/>
    </row>
    <row r="77" spans="1:34" ht="19.2" customHeight="1">
      <c r="A77" s="641"/>
      <c r="B77" s="462">
        <v>0</v>
      </c>
      <c r="C77" s="470"/>
      <c r="D77" s="42"/>
      <c r="E77" s="43"/>
      <c r="F77" s="361" t="s">
        <v>148</v>
      </c>
      <c r="G77" s="177"/>
      <c r="H77" s="45">
        <f t="shared" si="50"/>
        <v>0</v>
      </c>
      <c r="I77" s="463"/>
      <c r="J77" s="87"/>
      <c r="K77" s="57"/>
      <c r="L77" s="86"/>
      <c r="M77" s="473"/>
      <c r="N77" s="44"/>
      <c r="O77" s="47"/>
      <c r="P77" s="48"/>
      <c r="Q77" s="49"/>
      <c r="R77" s="465"/>
      <c r="S77" s="645"/>
      <c r="T77" s="50"/>
      <c r="U77" s="50"/>
      <c r="V77" s="462"/>
      <c r="W77" s="475">
        <f t="shared" si="49"/>
        <v>0</v>
      </c>
      <c r="X77" s="183"/>
      <c r="Y77" s="183"/>
      <c r="Z77" s="125"/>
      <c r="AA77" s="125"/>
      <c r="AB77" s="633"/>
      <c r="AC77" s="633"/>
      <c r="AD77" s="463"/>
      <c r="AE77" s="463"/>
      <c r="AF77" s="48">
        <f t="shared" si="51"/>
        <v>0</v>
      </c>
      <c r="AG77" s="465" t="e">
        <f t="shared" si="52"/>
        <v>#DIV/0!</v>
      </c>
      <c r="AH77" s="645"/>
    </row>
    <row r="78" spans="1:34" ht="19.2" customHeight="1">
      <c r="A78" s="641"/>
      <c r="B78" s="462">
        <v>0</v>
      </c>
      <c r="C78" s="470"/>
      <c r="D78" s="42"/>
      <c r="E78" s="43"/>
      <c r="F78" s="361" t="s">
        <v>148</v>
      </c>
      <c r="G78" s="57"/>
      <c r="H78" s="45">
        <f t="shared" si="50"/>
        <v>0</v>
      </c>
      <c r="I78" s="463"/>
      <c r="J78" s="87"/>
      <c r="K78" s="57"/>
      <c r="L78" s="86"/>
      <c r="M78" s="473"/>
      <c r="N78" s="44"/>
      <c r="O78" s="47"/>
      <c r="P78" s="48"/>
      <c r="Q78" s="49"/>
      <c r="R78" s="465"/>
      <c r="S78" s="645"/>
      <c r="T78" s="50"/>
      <c r="U78" s="50"/>
      <c r="V78" s="462"/>
      <c r="W78" s="475">
        <f t="shared" si="49"/>
        <v>0</v>
      </c>
      <c r="X78" s="183"/>
      <c r="Y78" s="183"/>
      <c r="Z78" s="125"/>
      <c r="AA78" s="125"/>
      <c r="AB78" s="633"/>
      <c r="AC78" s="633"/>
      <c r="AD78" s="463"/>
      <c r="AE78" s="463"/>
      <c r="AF78" s="48">
        <f t="shared" si="51"/>
        <v>0</v>
      </c>
      <c r="AG78" s="465" t="e">
        <f t="shared" si="52"/>
        <v>#DIV/0!</v>
      </c>
      <c r="AH78" s="645"/>
    </row>
    <row r="79" spans="1:34" ht="19.2" customHeight="1">
      <c r="A79" s="641"/>
      <c r="B79" s="462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463"/>
      <c r="J79" s="87"/>
      <c r="K79" s="57"/>
      <c r="L79" s="86"/>
      <c r="M79" s="473"/>
      <c r="N79" s="57"/>
      <c r="O79" s="184"/>
      <c r="P79" s="108"/>
      <c r="Q79" s="185"/>
      <c r="R79" s="109"/>
      <c r="S79" s="645"/>
      <c r="T79" s="50"/>
      <c r="U79" s="50"/>
      <c r="V79" s="462"/>
      <c r="W79" s="475">
        <f t="shared" si="49"/>
        <v>0</v>
      </c>
      <c r="X79" s="183"/>
      <c r="Y79" s="183"/>
      <c r="Z79" s="125"/>
      <c r="AA79" s="125"/>
      <c r="AB79" s="633"/>
      <c r="AC79" s="633"/>
      <c r="AD79" s="463"/>
      <c r="AE79" s="463"/>
      <c r="AF79" s="48">
        <f t="shared" si="51"/>
        <v>0</v>
      </c>
      <c r="AG79" s="465" t="e">
        <f t="shared" si="52"/>
        <v>#DIV/0!</v>
      </c>
      <c r="AH79" s="645"/>
    </row>
    <row r="80" spans="1:34" ht="19.2" customHeight="1">
      <c r="A80" s="641"/>
      <c r="B80" s="462">
        <v>0</v>
      </c>
      <c r="C80" s="470"/>
      <c r="D80" s="42"/>
      <c r="E80" s="43"/>
      <c r="F80" s="361"/>
      <c r="G80" s="57"/>
      <c r="H80" s="45">
        <f t="shared" si="50"/>
        <v>0</v>
      </c>
      <c r="I80" s="463"/>
      <c r="J80" s="87"/>
      <c r="K80" s="57"/>
      <c r="L80" s="86"/>
      <c r="M80" s="473"/>
      <c r="N80" s="57"/>
      <c r="O80" s="186"/>
      <c r="P80" s="54"/>
      <c r="Q80" s="88"/>
      <c r="R80" s="466"/>
      <c r="S80" s="645"/>
      <c r="T80" s="50"/>
      <c r="U80" s="50"/>
      <c r="V80" s="462"/>
      <c r="W80" s="475">
        <f t="shared" si="49"/>
        <v>0</v>
      </c>
      <c r="X80" s="183"/>
      <c r="Y80" s="183"/>
      <c r="Z80" s="125"/>
      <c r="AA80" s="125"/>
      <c r="AB80" s="633"/>
      <c r="AC80" s="633"/>
      <c r="AD80" s="463"/>
      <c r="AE80" s="463"/>
      <c r="AF80" s="48">
        <f t="shared" si="51"/>
        <v>0</v>
      </c>
      <c r="AG80" s="465" t="e">
        <f t="shared" si="52"/>
        <v>#DIV/0!</v>
      </c>
      <c r="AH80" s="645"/>
    </row>
    <row r="81" spans="1:34" ht="19.2" customHeight="1">
      <c r="A81" s="641"/>
      <c r="B81" s="462">
        <v>0</v>
      </c>
      <c r="C81" s="470"/>
      <c r="D81" s="42"/>
      <c r="E81" s="43"/>
      <c r="F81" s="368"/>
      <c r="G81" s="57"/>
      <c r="H81" s="84"/>
      <c r="I81" s="463"/>
      <c r="J81" s="87"/>
      <c r="K81" s="57"/>
      <c r="L81" s="86"/>
      <c r="M81" s="473"/>
      <c r="N81" s="57"/>
      <c r="O81" s="186"/>
      <c r="P81" s="54"/>
      <c r="Q81" s="88"/>
      <c r="R81" s="466"/>
      <c r="S81" s="645"/>
      <c r="T81" s="50"/>
      <c r="U81" s="50"/>
      <c r="V81" s="462"/>
      <c r="W81" s="475">
        <f t="shared" si="49"/>
        <v>0</v>
      </c>
      <c r="X81" s="183"/>
      <c r="Y81" s="183"/>
      <c r="Z81" s="125"/>
      <c r="AA81" s="125"/>
      <c r="AB81" s="633"/>
      <c r="AC81" s="633"/>
      <c r="AD81" s="463"/>
      <c r="AE81" s="463"/>
      <c r="AF81" s="48"/>
      <c r="AG81" s="126"/>
      <c r="AH81" s="645"/>
    </row>
    <row r="82" spans="1:34" ht="19.2" customHeight="1">
      <c r="A82" s="671"/>
      <c r="B82" s="171">
        <v>0</v>
      </c>
      <c r="C82" s="100" t="s">
        <v>234</v>
      </c>
      <c r="D82" s="660" t="s">
        <v>120</v>
      </c>
      <c r="E82" s="660"/>
      <c r="F82" s="371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J82:O82" si="53">AVERAGE(M70:M81)</f>
        <v>16.428571428571427</v>
      </c>
      <c r="N82" s="101">
        <f t="shared" si="53"/>
        <v>1354.8548226833752</v>
      </c>
      <c r="O82" s="187">
        <f t="shared" si="53"/>
        <v>82.730683564016005</v>
      </c>
      <c r="P82" s="117">
        <f>M82-J82</f>
        <v>0.14285714285714235</v>
      </c>
      <c r="Q82" s="118">
        <f>N82-K82</f>
        <v>-121.71660588805344</v>
      </c>
      <c r="R82" s="175">
        <f>O82/L82</f>
        <v>0.90665518862986627</v>
      </c>
      <c r="S82" s="645"/>
      <c r="T82" s="50"/>
      <c r="U82" s="50"/>
      <c r="V82" s="462"/>
      <c r="W82" s="44"/>
      <c r="X82" s="47"/>
      <c r="Y82" s="47"/>
      <c r="Z82" s="106">
        <f>SUM(Z70:Z81)</f>
        <v>0</v>
      </c>
      <c r="AA82" s="106">
        <f>SUM(AA70:AA81)</f>
        <v>0</v>
      </c>
      <c r="AB82" s="633"/>
      <c r="AC82" s="633"/>
      <c r="AD82" s="107">
        <f>SUM(AD70:AD81)</f>
        <v>0</v>
      </c>
      <c r="AE82" s="107">
        <f>SUM(AE70:AE81)</f>
        <v>0</v>
      </c>
      <c r="AF82" s="48">
        <f>N82-K82</f>
        <v>-121.71660588805344</v>
      </c>
      <c r="AG82" s="465">
        <f>N82/K82</f>
        <v>0.91756808811761092</v>
      </c>
      <c r="AH82" s="645"/>
    </row>
    <row r="83" spans="1:34" ht="19.2" customHeight="1">
      <c r="A83" s="672" t="s">
        <v>174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1649.6000000000001</v>
      </c>
      <c r="H83" s="84">
        <f t="shared" ref="H83:H94" si="54">F83*G83</f>
        <v>71163.744000000006</v>
      </c>
      <c r="I83" s="463"/>
      <c r="J83" s="87">
        <v>16</v>
      </c>
      <c r="K83" s="57">
        <v>1440</v>
      </c>
      <c r="L83" s="86">
        <v>90</v>
      </c>
      <c r="M83" s="473">
        <v>16</v>
      </c>
      <c r="N83" s="57">
        <f t="shared" ref="N83:N89" si="55">G83/W83*60</f>
        <v>1355.8356164383565</v>
      </c>
      <c r="O83" s="186">
        <f t="shared" ref="O83:O89" si="56">N83/M83</f>
        <v>84.739726027397282</v>
      </c>
      <c r="P83" s="54">
        <f t="shared" ref="P83:P89" si="57">M83-J83</f>
        <v>0</v>
      </c>
      <c r="Q83" s="88">
        <f t="shared" ref="Q83:Q89" si="58">O83-L83</f>
        <v>-5.2602739726027181</v>
      </c>
      <c r="R83" s="188">
        <f t="shared" ref="R83:R89" si="59">O83/L83</f>
        <v>0.94155251141552532</v>
      </c>
      <c r="S83" s="645">
        <f>R95</f>
        <v>0.89905218241392815</v>
      </c>
      <c r="T83" s="50">
        <v>0.33333333333333331</v>
      </c>
      <c r="U83" s="50">
        <v>0.38402777777777775</v>
      </c>
      <c r="V83" s="462">
        <v>5</v>
      </c>
      <c r="W83" s="475">
        <f t="shared" ref="W83:W93" si="60">(U83-T83)*24*60</f>
        <v>72.999999999999986</v>
      </c>
      <c r="X83" s="53"/>
      <c r="Y83" s="53"/>
      <c r="Z83" s="54"/>
      <c r="AA83" s="54"/>
      <c r="AB83" s="633"/>
      <c r="AC83" s="633"/>
      <c r="AD83" s="463"/>
      <c r="AE83" s="463"/>
      <c r="AF83" s="48">
        <f t="shared" ref="AF83:AF173" si="61">N83-K83</f>
        <v>-84.16438356164349</v>
      </c>
      <c r="AG83" s="465">
        <f t="shared" ref="AG83:AG173" si="62">N83/K83</f>
        <v>0.94155251141552532</v>
      </c>
      <c r="AH83" s="645">
        <f>AG95</f>
        <v>0.89671964818325411</v>
      </c>
    </row>
    <row r="84" spans="1:34" ht="19.2" customHeight="1">
      <c r="A84" s="673"/>
      <c r="B84" s="110" t="s">
        <v>143</v>
      </c>
      <c r="C84" s="470"/>
      <c r="D84" s="189" t="s">
        <v>73</v>
      </c>
      <c r="E84" s="43"/>
      <c r="F84" s="368">
        <v>53.36</v>
      </c>
      <c r="G84" s="44">
        <v>2870</v>
      </c>
      <c r="H84" s="84">
        <f t="shared" si="54"/>
        <v>153143.20000000001</v>
      </c>
      <c r="I84" s="462"/>
      <c r="J84" s="87">
        <v>19</v>
      </c>
      <c r="K84" s="57">
        <v>1440</v>
      </c>
      <c r="L84" s="86">
        <v>75.78947368421052</v>
      </c>
      <c r="M84" s="473">
        <v>19</v>
      </c>
      <c r="N84" s="57">
        <f t="shared" si="55"/>
        <v>1314.5038167938931</v>
      </c>
      <c r="O84" s="186">
        <f t="shared" si="56"/>
        <v>69.184411410204902</v>
      </c>
      <c r="P84" s="54">
        <f t="shared" si="57"/>
        <v>0</v>
      </c>
      <c r="Q84" s="88">
        <f t="shared" si="58"/>
        <v>-6.6050622740056184</v>
      </c>
      <c r="R84" s="188">
        <f t="shared" si="59"/>
        <v>0.91284987277353702</v>
      </c>
      <c r="S84" s="645"/>
      <c r="T84" s="50">
        <v>0.39930555555555552</v>
      </c>
      <c r="U84" s="50">
        <v>0.49027777777777776</v>
      </c>
      <c r="V84" s="462">
        <v>22</v>
      </c>
      <c r="W84" s="475">
        <f t="shared" si="60"/>
        <v>131</v>
      </c>
      <c r="X84" s="53">
        <v>0.3888888888888889</v>
      </c>
      <c r="Y84" s="53">
        <v>0.39861111111111108</v>
      </c>
      <c r="Z84" s="54"/>
      <c r="AA84" s="54"/>
      <c r="AB84" s="633"/>
      <c r="AC84" s="633"/>
      <c r="AD84" s="463">
        <v>1</v>
      </c>
      <c r="AE84" s="463"/>
      <c r="AF84" s="48">
        <f t="shared" si="61"/>
        <v>-125.49618320610693</v>
      </c>
      <c r="AG84" s="465">
        <f t="shared" si="62"/>
        <v>0.9128498727735368</v>
      </c>
      <c r="AH84" s="645"/>
    </row>
    <row r="85" spans="1:34" ht="19.2" customHeight="1">
      <c r="A85" s="673"/>
      <c r="B85" s="110" t="s">
        <v>143</v>
      </c>
      <c r="C85" s="123"/>
      <c r="D85" s="189" t="s">
        <v>73</v>
      </c>
      <c r="E85" s="43"/>
      <c r="F85" s="368">
        <v>53.36</v>
      </c>
      <c r="G85" s="44">
        <v>1470</v>
      </c>
      <c r="H85" s="84">
        <f t="shared" si="54"/>
        <v>78439.199999999997</v>
      </c>
      <c r="I85" s="462"/>
      <c r="J85" s="87">
        <v>19</v>
      </c>
      <c r="K85" s="57">
        <v>1440</v>
      </c>
      <c r="L85" s="86">
        <v>75.78947368421052</v>
      </c>
      <c r="M85" s="473">
        <v>19</v>
      </c>
      <c r="N85" s="57">
        <f t="shared" si="55"/>
        <v>1297.0588235294135</v>
      </c>
      <c r="O85" s="186">
        <f t="shared" si="56"/>
        <v>68.266253869969134</v>
      </c>
      <c r="P85" s="54">
        <f t="shared" si="57"/>
        <v>0</v>
      </c>
      <c r="Q85" s="88">
        <f t="shared" si="58"/>
        <v>-7.5232198142413864</v>
      </c>
      <c r="R85" s="188">
        <f t="shared" si="59"/>
        <v>0.90073529411764841</v>
      </c>
      <c r="S85" s="645"/>
      <c r="T85" s="50">
        <v>0.53055555555555556</v>
      </c>
      <c r="U85" s="50">
        <v>0.57777777777777772</v>
      </c>
      <c r="V85" s="462">
        <v>5</v>
      </c>
      <c r="W85" s="475">
        <f t="shared" si="60"/>
        <v>67.999999999999915</v>
      </c>
      <c r="X85" s="53"/>
      <c r="Y85" s="53"/>
      <c r="Z85" s="54"/>
      <c r="AA85" s="54"/>
      <c r="AB85" s="633"/>
      <c r="AC85" s="633"/>
      <c r="AD85" s="463"/>
      <c r="AE85" s="463"/>
      <c r="AF85" s="48">
        <f t="shared" si="61"/>
        <v>-142.94117647058647</v>
      </c>
      <c r="AG85" s="465">
        <f t="shared" si="62"/>
        <v>0.9007352941176483</v>
      </c>
      <c r="AH85" s="645"/>
    </row>
    <row r="86" spans="1:34" ht="19.2" customHeight="1">
      <c r="A86" s="673"/>
      <c r="B86" s="110" t="s">
        <v>147</v>
      </c>
      <c r="C86" s="97"/>
      <c r="D86" s="189" t="s">
        <v>254</v>
      </c>
      <c r="E86" s="43"/>
      <c r="F86" s="368">
        <v>54.09</v>
      </c>
      <c r="G86" s="44">
        <v>1581</v>
      </c>
      <c r="H86" s="84">
        <f t="shared" si="54"/>
        <v>85516.290000000008</v>
      </c>
      <c r="I86" s="462"/>
      <c r="J86" s="87">
        <v>20</v>
      </c>
      <c r="K86" s="57">
        <v>1300</v>
      </c>
      <c r="L86" s="86">
        <v>65</v>
      </c>
      <c r="M86" s="473">
        <v>20</v>
      </c>
      <c r="N86" s="57">
        <f t="shared" si="55"/>
        <v>1129.285714285714</v>
      </c>
      <c r="O86" s="186">
        <f t="shared" si="56"/>
        <v>56.464285714285701</v>
      </c>
      <c r="P86" s="54">
        <f t="shared" si="57"/>
        <v>0</v>
      </c>
      <c r="Q86" s="88">
        <f t="shared" si="58"/>
        <v>-8.5357142857142989</v>
      </c>
      <c r="R86" s="188">
        <f t="shared" si="59"/>
        <v>0.86868131868131848</v>
      </c>
      <c r="S86" s="645"/>
      <c r="T86" s="50">
        <v>0.58263888888888882</v>
      </c>
      <c r="U86" s="50">
        <v>0.64097222222222217</v>
      </c>
      <c r="V86" s="462">
        <v>7</v>
      </c>
      <c r="W86" s="475">
        <f t="shared" si="60"/>
        <v>84.000000000000028</v>
      </c>
      <c r="X86" s="53"/>
      <c r="Y86" s="53"/>
      <c r="Z86" s="54"/>
      <c r="AA86" s="54"/>
      <c r="AB86" s="633"/>
      <c r="AC86" s="633"/>
      <c r="AD86" s="463"/>
      <c r="AE86" s="463"/>
      <c r="AF86" s="48">
        <f t="shared" si="61"/>
        <v>-170.71428571428601</v>
      </c>
      <c r="AG86" s="465">
        <f t="shared" si="62"/>
        <v>0.86868131868131848</v>
      </c>
      <c r="AH86" s="645"/>
    </row>
    <row r="87" spans="1:34" ht="19.2" customHeight="1">
      <c r="A87" s="673"/>
      <c r="B87" s="110" t="s">
        <v>147</v>
      </c>
      <c r="C87" s="97"/>
      <c r="D87" s="189" t="s">
        <v>82</v>
      </c>
      <c r="E87" s="43"/>
      <c r="F87" s="368">
        <v>51.75</v>
      </c>
      <c r="G87" s="44">
        <v>966</v>
      </c>
      <c r="H87" s="84">
        <f t="shared" si="54"/>
        <v>49990.5</v>
      </c>
      <c r="I87" s="462"/>
      <c r="J87" s="87">
        <v>21</v>
      </c>
      <c r="K87" s="57">
        <v>1500</v>
      </c>
      <c r="L87" s="86">
        <v>71.428571428571431</v>
      </c>
      <c r="M87" s="473">
        <v>21</v>
      </c>
      <c r="N87" s="57">
        <f t="shared" si="55"/>
        <v>1260</v>
      </c>
      <c r="O87" s="186">
        <f t="shared" si="56"/>
        <v>60</v>
      </c>
      <c r="P87" s="54">
        <f t="shared" si="57"/>
        <v>0</v>
      </c>
      <c r="Q87" s="88">
        <f t="shared" si="58"/>
        <v>-11.428571428571431</v>
      </c>
      <c r="R87" s="188">
        <f t="shared" si="59"/>
        <v>0.84</v>
      </c>
      <c r="S87" s="645"/>
      <c r="T87" s="50">
        <v>0.65694444444444433</v>
      </c>
      <c r="U87" s="50">
        <v>0.68888888888888877</v>
      </c>
      <c r="V87" s="462">
        <v>23</v>
      </c>
      <c r="W87" s="475">
        <f t="shared" si="60"/>
        <v>46</v>
      </c>
      <c r="X87" s="53">
        <v>0.64583333333333337</v>
      </c>
      <c r="Y87" s="53">
        <v>0.65625</v>
      </c>
      <c r="Z87" s="54"/>
      <c r="AA87" s="54"/>
      <c r="AB87" s="633"/>
      <c r="AC87" s="633"/>
      <c r="AD87" s="463"/>
      <c r="AE87" s="463"/>
      <c r="AF87" s="48">
        <f t="shared" si="61"/>
        <v>-240</v>
      </c>
      <c r="AG87" s="465">
        <f t="shared" si="62"/>
        <v>0.84</v>
      </c>
      <c r="AH87" s="645"/>
    </row>
    <row r="88" spans="1:34" ht="19.2" customHeight="1">
      <c r="A88" s="673"/>
      <c r="B88" s="110" t="s">
        <v>143</v>
      </c>
      <c r="C88" s="470"/>
      <c r="D88" s="189" t="s">
        <v>73</v>
      </c>
      <c r="E88" s="43"/>
      <c r="F88" s="368">
        <v>53.36</v>
      </c>
      <c r="G88" s="57">
        <v>2660</v>
      </c>
      <c r="H88" s="84">
        <f t="shared" si="54"/>
        <v>141937.60000000001</v>
      </c>
      <c r="I88" s="462">
        <v>1</v>
      </c>
      <c r="J88" s="87">
        <v>19</v>
      </c>
      <c r="K88" s="57">
        <v>1440</v>
      </c>
      <c r="L88" s="86">
        <v>75.78947368421052</v>
      </c>
      <c r="M88" s="473">
        <v>19</v>
      </c>
      <c r="N88" s="57">
        <f t="shared" si="55"/>
        <v>1308.1967213114749</v>
      </c>
      <c r="O88" s="186">
        <f t="shared" si="56"/>
        <v>68.852459016393411</v>
      </c>
      <c r="P88" s="54">
        <f t="shared" si="57"/>
        <v>0</v>
      </c>
      <c r="Q88" s="88">
        <f t="shared" si="58"/>
        <v>-6.9370146678171096</v>
      </c>
      <c r="R88" s="188">
        <f t="shared" si="59"/>
        <v>0.90846994535519088</v>
      </c>
      <c r="S88" s="645"/>
      <c r="T88" s="50">
        <v>0.69374999999999987</v>
      </c>
      <c r="U88" s="50">
        <v>0.77847222222222212</v>
      </c>
      <c r="V88" s="462">
        <v>7</v>
      </c>
      <c r="W88" s="475">
        <f t="shared" si="60"/>
        <v>122.00000000000004</v>
      </c>
      <c r="X88" s="53"/>
      <c r="Y88" s="53"/>
      <c r="Z88" s="54"/>
      <c r="AA88" s="54"/>
      <c r="AB88" s="633"/>
      <c r="AC88" s="633"/>
      <c r="AD88" s="463"/>
      <c r="AE88" s="463"/>
      <c r="AF88" s="48">
        <f t="shared" si="61"/>
        <v>-131.8032786885251</v>
      </c>
      <c r="AG88" s="465">
        <f t="shared" si="62"/>
        <v>0.90846994535519088</v>
      </c>
      <c r="AH88" s="645"/>
    </row>
    <row r="89" spans="1:34" ht="19.2" customHeight="1">
      <c r="A89" s="673"/>
      <c r="B89" s="110" t="s">
        <v>145</v>
      </c>
      <c r="C89" s="470"/>
      <c r="D89" s="42" t="s">
        <v>61</v>
      </c>
      <c r="E89" s="43"/>
      <c r="F89" s="368">
        <v>43.14</v>
      </c>
      <c r="G89" s="115">
        <v>412.40000000000003</v>
      </c>
      <c r="H89" s="84">
        <f t="shared" si="54"/>
        <v>17790.936000000002</v>
      </c>
      <c r="I89" s="462">
        <v>1</v>
      </c>
      <c r="J89" s="87">
        <v>16</v>
      </c>
      <c r="K89" s="57">
        <v>1440</v>
      </c>
      <c r="L89" s="86">
        <v>90</v>
      </c>
      <c r="M89" s="473">
        <v>16</v>
      </c>
      <c r="N89" s="57">
        <f t="shared" si="55"/>
        <v>1302.3157894736889</v>
      </c>
      <c r="O89" s="186">
        <f t="shared" si="56"/>
        <v>81.394736842105559</v>
      </c>
      <c r="P89" s="54">
        <f t="shared" si="57"/>
        <v>0</v>
      </c>
      <c r="Q89" s="88">
        <f t="shared" si="58"/>
        <v>-8.6052631578944414</v>
      </c>
      <c r="R89" s="188">
        <f t="shared" si="59"/>
        <v>0.90438596491228396</v>
      </c>
      <c r="S89" s="645"/>
      <c r="T89" s="50">
        <v>0.78402777777777766</v>
      </c>
      <c r="U89" s="50">
        <v>0.79722222222222205</v>
      </c>
      <c r="V89" s="462">
        <v>8</v>
      </c>
      <c r="W89" s="475">
        <f t="shared" si="60"/>
        <v>18.999999999999932</v>
      </c>
      <c r="X89" s="53"/>
      <c r="Y89" s="53"/>
      <c r="Z89" s="54"/>
      <c r="AA89" s="54"/>
      <c r="AB89" s="633"/>
      <c r="AC89" s="633"/>
      <c r="AD89" s="463"/>
      <c r="AE89" s="463"/>
      <c r="AF89" s="48">
        <f t="shared" si="61"/>
        <v>-137.68421052631106</v>
      </c>
      <c r="AG89" s="465">
        <f t="shared" si="62"/>
        <v>0.90438596491228396</v>
      </c>
      <c r="AH89" s="645"/>
    </row>
    <row r="90" spans="1:34" ht="19.2" customHeight="1">
      <c r="A90" s="673"/>
      <c r="B90" s="110">
        <v>0</v>
      </c>
      <c r="C90" s="470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473"/>
      <c r="N90" s="57"/>
      <c r="O90" s="186"/>
      <c r="P90" s="54"/>
      <c r="Q90" s="88"/>
      <c r="R90" s="188"/>
      <c r="S90" s="645"/>
      <c r="T90" s="50"/>
      <c r="U90" s="50"/>
      <c r="V90" s="462"/>
      <c r="W90" s="475">
        <f t="shared" si="60"/>
        <v>0</v>
      </c>
      <c r="X90" s="191"/>
      <c r="Y90" s="191"/>
      <c r="Z90" s="54"/>
      <c r="AA90" s="54"/>
      <c r="AB90" s="633"/>
      <c r="AC90" s="633"/>
      <c r="AD90" s="463"/>
      <c r="AE90" s="463"/>
      <c r="AF90" s="48">
        <f t="shared" si="61"/>
        <v>0</v>
      </c>
      <c r="AG90" s="465" t="e">
        <f t="shared" si="62"/>
        <v>#DIV/0!</v>
      </c>
      <c r="AH90" s="645"/>
    </row>
    <row r="91" spans="1:34" ht="19.2" customHeight="1">
      <c r="A91" s="673"/>
      <c r="B91" s="110">
        <v>0</v>
      </c>
      <c r="C91" s="470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473" t="s">
        <v>15</v>
      </c>
      <c r="N91" s="57"/>
      <c r="O91" s="186"/>
      <c r="P91" s="54"/>
      <c r="Q91" s="88"/>
      <c r="R91" s="188"/>
      <c r="S91" s="646"/>
      <c r="T91" s="50"/>
      <c r="U91" s="50"/>
      <c r="V91" s="462"/>
      <c r="W91" s="475">
        <f t="shared" si="60"/>
        <v>0</v>
      </c>
      <c r="X91" s="116"/>
      <c r="Y91" s="116"/>
      <c r="Z91" s="54"/>
      <c r="AA91" s="54"/>
      <c r="AB91" s="633"/>
      <c r="AC91" s="633"/>
      <c r="AD91" s="463"/>
      <c r="AE91" s="463"/>
      <c r="AF91" s="48">
        <f t="shared" si="61"/>
        <v>0</v>
      </c>
      <c r="AG91" s="465" t="e">
        <f t="shared" si="62"/>
        <v>#DIV/0!</v>
      </c>
      <c r="AH91" s="646"/>
    </row>
    <row r="92" spans="1:34" ht="19.2" customHeight="1">
      <c r="A92" s="673"/>
      <c r="B92" s="110">
        <v>0</v>
      </c>
      <c r="C92" s="470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69"/>
      <c r="S92" s="646"/>
      <c r="T92" s="50"/>
      <c r="U92" s="50"/>
      <c r="V92" s="462"/>
      <c r="W92" s="475">
        <f t="shared" si="60"/>
        <v>0</v>
      </c>
      <c r="X92" s="183"/>
      <c r="Y92" s="183"/>
      <c r="Z92" s="125"/>
      <c r="AA92" s="125"/>
      <c r="AB92" s="633"/>
      <c r="AC92" s="633"/>
      <c r="AD92" s="463"/>
      <c r="AE92" s="463"/>
      <c r="AF92" s="48">
        <f t="shared" si="61"/>
        <v>0</v>
      </c>
      <c r="AG92" s="465" t="e">
        <f t="shared" si="62"/>
        <v>#DIV/0!</v>
      </c>
      <c r="AH92" s="646"/>
    </row>
    <row r="93" spans="1:34" ht="19.2" customHeight="1">
      <c r="A93" s="673"/>
      <c r="B93" s="477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473"/>
      <c r="N93" s="57"/>
      <c r="O93" s="86"/>
      <c r="P93" s="54"/>
      <c r="Q93" s="88"/>
      <c r="R93" s="464"/>
      <c r="S93" s="674"/>
      <c r="T93" s="63"/>
      <c r="U93" s="63"/>
      <c r="V93" s="477"/>
      <c r="W93" s="475">
        <f t="shared" si="60"/>
        <v>0</v>
      </c>
      <c r="X93" s="200"/>
      <c r="Y93" s="200"/>
      <c r="Z93" s="125"/>
      <c r="AA93" s="125"/>
      <c r="AB93" s="633"/>
      <c r="AC93" s="633"/>
      <c r="AD93" s="463"/>
      <c r="AE93" s="463"/>
      <c r="AF93" s="48">
        <f t="shared" si="61"/>
        <v>0</v>
      </c>
      <c r="AG93" s="465" t="e">
        <f t="shared" si="62"/>
        <v>#DIV/0!</v>
      </c>
      <c r="AH93" s="646"/>
    </row>
    <row r="94" spans="1:34" ht="19.2" customHeight="1">
      <c r="A94" s="673"/>
      <c r="B94" s="477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64"/>
      <c r="S94" s="674"/>
      <c r="T94" s="63"/>
      <c r="U94" s="63"/>
      <c r="V94" s="477"/>
      <c r="W94" s="475">
        <f>(U94-T94)*24*60</f>
        <v>0</v>
      </c>
      <c r="X94" s="200"/>
      <c r="Y94" s="200"/>
      <c r="Z94" s="125"/>
      <c r="AA94" s="125"/>
      <c r="AB94" s="633"/>
      <c r="AC94" s="633"/>
      <c r="AD94" s="463"/>
      <c r="AE94" s="463"/>
      <c r="AF94" s="48">
        <f t="shared" si="61"/>
        <v>0</v>
      </c>
      <c r="AG94" s="465" t="e">
        <f t="shared" si="62"/>
        <v>#DIV/0!</v>
      </c>
      <c r="AH94" s="646"/>
    </row>
    <row r="95" spans="1:34" ht="19.2" customHeight="1">
      <c r="A95" s="673"/>
      <c r="B95" s="203">
        <v>0</v>
      </c>
      <c r="C95" s="100" t="s">
        <v>236</v>
      </c>
      <c r="D95" s="660" t="s">
        <v>120</v>
      </c>
      <c r="E95" s="660"/>
      <c r="F95" s="362"/>
      <c r="G95" s="70"/>
      <c r="H95" s="204"/>
      <c r="I95" s="103"/>
      <c r="J95" s="205">
        <v>18.571428571428573</v>
      </c>
      <c r="K95" s="205">
        <v>1428.5714285714287</v>
      </c>
      <c r="L95" s="206">
        <v>77.685284640171858</v>
      </c>
      <c r="M95" s="205">
        <f t="shared" ref="J95:O95" si="63">AVERAGE(M83:M94)</f>
        <v>18.571428571428573</v>
      </c>
      <c r="N95" s="205">
        <f t="shared" si="63"/>
        <v>1281.0280688332202</v>
      </c>
      <c r="O95" s="206">
        <f t="shared" si="63"/>
        <v>69.843124697193716</v>
      </c>
      <c r="P95" s="207">
        <f>M95-J95</f>
        <v>0</v>
      </c>
      <c r="Q95" s="208">
        <f t="shared" ref="Q95:Q102" si="64">O95-L95</f>
        <v>-7.8421599429781423</v>
      </c>
      <c r="R95" s="209">
        <f>O95/L95</f>
        <v>0.89905218241392815</v>
      </c>
      <c r="S95" s="646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33"/>
      <c r="AC95" s="633"/>
      <c r="AD95" s="107">
        <f>SUM(AD83:AD94)</f>
        <v>1</v>
      </c>
      <c r="AE95" s="107">
        <f>SUM(AE83:AE94)</f>
        <v>0</v>
      </c>
      <c r="AF95" s="65">
        <f t="shared" si="61"/>
        <v>-147.54335973820844</v>
      </c>
      <c r="AG95" s="468">
        <f t="shared" si="62"/>
        <v>0.89671964818325411</v>
      </c>
      <c r="AH95" s="646"/>
    </row>
    <row r="96" spans="1:34" ht="19.2" customHeight="1">
      <c r="A96" s="675" t="s">
        <v>175</v>
      </c>
      <c r="B96" s="462">
        <v>0</v>
      </c>
      <c r="C96" s="97"/>
      <c r="D96" s="42" t="s">
        <v>176</v>
      </c>
      <c r="E96" s="43"/>
      <c r="F96" s="361">
        <v>36.92</v>
      </c>
      <c r="G96" s="44">
        <v>3317</v>
      </c>
      <c r="H96" s="45">
        <f t="shared" ref="H96:H106" si="65">F96*G96</f>
        <v>122463.64</v>
      </c>
      <c r="I96" s="462"/>
      <c r="J96" s="46">
        <v>6</v>
      </c>
      <c r="K96" s="44">
        <v>1636</v>
      </c>
      <c r="L96" s="47">
        <v>272.66666666666669</v>
      </c>
      <c r="M96" s="476">
        <v>6</v>
      </c>
      <c r="N96" s="44">
        <f t="shared" ref="N96:N102" si="66">G96/W96*60</f>
        <v>1554.8437499999995</v>
      </c>
      <c r="O96" s="47">
        <f t="shared" ref="O96:O102" si="67">N96/M96</f>
        <v>259.14062499999994</v>
      </c>
      <c r="P96" s="48">
        <f t="shared" ref="P96:P102" si="68">M96-J96</f>
        <v>0</v>
      </c>
      <c r="Q96" s="49">
        <f t="shared" si="64"/>
        <v>-13.526041666666742</v>
      </c>
      <c r="R96" s="465">
        <f t="shared" ref="R96:R102" si="69">O96/L96</f>
        <v>0.9503934902200486</v>
      </c>
      <c r="S96" s="645">
        <f>R108</f>
        <v>0.92079245842856672</v>
      </c>
      <c r="T96" s="89">
        <v>0.33333333333333331</v>
      </c>
      <c r="U96" s="89">
        <v>0.42222222222222222</v>
      </c>
      <c r="V96" s="463">
        <v>5</v>
      </c>
      <c r="W96" s="90">
        <f t="shared" ref="W96:W133" si="70">(U96-T96)*24*60</f>
        <v>128.00000000000003</v>
      </c>
      <c r="X96" s="96"/>
      <c r="Y96" s="96"/>
      <c r="Z96" s="54"/>
      <c r="AA96" s="54"/>
      <c r="AB96" s="633"/>
      <c r="AC96" s="633"/>
      <c r="AD96" s="463"/>
      <c r="AE96" s="463"/>
      <c r="AF96" s="54">
        <f t="shared" si="61"/>
        <v>-81.156250000000455</v>
      </c>
      <c r="AG96" s="464">
        <f t="shared" si="62"/>
        <v>0.9503934902200486</v>
      </c>
      <c r="AH96" s="654">
        <f>AG108</f>
        <v>0.88478892953879373</v>
      </c>
    </row>
    <row r="97" spans="1:34" s="218" customFormat="1" ht="19.2" customHeight="1">
      <c r="A97" s="675"/>
      <c r="B97" s="462" t="s">
        <v>145</v>
      </c>
      <c r="C97" s="210"/>
      <c r="D97" s="211" t="s">
        <v>65</v>
      </c>
      <c r="E97" s="56"/>
      <c r="F97" s="372">
        <v>29.113149847094796</v>
      </c>
      <c r="G97" s="212">
        <v>2643.55</v>
      </c>
      <c r="H97" s="213">
        <f t="shared" si="65"/>
        <v>76962.067278287446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1289.5365853658532</v>
      </c>
      <c r="O97" s="47">
        <f t="shared" si="67"/>
        <v>71.640921409214059</v>
      </c>
      <c r="P97" s="48">
        <f t="shared" si="68"/>
        <v>-2</v>
      </c>
      <c r="Q97" s="49">
        <f t="shared" si="64"/>
        <v>-3.3590785907859413</v>
      </c>
      <c r="R97" s="465">
        <f t="shared" si="69"/>
        <v>0.95521228545618742</v>
      </c>
      <c r="S97" s="645"/>
      <c r="T97" s="214">
        <v>0.43819444444444444</v>
      </c>
      <c r="U97" s="214">
        <v>0.52361111111111114</v>
      </c>
      <c r="V97" s="215">
        <v>23</v>
      </c>
      <c r="W97" s="90">
        <f t="shared" si="70"/>
        <v>123.00000000000004</v>
      </c>
      <c r="X97" s="53">
        <v>0.42708333333333331</v>
      </c>
      <c r="Y97" s="53">
        <v>0.4375</v>
      </c>
      <c r="Z97" s="54"/>
      <c r="AA97" s="54"/>
      <c r="AB97" s="633"/>
      <c r="AC97" s="633"/>
      <c r="AD97" s="215">
        <v>1</v>
      </c>
      <c r="AE97" s="215"/>
      <c r="AF97" s="216">
        <f t="shared" si="61"/>
        <v>-210.46341463414683</v>
      </c>
      <c r="AG97" s="217">
        <f t="shared" si="62"/>
        <v>0.8596910569105688</v>
      </c>
      <c r="AH97" s="654"/>
    </row>
    <row r="98" spans="1:34" s="221" customFormat="1" ht="19.2" customHeight="1">
      <c r="A98" s="675"/>
      <c r="B98" s="462" t="s">
        <v>143</v>
      </c>
      <c r="C98" s="55"/>
      <c r="D98" s="42" t="s">
        <v>235</v>
      </c>
      <c r="E98" s="83"/>
      <c r="F98" s="372">
        <v>77.349999999999994</v>
      </c>
      <c r="G98" s="57">
        <v>718</v>
      </c>
      <c r="H98" s="213">
        <f t="shared" si="65"/>
        <v>55537.299999999996</v>
      </c>
      <c r="I98" s="463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1267.0588235294103</v>
      </c>
      <c r="O98" s="47">
        <f t="shared" si="67"/>
        <v>66.687306501547909</v>
      </c>
      <c r="P98" s="48">
        <f t="shared" si="68"/>
        <v>0</v>
      </c>
      <c r="Q98" s="49">
        <f t="shared" si="64"/>
        <v>-9.1021671826626118</v>
      </c>
      <c r="R98" s="465">
        <f t="shared" si="69"/>
        <v>0.87990196078431271</v>
      </c>
      <c r="S98" s="645"/>
      <c r="T98" s="89">
        <v>0.56388888888888888</v>
      </c>
      <c r="U98" s="89">
        <v>0.58750000000000002</v>
      </c>
      <c r="V98" s="463">
        <v>5</v>
      </c>
      <c r="W98" s="90">
        <f t="shared" si="70"/>
        <v>34.000000000000043</v>
      </c>
      <c r="X98" s="219"/>
      <c r="Y98" s="219"/>
      <c r="Z98" s="220"/>
      <c r="AA98" s="220"/>
      <c r="AB98" s="633"/>
      <c r="AC98" s="633"/>
      <c r="AD98" s="463"/>
      <c r="AE98" s="463"/>
      <c r="AF98" s="54">
        <f t="shared" si="61"/>
        <v>-172.94117647058965</v>
      </c>
      <c r="AG98" s="464">
        <f t="shared" si="62"/>
        <v>0.87990196078431271</v>
      </c>
      <c r="AH98" s="654"/>
    </row>
    <row r="99" spans="1:34" ht="19.2" customHeight="1">
      <c r="A99" s="675"/>
      <c r="B99" s="462" t="s">
        <v>143</v>
      </c>
      <c r="C99" s="81"/>
      <c r="D99" s="82" t="s">
        <v>58</v>
      </c>
      <c r="E99" s="83"/>
      <c r="F99" s="372">
        <v>77.34</v>
      </c>
      <c r="G99" s="57">
        <v>1157</v>
      </c>
      <c r="H99" s="213">
        <f t="shared" si="65"/>
        <v>89482.38</v>
      </c>
      <c r="I99" s="463"/>
      <c r="J99" s="46">
        <v>18</v>
      </c>
      <c r="K99" s="44">
        <v>1440</v>
      </c>
      <c r="L99" s="47">
        <v>80</v>
      </c>
      <c r="M99" s="476">
        <v>18</v>
      </c>
      <c r="N99" s="44">
        <f t="shared" si="66"/>
        <v>1262.1818181818189</v>
      </c>
      <c r="O99" s="47">
        <f t="shared" si="67"/>
        <v>70.121212121212167</v>
      </c>
      <c r="P99" s="48">
        <f t="shared" si="68"/>
        <v>0</v>
      </c>
      <c r="Q99" s="49">
        <f t="shared" si="64"/>
        <v>-9.8787878787878327</v>
      </c>
      <c r="R99" s="465">
        <f t="shared" si="69"/>
        <v>0.87651515151515214</v>
      </c>
      <c r="S99" s="645"/>
      <c r="T99" s="89">
        <v>0.59236111111111112</v>
      </c>
      <c r="U99" s="89">
        <v>0.63055555555555554</v>
      </c>
      <c r="V99" s="463">
        <v>7</v>
      </c>
      <c r="W99" s="90">
        <f t="shared" si="70"/>
        <v>54.999999999999964</v>
      </c>
      <c r="X99" s="183"/>
      <c r="Y99" s="183"/>
      <c r="Z99" s="125"/>
      <c r="AA99" s="125"/>
      <c r="AB99" s="633"/>
      <c r="AC99" s="633"/>
      <c r="AD99" s="463"/>
      <c r="AE99" s="463"/>
      <c r="AF99" s="216">
        <f t="shared" si="61"/>
        <v>-177.81818181818107</v>
      </c>
      <c r="AG99" s="217">
        <f t="shared" si="62"/>
        <v>0.87651515151515202</v>
      </c>
      <c r="AH99" s="654"/>
    </row>
    <row r="100" spans="1:34" s="221" customFormat="1" ht="19.2" customHeight="1">
      <c r="A100" s="675"/>
      <c r="B100" s="462" t="s">
        <v>143</v>
      </c>
      <c r="C100" s="55"/>
      <c r="D100" s="42" t="s">
        <v>56</v>
      </c>
      <c r="E100" s="83"/>
      <c r="F100" s="372">
        <v>59.34</v>
      </c>
      <c r="G100" s="57">
        <v>924</v>
      </c>
      <c r="H100" s="213">
        <f t="shared" si="65"/>
        <v>54830.16</v>
      </c>
      <c r="I100" s="46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1260</v>
      </c>
      <c r="O100" s="47">
        <f t="shared" si="67"/>
        <v>74.117647058823536</v>
      </c>
      <c r="P100" s="48">
        <f t="shared" si="68"/>
        <v>0</v>
      </c>
      <c r="Q100" s="49">
        <f t="shared" si="64"/>
        <v>-10.588235294117638</v>
      </c>
      <c r="R100" s="465">
        <f t="shared" si="69"/>
        <v>0.87500000000000011</v>
      </c>
      <c r="S100" s="645"/>
      <c r="T100" s="214">
        <v>0.63611111111111107</v>
      </c>
      <c r="U100" s="214">
        <v>0.66666666666666663</v>
      </c>
      <c r="V100" s="215">
        <v>8</v>
      </c>
      <c r="W100" s="90">
        <f t="shared" si="70"/>
        <v>44</v>
      </c>
      <c r="X100" s="222"/>
      <c r="Y100" s="222"/>
      <c r="Z100" s="220"/>
      <c r="AA100" s="220"/>
      <c r="AB100" s="633"/>
      <c r="AC100" s="633"/>
      <c r="AD100" s="463">
        <v>1</v>
      </c>
      <c r="AE100" s="463"/>
      <c r="AF100" s="54">
        <f t="shared" si="61"/>
        <v>-180</v>
      </c>
      <c r="AG100" s="464">
        <f t="shared" si="62"/>
        <v>0.875</v>
      </c>
      <c r="AH100" s="654"/>
    </row>
    <row r="101" spans="1:34" s="221" customFormat="1" ht="19.2" customHeight="1">
      <c r="A101" s="675"/>
      <c r="B101" s="462" t="s">
        <v>143</v>
      </c>
      <c r="C101" s="55"/>
      <c r="D101" s="82" t="s">
        <v>57</v>
      </c>
      <c r="E101" s="83"/>
      <c r="F101" s="372">
        <v>71.55</v>
      </c>
      <c r="G101" s="57">
        <v>993</v>
      </c>
      <c r="H101" s="213">
        <f t="shared" si="65"/>
        <v>71049.149999999994</v>
      </c>
      <c r="I101" s="46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1241.2500000000005</v>
      </c>
      <c r="O101" s="47">
        <f t="shared" si="67"/>
        <v>68.958333333333357</v>
      </c>
      <c r="P101" s="48">
        <f t="shared" si="68"/>
        <v>0</v>
      </c>
      <c r="Q101" s="49">
        <f t="shared" si="64"/>
        <v>-7.9861111111110858</v>
      </c>
      <c r="R101" s="465">
        <f t="shared" si="69"/>
        <v>0.89620938628158875</v>
      </c>
      <c r="S101" s="645"/>
      <c r="T101" s="214">
        <v>0.68194444444444435</v>
      </c>
      <c r="U101" s="89">
        <v>0.71527777777777768</v>
      </c>
      <c r="V101" s="215">
        <v>22</v>
      </c>
      <c r="W101" s="90">
        <f t="shared" si="70"/>
        <v>47.999999999999986</v>
      </c>
      <c r="X101" s="223">
        <v>0.67152777777777783</v>
      </c>
      <c r="Y101" s="223">
        <v>0.68055555555555547</v>
      </c>
      <c r="Z101" s="220"/>
      <c r="AA101" s="220"/>
      <c r="AB101" s="633"/>
      <c r="AC101" s="633"/>
      <c r="AD101" s="463"/>
      <c r="AE101" s="463"/>
      <c r="AF101" s="216">
        <f t="shared" si="61"/>
        <v>-143.74999999999955</v>
      </c>
      <c r="AG101" s="217">
        <f t="shared" si="62"/>
        <v>0.89620938628158875</v>
      </c>
      <c r="AH101" s="654"/>
    </row>
    <row r="102" spans="1:34" s="221" customFormat="1" ht="19.2" customHeight="1">
      <c r="A102" s="675"/>
      <c r="B102" s="462" t="s">
        <v>145</v>
      </c>
      <c r="C102" s="178"/>
      <c r="D102" s="179" t="s">
        <v>65</v>
      </c>
      <c r="E102" s="180"/>
      <c r="F102" s="372">
        <v>29.113149847094796</v>
      </c>
      <c r="G102" s="57">
        <v>1423.4499999999998</v>
      </c>
      <c r="H102" s="213">
        <f t="shared" si="65"/>
        <v>41441.113149847079</v>
      </c>
      <c r="I102" s="462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1274.7313432835836</v>
      </c>
      <c r="O102" s="47">
        <f t="shared" si="67"/>
        <v>70.818407960199082</v>
      </c>
      <c r="P102" s="48">
        <f t="shared" si="68"/>
        <v>-2</v>
      </c>
      <c r="Q102" s="49">
        <f t="shared" si="64"/>
        <v>-4.1815920398009183</v>
      </c>
      <c r="R102" s="465">
        <f t="shared" si="69"/>
        <v>0.94424543946932105</v>
      </c>
      <c r="S102" s="645"/>
      <c r="T102" s="214">
        <v>0.72083333333333321</v>
      </c>
      <c r="U102" s="214">
        <v>0.76736111111111094</v>
      </c>
      <c r="V102" s="215">
        <v>8</v>
      </c>
      <c r="W102" s="90">
        <f t="shared" si="70"/>
        <v>66.999999999999915</v>
      </c>
      <c r="X102" s="223"/>
      <c r="Y102" s="223"/>
      <c r="Z102" s="220"/>
      <c r="AA102" s="220"/>
      <c r="AB102" s="633"/>
      <c r="AC102" s="633"/>
      <c r="AD102" s="463"/>
      <c r="AE102" s="463"/>
      <c r="AF102" s="54">
        <f t="shared" si="61"/>
        <v>-225.26865671641644</v>
      </c>
      <c r="AG102" s="464">
        <f t="shared" si="62"/>
        <v>0.84982089552238904</v>
      </c>
      <c r="AH102" s="654"/>
    </row>
    <row r="103" spans="1:34" s="221" customFormat="1" ht="19.2" customHeight="1">
      <c r="A103" s="675"/>
      <c r="B103" s="462">
        <v>0</v>
      </c>
      <c r="C103" s="224"/>
      <c r="D103" s="82"/>
      <c r="E103" s="83"/>
      <c r="F103" s="372" t="s">
        <v>148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65"/>
      <c r="S103" s="645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633"/>
      <c r="AC103" s="633"/>
      <c r="AD103" s="463"/>
      <c r="AE103" s="463"/>
      <c r="AF103" s="54">
        <f t="shared" si="61"/>
        <v>0</v>
      </c>
      <c r="AG103" s="464" t="e">
        <f t="shared" si="62"/>
        <v>#DIV/0!</v>
      </c>
      <c r="AH103" s="654"/>
    </row>
    <row r="104" spans="1:34" s="221" customFormat="1" ht="19.2" customHeight="1">
      <c r="A104" s="675"/>
      <c r="B104" s="462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65"/>
      <c r="S104" s="646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33"/>
      <c r="AC104" s="633"/>
      <c r="AD104" s="463"/>
      <c r="AE104" s="463"/>
      <c r="AF104" s="216">
        <f t="shared" si="61"/>
        <v>0</v>
      </c>
      <c r="AG104" s="217" t="e">
        <f t="shared" si="62"/>
        <v>#DIV/0!</v>
      </c>
      <c r="AH104" s="654"/>
    </row>
    <row r="105" spans="1:34" s="221" customFormat="1" ht="19.2" customHeight="1">
      <c r="A105" s="675"/>
      <c r="B105" s="462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65"/>
      <c r="S105" s="646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33"/>
      <c r="AC105" s="633"/>
      <c r="AD105" s="463"/>
      <c r="AE105" s="463"/>
      <c r="AF105" s="54">
        <f t="shared" si="61"/>
        <v>0</v>
      </c>
      <c r="AG105" s="464" t="e">
        <f t="shared" si="62"/>
        <v>#DIV/0!</v>
      </c>
      <c r="AH105" s="654"/>
    </row>
    <row r="106" spans="1:34" s="221" customFormat="1" ht="19.2" customHeight="1">
      <c r="A106" s="675"/>
      <c r="B106" s="462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64"/>
      <c r="S106" s="674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33"/>
      <c r="AC106" s="633"/>
      <c r="AD106" s="463"/>
      <c r="AE106" s="463"/>
      <c r="AF106" s="54">
        <f t="shared" si="61"/>
        <v>0</v>
      </c>
      <c r="AG106" s="464" t="e">
        <f t="shared" si="62"/>
        <v>#DIV/0!</v>
      </c>
      <c r="AH106" s="654"/>
    </row>
    <row r="107" spans="1:34" s="221" customFormat="1" ht="19.2" customHeight="1">
      <c r="A107" s="675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64"/>
      <c r="S107" s="674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33"/>
      <c r="AC107" s="633"/>
      <c r="AD107" s="463"/>
      <c r="AE107" s="463"/>
      <c r="AF107" s="220"/>
      <c r="AG107" s="464"/>
      <c r="AH107" s="654"/>
    </row>
    <row r="108" spans="1:34" ht="19.2" customHeight="1">
      <c r="A108" s="675"/>
      <c r="B108" s="110">
        <v>0</v>
      </c>
      <c r="C108" s="100" t="s">
        <v>237</v>
      </c>
      <c r="D108" s="660" t="s">
        <v>120</v>
      </c>
      <c r="E108" s="660"/>
      <c r="F108" s="373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J108:O108" si="71">AVERAGE(M96:M107)</f>
        <v>16.285714285714285</v>
      </c>
      <c r="N108" s="101">
        <f t="shared" si="71"/>
        <v>1307.0860457658093</v>
      </c>
      <c r="O108" s="104">
        <f t="shared" si="71"/>
        <v>97.354921912047175</v>
      </c>
      <c r="P108" s="54">
        <f t="shared" ref="P108:P116" si="72">M108-J108</f>
        <v>-0.57142857142857295</v>
      </c>
      <c r="Q108" s="88">
        <f t="shared" ref="Q108:Q116" si="73">O108-L108</f>
        <v>-8.3745733948475163</v>
      </c>
      <c r="R108" s="105">
        <f t="shared" ref="R108:R116" si="74">O108/L108</f>
        <v>0.92079245842856672</v>
      </c>
      <c r="S108" s="646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33"/>
      <c r="AC108" s="633"/>
      <c r="AD108" s="107">
        <f>SUM(AD96:AD107)</f>
        <v>2</v>
      </c>
      <c r="AE108" s="107">
        <f>SUM(AE96:AE107)</f>
        <v>0</v>
      </c>
      <c r="AF108" s="54">
        <f t="shared" si="61"/>
        <v>-170.19966851990489</v>
      </c>
      <c r="AG108" s="464">
        <f t="shared" si="62"/>
        <v>0.88478892953879373</v>
      </c>
      <c r="AH108" s="654"/>
    </row>
    <row r="109" spans="1:34" ht="19.2" customHeight="1">
      <c r="A109" s="676" t="s">
        <v>177</v>
      </c>
      <c r="B109" s="462" t="s">
        <v>149</v>
      </c>
      <c r="C109" s="470"/>
      <c r="D109" s="409" t="s">
        <v>242</v>
      </c>
      <c r="E109" s="43"/>
      <c r="F109" s="361">
        <v>25.64</v>
      </c>
      <c r="G109" s="44">
        <v>694</v>
      </c>
      <c r="H109" s="45">
        <f t="shared" ref="H109:H119" si="75">F109*G109</f>
        <v>17794.16</v>
      </c>
      <c r="I109" s="462"/>
      <c r="J109" s="46">
        <v>10</v>
      </c>
      <c r="K109" s="44">
        <v>1500</v>
      </c>
      <c r="L109" s="47">
        <v>150</v>
      </c>
      <c r="M109" s="476">
        <v>10</v>
      </c>
      <c r="N109" s="44">
        <f t="shared" ref="N109:N116" si="76">G109/W109*60</f>
        <v>1387.9999999999977</v>
      </c>
      <c r="O109" s="47">
        <f t="shared" ref="O109:O116" si="77">N109/M109</f>
        <v>138.79999999999978</v>
      </c>
      <c r="P109" s="48">
        <f t="shared" si="72"/>
        <v>0</v>
      </c>
      <c r="Q109" s="49">
        <f t="shared" si="73"/>
        <v>-11.200000000000216</v>
      </c>
      <c r="R109" s="465">
        <f t="shared" si="74"/>
        <v>0.9253333333333319</v>
      </c>
      <c r="S109" s="679">
        <f>R121</f>
        <v>0.88116437430564676</v>
      </c>
      <c r="T109" s="230">
        <v>0.5</v>
      </c>
      <c r="U109" s="230">
        <v>0.52083333333333337</v>
      </c>
      <c r="V109" s="231">
        <v>5</v>
      </c>
      <c r="W109" s="475">
        <f t="shared" si="70"/>
        <v>30.000000000000053</v>
      </c>
      <c r="X109" s="53"/>
      <c r="Y109" s="53"/>
      <c r="Z109" s="54"/>
      <c r="AA109" s="54"/>
      <c r="AB109" s="633"/>
      <c r="AC109" s="633"/>
      <c r="AD109" s="463"/>
      <c r="AE109" s="463"/>
      <c r="AF109" s="48">
        <f t="shared" si="61"/>
        <v>-112.00000000000227</v>
      </c>
      <c r="AG109" s="126">
        <f t="shared" si="62"/>
        <v>0.92533333333333179</v>
      </c>
      <c r="AH109" s="654">
        <f>AG121</f>
        <v>0.88197793674576974</v>
      </c>
    </row>
    <row r="110" spans="1:34" ht="19.2" customHeight="1">
      <c r="A110" s="677"/>
      <c r="B110" s="462" t="s">
        <v>146</v>
      </c>
      <c r="C110" s="178"/>
      <c r="D110" s="42" t="s">
        <v>190</v>
      </c>
      <c r="E110" s="180"/>
      <c r="F110" s="361">
        <v>29.965493443754308</v>
      </c>
      <c r="G110" s="177">
        <v>2032</v>
      </c>
      <c r="H110" s="45">
        <f t="shared" si="75"/>
        <v>60889.882677708752</v>
      </c>
      <c r="I110" s="462"/>
      <c r="J110" s="46">
        <v>18</v>
      </c>
      <c r="K110" s="44">
        <v>1200</v>
      </c>
      <c r="L110" s="47">
        <v>66.666666666666671</v>
      </c>
      <c r="M110" s="476">
        <v>18</v>
      </c>
      <c r="N110" s="44">
        <f t="shared" si="76"/>
        <v>1108.3636363636356</v>
      </c>
      <c r="O110" s="47">
        <f t="shared" si="77"/>
        <v>61.575757575757535</v>
      </c>
      <c r="P110" s="48">
        <f t="shared" si="72"/>
        <v>0</v>
      </c>
      <c r="Q110" s="49">
        <f t="shared" si="73"/>
        <v>-5.0909090909091361</v>
      </c>
      <c r="R110" s="465">
        <f t="shared" si="74"/>
        <v>0.92363636363636292</v>
      </c>
      <c r="S110" s="680"/>
      <c r="T110" s="230">
        <v>0.53611111111111109</v>
      </c>
      <c r="U110" s="230">
        <v>0.61250000000000004</v>
      </c>
      <c r="V110" s="231">
        <v>22</v>
      </c>
      <c r="W110" s="475">
        <f t="shared" si="70"/>
        <v>110.00000000000009</v>
      </c>
      <c r="X110" s="191">
        <v>0.52569444444444446</v>
      </c>
      <c r="Y110" s="191">
        <v>0.53472222222222221</v>
      </c>
      <c r="Z110" s="54"/>
      <c r="AA110" s="54"/>
      <c r="AB110" s="633"/>
      <c r="AC110" s="633"/>
      <c r="AD110" s="463"/>
      <c r="AE110" s="463"/>
      <c r="AF110" s="48">
        <f t="shared" si="61"/>
        <v>-91.636363636364422</v>
      </c>
      <c r="AG110" s="126">
        <f t="shared" si="62"/>
        <v>0.92363636363636303</v>
      </c>
      <c r="AH110" s="654"/>
    </row>
    <row r="111" spans="1:34" ht="19.2" customHeight="1">
      <c r="A111" s="677"/>
      <c r="B111" s="462" t="s">
        <v>143</v>
      </c>
      <c r="C111" s="178"/>
      <c r="D111" s="179" t="s">
        <v>59</v>
      </c>
      <c r="E111" s="180"/>
      <c r="F111" s="361">
        <v>59.54</v>
      </c>
      <c r="G111" s="57">
        <v>1545</v>
      </c>
      <c r="H111" s="45">
        <f t="shared" si="75"/>
        <v>91989.3</v>
      </c>
      <c r="I111" s="46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1203.8961038961031</v>
      </c>
      <c r="O111" s="47">
        <f t="shared" si="77"/>
        <v>66.883116883116841</v>
      </c>
      <c r="P111" s="48">
        <f t="shared" si="72"/>
        <v>0</v>
      </c>
      <c r="Q111" s="49">
        <f t="shared" si="73"/>
        <v>-10.061327561327602</v>
      </c>
      <c r="R111" s="465">
        <f t="shared" si="74"/>
        <v>0.86923906418491204</v>
      </c>
      <c r="S111" s="680"/>
      <c r="T111" s="230">
        <v>0.6166666666666667</v>
      </c>
      <c r="U111" s="230">
        <v>0.67013888888888895</v>
      </c>
      <c r="V111" s="231">
        <v>6</v>
      </c>
      <c r="W111" s="475">
        <f t="shared" si="70"/>
        <v>77.000000000000043</v>
      </c>
      <c r="X111" s="53"/>
      <c r="Y111" s="53"/>
      <c r="Z111" s="54"/>
      <c r="AA111" s="54"/>
      <c r="AB111" s="633"/>
      <c r="AC111" s="633"/>
      <c r="AD111" s="463"/>
      <c r="AE111" s="463"/>
      <c r="AF111" s="48">
        <f t="shared" si="61"/>
        <v>-181.10389610389689</v>
      </c>
      <c r="AG111" s="126">
        <f t="shared" si="62"/>
        <v>0.86923906418491204</v>
      </c>
      <c r="AH111" s="654"/>
    </row>
    <row r="112" spans="1:34" ht="19.2" customHeight="1">
      <c r="A112" s="677"/>
      <c r="B112" s="462" t="s">
        <v>146</v>
      </c>
      <c r="C112" s="178"/>
      <c r="D112" s="179" t="s">
        <v>255</v>
      </c>
      <c r="E112" s="83"/>
      <c r="F112" s="361">
        <v>28.57</v>
      </c>
      <c r="G112" s="57">
        <v>2268</v>
      </c>
      <c r="H112" s="45">
        <f t="shared" si="75"/>
        <v>64796.76</v>
      </c>
      <c r="I112" s="463"/>
      <c r="J112" s="46">
        <v>12</v>
      </c>
      <c r="K112" s="44">
        <v>1500</v>
      </c>
      <c r="L112" s="47">
        <v>125</v>
      </c>
      <c r="M112" s="476">
        <v>12</v>
      </c>
      <c r="N112" s="44">
        <f t="shared" si="76"/>
        <v>1479.1304347826085</v>
      </c>
      <c r="O112" s="47">
        <f t="shared" si="77"/>
        <v>123.26086956521738</v>
      </c>
      <c r="P112" s="48">
        <f t="shared" si="72"/>
        <v>0</v>
      </c>
      <c r="Q112" s="49">
        <f t="shared" si="73"/>
        <v>-1.7391304347826235</v>
      </c>
      <c r="R112" s="465">
        <f t="shared" si="74"/>
        <v>0.98608695652173906</v>
      </c>
      <c r="S112" s="680"/>
      <c r="T112" s="230">
        <v>0.7104166666666667</v>
      </c>
      <c r="U112" s="230">
        <v>0.77430555555555558</v>
      </c>
      <c r="V112" s="231">
        <v>5</v>
      </c>
      <c r="W112" s="475">
        <f t="shared" si="70"/>
        <v>92</v>
      </c>
      <c r="X112" s="219"/>
      <c r="Y112" s="219"/>
      <c r="Z112" s="54"/>
      <c r="AA112" s="54"/>
      <c r="AB112" s="633"/>
      <c r="AC112" s="633"/>
      <c r="AD112" s="463">
        <v>1</v>
      </c>
      <c r="AE112" s="463"/>
      <c r="AF112" s="48">
        <f t="shared" si="61"/>
        <v>-20.869565217391482</v>
      </c>
      <c r="AG112" s="126">
        <f t="shared" si="62"/>
        <v>0.98608695652173906</v>
      </c>
      <c r="AH112" s="654"/>
    </row>
    <row r="113" spans="1:34" s="221" customFormat="1" ht="19.2" customHeight="1">
      <c r="A113" s="677"/>
      <c r="B113" s="462" t="s">
        <v>146</v>
      </c>
      <c r="C113" s="178"/>
      <c r="D113" s="179" t="s">
        <v>182</v>
      </c>
      <c r="E113" s="83"/>
      <c r="F113" s="361">
        <v>20.170000000000002</v>
      </c>
      <c r="G113" s="57">
        <v>113</v>
      </c>
      <c r="H113" s="45">
        <f t="shared" si="75"/>
        <v>2279.21</v>
      </c>
      <c r="I113" s="463"/>
      <c r="J113" s="46">
        <v>12</v>
      </c>
      <c r="K113" s="44">
        <v>1500</v>
      </c>
      <c r="L113" s="47">
        <v>125</v>
      </c>
      <c r="M113" s="473">
        <v>12</v>
      </c>
      <c r="N113" s="44">
        <f t="shared" si="76"/>
        <v>968.57142857143197</v>
      </c>
      <c r="O113" s="47">
        <f t="shared" si="77"/>
        <v>80.714285714285992</v>
      </c>
      <c r="P113" s="48">
        <f t="shared" si="72"/>
        <v>0</v>
      </c>
      <c r="Q113" s="49">
        <f t="shared" si="73"/>
        <v>-44.285714285714008</v>
      </c>
      <c r="R113" s="465">
        <f t="shared" si="74"/>
        <v>0.64571428571428791</v>
      </c>
      <c r="S113" s="680"/>
      <c r="T113" s="230">
        <v>0.77986111111111112</v>
      </c>
      <c r="U113" s="230">
        <v>0.78472222222222221</v>
      </c>
      <c r="V113" s="231">
        <v>5</v>
      </c>
      <c r="W113" s="475">
        <f t="shared" si="70"/>
        <v>6.9999999999999751</v>
      </c>
      <c r="X113" s="219"/>
      <c r="Y113" s="219"/>
      <c r="Z113" s="220"/>
      <c r="AA113" s="220"/>
      <c r="AB113" s="633"/>
      <c r="AC113" s="633"/>
      <c r="AD113" s="224">
        <v>1</v>
      </c>
      <c r="AE113" s="224"/>
      <c r="AF113" s="48">
        <f t="shared" si="61"/>
        <v>-531.42857142856803</v>
      </c>
      <c r="AG113" s="126">
        <f t="shared" si="62"/>
        <v>0.64571428571428802</v>
      </c>
      <c r="AH113" s="654"/>
    </row>
    <row r="114" spans="1:34" s="221" customFormat="1" ht="19.2" customHeight="1">
      <c r="A114" s="677"/>
      <c r="B114" s="462" t="s">
        <v>146</v>
      </c>
      <c r="C114" s="178"/>
      <c r="D114" s="179" t="s">
        <v>223</v>
      </c>
      <c r="E114" s="43"/>
      <c r="F114" s="361">
        <v>20.420000000000002</v>
      </c>
      <c r="G114" s="44">
        <v>779</v>
      </c>
      <c r="H114" s="45">
        <f t="shared" si="75"/>
        <v>15907.180000000002</v>
      </c>
      <c r="I114" s="463"/>
      <c r="J114" s="46">
        <v>12</v>
      </c>
      <c r="K114" s="44">
        <v>1500</v>
      </c>
      <c r="L114" s="47">
        <v>125</v>
      </c>
      <c r="M114" s="473">
        <v>12</v>
      </c>
      <c r="N114" s="44">
        <f t="shared" si="76"/>
        <v>1374.7058823529394</v>
      </c>
      <c r="O114" s="47">
        <f t="shared" si="77"/>
        <v>114.55882352941161</v>
      </c>
      <c r="P114" s="48">
        <f t="shared" si="72"/>
        <v>0</v>
      </c>
      <c r="Q114" s="49">
        <f t="shared" si="73"/>
        <v>-10.441176470588388</v>
      </c>
      <c r="R114" s="465">
        <f t="shared" si="74"/>
        <v>0.91647058823529293</v>
      </c>
      <c r="S114" s="680"/>
      <c r="T114" s="230">
        <v>0.78819444444444442</v>
      </c>
      <c r="U114" s="230">
        <v>0.81180555555555556</v>
      </c>
      <c r="V114" s="231">
        <v>5</v>
      </c>
      <c r="W114" s="475">
        <f t="shared" si="70"/>
        <v>34.000000000000043</v>
      </c>
      <c r="X114" s="219"/>
      <c r="Y114" s="219"/>
      <c r="Z114" s="220"/>
      <c r="AA114" s="220"/>
      <c r="AB114" s="633"/>
      <c r="AC114" s="633"/>
      <c r="AD114" s="224"/>
      <c r="AE114" s="224"/>
      <c r="AF114" s="48">
        <f t="shared" si="61"/>
        <v>-125.2941176470606</v>
      </c>
      <c r="AG114" s="126">
        <f t="shared" si="62"/>
        <v>0.91647058823529293</v>
      </c>
      <c r="AH114" s="654"/>
    </row>
    <row r="115" spans="1:34" s="221" customFormat="1" ht="19.2" customHeight="1">
      <c r="A115" s="677"/>
      <c r="B115" s="462" t="s">
        <v>147</v>
      </c>
      <c r="C115" s="178"/>
      <c r="D115" s="82" t="s">
        <v>249</v>
      </c>
      <c r="E115" s="83"/>
      <c r="F115" s="361">
        <v>38.39</v>
      </c>
      <c r="G115" s="233">
        <v>1431</v>
      </c>
      <c r="H115" s="45">
        <f t="shared" si="75"/>
        <v>54936.090000000004</v>
      </c>
      <c r="I115" s="463"/>
      <c r="J115" s="46">
        <v>16</v>
      </c>
      <c r="K115" s="44">
        <v>1440</v>
      </c>
      <c r="L115" s="47">
        <v>90</v>
      </c>
      <c r="M115" s="473">
        <v>16</v>
      </c>
      <c r="N115" s="44">
        <f t="shared" si="76"/>
        <v>1341.5625000000016</v>
      </c>
      <c r="O115" s="47">
        <f t="shared" si="77"/>
        <v>83.847656250000099</v>
      </c>
      <c r="P115" s="48">
        <f t="shared" si="72"/>
        <v>0</v>
      </c>
      <c r="Q115" s="49">
        <f t="shared" si="73"/>
        <v>-6.1523437499999005</v>
      </c>
      <c r="R115" s="465">
        <f t="shared" si="74"/>
        <v>0.93164062500000111</v>
      </c>
      <c r="S115" s="680"/>
      <c r="T115" s="230">
        <v>0.82777777777777772</v>
      </c>
      <c r="U115" s="230">
        <v>0.87222222222222212</v>
      </c>
      <c r="V115" s="231">
        <v>23</v>
      </c>
      <c r="W115" s="475">
        <f t="shared" si="70"/>
        <v>63.999999999999929</v>
      </c>
      <c r="X115" s="219">
        <v>0.81666666666666676</v>
      </c>
      <c r="Y115" s="219">
        <v>0.82638888888888884</v>
      </c>
      <c r="Z115" s="220"/>
      <c r="AA115" s="220"/>
      <c r="AB115" s="633"/>
      <c r="AC115" s="633"/>
      <c r="AD115" s="224"/>
      <c r="AE115" s="224"/>
      <c r="AF115" s="48">
        <f t="shared" si="61"/>
        <v>-98.437499999998408</v>
      </c>
      <c r="AG115" s="126">
        <f t="shared" si="62"/>
        <v>0.93164062500000111</v>
      </c>
      <c r="AH115" s="654"/>
    </row>
    <row r="116" spans="1:34" s="221" customFormat="1" ht="19.2" customHeight="1">
      <c r="A116" s="677"/>
      <c r="B116" s="462" t="s">
        <v>147</v>
      </c>
      <c r="C116" s="55"/>
      <c r="D116" s="82" t="s">
        <v>251</v>
      </c>
      <c r="E116" s="83"/>
      <c r="F116" s="361">
        <v>52.86</v>
      </c>
      <c r="G116" s="233">
        <v>1414</v>
      </c>
      <c r="H116" s="45">
        <f t="shared" si="75"/>
        <v>74744.039999999994</v>
      </c>
      <c r="I116" s="463"/>
      <c r="J116" s="46">
        <v>18</v>
      </c>
      <c r="K116" s="44">
        <v>1440</v>
      </c>
      <c r="L116" s="47">
        <v>80</v>
      </c>
      <c r="M116" s="473">
        <v>18</v>
      </c>
      <c r="N116" s="44">
        <f t="shared" si="76"/>
        <v>1247.6470588235311</v>
      </c>
      <c r="O116" s="47">
        <f t="shared" si="77"/>
        <v>69.313725490196177</v>
      </c>
      <c r="P116" s="48">
        <f t="shared" si="72"/>
        <v>0</v>
      </c>
      <c r="Q116" s="49">
        <f t="shared" si="73"/>
        <v>-10.686274509803823</v>
      </c>
      <c r="R116" s="465">
        <f t="shared" si="74"/>
        <v>0.86642156862745223</v>
      </c>
      <c r="S116" s="680"/>
      <c r="T116" s="230">
        <v>0.87777777777777766</v>
      </c>
      <c r="U116" s="230">
        <v>0.92499999999999982</v>
      </c>
      <c r="V116" s="231">
        <v>8</v>
      </c>
      <c r="W116" s="475">
        <f t="shared" si="70"/>
        <v>67.999999999999915</v>
      </c>
      <c r="X116" s="219"/>
      <c r="Y116" s="219"/>
      <c r="Z116" s="220"/>
      <c r="AA116" s="220"/>
      <c r="AB116" s="633"/>
      <c r="AC116" s="633"/>
      <c r="AD116" s="224"/>
      <c r="AE116" s="224"/>
      <c r="AF116" s="48">
        <f t="shared" si="61"/>
        <v>-192.3529411764689</v>
      </c>
      <c r="AG116" s="126">
        <f t="shared" si="62"/>
        <v>0.86642156862745212</v>
      </c>
      <c r="AH116" s="654"/>
    </row>
    <row r="117" spans="1:34" s="221" customFormat="1" ht="19.2" customHeight="1">
      <c r="A117" s="677"/>
      <c r="B117" s="462">
        <v>0</v>
      </c>
      <c r="C117" s="55"/>
      <c r="D117" s="82"/>
      <c r="E117" s="83"/>
      <c r="F117" s="361" t="s">
        <v>148</v>
      </c>
      <c r="G117" s="233"/>
      <c r="H117" s="45">
        <f t="shared" si="75"/>
        <v>0</v>
      </c>
      <c r="I117" s="463"/>
      <c r="J117" s="46"/>
      <c r="K117" s="44"/>
      <c r="L117" s="47"/>
      <c r="M117" s="473"/>
      <c r="N117" s="44"/>
      <c r="O117" s="47"/>
      <c r="P117" s="48"/>
      <c r="Q117" s="49"/>
      <c r="R117" s="465"/>
      <c r="S117" s="680"/>
      <c r="T117" s="230"/>
      <c r="U117" s="230"/>
      <c r="V117" s="231"/>
      <c r="W117" s="475">
        <f t="shared" si="70"/>
        <v>0</v>
      </c>
      <c r="X117" s="219"/>
      <c r="Y117" s="219"/>
      <c r="Z117" s="220"/>
      <c r="AA117" s="220"/>
      <c r="AB117" s="633"/>
      <c r="AC117" s="633"/>
      <c r="AD117" s="224"/>
      <c r="AE117" s="224"/>
      <c r="AF117" s="48">
        <f t="shared" si="61"/>
        <v>0</v>
      </c>
      <c r="AG117" s="126" t="e">
        <f t="shared" si="62"/>
        <v>#DIV/0!</v>
      </c>
      <c r="AH117" s="654"/>
    </row>
    <row r="118" spans="1:34" s="221" customFormat="1" ht="19.2" customHeight="1">
      <c r="A118" s="677"/>
      <c r="B118" s="462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463"/>
      <c r="J118" s="46"/>
      <c r="K118" s="44"/>
      <c r="L118" s="47"/>
      <c r="M118" s="473"/>
      <c r="N118" s="44"/>
      <c r="O118" s="47"/>
      <c r="P118" s="48"/>
      <c r="Q118" s="49"/>
      <c r="R118" s="465"/>
      <c r="S118" s="680"/>
      <c r="T118" s="230"/>
      <c r="U118" s="230"/>
      <c r="V118" s="231"/>
      <c r="W118" s="475">
        <f t="shared" si="70"/>
        <v>0</v>
      </c>
      <c r="X118" s="219"/>
      <c r="Y118" s="219"/>
      <c r="Z118" s="220"/>
      <c r="AA118" s="220"/>
      <c r="AB118" s="633"/>
      <c r="AC118" s="633"/>
      <c r="AD118" s="224"/>
      <c r="AE118" s="224"/>
      <c r="AF118" s="48">
        <f t="shared" si="61"/>
        <v>0</v>
      </c>
      <c r="AG118" s="126" t="e">
        <f t="shared" si="62"/>
        <v>#DIV/0!</v>
      </c>
      <c r="AH118" s="654"/>
    </row>
    <row r="119" spans="1:34" s="221" customFormat="1" ht="19.2" customHeight="1">
      <c r="A119" s="677"/>
      <c r="B119" s="462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463"/>
      <c r="J119" s="181"/>
      <c r="K119" s="235"/>
      <c r="L119" s="47"/>
      <c r="M119" s="473"/>
      <c r="N119" s="182"/>
      <c r="O119" s="228"/>
      <c r="P119" s="168"/>
      <c r="Q119" s="49"/>
      <c r="R119" s="465"/>
      <c r="S119" s="680"/>
      <c r="T119" s="230"/>
      <c r="U119" s="230"/>
      <c r="V119" s="231"/>
      <c r="W119" s="475"/>
      <c r="X119" s="219"/>
      <c r="Y119" s="219"/>
      <c r="Z119" s="220"/>
      <c r="AA119" s="220"/>
      <c r="AB119" s="633"/>
      <c r="AC119" s="633"/>
      <c r="AD119" s="224"/>
      <c r="AE119" s="224"/>
      <c r="AF119" s="48">
        <f t="shared" si="61"/>
        <v>0</v>
      </c>
      <c r="AG119" s="126" t="e">
        <f t="shared" si="62"/>
        <v>#DIV/0!</v>
      </c>
      <c r="AH119" s="654"/>
    </row>
    <row r="120" spans="1:34" s="221" customFormat="1" ht="19.2" customHeight="1">
      <c r="A120" s="677"/>
      <c r="B120" s="462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463"/>
      <c r="J120" s="181"/>
      <c r="K120" s="235"/>
      <c r="L120" s="47"/>
      <c r="M120" s="473"/>
      <c r="N120" s="182"/>
      <c r="O120" s="228"/>
      <c r="P120" s="168"/>
      <c r="Q120" s="49"/>
      <c r="R120" s="465"/>
      <c r="S120" s="680"/>
      <c r="T120" s="230"/>
      <c r="U120" s="230"/>
      <c r="V120" s="231"/>
      <c r="W120" s="475">
        <f t="shared" si="70"/>
        <v>0</v>
      </c>
      <c r="X120" s="219"/>
      <c r="Y120" s="219"/>
      <c r="Z120" s="220"/>
      <c r="AA120" s="220"/>
      <c r="AB120" s="633"/>
      <c r="AC120" s="633"/>
      <c r="AD120" s="224"/>
      <c r="AE120" s="224"/>
      <c r="AF120" s="48">
        <f t="shared" si="61"/>
        <v>0</v>
      </c>
      <c r="AG120" s="126" t="e">
        <f t="shared" si="62"/>
        <v>#DIV/0!</v>
      </c>
      <c r="AH120" s="654"/>
    </row>
    <row r="121" spans="1:34" ht="19.2" customHeight="1">
      <c r="A121" s="678"/>
      <c r="B121" s="122">
        <v>0</v>
      </c>
      <c r="C121" s="100" t="s">
        <v>309</v>
      </c>
      <c r="D121" s="236" t="s">
        <v>120</v>
      </c>
      <c r="E121" s="237"/>
      <c r="F121" s="370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J121:O121" si="78">AVERAGE(M109:M120)</f>
        <v>14.5</v>
      </c>
      <c r="N121" s="205">
        <f t="shared" si="78"/>
        <v>1263.9846305987812</v>
      </c>
      <c r="O121" s="206">
        <f t="shared" si="78"/>
        <v>92.369279375998175</v>
      </c>
      <c r="P121" s="48">
        <f t="shared" ref="P121:P129" si="79">M121-J121</f>
        <v>0</v>
      </c>
      <c r="Q121" s="49">
        <f t="shared" ref="Q121:Q129" si="80">O121-L121</f>
        <v>-12.45710951289071</v>
      </c>
      <c r="R121" s="175">
        <f t="shared" ref="R121:R129" si="81">O121/L121</f>
        <v>0.88116437430564676</v>
      </c>
      <c r="S121" s="659"/>
      <c r="T121" s="50"/>
      <c r="U121" s="50"/>
      <c r="V121" s="44"/>
      <c r="W121" s="47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33"/>
      <c r="AC121" s="633"/>
      <c r="AD121" s="107">
        <f>SUM(AD109:AD120)</f>
        <v>2</v>
      </c>
      <c r="AE121" s="107">
        <f>SUM(AE109:AE120)</f>
        <v>0</v>
      </c>
      <c r="AF121" s="48">
        <f>N121-K121</f>
        <v>-169.14036940121878</v>
      </c>
      <c r="AG121" s="126">
        <f>N121/K121</f>
        <v>0.88197793674576974</v>
      </c>
      <c r="AH121" s="654"/>
    </row>
    <row r="122" spans="1:34" ht="19.2" customHeight="1">
      <c r="A122" s="681" t="s">
        <v>310</v>
      </c>
      <c r="B122" s="131" t="s">
        <v>147</v>
      </c>
      <c r="C122" s="166"/>
      <c r="D122" s="179" t="s">
        <v>81</v>
      </c>
      <c r="E122" s="43"/>
      <c r="F122" s="361">
        <v>56.43</v>
      </c>
      <c r="G122" s="44">
        <v>986</v>
      </c>
      <c r="H122" s="45">
        <f t="shared" ref="H122:H132" si="82">F122*G122</f>
        <v>55639.98</v>
      </c>
      <c r="I122" s="462"/>
      <c r="J122" s="46">
        <v>18</v>
      </c>
      <c r="K122" s="44">
        <v>1500</v>
      </c>
      <c r="L122" s="47">
        <v>83.333333333333329</v>
      </c>
      <c r="M122" s="476">
        <v>18</v>
      </c>
      <c r="N122" s="177">
        <f t="shared" ref="N122:N129" si="83">G122/W122*60</f>
        <v>1344.5454545454545</v>
      </c>
      <c r="O122" s="241">
        <f t="shared" ref="O122:O129" si="84">N122/M122</f>
        <v>74.696969696969688</v>
      </c>
      <c r="P122" s="108">
        <f t="shared" si="79"/>
        <v>0</v>
      </c>
      <c r="Q122" s="185">
        <f t="shared" si="80"/>
        <v>-8.6363636363636402</v>
      </c>
      <c r="R122" s="109">
        <f t="shared" si="81"/>
        <v>0.89636363636363636</v>
      </c>
      <c r="S122" s="645">
        <f>R134</f>
        <v>0.91618280811521002</v>
      </c>
      <c r="T122" s="50">
        <v>0.5</v>
      </c>
      <c r="U122" s="50">
        <v>0.53055555555555556</v>
      </c>
      <c r="V122" s="231">
        <v>5</v>
      </c>
      <c r="W122" s="475">
        <f t="shared" si="70"/>
        <v>44</v>
      </c>
      <c r="X122" s="53"/>
      <c r="Y122" s="53"/>
      <c r="Z122" s="54"/>
      <c r="AA122" s="54"/>
      <c r="AB122" s="633"/>
      <c r="AC122" s="633"/>
      <c r="AD122" s="463"/>
      <c r="AE122" s="463"/>
      <c r="AF122" s="48">
        <f t="shared" si="61"/>
        <v>-155.4545454545455</v>
      </c>
      <c r="AG122" s="465">
        <f t="shared" si="62"/>
        <v>0.89636363636363636</v>
      </c>
      <c r="AH122" s="659">
        <f>AG134</f>
        <v>0.91705752354651193</v>
      </c>
    </row>
    <row r="123" spans="1:34" ht="19.2" customHeight="1">
      <c r="A123" s="681"/>
      <c r="B123" s="131" t="s">
        <v>143</v>
      </c>
      <c r="C123" s="97"/>
      <c r="D123" s="42" t="s">
        <v>87</v>
      </c>
      <c r="E123" s="180"/>
      <c r="F123" s="361">
        <v>58.67</v>
      </c>
      <c r="G123" s="44">
        <v>1905</v>
      </c>
      <c r="H123" s="45">
        <f t="shared" si="82"/>
        <v>111766.35</v>
      </c>
      <c r="I123" s="463"/>
      <c r="J123" s="87">
        <v>19</v>
      </c>
      <c r="K123" s="57">
        <v>1440</v>
      </c>
      <c r="L123" s="86">
        <v>75.78947368421052</v>
      </c>
      <c r="M123" s="473">
        <v>19</v>
      </c>
      <c r="N123" s="57">
        <f t="shared" si="83"/>
        <v>1344.705882352941</v>
      </c>
      <c r="O123" s="86">
        <f t="shared" si="84"/>
        <v>70.773993808049525</v>
      </c>
      <c r="P123" s="54">
        <f t="shared" si="79"/>
        <v>0</v>
      </c>
      <c r="Q123" s="88">
        <f t="shared" si="80"/>
        <v>-5.0154798761609953</v>
      </c>
      <c r="R123" s="464">
        <f t="shared" si="81"/>
        <v>0.93382352941176461</v>
      </c>
      <c r="S123" s="645"/>
      <c r="T123" s="50">
        <v>0.53541666666666665</v>
      </c>
      <c r="U123" s="50">
        <v>0.59444444444444444</v>
      </c>
      <c r="V123" s="231">
        <v>7</v>
      </c>
      <c r="W123" s="475">
        <f t="shared" si="70"/>
        <v>85.000000000000014</v>
      </c>
      <c r="X123" s="53"/>
      <c r="Y123" s="53"/>
      <c r="Z123" s="54"/>
      <c r="AA123" s="54"/>
      <c r="AB123" s="633"/>
      <c r="AC123" s="633"/>
      <c r="AD123" s="463"/>
      <c r="AE123" s="463"/>
      <c r="AF123" s="48">
        <f t="shared" si="61"/>
        <v>-95.294117647059011</v>
      </c>
      <c r="AG123" s="465">
        <f t="shared" si="62"/>
        <v>0.93382352941176461</v>
      </c>
      <c r="AH123" s="645"/>
    </row>
    <row r="124" spans="1:34" ht="19.2" customHeight="1">
      <c r="A124" s="681"/>
      <c r="B124" s="131" t="s">
        <v>143</v>
      </c>
      <c r="C124" s="178"/>
      <c r="D124" s="179" t="s">
        <v>86</v>
      </c>
      <c r="E124" s="180"/>
      <c r="F124" s="361">
        <v>59.52</v>
      </c>
      <c r="G124" s="177">
        <v>2544</v>
      </c>
      <c r="H124" s="45">
        <f t="shared" si="82"/>
        <v>151418.88</v>
      </c>
      <c r="I124" s="242"/>
      <c r="J124" s="87">
        <v>21</v>
      </c>
      <c r="K124" s="57">
        <v>1385</v>
      </c>
      <c r="L124" s="86">
        <v>65.952380952380949</v>
      </c>
      <c r="M124" s="476">
        <v>21</v>
      </c>
      <c r="N124" s="177">
        <f t="shared" si="83"/>
        <v>1304.6153846153841</v>
      </c>
      <c r="O124" s="241">
        <f t="shared" si="84"/>
        <v>62.124542124542096</v>
      </c>
      <c r="P124" s="108">
        <f t="shared" si="79"/>
        <v>0</v>
      </c>
      <c r="Q124" s="185">
        <f t="shared" si="80"/>
        <v>-3.8278388278388533</v>
      </c>
      <c r="R124" s="109">
        <f t="shared" si="81"/>
        <v>0.9419605665093026</v>
      </c>
      <c r="S124" s="682"/>
      <c r="T124" s="50">
        <v>0.60972222222222217</v>
      </c>
      <c r="U124" s="50">
        <v>0.69097222222222221</v>
      </c>
      <c r="V124" s="231">
        <v>22</v>
      </c>
      <c r="W124" s="475">
        <f t="shared" si="70"/>
        <v>117.00000000000006</v>
      </c>
      <c r="X124" s="191">
        <v>0.59791666666666665</v>
      </c>
      <c r="Y124" s="191">
        <v>0.6069444444444444</v>
      </c>
      <c r="Z124" s="54"/>
      <c r="AA124" s="54"/>
      <c r="AB124" s="633"/>
      <c r="AC124" s="633"/>
      <c r="AD124" s="463"/>
      <c r="AE124" s="463"/>
      <c r="AF124" s="108">
        <f t="shared" si="61"/>
        <v>-80.384615384615927</v>
      </c>
      <c r="AG124" s="109">
        <f t="shared" si="62"/>
        <v>0.9419605665093026</v>
      </c>
      <c r="AH124" s="645"/>
    </row>
    <row r="125" spans="1:34" ht="19.2" customHeight="1">
      <c r="A125" s="681"/>
      <c r="B125" s="131" t="s">
        <v>147</v>
      </c>
      <c r="C125" s="97"/>
      <c r="D125" s="42" t="s">
        <v>88</v>
      </c>
      <c r="E125" s="43"/>
      <c r="F125" s="361">
        <v>56.79</v>
      </c>
      <c r="G125" s="44">
        <v>1494</v>
      </c>
      <c r="H125" s="45">
        <f t="shared" si="82"/>
        <v>84844.26</v>
      </c>
      <c r="I125" s="462"/>
      <c r="J125" s="87">
        <v>18</v>
      </c>
      <c r="K125" s="57">
        <v>1636</v>
      </c>
      <c r="L125" s="86">
        <v>90.888888888888886</v>
      </c>
      <c r="M125" s="476">
        <v>18</v>
      </c>
      <c r="N125" s="57">
        <f t="shared" si="83"/>
        <v>1469.5081967213127</v>
      </c>
      <c r="O125" s="86">
        <f t="shared" si="84"/>
        <v>81.639344262295154</v>
      </c>
      <c r="P125" s="54">
        <f t="shared" si="79"/>
        <v>0</v>
      </c>
      <c r="Q125" s="88">
        <f t="shared" si="80"/>
        <v>-9.2495446265937318</v>
      </c>
      <c r="R125" s="464">
        <f t="shared" si="81"/>
        <v>0.89823239408393207</v>
      </c>
      <c r="S125" s="682"/>
      <c r="T125" s="50">
        <v>0.73124999999999996</v>
      </c>
      <c r="U125" s="50">
        <v>0.77361111111111103</v>
      </c>
      <c r="V125" s="231">
        <v>5</v>
      </c>
      <c r="W125" s="475">
        <f t="shared" si="70"/>
        <v>60.999999999999943</v>
      </c>
      <c r="X125" s="64"/>
      <c r="Y125" s="64"/>
      <c r="Z125" s="54"/>
      <c r="AA125" s="54"/>
      <c r="AB125" s="633"/>
      <c r="AC125" s="633"/>
      <c r="AD125" s="463"/>
      <c r="AE125" s="463"/>
      <c r="AF125" s="48">
        <f t="shared" si="61"/>
        <v>-166.49180327868726</v>
      </c>
      <c r="AG125" s="465">
        <f t="shared" si="62"/>
        <v>0.89823239408393196</v>
      </c>
      <c r="AH125" s="646"/>
    </row>
    <row r="126" spans="1:34" ht="19.2" customHeight="1">
      <c r="A126" s="681"/>
      <c r="B126" s="131" t="s">
        <v>147</v>
      </c>
      <c r="C126" s="463"/>
      <c r="D126" s="413" t="s">
        <v>89</v>
      </c>
      <c r="E126" s="180"/>
      <c r="F126" s="361">
        <v>56.87</v>
      </c>
      <c r="G126" s="57">
        <v>1121</v>
      </c>
      <c r="H126" s="45">
        <f t="shared" si="82"/>
        <v>63751.27</v>
      </c>
      <c r="I126" s="463"/>
      <c r="J126" s="87">
        <v>18</v>
      </c>
      <c r="K126" s="57">
        <v>1636</v>
      </c>
      <c r="L126" s="86">
        <v>90.888888888888886</v>
      </c>
      <c r="M126" s="473">
        <v>18</v>
      </c>
      <c r="N126" s="57">
        <f t="shared" si="83"/>
        <v>1462.1739130434783</v>
      </c>
      <c r="O126" s="86">
        <f t="shared" si="84"/>
        <v>81.231884057971016</v>
      </c>
      <c r="P126" s="54">
        <f t="shared" si="79"/>
        <v>0</v>
      </c>
      <c r="Q126" s="88">
        <f t="shared" si="80"/>
        <v>-9.6570048309178702</v>
      </c>
      <c r="R126" s="464">
        <f t="shared" si="81"/>
        <v>0.89374933560114811</v>
      </c>
      <c r="S126" s="682"/>
      <c r="T126" s="50">
        <v>0.77847222222222212</v>
      </c>
      <c r="U126" s="50">
        <v>0.81041666666666656</v>
      </c>
      <c r="V126" s="231">
        <v>7</v>
      </c>
      <c r="W126" s="475">
        <f t="shared" si="70"/>
        <v>46</v>
      </c>
      <c r="X126" s="64"/>
      <c r="Y126" s="64"/>
      <c r="Z126" s="54"/>
      <c r="AA126" s="54"/>
      <c r="AB126" s="633"/>
      <c r="AC126" s="633"/>
      <c r="AD126" s="463"/>
      <c r="AE126" s="463"/>
      <c r="AF126" s="108">
        <f t="shared" si="61"/>
        <v>-173.82608695652175</v>
      </c>
      <c r="AG126" s="109">
        <f t="shared" si="62"/>
        <v>0.89374933560114811</v>
      </c>
      <c r="AH126" s="646"/>
    </row>
    <row r="127" spans="1:34" ht="19.2" customHeight="1">
      <c r="A127" s="681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973</v>
      </c>
      <c r="H127" s="45">
        <f t="shared" si="82"/>
        <v>52629.57</v>
      </c>
      <c r="I127" s="224"/>
      <c r="J127" s="87">
        <v>17</v>
      </c>
      <c r="K127" s="57">
        <v>1565</v>
      </c>
      <c r="L127" s="86">
        <v>92.058823529411768</v>
      </c>
      <c r="M127" s="476">
        <v>17</v>
      </c>
      <c r="N127" s="177">
        <f t="shared" si="83"/>
        <v>1389.9999999999995</v>
      </c>
      <c r="O127" s="241">
        <f t="shared" si="84"/>
        <v>81.764705882352914</v>
      </c>
      <c r="P127" s="108">
        <f t="shared" si="79"/>
        <v>0</v>
      </c>
      <c r="Q127" s="185">
        <f t="shared" si="80"/>
        <v>-10.294117647058854</v>
      </c>
      <c r="R127" s="109">
        <f t="shared" si="81"/>
        <v>0.88817891373801883</v>
      </c>
      <c r="S127" s="682"/>
      <c r="T127" s="50">
        <v>0.81388888888888877</v>
      </c>
      <c r="U127" s="50">
        <v>0.84305555555555545</v>
      </c>
      <c r="V127" s="462">
        <v>5</v>
      </c>
      <c r="W127" s="475">
        <f t="shared" si="70"/>
        <v>42.000000000000014</v>
      </c>
      <c r="X127" s="64"/>
      <c r="Y127" s="64"/>
      <c r="Z127" s="54"/>
      <c r="AA127" s="54"/>
      <c r="AB127" s="633"/>
      <c r="AC127" s="633"/>
      <c r="AD127" s="463"/>
      <c r="AE127" s="463"/>
      <c r="AF127" s="108">
        <f t="shared" si="61"/>
        <v>-175.00000000000045</v>
      </c>
      <c r="AG127" s="109">
        <f t="shared" si="62"/>
        <v>0.88817891373801883</v>
      </c>
      <c r="AH127" s="646"/>
    </row>
    <row r="128" spans="1:34" ht="19.2" customHeight="1">
      <c r="A128" s="681"/>
      <c r="B128" s="131" t="s">
        <v>147</v>
      </c>
      <c r="C128" s="160"/>
      <c r="D128" s="59" t="s">
        <v>91</v>
      </c>
      <c r="E128" s="83"/>
      <c r="F128" s="361">
        <v>47.6</v>
      </c>
      <c r="G128" s="57">
        <v>1574</v>
      </c>
      <c r="H128" s="45">
        <f t="shared" si="82"/>
        <v>74922.400000000009</v>
      </c>
      <c r="I128" s="46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1349.1428571428557</v>
      </c>
      <c r="O128" s="86">
        <f t="shared" si="84"/>
        <v>71.007518796992414</v>
      </c>
      <c r="P128" s="54">
        <f t="shared" si="79"/>
        <v>0</v>
      </c>
      <c r="Q128" s="88">
        <f t="shared" si="80"/>
        <v>-4.7819548872181059</v>
      </c>
      <c r="R128" s="464">
        <f t="shared" si="81"/>
        <v>0.93690476190476113</v>
      </c>
      <c r="S128" s="682"/>
      <c r="T128" s="50">
        <v>0.84861111111111098</v>
      </c>
      <c r="U128" s="50">
        <v>0.89722222222222214</v>
      </c>
      <c r="V128" s="462">
        <v>8</v>
      </c>
      <c r="W128" s="475">
        <f t="shared" si="70"/>
        <v>70.000000000000071</v>
      </c>
      <c r="X128" s="64"/>
      <c r="Y128" s="64"/>
      <c r="Z128" s="54"/>
      <c r="AA128" s="54"/>
      <c r="AB128" s="633"/>
      <c r="AC128" s="633"/>
      <c r="AD128" s="463"/>
      <c r="AE128" s="463"/>
      <c r="AF128" s="48">
        <f t="shared" si="61"/>
        <v>-90.857142857144254</v>
      </c>
      <c r="AG128" s="465">
        <f t="shared" si="62"/>
        <v>0.93690476190476091</v>
      </c>
      <c r="AH128" s="646"/>
    </row>
    <row r="129" spans="1:34" ht="19.2" customHeight="1">
      <c r="A129" s="681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1553</v>
      </c>
      <c r="H129" s="45">
        <f t="shared" si="82"/>
        <v>78690.510000000009</v>
      </c>
      <c r="I129" s="463"/>
      <c r="J129" s="87">
        <v>18</v>
      </c>
      <c r="K129" s="57">
        <v>1500</v>
      </c>
      <c r="L129" s="86">
        <v>83.333333333333329</v>
      </c>
      <c r="M129" s="473">
        <v>18</v>
      </c>
      <c r="N129" s="57">
        <f t="shared" si="83"/>
        <v>1433.538461538463</v>
      </c>
      <c r="O129" s="86">
        <f t="shared" si="84"/>
        <v>79.64102564102572</v>
      </c>
      <c r="P129" s="54">
        <f t="shared" si="79"/>
        <v>0</v>
      </c>
      <c r="Q129" s="88">
        <f t="shared" si="80"/>
        <v>-3.6923076923076081</v>
      </c>
      <c r="R129" s="464">
        <f t="shared" si="81"/>
        <v>0.95569230769230873</v>
      </c>
      <c r="S129" s="682"/>
      <c r="T129" s="50">
        <v>0.91319444444444442</v>
      </c>
      <c r="U129" s="50">
        <v>0.95833333333333326</v>
      </c>
      <c r="V129" s="462">
        <v>23</v>
      </c>
      <c r="W129" s="475">
        <f t="shared" si="70"/>
        <v>64.999999999999929</v>
      </c>
      <c r="X129" s="64">
        <v>0.90069444444444446</v>
      </c>
      <c r="Y129" s="64">
        <v>0.91041666666666676</v>
      </c>
      <c r="Z129" s="54"/>
      <c r="AA129" s="54"/>
      <c r="AB129" s="633"/>
      <c r="AC129" s="633"/>
      <c r="AD129" s="463"/>
      <c r="AE129" s="463"/>
      <c r="AF129" s="108">
        <f t="shared" si="61"/>
        <v>-66.461538461536975</v>
      </c>
      <c r="AG129" s="109">
        <f t="shared" si="62"/>
        <v>0.95569230769230873</v>
      </c>
      <c r="AH129" s="646"/>
    </row>
    <row r="130" spans="1:34" ht="19.2" customHeight="1">
      <c r="A130" s="681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463"/>
      <c r="J130" s="87"/>
      <c r="K130" s="57"/>
      <c r="L130" s="86"/>
      <c r="M130" s="473"/>
      <c r="N130" s="177"/>
      <c r="O130" s="241"/>
      <c r="P130" s="108"/>
      <c r="Q130" s="185"/>
      <c r="R130" s="109"/>
      <c r="S130" s="682"/>
      <c r="T130" s="50"/>
      <c r="U130" s="50"/>
      <c r="V130" s="462"/>
      <c r="W130" s="475">
        <f t="shared" si="70"/>
        <v>0</v>
      </c>
      <c r="X130" s="64"/>
      <c r="Y130" s="64"/>
      <c r="Z130" s="54"/>
      <c r="AA130" s="54"/>
      <c r="AB130" s="633"/>
      <c r="AC130" s="633"/>
      <c r="AD130" s="463"/>
      <c r="AE130" s="463"/>
      <c r="AF130" s="108">
        <f t="shared" si="61"/>
        <v>0</v>
      </c>
      <c r="AG130" s="109" t="e">
        <f t="shared" si="62"/>
        <v>#DIV/0!</v>
      </c>
      <c r="AH130" s="646"/>
    </row>
    <row r="131" spans="1:34" ht="19.2" customHeight="1">
      <c r="A131" s="681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64"/>
      <c r="S131" s="682"/>
      <c r="T131" s="50"/>
      <c r="U131" s="50"/>
      <c r="V131" s="462"/>
      <c r="W131" s="475">
        <f t="shared" si="70"/>
        <v>0</v>
      </c>
      <c r="X131" s="64"/>
      <c r="Y131" s="64"/>
      <c r="Z131" s="54"/>
      <c r="AA131" s="54"/>
      <c r="AB131" s="633"/>
      <c r="AC131" s="633"/>
      <c r="AD131" s="463"/>
      <c r="AE131" s="463"/>
      <c r="AF131" s="48">
        <f t="shared" si="61"/>
        <v>0</v>
      </c>
      <c r="AG131" s="465" t="e">
        <f t="shared" si="62"/>
        <v>#DIV/0!</v>
      </c>
      <c r="AH131" s="646"/>
    </row>
    <row r="132" spans="1:34" ht="19.2" customHeight="1">
      <c r="A132" s="681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463"/>
      <c r="J132" s="87"/>
      <c r="K132" s="57"/>
      <c r="L132" s="86"/>
      <c r="M132" s="473"/>
      <c r="N132" s="57"/>
      <c r="O132" s="86"/>
      <c r="P132" s="54"/>
      <c r="Q132" s="88"/>
      <c r="R132" s="464"/>
      <c r="S132" s="682"/>
      <c r="T132" s="50"/>
      <c r="U132" s="50"/>
      <c r="V132" s="462"/>
      <c r="W132" s="475">
        <f t="shared" si="70"/>
        <v>0</v>
      </c>
      <c r="X132" s="64"/>
      <c r="Y132" s="64"/>
      <c r="Z132" s="54"/>
      <c r="AA132" s="54"/>
      <c r="AB132" s="633"/>
      <c r="AC132" s="633"/>
      <c r="AD132" s="463"/>
      <c r="AE132" s="463"/>
      <c r="AF132" s="65"/>
      <c r="AG132" s="468"/>
      <c r="AH132" s="646"/>
    </row>
    <row r="133" spans="1:34" ht="19.2" customHeight="1">
      <c r="A133" s="681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463"/>
      <c r="J133" s="87"/>
      <c r="K133" s="57"/>
      <c r="L133" s="86"/>
      <c r="M133" s="473"/>
      <c r="N133" s="57"/>
      <c r="O133" s="86"/>
      <c r="P133" s="54"/>
      <c r="Q133" s="88"/>
      <c r="R133" s="464"/>
      <c r="S133" s="682"/>
      <c r="T133" s="50"/>
      <c r="U133" s="50"/>
      <c r="V133" s="462"/>
      <c r="W133" s="243">
        <f t="shared" si="70"/>
        <v>0</v>
      </c>
      <c r="X133" s="64"/>
      <c r="Y133" s="64"/>
      <c r="Z133" s="54"/>
      <c r="AA133" s="54"/>
      <c r="AB133" s="633"/>
      <c r="AC133" s="633"/>
      <c r="AD133" s="463"/>
      <c r="AE133" s="463"/>
      <c r="AF133" s="65"/>
      <c r="AG133" s="468"/>
      <c r="AH133" s="646"/>
    </row>
    <row r="134" spans="1:34" ht="19.2" customHeight="1">
      <c r="A134" s="681"/>
      <c r="B134" s="171">
        <v>0</v>
      </c>
      <c r="C134" s="100" t="s">
        <v>311</v>
      </c>
      <c r="D134" s="660" t="s">
        <v>120</v>
      </c>
      <c r="E134" s="660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J134:O134" si="85">AVERAGE(M122:M133)</f>
        <v>18.5</v>
      </c>
      <c r="N134" s="246">
        <f t="shared" si="85"/>
        <v>1387.2787687449859</v>
      </c>
      <c r="O134" s="247">
        <f t="shared" si="85"/>
        <v>75.359998033774815</v>
      </c>
      <c r="P134" s="51">
        <f t="shared" ref="P134:P144" si="86">M134-J134</f>
        <v>0</v>
      </c>
      <c r="Q134" s="142">
        <f t="shared" ref="Q134:Q144" si="87">O134-L134</f>
        <v>-6.8943265030574565</v>
      </c>
      <c r="R134" s="248">
        <f t="shared" ref="R134:R144" si="88">O134/L134</f>
        <v>0.91618280811521002</v>
      </c>
      <c r="S134" s="645"/>
      <c r="T134" s="50"/>
      <c r="U134" s="50"/>
      <c r="V134" s="462"/>
      <c r="W134" s="462"/>
      <c r="X134" s="53"/>
      <c r="Y134" s="53"/>
      <c r="Z134" s="106">
        <f>SUM(Z122:Z133)</f>
        <v>0</v>
      </c>
      <c r="AA134" s="106">
        <f>SUM(AA122:AA133)</f>
        <v>0</v>
      </c>
      <c r="AB134" s="633"/>
      <c r="AC134" s="633"/>
      <c r="AD134" s="107">
        <f>SUM(AD122:AD133)</f>
        <v>0</v>
      </c>
      <c r="AE134" s="107">
        <f>SUM(AE122:AE133)</f>
        <v>0</v>
      </c>
      <c r="AF134" s="48">
        <f t="shared" si="61"/>
        <v>-125.47123125501412</v>
      </c>
      <c r="AG134" s="465">
        <f t="shared" si="62"/>
        <v>0.91705752354651193</v>
      </c>
      <c r="AH134" s="646"/>
    </row>
    <row r="135" spans="1:34" ht="19.2" customHeight="1">
      <c r="A135" s="683" t="s">
        <v>312</v>
      </c>
      <c r="B135" s="462" t="s">
        <v>147</v>
      </c>
      <c r="C135" s="463"/>
      <c r="D135" s="82" t="s">
        <v>186</v>
      </c>
      <c r="E135" s="83"/>
      <c r="F135" s="361">
        <v>54.09</v>
      </c>
      <c r="G135" s="57">
        <v>2390.5</v>
      </c>
      <c r="H135" s="249">
        <f t="shared" ref="H135:H146" si="89">F135*G135</f>
        <v>129302.145</v>
      </c>
      <c r="I135" s="46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1406.1764705882347</v>
      </c>
      <c r="O135" s="116">
        <f t="shared" ref="O135:O144" si="91">N135/M135</f>
        <v>78.120915032679704</v>
      </c>
      <c r="P135" s="54">
        <f t="shared" si="86"/>
        <v>0</v>
      </c>
      <c r="Q135" s="88">
        <f t="shared" si="87"/>
        <v>-5.2124183006536242</v>
      </c>
      <c r="R135" s="464">
        <f t="shared" si="88"/>
        <v>0.93745098039215646</v>
      </c>
      <c r="S135" s="680">
        <f>R147</f>
        <v>0.91904635516459321</v>
      </c>
      <c r="T135" s="250">
        <v>0.45833333333333331</v>
      </c>
      <c r="U135" s="50">
        <v>0.52916666666666667</v>
      </c>
      <c r="V135" s="145">
        <v>5</v>
      </c>
      <c r="W135" s="251">
        <f t="shared" ref="W135:W147" si="92">(U135-T135)*24*60</f>
        <v>102.00000000000004</v>
      </c>
      <c r="X135" s="53"/>
      <c r="Y135" s="53"/>
      <c r="Z135" s="54"/>
      <c r="AA135" s="54"/>
      <c r="AB135" s="633"/>
      <c r="AC135" s="633"/>
      <c r="AD135" s="463"/>
      <c r="AE135" s="463"/>
      <c r="AF135" s="117">
        <f t="shared" si="61"/>
        <v>-93.823529411765321</v>
      </c>
      <c r="AG135" s="121">
        <f t="shared" si="62"/>
        <v>0.93745098039215646</v>
      </c>
      <c r="AH135" s="654">
        <f>AG147</f>
        <v>0.9271951204595118</v>
      </c>
    </row>
    <row r="136" spans="1:34" ht="19.2" customHeight="1">
      <c r="A136" s="684"/>
      <c r="B136" s="462" t="s">
        <v>147</v>
      </c>
      <c r="C136" s="463"/>
      <c r="D136" s="82" t="s">
        <v>79</v>
      </c>
      <c r="E136" s="83"/>
      <c r="F136" s="361">
        <v>53.68</v>
      </c>
      <c r="G136" s="57">
        <v>911</v>
      </c>
      <c r="H136" s="84">
        <f t="shared" si="89"/>
        <v>48902.48</v>
      </c>
      <c r="I136" s="463"/>
      <c r="J136" s="46">
        <v>16</v>
      </c>
      <c r="K136" s="57">
        <v>1500</v>
      </c>
      <c r="L136" s="86">
        <v>93.75</v>
      </c>
      <c r="M136" s="473">
        <v>16</v>
      </c>
      <c r="N136" s="57">
        <f t="shared" si="90"/>
        <v>1333.1707317073167</v>
      </c>
      <c r="O136" s="86">
        <f t="shared" si="91"/>
        <v>83.323170731707293</v>
      </c>
      <c r="P136" s="54">
        <f t="shared" si="86"/>
        <v>0</v>
      </c>
      <c r="Q136" s="88">
        <f t="shared" si="87"/>
        <v>-10.426829268292707</v>
      </c>
      <c r="R136" s="464">
        <f t="shared" si="88"/>
        <v>0.88878048780487784</v>
      </c>
      <c r="S136" s="680"/>
      <c r="T136" s="250">
        <v>0.53402777777777777</v>
      </c>
      <c r="U136" s="50">
        <v>0.5625</v>
      </c>
      <c r="V136" s="145">
        <v>7</v>
      </c>
      <c r="W136" s="251">
        <f t="shared" si="92"/>
        <v>41.000000000000014</v>
      </c>
      <c r="X136" s="53"/>
      <c r="Y136" s="53"/>
      <c r="Z136" s="54"/>
      <c r="AA136" s="54"/>
      <c r="AB136" s="633"/>
      <c r="AC136" s="633"/>
      <c r="AD136" s="463"/>
      <c r="AE136" s="463"/>
      <c r="AF136" s="48">
        <f t="shared" si="61"/>
        <v>-166.82926829268331</v>
      </c>
      <c r="AG136" s="126">
        <f t="shared" si="62"/>
        <v>0.88878048780487784</v>
      </c>
      <c r="AH136" s="654"/>
    </row>
    <row r="137" spans="1:34" ht="19.2" customHeight="1">
      <c r="A137" s="684"/>
      <c r="B137" s="462" t="s">
        <v>147</v>
      </c>
      <c r="C137" s="463"/>
      <c r="D137" s="82" t="s">
        <v>80</v>
      </c>
      <c r="E137" s="83"/>
      <c r="F137" s="361">
        <v>57.734999999999999</v>
      </c>
      <c r="G137" s="212">
        <v>1684</v>
      </c>
      <c r="H137" s="84">
        <f t="shared" si="89"/>
        <v>97225.74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1384.1095890410948</v>
      </c>
      <c r="O137" s="86">
        <f t="shared" si="91"/>
        <v>86.506849315068422</v>
      </c>
      <c r="P137" s="54">
        <f t="shared" si="86"/>
        <v>0</v>
      </c>
      <c r="Q137" s="88">
        <f t="shared" si="87"/>
        <v>-11.305650684931578</v>
      </c>
      <c r="R137" s="464">
        <f t="shared" si="88"/>
        <v>0.88441507286970911</v>
      </c>
      <c r="S137" s="680"/>
      <c r="T137" s="50">
        <v>0.57847222222222228</v>
      </c>
      <c r="U137" s="50">
        <v>0.62916666666666676</v>
      </c>
      <c r="V137" s="253">
        <v>23</v>
      </c>
      <c r="W137" s="251">
        <f t="shared" si="92"/>
        <v>73.000000000000057</v>
      </c>
      <c r="X137" s="53">
        <v>0.56736111111111109</v>
      </c>
      <c r="Y137" s="53">
        <v>0.57638888888888895</v>
      </c>
      <c r="Z137" s="54"/>
      <c r="AA137" s="54"/>
      <c r="AB137" s="633"/>
      <c r="AC137" s="633"/>
      <c r="AD137" s="463"/>
      <c r="AE137" s="463"/>
      <c r="AF137" s="48">
        <f t="shared" si="61"/>
        <v>-180.89041095890525</v>
      </c>
      <c r="AG137" s="126">
        <f t="shared" si="62"/>
        <v>0.88441507286970911</v>
      </c>
      <c r="AH137" s="654"/>
    </row>
    <row r="138" spans="1:34" ht="19.2" customHeight="1">
      <c r="A138" s="684"/>
      <c r="B138" s="462" t="s">
        <v>147</v>
      </c>
      <c r="C138" s="226"/>
      <c r="D138" s="82" t="s">
        <v>222</v>
      </c>
      <c r="E138" s="83"/>
      <c r="F138" s="361">
        <v>50.67</v>
      </c>
      <c r="G138" s="57">
        <v>1823</v>
      </c>
      <c r="H138" s="84">
        <f t="shared" si="89"/>
        <v>92371.41</v>
      </c>
      <c r="I138" s="463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1384.5569620253157</v>
      </c>
      <c r="O138" s="86">
        <f t="shared" si="91"/>
        <v>76.919831223628648</v>
      </c>
      <c r="P138" s="54">
        <f t="shared" si="86"/>
        <v>0</v>
      </c>
      <c r="Q138" s="88">
        <f t="shared" si="87"/>
        <v>-6.4135021097046803</v>
      </c>
      <c r="R138" s="466">
        <f t="shared" si="88"/>
        <v>0.92303797468354387</v>
      </c>
      <c r="S138" s="680"/>
      <c r="T138" s="50">
        <v>0.63402777777777786</v>
      </c>
      <c r="U138" s="50">
        <v>0.68888888888888899</v>
      </c>
      <c r="V138" s="253">
        <v>7</v>
      </c>
      <c r="W138" s="251">
        <f t="shared" si="92"/>
        <v>79.000000000000043</v>
      </c>
      <c r="X138" s="53"/>
      <c r="Y138" s="53"/>
      <c r="Z138" s="54"/>
      <c r="AA138" s="54"/>
      <c r="AB138" s="633"/>
      <c r="AC138" s="633"/>
      <c r="AD138" s="463"/>
      <c r="AE138" s="463"/>
      <c r="AF138" s="48">
        <f t="shared" si="61"/>
        <v>-115.44303797468433</v>
      </c>
      <c r="AG138" s="126">
        <f t="shared" si="62"/>
        <v>0.92303797468354376</v>
      </c>
      <c r="AH138" s="654"/>
    </row>
    <row r="139" spans="1:34" ht="19.2" customHeight="1">
      <c r="A139" s="684"/>
      <c r="B139" s="462" t="s">
        <v>147</v>
      </c>
      <c r="C139" s="470"/>
      <c r="D139" s="42" t="s">
        <v>92</v>
      </c>
      <c r="E139" s="43"/>
      <c r="F139" s="361">
        <v>50.67</v>
      </c>
      <c r="G139" s="57">
        <v>966</v>
      </c>
      <c r="H139" s="84">
        <f t="shared" si="89"/>
        <v>48947.22</v>
      </c>
      <c r="I139" s="46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1413.6585365853653</v>
      </c>
      <c r="O139" s="86">
        <f t="shared" si="91"/>
        <v>83.156384505021492</v>
      </c>
      <c r="P139" s="54">
        <f t="shared" si="86"/>
        <v>0</v>
      </c>
      <c r="Q139" s="88">
        <f t="shared" si="87"/>
        <v>-5.0789096126255657</v>
      </c>
      <c r="R139" s="464">
        <f t="shared" si="88"/>
        <v>0.94243902439024363</v>
      </c>
      <c r="S139" s="680"/>
      <c r="T139" s="50">
        <v>0.72916666666666674</v>
      </c>
      <c r="U139" s="50">
        <v>0.75763888888888897</v>
      </c>
      <c r="V139" s="254">
        <v>5</v>
      </c>
      <c r="W139" s="251">
        <f t="shared" si="92"/>
        <v>41.000000000000014</v>
      </c>
      <c r="X139" s="53"/>
      <c r="Y139" s="53"/>
      <c r="Z139" s="54"/>
      <c r="AA139" s="54"/>
      <c r="AB139" s="633"/>
      <c r="AC139" s="633"/>
      <c r="AD139" s="463"/>
      <c r="AE139" s="463"/>
      <c r="AF139" s="48">
        <f t="shared" si="61"/>
        <v>-86.341463414634745</v>
      </c>
      <c r="AG139" s="126">
        <f t="shared" si="62"/>
        <v>0.94243902439024352</v>
      </c>
      <c r="AH139" s="654"/>
    </row>
    <row r="140" spans="1:34" ht="19.2" customHeight="1">
      <c r="A140" s="685"/>
      <c r="B140" s="462" t="s">
        <v>147</v>
      </c>
      <c r="C140" s="470"/>
      <c r="D140" s="255" t="s">
        <v>93</v>
      </c>
      <c r="E140" s="83"/>
      <c r="F140" s="361">
        <v>50.98</v>
      </c>
      <c r="G140" s="57">
        <v>1622</v>
      </c>
      <c r="H140" s="84">
        <f t="shared" si="89"/>
        <v>82689.56</v>
      </c>
      <c r="I140" s="46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1351.6666666666656</v>
      </c>
      <c r="O140" s="86">
        <f t="shared" si="91"/>
        <v>67.583333333333286</v>
      </c>
      <c r="P140" s="54">
        <f t="shared" si="86"/>
        <v>0</v>
      </c>
      <c r="Q140" s="88">
        <f t="shared" si="87"/>
        <v>-4.416666666666714</v>
      </c>
      <c r="R140" s="464">
        <f t="shared" si="88"/>
        <v>0.93865740740740677</v>
      </c>
      <c r="S140" s="687"/>
      <c r="T140" s="63">
        <v>0.76250000000000007</v>
      </c>
      <c r="U140" s="256">
        <v>0.81250000000000011</v>
      </c>
      <c r="V140" s="257">
        <v>7</v>
      </c>
      <c r="W140" s="251">
        <f t="shared" si="92"/>
        <v>72.000000000000057</v>
      </c>
      <c r="X140" s="53"/>
      <c r="Y140" s="53"/>
      <c r="Z140" s="54"/>
      <c r="AA140" s="54"/>
      <c r="AB140" s="633"/>
      <c r="AC140" s="633"/>
      <c r="AD140" s="463"/>
      <c r="AE140" s="463"/>
      <c r="AF140" s="48">
        <f t="shared" si="61"/>
        <v>-88.333333333334394</v>
      </c>
      <c r="AG140" s="126">
        <f t="shared" si="62"/>
        <v>0.93865740740740666</v>
      </c>
      <c r="AH140" s="654"/>
    </row>
    <row r="141" spans="1:34" ht="19.2" customHeight="1">
      <c r="A141" s="685"/>
      <c r="B141" s="462" t="s">
        <v>147</v>
      </c>
      <c r="C141" s="470"/>
      <c r="D141" s="42" t="s">
        <v>94</v>
      </c>
      <c r="E141" s="258"/>
      <c r="F141" s="361">
        <v>54.09</v>
      </c>
      <c r="G141" s="57">
        <v>859</v>
      </c>
      <c r="H141" s="84">
        <f t="shared" si="89"/>
        <v>46463.310000000005</v>
      </c>
      <c r="I141" s="46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1392.972972972972</v>
      </c>
      <c r="O141" s="86">
        <f t="shared" si="91"/>
        <v>73.314366998577469</v>
      </c>
      <c r="P141" s="54">
        <f t="shared" si="86"/>
        <v>0</v>
      </c>
      <c r="Q141" s="88">
        <f t="shared" si="87"/>
        <v>-5.6330014224751608</v>
      </c>
      <c r="R141" s="464">
        <f t="shared" si="88"/>
        <v>0.92864864864864793</v>
      </c>
      <c r="S141" s="687"/>
      <c r="T141" s="63">
        <v>0.81666666666666676</v>
      </c>
      <c r="U141" s="256">
        <v>0.84236111111111123</v>
      </c>
      <c r="V141" s="55">
        <v>6</v>
      </c>
      <c r="W141" s="251">
        <f t="shared" si="92"/>
        <v>37.000000000000028</v>
      </c>
      <c r="X141" s="53"/>
      <c r="Y141" s="53"/>
      <c r="Z141" s="54"/>
      <c r="AA141" s="54"/>
      <c r="AB141" s="633"/>
      <c r="AC141" s="633"/>
      <c r="AD141" s="463"/>
      <c r="AE141" s="463"/>
      <c r="AF141" s="48">
        <f t="shared" si="61"/>
        <v>-107.027027027028</v>
      </c>
      <c r="AG141" s="126">
        <f t="shared" si="62"/>
        <v>0.92864864864864805</v>
      </c>
      <c r="AH141" s="654"/>
    </row>
    <row r="142" spans="1:34" ht="19.2" customHeight="1">
      <c r="A142" s="685"/>
      <c r="B142" s="462" t="s">
        <v>147</v>
      </c>
      <c r="C142" s="470"/>
      <c r="D142" s="42" t="s">
        <v>95</v>
      </c>
      <c r="E142" s="258"/>
      <c r="F142" s="361">
        <v>50.92</v>
      </c>
      <c r="G142" s="57">
        <v>2014</v>
      </c>
      <c r="H142" s="84">
        <f t="shared" si="89"/>
        <v>102552.88</v>
      </c>
      <c r="I142" s="463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1373.1818181818182</v>
      </c>
      <c r="O142" s="86">
        <f t="shared" si="91"/>
        <v>72.27272727272728</v>
      </c>
      <c r="P142" s="54">
        <f t="shared" si="86"/>
        <v>0</v>
      </c>
      <c r="Q142" s="88">
        <f t="shared" si="87"/>
        <v>-3.5167464114832399</v>
      </c>
      <c r="R142" s="464">
        <f t="shared" si="88"/>
        <v>0.95359848484848497</v>
      </c>
      <c r="S142" s="687"/>
      <c r="T142" s="63">
        <v>0.85763888888888895</v>
      </c>
      <c r="U142" s="256">
        <v>0.91875000000000007</v>
      </c>
      <c r="V142" s="55">
        <v>22</v>
      </c>
      <c r="W142" s="251">
        <f t="shared" si="92"/>
        <v>88</v>
      </c>
      <c r="X142" s="53">
        <v>0.84652777777777777</v>
      </c>
      <c r="Y142" s="53">
        <v>0.8569444444444444</v>
      </c>
      <c r="Z142" s="54"/>
      <c r="AA142" s="54"/>
      <c r="AB142" s="633"/>
      <c r="AC142" s="633"/>
      <c r="AD142" s="463"/>
      <c r="AE142" s="463"/>
      <c r="AF142" s="48">
        <f t="shared" si="61"/>
        <v>-66.818181818181756</v>
      </c>
      <c r="AG142" s="126">
        <f t="shared" si="62"/>
        <v>0.95359848484848486</v>
      </c>
      <c r="AH142" s="654"/>
    </row>
    <row r="143" spans="1:34" ht="19.2" customHeight="1">
      <c r="A143" s="685"/>
      <c r="B143" s="462" t="s">
        <v>147</v>
      </c>
      <c r="C143" s="259"/>
      <c r="D143" s="82" t="s">
        <v>96</v>
      </c>
      <c r="E143" s="83"/>
      <c r="F143" s="361">
        <v>50.67</v>
      </c>
      <c r="G143" s="57">
        <v>1029</v>
      </c>
      <c r="H143" s="84">
        <f t="shared" si="89"/>
        <v>52139.43</v>
      </c>
      <c r="I143" s="46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1342.1739130434783</v>
      </c>
      <c r="O143" s="86">
        <f t="shared" si="91"/>
        <v>78.951406649616374</v>
      </c>
      <c r="P143" s="54">
        <f t="shared" si="86"/>
        <v>0</v>
      </c>
      <c r="Q143" s="88">
        <f t="shared" si="87"/>
        <v>-5.7544757033248004</v>
      </c>
      <c r="R143" s="464">
        <f t="shared" si="88"/>
        <v>0.93206521739130443</v>
      </c>
      <c r="S143" s="687"/>
      <c r="T143" s="63">
        <v>0.9243055555555556</v>
      </c>
      <c r="U143" s="256">
        <v>0.95625000000000004</v>
      </c>
      <c r="V143" s="55">
        <v>8</v>
      </c>
      <c r="W143" s="251">
        <f t="shared" si="92"/>
        <v>46</v>
      </c>
      <c r="X143" s="53"/>
      <c r="Y143" s="53"/>
      <c r="Z143" s="54"/>
      <c r="AA143" s="54"/>
      <c r="AB143" s="633"/>
      <c r="AC143" s="633"/>
      <c r="AD143" s="463"/>
      <c r="AE143" s="463"/>
      <c r="AF143" s="48">
        <f t="shared" si="61"/>
        <v>-97.826086956521749</v>
      </c>
      <c r="AG143" s="126">
        <f t="shared" si="62"/>
        <v>0.93206521739130432</v>
      </c>
      <c r="AH143" s="654"/>
    </row>
    <row r="144" spans="1:34" ht="19.2" customHeight="1">
      <c r="A144" s="685"/>
      <c r="B144" s="462" t="s">
        <v>147</v>
      </c>
      <c r="C144" s="470"/>
      <c r="D144" s="42" t="s">
        <v>97</v>
      </c>
      <c r="E144" s="258"/>
      <c r="F144" s="361">
        <v>50.49</v>
      </c>
      <c r="G144" s="57">
        <v>1364</v>
      </c>
      <c r="H144" s="84">
        <f t="shared" si="89"/>
        <v>68868.36</v>
      </c>
      <c r="I144" s="463"/>
      <c r="J144" s="87">
        <v>14</v>
      </c>
      <c r="K144" s="57">
        <v>1440</v>
      </c>
      <c r="L144" s="86">
        <v>102.85714285714286</v>
      </c>
      <c r="M144" s="473">
        <v>15</v>
      </c>
      <c r="N144" s="57">
        <f t="shared" si="90"/>
        <v>1364.0000000000014</v>
      </c>
      <c r="O144" s="86">
        <f t="shared" si="91"/>
        <v>90.933333333333422</v>
      </c>
      <c r="P144" s="54">
        <f t="shared" si="86"/>
        <v>1</v>
      </c>
      <c r="Q144" s="88">
        <f t="shared" si="87"/>
        <v>-11.923809523809439</v>
      </c>
      <c r="R144" s="464">
        <f t="shared" si="88"/>
        <v>0.8840740740740749</v>
      </c>
      <c r="S144" s="687"/>
      <c r="T144" s="63">
        <v>0.96111111111111114</v>
      </c>
      <c r="U144" s="256">
        <v>1.0027777777777778</v>
      </c>
      <c r="V144" s="55">
        <v>7</v>
      </c>
      <c r="W144" s="251">
        <f t="shared" si="92"/>
        <v>59.999999999999943</v>
      </c>
      <c r="X144" s="53"/>
      <c r="Y144" s="53"/>
      <c r="Z144" s="54"/>
      <c r="AA144" s="54"/>
      <c r="AB144" s="633"/>
      <c r="AC144" s="633"/>
      <c r="AD144" s="463"/>
      <c r="AE144" s="463"/>
      <c r="AF144" s="48">
        <f t="shared" si="61"/>
        <v>-75.999999999998636</v>
      </c>
      <c r="AG144" s="126">
        <f t="shared" si="62"/>
        <v>0.94722222222222319</v>
      </c>
      <c r="AH144" s="654"/>
    </row>
    <row r="145" spans="1:34" ht="19.2" customHeight="1">
      <c r="A145" s="685"/>
      <c r="B145" s="462">
        <v>0</v>
      </c>
      <c r="C145" s="470"/>
      <c r="D145" s="42"/>
      <c r="E145" s="258"/>
      <c r="F145" s="361" t="s">
        <v>148</v>
      </c>
      <c r="G145" s="57"/>
      <c r="H145" s="84">
        <f t="shared" si="89"/>
        <v>0</v>
      </c>
      <c r="I145" s="463"/>
      <c r="J145" s="87"/>
      <c r="K145" s="57"/>
      <c r="L145" s="86"/>
      <c r="M145" s="473"/>
      <c r="N145" s="57"/>
      <c r="O145" s="86"/>
      <c r="P145" s="54"/>
      <c r="Q145" s="88"/>
      <c r="R145" s="464"/>
      <c r="S145" s="687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633"/>
      <c r="AC145" s="633"/>
      <c r="AD145" s="463"/>
      <c r="AE145" s="463"/>
      <c r="AF145" s="48">
        <f t="shared" si="61"/>
        <v>0</v>
      </c>
      <c r="AG145" s="126" t="e">
        <f t="shared" si="62"/>
        <v>#DIV/0!</v>
      </c>
      <c r="AH145" s="654"/>
    </row>
    <row r="146" spans="1:34" ht="19.2" customHeight="1">
      <c r="A146" s="685"/>
      <c r="B146" s="478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463"/>
      <c r="J146" s="87"/>
      <c r="K146" s="57"/>
      <c r="L146" s="86"/>
      <c r="M146" s="473"/>
      <c r="N146" s="57"/>
      <c r="O146" s="86"/>
      <c r="P146" s="54"/>
      <c r="Q146" s="88"/>
      <c r="R146" s="464"/>
      <c r="S146" s="687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633"/>
      <c r="AC146" s="633"/>
      <c r="AD146" s="463"/>
      <c r="AE146" s="463"/>
      <c r="AF146" s="54"/>
      <c r="AG146" s="464"/>
      <c r="AH146" s="654"/>
    </row>
    <row r="147" spans="1:34" ht="19.2" customHeight="1">
      <c r="A147" s="686"/>
      <c r="B147" s="261">
        <v>0</v>
      </c>
      <c r="C147" s="100" t="s">
        <v>313</v>
      </c>
      <c r="D147" s="660" t="s">
        <v>120</v>
      </c>
      <c r="E147" s="660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J147:O147" si="93">AVERAGE(M135:M146)</f>
        <v>17.5</v>
      </c>
      <c r="N147" s="246">
        <f t="shared" si="93"/>
        <v>1374.5667660812262</v>
      </c>
      <c r="O147" s="247">
        <f t="shared" si="93"/>
        <v>79.108231839569342</v>
      </c>
      <c r="P147" s="51">
        <f t="shared" ref="P147:P153" si="94">M147-J147</f>
        <v>0.10000000000000142</v>
      </c>
      <c r="Q147" s="142">
        <f t="shared" ref="Q147:Q153" si="95">O147-L147</f>
        <v>-6.9682009703967509</v>
      </c>
      <c r="R147" s="262">
        <f t="shared" ref="R147:R153" si="96">O147/L147</f>
        <v>0.91904635516459321</v>
      </c>
      <c r="S147" s="688"/>
      <c r="T147" s="63"/>
      <c r="U147" s="63"/>
      <c r="V147" s="55"/>
      <c r="W147" s="47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33"/>
      <c r="AC147" s="633"/>
      <c r="AD147" s="107">
        <f>SUM(AD135:AD146)</f>
        <v>0</v>
      </c>
      <c r="AE147" s="107">
        <f>SUM(AE135:AE146)</f>
        <v>0</v>
      </c>
      <c r="AF147" s="207">
        <f t="shared" si="61"/>
        <v>-107.93323391877379</v>
      </c>
      <c r="AG147" s="263">
        <f t="shared" si="62"/>
        <v>0.9271951204595118</v>
      </c>
      <c r="AH147" s="654"/>
    </row>
    <row r="148" spans="1:34" ht="19.2" customHeight="1">
      <c r="A148" s="690" t="s">
        <v>314</v>
      </c>
      <c r="B148" s="463" t="s">
        <v>147</v>
      </c>
      <c r="C148" s="122"/>
      <c r="D148" s="176" t="s">
        <v>162</v>
      </c>
      <c r="E148" s="43"/>
      <c r="F148" s="368">
        <v>44.98</v>
      </c>
      <c r="G148" s="57">
        <v>1442</v>
      </c>
      <c r="H148" s="84">
        <f t="shared" ref="H148:H172" si="97">F148*G148</f>
        <v>64861.159999999996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1235.9999999999989</v>
      </c>
      <c r="O148" s="47">
        <f t="shared" ref="O148:O153" si="99">N148/M148</f>
        <v>65.052631578947313</v>
      </c>
      <c r="P148" s="48">
        <f t="shared" si="94"/>
        <v>0</v>
      </c>
      <c r="Q148" s="49">
        <f t="shared" si="95"/>
        <v>-13.894736842105317</v>
      </c>
      <c r="R148" s="465">
        <f t="shared" si="96"/>
        <v>0.82399999999999929</v>
      </c>
      <c r="S148" s="691">
        <f>R160</f>
        <v>0.8830315639273898</v>
      </c>
      <c r="T148" s="250">
        <v>0.70833333333333337</v>
      </c>
      <c r="U148" s="50">
        <v>0.75694444444444453</v>
      </c>
      <c r="V148" s="462">
        <v>5</v>
      </c>
      <c r="W148" s="475">
        <f>(U148-T148)*24*60</f>
        <v>70.000000000000071</v>
      </c>
      <c r="X148" s="53"/>
      <c r="Y148" s="53"/>
      <c r="Z148" s="54"/>
      <c r="AA148" s="54"/>
      <c r="AB148" s="633"/>
      <c r="AC148" s="633"/>
      <c r="AD148" s="463"/>
      <c r="AE148" s="463"/>
      <c r="AF148" s="48">
        <f t="shared" si="61"/>
        <v>-264.00000000000114</v>
      </c>
      <c r="AG148" s="126">
        <f t="shared" si="62"/>
        <v>0.82399999999999929</v>
      </c>
      <c r="AH148" s="654">
        <f>AG160</f>
        <v>0.89041641347519707</v>
      </c>
    </row>
    <row r="149" spans="1:34" ht="19.2" customHeight="1">
      <c r="A149" s="690"/>
      <c r="B149" s="463" t="s">
        <v>147</v>
      </c>
      <c r="C149" s="224"/>
      <c r="D149" s="255" t="s">
        <v>76</v>
      </c>
      <c r="E149" s="60"/>
      <c r="F149" s="368">
        <v>53.68</v>
      </c>
      <c r="G149" s="57">
        <v>989</v>
      </c>
      <c r="H149" s="84">
        <f t="shared" si="97"/>
        <v>53089.52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1236.2500000000002</v>
      </c>
      <c r="O149" s="47">
        <f t="shared" si="99"/>
        <v>61.812500000000014</v>
      </c>
      <c r="P149" s="48">
        <f t="shared" si="94"/>
        <v>0</v>
      </c>
      <c r="Q149" s="49">
        <f t="shared" si="95"/>
        <v>-13.187499999999986</v>
      </c>
      <c r="R149" s="465">
        <f t="shared" si="96"/>
        <v>0.82416666666666683</v>
      </c>
      <c r="S149" s="692"/>
      <c r="T149" s="250">
        <v>0.76250000000000007</v>
      </c>
      <c r="U149" s="50">
        <v>0.79583333333333339</v>
      </c>
      <c r="V149" s="462">
        <v>8</v>
      </c>
      <c r="W149" s="475">
        <f t="shared" ref="W149:W159" si="100">(U149-T149)*24*60</f>
        <v>47.999999999999986</v>
      </c>
      <c r="X149" s="53"/>
      <c r="Y149" s="53"/>
      <c r="Z149" s="54"/>
      <c r="AA149" s="54"/>
      <c r="AB149" s="633"/>
      <c r="AC149" s="633"/>
      <c r="AD149" s="463"/>
      <c r="AE149" s="463"/>
      <c r="AF149" s="48">
        <f t="shared" si="61"/>
        <v>-263.74999999999977</v>
      </c>
      <c r="AG149" s="126">
        <f t="shared" si="62"/>
        <v>0.82416666666666683</v>
      </c>
      <c r="AH149" s="693"/>
    </row>
    <row r="150" spans="1:34" ht="19.2" customHeight="1">
      <c r="A150" s="690"/>
      <c r="B150" s="463" t="s">
        <v>147</v>
      </c>
      <c r="C150" s="224"/>
      <c r="D150" s="179" t="s">
        <v>84</v>
      </c>
      <c r="E150" s="60"/>
      <c r="F150" s="368">
        <v>55.32</v>
      </c>
      <c r="G150" s="57">
        <v>643</v>
      </c>
      <c r="H150" s="84">
        <f t="shared" si="97"/>
        <v>35570.76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1330.3448275862042</v>
      </c>
      <c r="O150" s="47">
        <f t="shared" si="99"/>
        <v>88.689655172413623</v>
      </c>
      <c r="P150" s="48">
        <f t="shared" si="94"/>
        <v>1</v>
      </c>
      <c r="Q150" s="49">
        <f t="shared" si="95"/>
        <v>-14.167487684729238</v>
      </c>
      <c r="R150" s="465">
        <f t="shared" si="96"/>
        <v>0.86226053639846578</v>
      </c>
      <c r="S150" s="692"/>
      <c r="T150" s="250">
        <v>0.8</v>
      </c>
      <c r="U150" s="50">
        <v>0.82013888888888897</v>
      </c>
      <c r="V150" s="462">
        <v>6</v>
      </c>
      <c r="W150" s="475">
        <f t="shared" si="100"/>
        <v>29.000000000000057</v>
      </c>
      <c r="X150" s="219"/>
      <c r="Y150" s="219"/>
      <c r="Z150" s="220"/>
      <c r="AA150" s="220"/>
      <c r="AB150" s="633"/>
      <c r="AC150" s="633"/>
      <c r="AD150" s="463"/>
      <c r="AE150" s="463"/>
      <c r="AF150" s="48">
        <f t="shared" si="61"/>
        <v>-109.65517241379575</v>
      </c>
      <c r="AG150" s="126">
        <f t="shared" si="62"/>
        <v>0.92385057471264187</v>
      </c>
      <c r="AH150" s="693"/>
    </row>
    <row r="151" spans="1:34" s="221" customFormat="1" ht="19.2" customHeight="1">
      <c r="A151" s="690"/>
      <c r="B151" s="463" t="s">
        <v>147</v>
      </c>
      <c r="C151" s="224"/>
      <c r="D151" s="59" t="s">
        <v>85</v>
      </c>
      <c r="E151" s="60"/>
      <c r="F151" s="368">
        <v>55.56</v>
      </c>
      <c r="G151" s="57">
        <v>885</v>
      </c>
      <c r="H151" s="84">
        <f t="shared" si="97"/>
        <v>49170.6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1361.5384615384608</v>
      </c>
      <c r="O151" s="47">
        <f t="shared" si="99"/>
        <v>85.096153846153797</v>
      </c>
      <c r="P151" s="48">
        <f t="shared" si="94"/>
        <v>0</v>
      </c>
      <c r="Q151" s="49">
        <f t="shared" si="95"/>
        <v>-4.903846153846203</v>
      </c>
      <c r="R151" s="465">
        <f t="shared" si="96"/>
        <v>0.94551282051281993</v>
      </c>
      <c r="S151" s="692"/>
      <c r="T151" s="250">
        <v>0.82361111111111118</v>
      </c>
      <c r="U151" s="50">
        <v>0.85069444444444453</v>
      </c>
      <c r="V151" s="462">
        <v>5</v>
      </c>
      <c r="W151" s="475">
        <f t="shared" si="100"/>
        <v>39.000000000000021</v>
      </c>
      <c r="X151" s="219"/>
      <c r="Y151" s="219"/>
      <c r="Z151" s="220"/>
      <c r="AA151" s="220"/>
      <c r="AB151" s="633"/>
      <c r="AC151" s="633"/>
      <c r="AD151" s="224"/>
      <c r="AE151" s="224"/>
      <c r="AF151" s="48">
        <f t="shared" si="61"/>
        <v>-78.461538461539249</v>
      </c>
      <c r="AG151" s="126">
        <f t="shared" si="62"/>
        <v>0.94551282051281993</v>
      </c>
      <c r="AH151" s="693"/>
    </row>
    <row r="152" spans="1:34" s="221" customFormat="1" ht="19.2" customHeight="1">
      <c r="A152" s="690"/>
      <c r="B152" s="463" t="s">
        <v>147</v>
      </c>
      <c r="C152" s="224"/>
      <c r="D152" s="255" t="s">
        <v>83</v>
      </c>
      <c r="E152" s="60"/>
      <c r="F152" s="368">
        <v>54.29</v>
      </c>
      <c r="G152" s="57">
        <v>676</v>
      </c>
      <c r="H152" s="84">
        <f t="shared" si="97"/>
        <v>36700.04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1308.3870967741916</v>
      </c>
      <c r="O152" s="47">
        <f t="shared" si="99"/>
        <v>87.225806451612769</v>
      </c>
      <c r="P152" s="48">
        <f t="shared" si="94"/>
        <v>0</v>
      </c>
      <c r="Q152" s="49">
        <f t="shared" si="95"/>
        <v>-8.7741935483872311</v>
      </c>
      <c r="R152" s="465">
        <f t="shared" si="96"/>
        <v>0.90860215053763305</v>
      </c>
      <c r="S152" s="692"/>
      <c r="T152" s="265">
        <v>0.8666666666666667</v>
      </c>
      <c r="U152" s="63">
        <v>0.88819444444444451</v>
      </c>
      <c r="V152" s="477">
        <v>23</v>
      </c>
      <c r="W152" s="475">
        <f t="shared" si="100"/>
        <v>31.00000000000005</v>
      </c>
      <c r="X152" s="222">
        <v>0.85416666666666663</v>
      </c>
      <c r="Y152" s="222">
        <v>0.8652777777777777</v>
      </c>
      <c r="Z152" s="220"/>
      <c r="AA152" s="220"/>
      <c r="AB152" s="633"/>
      <c r="AC152" s="633"/>
      <c r="AD152" s="224"/>
      <c r="AE152" s="224"/>
      <c r="AF152" s="48">
        <f t="shared" si="61"/>
        <v>-131.6129032258084</v>
      </c>
      <c r="AG152" s="126">
        <f t="shared" si="62"/>
        <v>0.90860215053763305</v>
      </c>
      <c r="AH152" s="693"/>
    </row>
    <row r="153" spans="1:34" s="221" customFormat="1" ht="19.2" customHeight="1">
      <c r="A153" s="690"/>
      <c r="B153" s="463" t="s">
        <v>147</v>
      </c>
      <c r="C153" s="224"/>
      <c r="D153" s="255" t="s">
        <v>98</v>
      </c>
      <c r="E153" s="60"/>
      <c r="F153" s="368">
        <v>57.3</v>
      </c>
      <c r="G153" s="57">
        <v>1450</v>
      </c>
      <c r="H153" s="84">
        <f t="shared" si="97"/>
        <v>83085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1380.9523809523826</v>
      </c>
      <c r="O153" s="47">
        <f t="shared" si="99"/>
        <v>76.719576719576807</v>
      </c>
      <c r="P153" s="48">
        <f t="shared" si="94"/>
        <v>0</v>
      </c>
      <c r="Q153" s="49">
        <f t="shared" si="95"/>
        <v>-6.6137566137565216</v>
      </c>
      <c r="R153" s="465">
        <f t="shared" si="96"/>
        <v>0.92063492063492169</v>
      </c>
      <c r="S153" s="692"/>
      <c r="T153" s="265">
        <v>0.8930555555555556</v>
      </c>
      <c r="U153" s="63">
        <v>0.93680555555555556</v>
      </c>
      <c r="V153" s="477">
        <v>7</v>
      </c>
      <c r="W153" s="475">
        <f t="shared" si="100"/>
        <v>62.999999999999936</v>
      </c>
      <c r="X153" s="222"/>
      <c r="Y153" s="222"/>
      <c r="Z153" s="220"/>
      <c r="AA153" s="220"/>
      <c r="AB153" s="633"/>
      <c r="AC153" s="633"/>
      <c r="AD153" s="224"/>
      <c r="AE153" s="224"/>
      <c r="AF153" s="48">
        <f t="shared" si="61"/>
        <v>-119.04761904761745</v>
      </c>
      <c r="AG153" s="126">
        <f t="shared" si="62"/>
        <v>0.92063492063492169</v>
      </c>
      <c r="AH153" s="693"/>
    </row>
    <row r="154" spans="1:34" s="221" customFormat="1" ht="19.2" customHeight="1">
      <c r="A154" s="690"/>
      <c r="B154" s="463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65"/>
      <c r="S154" s="692"/>
      <c r="T154" s="265"/>
      <c r="U154" s="63"/>
      <c r="V154" s="477"/>
      <c r="W154" s="475">
        <f t="shared" si="100"/>
        <v>0</v>
      </c>
      <c r="X154" s="222"/>
      <c r="Y154" s="222"/>
      <c r="Z154" s="220"/>
      <c r="AA154" s="220"/>
      <c r="AB154" s="633"/>
      <c r="AC154" s="633"/>
      <c r="AD154" s="224"/>
      <c r="AE154" s="224"/>
      <c r="AF154" s="48">
        <f t="shared" si="61"/>
        <v>0</v>
      </c>
      <c r="AG154" s="126" t="e">
        <f t="shared" si="62"/>
        <v>#DIV/0!</v>
      </c>
      <c r="AH154" s="693"/>
    </row>
    <row r="155" spans="1:34" s="221" customFormat="1" ht="19.2" customHeight="1">
      <c r="A155" s="690"/>
      <c r="B155" s="463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692"/>
      <c r="T155" s="265"/>
      <c r="U155" s="63"/>
      <c r="V155" s="477"/>
      <c r="W155" s="475">
        <f t="shared" si="100"/>
        <v>0</v>
      </c>
      <c r="X155" s="222"/>
      <c r="Y155" s="222"/>
      <c r="Z155" s="220"/>
      <c r="AA155" s="220"/>
      <c r="AB155" s="633"/>
      <c r="AC155" s="633"/>
      <c r="AD155" s="224"/>
      <c r="AE155" s="224"/>
      <c r="AF155" s="268"/>
      <c r="AG155" s="130"/>
      <c r="AH155" s="693"/>
    </row>
    <row r="156" spans="1:34" s="221" customFormat="1" ht="19.2" customHeight="1">
      <c r="A156" s="690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692"/>
      <c r="T156" s="265"/>
      <c r="U156" s="63"/>
      <c r="V156" s="477"/>
      <c r="W156" s="269">
        <f t="shared" si="100"/>
        <v>0</v>
      </c>
      <c r="X156" s="222"/>
      <c r="Y156" s="222"/>
      <c r="Z156" s="220"/>
      <c r="AA156" s="220"/>
      <c r="AB156" s="633"/>
      <c r="AC156" s="633"/>
      <c r="AD156" s="224"/>
      <c r="AE156" s="224"/>
      <c r="AF156" s="268"/>
      <c r="AG156" s="130"/>
      <c r="AH156" s="693"/>
    </row>
    <row r="157" spans="1:34" s="221" customFormat="1" ht="19.2" customHeight="1">
      <c r="A157" s="690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692"/>
      <c r="T157" s="265"/>
      <c r="U157" s="63"/>
      <c r="V157" s="477"/>
      <c r="W157" s="269">
        <f t="shared" si="100"/>
        <v>0</v>
      </c>
      <c r="X157" s="222"/>
      <c r="Y157" s="222"/>
      <c r="Z157" s="220"/>
      <c r="AA157" s="220"/>
      <c r="AB157" s="633"/>
      <c r="AC157" s="633"/>
      <c r="AD157" s="224"/>
      <c r="AE157" s="224"/>
      <c r="AF157" s="268"/>
      <c r="AG157" s="130"/>
      <c r="AH157" s="693"/>
    </row>
    <row r="158" spans="1:34" s="221" customFormat="1" ht="19.2" customHeight="1">
      <c r="A158" s="690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692"/>
      <c r="T158" s="265"/>
      <c r="U158" s="63"/>
      <c r="V158" s="477"/>
      <c r="W158" s="269">
        <f t="shared" si="100"/>
        <v>0</v>
      </c>
      <c r="X158" s="222"/>
      <c r="Y158" s="222"/>
      <c r="Z158" s="220"/>
      <c r="AA158" s="220"/>
      <c r="AB158" s="633"/>
      <c r="AC158" s="633"/>
      <c r="AD158" s="224"/>
      <c r="AE158" s="224"/>
      <c r="AF158" s="268"/>
      <c r="AG158" s="130"/>
      <c r="AH158" s="693"/>
    </row>
    <row r="159" spans="1:34" s="221" customFormat="1" ht="19.2" customHeight="1">
      <c r="A159" s="690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473"/>
      <c r="N159" s="182"/>
      <c r="O159" s="228"/>
      <c r="P159" s="267"/>
      <c r="Q159" s="74"/>
      <c r="R159" s="130"/>
      <c r="S159" s="692"/>
      <c r="T159" s="265"/>
      <c r="U159" s="63"/>
      <c r="V159" s="477"/>
      <c r="W159" s="270">
        <f t="shared" si="100"/>
        <v>0</v>
      </c>
      <c r="X159" s="222"/>
      <c r="Y159" s="222"/>
      <c r="Z159" s="220"/>
      <c r="AA159" s="220"/>
      <c r="AB159" s="633"/>
      <c r="AC159" s="633"/>
      <c r="AD159" s="224"/>
      <c r="AE159" s="224"/>
      <c r="AF159" s="268"/>
      <c r="AG159" s="130"/>
      <c r="AH159" s="693"/>
    </row>
    <row r="160" spans="1:34" ht="19.2" customHeight="1">
      <c r="A160" s="690"/>
      <c r="B160" s="271">
        <v>0</v>
      </c>
      <c r="C160" s="272" t="s">
        <v>238</v>
      </c>
      <c r="D160" s="689" t="s">
        <v>120</v>
      </c>
      <c r="E160" s="651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J160:O160" si="101">AVERAGE(M148:M159)</f>
        <v>17.166666666666668</v>
      </c>
      <c r="N160" s="273">
        <f t="shared" si="101"/>
        <v>1308.9121278085397</v>
      </c>
      <c r="O160" s="274">
        <f t="shared" si="101"/>
        <v>77.432720628117394</v>
      </c>
      <c r="P160" s="65">
        <f t="shared" ref="P160:P166" si="102">M160-J160</f>
        <v>0.16666666666666785</v>
      </c>
      <c r="Q160" s="74">
        <f t="shared" ref="Q160:Q166" si="103">O160-L160</f>
        <v>-10.256920140470754</v>
      </c>
      <c r="R160" s="275">
        <f>O160/L160</f>
        <v>0.8830315639273898</v>
      </c>
      <c r="S160" s="692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33"/>
      <c r="AC160" s="633"/>
      <c r="AD160" s="79">
        <f>SUM(AD148:AD159)</f>
        <v>0</v>
      </c>
      <c r="AE160" s="79">
        <f>SUM(AE148:AE159)</f>
        <v>0</v>
      </c>
      <c r="AF160" s="65">
        <f t="shared" si="61"/>
        <v>-161.08787219146029</v>
      </c>
      <c r="AG160" s="130">
        <f t="shared" si="62"/>
        <v>0.89041641347519707</v>
      </c>
      <c r="AH160" s="693"/>
    </row>
    <row r="161" spans="1:36" ht="19.2" customHeight="1">
      <c r="A161" s="653" t="s">
        <v>178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3743</v>
      </c>
      <c r="H161" s="84">
        <f t="shared" ref="H161:H170" si="104">F161*G161</f>
        <v>128122.88999999998</v>
      </c>
      <c r="I161" s="46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2118.6792452830191</v>
      </c>
      <c r="O161" s="86">
        <f t="shared" ref="O161:O166" si="106">N161/M161</f>
        <v>162.97532656023225</v>
      </c>
      <c r="P161" s="54">
        <f t="shared" si="102"/>
        <v>0</v>
      </c>
      <c r="Q161" s="88">
        <f t="shared" si="103"/>
        <v>-10.101596516690819</v>
      </c>
      <c r="R161" s="464">
        <f t="shared" ref="R161:R166" si="107">O161/L161</f>
        <v>0.94163522012578638</v>
      </c>
      <c r="S161" s="654">
        <f>R173</f>
        <v>0.91057801648247394</v>
      </c>
      <c r="T161" s="89">
        <v>0.16666666666666666</v>
      </c>
      <c r="U161" s="89">
        <v>0.24027777777777776</v>
      </c>
      <c r="V161" s="463">
        <v>5</v>
      </c>
      <c r="W161" s="90">
        <f t="shared" ref="W161:W172" si="108">(U161-T161)*24*60</f>
        <v>105.99999999999999</v>
      </c>
      <c r="X161" s="96"/>
      <c r="Y161" s="96"/>
      <c r="Z161" s="54"/>
      <c r="AA161" s="54"/>
      <c r="AB161" s="633"/>
      <c r="AC161" s="633"/>
      <c r="AD161" s="463"/>
      <c r="AE161" s="463"/>
      <c r="AF161" s="54">
        <f t="shared" si="61"/>
        <v>-131.3207547169809</v>
      </c>
      <c r="AG161" s="464">
        <f t="shared" si="62"/>
        <v>0.94163522012578627</v>
      </c>
      <c r="AH161" s="654">
        <f>AG173</f>
        <v>0.91448059071229404</v>
      </c>
    </row>
    <row r="162" spans="1:36" ht="19.2" customHeight="1">
      <c r="A162" s="653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4106</v>
      </c>
      <c r="H162" s="84">
        <f t="shared" si="104"/>
        <v>140548.37999999998</v>
      </c>
      <c r="I162" s="46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2161.0526315789484</v>
      </c>
      <c r="O162" s="86">
        <f t="shared" si="106"/>
        <v>166.23481781376526</v>
      </c>
      <c r="P162" s="54">
        <f t="shared" si="102"/>
        <v>0</v>
      </c>
      <c r="Q162" s="88">
        <f t="shared" si="103"/>
        <v>-6.842105263157805</v>
      </c>
      <c r="R162" s="464">
        <f t="shared" si="107"/>
        <v>0.96046783625731047</v>
      </c>
      <c r="S162" s="654"/>
      <c r="T162" s="89">
        <v>0.24444444444444444</v>
      </c>
      <c r="U162" s="89">
        <v>0.32361111111111107</v>
      </c>
      <c r="V162" s="463">
        <v>6</v>
      </c>
      <c r="W162" s="90">
        <f t="shared" si="108"/>
        <v>113.99999999999996</v>
      </c>
      <c r="X162" s="96"/>
      <c r="Y162" s="96"/>
      <c r="Z162" s="54"/>
      <c r="AA162" s="54"/>
      <c r="AB162" s="633"/>
      <c r="AC162" s="633"/>
      <c r="AD162" s="463"/>
      <c r="AE162" s="463"/>
      <c r="AF162" s="54">
        <f t="shared" si="61"/>
        <v>-88.947368421051578</v>
      </c>
      <c r="AG162" s="464">
        <f t="shared" si="62"/>
        <v>0.96046783625731036</v>
      </c>
      <c r="AH162" s="654"/>
    </row>
    <row r="163" spans="1:36" ht="19.2" customHeight="1">
      <c r="A163" s="653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4052.2999999999997</v>
      </c>
      <c r="H163" s="84">
        <f t="shared" si="104"/>
        <v>145193.90899999999</v>
      </c>
      <c r="I163" s="46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2132.7894736842104</v>
      </c>
      <c r="O163" s="86">
        <f t="shared" si="106"/>
        <v>193.88995215311004</v>
      </c>
      <c r="P163" s="54">
        <f t="shared" si="102"/>
        <v>0</v>
      </c>
      <c r="Q163" s="88">
        <f t="shared" si="103"/>
        <v>-10.655502392344488</v>
      </c>
      <c r="R163" s="464">
        <f t="shared" si="107"/>
        <v>0.94790643274853803</v>
      </c>
      <c r="S163" s="654"/>
      <c r="T163" s="89">
        <v>0.33888888888888885</v>
      </c>
      <c r="U163" s="89">
        <v>0.41805555555555551</v>
      </c>
      <c r="V163" s="463">
        <v>22</v>
      </c>
      <c r="W163" s="90">
        <f t="shared" si="108"/>
        <v>114</v>
      </c>
      <c r="X163" s="96">
        <v>0.32708333333333334</v>
      </c>
      <c r="Y163" s="96">
        <v>0.33749999999999997</v>
      </c>
      <c r="Z163" s="54"/>
      <c r="AA163" s="54"/>
      <c r="AB163" s="633"/>
      <c r="AC163" s="633"/>
      <c r="AD163" s="463"/>
      <c r="AE163" s="463"/>
      <c r="AF163" s="54">
        <f t="shared" si="61"/>
        <v>-117.21052631578959</v>
      </c>
      <c r="AG163" s="464">
        <f t="shared" si="62"/>
        <v>0.94790643274853792</v>
      </c>
      <c r="AH163" s="654"/>
    </row>
    <row r="164" spans="1:36" ht="19.2" customHeight="1">
      <c r="A164" s="653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5911.5</v>
      </c>
      <c r="H164" s="84">
        <f t="shared" si="104"/>
        <v>215237.71499999997</v>
      </c>
      <c r="I164" s="46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2380.4697986577189</v>
      </c>
      <c r="O164" s="86">
        <f t="shared" si="106"/>
        <v>238.0469798657719</v>
      </c>
      <c r="P164" s="54">
        <f t="shared" si="102"/>
        <v>0</v>
      </c>
      <c r="Q164" s="88">
        <f t="shared" si="103"/>
        <v>-38.853020134228075</v>
      </c>
      <c r="R164" s="464">
        <f t="shared" si="107"/>
        <v>0.85968573443760177</v>
      </c>
      <c r="S164" s="654"/>
      <c r="T164" s="89">
        <v>0.45972222222222214</v>
      </c>
      <c r="U164" s="89">
        <v>0.56319444444444433</v>
      </c>
      <c r="V164" s="463">
        <v>7</v>
      </c>
      <c r="W164" s="90">
        <f t="shared" si="108"/>
        <v>148.99999999999994</v>
      </c>
      <c r="X164" s="96"/>
      <c r="Y164" s="96"/>
      <c r="Z164" s="54"/>
      <c r="AA164" s="54"/>
      <c r="AB164" s="633"/>
      <c r="AC164" s="633"/>
      <c r="AD164" s="463"/>
      <c r="AE164" s="463"/>
      <c r="AF164" s="54">
        <f t="shared" si="61"/>
        <v>-388.53020134228109</v>
      </c>
      <c r="AG164" s="464">
        <f t="shared" si="62"/>
        <v>0.85968573443760166</v>
      </c>
      <c r="AH164" s="654"/>
    </row>
    <row r="165" spans="1:36" ht="19.2" customHeight="1">
      <c r="A165" s="653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1736.7</v>
      </c>
      <c r="H165" s="84">
        <f t="shared" si="104"/>
        <v>62225.960999999996</v>
      </c>
      <c r="I165" s="46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2126.5714285714294</v>
      </c>
      <c r="O165" s="86">
        <f t="shared" si="106"/>
        <v>193.32467532467538</v>
      </c>
      <c r="P165" s="54">
        <f t="shared" si="102"/>
        <v>0</v>
      </c>
      <c r="Q165" s="88">
        <f t="shared" si="103"/>
        <v>-11.22077922077915</v>
      </c>
      <c r="R165" s="464">
        <f t="shared" si="107"/>
        <v>0.94514285714285751</v>
      </c>
      <c r="S165" s="654"/>
      <c r="T165" s="89">
        <v>0.57916666666666661</v>
      </c>
      <c r="U165" s="89">
        <v>0.61319444444444438</v>
      </c>
      <c r="V165" s="463">
        <v>23</v>
      </c>
      <c r="W165" s="90">
        <f t="shared" si="108"/>
        <v>48.999999999999986</v>
      </c>
      <c r="X165" s="96">
        <v>0.56666666666666665</v>
      </c>
      <c r="Y165" s="96">
        <v>0.57777777777777783</v>
      </c>
      <c r="Z165" s="54"/>
      <c r="AA165" s="54"/>
      <c r="AB165" s="633"/>
      <c r="AC165" s="633"/>
      <c r="AD165" s="463"/>
      <c r="AE165" s="463"/>
      <c r="AF165" s="54">
        <f t="shared" si="61"/>
        <v>-123.42857142857065</v>
      </c>
      <c r="AG165" s="464">
        <f t="shared" si="62"/>
        <v>0.94514285714285751</v>
      </c>
      <c r="AH165" s="654"/>
    </row>
    <row r="166" spans="1:36" ht="19.2" customHeight="1">
      <c r="A166" s="653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2533.5</v>
      </c>
      <c r="H166" s="84">
        <f t="shared" si="104"/>
        <v>92244.734999999986</v>
      </c>
      <c r="I166" s="463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2375.1562500000027</v>
      </c>
      <c r="O166" s="86">
        <f t="shared" si="106"/>
        <v>237.51562500000028</v>
      </c>
      <c r="P166" s="54">
        <f t="shared" si="102"/>
        <v>0</v>
      </c>
      <c r="Q166" s="88">
        <f t="shared" si="103"/>
        <v>-39.384374999999693</v>
      </c>
      <c r="R166" s="464">
        <f t="shared" si="107"/>
        <v>0.85776679306608994</v>
      </c>
      <c r="S166" s="654"/>
      <c r="T166" s="89">
        <v>0.61666666666666659</v>
      </c>
      <c r="U166" s="89">
        <v>0.66111111111111098</v>
      </c>
      <c r="V166" s="463">
        <v>5</v>
      </c>
      <c r="W166" s="90">
        <f t="shared" si="108"/>
        <v>63.999999999999929</v>
      </c>
      <c r="X166" s="96"/>
      <c r="Y166" s="96"/>
      <c r="Z166" s="54"/>
      <c r="AA166" s="54"/>
      <c r="AB166" s="633"/>
      <c r="AC166" s="633"/>
      <c r="AD166" s="463"/>
      <c r="AE166" s="463"/>
      <c r="AF166" s="54">
        <f t="shared" si="61"/>
        <v>-393.84374999999727</v>
      </c>
      <c r="AG166" s="464">
        <f t="shared" si="62"/>
        <v>0.85776679306608983</v>
      </c>
      <c r="AH166" s="654"/>
    </row>
    <row r="167" spans="1:36" ht="19.2" customHeight="1">
      <c r="A167" s="653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463"/>
      <c r="J167" s="87"/>
      <c r="K167" s="57"/>
      <c r="L167" s="86"/>
      <c r="M167" s="87"/>
      <c r="N167" s="57"/>
      <c r="O167" s="86"/>
      <c r="P167" s="54"/>
      <c r="Q167" s="88"/>
      <c r="R167" s="464"/>
      <c r="S167" s="654"/>
      <c r="T167" s="89"/>
      <c r="U167" s="89"/>
      <c r="V167" s="463"/>
      <c r="W167" s="90">
        <f t="shared" si="108"/>
        <v>0</v>
      </c>
      <c r="X167" s="96"/>
      <c r="Y167" s="96"/>
      <c r="Z167" s="54"/>
      <c r="AA167" s="54"/>
      <c r="AB167" s="633"/>
      <c r="AC167" s="633"/>
      <c r="AD167" s="463"/>
      <c r="AE167" s="463"/>
      <c r="AF167" s="54">
        <f t="shared" si="61"/>
        <v>0</v>
      </c>
      <c r="AG167" s="464" t="e">
        <f t="shared" si="62"/>
        <v>#DIV/0!</v>
      </c>
      <c r="AH167" s="654"/>
    </row>
    <row r="168" spans="1:36" ht="19.2" customHeight="1">
      <c r="A168" s="653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463"/>
      <c r="J168" s="87"/>
      <c r="K168" s="57"/>
      <c r="L168" s="86"/>
      <c r="M168" s="87"/>
      <c r="N168" s="57"/>
      <c r="O168" s="86"/>
      <c r="P168" s="54"/>
      <c r="Q168" s="88"/>
      <c r="R168" s="464"/>
      <c r="S168" s="654"/>
      <c r="T168" s="89"/>
      <c r="U168" s="89"/>
      <c r="V168" s="463"/>
      <c r="W168" s="90">
        <f t="shared" si="108"/>
        <v>0</v>
      </c>
      <c r="X168" s="96"/>
      <c r="Y168" s="96"/>
      <c r="Z168" s="54"/>
      <c r="AA168" s="54"/>
      <c r="AB168" s="633"/>
      <c r="AC168" s="633"/>
      <c r="AD168" s="463"/>
      <c r="AE168" s="463"/>
      <c r="AF168" s="54">
        <f t="shared" si="61"/>
        <v>0</v>
      </c>
      <c r="AG168" s="464" t="e">
        <f t="shared" si="62"/>
        <v>#DIV/0!</v>
      </c>
      <c r="AH168" s="654"/>
    </row>
    <row r="169" spans="1:36" ht="19.2" customHeight="1">
      <c r="A169" s="653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463"/>
      <c r="J169" s="87"/>
      <c r="K169" s="57"/>
      <c r="L169" s="86"/>
      <c r="M169" s="87"/>
      <c r="N169" s="57"/>
      <c r="O169" s="86"/>
      <c r="P169" s="54"/>
      <c r="Q169" s="88"/>
      <c r="R169" s="464"/>
      <c r="S169" s="654"/>
      <c r="T169" s="89"/>
      <c r="U169" s="89"/>
      <c r="V169" s="463" t="s">
        <v>15</v>
      </c>
      <c r="W169" s="90">
        <f t="shared" si="108"/>
        <v>0</v>
      </c>
      <c r="X169" s="96"/>
      <c r="Y169" s="96"/>
      <c r="Z169" s="54"/>
      <c r="AA169" s="54"/>
      <c r="AB169" s="633"/>
      <c r="AC169" s="633"/>
      <c r="AD169" s="463"/>
      <c r="AE169" s="463"/>
      <c r="AF169" s="54">
        <f t="shared" si="61"/>
        <v>0</v>
      </c>
      <c r="AG169" s="464" t="e">
        <f t="shared" si="62"/>
        <v>#DIV/0!</v>
      </c>
      <c r="AH169" s="654"/>
    </row>
    <row r="170" spans="1:36" ht="19.2" customHeight="1">
      <c r="A170" s="653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463"/>
      <c r="J170" s="87"/>
      <c r="K170" s="57"/>
      <c r="L170" s="86"/>
      <c r="M170" s="87"/>
      <c r="N170" s="57"/>
      <c r="O170" s="86"/>
      <c r="P170" s="54"/>
      <c r="Q170" s="88"/>
      <c r="R170" s="464"/>
      <c r="S170" s="654"/>
      <c r="T170" s="89"/>
      <c r="U170" s="89"/>
      <c r="V170" s="463"/>
      <c r="W170" s="90">
        <f t="shared" si="108"/>
        <v>0</v>
      </c>
      <c r="X170" s="96"/>
      <c r="Y170" s="96"/>
      <c r="Z170" s="54"/>
      <c r="AA170" s="54"/>
      <c r="AB170" s="633"/>
      <c r="AC170" s="633"/>
      <c r="AD170" s="463"/>
      <c r="AE170" s="463"/>
      <c r="AF170" s="54">
        <f t="shared" si="61"/>
        <v>0</v>
      </c>
      <c r="AG170" s="464" t="e">
        <f t="shared" si="62"/>
        <v>#DIV/0!</v>
      </c>
      <c r="AH170" s="654"/>
    </row>
    <row r="171" spans="1:36" ht="19.2" customHeight="1">
      <c r="A171" s="653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463"/>
      <c r="J171" s="87"/>
      <c r="K171" s="57"/>
      <c r="L171" s="86"/>
      <c r="M171" s="87"/>
      <c r="N171" s="57"/>
      <c r="O171" s="86"/>
      <c r="P171" s="54"/>
      <c r="Q171" s="88"/>
      <c r="R171" s="464"/>
      <c r="S171" s="654"/>
      <c r="T171" s="89"/>
      <c r="U171" s="89"/>
      <c r="V171" s="463"/>
      <c r="W171" s="90">
        <f t="shared" si="108"/>
        <v>0</v>
      </c>
      <c r="X171" s="96"/>
      <c r="Y171" s="96"/>
      <c r="Z171" s="54"/>
      <c r="AA171" s="54"/>
      <c r="AB171" s="633"/>
      <c r="AC171" s="633"/>
      <c r="AD171" s="463"/>
      <c r="AE171" s="463"/>
      <c r="AF171" s="54"/>
      <c r="AG171" s="464"/>
      <c r="AH171" s="654"/>
    </row>
    <row r="172" spans="1:36" ht="19.2" customHeight="1">
      <c r="A172" s="653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463"/>
      <c r="J172" s="87"/>
      <c r="K172" s="57"/>
      <c r="L172" s="86"/>
      <c r="M172" s="87"/>
      <c r="N172" s="57"/>
      <c r="O172" s="86"/>
      <c r="P172" s="54"/>
      <c r="Q172" s="88"/>
      <c r="R172" s="464"/>
      <c r="S172" s="654"/>
      <c r="T172" s="89"/>
      <c r="U172" s="89"/>
      <c r="V172" s="463"/>
      <c r="W172" s="90">
        <f t="shared" si="108"/>
        <v>0</v>
      </c>
      <c r="X172" s="96"/>
      <c r="Y172" s="96"/>
      <c r="Z172" s="54"/>
      <c r="AA172" s="54"/>
      <c r="AB172" s="633"/>
      <c r="AC172" s="633"/>
      <c r="AD172" s="463"/>
      <c r="AE172" s="463"/>
      <c r="AF172" s="54"/>
      <c r="AG172" s="464"/>
      <c r="AH172" s="654"/>
    </row>
    <row r="173" spans="1:36" ht="19.2" customHeight="1">
      <c r="A173" s="653"/>
      <c r="B173" s="122">
        <v>0</v>
      </c>
      <c r="C173" s="100" t="s">
        <v>239</v>
      </c>
      <c r="D173" s="660" t="s">
        <v>120</v>
      </c>
      <c r="E173" s="660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J173:O173" si="109">AVERAGE(M161:M172)</f>
        <v>11.333333333333334</v>
      </c>
      <c r="N173" s="101">
        <f t="shared" si="109"/>
        <v>2215.7864712958885</v>
      </c>
      <c r="O173" s="104">
        <f t="shared" si="109"/>
        <v>198.66456278625915</v>
      </c>
      <c r="P173" s="54">
        <f>M173-J173</f>
        <v>0</v>
      </c>
      <c r="Q173" s="88">
        <f>O173-L173</f>
        <v>-19.509563087866752</v>
      </c>
      <c r="R173" s="105">
        <f>O173/L173</f>
        <v>0.91057801648247394</v>
      </c>
      <c r="S173" s="654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94"/>
      <c r="AC173" s="694"/>
      <c r="AD173" s="107">
        <f>SUM(AD161:AD172)</f>
        <v>0</v>
      </c>
      <c r="AE173" s="107">
        <f>SUM(AE161:AE172)</f>
        <v>0</v>
      </c>
      <c r="AF173" s="54">
        <f t="shared" si="61"/>
        <v>-207.21352870411147</v>
      </c>
      <c r="AG173" s="464">
        <f t="shared" si="62"/>
        <v>0.91448059071229404</v>
      </c>
      <c r="AH173" s="654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179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180</v>
      </c>
    </row>
    <row r="186" spans="23:36">
      <c r="W186" s="33"/>
      <c r="AJ186" s="279" t="s">
        <v>191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241" priority="3242" operator="lessThan">
      <formula>0</formula>
    </cfRule>
  </conditionalFormatting>
  <conditionalFormatting sqref="AH57 AH70 S43 S123 S95 AH95 S5:S9 AH5:AH9 S134 AH17:AH18 S17:S18 S32 S82 AH82 S57:S70">
    <cfRule type="cellIs" dxfId="3240" priority="3241" operator="lessThan">
      <formula>0.8</formula>
    </cfRule>
  </conditionalFormatting>
  <conditionalFormatting sqref="R147 R173 R30 R121 R95 R43 R134 R82 R155:R159 R17:R18 R57:R70 R109:R118">
    <cfRule type="cellIs" dxfId="3239" priority="3239" operator="lessThan">
      <formula>0.8</formula>
    </cfRule>
    <cfRule type="cellIs" dxfId="3238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237" priority="3237" operator="greaterThan">
      <formula>1</formula>
    </cfRule>
    <cfRule type="cellIs" dxfId="3236" priority="3238" operator="lessThan">
      <formula>0.8</formula>
    </cfRule>
  </conditionalFormatting>
  <conditionalFormatting sqref="P147 P30 P121 P95 P43 P134 P82 P155:P159 P17:P18 P57:P70 P109:P118">
    <cfRule type="cellIs" dxfId="3235" priority="3236" operator="greaterThan">
      <formula>0</formula>
    </cfRule>
  </conditionalFormatting>
  <conditionalFormatting sqref="S161">
    <cfRule type="cellIs" dxfId="3234" priority="3235" operator="lessThan">
      <formula>0.8</formula>
    </cfRule>
  </conditionalFormatting>
  <conditionalFormatting sqref="Q161:Q167">
    <cfRule type="cellIs" dxfId="3233" priority="3234" operator="lessThan">
      <formula>0</formula>
    </cfRule>
  </conditionalFormatting>
  <conditionalFormatting sqref="R161:R167">
    <cfRule type="cellIs" dxfId="3232" priority="3232" operator="lessThan">
      <formula>0.8</formula>
    </cfRule>
    <cfRule type="cellIs" dxfId="3231" priority="3233" operator="greaterThan">
      <formula>1</formula>
    </cfRule>
  </conditionalFormatting>
  <conditionalFormatting sqref="R161:R167">
    <cfRule type="cellIs" dxfId="3230" priority="3230" operator="greaterThan">
      <formula>1</formula>
    </cfRule>
    <cfRule type="cellIs" dxfId="3229" priority="3231" operator="lessThan">
      <formula>0.8</formula>
    </cfRule>
  </conditionalFormatting>
  <conditionalFormatting sqref="P161:P167">
    <cfRule type="cellIs" dxfId="3228" priority="3229" operator="greaterThan">
      <formula>0</formula>
    </cfRule>
  </conditionalFormatting>
  <conditionalFormatting sqref="Q169:Q172 AF161:AF172">
    <cfRule type="cellIs" dxfId="3227" priority="3228" operator="lessThan">
      <formula>0</formula>
    </cfRule>
  </conditionalFormatting>
  <conditionalFormatting sqref="R169:R172">
    <cfRule type="cellIs" dxfId="3226" priority="3226" operator="lessThan">
      <formula>0.8</formula>
    </cfRule>
    <cfRule type="cellIs" dxfId="3225" priority="3227" operator="greaterThan">
      <formula>1</formula>
    </cfRule>
  </conditionalFormatting>
  <conditionalFormatting sqref="R169:R172 AG161:AG172">
    <cfRule type="cellIs" dxfId="3224" priority="3224" operator="greaterThan">
      <formula>1</formula>
    </cfRule>
    <cfRule type="cellIs" dxfId="3223" priority="3225" operator="lessThan">
      <formula>0.8</formula>
    </cfRule>
  </conditionalFormatting>
  <conditionalFormatting sqref="P169:P172">
    <cfRule type="cellIs" dxfId="3222" priority="3223" operator="greaterThan">
      <formula>0</formula>
    </cfRule>
  </conditionalFormatting>
  <conditionalFormatting sqref="AF145">
    <cfRule type="cellIs" dxfId="3221" priority="3222" operator="lessThan">
      <formula>0</formula>
    </cfRule>
  </conditionalFormatting>
  <conditionalFormatting sqref="AG145">
    <cfRule type="cellIs" dxfId="3220" priority="3220" operator="greaterThan">
      <formula>1</formula>
    </cfRule>
    <cfRule type="cellIs" dxfId="3219" priority="3221" operator="lessThan">
      <formula>0.8</formula>
    </cfRule>
  </conditionalFormatting>
  <conditionalFormatting sqref="AF44:AF54">
    <cfRule type="cellIs" dxfId="3218" priority="3219" operator="lessThan">
      <formula>0</formula>
    </cfRule>
  </conditionalFormatting>
  <conditionalFormatting sqref="AG44:AG54">
    <cfRule type="cellIs" dxfId="3217" priority="3217" operator="greaterThan">
      <formula>1</formula>
    </cfRule>
    <cfRule type="cellIs" dxfId="3216" priority="3218" operator="lessThan">
      <formula>0.8</formula>
    </cfRule>
  </conditionalFormatting>
  <conditionalFormatting sqref="AF83:AF94">
    <cfRule type="cellIs" dxfId="3215" priority="3216" operator="lessThan">
      <formula>0</formula>
    </cfRule>
  </conditionalFormatting>
  <conditionalFormatting sqref="AH83">
    <cfRule type="cellIs" dxfId="3214" priority="3215" operator="lessThan">
      <formula>0.8</formula>
    </cfRule>
  </conditionalFormatting>
  <conditionalFormatting sqref="AG83:AG94">
    <cfRule type="cellIs" dxfId="3213" priority="3213" operator="greaterThan">
      <formula>1</formula>
    </cfRule>
    <cfRule type="cellIs" dxfId="3212" priority="3214" operator="lessThan">
      <formula>0.8</formula>
    </cfRule>
  </conditionalFormatting>
  <conditionalFormatting sqref="S83">
    <cfRule type="cellIs" dxfId="3211" priority="3212" operator="lessThan">
      <formula>0.8</formula>
    </cfRule>
  </conditionalFormatting>
  <conditionalFormatting sqref="AH84">
    <cfRule type="cellIs" dxfId="3210" priority="3211" operator="lessThan">
      <formula>0.8</formula>
    </cfRule>
  </conditionalFormatting>
  <conditionalFormatting sqref="S84">
    <cfRule type="cellIs" dxfId="3209" priority="3210" operator="lessThan">
      <formula>0.8</formula>
    </cfRule>
  </conditionalFormatting>
  <conditionalFormatting sqref="S90">
    <cfRule type="cellIs" dxfId="3208" priority="3209" operator="lessThan">
      <formula>0.8</formula>
    </cfRule>
  </conditionalFormatting>
  <conditionalFormatting sqref="AH90">
    <cfRule type="cellIs" dxfId="3207" priority="3208" operator="lessThan">
      <formula>0.8</formula>
    </cfRule>
  </conditionalFormatting>
  <conditionalFormatting sqref="AF122">
    <cfRule type="cellIs" dxfId="3206" priority="3207" operator="lessThan">
      <formula>0</formula>
    </cfRule>
  </conditionalFormatting>
  <conditionalFormatting sqref="S122">
    <cfRule type="cellIs" dxfId="3205" priority="3206" operator="lessThan">
      <formula>0.8</formula>
    </cfRule>
  </conditionalFormatting>
  <conditionalFormatting sqref="AG122">
    <cfRule type="cellIs" dxfId="3204" priority="3204" operator="greaterThan">
      <formula>1</formula>
    </cfRule>
    <cfRule type="cellIs" dxfId="3203" priority="3205" operator="lessThan">
      <formula>0.8</formula>
    </cfRule>
  </conditionalFormatting>
  <conditionalFormatting sqref="P162:P168">
    <cfRule type="cellIs" dxfId="3202" priority="3198" operator="greaterThan">
      <formula>0</formula>
    </cfRule>
  </conditionalFormatting>
  <conditionalFormatting sqref="R162:R168">
    <cfRule type="cellIs" dxfId="3201" priority="3201" operator="lessThan">
      <formula>0.8</formula>
    </cfRule>
    <cfRule type="cellIs" dxfId="3200" priority="3202" operator="greaterThan">
      <formula>1</formula>
    </cfRule>
  </conditionalFormatting>
  <conditionalFormatting sqref="R162:R168">
    <cfRule type="cellIs" dxfId="3199" priority="3199" operator="greaterThan">
      <formula>1</formula>
    </cfRule>
    <cfRule type="cellIs" dxfId="3198" priority="3200" operator="lessThan">
      <formula>0.8</formula>
    </cfRule>
  </conditionalFormatting>
  <conditionalFormatting sqref="Q162:Q168">
    <cfRule type="cellIs" dxfId="3197" priority="3203" operator="lessThan">
      <formula>0</formula>
    </cfRule>
  </conditionalFormatting>
  <conditionalFormatting sqref="P132:P133">
    <cfRule type="cellIs" dxfId="3196" priority="3191" operator="greaterThan">
      <formula>0</formula>
    </cfRule>
  </conditionalFormatting>
  <conditionalFormatting sqref="AF124 Q132:Q133 AF132:AF133 AF126:AF127 AF129:AF130">
    <cfRule type="cellIs" dxfId="3195" priority="3197" operator="lessThan">
      <formula>0</formula>
    </cfRule>
  </conditionalFormatting>
  <conditionalFormatting sqref="S124:S133">
    <cfRule type="cellIs" dxfId="3194" priority="3196" operator="lessThan">
      <formula>0.8</formula>
    </cfRule>
  </conditionalFormatting>
  <conditionalFormatting sqref="R132:R133">
    <cfRule type="cellIs" dxfId="3193" priority="3194" operator="lessThan">
      <formula>0.8</formula>
    </cfRule>
    <cfRule type="cellIs" dxfId="3192" priority="3195" operator="greaterThan">
      <formula>1</formula>
    </cfRule>
  </conditionalFormatting>
  <conditionalFormatting sqref="AG124 R132:R133 AG132:AG133 AG126:AG127 AG129:AG130">
    <cfRule type="cellIs" dxfId="3191" priority="3192" operator="greaterThan">
      <formula>1</formula>
    </cfRule>
    <cfRule type="cellIs" dxfId="3190" priority="3193" operator="lessThan">
      <formula>0.8</formula>
    </cfRule>
  </conditionalFormatting>
  <conditionalFormatting sqref="AH109">
    <cfRule type="cellIs" dxfId="3189" priority="3190" operator="lessThan">
      <formula>0.8</formula>
    </cfRule>
  </conditionalFormatting>
  <conditionalFormatting sqref="R160 AG160">
    <cfRule type="cellIs" dxfId="3188" priority="3185" operator="greaterThan">
      <formula>1</formula>
    </cfRule>
    <cfRule type="cellIs" dxfId="3187" priority="3186" operator="lessThan">
      <formula>0.8</formula>
    </cfRule>
  </conditionalFormatting>
  <conditionalFormatting sqref="R160">
    <cfRule type="cellIs" dxfId="3186" priority="3187" operator="lessThan">
      <formula>0.8</formula>
    </cfRule>
    <cfRule type="cellIs" dxfId="3185" priority="3188" operator="greaterThan">
      <formula>1</formula>
    </cfRule>
  </conditionalFormatting>
  <conditionalFormatting sqref="P160">
    <cfRule type="cellIs" dxfId="3184" priority="3184" operator="greaterThan">
      <formula>0</formula>
    </cfRule>
  </conditionalFormatting>
  <conditionalFormatting sqref="AH148">
    <cfRule type="cellIs" dxfId="3183" priority="3183" operator="lessThan">
      <formula>0.8</formula>
    </cfRule>
  </conditionalFormatting>
  <conditionalFormatting sqref="Q160 AF160">
    <cfRule type="cellIs" dxfId="3182" priority="3189" operator="lessThan">
      <formula>0</formula>
    </cfRule>
  </conditionalFormatting>
  <conditionalFormatting sqref="AF148:AF154">
    <cfRule type="cellIs" dxfId="3181" priority="3182" operator="lessThan">
      <formula>0</formula>
    </cfRule>
  </conditionalFormatting>
  <conditionalFormatting sqref="S148">
    <cfRule type="cellIs" dxfId="3180" priority="3181" operator="lessThan">
      <formula>0.8</formula>
    </cfRule>
  </conditionalFormatting>
  <conditionalFormatting sqref="AG148:AG154">
    <cfRule type="cellIs" dxfId="3179" priority="3179" operator="greaterThan">
      <formula>1</formula>
    </cfRule>
    <cfRule type="cellIs" dxfId="3178" priority="3180" operator="lessThan">
      <formula>0.8</formula>
    </cfRule>
  </conditionalFormatting>
  <conditionalFormatting sqref="S86">
    <cfRule type="cellIs" dxfId="3177" priority="3178" operator="lessThan">
      <formula>0.8</formula>
    </cfRule>
  </conditionalFormatting>
  <conditionalFormatting sqref="S88 AH88">
    <cfRule type="cellIs" dxfId="3176" priority="3173" operator="lessThan">
      <formula>0.8</formula>
    </cfRule>
  </conditionalFormatting>
  <conditionalFormatting sqref="AH86">
    <cfRule type="cellIs" dxfId="3175" priority="3177" operator="lessThan">
      <formula>0.8</formula>
    </cfRule>
  </conditionalFormatting>
  <conditionalFormatting sqref="S87">
    <cfRule type="cellIs" dxfId="3174" priority="3176" operator="lessThan">
      <formula>0.8</formula>
    </cfRule>
  </conditionalFormatting>
  <conditionalFormatting sqref="AH87">
    <cfRule type="cellIs" dxfId="3173" priority="3175" operator="lessThan">
      <formula>0.8</formula>
    </cfRule>
  </conditionalFormatting>
  <conditionalFormatting sqref="S89 AH89">
    <cfRule type="cellIs" dxfId="3172" priority="3174" operator="lessThan">
      <formula>0.8</formula>
    </cfRule>
  </conditionalFormatting>
  <conditionalFormatting sqref="AF31 AF35 AF39">
    <cfRule type="cellIs" dxfId="3171" priority="3172" operator="lessThan">
      <formula>0</formula>
    </cfRule>
  </conditionalFormatting>
  <conditionalFormatting sqref="AH31 S31">
    <cfRule type="cellIs" dxfId="3170" priority="3171" operator="lessThan">
      <formula>0.8</formula>
    </cfRule>
  </conditionalFormatting>
  <conditionalFormatting sqref="AG31 AG35 AG39">
    <cfRule type="cellIs" dxfId="3169" priority="3169" operator="greaterThan">
      <formula>1</formula>
    </cfRule>
    <cfRule type="cellIs" dxfId="3168" priority="3170" operator="lessThan">
      <formula>0.8</formula>
    </cfRule>
  </conditionalFormatting>
  <conditionalFormatting sqref="AF135">
    <cfRule type="cellIs" dxfId="3167" priority="3168" operator="lessThan">
      <formula>0</formula>
    </cfRule>
  </conditionalFormatting>
  <conditionalFormatting sqref="AH135 S135">
    <cfRule type="cellIs" dxfId="3166" priority="3167" operator="lessThan">
      <formula>0.8</formula>
    </cfRule>
  </conditionalFormatting>
  <conditionalFormatting sqref="AG135">
    <cfRule type="cellIs" dxfId="3165" priority="3165" operator="greaterThan">
      <formula>1</formula>
    </cfRule>
    <cfRule type="cellIs" dxfId="3164" priority="3166" operator="lessThan">
      <formula>0.8</formula>
    </cfRule>
  </conditionalFormatting>
  <conditionalFormatting sqref="AF108 Q108">
    <cfRule type="cellIs" dxfId="3163" priority="3164" operator="lessThan">
      <formula>0</formula>
    </cfRule>
  </conditionalFormatting>
  <conditionalFormatting sqref="R108">
    <cfRule type="cellIs" dxfId="3162" priority="3162" operator="lessThan">
      <formula>0.8</formula>
    </cfRule>
    <cfRule type="cellIs" dxfId="3161" priority="3163" operator="greaterThan">
      <formula>1</formula>
    </cfRule>
  </conditionalFormatting>
  <conditionalFormatting sqref="AG108 R108">
    <cfRule type="cellIs" dxfId="3160" priority="3160" operator="greaterThan">
      <formula>1</formula>
    </cfRule>
    <cfRule type="cellIs" dxfId="3159" priority="3161" operator="lessThan">
      <formula>0.8</formula>
    </cfRule>
  </conditionalFormatting>
  <conditionalFormatting sqref="P108">
    <cfRule type="cellIs" dxfId="3158" priority="3159" operator="greaterThan">
      <formula>0</formula>
    </cfRule>
  </conditionalFormatting>
  <conditionalFormatting sqref="AH97">
    <cfRule type="cellIs" dxfId="3157" priority="3154" operator="lessThan">
      <formula>0.8</formula>
    </cfRule>
  </conditionalFormatting>
  <conditionalFormatting sqref="AG96 AG98 AG100 AG102:AG103 AG105:AG106">
    <cfRule type="cellIs" dxfId="3156" priority="3156" operator="greaterThan">
      <formula>1</formula>
    </cfRule>
    <cfRule type="cellIs" dxfId="3155" priority="3157" operator="lessThan">
      <formula>0.8</formula>
    </cfRule>
  </conditionalFormatting>
  <conditionalFormatting sqref="AF96 AF98 AF100 AF102:AF103 AF105:AF106">
    <cfRule type="cellIs" dxfId="3154" priority="3158" operator="lessThan">
      <formula>0</formula>
    </cfRule>
  </conditionalFormatting>
  <conditionalFormatting sqref="AG97 AG99 AG101 AG104">
    <cfRule type="cellIs" dxfId="3153" priority="3152" operator="greaterThan">
      <formula>1</formula>
    </cfRule>
    <cfRule type="cellIs" dxfId="3152" priority="3153" operator="lessThan">
      <formula>0.8</formula>
    </cfRule>
  </conditionalFormatting>
  <conditionalFormatting sqref="AF97 AF99 AF101 AF104">
    <cfRule type="cellIs" dxfId="3151" priority="3155" operator="lessThan">
      <formula>0</formula>
    </cfRule>
  </conditionalFormatting>
  <conditionalFormatting sqref="AF71 AF73 AF75 AF79 AF77">
    <cfRule type="cellIs" dxfId="3150" priority="3149" operator="lessThan">
      <formula>0</formula>
    </cfRule>
  </conditionalFormatting>
  <conditionalFormatting sqref="S71 AH71">
    <cfRule type="cellIs" dxfId="3149" priority="3148" operator="lessThan">
      <formula>0.8</formula>
    </cfRule>
  </conditionalFormatting>
  <conditionalFormatting sqref="AG71 AG73 AG75 AG79 AG77">
    <cfRule type="cellIs" dxfId="3148" priority="3146" operator="greaterThan">
      <formula>1</formula>
    </cfRule>
    <cfRule type="cellIs" dxfId="3147" priority="3147" operator="lessThan">
      <formula>0.8</formula>
    </cfRule>
  </conditionalFormatting>
  <conditionalFormatting sqref="AF72 AF76 AF80">
    <cfRule type="cellIs" dxfId="3146" priority="3145" operator="lessThan">
      <formula>0</formula>
    </cfRule>
  </conditionalFormatting>
  <conditionalFormatting sqref="S72 AH72">
    <cfRule type="cellIs" dxfId="3145" priority="3144" operator="lessThan">
      <formula>0.8</formula>
    </cfRule>
  </conditionalFormatting>
  <conditionalFormatting sqref="S11">
    <cfRule type="cellIs" dxfId="3144" priority="3151" operator="lessThan">
      <formula>0.8</formula>
    </cfRule>
  </conditionalFormatting>
  <conditionalFormatting sqref="S10">
    <cfRule type="cellIs" dxfId="3143" priority="3150" operator="lessThan">
      <formula>0.8</formula>
    </cfRule>
  </conditionalFormatting>
  <conditionalFormatting sqref="AG72 AG76 AG80">
    <cfRule type="cellIs" dxfId="3142" priority="3142" operator="greaterThan">
      <formula>1</formula>
    </cfRule>
    <cfRule type="cellIs" dxfId="3141" priority="3143" operator="lessThan">
      <formula>0.8</formula>
    </cfRule>
  </conditionalFormatting>
  <conditionalFormatting sqref="AF14:AF16 Q15:Q16">
    <cfRule type="cellIs" dxfId="3140" priority="3141" operator="lessThan">
      <formula>0</formula>
    </cfRule>
  </conditionalFormatting>
  <conditionalFormatting sqref="R15:R16">
    <cfRule type="cellIs" dxfId="3139" priority="3139" operator="lessThan">
      <formula>0.8</formula>
    </cfRule>
    <cfRule type="cellIs" dxfId="3138" priority="3140" operator="greaterThan">
      <formula>1</formula>
    </cfRule>
  </conditionalFormatting>
  <conditionalFormatting sqref="R15:R16">
    <cfRule type="cellIs" dxfId="3137" priority="3137" operator="greaterThan">
      <formula>1</formula>
    </cfRule>
    <cfRule type="cellIs" dxfId="3136" priority="3138" operator="lessThan">
      <formula>0.8</formula>
    </cfRule>
  </conditionalFormatting>
  <conditionalFormatting sqref="P15:P16">
    <cfRule type="cellIs" dxfId="3135" priority="3136" operator="greaterThan">
      <formula>0</formula>
    </cfRule>
  </conditionalFormatting>
  <conditionalFormatting sqref="AH98">
    <cfRule type="cellIs" dxfId="3134" priority="3135" operator="lessThan">
      <formula>0.8</formula>
    </cfRule>
  </conditionalFormatting>
  <conditionalFormatting sqref="AF33 AF37">
    <cfRule type="cellIs" dxfId="3133" priority="3134" operator="lessThan">
      <formula>0</formula>
    </cfRule>
  </conditionalFormatting>
  <conditionalFormatting sqref="AG33 AG37">
    <cfRule type="cellIs" dxfId="3132" priority="3132" operator="greaterThan">
      <formula>1</formula>
    </cfRule>
    <cfRule type="cellIs" dxfId="3131" priority="3133" operator="lessThan">
      <formula>0.8</formula>
    </cfRule>
  </conditionalFormatting>
  <conditionalFormatting sqref="P41:P42">
    <cfRule type="cellIs" dxfId="3130" priority="3126" operator="greaterThan">
      <formula>0</formula>
    </cfRule>
  </conditionalFormatting>
  <conditionalFormatting sqref="Q41:Q42 AF34 AF41:AF42 AF38">
    <cfRule type="cellIs" dxfId="3129" priority="3131" operator="lessThan">
      <formula>0</formula>
    </cfRule>
  </conditionalFormatting>
  <conditionalFormatting sqref="R41:R42">
    <cfRule type="cellIs" dxfId="3128" priority="3129" operator="lessThan">
      <formula>0.8</formula>
    </cfRule>
    <cfRule type="cellIs" dxfId="3127" priority="3130" operator="greaterThan">
      <formula>1</formula>
    </cfRule>
  </conditionalFormatting>
  <conditionalFormatting sqref="R41:R42 AG34 AG41:AG42 AG38">
    <cfRule type="cellIs" dxfId="3126" priority="3127" operator="greaterThan">
      <formula>1</formula>
    </cfRule>
    <cfRule type="cellIs" dxfId="3125" priority="3128" operator="lessThan">
      <formula>0.8</formula>
    </cfRule>
  </conditionalFormatting>
  <conditionalFormatting sqref="AF137:AF144">
    <cfRule type="cellIs" dxfId="3124" priority="3125" operator="lessThan">
      <formula>0</formula>
    </cfRule>
  </conditionalFormatting>
  <conditionalFormatting sqref="AH137 S137">
    <cfRule type="cellIs" dxfId="3123" priority="3124" operator="lessThan">
      <formula>0.8</formula>
    </cfRule>
  </conditionalFormatting>
  <conditionalFormatting sqref="AG137:AG144">
    <cfRule type="cellIs" dxfId="3122" priority="3122" operator="greaterThan">
      <formula>1</formula>
    </cfRule>
    <cfRule type="cellIs" dxfId="3121" priority="3123" operator="lessThan">
      <formula>0.8</formula>
    </cfRule>
  </conditionalFormatting>
  <conditionalFormatting sqref="AF55">
    <cfRule type="cellIs" dxfId="3120" priority="3121" operator="lessThan">
      <formula>0</formula>
    </cfRule>
  </conditionalFormatting>
  <conditionalFormatting sqref="AG55">
    <cfRule type="cellIs" dxfId="3119" priority="3119" operator="greaterThan">
      <formula>1</formula>
    </cfRule>
    <cfRule type="cellIs" dxfId="3118" priority="3120" operator="lessThan">
      <formula>0.8</formula>
    </cfRule>
  </conditionalFormatting>
  <conditionalFormatting sqref="AF56 Q56">
    <cfRule type="cellIs" dxfId="3117" priority="3118" operator="lessThan">
      <formula>0</formula>
    </cfRule>
  </conditionalFormatting>
  <conditionalFormatting sqref="R56">
    <cfRule type="cellIs" dxfId="3116" priority="3116" operator="lessThan">
      <formula>0.8</formula>
    </cfRule>
    <cfRule type="cellIs" dxfId="3115" priority="3117" operator="greaterThan">
      <formula>1</formula>
    </cfRule>
  </conditionalFormatting>
  <conditionalFormatting sqref="AG56 R56">
    <cfRule type="cellIs" dxfId="3114" priority="3114" operator="greaterThan">
      <formula>1</formula>
    </cfRule>
    <cfRule type="cellIs" dxfId="3113" priority="3115" operator="lessThan">
      <formula>0.8</formula>
    </cfRule>
  </conditionalFormatting>
  <conditionalFormatting sqref="P56">
    <cfRule type="cellIs" dxfId="3112" priority="3113" operator="greaterThan">
      <formula>0</formula>
    </cfRule>
  </conditionalFormatting>
  <conditionalFormatting sqref="P52:P55">
    <cfRule type="cellIs" dxfId="3111" priority="3107" operator="greaterThan">
      <formula>0</formula>
    </cfRule>
  </conditionalFormatting>
  <conditionalFormatting sqref="Q52:Q55">
    <cfRule type="cellIs" dxfId="3110" priority="3112" operator="lessThan">
      <formula>0</formula>
    </cfRule>
  </conditionalFormatting>
  <conditionalFormatting sqref="R52:R55">
    <cfRule type="cellIs" dxfId="3109" priority="3110" operator="lessThan">
      <formula>0.8</formula>
    </cfRule>
    <cfRule type="cellIs" dxfId="3108" priority="3111" operator="greaterThan">
      <formula>1</formula>
    </cfRule>
  </conditionalFormatting>
  <conditionalFormatting sqref="R52:R55">
    <cfRule type="cellIs" dxfId="3107" priority="3108" operator="greaterThan">
      <formula>1</formula>
    </cfRule>
    <cfRule type="cellIs" dxfId="3106" priority="3109" operator="lessThan">
      <formula>0.8</formula>
    </cfRule>
  </conditionalFormatting>
  <conditionalFormatting sqref="P80:P81">
    <cfRule type="cellIs" dxfId="3105" priority="3101" operator="greaterThan">
      <formula>0</formula>
    </cfRule>
  </conditionalFormatting>
  <conditionalFormatting sqref="AF81 Q80:Q81">
    <cfRule type="cellIs" dxfId="3104" priority="3106" operator="lessThan">
      <formula>0</formula>
    </cfRule>
  </conditionalFormatting>
  <conditionalFormatting sqref="R80:R81">
    <cfRule type="cellIs" dxfId="3103" priority="3104" operator="lessThan">
      <formula>0.8</formula>
    </cfRule>
    <cfRule type="cellIs" dxfId="3102" priority="3105" operator="greaterThan">
      <formula>1</formula>
    </cfRule>
  </conditionalFormatting>
  <conditionalFormatting sqref="AG81 R80:R81">
    <cfRule type="cellIs" dxfId="3101" priority="3102" operator="greaterThan">
      <formula>1</formula>
    </cfRule>
    <cfRule type="cellIs" dxfId="3100" priority="3103" operator="lessThan">
      <formula>0.8</formula>
    </cfRule>
  </conditionalFormatting>
  <conditionalFormatting sqref="AH85">
    <cfRule type="cellIs" dxfId="3099" priority="3100" operator="lessThan">
      <formula>0.8</formula>
    </cfRule>
  </conditionalFormatting>
  <conditionalFormatting sqref="S85">
    <cfRule type="cellIs" dxfId="3098" priority="3099" operator="lessThan">
      <formula>0.8</formula>
    </cfRule>
  </conditionalFormatting>
  <conditionalFormatting sqref="AF107">
    <cfRule type="cellIs" dxfId="3097" priority="3098" operator="lessThan">
      <formula>0</formula>
    </cfRule>
  </conditionalFormatting>
  <conditionalFormatting sqref="AH100:AH107">
    <cfRule type="cellIs" dxfId="3096" priority="3097" operator="lessThan">
      <formula>0.8</formula>
    </cfRule>
  </conditionalFormatting>
  <conditionalFormatting sqref="AG107">
    <cfRule type="cellIs" dxfId="3095" priority="3095" operator="greaterThan">
      <formula>1</formula>
    </cfRule>
    <cfRule type="cellIs" dxfId="3094" priority="3096" operator="lessThan">
      <formula>0.8</formula>
    </cfRule>
  </conditionalFormatting>
  <conditionalFormatting sqref="P106:P107">
    <cfRule type="cellIs" dxfId="3093" priority="3089" operator="greaterThan">
      <formula>0</formula>
    </cfRule>
  </conditionalFormatting>
  <conditionalFormatting sqref="Q106:Q107">
    <cfRule type="cellIs" dxfId="3092" priority="3094" operator="lessThan">
      <formula>0</formula>
    </cfRule>
  </conditionalFormatting>
  <conditionalFormatting sqref="R106:R107">
    <cfRule type="cellIs" dxfId="3091" priority="3092" operator="lessThan">
      <formula>0.8</formula>
    </cfRule>
    <cfRule type="cellIs" dxfId="3090" priority="3093" operator="greaterThan">
      <formula>1</formula>
    </cfRule>
  </conditionalFormatting>
  <conditionalFormatting sqref="R106:R107">
    <cfRule type="cellIs" dxfId="3089" priority="3090" operator="greaterThan">
      <formula>1</formula>
    </cfRule>
    <cfRule type="cellIs" dxfId="3088" priority="3091" operator="lessThan">
      <formula>0.8</formula>
    </cfRule>
  </conditionalFormatting>
  <conditionalFormatting sqref="AF109:AF120">
    <cfRule type="cellIs" dxfId="3087" priority="3088" operator="lessThan">
      <formula>0</formula>
    </cfRule>
  </conditionalFormatting>
  <conditionalFormatting sqref="S109">
    <cfRule type="cellIs" dxfId="3086" priority="3087" operator="lessThan">
      <formula>0.8</formula>
    </cfRule>
  </conditionalFormatting>
  <conditionalFormatting sqref="AG109:AG120">
    <cfRule type="cellIs" dxfId="3085" priority="3085" operator="greaterThan">
      <formula>1</formula>
    </cfRule>
    <cfRule type="cellIs" dxfId="3084" priority="3086" operator="lessThan">
      <formula>0.8</formula>
    </cfRule>
  </conditionalFormatting>
  <conditionalFormatting sqref="S150">
    <cfRule type="cellIs" dxfId="3083" priority="3084" operator="lessThan">
      <formula>0.8</formula>
    </cfRule>
  </conditionalFormatting>
  <conditionalFormatting sqref="AH150">
    <cfRule type="cellIs" dxfId="3082" priority="3083" operator="lessThan">
      <formula>0.8</formula>
    </cfRule>
  </conditionalFormatting>
  <conditionalFormatting sqref="S149">
    <cfRule type="cellIs" dxfId="3081" priority="3082" operator="lessThan">
      <formula>0.8</formula>
    </cfRule>
  </conditionalFormatting>
  <conditionalFormatting sqref="Q26:Q29">
    <cfRule type="cellIs" dxfId="3080" priority="3081" operator="lessThan">
      <formula>0</formula>
    </cfRule>
  </conditionalFormatting>
  <conditionalFormatting sqref="S21:S29 AH21:AH29">
    <cfRule type="cellIs" dxfId="3079" priority="3080" operator="lessThan">
      <formula>0.8</formula>
    </cfRule>
  </conditionalFormatting>
  <conditionalFormatting sqref="R26:R29">
    <cfRule type="cellIs" dxfId="3078" priority="3078" operator="lessThan">
      <formula>0.8</formula>
    </cfRule>
    <cfRule type="cellIs" dxfId="3077" priority="3079" operator="greaterThan">
      <formula>1</formula>
    </cfRule>
  </conditionalFormatting>
  <conditionalFormatting sqref="R26:R29">
    <cfRule type="cellIs" dxfId="3076" priority="3076" operator="greaterThan">
      <formula>1</formula>
    </cfRule>
    <cfRule type="cellIs" dxfId="3075" priority="3077" operator="lessThan">
      <formula>0.8</formula>
    </cfRule>
  </conditionalFormatting>
  <conditionalFormatting sqref="P26:P29">
    <cfRule type="cellIs" dxfId="3074" priority="3075" operator="greaterThan">
      <formula>0</formula>
    </cfRule>
  </conditionalFormatting>
  <conditionalFormatting sqref="AH91 S91">
    <cfRule type="cellIs" dxfId="3073" priority="3074" operator="lessThan">
      <formula>0.8</formula>
    </cfRule>
  </conditionalFormatting>
  <conditionalFormatting sqref="P92:P94">
    <cfRule type="cellIs" dxfId="3072" priority="3068" operator="greaterThan">
      <formula>0</formula>
    </cfRule>
  </conditionalFormatting>
  <conditionalFormatting sqref="Q92:Q94">
    <cfRule type="cellIs" dxfId="3071" priority="3073" operator="lessThan">
      <formula>0</formula>
    </cfRule>
  </conditionalFormatting>
  <conditionalFormatting sqref="R92:R94">
    <cfRule type="cellIs" dxfId="3070" priority="3071" operator="lessThan">
      <formula>0.8</formula>
    </cfRule>
    <cfRule type="cellIs" dxfId="3069" priority="3072" operator="greaterThan">
      <formula>1</formula>
    </cfRule>
  </conditionalFormatting>
  <conditionalFormatting sqref="R92:R94">
    <cfRule type="cellIs" dxfId="3068" priority="3069" operator="greaterThan">
      <formula>1</formula>
    </cfRule>
    <cfRule type="cellIs" dxfId="3067" priority="3070" operator="lessThan">
      <formula>0.8</formula>
    </cfRule>
  </conditionalFormatting>
  <conditionalFormatting sqref="AF146 Q145:Q146">
    <cfRule type="cellIs" dxfId="3066" priority="3067" operator="lessThan">
      <formula>0</formula>
    </cfRule>
  </conditionalFormatting>
  <conditionalFormatting sqref="AH139:AH146 S139:S146">
    <cfRule type="cellIs" dxfId="3065" priority="3066" operator="lessThan">
      <formula>0.8</formula>
    </cfRule>
  </conditionalFormatting>
  <conditionalFormatting sqref="R145:R146">
    <cfRule type="cellIs" dxfId="3064" priority="3064" operator="lessThan">
      <formula>0.8</formula>
    </cfRule>
    <cfRule type="cellIs" dxfId="3063" priority="3065" operator="greaterThan">
      <formula>1</formula>
    </cfRule>
  </conditionalFormatting>
  <conditionalFormatting sqref="AG146 R145:R146">
    <cfRule type="cellIs" dxfId="3062" priority="3062" operator="greaterThan">
      <formula>1</formula>
    </cfRule>
    <cfRule type="cellIs" dxfId="3061" priority="3063" operator="lessThan">
      <formula>0.8</formula>
    </cfRule>
  </conditionalFormatting>
  <conditionalFormatting sqref="P145:P146">
    <cfRule type="cellIs" dxfId="3060" priority="3061" operator="greaterThan">
      <formula>0</formula>
    </cfRule>
  </conditionalFormatting>
  <conditionalFormatting sqref="Q119:Q120">
    <cfRule type="cellIs" dxfId="3059" priority="3060" operator="lessThan">
      <formula>0</formula>
    </cfRule>
  </conditionalFormatting>
  <conditionalFormatting sqref="R119:R120">
    <cfRule type="cellIs" dxfId="3058" priority="3058" operator="lessThan">
      <formula>0.8</formula>
    </cfRule>
    <cfRule type="cellIs" dxfId="3057" priority="3059" operator="greaterThan">
      <formula>1</formula>
    </cfRule>
  </conditionalFormatting>
  <conditionalFormatting sqref="R119:R120">
    <cfRule type="cellIs" dxfId="3056" priority="3056" operator="greaterThan">
      <formula>1</formula>
    </cfRule>
    <cfRule type="cellIs" dxfId="3055" priority="3057" operator="lessThan">
      <formula>0.8</formula>
    </cfRule>
  </conditionalFormatting>
  <conditionalFormatting sqref="P119:P120">
    <cfRule type="cellIs" dxfId="3054" priority="3055" operator="greaterThan">
      <formula>0</formula>
    </cfRule>
  </conditionalFormatting>
  <conditionalFormatting sqref="S44:S56">
    <cfRule type="cellIs" dxfId="3053" priority="3054" operator="lessThan">
      <formula>0.8</formula>
    </cfRule>
  </conditionalFormatting>
  <conditionalFormatting sqref="S108">
    <cfRule type="cellIs" dxfId="3052" priority="3053" operator="lessThan">
      <formula>0.8</formula>
    </cfRule>
  </conditionalFormatting>
  <conditionalFormatting sqref="S96">
    <cfRule type="cellIs" dxfId="3051" priority="3052" operator="lessThan">
      <formula>0.8</formula>
    </cfRule>
  </conditionalFormatting>
  <conditionalFormatting sqref="S97">
    <cfRule type="cellIs" dxfId="3050" priority="3051" operator="lessThan">
      <formula>0.8</formula>
    </cfRule>
  </conditionalFormatting>
  <conditionalFormatting sqref="S103">
    <cfRule type="cellIs" dxfId="3049" priority="3050" operator="lessThan">
      <formula>0.8</formula>
    </cfRule>
  </conditionalFormatting>
  <conditionalFormatting sqref="S99">
    <cfRule type="cellIs" dxfId="3048" priority="3049" operator="lessThan">
      <formula>0.8</formula>
    </cfRule>
  </conditionalFormatting>
  <conditionalFormatting sqref="S101">
    <cfRule type="cellIs" dxfId="3047" priority="3046" operator="lessThan">
      <formula>0.8</formula>
    </cfRule>
  </conditionalFormatting>
  <conditionalFormatting sqref="S100">
    <cfRule type="cellIs" dxfId="3046" priority="3048" operator="lessThan">
      <formula>0.8</formula>
    </cfRule>
  </conditionalFormatting>
  <conditionalFormatting sqref="S102">
    <cfRule type="cellIs" dxfId="3045" priority="3047" operator="lessThan">
      <formula>0.8</formula>
    </cfRule>
  </conditionalFormatting>
  <conditionalFormatting sqref="S98">
    <cfRule type="cellIs" dxfId="3044" priority="3045" operator="lessThan">
      <formula>0.8</formula>
    </cfRule>
  </conditionalFormatting>
  <conditionalFormatting sqref="S104">
    <cfRule type="cellIs" dxfId="3043" priority="3044" operator="lessThan">
      <formula>0.8</formula>
    </cfRule>
  </conditionalFormatting>
  <conditionalFormatting sqref="Q162:Q167">
    <cfRule type="cellIs" dxfId="3042" priority="3043" operator="lessThan">
      <formula>0</formula>
    </cfRule>
  </conditionalFormatting>
  <conditionalFormatting sqref="R162:R167">
    <cfRule type="cellIs" dxfId="3041" priority="3041" operator="lessThan">
      <formula>0.8</formula>
    </cfRule>
    <cfRule type="cellIs" dxfId="3040" priority="3042" operator="greaterThan">
      <formula>1</formula>
    </cfRule>
  </conditionalFormatting>
  <conditionalFormatting sqref="R162:R167">
    <cfRule type="cellIs" dxfId="3039" priority="3039" operator="greaterThan">
      <formula>1</formula>
    </cfRule>
    <cfRule type="cellIs" dxfId="3038" priority="3040" operator="lessThan">
      <formula>0.8</formula>
    </cfRule>
  </conditionalFormatting>
  <conditionalFormatting sqref="P162:P167">
    <cfRule type="cellIs" dxfId="3037" priority="3038" operator="greaterThan">
      <formula>0</formula>
    </cfRule>
  </conditionalFormatting>
  <conditionalFormatting sqref="P168">
    <cfRule type="cellIs" dxfId="3036" priority="3032" operator="greaterThan">
      <formula>0</formula>
    </cfRule>
  </conditionalFormatting>
  <conditionalFormatting sqref="R168">
    <cfRule type="cellIs" dxfId="3035" priority="3035" operator="lessThan">
      <formula>0.8</formula>
    </cfRule>
    <cfRule type="cellIs" dxfId="3034" priority="3036" operator="greaterThan">
      <formula>1</formula>
    </cfRule>
  </conditionalFormatting>
  <conditionalFormatting sqref="R168">
    <cfRule type="cellIs" dxfId="3033" priority="3033" operator="greaterThan">
      <formula>1</formula>
    </cfRule>
    <cfRule type="cellIs" dxfId="3032" priority="3034" operator="lessThan">
      <formula>0.8</formula>
    </cfRule>
  </conditionalFormatting>
  <conditionalFormatting sqref="Q168">
    <cfRule type="cellIs" dxfId="3031" priority="3037" operator="lessThan">
      <formula>0</formula>
    </cfRule>
  </conditionalFormatting>
  <conditionalFormatting sqref="Q83">
    <cfRule type="cellIs" dxfId="3030" priority="3031" operator="lessThan">
      <formula>0</formula>
    </cfRule>
  </conditionalFormatting>
  <conditionalFormatting sqref="R83">
    <cfRule type="cellIs" dxfId="3029" priority="3029" operator="lessThan">
      <formula>0.8</formula>
    </cfRule>
    <cfRule type="cellIs" dxfId="3028" priority="3030" operator="greaterThan">
      <formula>1</formula>
    </cfRule>
  </conditionalFormatting>
  <conditionalFormatting sqref="R83">
    <cfRule type="cellIs" dxfId="3027" priority="3027" operator="greaterThan">
      <formula>1</formula>
    </cfRule>
    <cfRule type="cellIs" dxfId="3026" priority="3028" operator="lessThan">
      <formula>0.8</formula>
    </cfRule>
  </conditionalFormatting>
  <conditionalFormatting sqref="P83">
    <cfRule type="cellIs" dxfId="3025" priority="3026" operator="greaterThan">
      <formula>0</formula>
    </cfRule>
  </conditionalFormatting>
  <conditionalFormatting sqref="Q83">
    <cfRule type="cellIs" dxfId="3024" priority="3025" operator="lessThan">
      <formula>0</formula>
    </cfRule>
  </conditionalFormatting>
  <conditionalFormatting sqref="R83">
    <cfRule type="cellIs" dxfId="3023" priority="3023" operator="lessThan">
      <formula>0.8</formula>
    </cfRule>
    <cfRule type="cellIs" dxfId="3022" priority="3024" operator="greaterThan">
      <formula>1</formula>
    </cfRule>
  </conditionalFormatting>
  <conditionalFormatting sqref="R83">
    <cfRule type="cellIs" dxfId="3021" priority="3021" operator="greaterThan">
      <formula>1</formula>
    </cfRule>
    <cfRule type="cellIs" dxfId="3020" priority="3022" operator="lessThan">
      <formula>0.8</formula>
    </cfRule>
  </conditionalFormatting>
  <conditionalFormatting sqref="P83">
    <cfRule type="cellIs" dxfId="3019" priority="3020" operator="greaterThan">
      <formula>0</formula>
    </cfRule>
  </conditionalFormatting>
  <conditionalFormatting sqref="Q83">
    <cfRule type="cellIs" dxfId="3018" priority="3019" operator="lessThan">
      <formula>0</formula>
    </cfRule>
  </conditionalFormatting>
  <conditionalFormatting sqref="R83">
    <cfRule type="cellIs" dxfId="3017" priority="3017" operator="lessThan">
      <formula>0.8</formula>
    </cfRule>
    <cfRule type="cellIs" dxfId="3016" priority="3018" operator="greaterThan">
      <formula>1</formula>
    </cfRule>
  </conditionalFormatting>
  <conditionalFormatting sqref="R83">
    <cfRule type="cellIs" dxfId="3015" priority="3015" operator="greaterThan">
      <formula>1</formula>
    </cfRule>
    <cfRule type="cellIs" dxfId="3014" priority="3016" operator="lessThan">
      <formula>0.8</formula>
    </cfRule>
  </conditionalFormatting>
  <conditionalFormatting sqref="P83">
    <cfRule type="cellIs" dxfId="3013" priority="3014" operator="greaterThan">
      <formula>0</formula>
    </cfRule>
  </conditionalFormatting>
  <conditionalFormatting sqref="Q83">
    <cfRule type="cellIs" dxfId="3012" priority="3013" operator="lessThan">
      <formula>0</formula>
    </cfRule>
  </conditionalFormatting>
  <conditionalFormatting sqref="R83">
    <cfRule type="cellIs" dxfId="3011" priority="3011" operator="lessThan">
      <formula>0.8</formula>
    </cfRule>
    <cfRule type="cellIs" dxfId="3010" priority="3012" operator="greaterThan">
      <formula>1</formula>
    </cfRule>
  </conditionalFormatting>
  <conditionalFormatting sqref="R83">
    <cfRule type="cellIs" dxfId="3009" priority="3009" operator="greaterThan">
      <formula>1</formula>
    </cfRule>
    <cfRule type="cellIs" dxfId="3008" priority="3010" operator="lessThan">
      <formula>0.8</formula>
    </cfRule>
  </conditionalFormatting>
  <conditionalFormatting sqref="P83">
    <cfRule type="cellIs" dxfId="3007" priority="3008" operator="greaterThan">
      <formula>0</formula>
    </cfRule>
  </conditionalFormatting>
  <conditionalFormatting sqref="P83">
    <cfRule type="cellIs" dxfId="3006" priority="3002" operator="greaterThan">
      <formula>0</formula>
    </cfRule>
  </conditionalFormatting>
  <conditionalFormatting sqref="Q83">
    <cfRule type="cellIs" dxfId="3005" priority="3007" operator="lessThan">
      <formula>0</formula>
    </cfRule>
  </conditionalFormatting>
  <conditionalFormatting sqref="R83">
    <cfRule type="cellIs" dxfId="3004" priority="3005" operator="lessThan">
      <formula>0.8</formula>
    </cfRule>
    <cfRule type="cellIs" dxfId="3003" priority="3006" operator="greaterThan">
      <formula>1</formula>
    </cfRule>
  </conditionalFormatting>
  <conditionalFormatting sqref="R83">
    <cfRule type="cellIs" dxfId="3002" priority="3003" operator="greaterThan">
      <formula>1</formula>
    </cfRule>
    <cfRule type="cellIs" dxfId="3001" priority="3004" operator="lessThan">
      <formula>0.8</formula>
    </cfRule>
  </conditionalFormatting>
  <conditionalFormatting sqref="P83">
    <cfRule type="cellIs" dxfId="3000" priority="2996" operator="greaterThan">
      <formula>0</formula>
    </cfRule>
  </conditionalFormatting>
  <conditionalFormatting sqref="Q83">
    <cfRule type="cellIs" dxfId="2999" priority="3001" operator="lessThan">
      <formula>0</formula>
    </cfRule>
  </conditionalFormatting>
  <conditionalFormatting sqref="R83">
    <cfRule type="cellIs" dxfId="2998" priority="2999" operator="lessThan">
      <formula>0.8</formula>
    </cfRule>
    <cfRule type="cellIs" dxfId="2997" priority="3000" operator="greaterThan">
      <formula>1</formula>
    </cfRule>
  </conditionalFormatting>
  <conditionalFormatting sqref="R83">
    <cfRule type="cellIs" dxfId="2996" priority="2997" operator="greaterThan">
      <formula>1</formula>
    </cfRule>
    <cfRule type="cellIs" dxfId="2995" priority="2998" operator="lessThan">
      <formula>0.8</formula>
    </cfRule>
  </conditionalFormatting>
  <conditionalFormatting sqref="R83">
    <cfRule type="cellIs" dxfId="2994" priority="2993" operator="lessThan">
      <formula>0.8</formula>
    </cfRule>
    <cfRule type="cellIs" dxfId="2993" priority="2994" operator="greaterThan">
      <formula>1</formula>
    </cfRule>
  </conditionalFormatting>
  <conditionalFormatting sqref="R83">
    <cfRule type="cellIs" dxfId="2992" priority="2991" operator="greaterThan">
      <formula>1</formula>
    </cfRule>
    <cfRule type="cellIs" dxfId="2991" priority="2992" operator="lessThan">
      <formula>0.8</formula>
    </cfRule>
  </conditionalFormatting>
  <conditionalFormatting sqref="P83">
    <cfRule type="cellIs" dxfId="2990" priority="2990" operator="greaterThan">
      <formula>0</formula>
    </cfRule>
  </conditionalFormatting>
  <conditionalFormatting sqref="Q83">
    <cfRule type="cellIs" dxfId="2989" priority="2995" operator="lessThan">
      <formula>0</formula>
    </cfRule>
  </conditionalFormatting>
  <conditionalFormatting sqref="Q83">
    <cfRule type="cellIs" dxfId="2988" priority="2989" operator="lessThan">
      <formula>0</formula>
    </cfRule>
  </conditionalFormatting>
  <conditionalFormatting sqref="R83">
    <cfRule type="cellIs" dxfId="2987" priority="2987" operator="lessThan">
      <formula>0.8</formula>
    </cfRule>
    <cfRule type="cellIs" dxfId="2986" priority="2988" operator="greaterThan">
      <formula>1</formula>
    </cfRule>
  </conditionalFormatting>
  <conditionalFormatting sqref="R83">
    <cfRule type="cellIs" dxfId="2985" priority="2985" operator="greaterThan">
      <formula>1</formula>
    </cfRule>
    <cfRule type="cellIs" dxfId="2984" priority="2986" operator="lessThan">
      <formula>0.8</formula>
    </cfRule>
  </conditionalFormatting>
  <conditionalFormatting sqref="P83">
    <cfRule type="cellIs" dxfId="2983" priority="2984" operator="greaterThan">
      <formula>0</formula>
    </cfRule>
  </conditionalFormatting>
  <conditionalFormatting sqref="P83">
    <cfRule type="cellIs" dxfId="2982" priority="2978" operator="greaterThan">
      <formula>0</formula>
    </cfRule>
  </conditionalFormatting>
  <conditionalFormatting sqref="Q83">
    <cfRule type="cellIs" dxfId="2981" priority="2983" operator="lessThan">
      <formula>0</formula>
    </cfRule>
  </conditionalFormatting>
  <conditionalFormatting sqref="R83">
    <cfRule type="cellIs" dxfId="2980" priority="2981" operator="lessThan">
      <formula>0.8</formula>
    </cfRule>
    <cfRule type="cellIs" dxfId="2979" priority="2982" operator="greaterThan">
      <formula>1</formula>
    </cfRule>
  </conditionalFormatting>
  <conditionalFormatting sqref="R83">
    <cfRule type="cellIs" dxfId="2978" priority="2979" operator="greaterThan">
      <formula>1</formula>
    </cfRule>
    <cfRule type="cellIs" dxfId="2977" priority="2980" operator="lessThan">
      <formula>0.8</formula>
    </cfRule>
  </conditionalFormatting>
  <conditionalFormatting sqref="P83">
    <cfRule type="cellIs" dxfId="2976" priority="2972" operator="greaterThan">
      <formula>0</formula>
    </cfRule>
  </conditionalFormatting>
  <conditionalFormatting sqref="Q83">
    <cfRule type="cellIs" dxfId="2975" priority="2977" operator="lessThan">
      <formula>0</formula>
    </cfRule>
  </conditionalFormatting>
  <conditionalFormatting sqref="R83">
    <cfRule type="cellIs" dxfId="2974" priority="2975" operator="lessThan">
      <formula>0.8</formula>
    </cfRule>
    <cfRule type="cellIs" dxfId="2973" priority="2976" operator="greaterThan">
      <formula>1</formula>
    </cfRule>
  </conditionalFormatting>
  <conditionalFormatting sqref="R83">
    <cfRule type="cellIs" dxfId="2972" priority="2973" operator="greaterThan">
      <formula>1</formula>
    </cfRule>
    <cfRule type="cellIs" dxfId="2971" priority="2974" operator="lessThan">
      <formula>0.8</formula>
    </cfRule>
  </conditionalFormatting>
  <conditionalFormatting sqref="R83">
    <cfRule type="cellIs" dxfId="2970" priority="2969" operator="lessThan">
      <formula>0.8</formula>
    </cfRule>
    <cfRule type="cellIs" dxfId="2969" priority="2970" operator="greaterThan">
      <formula>1</formula>
    </cfRule>
  </conditionalFormatting>
  <conditionalFormatting sqref="R83">
    <cfRule type="cellIs" dxfId="2968" priority="2967" operator="greaterThan">
      <formula>1</formula>
    </cfRule>
    <cfRule type="cellIs" dxfId="2967" priority="2968" operator="lessThan">
      <formula>0.8</formula>
    </cfRule>
  </conditionalFormatting>
  <conditionalFormatting sqref="P83">
    <cfRule type="cellIs" dxfId="2966" priority="2966" operator="greaterThan">
      <formula>0</formula>
    </cfRule>
  </conditionalFormatting>
  <conditionalFormatting sqref="Q83">
    <cfRule type="cellIs" dxfId="2965" priority="2971" operator="lessThan">
      <formula>0</formula>
    </cfRule>
  </conditionalFormatting>
  <conditionalFormatting sqref="P83">
    <cfRule type="cellIs" dxfId="2964" priority="2960" operator="greaterThan">
      <formula>0</formula>
    </cfRule>
  </conditionalFormatting>
  <conditionalFormatting sqref="Q83">
    <cfRule type="cellIs" dxfId="2963" priority="2965" operator="lessThan">
      <formula>0</formula>
    </cfRule>
  </conditionalFormatting>
  <conditionalFormatting sqref="R83">
    <cfRule type="cellIs" dxfId="2962" priority="2963" operator="lessThan">
      <formula>0.8</formula>
    </cfRule>
    <cfRule type="cellIs" dxfId="2961" priority="2964" operator="greaterThan">
      <formula>1</formula>
    </cfRule>
  </conditionalFormatting>
  <conditionalFormatting sqref="R83">
    <cfRule type="cellIs" dxfId="2960" priority="2961" operator="greaterThan">
      <formula>1</formula>
    </cfRule>
    <cfRule type="cellIs" dxfId="2959" priority="2962" operator="lessThan">
      <formula>0.8</formula>
    </cfRule>
  </conditionalFormatting>
  <conditionalFormatting sqref="R83">
    <cfRule type="cellIs" dxfId="2958" priority="2957" operator="lessThan">
      <formula>0.8</formula>
    </cfRule>
    <cfRule type="cellIs" dxfId="2957" priority="2958" operator="greaterThan">
      <formula>1</formula>
    </cfRule>
  </conditionalFormatting>
  <conditionalFormatting sqref="R83">
    <cfRule type="cellIs" dxfId="2956" priority="2955" operator="greaterThan">
      <formula>1</formula>
    </cfRule>
    <cfRule type="cellIs" dxfId="2955" priority="2956" operator="lessThan">
      <formula>0.8</formula>
    </cfRule>
  </conditionalFormatting>
  <conditionalFormatting sqref="P83">
    <cfRule type="cellIs" dxfId="2954" priority="2954" operator="greaterThan">
      <formula>0</formula>
    </cfRule>
  </conditionalFormatting>
  <conditionalFormatting sqref="Q83">
    <cfRule type="cellIs" dxfId="2953" priority="2959" operator="lessThan">
      <formula>0</formula>
    </cfRule>
  </conditionalFormatting>
  <conditionalFormatting sqref="R83">
    <cfRule type="cellIs" dxfId="2952" priority="2951" operator="lessThan">
      <formula>0.8</formula>
    </cfRule>
    <cfRule type="cellIs" dxfId="2951" priority="2952" operator="greaterThan">
      <formula>1</formula>
    </cfRule>
  </conditionalFormatting>
  <conditionalFormatting sqref="R83">
    <cfRule type="cellIs" dxfId="2950" priority="2949" operator="greaterThan">
      <formula>1</formula>
    </cfRule>
    <cfRule type="cellIs" dxfId="2949" priority="2950" operator="lessThan">
      <formula>0.8</formula>
    </cfRule>
  </conditionalFormatting>
  <conditionalFormatting sqref="P83">
    <cfRule type="cellIs" dxfId="2948" priority="2948" operator="greaterThan">
      <formula>0</formula>
    </cfRule>
  </conditionalFormatting>
  <conditionalFormatting sqref="Q83">
    <cfRule type="cellIs" dxfId="2947" priority="2953" operator="lessThan">
      <formula>0</formula>
    </cfRule>
  </conditionalFormatting>
  <conditionalFormatting sqref="Q83">
    <cfRule type="cellIs" dxfId="2946" priority="2947" operator="lessThan">
      <formula>0</formula>
    </cfRule>
  </conditionalFormatting>
  <conditionalFormatting sqref="R83">
    <cfRule type="cellIs" dxfId="2945" priority="2945" operator="lessThan">
      <formula>0.8</formula>
    </cfRule>
    <cfRule type="cellIs" dxfId="2944" priority="2946" operator="greaterThan">
      <formula>1</formula>
    </cfRule>
  </conditionalFormatting>
  <conditionalFormatting sqref="R83">
    <cfRule type="cellIs" dxfId="2943" priority="2943" operator="greaterThan">
      <formula>1</formula>
    </cfRule>
    <cfRule type="cellIs" dxfId="2942" priority="2944" operator="lessThan">
      <formula>0.8</formula>
    </cfRule>
  </conditionalFormatting>
  <conditionalFormatting sqref="P83">
    <cfRule type="cellIs" dxfId="2941" priority="2942" operator="greaterThan">
      <formula>0</formula>
    </cfRule>
  </conditionalFormatting>
  <conditionalFormatting sqref="Q83">
    <cfRule type="cellIs" dxfId="2940" priority="2936" operator="lessThan">
      <formula>0</formula>
    </cfRule>
  </conditionalFormatting>
  <conditionalFormatting sqref="R83">
    <cfRule type="cellIs" dxfId="2939" priority="2940" operator="lessThan">
      <formula>0.8</formula>
    </cfRule>
    <cfRule type="cellIs" dxfId="2938" priority="2941" operator="greaterThan">
      <formula>1</formula>
    </cfRule>
  </conditionalFormatting>
  <conditionalFormatting sqref="R83">
    <cfRule type="cellIs" dxfId="2937" priority="2938" operator="greaterThan">
      <formula>1</formula>
    </cfRule>
    <cfRule type="cellIs" dxfId="2936" priority="2939" operator="lessThan">
      <formula>0.8</formula>
    </cfRule>
  </conditionalFormatting>
  <conditionalFormatting sqref="P83">
    <cfRule type="cellIs" dxfId="2935" priority="2937" operator="greaterThan">
      <formula>0</formula>
    </cfRule>
  </conditionalFormatting>
  <conditionalFormatting sqref="Q83">
    <cfRule type="cellIs" dxfId="2934" priority="2935" operator="lessThan">
      <formula>0</formula>
    </cfRule>
  </conditionalFormatting>
  <conditionalFormatting sqref="R83">
    <cfRule type="cellIs" dxfId="2933" priority="2933" operator="lessThan">
      <formula>0.8</formula>
    </cfRule>
    <cfRule type="cellIs" dxfId="2932" priority="2934" operator="greaterThan">
      <formula>1</formula>
    </cfRule>
  </conditionalFormatting>
  <conditionalFormatting sqref="R83">
    <cfRule type="cellIs" dxfId="2931" priority="2931" operator="greaterThan">
      <formula>1</formula>
    </cfRule>
    <cfRule type="cellIs" dxfId="2930" priority="2932" operator="lessThan">
      <formula>0.8</formula>
    </cfRule>
  </conditionalFormatting>
  <conditionalFormatting sqref="P83">
    <cfRule type="cellIs" dxfId="2929" priority="2930" operator="greaterThan">
      <formula>0</formula>
    </cfRule>
  </conditionalFormatting>
  <conditionalFormatting sqref="Q83">
    <cfRule type="cellIs" dxfId="2928" priority="2929" operator="lessThan">
      <formula>0</formula>
    </cfRule>
  </conditionalFormatting>
  <conditionalFormatting sqref="R83">
    <cfRule type="cellIs" dxfId="2927" priority="2927" operator="lessThan">
      <formula>0.8</formula>
    </cfRule>
    <cfRule type="cellIs" dxfId="2926" priority="2928" operator="greaterThan">
      <formula>1</formula>
    </cfRule>
  </conditionalFormatting>
  <conditionalFormatting sqref="R83">
    <cfRule type="cellIs" dxfId="2925" priority="2925" operator="greaterThan">
      <formula>1</formula>
    </cfRule>
    <cfRule type="cellIs" dxfId="2924" priority="2926" operator="lessThan">
      <formula>0.8</formula>
    </cfRule>
  </conditionalFormatting>
  <conditionalFormatting sqref="P83">
    <cfRule type="cellIs" dxfId="2923" priority="2924" operator="greaterThan">
      <formula>0</formula>
    </cfRule>
  </conditionalFormatting>
  <conditionalFormatting sqref="Q83">
    <cfRule type="cellIs" dxfId="2922" priority="2923" operator="lessThan">
      <formula>0</formula>
    </cfRule>
  </conditionalFormatting>
  <conditionalFormatting sqref="R83">
    <cfRule type="cellIs" dxfId="2921" priority="2921" operator="lessThan">
      <formula>0.8</formula>
    </cfRule>
    <cfRule type="cellIs" dxfId="2920" priority="2922" operator="greaterThan">
      <formula>1</formula>
    </cfRule>
  </conditionalFormatting>
  <conditionalFormatting sqref="R83">
    <cfRule type="cellIs" dxfId="2919" priority="2919" operator="greaterThan">
      <formula>1</formula>
    </cfRule>
    <cfRule type="cellIs" dxfId="2918" priority="2920" operator="lessThan">
      <formula>0.8</formula>
    </cfRule>
  </conditionalFormatting>
  <conditionalFormatting sqref="P83">
    <cfRule type="cellIs" dxfId="2917" priority="2918" operator="greaterThan">
      <formula>0</formula>
    </cfRule>
  </conditionalFormatting>
  <conditionalFormatting sqref="Q83">
    <cfRule type="cellIs" dxfId="2916" priority="2917" operator="lessThan">
      <formula>0</formula>
    </cfRule>
  </conditionalFormatting>
  <conditionalFormatting sqref="R83">
    <cfRule type="cellIs" dxfId="2915" priority="2915" operator="lessThan">
      <formula>0.8</formula>
    </cfRule>
    <cfRule type="cellIs" dxfId="2914" priority="2916" operator="greaterThan">
      <formula>1</formula>
    </cfRule>
  </conditionalFormatting>
  <conditionalFormatting sqref="R83">
    <cfRule type="cellIs" dxfId="2913" priority="2913" operator="greaterThan">
      <formula>1</formula>
    </cfRule>
    <cfRule type="cellIs" dxfId="2912" priority="2914" operator="lessThan">
      <formula>0.8</formula>
    </cfRule>
  </conditionalFormatting>
  <conditionalFormatting sqref="P83">
    <cfRule type="cellIs" dxfId="2911" priority="2912" operator="greaterThan">
      <formula>0</formula>
    </cfRule>
  </conditionalFormatting>
  <conditionalFormatting sqref="Q83">
    <cfRule type="cellIs" dxfId="2910" priority="2911" operator="lessThan">
      <formula>0</formula>
    </cfRule>
  </conditionalFormatting>
  <conditionalFormatting sqref="R83">
    <cfRule type="cellIs" dxfId="2909" priority="2909" operator="lessThan">
      <formula>0.8</formula>
    </cfRule>
    <cfRule type="cellIs" dxfId="2908" priority="2910" operator="greaterThan">
      <formula>1</formula>
    </cfRule>
  </conditionalFormatting>
  <conditionalFormatting sqref="R83">
    <cfRule type="cellIs" dxfId="2907" priority="2907" operator="greaterThan">
      <formula>1</formula>
    </cfRule>
    <cfRule type="cellIs" dxfId="2906" priority="2908" operator="lessThan">
      <formula>0.8</formula>
    </cfRule>
  </conditionalFormatting>
  <conditionalFormatting sqref="P83">
    <cfRule type="cellIs" dxfId="2905" priority="2906" operator="greaterThan">
      <formula>0</formula>
    </cfRule>
  </conditionalFormatting>
  <conditionalFormatting sqref="P83">
    <cfRule type="cellIs" dxfId="2904" priority="2900" operator="greaterThan">
      <formula>0</formula>
    </cfRule>
  </conditionalFormatting>
  <conditionalFormatting sqref="Q83">
    <cfRule type="cellIs" dxfId="2903" priority="2905" operator="lessThan">
      <formula>0</formula>
    </cfRule>
  </conditionalFormatting>
  <conditionalFormatting sqref="R83">
    <cfRule type="cellIs" dxfId="2902" priority="2903" operator="lessThan">
      <formula>0.8</formula>
    </cfRule>
    <cfRule type="cellIs" dxfId="2901" priority="2904" operator="greaterThan">
      <formula>1</formula>
    </cfRule>
  </conditionalFormatting>
  <conditionalFormatting sqref="R83">
    <cfRule type="cellIs" dxfId="2900" priority="2901" operator="greaterThan">
      <formula>1</formula>
    </cfRule>
    <cfRule type="cellIs" dxfId="2899" priority="2902" operator="lessThan">
      <formula>0.8</formula>
    </cfRule>
  </conditionalFormatting>
  <conditionalFormatting sqref="P83">
    <cfRule type="cellIs" dxfId="2898" priority="2894" operator="greaterThan">
      <formula>0</formula>
    </cfRule>
  </conditionalFormatting>
  <conditionalFormatting sqref="Q83">
    <cfRule type="cellIs" dxfId="2897" priority="2899" operator="lessThan">
      <formula>0</formula>
    </cfRule>
  </conditionalFormatting>
  <conditionalFormatting sqref="R83">
    <cfRule type="cellIs" dxfId="2896" priority="2897" operator="lessThan">
      <formula>0.8</formula>
    </cfRule>
    <cfRule type="cellIs" dxfId="2895" priority="2898" operator="greaterThan">
      <formula>1</formula>
    </cfRule>
  </conditionalFormatting>
  <conditionalFormatting sqref="R83">
    <cfRule type="cellIs" dxfId="2894" priority="2895" operator="greaterThan">
      <formula>1</formula>
    </cfRule>
    <cfRule type="cellIs" dxfId="2893" priority="2896" operator="lessThan">
      <formula>0.8</formula>
    </cfRule>
  </conditionalFormatting>
  <conditionalFormatting sqref="R83">
    <cfRule type="cellIs" dxfId="2892" priority="2891" operator="lessThan">
      <formula>0.8</formula>
    </cfRule>
    <cfRule type="cellIs" dxfId="2891" priority="2892" operator="greaterThan">
      <formula>1</formula>
    </cfRule>
  </conditionalFormatting>
  <conditionalFormatting sqref="R83">
    <cfRule type="cellIs" dxfId="2890" priority="2889" operator="greaterThan">
      <formula>1</formula>
    </cfRule>
    <cfRule type="cellIs" dxfId="2889" priority="2890" operator="lessThan">
      <formula>0.8</formula>
    </cfRule>
  </conditionalFormatting>
  <conditionalFormatting sqref="P83">
    <cfRule type="cellIs" dxfId="2888" priority="2888" operator="greaterThan">
      <formula>0</formula>
    </cfRule>
  </conditionalFormatting>
  <conditionalFormatting sqref="Q83">
    <cfRule type="cellIs" dxfId="2887" priority="2893" operator="lessThan">
      <formula>0</formula>
    </cfRule>
  </conditionalFormatting>
  <conditionalFormatting sqref="Q83">
    <cfRule type="cellIs" dxfId="2886" priority="2887" operator="lessThan">
      <formula>0</formula>
    </cfRule>
  </conditionalFormatting>
  <conditionalFormatting sqref="R83">
    <cfRule type="cellIs" dxfId="2885" priority="2885" operator="lessThan">
      <formula>0.8</formula>
    </cfRule>
    <cfRule type="cellIs" dxfId="2884" priority="2886" operator="greaterThan">
      <formula>1</formula>
    </cfRule>
  </conditionalFormatting>
  <conditionalFormatting sqref="R83">
    <cfRule type="cellIs" dxfId="2883" priority="2883" operator="greaterThan">
      <formula>1</formula>
    </cfRule>
    <cfRule type="cellIs" dxfId="2882" priority="2884" operator="lessThan">
      <formula>0.8</formula>
    </cfRule>
  </conditionalFormatting>
  <conditionalFormatting sqref="P83">
    <cfRule type="cellIs" dxfId="2881" priority="2882" operator="greaterThan">
      <formula>0</formula>
    </cfRule>
  </conditionalFormatting>
  <conditionalFormatting sqref="Q83">
    <cfRule type="cellIs" dxfId="2880" priority="2881" operator="lessThan">
      <formula>0</formula>
    </cfRule>
  </conditionalFormatting>
  <conditionalFormatting sqref="R83">
    <cfRule type="cellIs" dxfId="2879" priority="2879" operator="lessThan">
      <formula>0.8</formula>
    </cfRule>
    <cfRule type="cellIs" dxfId="2878" priority="2880" operator="greaterThan">
      <formula>1</formula>
    </cfRule>
  </conditionalFormatting>
  <conditionalFormatting sqref="R83">
    <cfRule type="cellIs" dxfId="2877" priority="2877" operator="greaterThan">
      <formula>1</formula>
    </cfRule>
    <cfRule type="cellIs" dxfId="2876" priority="2878" operator="lessThan">
      <formula>0.8</formula>
    </cfRule>
  </conditionalFormatting>
  <conditionalFormatting sqref="P83">
    <cfRule type="cellIs" dxfId="2875" priority="2876" operator="greaterThan">
      <formula>0</formula>
    </cfRule>
  </conditionalFormatting>
  <conditionalFormatting sqref="Q83">
    <cfRule type="cellIs" dxfId="2874" priority="2875" operator="lessThan">
      <formula>0</formula>
    </cfRule>
  </conditionalFormatting>
  <conditionalFormatting sqref="R83">
    <cfRule type="cellIs" dxfId="2873" priority="2873" operator="lessThan">
      <formula>0.8</formula>
    </cfRule>
    <cfRule type="cellIs" dxfId="2872" priority="2874" operator="greaterThan">
      <formula>1</formula>
    </cfRule>
  </conditionalFormatting>
  <conditionalFormatting sqref="R83">
    <cfRule type="cellIs" dxfId="2871" priority="2871" operator="greaterThan">
      <formula>1</formula>
    </cfRule>
    <cfRule type="cellIs" dxfId="2870" priority="2872" operator="lessThan">
      <formula>0.8</formula>
    </cfRule>
  </conditionalFormatting>
  <conditionalFormatting sqref="P83">
    <cfRule type="cellIs" dxfId="2869" priority="2870" operator="greaterThan">
      <formula>0</formula>
    </cfRule>
  </conditionalFormatting>
  <conditionalFormatting sqref="Q83">
    <cfRule type="cellIs" dxfId="2868" priority="2869" operator="lessThan">
      <formula>0</formula>
    </cfRule>
  </conditionalFormatting>
  <conditionalFormatting sqref="R83">
    <cfRule type="cellIs" dxfId="2867" priority="2867" operator="lessThan">
      <formula>0.8</formula>
    </cfRule>
    <cfRule type="cellIs" dxfId="2866" priority="2868" operator="greaterThan">
      <formula>1</formula>
    </cfRule>
  </conditionalFormatting>
  <conditionalFormatting sqref="R83">
    <cfRule type="cellIs" dxfId="2865" priority="2865" operator="greaterThan">
      <formula>1</formula>
    </cfRule>
    <cfRule type="cellIs" dxfId="2864" priority="2866" operator="lessThan">
      <formula>0.8</formula>
    </cfRule>
  </conditionalFormatting>
  <conditionalFormatting sqref="P83">
    <cfRule type="cellIs" dxfId="2863" priority="2864" operator="greaterThan">
      <formula>0</formula>
    </cfRule>
  </conditionalFormatting>
  <conditionalFormatting sqref="P83">
    <cfRule type="cellIs" dxfId="2862" priority="2858" operator="greaterThan">
      <formula>0</formula>
    </cfRule>
  </conditionalFormatting>
  <conditionalFormatting sqref="Q83">
    <cfRule type="cellIs" dxfId="2861" priority="2863" operator="lessThan">
      <formula>0</formula>
    </cfRule>
  </conditionalFormatting>
  <conditionalFormatting sqref="R83">
    <cfRule type="cellIs" dxfId="2860" priority="2861" operator="lessThan">
      <formula>0.8</formula>
    </cfRule>
    <cfRule type="cellIs" dxfId="2859" priority="2862" operator="greaterThan">
      <formula>1</formula>
    </cfRule>
  </conditionalFormatting>
  <conditionalFormatting sqref="R83">
    <cfRule type="cellIs" dxfId="2858" priority="2859" operator="greaterThan">
      <formula>1</formula>
    </cfRule>
    <cfRule type="cellIs" dxfId="2857" priority="2860" operator="lessThan">
      <formula>0.8</formula>
    </cfRule>
  </conditionalFormatting>
  <conditionalFormatting sqref="P83">
    <cfRule type="cellIs" dxfId="2856" priority="2852" operator="greaterThan">
      <formula>0</formula>
    </cfRule>
  </conditionalFormatting>
  <conditionalFormatting sqref="Q83">
    <cfRule type="cellIs" dxfId="2855" priority="2857" operator="lessThan">
      <formula>0</formula>
    </cfRule>
  </conditionalFormatting>
  <conditionalFormatting sqref="R83">
    <cfRule type="cellIs" dxfId="2854" priority="2855" operator="lessThan">
      <formula>0.8</formula>
    </cfRule>
    <cfRule type="cellIs" dxfId="2853" priority="2856" operator="greaterThan">
      <formula>1</formula>
    </cfRule>
  </conditionalFormatting>
  <conditionalFormatting sqref="R83">
    <cfRule type="cellIs" dxfId="2852" priority="2853" operator="greaterThan">
      <formula>1</formula>
    </cfRule>
    <cfRule type="cellIs" dxfId="2851" priority="2854" operator="lessThan">
      <formula>0.8</formula>
    </cfRule>
  </conditionalFormatting>
  <conditionalFormatting sqref="R83">
    <cfRule type="cellIs" dxfId="2850" priority="2849" operator="lessThan">
      <formula>0.8</formula>
    </cfRule>
    <cfRule type="cellIs" dxfId="2849" priority="2850" operator="greaterThan">
      <formula>1</formula>
    </cfRule>
  </conditionalFormatting>
  <conditionalFormatting sqref="R83">
    <cfRule type="cellIs" dxfId="2848" priority="2847" operator="greaterThan">
      <formula>1</formula>
    </cfRule>
    <cfRule type="cellIs" dxfId="2847" priority="2848" operator="lessThan">
      <formula>0.8</formula>
    </cfRule>
  </conditionalFormatting>
  <conditionalFormatting sqref="P83">
    <cfRule type="cellIs" dxfId="2846" priority="2846" operator="greaterThan">
      <formula>0</formula>
    </cfRule>
  </conditionalFormatting>
  <conditionalFormatting sqref="Q83">
    <cfRule type="cellIs" dxfId="2845" priority="2851" operator="lessThan">
      <formula>0</formula>
    </cfRule>
  </conditionalFormatting>
  <conditionalFormatting sqref="Q83">
    <cfRule type="cellIs" dxfId="2844" priority="2845" operator="lessThan">
      <formula>0</formula>
    </cfRule>
  </conditionalFormatting>
  <conditionalFormatting sqref="R83">
    <cfRule type="cellIs" dxfId="2843" priority="2843" operator="lessThan">
      <formula>0.8</formula>
    </cfRule>
    <cfRule type="cellIs" dxfId="2842" priority="2844" operator="greaterThan">
      <formula>1</formula>
    </cfRule>
  </conditionalFormatting>
  <conditionalFormatting sqref="R83">
    <cfRule type="cellIs" dxfId="2841" priority="2841" operator="greaterThan">
      <formula>1</formula>
    </cfRule>
    <cfRule type="cellIs" dxfId="2840" priority="2842" operator="lessThan">
      <formula>0.8</formula>
    </cfRule>
  </conditionalFormatting>
  <conditionalFormatting sqref="P83">
    <cfRule type="cellIs" dxfId="2839" priority="2840" operator="greaterThan">
      <formula>0</formula>
    </cfRule>
  </conditionalFormatting>
  <conditionalFormatting sqref="P83">
    <cfRule type="cellIs" dxfId="2838" priority="2834" operator="greaterThan">
      <formula>0</formula>
    </cfRule>
  </conditionalFormatting>
  <conditionalFormatting sqref="Q83">
    <cfRule type="cellIs" dxfId="2837" priority="2839" operator="lessThan">
      <formula>0</formula>
    </cfRule>
  </conditionalFormatting>
  <conditionalFormatting sqref="R83">
    <cfRule type="cellIs" dxfId="2836" priority="2837" operator="lessThan">
      <formula>0.8</formula>
    </cfRule>
    <cfRule type="cellIs" dxfId="2835" priority="2838" operator="greaterThan">
      <formula>1</formula>
    </cfRule>
  </conditionalFormatting>
  <conditionalFormatting sqref="R83">
    <cfRule type="cellIs" dxfId="2834" priority="2835" operator="greaterThan">
      <formula>1</formula>
    </cfRule>
    <cfRule type="cellIs" dxfId="2833" priority="2836" operator="lessThan">
      <formula>0.8</formula>
    </cfRule>
  </conditionalFormatting>
  <conditionalFormatting sqref="P83">
    <cfRule type="cellIs" dxfId="2832" priority="2828" operator="greaterThan">
      <formula>0</formula>
    </cfRule>
  </conditionalFormatting>
  <conditionalFormatting sqref="Q83">
    <cfRule type="cellIs" dxfId="2831" priority="2833" operator="lessThan">
      <formula>0</formula>
    </cfRule>
  </conditionalFormatting>
  <conditionalFormatting sqref="R83">
    <cfRule type="cellIs" dxfId="2830" priority="2831" operator="lessThan">
      <formula>0.8</formula>
    </cfRule>
    <cfRule type="cellIs" dxfId="2829" priority="2832" operator="greaterThan">
      <formula>1</formula>
    </cfRule>
  </conditionalFormatting>
  <conditionalFormatting sqref="R83">
    <cfRule type="cellIs" dxfId="2828" priority="2829" operator="greaterThan">
      <formula>1</formula>
    </cfRule>
    <cfRule type="cellIs" dxfId="2827" priority="2830" operator="lessThan">
      <formula>0.8</formula>
    </cfRule>
  </conditionalFormatting>
  <conditionalFormatting sqref="R83">
    <cfRule type="cellIs" dxfId="2826" priority="2825" operator="lessThan">
      <formula>0.8</formula>
    </cfRule>
    <cfRule type="cellIs" dxfId="2825" priority="2826" operator="greaterThan">
      <formula>1</formula>
    </cfRule>
  </conditionalFormatting>
  <conditionalFormatting sqref="R83">
    <cfRule type="cellIs" dxfId="2824" priority="2823" operator="greaterThan">
      <formula>1</formula>
    </cfRule>
    <cfRule type="cellIs" dxfId="2823" priority="2824" operator="lessThan">
      <formula>0.8</formula>
    </cfRule>
  </conditionalFormatting>
  <conditionalFormatting sqref="P83">
    <cfRule type="cellIs" dxfId="2822" priority="2822" operator="greaterThan">
      <formula>0</formula>
    </cfRule>
  </conditionalFormatting>
  <conditionalFormatting sqref="Q83">
    <cfRule type="cellIs" dxfId="2821" priority="2827" operator="lessThan">
      <formula>0</formula>
    </cfRule>
  </conditionalFormatting>
  <conditionalFormatting sqref="P83">
    <cfRule type="cellIs" dxfId="2820" priority="2816" operator="greaterThan">
      <formula>0</formula>
    </cfRule>
  </conditionalFormatting>
  <conditionalFormatting sqref="Q83">
    <cfRule type="cellIs" dxfId="2819" priority="2821" operator="lessThan">
      <formula>0</formula>
    </cfRule>
  </conditionalFormatting>
  <conditionalFormatting sqref="R83">
    <cfRule type="cellIs" dxfId="2818" priority="2819" operator="lessThan">
      <formula>0.8</formula>
    </cfRule>
    <cfRule type="cellIs" dxfId="2817" priority="2820" operator="greaterThan">
      <formula>1</formula>
    </cfRule>
  </conditionalFormatting>
  <conditionalFormatting sqref="R83">
    <cfRule type="cellIs" dxfId="2816" priority="2817" operator="greaterThan">
      <formula>1</formula>
    </cfRule>
    <cfRule type="cellIs" dxfId="2815" priority="2818" operator="lessThan">
      <formula>0.8</formula>
    </cfRule>
  </conditionalFormatting>
  <conditionalFormatting sqref="R83">
    <cfRule type="cellIs" dxfId="2814" priority="2813" operator="lessThan">
      <formula>0.8</formula>
    </cfRule>
    <cfRule type="cellIs" dxfId="2813" priority="2814" operator="greaterThan">
      <formula>1</formula>
    </cfRule>
  </conditionalFormatting>
  <conditionalFormatting sqref="R83">
    <cfRule type="cellIs" dxfId="2812" priority="2811" operator="greaterThan">
      <formula>1</formula>
    </cfRule>
    <cfRule type="cellIs" dxfId="2811" priority="2812" operator="lessThan">
      <formula>0.8</formula>
    </cfRule>
  </conditionalFormatting>
  <conditionalFormatting sqref="P83">
    <cfRule type="cellIs" dxfId="2810" priority="2810" operator="greaterThan">
      <formula>0</formula>
    </cfRule>
  </conditionalFormatting>
  <conditionalFormatting sqref="Q83">
    <cfRule type="cellIs" dxfId="2809" priority="2815" operator="lessThan">
      <formula>0</formula>
    </cfRule>
  </conditionalFormatting>
  <conditionalFormatting sqref="R83">
    <cfRule type="cellIs" dxfId="2808" priority="2807" operator="lessThan">
      <formula>0.8</formula>
    </cfRule>
    <cfRule type="cellIs" dxfId="2807" priority="2808" operator="greaterThan">
      <formula>1</formula>
    </cfRule>
  </conditionalFormatting>
  <conditionalFormatting sqref="R83">
    <cfRule type="cellIs" dxfId="2806" priority="2805" operator="greaterThan">
      <formula>1</formula>
    </cfRule>
    <cfRule type="cellIs" dxfId="2805" priority="2806" operator="lessThan">
      <formula>0.8</formula>
    </cfRule>
  </conditionalFormatting>
  <conditionalFormatting sqref="P83">
    <cfRule type="cellIs" dxfId="2804" priority="2804" operator="greaterThan">
      <formula>0</formula>
    </cfRule>
  </conditionalFormatting>
  <conditionalFormatting sqref="Q83">
    <cfRule type="cellIs" dxfId="2803" priority="2809" operator="lessThan">
      <formula>0</formula>
    </cfRule>
  </conditionalFormatting>
  <conditionalFormatting sqref="Q83">
    <cfRule type="cellIs" dxfId="2802" priority="2803" operator="lessThan">
      <formula>0</formula>
    </cfRule>
  </conditionalFormatting>
  <conditionalFormatting sqref="R83">
    <cfRule type="cellIs" dxfId="2801" priority="2801" operator="lessThan">
      <formula>0.8</formula>
    </cfRule>
    <cfRule type="cellIs" dxfId="2800" priority="2802" operator="greaterThan">
      <formula>1</formula>
    </cfRule>
  </conditionalFormatting>
  <conditionalFormatting sqref="R83">
    <cfRule type="cellIs" dxfId="2799" priority="2799" operator="greaterThan">
      <formula>1</formula>
    </cfRule>
    <cfRule type="cellIs" dxfId="2798" priority="2800" operator="lessThan">
      <formula>0.8</formula>
    </cfRule>
  </conditionalFormatting>
  <conditionalFormatting sqref="P83">
    <cfRule type="cellIs" dxfId="2797" priority="2798" operator="greaterThan">
      <formula>0</formula>
    </cfRule>
  </conditionalFormatting>
  <conditionalFormatting sqref="Q83">
    <cfRule type="cellIs" dxfId="2796" priority="2792" operator="lessThan">
      <formula>0</formula>
    </cfRule>
  </conditionalFormatting>
  <conditionalFormatting sqref="R83">
    <cfRule type="cellIs" dxfId="2795" priority="2796" operator="lessThan">
      <formula>0.8</formula>
    </cfRule>
    <cfRule type="cellIs" dxfId="2794" priority="2797" operator="greaterThan">
      <formula>1</formula>
    </cfRule>
  </conditionalFormatting>
  <conditionalFormatting sqref="R83">
    <cfRule type="cellIs" dxfId="2793" priority="2794" operator="greaterThan">
      <formula>1</formula>
    </cfRule>
    <cfRule type="cellIs" dxfId="2792" priority="2795" operator="lessThan">
      <formula>0.8</formula>
    </cfRule>
  </conditionalFormatting>
  <conditionalFormatting sqref="P83">
    <cfRule type="cellIs" dxfId="2791" priority="2793" operator="greaterThan">
      <formula>0</formula>
    </cfRule>
  </conditionalFormatting>
  <conditionalFormatting sqref="Q83">
    <cfRule type="cellIs" dxfId="2790" priority="2791" operator="lessThan">
      <formula>0</formula>
    </cfRule>
  </conditionalFormatting>
  <conditionalFormatting sqref="R83">
    <cfRule type="cellIs" dxfId="2789" priority="2789" operator="lessThan">
      <formula>0.8</formula>
    </cfRule>
    <cfRule type="cellIs" dxfId="2788" priority="2790" operator="greaterThan">
      <formula>1</formula>
    </cfRule>
  </conditionalFormatting>
  <conditionalFormatting sqref="R83">
    <cfRule type="cellIs" dxfId="2787" priority="2787" operator="greaterThan">
      <formula>1</formula>
    </cfRule>
    <cfRule type="cellIs" dxfId="2786" priority="2788" operator="lessThan">
      <formula>0.8</formula>
    </cfRule>
  </conditionalFormatting>
  <conditionalFormatting sqref="P83">
    <cfRule type="cellIs" dxfId="2785" priority="2786" operator="greaterThan">
      <formula>0</formula>
    </cfRule>
  </conditionalFormatting>
  <conditionalFormatting sqref="Q83">
    <cfRule type="cellIs" dxfId="2784" priority="2785" operator="lessThan">
      <formula>0</formula>
    </cfRule>
  </conditionalFormatting>
  <conditionalFormatting sqref="R83">
    <cfRule type="cellIs" dxfId="2783" priority="2783" operator="lessThan">
      <formula>0.8</formula>
    </cfRule>
    <cfRule type="cellIs" dxfId="2782" priority="2784" operator="greaterThan">
      <formula>1</formula>
    </cfRule>
  </conditionalFormatting>
  <conditionalFormatting sqref="R83">
    <cfRule type="cellIs" dxfId="2781" priority="2781" operator="greaterThan">
      <formula>1</formula>
    </cfRule>
    <cfRule type="cellIs" dxfId="2780" priority="2782" operator="lessThan">
      <formula>0.8</formula>
    </cfRule>
  </conditionalFormatting>
  <conditionalFormatting sqref="P83">
    <cfRule type="cellIs" dxfId="2779" priority="2780" operator="greaterThan">
      <formula>0</formula>
    </cfRule>
  </conditionalFormatting>
  <conditionalFormatting sqref="Q83">
    <cfRule type="cellIs" dxfId="2778" priority="2779" operator="lessThan">
      <formula>0</formula>
    </cfRule>
  </conditionalFormatting>
  <conditionalFormatting sqref="R83">
    <cfRule type="cellIs" dxfId="2777" priority="2777" operator="lessThan">
      <formula>0.8</formula>
    </cfRule>
    <cfRule type="cellIs" dxfId="2776" priority="2778" operator="greaterThan">
      <formula>1</formula>
    </cfRule>
  </conditionalFormatting>
  <conditionalFormatting sqref="R83">
    <cfRule type="cellIs" dxfId="2775" priority="2775" operator="greaterThan">
      <formula>1</formula>
    </cfRule>
    <cfRule type="cellIs" dxfId="2774" priority="2776" operator="lessThan">
      <formula>0.8</formula>
    </cfRule>
  </conditionalFormatting>
  <conditionalFormatting sqref="P83">
    <cfRule type="cellIs" dxfId="2773" priority="2774" operator="greaterThan">
      <formula>0</formula>
    </cfRule>
  </conditionalFormatting>
  <conditionalFormatting sqref="Q83">
    <cfRule type="cellIs" dxfId="2772" priority="2773" operator="lessThan">
      <formula>0</formula>
    </cfRule>
  </conditionalFormatting>
  <conditionalFormatting sqref="R83">
    <cfRule type="cellIs" dxfId="2771" priority="2771" operator="lessThan">
      <formula>0.8</formula>
    </cfRule>
    <cfRule type="cellIs" dxfId="2770" priority="2772" operator="greaterThan">
      <formula>1</formula>
    </cfRule>
  </conditionalFormatting>
  <conditionalFormatting sqref="R83">
    <cfRule type="cellIs" dxfId="2769" priority="2769" operator="greaterThan">
      <formula>1</formula>
    </cfRule>
    <cfRule type="cellIs" dxfId="2768" priority="2770" operator="lessThan">
      <formula>0.8</formula>
    </cfRule>
  </conditionalFormatting>
  <conditionalFormatting sqref="P83">
    <cfRule type="cellIs" dxfId="2767" priority="2768" operator="greaterThan">
      <formula>0</formula>
    </cfRule>
  </conditionalFormatting>
  <conditionalFormatting sqref="Q83">
    <cfRule type="cellIs" dxfId="2766" priority="2767" operator="lessThan">
      <formula>0</formula>
    </cfRule>
  </conditionalFormatting>
  <conditionalFormatting sqref="R83">
    <cfRule type="cellIs" dxfId="2765" priority="2765" operator="lessThan">
      <formula>0.8</formula>
    </cfRule>
    <cfRule type="cellIs" dxfId="2764" priority="2766" operator="greaterThan">
      <formula>1</formula>
    </cfRule>
  </conditionalFormatting>
  <conditionalFormatting sqref="R83">
    <cfRule type="cellIs" dxfId="2763" priority="2763" operator="greaterThan">
      <formula>1</formula>
    </cfRule>
    <cfRule type="cellIs" dxfId="2762" priority="2764" operator="lessThan">
      <formula>0.8</formula>
    </cfRule>
  </conditionalFormatting>
  <conditionalFormatting sqref="P83">
    <cfRule type="cellIs" dxfId="2761" priority="2762" operator="greaterThan">
      <formula>0</formula>
    </cfRule>
  </conditionalFormatting>
  <conditionalFormatting sqref="P83">
    <cfRule type="cellIs" dxfId="2760" priority="2756" operator="greaterThan">
      <formula>0</formula>
    </cfRule>
  </conditionalFormatting>
  <conditionalFormatting sqref="Q83">
    <cfRule type="cellIs" dxfId="2759" priority="2761" operator="lessThan">
      <formula>0</formula>
    </cfRule>
  </conditionalFormatting>
  <conditionalFormatting sqref="R83">
    <cfRule type="cellIs" dxfId="2758" priority="2759" operator="lessThan">
      <formula>0.8</formula>
    </cfRule>
    <cfRule type="cellIs" dxfId="2757" priority="2760" operator="greaterThan">
      <formula>1</formula>
    </cfRule>
  </conditionalFormatting>
  <conditionalFormatting sqref="R83">
    <cfRule type="cellIs" dxfId="2756" priority="2757" operator="greaterThan">
      <formula>1</formula>
    </cfRule>
    <cfRule type="cellIs" dxfId="2755" priority="2758" operator="lessThan">
      <formula>0.8</formula>
    </cfRule>
  </conditionalFormatting>
  <conditionalFormatting sqref="P83">
    <cfRule type="cellIs" dxfId="2754" priority="2750" operator="greaterThan">
      <formula>0</formula>
    </cfRule>
  </conditionalFormatting>
  <conditionalFormatting sqref="Q83">
    <cfRule type="cellIs" dxfId="2753" priority="2755" operator="lessThan">
      <formula>0</formula>
    </cfRule>
  </conditionalFormatting>
  <conditionalFormatting sqref="R83">
    <cfRule type="cellIs" dxfId="2752" priority="2753" operator="lessThan">
      <formula>0.8</formula>
    </cfRule>
    <cfRule type="cellIs" dxfId="2751" priority="2754" operator="greaterThan">
      <formula>1</formula>
    </cfRule>
  </conditionalFormatting>
  <conditionalFormatting sqref="R83">
    <cfRule type="cellIs" dxfId="2750" priority="2751" operator="greaterThan">
      <formula>1</formula>
    </cfRule>
    <cfRule type="cellIs" dxfId="2749" priority="2752" operator="lessThan">
      <formula>0.8</formula>
    </cfRule>
  </conditionalFormatting>
  <conditionalFormatting sqref="R83">
    <cfRule type="cellIs" dxfId="2748" priority="2747" operator="lessThan">
      <formula>0.8</formula>
    </cfRule>
    <cfRule type="cellIs" dxfId="2747" priority="2748" operator="greaterThan">
      <formula>1</formula>
    </cfRule>
  </conditionalFormatting>
  <conditionalFormatting sqref="R83">
    <cfRule type="cellIs" dxfId="2746" priority="2745" operator="greaterThan">
      <formula>1</formula>
    </cfRule>
    <cfRule type="cellIs" dxfId="2745" priority="2746" operator="lessThan">
      <formula>0.8</formula>
    </cfRule>
  </conditionalFormatting>
  <conditionalFormatting sqref="P83">
    <cfRule type="cellIs" dxfId="2744" priority="2744" operator="greaterThan">
      <formula>0</formula>
    </cfRule>
  </conditionalFormatting>
  <conditionalFormatting sqref="Q83">
    <cfRule type="cellIs" dxfId="2743" priority="2749" operator="lessThan">
      <formula>0</formula>
    </cfRule>
  </conditionalFormatting>
  <conditionalFormatting sqref="Q83">
    <cfRule type="cellIs" dxfId="2742" priority="2738" operator="lessThan">
      <formula>0</formula>
    </cfRule>
  </conditionalFormatting>
  <conditionalFormatting sqref="P83">
    <cfRule type="cellIs" dxfId="2741" priority="2739" operator="greaterThan">
      <formula>0</formula>
    </cfRule>
  </conditionalFormatting>
  <conditionalFormatting sqref="R83">
    <cfRule type="cellIs" dxfId="2740" priority="2742" operator="lessThan">
      <formula>0.8</formula>
    </cfRule>
    <cfRule type="cellIs" dxfId="2739" priority="2743" operator="greaterThan">
      <formula>1</formula>
    </cfRule>
  </conditionalFormatting>
  <conditionalFormatting sqref="R83">
    <cfRule type="cellIs" dxfId="2738" priority="2740" operator="greaterThan">
      <formula>1</formula>
    </cfRule>
    <cfRule type="cellIs" dxfId="2737" priority="2741" operator="lessThan">
      <formula>0.8</formula>
    </cfRule>
  </conditionalFormatting>
  <conditionalFormatting sqref="Q83">
    <cfRule type="cellIs" dxfId="2736" priority="2732" operator="lessThan">
      <formula>0</formula>
    </cfRule>
  </conditionalFormatting>
  <conditionalFormatting sqref="R83">
    <cfRule type="cellIs" dxfId="2735" priority="2736" operator="lessThan">
      <formula>0.8</formula>
    </cfRule>
    <cfRule type="cellIs" dxfId="2734" priority="2737" operator="greaterThan">
      <formula>1</formula>
    </cfRule>
  </conditionalFormatting>
  <conditionalFormatting sqref="R83">
    <cfRule type="cellIs" dxfId="2733" priority="2734" operator="greaterThan">
      <formula>1</formula>
    </cfRule>
    <cfRule type="cellIs" dxfId="2732" priority="2735" operator="lessThan">
      <formula>0.8</formula>
    </cfRule>
  </conditionalFormatting>
  <conditionalFormatting sqref="P83">
    <cfRule type="cellIs" dxfId="2731" priority="2733" operator="greaterThan">
      <formula>0</formula>
    </cfRule>
  </conditionalFormatting>
  <conditionalFormatting sqref="Q83">
    <cfRule type="cellIs" dxfId="2730" priority="2731" operator="lessThan">
      <formula>0</formula>
    </cfRule>
  </conditionalFormatting>
  <conditionalFormatting sqref="R83">
    <cfRule type="cellIs" dxfId="2729" priority="2729" operator="lessThan">
      <formula>0.8</formula>
    </cfRule>
    <cfRule type="cellIs" dxfId="2728" priority="2730" operator="greaterThan">
      <formula>1</formula>
    </cfRule>
  </conditionalFormatting>
  <conditionalFormatting sqref="R83">
    <cfRule type="cellIs" dxfId="2727" priority="2727" operator="greaterThan">
      <formula>1</formula>
    </cfRule>
    <cfRule type="cellIs" dxfId="2726" priority="2728" operator="lessThan">
      <formula>0.8</formula>
    </cfRule>
  </conditionalFormatting>
  <conditionalFormatting sqref="P83">
    <cfRule type="cellIs" dxfId="2725" priority="2726" operator="greaterThan">
      <formula>0</formula>
    </cfRule>
  </conditionalFormatting>
  <conditionalFormatting sqref="Q83">
    <cfRule type="cellIs" dxfId="2724" priority="2725" operator="lessThan">
      <formula>0</formula>
    </cfRule>
  </conditionalFormatting>
  <conditionalFormatting sqref="R83">
    <cfRule type="cellIs" dxfId="2723" priority="2723" operator="lessThan">
      <formula>0.8</formula>
    </cfRule>
    <cfRule type="cellIs" dxfId="2722" priority="2724" operator="greaterThan">
      <formula>1</formula>
    </cfRule>
  </conditionalFormatting>
  <conditionalFormatting sqref="R83">
    <cfRule type="cellIs" dxfId="2721" priority="2721" operator="greaterThan">
      <formula>1</formula>
    </cfRule>
    <cfRule type="cellIs" dxfId="2720" priority="2722" operator="lessThan">
      <formula>0.8</formula>
    </cfRule>
  </conditionalFormatting>
  <conditionalFormatting sqref="P83">
    <cfRule type="cellIs" dxfId="2719" priority="2720" operator="greaterThan">
      <formula>0</formula>
    </cfRule>
  </conditionalFormatting>
  <conditionalFormatting sqref="Q83">
    <cfRule type="cellIs" dxfId="2718" priority="2719" operator="lessThan">
      <formula>0</formula>
    </cfRule>
  </conditionalFormatting>
  <conditionalFormatting sqref="R83">
    <cfRule type="cellIs" dxfId="2717" priority="2717" operator="lessThan">
      <formula>0.8</formula>
    </cfRule>
    <cfRule type="cellIs" dxfId="2716" priority="2718" operator="greaterThan">
      <formula>1</formula>
    </cfRule>
  </conditionalFormatting>
  <conditionalFormatting sqref="R83">
    <cfRule type="cellIs" dxfId="2715" priority="2715" operator="greaterThan">
      <formula>1</formula>
    </cfRule>
    <cfRule type="cellIs" dxfId="2714" priority="2716" operator="lessThan">
      <formula>0.8</formula>
    </cfRule>
  </conditionalFormatting>
  <conditionalFormatting sqref="P83">
    <cfRule type="cellIs" dxfId="2713" priority="2714" operator="greaterThan">
      <formula>0</formula>
    </cfRule>
  </conditionalFormatting>
  <conditionalFormatting sqref="Q83">
    <cfRule type="cellIs" dxfId="2712" priority="2713" operator="lessThan">
      <formula>0</formula>
    </cfRule>
  </conditionalFormatting>
  <conditionalFormatting sqref="R83">
    <cfRule type="cellIs" dxfId="2711" priority="2711" operator="lessThan">
      <formula>0.8</formula>
    </cfRule>
    <cfRule type="cellIs" dxfId="2710" priority="2712" operator="greaterThan">
      <formula>1</formula>
    </cfRule>
  </conditionalFormatting>
  <conditionalFormatting sqref="R83">
    <cfRule type="cellIs" dxfId="2709" priority="2709" operator="greaterThan">
      <formula>1</formula>
    </cfRule>
    <cfRule type="cellIs" dxfId="2708" priority="2710" operator="lessThan">
      <formula>0.8</formula>
    </cfRule>
  </conditionalFormatting>
  <conditionalFormatting sqref="P83">
    <cfRule type="cellIs" dxfId="2707" priority="2708" operator="greaterThan">
      <formula>0</formula>
    </cfRule>
  </conditionalFormatting>
  <conditionalFormatting sqref="Q83">
    <cfRule type="cellIs" dxfId="2706" priority="2707" operator="lessThan">
      <formula>0</formula>
    </cfRule>
  </conditionalFormatting>
  <conditionalFormatting sqref="R83">
    <cfRule type="cellIs" dxfId="2705" priority="2705" operator="lessThan">
      <formula>0.8</formula>
    </cfRule>
    <cfRule type="cellIs" dxfId="2704" priority="2706" operator="greaterThan">
      <formula>1</formula>
    </cfRule>
  </conditionalFormatting>
  <conditionalFormatting sqref="R83">
    <cfRule type="cellIs" dxfId="2703" priority="2703" operator="greaterThan">
      <formula>1</formula>
    </cfRule>
    <cfRule type="cellIs" dxfId="2702" priority="2704" operator="lessThan">
      <formula>0.8</formula>
    </cfRule>
  </conditionalFormatting>
  <conditionalFormatting sqref="P83">
    <cfRule type="cellIs" dxfId="2701" priority="2702" operator="greaterThan">
      <formula>0</formula>
    </cfRule>
  </conditionalFormatting>
  <conditionalFormatting sqref="Q83">
    <cfRule type="cellIs" dxfId="2700" priority="2701" operator="lessThan">
      <formula>0</formula>
    </cfRule>
  </conditionalFormatting>
  <conditionalFormatting sqref="R83">
    <cfRule type="cellIs" dxfId="2699" priority="2699" operator="lessThan">
      <formula>0.8</formula>
    </cfRule>
    <cfRule type="cellIs" dxfId="2698" priority="2700" operator="greaterThan">
      <formula>1</formula>
    </cfRule>
  </conditionalFormatting>
  <conditionalFormatting sqref="R83">
    <cfRule type="cellIs" dxfId="2697" priority="2697" operator="greaterThan">
      <formula>1</formula>
    </cfRule>
    <cfRule type="cellIs" dxfId="2696" priority="2698" operator="lessThan">
      <formula>0.8</formula>
    </cfRule>
  </conditionalFormatting>
  <conditionalFormatting sqref="P83">
    <cfRule type="cellIs" dxfId="2695" priority="2696" operator="greaterThan">
      <formula>0</formula>
    </cfRule>
  </conditionalFormatting>
  <conditionalFormatting sqref="Q83">
    <cfRule type="cellIs" dxfId="2694" priority="2695" operator="lessThan">
      <formula>0</formula>
    </cfRule>
  </conditionalFormatting>
  <conditionalFormatting sqref="R83">
    <cfRule type="cellIs" dxfId="2693" priority="2693" operator="lessThan">
      <formula>0.8</formula>
    </cfRule>
    <cfRule type="cellIs" dxfId="2692" priority="2694" operator="greaterThan">
      <formula>1</formula>
    </cfRule>
  </conditionalFormatting>
  <conditionalFormatting sqref="R83">
    <cfRule type="cellIs" dxfId="2691" priority="2691" operator="greaterThan">
      <formula>1</formula>
    </cfRule>
    <cfRule type="cellIs" dxfId="2690" priority="2692" operator="lessThan">
      <formula>0.8</formula>
    </cfRule>
  </conditionalFormatting>
  <conditionalFormatting sqref="P83">
    <cfRule type="cellIs" dxfId="2689" priority="2690" operator="greaterThan">
      <formula>0</formula>
    </cfRule>
  </conditionalFormatting>
  <conditionalFormatting sqref="P83">
    <cfRule type="cellIs" dxfId="2688" priority="2684" operator="greaterThan">
      <formula>0</formula>
    </cfRule>
  </conditionalFormatting>
  <conditionalFormatting sqref="Q83">
    <cfRule type="cellIs" dxfId="2687" priority="2689" operator="lessThan">
      <formula>0</formula>
    </cfRule>
  </conditionalFormatting>
  <conditionalFormatting sqref="R83">
    <cfRule type="cellIs" dxfId="2686" priority="2687" operator="lessThan">
      <formula>0.8</formula>
    </cfRule>
    <cfRule type="cellIs" dxfId="2685" priority="2688" operator="greaterThan">
      <formula>1</formula>
    </cfRule>
  </conditionalFormatting>
  <conditionalFormatting sqref="R83">
    <cfRule type="cellIs" dxfId="2684" priority="2685" operator="greaterThan">
      <formula>1</formula>
    </cfRule>
    <cfRule type="cellIs" dxfId="2683" priority="2686" operator="lessThan">
      <formula>0.8</formula>
    </cfRule>
  </conditionalFormatting>
  <conditionalFormatting sqref="P83">
    <cfRule type="cellIs" dxfId="2682" priority="2678" operator="greaterThan">
      <formula>0</formula>
    </cfRule>
  </conditionalFormatting>
  <conditionalFormatting sqref="Q83">
    <cfRule type="cellIs" dxfId="2681" priority="2683" operator="lessThan">
      <formula>0</formula>
    </cfRule>
  </conditionalFormatting>
  <conditionalFormatting sqref="R83">
    <cfRule type="cellIs" dxfId="2680" priority="2681" operator="lessThan">
      <formula>0.8</formula>
    </cfRule>
    <cfRule type="cellIs" dxfId="2679" priority="2682" operator="greaterThan">
      <formula>1</formula>
    </cfRule>
  </conditionalFormatting>
  <conditionalFormatting sqref="R83">
    <cfRule type="cellIs" dxfId="2678" priority="2679" operator="greaterThan">
      <formula>1</formula>
    </cfRule>
    <cfRule type="cellIs" dxfId="2677" priority="2680" operator="lessThan">
      <formula>0.8</formula>
    </cfRule>
  </conditionalFormatting>
  <conditionalFormatting sqref="R83">
    <cfRule type="cellIs" dxfId="2676" priority="2675" operator="lessThan">
      <formula>0.8</formula>
    </cfRule>
    <cfRule type="cellIs" dxfId="2675" priority="2676" operator="greaterThan">
      <formula>1</formula>
    </cfRule>
  </conditionalFormatting>
  <conditionalFormatting sqref="R83">
    <cfRule type="cellIs" dxfId="2674" priority="2673" operator="greaterThan">
      <formula>1</formula>
    </cfRule>
    <cfRule type="cellIs" dxfId="2673" priority="2674" operator="lessThan">
      <formula>0.8</formula>
    </cfRule>
  </conditionalFormatting>
  <conditionalFormatting sqref="P83">
    <cfRule type="cellIs" dxfId="2672" priority="2672" operator="greaterThan">
      <formula>0</formula>
    </cfRule>
  </conditionalFormatting>
  <conditionalFormatting sqref="Q83">
    <cfRule type="cellIs" dxfId="2671" priority="2677" operator="lessThan">
      <formula>0</formula>
    </cfRule>
  </conditionalFormatting>
  <conditionalFormatting sqref="Q83">
    <cfRule type="cellIs" dxfId="2670" priority="2671" operator="lessThan">
      <formula>0</formula>
    </cfRule>
  </conditionalFormatting>
  <conditionalFormatting sqref="R83">
    <cfRule type="cellIs" dxfId="2669" priority="2669" operator="lessThan">
      <formula>0.8</formula>
    </cfRule>
    <cfRule type="cellIs" dxfId="2668" priority="2670" operator="greaterThan">
      <formula>1</formula>
    </cfRule>
  </conditionalFormatting>
  <conditionalFormatting sqref="R83">
    <cfRule type="cellIs" dxfId="2667" priority="2667" operator="greaterThan">
      <formula>1</formula>
    </cfRule>
    <cfRule type="cellIs" dxfId="2666" priority="2668" operator="lessThan">
      <formula>0.8</formula>
    </cfRule>
  </conditionalFormatting>
  <conditionalFormatting sqref="P83">
    <cfRule type="cellIs" dxfId="2665" priority="2666" operator="greaterThan">
      <formula>0</formula>
    </cfRule>
  </conditionalFormatting>
  <conditionalFormatting sqref="P83">
    <cfRule type="cellIs" dxfId="2664" priority="2660" operator="greaterThan">
      <formula>0</formula>
    </cfRule>
  </conditionalFormatting>
  <conditionalFormatting sqref="Q83">
    <cfRule type="cellIs" dxfId="2663" priority="2665" operator="lessThan">
      <formula>0</formula>
    </cfRule>
  </conditionalFormatting>
  <conditionalFormatting sqref="R83">
    <cfRule type="cellIs" dxfId="2662" priority="2663" operator="lessThan">
      <formula>0.8</formula>
    </cfRule>
    <cfRule type="cellIs" dxfId="2661" priority="2664" operator="greaterThan">
      <formula>1</formula>
    </cfRule>
  </conditionalFormatting>
  <conditionalFormatting sqref="R83">
    <cfRule type="cellIs" dxfId="2660" priority="2661" operator="greaterThan">
      <formula>1</formula>
    </cfRule>
    <cfRule type="cellIs" dxfId="2659" priority="2662" operator="lessThan">
      <formula>0.8</formula>
    </cfRule>
  </conditionalFormatting>
  <conditionalFormatting sqref="P83">
    <cfRule type="cellIs" dxfId="2658" priority="2654" operator="greaterThan">
      <formula>0</formula>
    </cfRule>
  </conditionalFormatting>
  <conditionalFormatting sqref="Q83">
    <cfRule type="cellIs" dxfId="2657" priority="2659" operator="lessThan">
      <formula>0</formula>
    </cfRule>
  </conditionalFormatting>
  <conditionalFormatting sqref="R83">
    <cfRule type="cellIs" dxfId="2656" priority="2657" operator="lessThan">
      <formula>0.8</formula>
    </cfRule>
    <cfRule type="cellIs" dxfId="2655" priority="2658" operator="greaterThan">
      <formula>1</formula>
    </cfRule>
  </conditionalFormatting>
  <conditionalFormatting sqref="R83">
    <cfRule type="cellIs" dxfId="2654" priority="2655" operator="greaterThan">
      <formula>1</formula>
    </cfRule>
    <cfRule type="cellIs" dxfId="2653" priority="2656" operator="lessThan">
      <formula>0.8</formula>
    </cfRule>
  </conditionalFormatting>
  <conditionalFormatting sqref="R83">
    <cfRule type="cellIs" dxfId="2652" priority="2651" operator="lessThan">
      <formula>0.8</formula>
    </cfRule>
    <cfRule type="cellIs" dxfId="2651" priority="2652" operator="greaterThan">
      <formula>1</formula>
    </cfRule>
  </conditionalFormatting>
  <conditionalFormatting sqref="R83">
    <cfRule type="cellIs" dxfId="2650" priority="2649" operator="greaterThan">
      <formula>1</formula>
    </cfRule>
    <cfRule type="cellIs" dxfId="2649" priority="2650" operator="lessThan">
      <formula>0.8</formula>
    </cfRule>
  </conditionalFormatting>
  <conditionalFormatting sqref="P83">
    <cfRule type="cellIs" dxfId="2648" priority="2648" operator="greaterThan">
      <formula>0</formula>
    </cfRule>
  </conditionalFormatting>
  <conditionalFormatting sqref="Q83">
    <cfRule type="cellIs" dxfId="2647" priority="2653" operator="lessThan">
      <formula>0</formula>
    </cfRule>
  </conditionalFormatting>
  <conditionalFormatting sqref="P83">
    <cfRule type="cellIs" dxfId="2646" priority="2642" operator="greaterThan">
      <formula>0</formula>
    </cfRule>
  </conditionalFormatting>
  <conditionalFormatting sqref="Q83">
    <cfRule type="cellIs" dxfId="2645" priority="2647" operator="lessThan">
      <formula>0</formula>
    </cfRule>
  </conditionalFormatting>
  <conditionalFormatting sqref="R83">
    <cfRule type="cellIs" dxfId="2644" priority="2645" operator="lessThan">
      <formula>0.8</formula>
    </cfRule>
    <cfRule type="cellIs" dxfId="2643" priority="2646" operator="greaterThan">
      <formula>1</formula>
    </cfRule>
  </conditionalFormatting>
  <conditionalFormatting sqref="R83">
    <cfRule type="cellIs" dxfId="2642" priority="2643" operator="greaterThan">
      <formula>1</formula>
    </cfRule>
    <cfRule type="cellIs" dxfId="2641" priority="2644" operator="lessThan">
      <formula>0.8</formula>
    </cfRule>
  </conditionalFormatting>
  <conditionalFormatting sqref="R83">
    <cfRule type="cellIs" dxfId="2640" priority="2639" operator="lessThan">
      <formula>0.8</formula>
    </cfRule>
    <cfRule type="cellIs" dxfId="2639" priority="2640" operator="greaterThan">
      <formula>1</formula>
    </cfRule>
  </conditionalFormatting>
  <conditionalFormatting sqref="R83">
    <cfRule type="cellIs" dxfId="2638" priority="2637" operator="greaterThan">
      <formula>1</formula>
    </cfRule>
    <cfRule type="cellIs" dxfId="2637" priority="2638" operator="lessThan">
      <formula>0.8</formula>
    </cfRule>
  </conditionalFormatting>
  <conditionalFormatting sqref="P83">
    <cfRule type="cellIs" dxfId="2636" priority="2636" operator="greaterThan">
      <formula>0</formula>
    </cfRule>
  </conditionalFormatting>
  <conditionalFormatting sqref="Q83">
    <cfRule type="cellIs" dxfId="2635" priority="2641" operator="lessThan">
      <formula>0</formula>
    </cfRule>
  </conditionalFormatting>
  <conditionalFormatting sqref="R83">
    <cfRule type="cellIs" dxfId="2634" priority="2633" operator="lessThan">
      <formula>0.8</formula>
    </cfRule>
    <cfRule type="cellIs" dxfId="2633" priority="2634" operator="greaterThan">
      <formula>1</formula>
    </cfRule>
  </conditionalFormatting>
  <conditionalFormatting sqref="R83">
    <cfRule type="cellIs" dxfId="2632" priority="2631" operator="greaterThan">
      <formula>1</formula>
    </cfRule>
    <cfRule type="cellIs" dxfId="2631" priority="2632" operator="lessThan">
      <formula>0.8</formula>
    </cfRule>
  </conditionalFormatting>
  <conditionalFormatting sqref="P83">
    <cfRule type="cellIs" dxfId="2630" priority="2630" operator="greaterThan">
      <formula>0</formula>
    </cfRule>
  </conditionalFormatting>
  <conditionalFormatting sqref="Q83">
    <cfRule type="cellIs" dxfId="2629" priority="2635" operator="lessThan">
      <formula>0</formula>
    </cfRule>
  </conditionalFormatting>
  <conditionalFormatting sqref="Q83">
    <cfRule type="cellIs" dxfId="2628" priority="2629" operator="lessThan">
      <formula>0</formula>
    </cfRule>
  </conditionalFormatting>
  <conditionalFormatting sqref="R83">
    <cfRule type="cellIs" dxfId="2627" priority="2627" operator="lessThan">
      <formula>0.8</formula>
    </cfRule>
    <cfRule type="cellIs" dxfId="2626" priority="2628" operator="greaterThan">
      <formula>1</formula>
    </cfRule>
  </conditionalFormatting>
  <conditionalFormatting sqref="R83">
    <cfRule type="cellIs" dxfId="2625" priority="2625" operator="greaterThan">
      <formula>1</formula>
    </cfRule>
    <cfRule type="cellIs" dxfId="2624" priority="2626" operator="lessThan">
      <formula>0.8</formula>
    </cfRule>
  </conditionalFormatting>
  <conditionalFormatting sqref="P83">
    <cfRule type="cellIs" dxfId="2623" priority="2624" operator="greaterThan">
      <formula>0</formula>
    </cfRule>
  </conditionalFormatting>
  <conditionalFormatting sqref="Q83">
    <cfRule type="cellIs" dxfId="2622" priority="2618" operator="lessThan">
      <formula>0</formula>
    </cfRule>
  </conditionalFormatting>
  <conditionalFormatting sqref="R83">
    <cfRule type="cellIs" dxfId="2621" priority="2622" operator="lessThan">
      <formula>0.8</formula>
    </cfRule>
    <cfRule type="cellIs" dxfId="2620" priority="2623" operator="greaterThan">
      <formula>1</formula>
    </cfRule>
  </conditionalFormatting>
  <conditionalFormatting sqref="R83">
    <cfRule type="cellIs" dxfId="2619" priority="2620" operator="greaterThan">
      <formula>1</formula>
    </cfRule>
    <cfRule type="cellIs" dxfId="2618" priority="2621" operator="lessThan">
      <formula>0.8</formula>
    </cfRule>
  </conditionalFormatting>
  <conditionalFormatting sqref="P83">
    <cfRule type="cellIs" dxfId="2617" priority="2619" operator="greaterThan">
      <formula>0</formula>
    </cfRule>
  </conditionalFormatting>
  <conditionalFormatting sqref="Q83">
    <cfRule type="cellIs" dxfId="2616" priority="2617" operator="lessThan">
      <formula>0</formula>
    </cfRule>
  </conditionalFormatting>
  <conditionalFormatting sqref="R83">
    <cfRule type="cellIs" dxfId="2615" priority="2615" operator="lessThan">
      <formula>0.8</formula>
    </cfRule>
    <cfRule type="cellIs" dxfId="2614" priority="2616" operator="greaterThan">
      <formula>1</formula>
    </cfRule>
  </conditionalFormatting>
  <conditionalFormatting sqref="R83">
    <cfRule type="cellIs" dxfId="2613" priority="2613" operator="greaterThan">
      <formula>1</formula>
    </cfRule>
    <cfRule type="cellIs" dxfId="2612" priority="2614" operator="lessThan">
      <formula>0.8</formula>
    </cfRule>
  </conditionalFormatting>
  <conditionalFormatting sqref="P83">
    <cfRule type="cellIs" dxfId="2611" priority="2612" operator="greaterThan">
      <formula>0</formula>
    </cfRule>
  </conditionalFormatting>
  <conditionalFormatting sqref="Q83">
    <cfRule type="cellIs" dxfId="2610" priority="2611" operator="lessThan">
      <formula>0</formula>
    </cfRule>
  </conditionalFormatting>
  <conditionalFormatting sqref="R83">
    <cfRule type="cellIs" dxfId="2609" priority="2609" operator="lessThan">
      <formula>0.8</formula>
    </cfRule>
    <cfRule type="cellIs" dxfId="2608" priority="2610" operator="greaterThan">
      <formula>1</formula>
    </cfRule>
  </conditionalFormatting>
  <conditionalFormatting sqref="R83">
    <cfRule type="cellIs" dxfId="2607" priority="2607" operator="greaterThan">
      <formula>1</formula>
    </cfRule>
    <cfRule type="cellIs" dxfId="2606" priority="2608" operator="lessThan">
      <formula>0.8</formula>
    </cfRule>
  </conditionalFormatting>
  <conditionalFormatting sqref="P83">
    <cfRule type="cellIs" dxfId="2605" priority="2606" operator="greaterThan">
      <formula>0</formula>
    </cfRule>
  </conditionalFormatting>
  <conditionalFormatting sqref="Q83">
    <cfRule type="cellIs" dxfId="2604" priority="2605" operator="lessThan">
      <formula>0</formula>
    </cfRule>
  </conditionalFormatting>
  <conditionalFormatting sqref="R83">
    <cfRule type="cellIs" dxfId="2603" priority="2603" operator="lessThan">
      <formula>0.8</formula>
    </cfRule>
    <cfRule type="cellIs" dxfId="2602" priority="2604" operator="greaterThan">
      <formula>1</formula>
    </cfRule>
  </conditionalFormatting>
  <conditionalFormatting sqref="R83">
    <cfRule type="cellIs" dxfId="2601" priority="2601" operator="greaterThan">
      <formula>1</formula>
    </cfRule>
    <cfRule type="cellIs" dxfId="2600" priority="2602" operator="lessThan">
      <formula>0.8</formula>
    </cfRule>
  </conditionalFormatting>
  <conditionalFormatting sqref="P83">
    <cfRule type="cellIs" dxfId="2599" priority="2600" operator="greaterThan">
      <formula>0</formula>
    </cfRule>
  </conditionalFormatting>
  <conditionalFormatting sqref="Q83">
    <cfRule type="cellIs" dxfId="2598" priority="2599" operator="lessThan">
      <formula>0</formula>
    </cfRule>
  </conditionalFormatting>
  <conditionalFormatting sqref="R83">
    <cfRule type="cellIs" dxfId="2597" priority="2597" operator="lessThan">
      <formula>0.8</formula>
    </cfRule>
    <cfRule type="cellIs" dxfId="2596" priority="2598" operator="greaterThan">
      <formula>1</formula>
    </cfRule>
  </conditionalFormatting>
  <conditionalFormatting sqref="R83">
    <cfRule type="cellIs" dxfId="2595" priority="2595" operator="greaterThan">
      <formula>1</formula>
    </cfRule>
    <cfRule type="cellIs" dxfId="2594" priority="2596" operator="lessThan">
      <formula>0.8</formula>
    </cfRule>
  </conditionalFormatting>
  <conditionalFormatting sqref="P83">
    <cfRule type="cellIs" dxfId="2593" priority="2594" operator="greaterThan">
      <formula>0</formula>
    </cfRule>
  </conditionalFormatting>
  <conditionalFormatting sqref="Q83">
    <cfRule type="cellIs" dxfId="2592" priority="2593" operator="lessThan">
      <formula>0</formula>
    </cfRule>
  </conditionalFormatting>
  <conditionalFormatting sqref="R83">
    <cfRule type="cellIs" dxfId="2591" priority="2591" operator="lessThan">
      <formula>0.8</formula>
    </cfRule>
    <cfRule type="cellIs" dxfId="2590" priority="2592" operator="greaterThan">
      <formula>1</formula>
    </cfRule>
  </conditionalFormatting>
  <conditionalFormatting sqref="R83">
    <cfRule type="cellIs" dxfId="2589" priority="2589" operator="greaterThan">
      <formula>1</formula>
    </cfRule>
    <cfRule type="cellIs" dxfId="2588" priority="2590" operator="lessThan">
      <formula>0.8</formula>
    </cfRule>
  </conditionalFormatting>
  <conditionalFormatting sqref="P83">
    <cfRule type="cellIs" dxfId="2587" priority="2588" operator="greaterThan">
      <formula>0</formula>
    </cfRule>
  </conditionalFormatting>
  <conditionalFormatting sqref="P83">
    <cfRule type="cellIs" dxfId="2586" priority="2582" operator="greaterThan">
      <formula>0</formula>
    </cfRule>
  </conditionalFormatting>
  <conditionalFormatting sqref="Q83">
    <cfRule type="cellIs" dxfId="2585" priority="2587" operator="lessThan">
      <formula>0</formula>
    </cfRule>
  </conditionalFormatting>
  <conditionalFormatting sqref="R83">
    <cfRule type="cellIs" dxfId="2584" priority="2585" operator="lessThan">
      <formula>0.8</formula>
    </cfRule>
    <cfRule type="cellIs" dxfId="2583" priority="2586" operator="greaterThan">
      <formula>1</formula>
    </cfRule>
  </conditionalFormatting>
  <conditionalFormatting sqref="R83">
    <cfRule type="cellIs" dxfId="2582" priority="2583" operator="greaterThan">
      <formula>1</formula>
    </cfRule>
    <cfRule type="cellIs" dxfId="2581" priority="2584" operator="lessThan">
      <formula>0.8</formula>
    </cfRule>
  </conditionalFormatting>
  <conditionalFormatting sqref="P83">
    <cfRule type="cellIs" dxfId="2580" priority="2576" operator="greaterThan">
      <formula>0</formula>
    </cfRule>
  </conditionalFormatting>
  <conditionalFormatting sqref="Q83">
    <cfRule type="cellIs" dxfId="2579" priority="2581" operator="lessThan">
      <formula>0</formula>
    </cfRule>
  </conditionalFormatting>
  <conditionalFormatting sqref="R83">
    <cfRule type="cellIs" dxfId="2578" priority="2579" operator="lessThan">
      <formula>0.8</formula>
    </cfRule>
    <cfRule type="cellIs" dxfId="2577" priority="2580" operator="greaterThan">
      <formula>1</formula>
    </cfRule>
  </conditionalFormatting>
  <conditionalFormatting sqref="R83">
    <cfRule type="cellIs" dxfId="2576" priority="2577" operator="greaterThan">
      <formula>1</formula>
    </cfRule>
    <cfRule type="cellIs" dxfId="2575" priority="2578" operator="lessThan">
      <formula>0.8</formula>
    </cfRule>
  </conditionalFormatting>
  <conditionalFormatting sqref="R83">
    <cfRule type="cellIs" dxfId="2574" priority="2573" operator="lessThan">
      <formula>0.8</formula>
    </cfRule>
    <cfRule type="cellIs" dxfId="2573" priority="2574" operator="greaterThan">
      <formula>1</formula>
    </cfRule>
  </conditionalFormatting>
  <conditionalFormatting sqref="R83">
    <cfRule type="cellIs" dxfId="2572" priority="2571" operator="greaterThan">
      <formula>1</formula>
    </cfRule>
    <cfRule type="cellIs" dxfId="2571" priority="2572" operator="lessThan">
      <formula>0.8</formula>
    </cfRule>
  </conditionalFormatting>
  <conditionalFormatting sqref="P83">
    <cfRule type="cellIs" dxfId="2570" priority="2570" operator="greaterThan">
      <formula>0</formula>
    </cfRule>
  </conditionalFormatting>
  <conditionalFormatting sqref="Q83">
    <cfRule type="cellIs" dxfId="2569" priority="2575" operator="lessThan">
      <formula>0</formula>
    </cfRule>
  </conditionalFormatting>
  <conditionalFormatting sqref="P123 P125:P126 P131 P128:P129">
    <cfRule type="cellIs" dxfId="2568" priority="2564" operator="greaterThan">
      <formula>0</formula>
    </cfRule>
  </conditionalFormatting>
  <conditionalFormatting sqref="Q123 Q125:Q126 Q131 Q128:Q129">
    <cfRule type="cellIs" dxfId="2567" priority="2569" operator="lessThan">
      <formula>0</formula>
    </cfRule>
  </conditionalFormatting>
  <conditionalFormatting sqref="R123 R125:R126 R131 R128:R129">
    <cfRule type="cellIs" dxfId="2566" priority="2567" operator="lessThan">
      <formula>0.8</formula>
    </cfRule>
    <cfRule type="cellIs" dxfId="2565" priority="2568" operator="greaterThan">
      <formula>1</formula>
    </cfRule>
  </conditionalFormatting>
  <conditionalFormatting sqref="R123 R125:R126 R131 R128:R129">
    <cfRule type="cellIs" dxfId="2564" priority="2565" operator="greaterThan">
      <formula>1</formula>
    </cfRule>
    <cfRule type="cellIs" dxfId="2563" priority="2566" operator="lessThan">
      <formula>0.8</formula>
    </cfRule>
  </conditionalFormatting>
  <conditionalFormatting sqref="Q123 Q125:Q126 Q131 Q128:Q129">
    <cfRule type="cellIs" dxfId="2562" priority="2563" operator="lessThan">
      <formula>0</formula>
    </cfRule>
  </conditionalFormatting>
  <conditionalFormatting sqref="R123 R125:R126 R131 R128:R129">
    <cfRule type="cellIs" dxfId="2561" priority="2561" operator="lessThan">
      <formula>0.8</formula>
    </cfRule>
    <cfRule type="cellIs" dxfId="2560" priority="2562" operator="greaterThan">
      <formula>1</formula>
    </cfRule>
  </conditionalFormatting>
  <conditionalFormatting sqref="R123 R125:R126 R131 R128:R129">
    <cfRule type="cellIs" dxfId="2559" priority="2559" operator="greaterThan">
      <formula>1</formula>
    </cfRule>
    <cfRule type="cellIs" dxfId="2558" priority="2560" operator="lessThan">
      <formula>0.8</formula>
    </cfRule>
  </conditionalFormatting>
  <conditionalFormatting sqref="P123 P125:P126 P131 P128:P129">
    <cfRule type="cellIs" dxfId="2557" priority="2558" operator="greaterThan">
      <formula>0</formula>
    </cfRule>
  </conditionalFormatting>
  <conditionalFormatting sqref="Q31">
    <cfRule type="cellIs" dxfId="2556" priority="2557" operator="lessThan">
      <formula>0</formula>
    </cfRule>
  </conditionalFormatting>
  <conditionalFormatting sqref="R31">
    <cfRule type="cellIs" dxfId="2555" priority="2555" operator="lessThan">
      <formula>0.8</formula>
    </cfRule>
    <cfRule type="cellIs" dxfId="2554" priority="2556" operator="greaterThan">
      <formula>1</formula>
    </cfRule>
  </conditionalFormatting>
  <conditionalFormatting sqref="R31">
    <cfRule type="cellIs" dxfId="2553" priority="2553" operator="greaterThan">
      <formula>1</formula>
    </cfRule>
    <cfRule type="cellIs" dxfId="2552" priority="2554" operator="lessThan">
      <formula>0.8</formula>
    </cfRule>
  </conditionalFormatting>
  <conditionalFormatting sqref="P31:P38">
    <cfRule type="cellIs" dxfId="2551" priority="2552" operator="greaterThan">
      <formula>0</formula>
    </cfRule>
  </conditionalFormatting>
  <conditionalFormatting sqref="Q31">
    <cfRule type="cellIs" dxfId="2550" priority="2551" operator="lessThan">
      <formula>0</formula>
    </cfRule>
  </conditionalFormatting>
  <conditionalFormatting sqref="R31">
    <cfRule type="cellIs" dxfId="2549" priority="2549" operator="lessThan">
      <formula>0.8</formula>
    </cfRule>
    <cfRule type="cellIs" dxfId="2548" priority="2550" operator="greaterThan">
      <formula>1</formula>
    </cfRule>
  </conditionalFormatting>
  <conditionalFormatting sqref="R31">
    <cfRule type="cellIs" dxfId="2547" priority="2547" operator="greaterThan">
      <formula>1</formula>
    </cfRule>
    <cfRule type="cellIs" dxfId="2546" priority="2548" operator="lessThan">
      <formula>0.8</formula>
    </cfRule>
  </conditionalFormatting>
  <conditionalFormatting sqref="P31:P38">
    <cfRule type="cellIs" dxfId="2545" priority="2546" operator="greaterThan">
      <formula>0</formula>
    </cfRule>
  </conditionalFormatting>
  <conditionalFormatting sqref="Q31">
    <cfRule type="cellIs" dxfId="2544" priority="2545" operator="lessThan">
      <formula>0</formula>
    </cfRule>
  </conditionalFormatting>
  <conditionalFormatting sqref="R31">
    <cfRule type="cellIs" dxfId="2543" priority="2543" operator="lessThan">
      <formula>0.8</formula>
    </cfRule>
    <cfRule type="cellIs" dxfId="2542" priority="2544" operator="greaterThan">
      <formula>1</formula>
    </cfRule>
  </conditionalFormatting>
  <conditionalFormatting sqref="R31">
    <cfRule type="cellIs" dxfId="2541" priority="2541" operator="greaterThan">
      <formula>1</formula>
    </cfRule>
    <cfRule type="cellIs" dxfId="2540" priority="2542" operator="lessThan">
      <formula>0.8</formula>
    </cfRule>
  </conditionalFormatting>
  <conditionalFormatting sqref="P31:P38">
    <cfRule type="cellIs" dxfId="2539" priority="2540" operator="greaterThan">
      <formula>0</formula>
    </cfRule>
  </conditionalFormatting>
  <conditionalFormatting sqref="Q31">
    <cfRule type="cellIs" dxfId="2538" priority="2539" operator="lessThan">
      <formula>0</formula>
    </cfRule>
  </conditionalFormatting>
  <conditionalFormatting sqref="R31">
    <cfRule type="cellIs" dxfId="2537" priority="2537" operator="lessThan">
      <formula>0.8</formula>
    </cfRule>
    <cfRule type="cellIs" dxfId="2536" priority="2538" operator="greaterThan">
      <formula>1</formula>
    </cfRule>
  </conditionalFormatting>
  <conditionalFormatting sqref="R31">
    <cfRule type="cellIs" dxfId="2535" priority="2535" operator="greaterThan">
      <formula>1</formula>
    </cfRule>
    <cfRule type="cellIs" dxfId="2534" priority="2536" operator="lessThan">
      <formula>0.8</formula>
    </cfRule>
  </conditionalFormatting>
  <conditionalFormatting sqref="P31:P38">
    <cfRule type="cellIs" dxfId="2533" priority="2534" operator="greaterThan">
      <formula>0</formula>
    </cfRule>
  </conditionalFormatting>
  <conditionalFormatting sqref="P31:P38">
    <cfRule type="cellIs" dxfId="2532" priority="2528" operator="greaterThan">
      <formula>0</formula>
    </cfRule>
  </conditionalFormatting>
  <conditionalFormatting sqref="Q31">
    <cfRule type="cellIs" dxfId="2531" priority="2533" operator="lessThan">
      <formula>0</formula>
    </cfRule>
  </conditionalFormatting>
  <conditionalFormatting sqref="R31">
    <cfRule type="cellIs" dxfId="2530" priority="2531" operator="lessThan">
      <formula>0.8</formula>
    </cfRule>
    <cfRule type="cellIs" dxfId="2529" priority="2532" operator="greaterThan">
      <formula>1</formula>
    </cfRule>
  </conditionalFormatting>
  <conditionalFormatting sqref="R31">
    <cfRule type="cellIs" dxfId="2528" priority="2529" operator="greaterThan">
      <formula>1</formula>
    </cfRule>
    <cfRule type="cellIs" dxfId="2527" priority="2530" operator="lessThan">
      <formula>0.8</formula>
    </cfRule>
  </conditionalFormatting>
  <conditionalFormatting sqref="P31:P38">
    <cfRule type="cellIs" dxfId="2526" priority="2522" operator="greaterThan">
      <formula>0</formula>
    </cfRule>
  </conditionalFormatting>
  <conditionalFormatting sqref="Q31">
    <cfRule type="cellIs" dxfId="2525" priority="2527" operator="lessThan">
      <formula>0</formula>
    </cfRule>
  </conditionalFormatting>
  <conditionalFormatting sqref="R31">
    <cfRule type="cellIs" dxfId="2524" priority="2525" operator="lessThan">
      <formula>0.8</formula>
    </cfRule>
    <cfRule type="cellIs" dxfId="2523" priority="2526" operator="greaterThan">
      <formula>1</formula>
    </cfRule>
  </conditionalFormatting>
  <conditionalFormatting sqref="R31">
    <cfRule type="cellIs" dxfId="2522" priority="2523" operator="greaterThan">
      <formula>1</formula>
    </cfRule>
    <cfRule type="cellIs" dxfId="2521" priority="2524" operator="lessThan">
      <formula>0.8</formula>
    </cfRule>
  </conditionalFormatting>
  <conditionalFormatting sqref="R31">
    <cfRule type="cellIs" dxfId="2520" priority="2519" operator="lessThan">
      <formula>0.8</formula>
    </cfRule>
    <cfRule type="cellIs" dxfId="2519" priority="2520" operator="greaterThan">
      <formula>1</formula>
    </cfRule>
  </conditionalFormatting>
  <conditionalFormatting sqref="R31">
    <cfRule type="cellIs" dxfId="2518" priority="2517" operator="greaterThan">
      <formula>1</formula>
    </cfRule>
    <cfRule type="cellIs" dxfId="2517" priority="2518" operator="lessThan">
      <formula>0.8</formula>
    </cfRule>
  </conditionalFormatting>
  <conditionalFormatting sqref="P31:P38">
    <cfRule type="cellIs" dxfId="2516" priority="2516" operator="greaterThan">
      <formula>0</formula>
    </cfRule>
  </conditionalFormatting>
  <conditionalFormatting sqref="Q31">
    <cfRule type="cellIs" dxfId="2515" priority="2521" operator="lessThan">
      <formula>0</formula>
    </cfRule>
  </conditionalFormatting>
  <conditionalFormatting sqref="Q31">
    <cfRule type="cellIs" dxfId="2514" priority="2515" operator="lessThan">
      <formula>0</formula>
    </cfRule>
  </conditionalFormatting>
  <conditionalFormatting sqref="R31">
    <cfRule type="cellIs" dxfId="2513" priority="2513" operator="lessThan">
      <formula>0.8</formula>
    </cfRule>
    <cfRule type="cellIs" dxfId="2512" priority="2514" operator="greaterThan">
      <formula>1</formula>
    </cfRule>
  </conditionalFormatting>
  <conditionalFormatting sqref="R31">
    <cfRule type="cellIs" dxfId="2511" priority="2511" operator="greaterThan">
      <formula>1</formula>
    </cfRule>
    <cfRule type="cellIs" dxfId="2510" priority="2512" operator="lessThan">
      <formula>0.8</formula>
    </cfRule>
  </conditionalFormatting>
  <conditionalFormatting sqref="P31:P38">
    <cfRule type="cellIs" dxfId="2509" priority="2510" operator="greaterThan">
      <formula>0</formula>
    </cfRule>
  </conditionalFormatting>
  <conditionalFormatting sqref="P31:P38">
    <cfRule type="cellIs" dxfId="2508" priority="2504" operator="greaterThan">
      <formula>0</formula>
    </cfRule>
  </conditionalFormatting>
  <conditionalFormatting sqref="Q31">
    <cfRule type="cellIs" dxfId="2507" priority="2509" operator="lessThan">
      <formula>0</formula>
    </cfRule>
  </conditionalFormatting>
  <conditionalFormatting sqref="R31">
    <cfRule type="cellIs" dxfId="2506" priority="2507" operator="lessThan">
      <formula>0.8</formula>
    </cfRule>
    <cfRule type="cellIs" dxfId="2505" priority="2508" operator="greaterThan">
      <formula>1</formula>
    </cfRule>
  </conditionalFormatting>
  <conditionalFormatting sqref="R31">
    <cfRule type="cellIs" dxfId="2504" priority="2505" operator="greaterThan">
      <formula>1</formula>
    </cfRule>
    <cfRule type="cellIs" dxfId="2503" priority="2506" operator="lessThan">
      <formula>0.8</formula>
    </cfRule>
  </conditionalFormatting>
  <conditionalFormatting sqref="P31:P38">
    <cfRule type="cellIs" dxfId="2502" priority="2498" operator="greaterThan">
      <formula>0</formula>
    </cfRule>
  </conditionalFormatting>
  <conditionalFormatting sqref="Q31">
    <cfRule type="cellIs" dxfId="2501" priority="2503" operator="lessThan">
      <formula>0</formula>
    </cfRule>
  </conditionalFormatting>
  <conditionalFormatting sqref="R31">
    <cfRule type="cellIs" dxfId="2500" priority="2501" operator="lessThan">
      <formula>0.8</formula>
    </cfRule>
    <cfRule type="cellIs" dxfId="2499" priority="2502" operator="greaterThan">
      <formula>1</formula>
    </cfRule>
  </conditionalFormatting>
  <conditionalFormatting sqref="R31">
    <cfRule type="cellIs" dxfId="2498" priority="2499" operator="greaterThan">
      <formula>1</formula>
    </cfRule>
    <cfRule type="cellIs" dxfId="2497" priority="2500" operator="lessThan">
      <formula>0.8</formula>
    </cfRule>
  </conditionalFormatting>
  <conditionalFormatting sqref="R31">
    <cfRule type="cellIs" dxfId="2496" priority="2495" operator="lessThan">
      <formula>0.8</formula>
    </cfRule>
    <cfRule type="cellIs" dxfId="2495" priority="2496" operator="greaterThan">
      <formula>1</formula>
    </cfRule>
  </conditionalFormatting>
  <conditionalFormatting sqref="R31">
    <cfRule type="cellIs" dxfId="2494" priority="2493" operator="greaterThan">
      <formula>1</formula>
    </cfRule>
    <cfRule type="cellIs" dxfId="2493" priority="2494" operator="lessThan">
      <formula>0.8</formula>
    </cfRule>
  </conditionalFormatting>
  <conditionalFormatting sqref="P31:P38">
    <cfRule type="cellIs" dxfId="2492" priority="2492" operator="greaterThan">
      <formula>0</formula>
    </cfRule>
  </conditionalFormatting>
  <conditionalFormatting sqref="Q31">
    <cfRule type="cellIs" dxfId="2491" priority="2497" operator="lessThan">
      <formula>0</formula>
    </cfRule>
  </conditionalFormatting>
  <conditionalFormatting sqref="P31:P38">
    <cfRule type="cellIs" dxfId="2490" priority="2486" operator="greaterThan">
      <formula>0</formula>
    </cfRule>
  </conditionalFormatting>
  <conditionalFormatting sqref="Q31">
    <cfRule type="cellIs" dxfId="2489" priority="2491" operator="lessThan">
      <formula>0</formula>
    </cfRule>
  </conditionalFormatting>
  <conditionalFormatting sqref="R31">
    <cfRule type="cellIs" dxfId="2488" priority="2489" operator="lessThan">
      <formula>0.8</formula>
    </cfRule>
    <cfRule type="cellIs" dxfId="2487" priority="2490" operator="greaterThan">
      <formula>1</formula>
    </cfRule>
  </conditionalFormatting>
  <conditionalFormatting sqref="R31">
    <cfRule type="cellIs" dxfId="2486" priority="2487" operator="greaterThan">
      <formula>1</formula>
    </cfRule>
    <cfRule type="cellIs" dxfId="2485" priority="2488" operator="lessThan">
      <formula>0.8</formula>
    </cfRule>
  </conditionalFormatting>
  <conditionalFormatting sqref="R31">
    <cfRule type="cellIs" dxfId="2484" priority="2483" operator="lessThan">
      <formula>0.8</formula>
    </cfRule>
    <cfRule type="cellIs" dxfId="2483" priority="2484" operator="greaterThan">
      <formula>1</formula>
    </cfRule>
  </conditionalFormatting>
  <conditionalFormatting sqref="R31">
    <cfRule type="cellIs" dxfId="2482" priority="2481" operator="greaterThan">
      <formula>1</formula>
    </cfRule>
    <cfRule type="cellIs" dxfId="2481" priority="2482" operator="lessThan">
      <formula>0.8</formula>
    </cfRule>
  </conditionalFormatting>
  <conditionalFormatting sqref="P31:P38">
    <cfRule type="cellIs" dxfId="2480" priority="2480" operator="greaterThan">
      <formula>0</formula>
    </cfRule>
  </conditionalFormatting>
  <conditionalFormatting sqref="Q31">
    <cfRule type="cellIs" dxfId="2479" priority="2485" operator="lessThan">
      <formula>0</formula>
    </cfRule>
  </conditionalFormatting>
  <conditionalFormatting sqref="R31">
    <cfRule type="cellIs" dxfId="2478" priority="2477" operator="lessThan">
      <formula>0.8</formula>
    </cfRule>
    <cfRule type="cellIs" dxfId="2477" priority="2478" operator="greaterThan">
      <formula>1</formula>
    </cfRule>
  </conditionalFormatting>
  <conditionalFormatting sqref="R31">
    <cfRule type="cellIs" dxfId="2476" priority="2475" operator="greaterThan">
      <formula>1</formula>
    </cfRule>
    <cfRule type="cellIs" dxfId="2475" priority="2476" operator="lessThan">
      <formula>0.8</formula>
    </cfRule>
  </conditionalFormatting>
  <conditionalFormatting sqref="P31:P38">
    <cfRule type="cellIs" dxfId="2474" priority="2474" operator="greaterThan">
      <formula>0</formula>
    </cfRule>
  </conditionalFormatting>
  <conditionalFormatting sqref="Q31">
    <cfRule type="cellIs" dxfId="2473" priority="2479" operator="lessThan">
      <formula>0</formula>
    </cfRule>
  </conditionalFormatting>
  <conditionalFormatting sqref="Q31">
    <cfRule type="cellIs" dxfId="2472" priority="2473" operator="lessThan">
      <formula>0</formula>
    </cfRule>
  </conditionalFormatting>
  <conditionalFormatting sqref="R31">
    <cfRule type="cellIs" dxfId="2471" priority="2471" operator="lessThan">
      <formula>0.8</formula>
    </cfRule>
    <cfRule type="cellIs" dxfId="2470" priority="2472" operator="greaterThan">
      <formula>1</formula>
    </cfRule>
  </conditionalFormatting>
  <conditionalFormatting sqref="R31">
    <cfRule type="cellIs" dxfId="2469" priority="2469" operator="greaterThan">
      <formula>1</formula>
    </cfRule>
    <cfRule type="cellIs" dxfId="2468" priority="2470" operator="lessThan">
      <formula>0.8</formula>
    </cfRule>
  </conditionalFormatting>
  <conditionalFormatting sqref="P31:P38">
    <cfRule type="cellIs" dxfId="2467" priority="2468" operator="greaterThan">
      <formula>0</formula>
    </cfRule>
  </conditionalFormatting>
  <conditionalFormatting sqref="Q31">
    <cfRule type="cellIs" dxfId="2466" priority="2462" operator="lessThan">
      <formula>0</formula>
    </cfRule>
  </conditionalFormatting>
  <conditionalFormatting sqref="R31">
    <cfRule type="cellIs" dxfId="2465" priority="2466" operator="lessThan">
      <formula>0.8</formula>
    </cfRule>
    <cfRule type="cellIs" dxfId="2464" priority="2467" operator="greaterThan">
      <formula>1</formula>
    </cfRule>
  </conditionalFormatting>
  <conditionalFormatting sqref="R31">
    <cfRule type="cellIs" dxfId="2463" priority="2464" operator="greaterThan">
      <formula>1</formula>
    </cfRule>
    <cfRule type="cellIs" dxfId="2462" priority="2465" operator="lessThan">
      <formula>0.8</formula>
    </cfRule>
  </conditionalFormatting>
  <conditionalFormatting sqref="P31:P38">
    <cfRule type="cellIs" dxfId="2461" priority="2463" operator="greaterThan">
      <formula>0</formula>
    </cfRule>
  </conditionalFormatting>
  <conditionalFormatting sqref="Q31">
    <cfRule type="cellIs" dxfId="2460" priority="2461" operator="lessThan">
      <formula>0</formula>
    </cfRule>
  </conditionalFormatting>
  <conditionalFormatting sqref="R31">
    <cfRule type="cellIs" dxfId="2459" priority="2459" operator="lessThan">
      <formula>0.8</formula>
    </cfRule>
    <cfRule type="cellIs" dxfId="2458" priority="2460" operator="greaterThan">
      <formula>1</formula>
    </cfRule>
  </conditionalFormatting>
  <conditionalFormatting sqref="R31">
    <cfRule type="cellIs" dxfId="2457" priority="2457" operator="greaterThan">
      <formula>1</formula>
    </cfRule>
    <cfRule type="cellIs" dxfId="2456" priority="2458" operator="lessThan">
      <formula>0.8</formula>
    </cfRule>
  </conditionalFormatting>
  <conditionalFormatting sqref="P31:P38">
    <cfRule type="cellIs" dxfId="2455" priority="2456" operator="greaterThan">
      <formula>0</formula>
    </cfRule>
  </conditionalFormatting>
  <conditionalFormatting sqref="Q31">
    <cfRule type="cellIs" dxfId="2454" priority="2455" operator="lessThan">
      <formula>0</formula>
    </cfRule>
  </conditionalFormatting>
  <conditionalFormatting sqref="R31">
    <cfRule type="cellIs" dxfId="2453" priority="2453" operator="lessThan">
      <formula>0.8</formula>
    </cfRule>
    <cfRule type="cellIs" dxfId="2452" priority="2454" operator="greaterThan">
      <formula>1</formula>
    </cfRule>
  </conditionalFormatting>
  <conditionalFormatting sqref="R31">
    <cfRule type="cellIs" dxfId="2451" priority="2451" operator="greaterThan">
      <formula>1</formula>
    </cfRule>
    <cfRule type="cellIs" dxfId="2450" priority="2452" operator="lessThan">
      <formula>0.8</formula>
    </cfRule>
  </conditionalFormatting>
  <conditionalFormatting sqref="P31:P38">
    <cfRule type="cellIs" dxfId="2449" priority="2450" operator="greaterThan">
      <formula>0</formula>
    </cfRule>
  </conditionalFormatting>
  <conditionalFormatting sqref="Q31">
    <cfRule type="cellIs" dxfId="2448" priority="2449" operator="lessThan">
      <formula>0</formula>
    </cfRule>
  </conditionalFormatting>
  <conditionalFormatting sqref="R31">
    <cfRule type="cellIs" dxfId="2447" priority="2447" operator="lessThan">
      <formula>0.8</formula>
    </cfRule>
    <cfRule type="cellIs" dxfId="2446" priority="2448" operator="greaterThan">
      <formula>1</formula>
    </cfRule>
  </conditionalFormatting>
  <conditionalFormatting sqref="R31">
    <cfRule type="cellIs" dxfId="2445" priority="2445" operator="greaterThan">
      <formula>1</formula>
    </cfRule>
    <cfRule type="cellIs" dxfId="2444" priority="2446" operator="lessThan">
      <formula>0.8</formula>
    </cfRule>
  </conditionalFormatting>
  <conditionalFormatting sqref="P31:P38">
    <cfRule type="cellIs" dxfId="2443" priority="2444" operator="greaterThan">
      <formula>0</formula>
    </cfRule>
  </conditionalFormatting>
  <conditionalFormatting sqref="Q31">
    <cfRule type="cellIs" dxfId="2442" priority="2443" operator="lessThan">
      <formula>0</formula>
    </cfRule>
  </conditionalFormatting>
  <conditionalFormatting sqref="R31">
    <cfRule type="cellIs" dxfId="2441" priority="2441" operator="lessThan">
      <formula>0.8</formula>
    </cfRule>
    <cfRule type="cellIs" dxfId="2440" priority="2442" operator="greaterThan">
      <formula>1</formula>
    </cfRule>
  </conditionalFormatting>
  <conditionalFormatting sqref="R31">
    <cfRule type="cellIs" dxfId="2439" priority="2439" operator="greaterThan">
      <formula>1</formula>
    </cfRule>
    <cfRule type="cellIs" dxfId="2438" priority="2440" operator="lessThan">
      <formula>0.8</formula>
    </cfRule>
  </conditionalFormatting>
  <conditionalFormatting sqref="P31:P38">
    <cfRule type="cellIs" dxfId="2437" priority="2438" operator="greaterThan">
      <formula>0</formula>
    </cfRule>
  </conditionalFormatting>
  <conditionalFormatting sqref="Q31">
    <cfRule type="cellIs" dxfId="2436" priority="2437" operator="lessThan">
      <formula>0</formula>
    </cfRule>
  </conditionalFormatting>
  <conditionalFormatting sqref="R31">
    <cfRule type="cellIs" dxfId="2435" priority="2435" operator="lessThan">
      <formula>0.8</formula>
    </cfRule>
    <cfRule type="cellIs" dxfId="2434" priority="2436" operator="greaterThan">
      <formula>1</formula>
    </cfRule>
  </conditionalFormatting>
  <conditionalFormatting sqref="R31">
    <cfRule type="cellIs" dxfId="2433" priority="2433" operator="greaterThan">
      <formula>1</formula>
    </cfRule>
    <cfRule type="cellIs" dxfId="2432" priority="2434" operator="lessThan">
      <formula>0.8</formula>
    </cfRule>
  </conditionalFormatting>
  <conditionalFormatting sqref="P31:P38">
    <cfRule type="cellIs" dxfId="2431" priority="2432" operator="greaterThan">
      <formula>0</formula>
    </cfRule>
  </conditionalFormatting>
  <conditionalFormatting sqref="P31:P38">
    <cfRule type="cellIs" dxfId="2430" priority="2426" operator="greaterThan">
      <formula>0</formula>
    </cfRule>
  </conditionalFormatting>
  <conditionalFormatting sqref="Q31">
    <cfRule type="cellIs" dxfId="2429" priority="2431" operator="lessThan">
      <formula>0</formula>
    </cfRule>
  </conditionalFormatting>
  <conditionalFormatting sqref="R31">
    <cfRule type="cellIs" dxfId="2428" priority="2429" operator="lessThan">
      <formula>0.8</formula>
    </cfRule>
    <cfRule type="cellIs" dxfId="2427" priority="2430" operator="greaterThan">
      <formula>1</formula>
    </cfRule>
  </conditionalFormatting>
  <conditionalFormatting sqref="R31">
    <cfRule type="cellIs" dxfId="2426" priority="2427" operator="greaterThan">
      <formula>1</formula>
    </cfRule>
    <cfRule type="cellIs" dxfId="2425" priority="2428" operator="lessThan">
      <formula>0.8</formula>
    </cfRule>
  </conditionalFormatting>
  <conditionalFormatting sqref="P31:P38">
    <cfRule type="cellIs" dxfId="2424" priority="2420" operator="greaterThan">
      <formula>0</formula>
    </cfRule>
  </conditionalFormatting>
  <conditionalFormatting sqref="Q31">
    <cfRule type="cellIs" dxfId="2423" priority="2425" operator="lessThan">
      <formula>0</formula>
    </cfRule>
  </conditionalFormatting>
  <conditionalFormatting sqref="R31">
    <cfRule type="cellIs" dxfId="2422" priority="2423" operator="lessThan">
      <formula>0.8</formula>
    </cfRule>
    <cfRule type="cellIs" dxfId="2421" priority="2424" operator="greaterThan">
      <formula>1</formula>
    </cfRule>
  </conditionalFormatting>
  <conditionalFormatting sqref="R31">
    <cfRule type="cellIs" dxfId="2420" priority="2421" operator="greaterThan">
      <formula>1</formula>
    </cfRule>
    <cfRule type="cellIs" dxfId="2419" priority="2422" operator="lessThan">
      <formula>0.8</formula>
    </cfRule>
  </conditionalFormatting>
  <conditionalFormatting sqref="R31">
    <cfRule type="cellIs" dxfId="2418" priority="2417" operator="lessThan">
      <formula>0.8</formula>
    </cfRule>
    <cfRule type="cellIs" dxfId="2417" priority="2418" operator="greaterThan">
      <formula>1</formula>
    </cfRule>
  </conditionalFormatting>
  <conditionalFormatting sqref="R31">
    <cfRule type="cellIs" dxfId="2416" priority="2415" operator="greaterThan">
      <formula>1</formula>
    </cfRule>
    <cfRule type="cellIs" dxfId="2415" priority="2416" operator="lessThan">
      <formula>0.8</formula>
    </cfRule>
  </conditionalFormatting>
  <conditionalFormatting sqref="P31:P38">
    <cfRule type="cellIs" dxfId="2414" priority="2414" operator="greaterThan">
      <formula>0</formula>
    </cfRule>
  </conditionalFormatting>
  <conditionalFormatting sqref="Q31">
    <cfRule type="cellIs" dxfId="2413" priority="2419" operator="lessThan">
      <formula>0</formula>
    </cfRule>
  </conditionalFormatting>
  <conditionalFormatting sqref="Q31">
    <cfRule type="cellIs" dxfId="2412" priority="2413" operator="lessThan">
      <formula>0</formula>
    </cfRule>
  </conditionalFormatting>
  <conditionalFormatting sqref="R31">
    <cfRule type="cellIs" dxfId="2411" priority="2411" operator="lessThan">
      <formula>0.8</formula>
    </cfRule>
    <cfRule type="cellIs" dxfId="2410" priority="2412" operator="greaterThan">
      <formula>1</formula>
    </cfRule>
  </conditionalFormatting>
  <conditionalFormatting sqref="R31">
    <cfRule type="cellIs" dxfId="2409" priority="2409" operator="greaterThan">
      <formula>1</formula>
    </cfRule>
    <cfRule type="cellIs" dxfId="2408" priority="2410" operator="lessThan">
      <formula>0.8</formula>
    </cfRule>
  </conditionalFormatting>
  <conditionalFormatting sqref="P31:P38">
    <cfRule type="cellIs" dxfId="2407" priority="2408" operator="greaterThan">
      <formula>0</formula>
    </cfRule>
  </conditionalFormatting>
  <conditionalFormatting sqref="Q31">
    <cfRule type="cellIs" dxfId="2406" priority="2407" operator="lessThan">
      <formula>0</formula>
    </cfRule>
  </conditionalFormatting>
  <conditionalFormatting sqref="R31">
    <cfRule type="cellIs" dxfId="2405" priority="2405" operator="lessThan">
      <formula>0.8</formula>
    </cfRule>
    <cfRule type="cellIs" dxfId="2404" priority="2406" operator="greaterThan">
      <formula>1</formula>
    </cfRule>
  </conditionalFormatting>
  <conditionalFormatting sqref="R31">
    <cfRule type="cellIs" dxfId="2403" priority="2403" operator="greaterThan">
      <formula>1</formula>
    </cfRule>
    <cfRule type="cellIs" dxfId="2402" priority="2404" operator="lessThan">
      <formula>0.8</formula>
    </cfRule>
  </conditionalFormatting>
  <conditionalFormatting sqref="P31:P38">
    <cfRule type="cellIs" dxfId="2401" priority="2402" operator="greaterThan">
      <formula>0</formula>
    </cfRule>
  </conditionalFormatting>
  <conditionalFormatting sqref="Q31">
    <cfRule type="cellIs" dxfId="2400" priority="2401" operator="lessThan">
      <formula>0</formula>
    </cfRule>
  </conditionalFormatting>
  <conditionalFormatting sqref="R31">
    <cfRule type="cellIs" dxfId="2399" priority="2399" operator="lessThan">
      <formula>0.8</formula>
    </cfRule>
    <cfRule type="cellIs" dxfId="2398" priority="2400" operator="greaterThan">
      <formula>1</formula>
    </cfRule>
  </conditionalFormatting>
  <conditionalFormatting sqref="R31">
    <cfRule type="cellIs" dxfId="2397" priority="2397" operator="greaterThan">
      <formula>1</formula>
    </cfRule>
    <cfRule type="cellIs" dxfId="2396" priority="2398" operator="lessThan">
      <formula>0.8</formula>
    </cfRule>
  </conditionalFormatting>
  <conditionalFormatting sqref="P31:P38">
    <cfRule type="cellIs" dxfId="2395" priority="2396" operator="greaterThan">
      <formula>0</formula>
    </cfRule>
  </conditionalFormatting>
  <conditionalFormatting sqref="Q31">
    <cfRule type="cellIs" dxfId="2394" priority="2395" operator="lessThan">
      <formula>0</formula>
    </cfRule>
  </conditionalFormatting>
  <conditionalFormatting sqref="R31">
    <cfRule type="cellIs" dxfId="2393" priority="2393" operator="lessThan">
      <formula>0.8</formula>
    </cfRule>
    <cfRule type="cellIs" dxfId="2392" priority="2394" operator="greaterThan">
      <formula>1</formula>
    </cfRule>
  </conditionalFormatting>
  <conditionalFormatting sqref="R31">
    <cfRule type="cellIs" dxfId="2391" priority="2391" operator="greaterThan">
      <formula>1</formula>
    </cfRule>
    <cfRule type="cellIs" dxfId="2390" priority="2392" operator="lessThan">
      <formula>0.8</formula>
    </cfRule>
  </conditionalFormatting>
  <conditionalFormatting sqref="P31:P38">
    <cfRule type="cellIs" dxfId="2389" priority="2390" operator="greaterThan">
      <formula>0</formula>
    </cfRule>
  </conditionalFormatting>
  <conditionalFormatting sqref="P31:P38">
    <cfRule type="cellIs" dxfId="2388" priority="2384" operator="greaterThan">
      <formula>0</formula>
    </cfRule>
  </conditionalFormatting>
  <conditionalFormatting sqref="Q31">
    <cfRule type="cellIs" dxfId="2387" priority="2389" operator="lessThan">
      <formula>0</formula>
    </cfRule>
  </conditionalFormatting>
  <conditionalFormatting sqref="R31">
    <cfRule type="cellIs" dxfId="2386" priority="2387" operator="lessThan">
      <formula>0.8</formula>
    </cfRule>
    <cfRule type="cellIs" dxfId="2385" priority="2388" operator="greaterThan">
      <formula>1</formula>
    </cfRule>
  </conditionalFormatting>
  <conditionalFormatting sqref="R31">
    <cfRule type="cellIs" dxfId="2384" priority="2385" operator="greaterThan">
      <formula>1</formula>
    </cfRule>
    <cfRule type="cellIs" dxfId="2383" priority="2386" operator="lessThan">
      <formula>0.8</formula>
    </cfRule>
  </conditionalFormatting>
  <conditionalFormatting sqref="P31:P38">
    <cfRule type="cellIs" dxfId="2382" priority="2378" operator="greaterThan">
      <formula>0</formula>
    </cfRule>
  </conditionalFormatting>
  <conditionalFormatting sqref="Q31">
    <cfRule type="cellIs" dxfId="2381" priority="2383" operator="lessThan">
      <formula>0</formula>
    </cfRule>
  </conditionalFormatting>
  <conditionalFormatting sqref="R31">
    <cfRule type="cellIs" dxfId="2380" priority="2381" operator="lessThan">
      <formula>0.8</formula>
    </cfRule>
    <cfRule type="cellIs" dxfId="2379" priority="2382" operator="greaterThan">
      <formula>1</formula>
    </cfRule>
  </conditionalFormatting>
  <conditionalFormatting sqref="R31">
    <cfRule type="cellIs" dxfId="2378" priority="2379" operator="greaterThan">
      <formula>1</formula>
    </cfRule>
    <cfRule type="cellIs" dxfId="2377" priority="2380" operator="lessThan">
      <formula>0.8</formula>
    </cfRule>
  </conditionalFormatting>
  <conditionalFormatting sqref="R31">
    <cfRule type="cellIs" dxfId="2376" priority="2375" operator="lessThan">
      <formula>0.8</formula>
    </cfRule>
    <cfRule type="cellIs" dxfId="2375" priority="2376" operator="greaterThan">
      <formula>1</formula>
    </cfRule>
  </conditionalFormatting>
  <conditionalFormatting sqref="R31">
    <cfRule type="cellIs" dxfId="2374" priority="2373" operator="greaterThan">
      <formula>1</formula>
    </cfRule>
    <cfRule type="cellIs" dxfId="2373" priority="2374" operator="lessThan">
      <formula>0.8</formula>
    </cfRule>
  </conditionalFormatting>
  <conditionalFormatting sqref="P31:P38">
    <cfRule type="cellIs" dxfId="2372" priority="2372" operator="greaterThan">
      <formula>0</formula>
    </cfRule>
  </conditionalFormatting>
  <conditionalFormatting sqref="Q31">
    <cfRule type="cellIs" dxfId="2371" priority="2377" operator="lessThan">
      <formula>0</formula>
    </cfRule>
  </conditionalFormatting>
  <conditionalFormatting sqref="Q31">
    <cfRule type="cellIs" dxfId="2370" priority="2371" operator="lessThan">
      <formula>0</formula>
    </cfRule>
  </conditionalFormatting>
  <conditionalFormatting sqref="R31">
    <cfRule type="cellIs" dxfId="2369" priority="2369" operator="lessThan">
      <formula>0.8</formula>
    </cfRule>
    <cfRule type="cellIs" dxfId="2368" priority="2370" operator="greaterThan">
      <formula>1</formula>
    </cfRule>
  </conditionalFormatting>
  <conditionalFormatting sqref="R31">
    <cfRule type="cellIs" dxfId="2367" priority="2367" operator="greaterThan">
      <formula>1</formula>
    </cfRule>
    <cfRule type="cellIs" dxfId="2366" priority="2368" operator="lessThan">
      <formula>0.8</formula>
    </cfRule>
  </conditionalFormatting>
  <conditionalFormatting sqref="P31:P38">
    <cfRule type="cellIs" dxfId="2365" priority="2366" operator="greaterThan">
      <formula>0</formula>
    </cfRule>
  </conditionalFormatting>
  <conditionalFormatting sqref="P31:P38">
    <cfRule type="cellIs" dxfId="2364" priority="2360" operator="greaterThan">
      <formula>0</formula>
    </cfRule>
  </conditionalFormatting>
  <conditionalFormatting sqref="Q31">
    <cfRule type="cellIs" dxfId="2363" priority="2365" operator="lessThan">
      <formula>0</formula>
    </cfRule>
  </conditionalFormatting>
  <conditionalFormatting sqref="R31">
    <cfRule type="cellIs" dxfId="2362" priority="2363" operator="lessThan">
      <formula>0.8</formula>
    </cfRule>
    <cfRule type="cellIs" dxfId="2361" priority="2364" operator="greaterThan">
      <formula>1</formula>
    </cfRule>
  </conditionalFormatting>
  <conditionalFormatting sqref="R31">
    <cfRule type="cellIs" dxfId="2360" priority="2361" operator="greaterThan">
      <formula>1</formula>
    </cfRule>
    <cfRule type="cellIs" dxfId="2359" priority="2362" operator="lessThan">
      <formula>0.8</formula>
    </cfRule>
  </conditionalFormatting>
  <conditionalFormatting sqref="P31:P38">
    <cfRule type="cellIs" dxfId="2358" priority="2354" operator="greaterThan">
      <formula>0</formula>
    </cfRule>
  </conditionalFormatting>
  <conditionalFormatting sqref="Q31">
    <cfRule type="cellIs" dxfId="2357" priority="2359" operator="lessThan">
      <formula>0</formula>
    </cfRule>
  </conditionalFormatting>
  <conditionalFormatting sqref="R31">
    <cfRule type="cellIs" dxfId="2356" priority="2357" operator="lessThan">
      <formula>0.8</formula>
    </cfRule>
    <cfRule type="cellIs" dxfId="2355" priority="2358" operator="greaterThan">
      <formula>1</formula>
    </cfRule>
  </conditionalFormatting>
  <conditionalFormatting sqref="R31">
    <cfRule type="cellIs" dxfId="2354" priority="2355" operator="greaterThan">
      <formula>1</formula>
    </cfRule>
    <cfRule type="cellIs" dxfId="2353" priority="2356" operator="lessThan">
      <formula>0.8</formula>
    </cfRule>
  </conditionalFormatting>
  <conditionalFormatting sqref="R31">
    <cfRule type="cellIs" dxfId="2352" priority="2351" operator="lessThan">
      <formula>0.8</formula>
    </cfRule>
    <cfRule type="cellIs" dxfId="2351" priority="2352" operator="greaterThan">
      <formula>1</formula>
    </cfRule>
  </conditionalFormatting>
  <conditionalFormatting sqref="R31">
    <cfRule type="cellIs" dxfId="2350" priority="2349" operator="greaterThan">
      <formula>1</formula>
    </cfRule>
    <cfRule type="cellIs" dxfId="2349" priority="2350" operator="lessThan">
      <formula>0.8</formula>
    </cfRule>
  </conditionalFormatting>
  <conditionalFormatting sqref="P31:P38">
    <cfRule type="cellIs" dxfId="2348" priority="2348" operator="greaterThan">
      <formula>0</formula>
    </cfRule>
  </conditionalFormatting>
  <conditionalFormatting sqref="Q31">
    <cfRule type="cellIs" dxfId="2347" priority="2353" operator="lessThan">
      <formula>0</formula>
    </cfRule>
  </conditionalFormatting>
  <conditionalFormatting sqref="P31:P38">
    <cfRule type="cellIs" dxfId="2346" priority="2342" operator="greaterThan">
      <formula>0</formula>
    </cfRule>
  </conditionalFormatting>
  <conditionalFormatting sqref="Q31">
    <cfRule type="cellIs" dxfId="2345" priority="2347" operator="lessThan">
      <formula>0</formula>
    </cfRule>
  </conditionalFormatting>
  <conditionalFormatting sqref="R31">
    <cfRule type="cellIs" dxfId="2344" priority="2345" operator="lessThan">
      <formula>0.8</formula>
    </cfRule>
    <cfRule type="cellIs" dxfId="2343" priority="2346" operator="greaterThan">
      <formula>1</formula>
    </cfRule>
  </conditionalFormatting>
  <conditionalFormatting sqref="R31">
    <cfRule type="cellIs" dxfId="2342" priority="2343" operator="greaterThan">
      <formula>1</formula>
    </cfRule>
    <cfRule type="cellIs" dxfId="2341" priority="2344" operator="lessThan">
      <formula>0.8</formula>
    </cfRule>
  </conditionalFormatting>
  <conditionalFormatting sqref="R31">
    <cfRule type="cellIs" dxfId="2340" priority="2339" operator="lessThan">
      <formula>0.8</formula>
    </cfRule>
    <cfRule type="cellIs" dxfId="2339" priority="2340" operator="greaterThan">
      <formula>1</formula>
    </cfRule>
  </conditionalFormatting>
  <conditionalFormatting sqref="R31">
    <cfRule type="cellIs" dxfId="2338" priority="2337" operator="greaterThan">
      <formula>1</formula>
    </cfRule>
    <cfRule type="cellIs" dxfId="2337" priority="2338" operator="lessThan">
      <formula>0.8</formula>
    </cfRule>
  </conditionalFormatting>
  <conditionalFormatting sqref="P31:P38">
    <cfRule type="cellIs" dxfId="2336" priority="2336" operator="greaterThan">
      <formula>0</formula>
    </cfRule>
  </conditionalFormatting>
  <conditionalFormatting sqref="Q31">
    <cfRule type="cellIs" dxfId="2335" priority="2341" operator="lessThan">
      <formula>0</formula>
    </cfRule>
  </conditionalFormatting>
  <conditionalFormatting sqref="R31">
    <cfRule type="cellIs" dxfId="2334" priority="2333" operator="lessThan">
      <formula>0.8</formula>
    </cfRule>
    <cfRule type="cellIs" dxfId="2333" priority="2334" operator="greaterThan">
      <formula>1</formula>
    </cfRule>
  </conditionalFormatting>
  <conditionalFormatting sqref="R31">
    <cfRule type="cellIs" dxfId="2332" priority="2331" operator="greaterThan">
      <formula>1</formula>
    </cfRule>
    <cfRule type="cellIs" dxfId="2331" priority="2332" operator="lessThan">
      <formula>0.8</formula>
    </cfRule>
  </conditionalFormatting>
  <conditionalFormatting sqref="P31:P38">
    <cfRule type="cellIs" dxfId="2330" priority="2330" operator="greaterThan">
      <formula>0</formula>
    </cfRule>
  </conditionalFormatting>
  <conditionalFormatting sqref="Q31">
    <cfRule type="cellIs" dxfId="2329" priority="2335" operator="lessThan">
      <formula>0</formula>
    </cfRule>
  </conditionalFormatting>
  <conditionalFormatting sqref="Q31">
    <cfRule type="cellIs" dxfId="2328" priority="2329" operator="lessThan">
      <formula>0</formula>
    </cfRule>
  </conditionalFormatting>
  <conditionalFormatting sqref="R31">
    <cfRule type="cellIs" dxfId="2327" priority="2327" operator="lessThan">
      <formula>0.8</formula>
    </cfRule>
    <cfRule type="cellIs" dxfId="2326" priority="2328" operator="greaterThan">
      <formula>1</formula>
    </cfRule>
  </conditionalFormatting>
  <conditionalFormatting sqref="R31">
    <cfRule type="cellIs" dxfId="2325" priority="2325" operator="greaterThan">
      <formula>1</formula>
    </cfRule>
    <cfRule type="cellIs" dxfId="2324" priority="2326" operator="lessThan">
      <formula>0.8</formula>
    </cfRule>
  </conditionalFormatting>
  <conditionalFormatting sqref="P31:P38">
    <cfRule type="cellIs" dxfId="2323" priority="2324" operator="greaterThan">
      <formula>0</formula>
    </cfRule>
  </conditionalFormatting>
  <conditionalFormatting sqref="Q31">
    <cfRule type="cellIs" dxfId="2322" priority="2318" operator="lessThan">
      <formula>0</formula>
    </cfRule>
  </conditionalFormatting>
  <conditionalFormatting sqref="R31">
    <cfRule type="cellIs" dxfId="2321" priority="2322" operator="lessThan">
      <formula>0.8</formula>
    </cfRule>
    <cfRule type="cellIs" dxfId="2320" priority="2323" operator="greaterThan">
      <formula>1</formula>
    </cfRule>
  </conditionalFormatting>
  <conditionalFormatting sqref="R31">
    <cfRule type="cellIs" dxfId="2319" priority="2320" operator="greaterThan">
      <formula>1</formula>
    </cfRule>
    <cfRule type="cellIs" dxfId="2318" priority="2321" operator="lessThan">
      <formula>0.8</formula>
    </cfRule>
  </conditionalFormatting>
  <conditionalFormatting sqref="P31:P38">
    <cfRule type="cellIs" dxfId="2317" priority="2319" operator="greaterThan">
      <formula>0</formula>
    </cfRule>
  </conditionalFormatting>
  <conditionalFormatting sqref="Q31">
    <cfRule type="cellIs" dxfId="2316" priority="2317" operator="lessThan">
      <formula>0</formula>
    </cfRule>
  </conditionalFormatting>
  <conditionalFormatting sqref="R31">
    <cfRule type="cellIs" dxfId="2315" priority="2315" operator="lessThan">
      <formula>0.8</formula>
    </cfRule>
    <cfRule type="cellIs" dxfId="2314" priority="2316" operator="greaterThan">
      <formula>1</formula>
    </cfRule>
  </conditionalFormatting>
  <conditionalFormatting sqref="R31">
    <cfRule type="cellIs" dxfId="2313" priority="2313" operator="greaterThan">
      <formula>1</formula>
    </cfRule>
    <cfRule type="cellIs" dxfId="2312" priority="2314" operator="lessThan">
      <formula>0.8</formula>
    </cfRule>
  </conditionalFormatting>
  <conditionalFormatting sqref="P31:P38">
    <cfRule type="cellIs" dxfId="2311" priority="2312" operator="greaterThan">
      <formula>0</formula>
    </cfRule>
  </conditionalFormatting>
  <conditionalFormatting sqref="Q31">
    <cfRule type="cellIs" dxfId="2310" priority="2311" operator="lessThan">
      <formula>0</formula>
    </cfRule>
  </conditionalFormatting>
  <conditionalFormatting sqref="R31">
    <cfRule type="cellIs" dxfId="2309" priority="2309" operator="lessThan">
      <formula>0.8</formula>
    </cfRule>
    <cfRule type="cellIs" dxfId="2308" priority="2310" operator="greaterThan">
      <formula>1</formula>
    </cfRule>
  </conditionalFormatting>
  <conditionalFormatting sqref="R31">
    <cfRule type="cellIs" dxfId="2307" priority="2307" operator="greaterThan">
      <formula>1</formula>
    </cfRule>
    <cfRule type="cellIs" dxfId="2306" priority="2308" operator="lessThan">
      <formula>0.8</formula>
    </cfRule>
  </conditionalFormatting>
  <conditionalFormatting sqref="P31:P38">
    <cfRule type="cellIs" dxfId="2305" priority="2306" operator="greaterThan">
      <formula>0</formula>
    </cfRule>
  </conditionalFormatting>
  <conditionalFormatting sqref="Q31">
    <cfRule type="cellIs" dxfId="2304" priority="2305" operator="lessThan">
      <formula>0</formula>
    </cfRule>
  </conditionalFormatting>
  <conditionalFormatting sqref="R31">
    <cfRule type="cellIs" dxfId="2303" priority="2303" operator="lessThan">
      <formula>0.8</formula>
    </cfRule>
    <cfRule type="cellIs" dxfId="2302" priority="2304" operator="greaterThan">
      <formula>1</formula>
    </cfRule>
  </conditionalFormatting>
  <conditionalFormatting sqref="R31">
    <cfRule type="cellIs" dxfId="2301" priority="2301" operator="greaterThan">
      <formula>1</formula>
    </cfRule>
    <cfRule type="cellIs" dxfId="2300" priority="2302" operator="lessThan">
      <formula>0.8</formula>
    </cfRule>
  </conditionalFormatting>
  <conditionalFormatting sqref="P31:P38">
    <cfRule type="cellIs" dxfId="2299" priority="2300" operator="greaterThan">
      <formula>0</formula>
    </cfRule>
  </conditionalFormatting>
  <conditionalFormatting sqref="Q31">
    <cfRule type="cellIs" dxfId="2298" priority="2299" operator="lessThan">
      <formula>0</formula>
    </cfRule>
  </conditionalFormatting>
  <conditionalFormatting sqref="R31">
    <cfRule type="cellIs" dxfId="2297" priority="2297" operator="lessThan">
      <formula>0.8</formula>
    </cfRule>
    <cfRule type="cellIs" dxfId="2296" priority="2298" operator="greaterThan">
      <formula>1</formula>
    </cfRule>
  </conditionalFormatting>
  <conditionalFormatting sqref="R31">
    <cfRule type="cellIs" dxfId="2295" priority="2295" operator="greaterThan">
      <formula>1</formula>
    </cfRule>
    <cfRule type="cellIs" dxfId="2294" priority="2296" operator="lessThan">
      <formula>0.8</formula>
    </cfRule>
  </conditionalFormatting>
  <conditionalFormatting sqref="P31:P38">
    <cfRule type="cellIs" dxfId="2293" priority="2294" operator="greaterThan">
      <formula>0</formula>
    </cfRule>
  </conditionalFormatting>
  <conditionalFormatting sqref="Q31">
    <cfRule type="cellIs" dxfId="2292" priority="2293" operator="lessThan">
      <formula>0</formula>
    </cfRule>
  </conditionalFormatting>
  <conditionalFormatting sqref="R31">
    <cfRule type="cellIs" dxfId="2291" priority="2291" operator="lessThan">
      <formula>0.8</formula>
    </cfRule>
    <cfRule type="cellIs" dxfId="2290" priority="2292" operator="greaterThan">
      <formula>1</formula>
    </cfRule>
  </conditionalFormatting>
  <conditionalFormatting sqref="R31">
    <cfRule type="cellIs" dxfId="2289" priority="2289" operator="greaterThan">
      <formula>1</formula>
    </cfRule>
    <cfRule type="cellIs" dxfId="2288" priority="2290" operator="lessThan">
      <formula>0.8</formula>
    </cfRule>
  </conditionalFormatting>
  <conditionalFormatting sqref="P31:P38">
    <cfRule type="cellIs" dxfId="2287" priority="2288" operator="greaterThan">
      <formula>0</formula>
    </cfRule>
  </conditionalFormatting>
  <conditionalFormatting sqref="P31:P38">
    <cfRule type="cellIs" dxfId="2286" priority="2282" operator="greaterThan">
      <formula>0</formula>
    </cfRule>
  </conditionalFormatting>
  <conditionalFormatting sqref="Q31">
    <cfRule type="cellIs" dxfId="2285" priority="2287" operator="lessThan">
      <formula>0</formula>
    </cfRule>
  </conditionalFormatting>
  <conditionalFormatting sqref="R31">
    <cfRule type="cellIs" dxfId="2284" priority="2285" operator="lessThan">
      <formula>0.8</formula>
    </cfRule>
    <cfRule type="cellIs" dxfId="2283" priority="2286" operator="greaterThan">
      <formula>1</formula>
    </cfRule>
  </conditionalFormatting>
  <conditionalFormatting sqref="R31">
    <cfRule type="cellIs" dxfId="2282" priority="2283" operator="greaterThan">
      <formula>1</formula>
    </cfRule>
    <cfRule type="cellIs" dxfId="2281" priority="2284" operator="lessThan">
      <formula>0.8</formula>
    </cfRule>
  </conditionalFormatting>
  <conditionalFormatting sqref="P31:P38">
    <cfRule type="cellIs" dxfId="2280" priority="2276" operator="greaterThan">
      <formula>0</formula>
    </cfRule>
  </conditionalFormatting>
  <conditionalFormatting sqref="Q31">
    <cfRule type="cellIs" dxfId="2279" priority="2281" operator="lessThan">
      <formula>0</formula>
    </cfRule>
  </conditionalFormatting>
  <conditionalFormatting sqref="R31">
    <cfRule type="cellIs" dxfId="2278" priority="2279" operator="lessThan">
      <formula>0.8</formula>
    </cfRule>
    <cfRule type="cellIs" dxfId="2277" priority="2280" operator="greaterThan">
      <formula>1</formula>
    </cfRule>
  </conditionalFormatting>
  <conditionalFormatting sqref="R31">
    <cfRule type="cellIs" dxfId="2276" priority="2277" operator="greaterThan">
      <formula>1</formula>
    </cfRule>
    <cfRule type="cellIs" dxfId="2275" priority="2278" operator="lessThan">
      <formula>0.8</formula>
    </cfRule>
  </conditionalFormatting>
  <conditionalFormatting sqref="R31">
    <cfRule type="cellIs" dxfId="2274" priority="2273" operator="lessThan">
      <formula>0.8</formula>
    </cfRule>
    <cfRule type="cellIs" dxfId="2273" priority="2274" operator="greaterThan">
      <formula>1</formula>
    </cfRule>
  </conditionalFormatting>
  <conditionalFormatting sqref="R31">
    <cfRule type="cellIs" dxfId="2272" priority="2271" operator="greaterThan">
      <formula>1</formula>
    </cfRule>
    <cfRule type="cellIs" dxfId="2271" priority="2272" operator="lessThan">
      <formula>0.8</formula>
    </cfRule>
  </conditionalFormatting>
  <conditionalFormatting sqref="P31:P38">
    <cfRule type="cellIs" dxfId="2270" priority="2270" operator="greaterThan">
      <formula>0</formula>
    </cfRule>
  </conditionalFormatting>
  <conditionalFormatting sqref="Q31">
    <cfRule type="cellIs" dxfId="2269" priority="2275" operator="lessThan">
      <formula>0</formula>
    </cfRule>
  </conditionalFormatting>
  <conditionalFormatting sqref="P79">
    <cfRule type="cellIs" dxfId="2268" priority="2264" operator="greaterThan">
      <formula>0</formula>
    </cfRule>
  </conditionalFormatting>
  <conditionalFormatting sqref="Q79">
    <cfRule type="cellIs" dxfId="2267" priority="2269" operator="lessThan">
      <formula>0</formula>
    </cfRule>
  </conditionalFormatting>
  <conditionalFormatting sqref="R79">
    <cfRule type="cellIs" dxfId="2266" priority="2267" operator="lessThan">
      <formula>0.8</formula>
    </cfRule>
    <cfRule type="cellIs" dxfId="2265" priority="2268" operator="greaterThan">
      <formula>1</formula>
    </cfRule>
  </conditionalFormatting>
  <conditionalFormatting sqref="R79">
    <cfRule type="cellIs" dxfId="2264" priority="2265" operator="greaterThan">
      <formula>1</formula>
    </cfRule>
    <cfRule type="cellIs" dxfId="2263" priority="2266" operator="lessThan">
      <formula>0.8</formula>
    </cfRule>
  </conditionalFormatting>
  <conditionalFormatting sqref="Q79">
    <cfRule type="cellIs" dxfId="2262" priority="2263" operator="lessThan">
      <formula>0</formula>
    </cfRule>
  </conditionalFormatting>
  <conditionalFormatting sqref="R79">
    <cfRule type="cellIs" dxfId="2261" priority="2261" operator="lessThan">
      <formula>0.8</formula>
    </cfRule>
    <cfRule type="cellIs" dxfId="2260" priority="2262" operator="greaterThan">
      <formula>1</formula>
    </cfRule>
  </conditionalFormatting>
  <conditionalFormatting sqref="R79">
    <cfRule type="cellIs" dxfId="2259" priority="2259" operator="greaterThan">
      <formula>1</formula>
    </cfRule>
    <cfRule type="cellIs" dxfId="2258" priority="2260" operator="lessThan">
      <formula>0.8</formula>
    </cfRule>
  </conditionalFormatting>
  <conditionalFormatting sqref="P79">
    <cfRule type="cellIs" dxfId="2257" priority="2258" operator="greaterThan">
      <formula>0</formula>
    </cfRule>
  </conditionalFormatting>
  <conditionalFormatting sqref="P79">
    <cfRule type="cellIs" dxfId="2256" priority="2252" operator="greaterThan">
      <formula>0</formula>
    </cfRule>
  </conditionalFormatting>
  <conditionalFormatting sqref="Q79">
    <cfRule type="cellIs" dxfId="2255" priority="2257" operator="lessThan">
      <formula>0</formula>
    </cfRule>
  </conditionalFormatting>
  <conditionalFormatting sqref="R79">
    <cfRule type="cellIs" dxfId="2254" priority="2255" operator="lessThan">
      <formula>0.8</formula>
    </cfRule>
    <cfRule type="cellIs" dxfId="2253" priority="2256" operator="greaterThan">
      <formula>1</formula>
    </cfRule>
  </conditionalFormatting>
  <conditionalFormatting sqref="R79">
    <cfRule type="cellIs" dxfId="2252" priority="2253" operator="greaterThan">
      <formula>1</formula>
    </cfRule>
    <cfRule type="cellIs" dxfId="2251" priority="2254" operator="lessThan">
      <formula>0.8</formula>
    </cfRule>
  </conditionalFormatting>
  <conditionalFormatting sqref="Q79">
    <cfRule type="cellIs" dxfId="2250" priority="2246" operator="lessThan">
      <formula>0</formula>
    </cfRule>
  </conditionalFormatting>
  <conditionalFormatting sqref="P79">
    <cfRule type="cellIs" dxfId="2249" priority="2247" operator="greaterThan">
      <formula>0</formula>
    </cfRule>
  </conditionalFormatting>
  <conditionalFormatting sqref="R79">
    <cfRule type="cellIs" dxfId="2248" priority="2250" operator="lessThan">
      <formula>0.8</formula>
    </cfRule>
    <cfRule type="cellIs" dxfId="2247" priority="2251" operator="greaterThan">
      <formula>1</formula>
    </cfRule>
  </conditionalFormatting>
  <conditionalFormatting sqref="R79">
    <cfRule type="cellIs" dxfId="2246" priority="2248" operator="greaterThan">
      <formula>1</formula>
    </cfRule>
    <cfRule type="cellIs" dxfId="2245" priority="2249" operator="lessThan">
      <formula>0.8</formula>
    </cfRule>
  </conditionalFormatting>
  <conditionalFormatting sqref="Q79">
    <cfRule type="cellIs" dxfId="2244" priority="2240" operator="lessThan">
      <formula>0</formula>
    </cfRule>
  </conditionalFormatting>
  <conditionalFormatting sqref="R79">
    <cfRule type="cellIs" dxfId="2243" priority="2244" operator="lessThan">
      <formula>0.8</formula>
    </cfRule>
    <cfRule type="cellIs" dxfId="2242" priority="2245" operator="greaterThan">
      <formula>1</formula>
    </cfRule>
  </conditionalFormatting>
  <conditionalFormatting sqref="R79">
    <cfRule type="cellIs" dxfId="2241" priority="2242" operator="greaterThan">
      <formula>1</formula>
    </cfRule>
    <cfRule type="cellIs" dxfId="2240" priority="2243" operator="lessThan">
      <formula>0.8</formula>
    </cfRule>
  </conditionalFormatting>
  <conditionalFormatting sqref="P79">
    <cfRule type="cellIs" dxfId="2239" priority="2241" operator="greaterThan">
      <formula>0</formula>
    </cfRule>
  </conditionalFormatting>
  <conditionalFormatting sqref="Q79">
    <cfRule type="cellIs" dxfId="2238" priority="2239" operator="lessThan">
      <formula>0</formula>
    </cfRule>
  </conditionalFormatting>
  <conditionalFormatting sqref="R79">
    <cfRule type="cellIs" dxfId="2237" priority="2237" operator="lessThan">
      <formula>0.8</formula>
    </cfRule>
    <cfRule type="cellIs" dxfId="2236" priority="2238" operator="greaterThan">
      <formula>1</formula>
    </cfRule>
  </conditionalFormatting>
  <conditionalFormatting sqref="R79">
    <cfRule type="cellIs" dxfId="2235" priority="2235" operator="greaterThan">
      <formula>1</formula>
    </cfRule>
    <cfRule type="cellIs" dxfId="2234" priority="2236" operator="lessThan">
      <formula>0.8</formula>
    </cfRule>
  </conditionalFormatting>
  <conditionalFormatting sqref="P79">
    <cfRule type="cellIs" dxfId="2233" priority="2234" operator="greaterThan">
      <formula>0</formula>
    </cfRule>
  </conditionalFormatting>
  <conditionalFormatting sqref="Q79">
    <cfRule type="cellIs" dxfId="2232" priority="2233" operator="lessThan">
      <formula>0</formula>
    </cfRule>
  </conditionalFormatting>
  <conditionalFormatting sqref="R79">
    <cfRule type="cellIs" dxfId="2231" priority="2231" operator="lessThan">
      <formula>0.8</formula>
    </cfRule>
    <cfRule type="cellIs" dxfId="2230" priority="2232" operator="greaterThan">
      <formula>1</formula>
    </cfRule>
  </conditionalFormatting>
  <conditionalFormatting sqref="R79">
    <cfRule type="cellIs" dxfId="2229" priority="2229" operator="greaterThan">
      <formula>1</formula>
    </cfRule>
    <cfRule type="cellIs" dxfId="2228" priority="2230" operator="lessThan">
      <formula>0.8</formula>
    </cfRule>
  </conditionalFormatting>
  <conditionalFormatting sqref="P79">
    <cfRule type="cellIs" dxfId="2227" priority="2228" operator="greaterThan">
      <formula>0</formula>
    </cfRule>
  </conditionalFormatting>
  <conditionalFormatting sqref="P79">
    <cfRule type="cellIs" dxfId="2226" priority="2222" operator="greaterThan">
      <formula>0</formula>
    </cfRule>
  </conditionalFormatting>
  <conditionalFormatting sqref="Q79">
    <cfRule type="cellIs" dxfId="2225" priority="2227" operator="lessThan">
      <formula>0</formula>
    </cfRule>
  </conditionalFormatting>
  <conditionalFormatting sqref="R79">
    <cfRule type="cellIs" dxfId="2224" priority="2225" operator="lessThan">
      <formula>0.8</formula>
    </cfRule>
    <cfRule type="cellIs" dxfId="2223" priority="2226" operator="greaterThan">
      <formula>1</formula>
    </cfRule>
  </conditionalFormatting>
  <conditionalFormatting sqref="R79">
    <cfRule type="cellIs" dxfId="2222" priority="2223" operator="greaterThan">
      <formula>1</formula>
    </cfRule>
    <cfRule type="cellIs" dxfId="2221" priority="2224" operator="lessThan">
      <formula>0.8</formula>
    </cfRule>
  </conditionalFormatting>
  <conditionalFormatting sqref="P71:P78">
    <cfRule type="cellIs" dxfId="2220" priority="2216" operator="greaterThan">
      <formula>0</formula>
    </cfRule>
  </conditionalFormatting>
  <conditionalFormatting sqref="Q71:Q78">
    <cfRule type="cellIs" dxfId="2219" priority="2221" operator="lessThan">
      <formula>0</formula>
    </cfRule>
  </conditionalFormatting>
  <conditionalFormatting sqref="R71:R78">
    <cfRule type="cellIs" dxfId="2218" priority="2219" operator="lessThan">
      <formula>0.8</formula>
    </cfRule>
    <cfRule type="cellIs" dxfId="2217" priority="2220" operator="greaterThan">
      <formula>1</formula>
    </cfRule>
  </conditionalFormatting>
  <conditionalFormatting sqref="R71:R78">
    <cfRule type="cellIs" dxfId="2216" priority="2217" operator="greaterThan">
      <formula>1</formula>
    </cfRule>
    <cfRule type="cellIs" dxfId="2215" priority="2218" operator="lessThan">
      <formula>0.8</formula>
    </cfRule>
  </conditionalFormatting>
  <conditionalFormatting sqref="Q148:Q154">
    <cfRule type="cellIs" dxfId="2214" priority="2215" operator="lessThan">
      <formula>0</formula>
    </cfRule>
  </conditionalFormatting>
  <conditionalFormatting sqref="R148:R154">
    <cfRule type="cellIs" dxfId="2213" priority="2213" operator="lessThan">
      <formula>0.8</formula>
    </cfRule>
    <cfRule type="cellIs" dxfId="2212" priority="2214" operator="greaterThan">
      <formula>1</formula>
    </cfRule>
  </conditionalFormatting>
  <conditionalFormatting sqref="R148:R154">
    <cfRule type="cellIs" dxfId="2211" priority="2211" operator="greaterThan">
      <formula>1</formula>
    </cfRule>
    <cfRule type="cellIs" dxfId="2210" priority="2212" operator="lessThan">
      <formula>0.8</formula>
    </cfRule>
  </conditionalFormatting>
  <conditionalFormatting sqref="P148:P154">
    <cfRule type="cellIs" dxfId="2209" priority="2210" operator="greaterThan">
      <formula>0</formula>
    </cfRule>
  </conditionalFormatting>
  <conditionalFormatting sqref="Q148:Q154">
    <cfRule type="cellIs" dxfId="2208" priority="2209" operator="lessThan">
      <formula>0</formula>
    </cfRule>
  </conditionalFormatting>
  <conditionalFormatting sqref="R148:R154">
    <cfRule type="cellIs" dxfId="2207" priority="2207" operator="lessThan">
      <formula>0.8</formula>
    </cfRule>
    <cfRule type="cellIs" dxfId="2206" priority="2208" operator="greaterThan">
      <formula>1</formula>
    </cfRule>
  </conditionalFormatting>
  <conditionalFormatting sqref="R148:R154">
    <cfRule type="cellIs" dxfId="2205" priority="2205" operator="greaterThan">
      <formula>1</formula>
    </cfRule>
    <cfRule type="cellIs" dxfId="2204" priority="2206" operator="lessThan">
      <formula>0.8</formula>
    </cfRule>
  </conditionalFormatting>
  <conditionalFormatting sqref="P148:P154">
    <cfRule type="cellIs" dxfId="2203" priority="2204" operator="greaterThan">
      <formula>0</formula>
    </cfRule>
  </conditionalFormatting>
  <conditionalFormatting sqref="Q148:Q154">
    <cfRule type="cellIs" dxfId="2202" priority="2203" operator="lessThan">
      <formula>0</formula>
    </cfRule>
  </conditionalFormatting>
  <conditionalFormatting sqref="R148:R154">
    <cfRule type="cellIs" dxfId="2201" priority="2201" operator="lessThan">
      <formula>0.8</formula>
    </cfRule>
    <cfRule type="cellIs" dxfId="2200" priority="2202" operator="greaterThan">
      <formula>1</formula>
    </cfRule>
  </conditionalFormatting>
  <conditionalFormatting sqref="R148:R154">
    <cfRule type="cellIs" dxfId="2199" priority="2199" operator="greaterThan">
      <formula>1</formula>
    </cfRule>
    <cfRule type="cellIs" dxfId="2198" priority="2200" operator="lessThan">
      <formula>0.8</formula>
    </cfRule>
  </conditionalFormatting>
  <conditionalFormatting sqref="P148:P154">
    <cfRule type="cellIs" dxfId="2197" priority="2198" operator="greaterThan">
      <formula>0</formula>
    </cfRule>
  </conditionalFormatting>
  <conditionalFormatting sqref="Q148:Q154">
    <cfRule type="cellIs" dxfId="2196" priority="2197" operator="lessThan">
      <formula>0</formula>
    </cfRule>
  </conditionalFormatting>
  <conditionalFormatting sqref="R148:R154">
    <cfRule type="cellIs" dxfId="2195" priority="2195" operator="lessThan">
      <formula>0.8</formula>
    </cfRule>
    <cfRule type="cellIs" dxfId="2194" priority="2196" operator="greaterThan">
      <formula>1</formula>
    </cfRule>
  </conditionalFormatting>
  <conditionalFormatting sqref="R148:R154">
    <cfRule type="cellIs" dxfId="2193" priority="2193" operator="greaterThan">
      <formula>1</formula>
    </cfRule>
    <cfRule type="cellIs" dxfId="2192" priority="2194" operator="lessThan">
      <formula>0.8</formula>
    </cfRule>
  </conditionalFormatting>
  <conditionalFormatting sqref="P148:P154">
    <cfRule type="cellIs" dxfId="2191" priority="2192" operator="greaterThan">
      <formula>0</formula>
    </cfRule>
  </conditionalFormatting>
  <conditionalFormatting sqref="P148:P154">
    <cfRule type="cellIs" dxfId="2190" priority="2186" operator="greaterThan">
      <formula>0</formula>
    </cfRule>
  </conditionalFormatting>
  <conditionalFormatting sqref="Q148:Q154">
    <cfRule type="cellIs" dxfId="2189" priority="2191" operator="lessThan">
      <formula>0</formula>
    </cfRule>
  </conditionalFormatting>
  <conditionalFormatting sqref="R148:R154">
    <cfRule type="cellIs" dxfId="2188" priority="2189" operator="lessThan">
      <formula>0.8</formula>
    </cfRule>
    <cfRule type="cellIs" dxfId="2187" priority="2190" operator="greaterThan">
      <formula>1</formula>
    </cfRule>
  </conditionalFormatting>
  <conditionalFormatting sqref="R148:R154">
    <cfRule type="cellIs" dxfId="2186" priority="2187" operator="greaterThan">
      <formula>1</formula>
    </cfRule>
    <cfRule type="cellIs" dxfId="2185" priority="2188" operator="lessThan">
      <formula>0.8</formula>
    </cfRule>
  </conditionalFormatting>
  <conditionalFormatting sqref="P148:P154">
    <cfRule type="cellIs" dxfId="2184" priority="2180" operator="greaterThan">
      <formula>0</formula>
    </cfRule>
  </conditionalFormatting>
  <conditionalFormatting sqref="Q148:Q154">
    <cfRule type="cellIs" dxfId="2183" priority="2185" operator="lessThan">
      <formula>0</formula>
    </cfRule>
  </conditionalFormatting>
  <conditionalFormatting sqref="R148:R154">
    <cfRule type="cellIs" dxfId="2182" priority="2183" operator="lessThan">
      <formula>0.8</formula>
    </cfRule>
    <cfRule type="cellIs" dxfId="2181" priority="2184" operator="greaterThan">
      <formula>1</formula>
    </cfRule>
  </conditionalFormatting>
  <conditionalFormatting sqref="R148:R154">
    <cfRule type="cellIs" dxfId="2180" priority="2181" operator="greaterThan">
      <formula>1</formula>
    </cfRule>
    <cfRule type="cellIs" dxfId="2179" priority="2182" operator="lessThan">
      <formula>0.8</formula>
    </cfRule>
  </conditionalFormatting>
  <conditionalFormatting sqref="R148:R154">
    <cfRule type="cellIs" dxfId="2178" priority="2177" operator="lessThan">
      <formula>0.8</formula>
    </cfRule>
    <cfRule type="cellIs" dxfId="2177" priority="2178" operator="greaterThan">
      <formula>1</formula>
    </cfRule>
  </conditionalFormatting>
  <conditionalFormatting sqref="R148:R154">
    <cfRule type="cellIs" dxfId="2176" priority="2175" operator="greaterThan">
      <formula>1</formula>
    </cfRule>
    <cfRule type="cellIs" dxfId="2175" priority="2176" operator="lessThan">
      <formula>0.8</formula>
    </cfRule>
  </conditionalFormatting>
  <conditionalFormatting sqref="P148:P154">
    <cfRule type="cellIs" dxfId="2174" priority="2174" operator="greaterThan">
      <formula>0</formula>
    </cfRule>
  </conditionalFormatting>
  <conditionalFormatting sqref="Q148:Q154">
    <cfRule type="cellIs" dxfId="2173" priority="2179" operator="lessThan">
      <formula>0</formula>
    </cfRule>
  </conditionalFormatting>
  <conditionalFormatting sqref="Q148:Q154">
    <cfRule type="cellIs" dxfId="2172" priority="2173" operator="lessThan">
      <formula>0</formula>
    </cfRule>
  </conditionalFormatting>
  <conditionalFormatting sqref="R148:R154">
    <cfRule type="cellIs" dxfId="2171" priority="2171" operator="lessThan">
      <formula>0.8</formula>
    </cfRule>
    <cfRule type="cellIs" dxfId="2170" priority="2172" operator="greaterThan">
      <formula>1</formula>
    </cfRule>
  </conditionalFormatting>
  <conditionalFormatting sqref="R148:R154">
    <cfRule type="cellIs" dxfId="2169" priority="2169" operator="greaterThan">
      <formula>1</formula>
    </cfRule>
    <cfRule type="cellIs" dxfId="2168" priority="2170" operator="lessThan">
      <formula>0.8</formula>
    </cfRule>
  </conditionalFormatting>
  <conditionalFormatting sqref="P148:P154">
    <cfRule type="cellIs" dxfId="2167" priority="2168" operator="greaterThan">
      <formula>0</formula>
    </cfRule>
  </conditionalFormatting>
  <conditionalFormatting sqref="P148:P154">
    <cfRule type="cellIs" dxfId="2166" priority="2162" operator="greaterThan">
      <formula>0</formula>
    </cfRule>
  </conditionalFormatting>
  <conditionalFormatting sqref="Q148:Q154">
    <cfRule type="cellIs" dxfId="2165" priority="2167" operator="lessThan">
      <formula>0</formula>
    </cfRule>
  </conditionalFormatting>
  <conditionalFormatting sqref="R148:R154">
    <cfRule type="cellIs" dxfId="2164" priority="2165" operator="lessThan">
      <formula>0.8</formula>
    </cfRule>
    <cfRule type="cellIs" dxfId="2163" priority="2166" operator="greaterThan">
      <formula>1</formula>
    </cfRule>
  </conditionalFormatting>
  <conditionalFormatting sqref="R148:R154">
    <cfRule type="cellIs" dxfId="2162" priority="2163" operator="greaterThan">
      <formula>1</formula>
    </cfRule>
    <cfRule type="cellIs" dxfId="2161" priority="2164" operator="lessThan">
      <formula>0.8</formula>
    </cfRule>
  </conditionalFormatting>
  <conditionalFormatting sqref="P148:P154">
    <cfRule type="cellIs" dxfId="2160" priority="2156" operator="greaterThan">
      <formula>0</formula>
    </cfRule>
  </conditionalFormatting>
  <conditionalFormatting sqref="Q148:Q154">
    <cfRule type="cellIs" dxfId="2159" priority="2161" operator="lessThan">
      <formula>0</formula>
    </cfRule>
  </conditionalFormatting>
  <conditionalFormatting sqref="R148:R154">
    <cfRule type="cellIs" dxfId="2158" priority="2159" operator="lessThan">
      <formula>0.8</formula>
    </cfRule>
    <cfRule type="cellIs" dxfId="2157" priority="2160" operator="greaterThan">
      <formula>1</formula>
    </cfRule>
  </conditionalFormatting>
  <conditionalFormatting sqref="R148:R154">
    <cfRule type="cellIs" dxfId="2156" priority="2157" operator="greaterThan">
      <formula>1</formula>
    </cfRule>
    <cfRule type="cellIs" dxfId="2155" priority="2158" operator="lessThan">
      <formula>0.8</formula>
    </cfRule>
  </conditionalFormatting>
  <conditionalFormatting sqref="R148:R154">
    <cfRule type="cellIs" dxfId="2154" priority="2153" operator="lessThan">
      <formula>0.8</formula>
    </cfRule>
    <cfRule type="cellIs" dxfId="2153" priority="2154" operator="greaterThan">
      <formula>1</formula>
    </cfRule>
  </conditionalFormatting>
  <conditionalFormatting sqref="R148:R154">
    <cfRule type="cellIs" dxfId="2152" priority="2151" operator="greaterThan">
      <formula>1</formula>
    </cfRule>
    <cfRule type="cellIs" dxfId="2151" priority="2152" operator="lessThan">
      <formula>0.8</formula>
    </cfRule>
  </conditionalFormatting>
  <conditionalFormatting sqref="P148:P154">
    <cfRule type="cellIs" dxfId="2150" priority="2150" operator="greaterThan">
      <formula>0</formula>
    </cfRule>
  </conditionalFormatting>
  <conditionalFormatting sqref="Q148:Q154">
    <cfRule type="cellIs" dxfId="2149" priority="2155" operator="lessThan">
      <formula>0</formula>
    </cfRule>
  </conditionalFormatting>
  <conditionalFormatting sqref="P148:P154">
    <cfRule type="cellIs" dxfId="2148" priority="2144" operator="greaterThan">
      <formula>0</formula>
    </cfRule>
  </conditionalFormatting>
  <conditionalFormatting sqref="Q148:Q154">
    <cfRule type="cellIs" dxfId="2147" priority="2149" operator="lessThan">
      <formula>0</formula>
    </cfRule>
  </conditionalFormatting>
  <conditionalFormatting sqref="R148:R154">
    <cfRule type="cellIs" dxfId="2146" priority="2147" operator="lessThan">
      <formula>0.8</formula>
    </cfRule>
    <cfRule type="cellIs" dxfId="2145" priority="2148" operator="greaterThan">
      <formula>1</formula>
    </cfRule>
  </conditionalFormatting>
  <conditionalFormatting sqref="R148:R154">
    <cfRule type="cellIs" dxfId="2144" priority="2145" operator="greaterThan">
      <formula>1</formula>
    </cfRule>
    <cfRule type="cellIs" dxfId="2143" priority="2146" operator="lessThan">
      <formula>0.8</formula>
    </cfRule>
  </conditionalFormatting>
  <conditionalFormatting sqref="R148:R154">
    <cfRule type="cellIs" dxfId="2142" priority="2141" operator="lessThan">
      <formula>0.8</formula>
    </cfRule>
    <cfRule type="cellIs" dxfId="2141" priority="2142" operator="greaterThan">
      <formula>1</formula>
    </cfRule>
  </conditionalFormatting>
  <conditionalFormatting sqref="R148:R154">
    <cfRule type="cellIs" dxfId="2140" priority="2139" operator="greaterThan">
      <formula>1</formula>
    </cfRule>
    <cfRule type="cellIs" dxfId="2139" priority="2140" operator="lessThan">
      <formula>0.8</formula>
    </cfRule>
  </conditionalFormatting>
  <conditionalFormatting sqref="P148:P154">
    <cfRule type="cellIs" dxfId="2138" priority="2138" operator="greaterThan">
      <formula>0</formula>
    </cfRule>
  </conditionalFormatting>
  <conditionalFormatting sqref="Q148:Q154">
    <cfRule type="cellIs" dxfId="2137" priority="2143" operator="lessThan">
      <formula>0</formula>
    </cfRule>
  </conditionalFormatting>
  <conditionalFormatting sqref="R148:R154">
    <cfRule type="cellIs" dxfId="2136" priority="2135" operator="lessThan">
      <formula>0.8</formula>
    </cfRule>
    <cfRule type="cellIs" dxfId="2135" priority="2136" operator="greaterThan">
      <formula>1</formula>
    </cfRule>
  </conditionalFormatting>
  <conditionalFormatting sqref="R148:R154">
    <cfRule type="cellIs" dxfId="2134" priority="2133" operator="greaterThan">
      <formula>1</formula>
    </cfRule>
    <cfRule type="cellIs" dxfId="2133" priority="2134" operator="lessThan">
      <formula>0.8</formula>
    </cfRule>
  </conditionalFormatting>
  <conditionalFormatting sqref="P148:P154">
    <cfRule type="cellIs" dxfId="2132" priority="2132" operator="greaterThan">
      <formula>0</formula>
    </cfRule>
  </conditionalFormatting>
  <conditionalFormatting sqref="Q148:Q154">
    <cfRule type="cellIs" dxfId="2131" priority="2137" operator="lessThan">
      <formula>0</formula>
    </cfRule>
  </conditionalFormatting>
  <conditionalFormatting sqref="Q148:Q154">
    <cfRule type="cellIs" dxfId="2130" priority="2131" operator="lessThan">
      <formula>0</formula>
    </cfRule>
  </conditionalFormatting>
  <conditionalFormatting sqref="R148:R154">
    <cfRule type="cellIs" dxfId="2129" priority="2129" operator="lessThan">
      <formula>0.8</formula>
    </cfRule>
    <cfRule type="cellIs" dxfId="2128" priority="2130" operator="greaterThan">
      <formula>1</formula>
    </cfRule>
  </conditionalFormatting>
  <conditionalFormatting sqref="R148:R154">
    <cfRule type="cellIs" dxfId="2127" priority="2127" operator="greaterThan">
      <formula>1</formula>
    </cfRule>
    <cfRule type="cellIs" dxfId="2126" priority="2128" operator="lessThan">
      <formula>0.8</formula>
    </cfRule>
  </conditionalFormatting>
  <conditionalFormatting sqref="P148:P154">
    <cfRule type="cellIs" dxfId="2125" priority="2126" operator="greaterThan">
      <formula>0</formula>
    </cfRule>
  </conditionalFormatting>
  <conditionalFormatting sqref="Q148:Q154">
    <cfRule type="cellIs" dxfId="2124" priority="2120" operator="lessThan">
      <formula>0</formula>
    </cfRule>
  </conditionalFormatting>
  <conditionalFormatting sqref="R148:R154">
    <cfRule type="cellIs" dxfId="2123" priority="2124" operator="lessThan">
      <formula>0.8</formula>
    </cfRule>
    <cfRule type="cellIs" dxfId="2122" priority="2125" operator="greaterThan">
      <formula>1</formula>
    </cfRule>
  </conditionalFormatting>
  <conditionalFormatting sqref="R148:R154">
    <cfRule type="cellIs" dxfId="2121" priority="2122" operator="greaterThan">
      <formula>1</formula>
    </cfRule>
    <cfRule type="cellIs" dxfId="2120" priority="2123" operator="lessThan">
      <formula>0.8</formula>
    </cfRule>
  </conditionalFormatting>
  <conditionalFormatting sqref="P148:P154">
    <cfRule type="cellIs" dxfId="2119" priority="2121" operator="greaterThan">
      <formula>0</formula>
    </cfRule>
  </conditionalFormatting>
  <conditionalFormatting sqref="Q148:Q154">
    <cfRule type="cellIs" dxfId="2118" priority="2119" operator="lessThan">
      <formula>0</formula>
    </cfRule>
  </conditionalFormatting>
  <conditionalFormatting sqref="R148:R154">
    <cfRule type="cellIs" dxfId="2117" priority="2117" operator="lessThan">
      <formula>0.8</formula>
    </cfRule>
    <cfRule type="cellIs" dxfId="2116" priority="2118" operator="greaterThan">
      <formula>1</formula>
    </cfRule>
  </conditionalFormatting>
  <conditionalFormatting sqref="R148:R154">
    <cfRule type="cellIs" dxfId="2115" priority="2115" operator="greaterThan">
      <formula>1</formula>
    </cfRule>
    <cfRule type="cellIs" dxfId="2114" priority="2116" operator="lessThan">
      <formula>0.8</formula>
    </cfRule>
  </conditionalFormatting>
  <conditionalFormatting sqref="P148:P154">
    <cfRule type="cellIs" dxfId="2113" priority="2114" operator="greaterThan">
      <formula>0</formula>
    </cfRule>
  </conditionalFormatting>
  <conditionalFormatting sqref="Q148:Q154">
    <cfRule type="cellIs" dxfId="2112" priority="2113" operator="lessThan">
      <formula>0</formula>
    </cfRule>
  </conditionalFormatting>
  <conditionalFormatting sqref="R148:R154">
    <cfRule type="cellIs" dxfId="2111" priority="2111" operator="lessThan">
      <formula>0.8</formula>
    </cfRule>
    <cfRule type="cellIs" dxfId="2110" priority="2112" operator="greaterThan">
      <formula>1</formula>
    </cfRule>
  </conditionalFormatting>
  <conditionalFormatting sqref="R148:R154">
    <cfRule type="cellIs" dxfId="2109" priority="2109" operator="greaterThan">
      <formula>1</formula>
    </cfRule>
    <cfRule type="cellIs" dxfId="2108" priority="2110" operator="lessThan">
      <formula>0.8</formula>
    </cfRule>
  </conditionalFormatting>
  <conditionalFormatting sqref="P148:P154">
    <cfRule type="cellIs" dxfId="2107" priority="2108" operator="greaterThan">
      <formula>0</formula>
    </cfRule>
  </conditionalFormatting>
  <conditionalFormatting sqref="Q148:Q154">
    <cfRule type="cellIs" dxfId="2106" priority="2107" operator="lessThan">
      <formula>0</formula>
    </cfRule>
  </conditionalFormatting>
  <conditionalFormatting sqref="R148:R154">
    <cfRule type="cellIs" dxfId="2105" priority="2105" operator="lessThan">
      <formula>0.8</formula>
    </cfRule>
    <cfRule type="cellIs" dxfId="2104" priority="2106" operator="greaterThan">
      <formula>1</formula>
    </cfRule>
  </conditionalFormatting>
  <conditionalFormatting sqref="R148:R154">
    <cfRule type="cellIs" dxfId="2103" priority="2103" operator="greaterThan">
      <formula>1</formula>
    </cfRule>
    <cfRule type="cellIs" dxfId="2102" priority="2104" operator="lessThan">
      <formula>0.8</formula>
    </cfRule>
  </conditionalFormatting>
  <conditionalFormatting sqref="P148:P154">
    <cfRule type="cellIs" dxfId="2101" priority="2102" operator="greaterThan">
      <formula>0</formula>
    </cfRule>
  </conditionalFormatting>
  <conditionalFormatting sqref="Q148:Q154">
    <cfRule type="cellIs" dxfId="2100" priority="2101" operator="lessThan">
      <formula>0</formula>
    </cfRule>
  </conditionalFormatting>
  <conditionalFormatting sqref="R148:R154">
    <cfRule type="cellIs" dxfId="2099" priority="2099" operator="lessThan">
      <formula>0.8</formula>
    </cfRule>
    <cfRule type="cellIs" dxfId="2098" priority="2100" operator="greaterThan">
      <formula>1</formula>
    </cfRule>
  </conditionalFormatting>
  <conditionalFormatting sqref="R148:R154">
    <cfRule type="cellIs" dxfId="2097" priority="2097" operator="greaterThan">
      <formula>1</formula>
    </cfRule>
    <cfRule type="cellIs" dxfId="2096" priority="2098" operator="lessThan">
      <formula>0.8</formula>
    </cfRule>
  </conditionalFormatting>
  <conditionalFormatting sqref="P148:P154">
    <cfRule type="cellIs" dxfId="2095" priority="2096" operator="greaterThan">
      <formula>0</formula>
    </cfRule>
  </conditionalFormatting>
  <conditionalFormatting sqref="Q148:Q154">
    <cfRule type="cellIs" dxfId="2094" priority="2095" operator="lessThan">
      <formula>0</formula>
    </cfRule>
  </conditionalFormatting>
  <conditionalFormatting sqref="R148:R154">
    <cfRule type="cellIs" dxfId="2093" priority="2093" operator="lessThan">
      <formula>0.8</formula>
    </cfRule>
    <cfRule type="cellIs" dxfId="2092" priority="2094" operator="greaterThan">
      <formula>1</formula>
    </cfRule>
  </conditionalFormatting>
  <conditionalFormatting sqref="R148:R154">
    <cfRule type="cellIs" dxfId="2091" priority="2091" operator="greaterThan">
      <formula>1</formula>
    </cfRule>
    <cfRule type="cellIs" dxfId="2090" priority="2092" operator="lessThan">
      <formula>0.8</formula>
    </cfRule>
  </conditionalFormatting>
  <conditionalFormatting sqref="P148:P154">
    <cfRule type="cellIs" dxfId="2089" priority="2090" operator="greaterThan">
      <formula>0</formula>
    </cfRule>
  </conditionalFormatting>
  <conditionalFormatting sqref="P148:P154">
    <cfRule type="cellIs" dxfId="2088" priority="2084" operator="greaterThan">
      <formula>0</formula>
    </cfRule>
  </conditionalFormatting>
  <conditionalFormatting sqref="Q148:Q154">
    <cfRule type="cellIs" dxfId="2087" priority="2089" operator="lessThan">
      <formula>0</formula>
    </cfRule>
  </conditionalFormatting>
  <conditionalFormatting sqref="R148:R154">
    <cfRule type="cellIs" dxfId="2086" priority="2087" operator="lessThan">
      <formula>0.8</formula>
    </cfRule>
    <cfRule type="cellIs" dxfId="2085" priority="2088" operator="greaterThan">
      <formula>1</formula>
    </cfRule>
  </conditionalFormatting>
  <conditionalFormatting sqref="R148:R154">
    <cfRule type="cellIs" dxfId="2084" priority="2085" operator="greaterThan">
      <formula>1</formula>
    </cfRule>
    <cfRule type="cellIs" dxfId="2083" priority="2086" operator="lessThan">
      <formula>0.8</formula>
    </cfRule>
  </conditionalFormatting>
  <conditionalFormatting sqref="P148:P154">
    <cfRule type="cellIs" dxfId="2082" priority="2078" operator="greaterThan">
      <formula>0</formula>
    </cfRule>
  </conditionalFormatting>
  <conditionalFormatting sqref="Q148:Q154">
    <cfRule type="cellIs" dxfId="2081" priority="2083" operator="lessThan">
      <formula>0</formula>
    </cfRule>
  </conditionalFormatting>
  <conditionalFormatting sqref="R148:R154">
    <cfRule type="cellIs" dxfId="2080" priority="2081" operator="lessThan">
      <formula>0.8</formula>
    </cfRule>
    <cfRule type="cellIs" dxfId="2079" priority="2082" operator="greaterThan">
      <formula>1</formula>
    </cfRule>
  </conditionalFormatting>
  <conditionalFormatting sqref="R148:R154">
    <cfRule type="cellIs" dxfId="2078" priority="2079" operator="greaterThan">
      <formula>1</formula>
    </cfRule>
    <cfRule type="cellIs" dxfId="2077" priority="2080" operator="lessThan">
      <formula>0.8</formula>
    </cfRule>
  </conditionalFormatting>
  <conditionalFormatting sqref="R148:R154">
    <cfRule type="cellIs" dxfId="2076" priority="2075" operator="lessThan">
      <formula>0.8</formula>
    </cfRule>
    <cfRule type="cellIs" dxfId="2075" priority="2076" operator="greaterThan">
      <formula>1</formula>
    </cfRule>
  </conditionalFormatting>
  <conditionalFormatting sqref="R148:R154">
    <cfRule type="cellIs" dxfId="2074" priority="2073" operator="greaterThan">
      <formula>1</formula>
    </cfRule>
    <cfRule type="cellIs" dxfId="2073" priority="2074" operator="lessThan">
      <formula>0.8</formula>
    </cfRule>
  </conditionalFormatting>
  <conditionalFormatting sqref="P148:P154">
    <cfRule type="cellIs" dxfId="2072" priority="2072" operator="greaterThan">
      <formula>0</formula>
    </cfRule>
  </conditionalFormatting>
  <conditionalFormatting sqref="Q148:Q154">
    <cfRule type="cellIs" dxfId="2071" priority="2077" operator="lessThan">
      <formula>0</formula>
    </cfRule>
  </conditionalFormatting>
  <conditionalFormatting sqref="Q148:Q154">
    <cfRule type="cellIs" dxfId="2070" priority="2066" operator="lessThan">
      <formula>0</formula>
    </cfRule>
  </conditionalFormatting>
  <conditionalFormatting sqref="P148:P154">
    <cfRule type="cellIs" dxfId="2069" priority="2067" operator="greaterThan">
      <formula>0</formula>
    </cfRule>
  </conditionalFormatting>
  <conditionalFormatting sqref="R148:R154">
    <cfRule type="cellIs" dxfId="2068" priority="2070" operator="lessThan">
      <formula>0.8</formula>
    </cfRule>
    <cfRule type="cellIs" dxfId="2067" priority="2071" operator="greaterThan">
      <formula>1</formula>
    </cfRule>
  </conditionalFormatting>
  <conditionalFormatting sqref="R148:R154">
    <cfRule type="cellIs" dxfId="2066" priority="2068" operator="greaterThan">
      <formula>1</formula>
    </cfRule>
    <cfRule type="cellIs" dxfId="2065" priority="2069" operator="lessThan">
      <formula>0.8</formula>
    </cfRule>
  </conditionalFormatting>
  <conditionalFormatting sqref="Q148:Q154">
    <cfRule type="cellIs" dxfId="2064" priority="2060" operator="lessThan">
      <formula>0</formula>
    </cfRule>
  </conditionalFormatting>
  <conditionalFormatting sqref="R148:R154">
    <cfRule type="cellIs" dxfId="2063" priority="2064" operator="lessThan">
      <formula>0.8</formula>
    </cfRule>
    <cfRule type="cellIs" dxfId="2062" priority="2065" operator="greaterThan">
      <formula>1</formula>
    </cfRule>
  </conditionalFormatting>
  <conditionalFormatting sqref="R148:R154">
    <cfRule type="cellIs" dxfId="2061" priority="2062" operator="greaterThan">
      <formula>1</formula>
    </cfRule>
    <cfRule type="cellIs" dxfId="2060" priority="2063" operator="lessThan">
      <formula>0.8</formula>
    </cfRule>
  </conditionalFormatting>
  <conditionalFormatting sqref="P148:P154">
    <cfRule type="cellIs" dxfId="2059" priority="2061" operator="greaterThan">
      <formula>0</formula>
    </cfRule>
  </conditionalFormatting>
  <conditionalFormatting sqref="Q148:Q154">
    <cfRule type="cellIs" dxfId="2058" priority="2059" operator="lessThan">
      <formula>0</formula>
    </cfRule>
  </conditionalFormatting>
  <conditionalFormatting sqref="R148:R154">
    <cfRule type="cellIs" dxfId="2057" priority="2057" operator="lessThan">
      <formula>0.8</formula>
    </cfRule>
    <cfRule type="cellIs" dxfId="2056" priority="2058" operator="greaterThan">
      <formula>1</formula>
    </cfRule>
  </conditionalFormatting>
  <conditionalFormatting sqref="R148:R154">
    <cfRule type="cellIs" dxfId="2055" priority="2055" operator="greaterThan">
      <formula>1</formula>
    </cfRule>
    <cfRule type="cellIs" dxfId="2054" priority="2056" operator="lessThan">
      <formula>0.8</formula>
    </cfRule>
  </conditionalFormatting>
  <conditionalFormatting sqref="P148:P154">
    <cfRule type="cellIs" dxfId="2053" priority="2054" operator="greaterThan">
      <formula>0</formula>
    </cfRule>
  </conditionalFormatting>
  <conditionalFormatting sqref="Q148:Q154">
    <cfRule type="cellIs" dxfId="2052" priority="2053" operator="lessThan">
      <formula>0</formula>
    </cfRule>
  </conditionalFormatting>
  <conditionalFormatting sqref="R148:R154">
    <cfRule type="cellIs" dxfId="2051" priority="2051" operator="lessThan">
      <formula>0.8</formula>
    </cfRule>
    <cfRule type="cellIs" dxfId="2050" priority="2052" operator="greaterThan">
      <formula>1</formula>
    </cfRule>
  </conditionalFormatting>
  <conditionalFormatting sqref="R148:R154">
    <cfRule type="cellIs" dxfId="2049" priority="2049" operator="greaterThan">
      <formula>1</formula>
    </cfRule>
    <cfRule type="cellIs" dxfId="2048" priority="2050" operator="lessThan">
      <formula>0.8</formula>
    </cfRule>
  </conditionalFormatting>
  <conditionalFormatting sqref="P148:P154">
    <cfRule type="cellIs" dxfId="2047" priority="2048" operator="greaterThan">
      <formula>0</formula>
    </cfRule>
  </conditionalFormatting>
  <conditionalFormatting sqref="Q148:Q154">
    <cfRule type="cellIs" dxfId="2046" priority="2047" operator="lessThan">
      <formula>0</formula>
    </cfRule>
  </conditionalFormatting>
  <conditionalFormatting sqref="R148:R154">
    <cfRule type="cellIs" dxfId="2045" priority="2045" operator="lessThan">
      <formula>0.8</formula>
    </cfRule>
    <cfRule type="cellIs" dxfId="2044" priority="2046" operator="greaterThan">
      <formula>1</formula>
    </cfRule>
  </conditionalFormatting>
  <conditionalFormatting sqref="R148:R154">
    <cfRule type="cellIs" dxfId="2043" priority="2043" operator="greaterThan">
      <formula>1</formula>
    </cfRule>
    <cfRule type="cellIs" dxfId="2042" priority="2044" operator="lessThan">
      <formula>0.8</formula>
    </cfRule>
  </conditionalFormatting>
  <conditionalFormatting sqref="P148:P154">
    <cfRule type="cellIs" dxfId="2041" priority="2042" operator="greaterThan">
      <formula>0</formula>
    </cfRule>
  </conditionalFormatting>
  <conditionalFormatting sqref="Q148:Q154">
    <cfRule type="cellIs" dxfId="2040" priority="2041" operator="lessThan">
      <formula>0</formula>
    </cfRule>
  </conditionalFormatting>
  <conditionalFormatting sqref="R148:R154">
    <cfRule type="cellIs" dxfId="2039" priority="2039" operator="lessThan">
      <formula>0.8</formula>
    </cfRule>
    <cfRule type="cellIs" dxfId="2038" priority="2040" operator="greaterThan">
      <formula>1</formula>
    </cfRule>
  </conditionalFormatting>
  <conditionalFormatting sqref="R148:R154">
    <cfRule type="cellIs" dxfId="2037" priority="2037" operator="greaterThan">
      <formula>1</formula>
    </cfRule>
    <cfRule type="cellIs" dxfId="2036" priority="2038" operator="lessThan">
      <formula>0.8</formula>
    </cfRule>
  </conditionalFormatting>
  <conditionalFormatting sqref="P148:P154">
    <cfRule type="cellIs" dxfId="2035" priority="2036" operator="greaterThan">
      <formula>0</formula>
    </cfRule>
  </conditionalFormatting>
  <conditionalFormatting sqref="Q124 Q127 Q130">
    <cfRule type="cellIs" dxfId="2034" priority="2030" operator="lessThan">
      <formula>0</formula>
    </cfRule>
  </conditionalFormatting>
  <conditionalFormatting sqref="P124 P127 P130">
    <cfRule type="cellIs" dxfId="2033" priority="2031" operator="greaterThan">
      <formula>0</formula>
    </cfRule>
  </conditionalFormatting>
  <conditionalFormatting sqref="R124 R127 R130">
    <cfRule type="cellIs" dxfId="2032" priority="2034" operator="lessThan">
      <formula>0.8</formula>
    </cfRule>
    <cfRule type="cellIs" dxfId="2031" priority="2035" operator="greaterThan">
      <formula>1</formula>
    </cfRule>
  </conditionalFormatting>
  <conditionalFormatting sqref="R124 R127 R130">
    <cfRule type="cellIs" dxfId="2030" priority="2032" operator="greaterThan">
      <formula>1</formula>
    </cfRule>
    <cfRule type="cellIs" dxfId="2029" priority="2033" operator="lessThan">
      <formula>0.8</formula>
    </cfRule>
  </conditionalFormatting>
  <conditionalFormatting sqref="Q124 Q127 Q130">
    <cfRule type="cellIs" dxfId="2028" priority="2024" operator="lessThan">
      <formula>0</formula>
    </cfRule>
  </conditionalFormatting>
  <conditionalFormatting sqref="R124 R127 R130">
    <cfRule type="cellIs" dxfId="2027" priority="2028" operator="lessThan">
      <formula>0.8</formula>
    </cfRule>
    <cfRule type="cellIs" dxfId="2026" priority="2029" operator="greaterThan">
      <formula>1</formula>
    </cfRule>
  </conditionalFormatting>
  <conditionalFormatting sqref="R124 R127 R130">
    <cfRule type="cellIs" dxfId="2025" priority="2026" operator="greaterThan">
      <formula>1</formula>
    </cfRule>
    <cfRule type="cellIs" dxfId="2024" priority="2027" operator="lessThan">
      <formula>0.8</formula>
    </cfRule>
  </conditionalFormatting>
  <conditionalFormatting sqref="P124 P127 P130">
    <cfRule type="cellIs" dxfId="2023" priority="2025" operator="greaterThan">
      <formula>0</formula>
    </cfRule>
  </conditionalFormatting>
  <conditionalFormatting sqref="Q124 Q127 Q130">
    <cfRule type="cellIs" dxfId="2022" priority="2023" operator="lessThan">
      <formula>0</formula>
    </cfRule>
  </conditionalFormatting>
  <conditionalFormatting sqref="R124 R127 R130">
    <cfRule type="cellIs" dxfId="2021" priority="2021" operator="lessThan">
      <formula>0.8</formula>
    </cfRule>
    <cfRule type="cellIs" dxfId="2020" priority="2022" operator="greaterThan">
      <formula>1</formula>
    </cfRule>
  </conditionalFormatting>
  <conditionalFormatting sqref="R124 R127 R130">
    <cfRule type="cellIs" dxfId="2019" priority="2019" operator="greaterThan">
      <formula>1</formula>
    </cfRule>
    <cfRule type="cellIs" dxfId="2018" priority="2020" operator="lessThan">
      <formula>0.8</formula>
    </cfRule>
  </conditionalFormatting>
  <conditionalFormatting sqref="P124 P127 P130">
    <cfRule type="cellIs" dxfId="2017" priority="2018" operator="greaterThan">
      <formula>0</formula>
    </cfRule>
  </conditionalFormatting>
  <conditionalFormatting sqref="Q124 Q127 Q130">
    <cfRule type="cellIs" dxfId="2016" priority="2017" operator="lessThan">
      <formula>0</formula>
    </cfRule>
  </conditionalFormatting>
  <conditionalFormatting sqref="R124 R127 R130">
    <cfRule type="cellIs" dxfId="2015" priority="2015" operator="lessThan">
      <formula>0.8</formula>
    </cfRule>
    <cfRule type="cellIs" dxfId="2014" priority="2016" operator="greaterThan">
      <formula>1</formula>
    </cfRule>
  </conditionalFormatting>
  <conditionalFormatting sqref="R124 R127 R130">
    <cfRule type="cellIs" dxfId="2013" priority="2013" operator="greaterThan">
      <formula>1</formula>
    </cfRule>
    <cfRule type="cellIs" dxfId="2012" priority="2014" operator="lessThan">
      <formula>0.8</formula>
    </cfRule>
  </conditionalFormatting>
  <conditionalFormatting sqref="P124 P127 P130">
    <cfRule type="cellIs" dxfId="2011" priority="2012" operator="greaterThan">
      <formula>0</formula>
    </cfRule>
  </conditionalFormatting>
  <conditionalFormatting sqref="Q124 Q127 Q130">
    <cfRule type="cellIs" dxfId="2010" priority="2011" operator="lessThan">
      <formula>0</formula>
    </cfRule>
  </conditionalFormatting>
  <conditionalFormatting sqref="R124 R127 R130">
    <cfRule type="cellIs" dxfId="2009" priority="2009" operator="lessThan">
      <formula>0.8</formula>
    </cfRule>
    <cfRule type="cellIs" dxfId="2008" priority="2010" operator="greaterThan">
      <formula>1</formula>
    </cfRule>
  </conditionalFormatting>
  <conditionalFormatting sqref="R124 R127 R130">
    <cfRule type="cellIs" dxfId="2007" priority="2007" operator="greaterThan">
      <formula>1</formula>
    </cfRule>
    <cfRule type="cellIs" dxfId="2006" priority="2008" operator="lessThan">
      <formula>0.8</formula>
    </cfRule>
  </conditionalFormatting>
  <conditionalFormatting sqref="P124 P127 P130">
    <cfRule type="cellIs" dxfId="2005" priority="2006" operator="greaterThan">
      <formula>0</formula>
    </cfRule>
  </conditionalFormatting>
  <conditionalFormatting sqref="Q124 Q127 Q130">
    <cfRule type="cellIs" dxfId="2004" priority="2005" operator="lessThan">
      <formula>0</formula>
    </cfRule>
  </conditionalFormatting>
  <conditionalFormatting sqref="R124 R127 R130">
    <cfRule type="cellIs" dxfId="2003" priority="2003" operator="lessThan">
      <formula>0.8</formula>
    </cfRule>
    <cfRule type="cellIs" dxfId="2002" priority="2004" operator="greaterThan">
      <formula>1</formula>
    </cfRule>
  </conditionalFormatting>
  <conditionalFormatting sqref="R124 R127 R130">
    <cfRule type="cellIs" dxfId="2001" priority="2001" operator="greaterThan">
      <formula>1</formula>
    </cfRule>
    <cfRule type="cellIs" dxfId="2000" priority="2002" operator="lessThan">
      <formula>0.8</formula>
    </cfRule>
  </conditionalFormatting>
  <conditionalFormatting sqref="P124 P127 P130">
    <cfRule type="cellIs" dxfId="1999" priority="2000" operator="greaterThan">
      <formula>0</formula>
    </cfRule>
  </conditionalFormatting>
  <conditionalFormatting sqref="Q124 Q127 Q130">
    <cfRule type="cellIs" dxfId="1998" priority="1999" operator="lessThan">
      <formula>0</formula>
    </cfRule>
  </conditionalFormatting>
  <conditionalFormatting sqref="R124 R127 R130">
    <cfRule type="cellIs" dxfId="1997" priority="1997" operator="lessThan">
      <formula>0.8</formula>
    </cfRule>
    <cfRule type="cellIs" dxfId="1996" priority="1998" operator="greaterThan">
      <formula>1</formula>
    </cfRule>
  </conditionalFormatting>
  <conditionalFormatting sqref="R124 R127 R130">
    <cfRule type="cellIs" dxfId="1995" priority="1995" operator="greaterThan">
      <formula>1</formula>
    </cfRule>
    <cfRule type="cellIs" dxfId="1994" priority="1996" operator="lessThan">
      <formula>0.8</formula>
    </cfRule>
  </conditionalFormatting>
  <conditionalFormatting sqref="P124 P127 P130">
    <cfRule type="cellIs" dxfId="1993" priority="1994" operator="greaterThan">
      <formula>0</formula>
    </cfRule>
  </conditionalFormatting>
  <conditionalFormatting sqref="Q124 Q127 Q130">
    <cfRule type="cellIs" dxfId="1992" priority="1993" operator="lessThan">
      <formula>0</formula>
    </cfRule>
  </conditionalFormatting>
  <conditionalFormatting sqref="R124 R127 R130">
    <cfRule type="cellIs" dxfId="1991" priority="1991" operator="lessThan">
      <formula>0.8</formula>
    </cfRule>
    <cfRule type="cellIs" dxfId="1990" priority="1992" operator="greaterThan">
      <formula>1</formula>
    </cfRule>
  </conditionalFormatting>
  <conditionalFormatting sqref="R124 R127 R130">
    <cfRule type="cellIs" dxfId="1989" priority="1989" operator="greaterThan">
      <formula>1</formula>
    </cfRule>
    <cfRule type="cellIs" dxfId="1988" priority="1990" operator="lessThan">
      <formula>0.8</formula>
    </cfRule>
  </conditionalFormatting>
  <conditionalFormatting sqref="P124 P127 P130">
    <cfRule type="cellIs" dxfId="1987" priority="1988" operator="greaterThan">
      <formula>0</formula>
    </cfRule>
  </conditionalFormatting>
  <conditionalFormatting sqref="Q124 Q127 Q130">
    <cfRule type="cellIs" dxfId="1986" priority="1987" operator="lessThan">
      <formula>0</formula>
    </cfRule>
  </conditionalFormatting>
  <conditionalFormatting sqref="R124 R127 R130">
    <cfRule type="cellIs" dxfId="1985" priority="1985" operator="lessThan">
      <formula>0.8</formula>
    </cfRule>
    <cfRule type="cellIs" dxfId="1984" priority="1986" operator="greaterThan">
      <formula>1</formula>
    </cfRule>
  </conditionalFormatting>
  <conditionalFormatting sqref="R124 R127 R130">
    <cfRule type="cellIs" dxfId="1983" priority="1983" operator="greaterThan">
      <formula>1</formula>
    </cfRule>
    <cfRule type="cellIs" dxfId="1982" priority="1984" operator="lessThan">
      <formula>0.8</formula>
    </cfRule>
  </conditionalFormatting>
  <conditionalFormatting sqref="P124 P127 P130">
    <cfRule type="cellIs" dxfId="1981" priority="1982" operator="greaterThan">
      <formula>0</formula>
    </cfRule>
  </conditionalFormatting>
  <conditionalFormatting sqref="P124 P127 P130">
    <cfRule type="cellIs" dxfId="1980" priority="1976" operator="greaterThan">
      <formula>0</formula>
    </cfRule>
  </conditionalFormatting>
  <conditionalFormatting sqref="Q124 Q127 Q130">
    <cfRule type="cellIs" dxfId="1979" priority="1981" operator="lessThan">
      <formula>0</formula>
    </cfRule>
  </conditionalFormatting>
  <conditionalFormatting sqref="R124 R127 R130">
    <cfRule type="cellIs" dxfId="1978" priority="1979" operator="lessThan">
      <formula>0.8</formula>
    </cfRule>
    <cfRule type="cellIs" dxfId="1977" priority="1980" operator="greaterThan">
      <formula>1</formula>
    </cfRule>
  </conditionalFormatting>
  <conditionalFormatting sqref="R124 R127 R130">
    <cfRule type="cellIs" dxfId="1976" priority="1977" operator="greaterThan">
      <formula>1</formula>
    </cfRule>
    <cfRule type="cellIs" dxfId="1975" priority="1978" operator="lessThan">
      <formula>0.8</formula>
    </cfRule>
  </conditionalFormatting>
  <conditionalFormatting sqref="P124 P127 P130">
    <cfRule type="cellIs" dxfId="1974" priority="1970" operator="greaterThan">
      <formula>0</formula>
    </cfRule>
  </conditionalFormatting>
  <conditionalFormatting sqref="Q124 Q127 Q130">
    <cfRule type="cellIs" dxfId="1973" priority="1975" operator="lessThan">
      <formula>0</formula>
    </cfRule>
  </conditionalFormatting>
  <conditionalFormatting sqref="R124 R127 R130">
    <cfRule type="cellIs" dxfId="1972" priority="1973" operator="lessThan">
      <formula>0.8</formula>
    </cfRule>
    <cfRule type="cellIs" dxfId="1971" priority="1974" operator="greaterThan">
      <formula>1</formula>
    </cfRule>
  </conditionalFormatting>
  <conditionalFormatting sqref="R124 R127 R130">
    <cfRule type="cellIs" dxfId="1970" priority="1971" operator="greaterThan">
      <formula>1</formula>
    </cfRule>
    <cfRule type="cellIs" dxfId="1969" priority="1972" operator="lessThan">
      <formula>0.8</formula>
    </cfRule>
  </conditionalFormatting>
  <conditionalFormatting sqref="R124 R127 R130">
    <cfRule type="cellIs" dxfId="1968" priority="1967" operator="lessThan">
      <formula>0.8</formula>
    </cfRule>
    <cfRule type="cellIs" dxfId="1967" priority="1968" operator="greaterThan">
      <formula>1</formula>
    </cfRule>
  </conditionalFormatting>
  <conditionalFormatting sqref="R124 R127 R130">
    <cfRule type="cellIs" dxfId="1966" priority="1965" operator="greaterThan">
      <formula>1</formula>
    </cfRule>
    <cfRule type="cellIs" dxfId="1965" priority="1966" operator="lessThan">
      <formula>0.8</formula>
    </cfRule>
  </conditionalFormatting>
  <conditionalFormatting sqref="P124 P127 P130">
    <cfRule type="cellIs" dxfId="1964" priority="1964" operator="greaterThan">
      <formula>0</formula>
    </cfRule>
  </conditionalFormatting>
  <conditionalFormatting sqref="Q124 Q127 Q130">
    <cfRule type="cellIs" dxfId="1963" priority="1969" operator="lessThan">
      <formula>0</formula>
    </cfRule>
  </conditionalFormatting>
  <conditionalFormatting sqref="Q124 Q127 Q130">
    <cfRule type="cellIs" dxfId="1962" priority="1963" operator="lessThan">
      <formula>0</formula>
    </cfRule>
  </conditionalFormatting>
  <conditionalFormatting sqref="R124 R127 R130">
    <cfRule type="cellIs" dxfId="1961" priority="1961" operator="lessThan">
      <formula>0.8</formula>
    </cfRule>
    <cfRule type="cellIs" dxfId="1960" priority="1962" operator="greaterThan">
      <formula>1</formula>
    </cfRule>
  </conditionalFormatting>
  <conditionalFormatting sqref="R124 R127 R130">
    <cfRule type="cellIs" dxfId="1959" priority="1959" operator="greaterThan">
      <formula>1</formula>
    </cfRule>
    <cfRule type="cellIs" dxfId="1958" priority="1960" operator="lessThan">
      <formula>0.8</formula>
    </cfRule>
  </conditionalFormatting>
  <conditionalFormatting sqref="P124 P127 P130">
    <cfRule type="cellIs" dxfId="1957" priority="1958" operator="greaterThan">
      <formula>0</formula>
    </cfRule>
  </conditionalFormatting>
  <conditionalFormatting sqref="P124 P127 P130">
    <cfRule type="cellIs" dxfId="1956" priority="1952" operator="greaterThan">
      <formula>0</formula>
    </cfRule>
  </conditionalFormatting>
  <conditionalFormatting sqref="Q124 Q127 Q130">
    <cfRule type="cellIs" dxfId="1955" priority="1957" operator="lessThan">
      <formula>0</formula>
    </cfRule>
  </conditionalFormatting>
  <conditionalFormatting sqref="R124 R127 R130">
    <cfRule type="cellIs" dxfId="1954" priority="1955" operator="lessThan">
      <formula>0.8</formula>
    </cfRule>
    <cfRule type="cellIs" dxfId="1953" priority="1956" operator="greaterThan">
      <formula>1</formula>
    </cfRule>
  </conditionalFormatting>
  <conditionalFormatting sqref="R124 R127 R130">
    <cfRule type="cellIs" dxfId="1952" priority="1953" operator="greaterThan">
      <formula>1</formula>
    </cfRule>
    <cfRule type="cellIs" dxfId="1951" priority="1954" operator="lessThan">
      <formula>0.8</formula>
    </cfRule>
  </conditionalFormatting>
  <conditionalFormatting sqref="P124 P127 P130">
    <cfRule type="cellIs" dxfId="1950" priority="1946" operator="greaterThan">
      <formula>0</formula>
    </cfRule>
  </conditionalFormatting>
  <conditionalFormatting sqref="Q124 Q127 Q130">
    <cfRule type="cellIs" dxfId="1949" priority="1951" operator="lessThan">
      <formula>0</formula>
    </cfRule>
  </conditionalFormatting>
  <conditionalFormatting sqref="R124 R127 R130">
    <cfRule type="cellIs" dxfId="1948" priority="1949" operator="lessThan">
      <formula>0.8</formula>
    </cfRule>
    <cfRule type="cellIs" dxfId="1947" priority="1950" operator="greaterThan">
      <formula>1</formula>
    </cfRule>
  </conditionalFormatting>
  <conditionalFormatting sqref="R124 R127 R130">
    <cfRule type="cellIs" dxfId="1946" priority="1947" operator="greaterThan">
      <formula>1</formula>
    </cfRule>
    <cfRule type="cellIs" dxfId="1945" priority="1948" operator="lessThan">
      <formula>0.8</formula>
    </cfRule>
  </conditionalFormatting>
  <conditionalFormatting sqref="R124 R127 R130">
    <cfRule type="cellIs" dxfId="1944" priority="1943" operator="lessThan">
      <formula>0.8</formula>
    </cfRule>
    <cfRule type="cellIs" dxfId="1943" priority="1944" operator="greaterThan">
      <formula>1</formula>
    </cfRule>
  </conditionalFormatting>
  <conditionalFormatting sqref="R124 R127 R130">
    <cfRule type="cellIs" dxfId="1942" priority="1941" operator="greaterThan">
      <formula>1</formula>
    </cfRule>
    <cfRule type="cellIs" dxfId="1941" priority="1942" operator="lessThan">
      <formula>0.8</formula>
    </cfRule>
  </conditionalFormatting>
  <conditionalFormatting sqref="P124 P127 P130">
    <cfRule type="cellIs" dxfId="1940" priority="1940" operator="greaterThan">
      <formula>0</formula>
    </cfRule>
  </conditionalFormatting>
  <conditionalFormatting sqref="Q124 Q127 Q130">
    <cfRule type="cellIs" dxfId="1939" priority="1945" operator="lessThan">
      <formula>0</formula>
    </cfRule>
  </conditionalFormatting>
  <conditionalFormatting sqref="P124 P127 P130">
    <cfRule type="cellIs" dxfId="1938" priority="1934" operator="greaterThan">
      <formula>0</formula>
    </cfRule>
  </conditionalFormatting>
  <conditionalFormatting sqref="Q124 Q127 Q130">
    <cfRule type="cellIs" dxfId="1937" priority="1939" operator="lessThan">
      <formula>0</formula>
    </cfRule>
  </conditionalFormatting>
  <conditionalFormatting sqref="R124 R127 R130">
    <cfRule type="cellIs" dxfId="1936" priority="1937" operator="lessThan">
      <formula>0.8</formula>
    </cfRule>
    <cfRule type="cellIs" dxfId="1935" priority="1938" operator="greaterThan">
      <formula>1</formula>
    </cfRule>
  </conditionalFormatting>
  <conditionalFormatting sqref="R124 R127 R130">
    <cfRule type="cellIs" dxfId="1934" priority="1935" operator="greaterThan">
      <formula>1</formula>
    </cfRule>
    <cfRule type="cellIs" dxfId="1933" priority="1936" operator="lessThan">
      <formula>0.8</formula>
    </cfRule>
  </conditionalFormatting>
  <conditionalFormatting sqref="R124 R127 R130">
    <cfRule type="cellIs" dxfId="1932" priority="1931" operator="lessThan">
      <formula>0.8</formula>
    </cfRule>
    <cfRule type="cellIs" dxfId="1931" priority="1932" operator="greaterThan">
      <formula>1</formula>
    </cfRule>
  </conditionalFormatting>
  <conditionalFormatting sqref="R124 R127 R130">
    <cfRule type="cellIs" dxfId="1930" priority="1929" operator="greaterThan">
      <formula>1</formula>
    </cfRule>
    <cfRule type="cellIs" dxfId="1929" priority="1930" operator="lessThan">
      <formula>0.8</formula>
    </cfRule>
  </conditionalFormatting>
  <conditionalFormatting sqref="P124 P127 P130">
    <cfRule type="cellIs" dxfId="1928" priority="1928" operator="greaterThan">
      <formula>0</formula>
    </cfRule>
  </conditionalFormatting>
  <conditionalFormatting sqref="Q124 Q127 Q130">
    <cfRule type="cellIs" dxfId="1927" priority="1933" operator="lessThan">
      <formula>0</formula>
    </cfRule>
  </conditionalFormatting>
  <conditionalFormatting sqref="R124 R127 R130">
    <cfRule type="cellIs" dxfId="1926" priority="1925" operator="lessThan">
      <formula>0.8</formula>
    </cfRule>
    <cfRule type="cellIs" dxfId="1925" priority="1926" operator="greaterThan">
      <formula>1</formula>
    </cfRule>
  </conditionalFormatting>
  <conditionalFormatting sqref="R124 R127 R130">
    <cfRule type="cellIs" dxfId="1924" priority="1923" operator="greaterThan">
      <formula>1</formula>
    </cfRule>
    <cfRule type="cellIs" dxfId="1923" priority="1924" operator="lessThan">
      <formula>0.8</formula>
    </cfRule>
  </conditionalFormatting>
  <conditionalFormatting sqref="P124 P127 P130">
    <cfRule type="cellIs" dxfId="1922" priority="1922" operator="greaterThan">
      <formula>0</formula>
    </cfRule>
  </conditionalFormatting>
  <conditionalFormatting sqref="Q124 Q127 Q130">
    <cfRule type="cellIs" dxfId="1921" priority="1927" operator="lessThan">
      <formula>0</formula>
    </cfRule>
  </conditionalFormatting>
  <conditionalFormatting sqref="Q124 Q127 Q130">
    <cfRule type="cellIs" dxfId="1920" priority="1921" operator="lessThan">
      <formula>0</formula>
    </cfRule>
  </conditionalFormatting>
  <conditionalFormatting sqref="R124 R127 R130">
    <cfRule type="cellIs" dxfId="1919" priority="1919" operator="lessThan">
      <formula>0.8</formula>
    </cfRule>
    <cfRule type="cellIs" dxfId="1918" priority="1920" operator="greaterThan">
      <formula>1</formula>
    </cfRule>
  </conditionalFormatting>
  <conditionalFormatting sqref="R124 R127 R130">
    <cfRule type="cellIs" dxfId="1917" priority="1917" operator="greaterThan">
      <formula>1</formula>
    </cfRule>
    <cfRule type="cellIs" dxfId="1916" priority="1918" operator="lessThan">
      <formula>0.8</formula>
    </cfRule>
  </conditionalFormatting>
  <conditionalFormatting sqref="P124 P127 P130">
    <cfRule type="cellIs" dxfId="1915" priority="1916" operator="greaterThan">
      <formula>0</formula>
    </cfRule>
  </conditionalFormatting>
  <conditionalFormatting sqref="Q124 Q127 Q130">
    <cfRule type="cellIs" dxfId="1914" priority="1910" operator="lessThan">
      <formula>0</formula>
    </cfRule>
  </conditionalFormatting>
  <conditionalFormatting sqref="R124 R127 R130">
    <cfRule type="cellIs" dxfId="1913" priority="1914" operator="lessThan">
      <formula>0.8</formula>
    </cfRule>
    <cfRule type="cellIs" dxfId="1912" priority="1915" operator="greaterThan">
      <formula>1</formula>
    </cfRule>
  </conditionalFormatting>
  <conditionalFormatting sqref="R124 R127 R130">
    <cfRule type="cellIs" dxfId="1911" priority="1912" operator="greaterThan">
      <formula>1</formula>
    </cfRule>
    <cfRule type="cellIs" dxfId="1910" priority="1913" operator="lessThan">
      <formula>0.8</formula>
    </cfRule>
  </conditionalFormatting>
  <conditionalFormatting sqref="P124 P127 P130">
    <cfRule type="cellIs" dxfId="1909" priority="1911" operator="greaterThan">
      <formula>0</formula>
    </cfRule>
  </conditionalFormatting>
  <conditionalFormatting sqref="Q124 Q127 Q130">
    <cfRule type="cellIs" dxfId="1908" priority="1909" operator="lessThan">
      <formula>0</formula>
    </cfRule>
  </conditionalFormatting>
  <conditionalFormatting sqref="R124 R127 R130">
    <cfRule type="cellIs" dxfId="1907" priority="1907" operator="lessThan">
      <formula>0.8</formula>
    </cfRule>
    <cfRule type="cellIs" dxfId="1906" priority="1908" operator="greaterThan">
      <formula>1</formula>
    </cfRule>
  </conditionalFormatting>
  <conditionalFormatting sqref="R124 R127 R130">
    <cfRule type="cellIs" dxfId="1905" priority="1905" operator="greaterThan">
      <formula>1</formula>
    </cfRule>
    <cfRule type="cellIs" dxfId="1904" priority="1906" operator="lessThan">
      <formula>0.8</formula>
    </cfRule>
  </conditionalFormatting>
  <conditionalFormatting sqref="P124 P127 P130">
    <cfRule type="cellIs" dxfId="1903" priority="1904" operator="greaterThan">
      <formula>0</formula>
    </cfRule>
  </conditionalFormatting>
  <conditionalFormatting sqref="Q124 Q127 Q130">
    <cfRule type="cellIs" dxfId="1902" priority="1903" operator="lessThan">
      <formula>0</formula>
    </cfRule>
  </conditionalFormatting>
  <conditionalFormatting sqref="R124 R127 R130">
    <cfRule type="cellIs" dxfId="1901" priority="1901" operator="lessThan">
      <formula>0.8</formula>
    </cfRule>
    <cfRule type="cellIs" dxfId="1900" priority="1902" operator="greaterThan">
      <formula>1</formula>
    </cfRule>
  </conditionalFormatting>
  <conditionalFormatting sqref="R124 R127 R130">
    <cfRule type="cellIs" dxfId="1899" priority="1899" operator="greaterThan">
      <formula>1</formula>
    </cfRule>
    <cfRule type="cellIs" dxfId="1898" priority="1900" operator="lessThan">
      <formula>0.8</formula>
    </cfRule>
  </conditionalFormatting>
  <conditionalFormatting sqref="P124 P127 P130">
    <cfRule type="cellIs" dxfId="1897" priority="1898" operator="greaterThan">
      <formula>0</formula>
    </cfRule>
  </conditionalFormatting>
  <conditionalFormatting sqref="Q124 Q127 Q130">
    <cfRule type="cellIs" dxfId="1896" priority="1897" operator="lessThan">
      <formula>0</formula>
    </cfRule>
  </conditionalFormatting>
  <conditionalFormatting sqref="R124 R127 R130">
    <cfRule type="cellIs" dxfId="1895" priority="1895" operator="lessThan">
      <formula>0.8</formula>
    </cfRule>
    <cfRule type="cellIs" dxfId="1894" priority="1896" operator="greaterThan">
      <formula>1</formula>
    </cfRule>
  </conditionalFormatting>
  <conditionalFormatting sqref="R124 R127 R130">
    <cfRule type="cellIs" dxfId="1893" priority="1893" operator="greaterThan">
      <formula>1</formula>
    </cfRule>
    <cfRule type="cellIs" dxfId="1892" priority="1894" operator="lessThan">
      <formula>0.8</formula>
    </cfRule>
  </conditionalFormatting>
  <conditionalFormatting sqref="P124 P127 P130">
    <cfRule type="cellIs" dxfId="1891" priority="1892" operator="greaterThan">
      <formula>0</formula>
    </cfRule>
  </conditionalFormatting>
  <conditionalFormatting sqref="Q124 Q127 Q130">
    <cfRule type="cellIs" dxfId="1890" priority="1891" operator="lessThan">
      <formula>0</formula>
    </cfRule>
  </conditionalFormatting>
  <conditionalFormatting sqref="R124 R127 R130">
    <cfRule type="cellIs" dxfId="1889" priority="1889" operator="lessThan">
      <formula>0.8</formula>
    </cfRule>
    <cfRule type="cellIs" dxfId="1888" priority="1890" operator="greaterThan">
      <formula>1</formula>
    </cfRule>
  </conditionalFormatting>
  <conditionalFormatting sqref="R124 R127 R130">
    <cfRule type="cellIs" dxfId="1887" priority="1887" operator="greaterThan">
      <formula>1</formula>
    </cfRule>
    <cfRule type="cellIs" dxfId="1886" priority="1888" operator="lessThan">
      <formula>0.8</formula>
    </cfRule>
  </conditionalFormatting>
  <conditionalFormatting sqref="P124 P127 P130">
    <cfRule type="cellIs" dxfId="1885" priority="1886" operator="greaterThan">
      <formula>0</formula>
    </cfRule>
  </conditionalFormatting>
  <conditionalFormatting sqref="Q124 Q127 Q130">
    <cfRule type="cellIs" dxfId="1884" priority="1885" operator="lessThan">
      <formula>0</formula>
    </cfRule>
  </conditionalFormatting>
  <conditionalFormatting sqref="R124 R127 R130">
    <cfRule type="cellIs" dxfId="1883" priority="1883" operator="lessThan">
      <formula>0.8</formula>
    </cfRule>
    <cfRule type="cellIs" dxfId="1882" priority="1884" operator="greaterThan">
      <formula>1</formula>
    </cfRule>
  </conditionalFormatting>
  <conditionalFormatting sqref="R124 R127 R130">
    <cfRule type="cellIs" dxfId="1881" priority="1881" operator="greaterThan">
      <formula>1</formula>
    </cfRule>
    <cfRule type="cellIs" dxfId="1880" priority="1882" operator="lessThan">
      <formula>0.8</formula>
    </cfRule>
  </conditionalFormatting>
  <conditionalFormatting sqref="P124 P127 P130">
    <cfRule type="cellIs" dxfId="1879" priority="1880" operator="greaterThan">
      <formula>0</formula>
    </cfRule>
  </conditionalFormatting>
  <conditionalFormatting sqref="P124 P127 P130">
    <cfRule type="cellIs" dxfId="1878" priority="1874" operator="greaterThan">
      <formula>0</formula>
    </cfRule>
  </conditionalFormatting>
  <conditionalFormatting sqref="Q124 Q127 Q130">
    <cfRule type="cellIs" dxfId="1877" priority="1879" operator="lessThan">
      <formula>0</formula>
    </cfRule>
  </conditionalFormatting>
  <conditionalFormatting sqref="R124 R127 R130">
    <cfRule type="cellIs" dxfId="1876" priority="1877" operator="lessThan">
      <formula>0.8</formula>
    </cfRule>
    <cfRule type="cellIs" dxfId="1875" priority="1878" operator="greaterThan">
      <formula>1</formula>
    </cfRule>
  </conditionalFormatting>
  <conditionalFormatting sqref="R124 R127 R130">
    <cfRule type="cellIs" dxfId="1874" priority="1875" operator="greaterThan">
      <formula>1</formula>
    </cfRule>
    <cfRule type="cellIs" dxfId="1873" priority="1876" operator="lessThan">
      <formula>0.8</formula>
    </cfRule>
  </conditionalFormatting>
  <conditionalFormatting sqref="P124 P127 P130">
    <cfRule type="cellIs" dxfId="1872" priority="1868" operator="greaterThan">
      <formula>0</formula>
    </cfRule>
  </conditionalFormatting>
  <conditionalFormatting sqref="Q124 Q127 Q130">
    <cfRule type="cellIs" dxfId="1871" priority="1873" operator="lessThan">
      <formula>0</formula>
    </cfRule>
  </conditionalFormatting>
  <conditionalFormatting sqref="R124 R127 R130">
    <cfRule type="cellIs" dxfId="1870" priority="1871" operator="lessThan">
      <formula>0.8</formula>
    </cfRule>
    <cfRule type="cellIs" dxfId="1869" priority="1872" operator="greaterThan">
      <formula>1</formula>
    </cfRule>
  </conditionalFormatting>
  <conditionalFormatting sqref="R124 R127 R130">
    <cfRule type="cellIs" dxfId="1868" priority="1869" operator="greaterThan">
      <formula>1</formula>
    </cfRule>
    <cfRule type="cellIs" dxfId="1867" priority="1870" operator="lessThan">
      <formula>0.8</formula>
    </cfRule>
  </conditionalFormatting>
  <conditionalFormatting sqref="R124 R127 R130">
    <cfRule type="cellIs" dxfId="1866" priority="1865" operator="lessThan">
      <formula>0.8</formula>
    </cfRule>
    <cfRule type="cellIs" dxfId="1865" priority="1866" operator="greaterThan">
      <formula>1</formula>
    </cfRule>
  </conditionalFormatting>
  <conditionalFormatting sqref="R124 R127 R130">
    <cfRule type="cellIs" dxfId="1864" priority="1863" operator="greaterThan">
      <formula>1</formula>
    </cfRule>
    <cfRule type="cellIs" dxfId="1863" priority="1864" operator="lessThan">
      <formula>0.8</formula>
    </cfRule>
  </conditionalFormatting>
  <conditionalFormatting sqref="P124 P127 P130">
    <cfRule type="cellIs" dxfId="1862" priority="1862" operator="greaterThan">
      <formula>0</formula>
    </cfRule>
  </conditionalFormatting>
  <conditionalFormatting sqref="Q124 Q127 Q130">
    <cfRule type="cellIs" dxfId="1861" priority="1867" operator="lessThan">
      <formula>0</formula>
    </cfRule>
  </conditionalFormatting>
  <conditionalFormatting sqref="Q5:Q14">
    <cfRule type="cellIs" dxfId="1860" priority="1861" operator="lessThan">
      <formula>0</formula>
    </cfRule>
  </conditionalFormatting>
  <conditionalFormatting sqref="R5:R14">
    <cfRule type="cellIs" dxfId="1859" priority="1859" operator="lessThan">
      <formula>0.8</formula>
    </cfRule>
    <cfRule type="cellIs" dxfId="1858" priority="1860" operator="greaterThan">
      <formula>1</formula>
    </cfRule>
  </conditionalFormatting>
  <conditionalFormatting sqref="R5:R14">
    <cfRule type="cellIs" dxfId="1857" priority="1857" operator="greaterThan">
      <formula>1</formula>
    </cfRule>
    <cfRule type="cellIs" dxfId="1856" priority="1858" operator="lessThan">
      <formula>0.8</formula>
    </cfRule>
  </conditionalFormatting>
  <conditionalFormatting sqref="P5:P14">
    <cfRule type="cellIs" dxfId="1855" priority="1856" operator="greaterThan">
      <formula>0</formula>
    </cfRule>
  </conditionalFormatting>
  <conditionalFormatting sqref="Q83">
    <cfRule type="cellIs" dxfId="1854" priority="1855" operator="lessThan">
      <formula>0</formula>
    </cfRule>
  </conditionalFormatting>
  <conditionalFormatting sqref="R83">
    <cfRule type="cellIs" dxfId="1853" priority="1853" operator="lessThan">
      <formula>0.8</formula>
    </cfRule>
    <cfRule type="cellIs" dxfId="1852" priority="1854" operator="greaterThan">
      <formula>1</formula>
    </cfRule>
  </conditionalFormatting>
  <conditionalFormatting sqref="R83">
    <cfRule type="cellIs" dxfId="1851" priority="1851" operator="greaterThan">
      <formula>1</formula>
    </cfRule>
    <cfRule type="cellIs" dxfId="1850" priority="1852" operator="lessThan">
      <formula>0.8</formula>
    </cfRule>
  </conditionalFormatting>
  <conditionalFormatting sqref="P83">
    <cfRule type="cellIs" dxfId="1849" priority="1850" operator="greaterThan">
      <formula>0</formula>
    </cfRule>
  </conditionalFormatting>
  <conditionalFormatting sqref="Q83">
    <cfRule type="cellIs" dxfId="1848" priority="1849" operator="lessThan">
      <formula>0</formula>
    </cfRule>
  </conditionalFormatting>
  <conditionalFormatting sqref="R83">
    <cfRule type="cellIs" dxfId="1847" priority="1847" operator="lessThan">
      <formula>0.8</formula>
    </cfRule>
    <cfRule type="cellIs" dxfId="1846" priority="1848" operator="greaterThan">
      <formula>1</formula>
    </cfRule>
  </conditionalFormatting>
  <conditionalFormatting sqref="R83">
    <cfRule type="cellIs" dxfId="1845" priority="1845" operator="greaterThan">
      <formula>1</formula>
    </cfRule>
    <cfRule type="cellIs" dxfId="1844" priority="1846" operator="lessThan">
      <formula>0.8</formula>
    </cfRule>
  </conditionalFormatting>
  <conditionalFormatting sqref="P83">
    <cfRule type="cellIs" dxfId="1843" priority="1844" operator="greaterThan">
      <formula>0</formula>
    </cfRule>
  </conditionalFormatting>
  <conditionalFormatting sqref="Q83">
    <cfRule type="cellIs" dxfId="1842" priority="1843" operator="lessThan">
      <formula>0</formula>
    </cfRule>
  </conditionalFormatting>
  <conditionalFormatting sqref="R83">
    <cfRule type="cellIs" dxfId="1841" priority="1841" operator="lessThan">
      <formula>0.8</formula>
    </cfRule>
    <cfRule type="cellIs" dxfId="1840" priority="1842" operator="greaterThan">
      <formula>1</formula>
    </cfRule>
  </conditionalFormatting>
  <conditionalFormatting sqref="R83">
    <cfRule type="cellIs" dxfId="1839" priority="1839" operator="greaterThan">
      <formula>1</formula>
    </cfRule>
    <cfRule type="cellIs" dxfId="1838" priority="1840" operator="lessThan">
      <formula>0.8</formula>
    </cfRule>
  </conditionalFormatting>
  <conditionalFormatting sqref="P83">
    <cfRule type="cellIs" dxfId="1837" priority="1838" operator="greaterThan">
      <formula>0</formula>
    </cfRule>
  </conditionalFormatting>
  <conditionalFormatting sqref="Q83">
    <cfRule type="cellIs" dxfId="1836" priority="1837" operator="lessThan">
      <formula>0</formula>
    </cfRule>
  </conditionalFormatting>
  <conditionalFormatting sqref="R83">
    <cfRule type="cellIs" dxfId="1835" priority="1835" operator="lessThan">
      <formula>0.8</formula>
    </cfRule>
    <cfRule type="cellIs" dxfId="1834" priority="1836" operator="greaterThan">
      <formula>1</formula>
    </cfRule>
  </conditionalFormatting>
  <conditionalFormatting sqref="R83">
    <cfRule type="cellIs" dxfId="1833" priority="1833" operator="greaterThan">
      <formula>1</formula>
    </cfRule>
    <cfRule type="cellIs" dxfId="1832" priority="1834" operator="lessThan">
      <formula>0.8</formula>
    </cfRule>
  </conditionalFormatting>
  <conditionalFormatting sqref="P83">
    <cfRule type="cellIs" dxfId="1831" priority="1832" operator="greaterThan">
      <formula>0</formula>
    </cfRule>
  </conditionalFormatting>
  <conditionalFormatting sqref="P83">
    <cfRule type="cellIs" dxfId="1830" priority="1826" operator="greaterThan">
      <formula>0</formula>
    </cfRule>
  </conditionalFormatting>
  <conditionalFormatting sqref="Q83">
    <cfRule type="cellIs" dxfId="1829" priority="1831" operator="lessThan">
      <formula>0</formula>
    </cfRule>
  </conditionalFormatting>
  <conditionalFormatting sqref="R83">
    <cfRule type="cellIs" dxfId="1828" priority="1829" operator="lessThan">
      <formula>0.8</formula>
    </cfRule>
    <cfRule type="cellIs" dxfId="1827" priority="1830" operator="greaterThan">
      <formula>1</formula>
    </cfRule>
  </conditionalFormatting>
  <conditionalFormatting sqref="R83">
    <cfRule type="cellIs" dxfId="1826" priority="1827" operator="greaterThan">
      <formula>1</formula>
    </cfRule>
    <cfRule type="cellIs" dxfId="1825" priority="1828" operator="lessThan">
      <formula>0.8</formula>
    </cfRule>
  </conditionalFormatting>
  <conditionalFormatting sqref="P83">
    <cfRule type="cellIs" dxfId="1824" priority="1820" operator="greaterThan">
      <formula>0</formula>
    </cfRule>
  </conditionalFormatting>
  <conditionalFormatting sqref="Q83">
    <cfRule type="cellIs" dxfId="1823" priority="1825" operator="lessThan">
      <formula>0</formula>
    </cfRule>
  </conditionalFormatting>
  <conditionalFormatting sqref="R83">
    <cfRule type="cellIs" dxfId="1822" priority="1823" operator="lessThan">
      <formula>0.8</formula>
    </cfRule>
    <cfRule type="cellIs" dxfId="1821" priority="1824" operator="greaterThan">
      <formula>1</formula>
    </cfRule>
  </conditionalFormatting>
  <conditionalFormatting sqref="R83">
    <cfRule type="cellIs" dxfId="1820" priority="1821" operator="greaterThan">
      <formula>1</formula>
    </cfRule>
    <cfRule type="cellIs" dxfId="1819" priority="1822" operator="lessThan">
      <formula>0.8</formula>
    </cfRule>
  </conditionalFormatting>
  <conditionalFormatting sqref="R83">
    <cfRule type="cellIs" dxfId="1818" priority="1817" operator="lessThan">
      <formula>0.8</formula>
    </cfRule>
    <cfRule type="cellIs" dxfId="1817" priority="1818" operator="greaterThan">
      <formula>1</formula>
    </cfRule>
  </conditionalFormatting>
  <conditionalFormatting sqref="R83">
    <cfRule type="cellIs" dxfId="1816" priority="1815" operator="greaterThan">
      <formula>1</formula>
    </cfRule>
    <cfRule type="cellIs" dxfId="1815" priority="1816" operator="lessThan">
      <formula>0.8</formula>
    </cfRule>
  </conditionalFormatting>
  <conditionalFormatting sqref="P83">
    <cfRule type="cellIs" dxfId="1814" priority="1814" operator="greaterThan">
      <formula>0</formula>
    </cfRule>
  </conditionalFormatting>
  <conditionalFormatting sqref="Q83">
    <cfRule type="cellIs" dxfId="1813" priority="1819" operator="lessThan">
      <formula>0</formula>
    </cfRule>
  </conditionalFormatting>
  <conditionalFormatting sqref="Q83">
    <cfRule type="cellIs" dxfId="1812" priority="1813" operator="lessThan">
      <formula>0</formula>
    </cfRule>
  </conditionalFormatting>
  <conditionalFormatting sqref="R83">
    <cfRule type="cellIs" dxfId="1811" priority="1811" operator="lessThan">
      <formula>0.8</formula>
    </cfRule>
    <cfRule type="cellIs" dxfId="1810" priority="1812" operator="greaterThan">
      <formula>1</formula>
    </cfRule>
  </conditionalFormatting>
  <conditionalFormatting sqref="R83">
    <cfRule type="cellIs" dxfId="1809" priority="1809" operator="greaterThan">
      <formula>1</formula>
    </cfRule>
    <cfRule type="cellIs" dxfId="1808" priority="1810" operator="lessThan">
      <formula>0.8</formula>
    </cfRule>
  </conditionalFormatting>
  <conditionalFormatting sqref="P83">
    <cfRule type="cellIs" dxfId="1807" priority="1808" operator="greaterThan">
      <formula>0</formula>
    </cfRule>
  </conditionalFormatting>
  <conditionalFormatting sqref="P83">
    <cfRule type="cellIs" dxfId="1806" priority="1802" operator="greaterThan">
      <formula>0</formula>
    </cfRule>
  </conditionalFormatting>
  <conditionalFormatting sqref="Q83">
    <cfRule type="cellIs" dxfId="1805" priority="1807" operator="lessThan">
      <formula>0</formula>
    </cfRule>
  </conditionalFormatting>
  <conditionalFormatting sqref="R83">
    <cfRule type="cellIs" dxfId="1804" priority="1805" operator="lessThan">
      <formula>0.8</formula>
    </cfRule>
    <cfRule type="cellIs" dxfId="1803" priority="1806" operator="greaterThan">
      <formula>1</formula>
    </cfRule>
  </conditionalFormatting>
  <conditionalFormatting sqref="R83">
    <cfRule type="cellIs" dxfId="1802" priority="1803" operator="greaterThan">
      <formula>1</formula>
    </cfRule>
    <cfRule type="cellIs" dxfId="1801" priority="1804" operator="lessThan">
      <formula>0.8</formula>
    </cfRule>
  </conditionalFormatting>
  <conditionalFormatting sqref="P83">
    <cfRule type="cellIs" dxfId="1800" priority="1796" operator="greaterThan">
      <formula>0</formula>
    </cfRule>
  </conditionalFormatting>
  <conditionalFormatting sqref="Q83">
    <cfRule type="cellIs" dxfId="1799" priority="1801" operator="lessThan">
      <formula>0</formula>
    </cfRule>
  </conditionalFormatting>
  <conditionalFormatting sqref="R83">
    <cfRule type="cellIs" dxfId="1798" priority="1799" operator="lessThan">
      <formula>0.8</formula>
    </cfRule>
    <cfRule type="cellIs" dxfId="1797" priority="1800" operator="greaterThan">
      <formula>1</formula>
    </cfRule>
  </conditionalFormatting>
  <conditionalFormatting sqref="R83">
    <cfRule type="cellIs" dxfId="1796" priority="1797" operator="greaterThan">
      <formula>1</formula>
    </cfRule>
    <cfRule type="cellIs" dxfId="1795" priority="1798" operator="lessThan">
      <formula>0.8</formula>
    </cfRule>
  </conditionalFormatting>
  <conditionalFormatting sqref="R83">
    <cfRule type="cellIs" dxfId="1794" priority="1793" operator="lessThan">
      <formula>0.8</formula>
    </cfRule>
    <cfRule type="cellIs" dxfId="1793" priority="1794" operator="greaterThan">
      <formula>1</formula>
    </cfRule>
  </conditionalFormatting>
  <conditionalFormatting sqref="R83">
    <cfRule type="cellIs" dxfId="1792" priority="1791" operator="greaterThan">
      <formula>1</formula>
    </cfRule>
    <cfRule type="cellIs" dxfId="1791" priority="1792" operator="lessThan">
      <formula>0.8</formula>
    </cfRule>
  </conditionalFormatting>
  <conditionalFormatting sqref="P83">
    <cfRule type="cellIs" dxfId="1790" priority="1790" operator="greaterThan">
      <formula>0</formula>
    </cfRule>
  </conditionalFormatting>
  <conditionalFormatting sqref="Q83">
    <cfRule type="cellIs" dxfId="1789" priority="1795" operator="lessThan">
      <formula>0</formula>
    </cfRule>
  </conditionalFormatting>
  <conditionalFormatting sqref="P83">
    <cfRule type="cellIs" dxfId="1788" priority="1784" operator="greaterThan">
      <formula>0</formula>
    </cfRule>
  </conditionalFormatting>
  <conditionalFormatting sqref="Q83">
    <cfRule type="cellIs" dxfId="1787" priority="1789" operator="lessThan">
      <formula>0</formula>
    </cfRule>
  </conditionalFormatting>
  <conditionalFormatting sqref="R83">
    <cfRule type="cellIs" dxfId="1786" priority="1787" operator="lessThan">
      <formula>0.8</formula>
    </cfRule>
    <cfRule type="cellIs" dxfId="1785" priority="1788" operator="greaterThan">
      <formula>1</formula>
    </cfRule>
  </conditionalFormatting>
  <conditionalFormatting sqref="R83">
    <cfRule type="cellIs" dxfId="1784" priority="1785" operator="greaterThan">
      <formula>1</formula>
    </cfRule>
    <cfRule type="cellIs" dxfId="1783" priority="1786" operator="lessThan">
      <formula>0.8</formula>
    </cfRule>
  </conditionalFormatting>
  <conditionalFormatting sqref="R83">
    <cfRule type="cellIs" dxfId="1782" priority="1781" operator="lessThan">
      <formula>0.8</formula>
    </cfRule>
    <cfRule type="cellIs" dxfId="1781" priority="1782" operator="greaterThan">
      <formula>1</formula>
    </cfRule>
  </conditionalFormatting>
  <conditionalFormatting sqref="R83">
    <cfRule type="cellIs" dxfId="1780" priority="1779" operator="greaterThan">
      <formula>1</formula>
    </cfRule>
    <cfRule type="cellIs" dxfId="1779" priority="1780" operator="lessThan">
      <formula>0.8</formula>
    </cfRule>
  </conditionalFormatting>
  <conditionalFormatting sqref="P83">
    <cfRule type="cellIs" dxfId="1778" priority="1778" operator="greaterThan">
      <formula>0</formula>
    </cfRule>
  </conditionalFormatting>
  <conditionalFormatting sqref="Q83">
    <cfRule type="cellIs" dxfId="1777" priority="1783" operator="lessThan">
      <formula>0</formula>
    </cfRule>
  </conditionalFormatting>
  <conditionalFormatting sqref="R83">
    <cfRule type="cellIs" dxfId="1776" priority="1775" operator="lessThan">
      <formula>0.8</formula>
    </cfRule>
    <cfRule type="cellIs" dxfId="1775" priority="1776" operator="greaterThan">
      <formula>1</formula>
    </cfRule>
  </conditionalFormatting>
  <conditionalFormatting sqref="R83">
    <cfRule type="cellIs" dxfId="1774" priority="1773" operator="greaterThan">
      <formula>1</formula>
    </cfRule>
    <cfRule type="cellIs" dxfId="1773" priority="1774" operator="lessThan">
      <formula>0.8</formula>
    </cfRule>
  </conditionalFormatting>
  <conditionalFormatting sqref="P83">
    <cfRule type="cellIs" dxfId="1772" priority="1772" operator="greaterThan">
      <formula>0</formula>
    </cfRule>
  </conditionalFormatting>
  <conditionalFormatting sqref="Q83">
    <cfRule type="cellIs" dxfId="1771" priority="1777" operator="lessThan">
      <formula>0</formula>
    </cfRule>
  </conditionalFormatting>
  <conditionalFormatting sqref="Q83">
    <cfRule type="cellIs" dxfId="1770" priority="1771" operator="lessThan">
      <formula>0</formula>
    </cfRule>
  </conditionalFormatting>
  <conditionalFormatting sqref="R83">
    <cfRule type="cellIs" dxfId="1769" priority="1769" operator="lessThan">
      <formula>0.8</formula>
    </cfRule>
    <cfRule type="cellIs" dxfId="1768" priority="1770" operator="greaterThan">
      <formula>1</formula>
    </cfRule>
  </conditionalFormatting>
  <conditionalFormatting sqref="R83">
    <cfRule type="cellIs" dxfId="1767" priority="1767" operator="greaterThan">
      <formula>1</formula>
    </cfRule>
    <cfRule type="cellIs" dxfId="1766" priority="1768" operator="lessThan">
      <formula>0.8</formula>
    </cfRule>
  </conditionalFormatting>
  <conditionalFormatting sqref="P83">
    <cfRule type="cellIs" dxfId="1765" priority="1766" operator="greaterThan">
      <formula>0</formula>
    </cfRule>
  </conditionalFormatting>
  <conditionalFormatting sqref="Q83">
    <cfRule type="cellIs" dxfId="1764" priority="1760" operator="lessThan">
      <formula>0</formula>
    </cfRule>
  </conditionalFormatting>
  <conditionalFormatting sqref="R83">
    <cfRule type="cellIs" dxfId="1763" priority="1764" operator="lessThan">
      <formula>0.8</formula>
    </cfRule>
    <cfRule type="cellIs" dxfId="1762" priority="1765" operator="greaterThan">
      <formula>1</formula>
    </cfRule>
  </conditionalFormatting>
  <conditionalFormatting sqref="R83">
    <cfRule type="cellIs" dxfId="1761" priority="1762" operator="greaterThan">
      <formula>1</formula>
    </cfRule>
    <cfRule type="cellIs" dxfId="1760" priority="1763" operator="lessThan">
      <formula>0.8</formula>
    </cfRule>
  </conditionalFormatting>
  <conditionalFormatting sqref="P83">
    <cfRule type="cellIs" dxfId="1759" priority="1761" operator="greaterThan">
      <formula>0</formula>
    </cfRule>
  </conditionalFormatting>
  <conditionalFormatting sqref="Q83">
    <cfRule type="cellIs" dxfId="1758" priority="1759" operator="lessThan">
      <formula>0</formula>
    </cfRule>
  </conditionalFormatting>
  <conditionalFormatting sqref="R83">
    <cfRule type="cellIs" dxfId="1757" priority="1757" operator="lessThan">
      <formula>0.8</formula>
    </cfRule>
    <cfRule type="cellIs" dxfId="1756" priority="1758" operator="greaterThan">
      <formula>1</formula>
    </cfRule>
  </conditionalFormatting>
  <conditionalFormatting sqref="R83">
    <cfRule type="cellIs" dxfId="1755" priority="1755" operator="greaterThan">
      <formula>1</formula>
    </cfRule>
    <cfRule type="cellIs" dxfId="1754" priority="1756" operator="lessThan">
      <formula>0.8</formula>
    </cfRule>
  </conditionalFormatting>
  <conditionalFormatting sqref="P83">
    <cfRule type="cellIs" dxfId="1753" priority="1754" operator="greaterThan">
      <formula>0</formula>
    </cfRule>
  </conditionalFormatting>
  <conditionalFormatting sqref="Q83">
    <cfRule type="cellIs" dxfId="1752" priority="1753" operator="lessThan">
      <formula>0</formula>
    </cfRule>
  </conditionalFormatting>
  <conditionalFormatting sqref="R83">
    <cfRule type="cellIs" dxfId="1751" priority="1751" operator="lessThan">
      <formula>0.8</formula>
    </cfRule>
    <cfRule type="cellIs" dxfId="1750" priority="1752" operator="greaterThan">
      <formula>1</formula>
    </cfRule>
  </conditionalFormatting>
  <conditionalFormatting sqref="R83">
    <cfRule type="cellIs" dxfId="1749" priority="1749" operator="greaterThan">
      <formula>1</formula>
    </cfRule>
    <cfRule type="cellIs" dxfId="1748" priority="1750" operator="lessThan">
      <formula>0.8</formula>
    </cfRule>
  </conditionalFormatting>
  <conditionalFormatting sqref="P83">
    <cfRule type="cellIs" dxfId="1747" priority="1748" operator="greaterThan">
      <formula>0</formula>
    </cfRule>
  </conditionalFormatting>
  <conditionalFormatting sqref="Q83">
    <cfRule type="cellIs" dxfId="1746" priority="1747" operator="lessThan">
      <formula>0</formula>
    </cfRule>
  </conditionalFormatting>
  <conditionalFormatting sqref="R83">
    <cfRule type="cellIs" dxfId="1745" priority="1745" operator="lessThan">
      <formula>0.8</formula>
    </cfRule>
    <cfRule type="cellIs" dxfId="1744" priority="1746" operator="greaterThan">
      <formula>1</formula>
    </cfRule>
  </conditionalFormatting>
  <conditionalFormatting sqref="R83">
    <cfRule type="cellIs" dxfId="1743" priority="1743" operator="greaterThan">
      <formula>1</formula>
    </cfRule>
    <cfRule type="cellIs" dxfId="1742" priority="1744" operator="lessThan">
      <formula>0.8</formula>
    </cfRule>
  </conditionalFormatting>
  <conditionalFormatting sqref="P83">
    <cfRule type="cellIs" dxfId="1741" priority="1742" operator="greaterThan">
      <formula>0</formula>
    </cfRule>
  </conditionalFormatting>
  <conditionalFormatting sqref="Q83">
    <cfRule type="cellIs" dxfId="1740" priority="1741" operator="lessThan">
      <formula>0</formula>
    </cfRule>
  </conditionalFormatting>
  <conditionalFormatting sqref="R83">
    <cfRule type="cellIs" dxfId="1739" priority="1739" operator="lessThan">
      <formula>0.8</formula>
    </cfRule>
    <cfRule type="cellIs" dxfId="1738" priority="1740" operator="greaterThan">
      <formula>1</formula>
    </cfRule>
  </conditionalFormatting>
  <conditionalFormatting sqref="R83">
    <cfRule type="cellIs" dxfId="1737" priority="1737" operator="greaterThan">
      <formula>1</formula>
    </cfRule>
    <cfRule type="cellIs" dxfId="1736" priority="1738" operator="lessThan">
      <formula>0.8</formula>
    </cfRule>
  </conditionalFormatting>
  <conditionalFormatting sqref="P83">
    <cfRule type="cellIs" dxfId="1735" priority="1736" operator="greaterThan">
      <formula>0</formula>
    </cfRule>
  </conditionalFormatting>
  <conditionalFormatting sqref="Q83">
    <cfRule type="cellIs" dxfId="1734" priority="1735" operator="lessThan">
      <formula>0</formula>
    </cfRule>
  </conditionalFormatting>
  <conditionalFormatting sqref="R83">
    <cfRule type="cellIs" dxfId="1733" priority="1733" operator="lessThan">
      <formula>0.8</formula>
    </cfRule>
    <cfRule type="cellIs" dxfId="1732" priority="1734" operator="greaterThan">
      <formula>1</formula>
    </cfRule>
  </conditionalFormatting>
  <conditionalFormatting sqref="R83">
    <cfRule type="cellIs" dxfId="1731" priority="1731" operator="greaterThan">
      <formula>1</formula>
    </cfRule>
    <cfRule type="cellIs" dxfId="1730" priority="1732" operator="lessThan">
      <formula>0.8</formula>
    </cfRule>
  </conditionalFormatting>
  <conditionalFormatting sqref="P83">
    <cfRule type="cellIs" dxfId="1729" priority="1730" operator="greaterThan">
      <formula>0</formula>
    </cfRule>
  </conditionalFormatting>
  <conditionalFormatting sqref="P83">
    <cfRule type="cellIs" dxfId="1728" priority="1724" operator="greaterThan">
      <formula>0</formula>
    </cfRule>
  </conditionalFormatting>
  <conditionalFormatting sqref="Q83">
    <cfRule type="cellIs" dxfId="1727" priority="1729" operator="lessThan">
      <formula>0</formula>
    </cfRule>
  </conditionalFormatting>
  <conditionalFormatting sqref="R83">
    <cfRule type="cellIs" dxfId="1726" priority="1727" operator="lessThan">
      <formula>0.8</formula>
    </cfRule>
    <cfRule type="cellIs" dxfId="1725" priority="1728" operator="greaterThan">
      <formula>1</formula>
    </cfRule>
  </conditionalFormatting>
  <conditionalFormatting sqref="R83">
    <cfRule type="cellIs" dxfId="1724" priority="1725" operator="greaterThan">
      <formula>1</formula>
    </cfRule>
    <cfRule type="cellIs" dxfId="1723" priority="1726" operator="lessThan">
      <formula>0.8</formula>
    </cfRule>
  </conditionalFormatting>
  <conditionalFormatting sqref="P83">
    <cfRule type="cellIs" dxfId="1722" priority="1718" operator="greaterThan">
      <formula>0</formula>
    </cfRule>
  </conditionalFormatting>
  <conditionalFormatting sqref="Q83">
    <cfRule type="cellIs" dxfId="1721" priority="1723" operator="lessThan">
      <formula>0</formula>
    </cfRule>
  </conditionalFormatting>
  <conditionalFormatting sqref="R83">
    <cfRule type="cellIs" dxfId="1720" priority="1721" operator="lessThan">
      <formula>0.8</formula>
    </cfRule>
    <cfRule type="cellIs" dxfId="1719" priority="1722" operator="greaterThan">
      <formula>1</formula>
    </cfRule>
  </conditionalFormatting>
  <conditionalFormatting sqref="R83">
    <cfRule type="cellIs" dxfId="1718" priority="1719" operator="greaterThan">
      <formula>1</formula>
    </cfRule>
    <cfRule type="cellIs" dxfId="1717" priority="1720" operator="lessThan">
      <formula>0.8</formula>
    </cfRule>
  </conditionalFormatting>
  <conditionalFormatting sqref="R83">
    <cfRule type="cellIs" dxfId="1716" priority="1715" operator="lessThan">
      <formula>0.8</formula>
    </cfRule>
    <cfRule type="cellIs" dxfId="1715" priority="1716" operator="greaterThan">
      <formula>1</formula>
    </cfRule>
  </conditionalFormatting>
  <conditionalFormatting sqref="R83">
    <cfRule type="cellIs" dxfId="1714" priority="1713" operator="greaterThan">
      <formula>1</formula>
    </cfRule>
    <cfRule type="cellIs" dxfId="1713" priority="1714" operator="lessThan">
      <formula>0.8</formula>
    </cfRule>
  </conditionalFormatting>
  <conditionalFormatting sqref="P83">
    <cfRule type="cellIs" dxfId="1712" priority="1712" operator="greaterThan">
      <formula>0</formula>
    </cfRule>
  </conditionalFormatting>
  <conditionalFormatting sqref="Q83">
    <cfRule type="cellIs" dxfId="1711" priority="1717" operator="lessThan">
      <formula>0</formula>
    </cfRule>
  </conditionalFormatting>
  <conditionalFormatting sqref="Q83">
    <cfRule type="cellIs" dxfId="1710" priority="1706" operator="lessThan">
      <formula>0</formula>
    </cfRule>
  </conditionalFormatting>
  <conditionalFormatting sqref="P83">
    <cfRule type="cellIs" dxfId="1709" priority="1707" operator="greaterThan">
      <formula>0</formula>
    </cfRule>
  </conditionalFormatting>
  <conditionalFormatting sqref="R83">
    <cfRule type="cellIs" dxfId="1708" priority="1710" operator="lessThan">
      <formula>0.8</formula>
    </cfRule>
    <cfRule type="cellIs" dxfId="1707" priority="1711" operator="greaterThan">
      <formula>1</formula>
    </cfRule>
  </conditionalFormatting>
  <conditionalFormatting sqref="R83">
    <cfRule type="cellIs" dxfId="1706" priority="1708" operator="greaterThan">
      <formula>1</formula>
    </cfRule>
    <cfRule type="cellIs" dxfId="1705" priority="1709" operator="lessThan">
      <formula>0.8</formula>
    </cfRule>
  </conditionalFormatting>
  <conditionalFormatting sqref="Q83">
    <cfRule type="cellIs" dxfId="1704" priority="1700" operator="lessThan">
      <formula>0</formula>
    </cfRule>
  </conditionalFormatting>
  <conditionalFormatting sqref="R83">
    <cfRule type="cellIs" dxfId="1703" priority="1704" operator="lessThan">
      <formula>0.8</formula>
    </cfRule>
    <cfRule type="cellIs" dxfId="1702" priority="1705" operator="greaterThan">
      <formula>1</formula>
    </cfRule>
  </conditionalFormatting>
  <conditionalFormatting sqref="R83">
    <cfRule type="cellIs" dxfId="1701" priority="1702" operator="greaterThan">
      <formula>1</formula>
    </cfRule>
    <cfRule type="cellIs" dxfId="1700" priority="1703" operator="lessThan">
      <formula>0.8</formula>
    </cfRule>
  </conditionalFormatting>
  <conditionalFormatting sqref="P83">
    <cfRule type="cellIs" dxfId="1699" priority="1701" operator="greaterThan">
      <formula>0</formula>
    </cfRule>
  </conditionalFormatting>
  <conditionalFormatting sqref="Q83">
    <cfRule type="cellIs" dxfId="1698" priority="1699" operator="lessThan">
      <formula>0</formula>
    </cfRule>
  </conditionalFormatting>
  <conditionalFormatting sqref="R83">
    <cfRule type="cellIs" dxfId="1697" priority="1697" operator="lessThan">
      <formula>0.8</formula>
    </cfRule>
    <cfRule type="cellIs" dxfId="1696" priority="1698" operator="greaterThan">
      <formula>1</formula>
    </cfRule>
  </conditionalFormatting>
  <conditionalFormatting sqref="R83">
    <cfRule type="cellIs" dxfId="1695" priority="1695" operator="greaterThan">
      <formula>1</formula>
    </cfRule>
    <cfRule type="cellIs" dxfId="1694" priority="1696" operator="lessThan">
      <formula>0.8</formula>
    </cfRule>
  </conditionalFormatting>
  <conditionalFormatting sqref="P83">
    <cfRule type="cellIs" dxfId="1693" priority="1694" operator="greaterThan">
      <formula>0</formula>
    </cfRule>
  </conditionalFormatting>
  <conditionalFormatting sqref="Q83">
    <cfRule type="cellIs" dxfId="1692" priority="1693" operator="lessThan">
      <formula>0</formula>
    </cfRule>
  </conditionalFormatting>
  <conditionalFormatting sqref="R83">
    <cfRule type="cellIs" dxfId="1691" priority="1691" operator="lessThan">
      <formula>0.8</formula>
    </cfRule>
    <cfRule type="cellIs" dxfId="1690" priority="1692" operator="greaterThan">
      <formula>1</formula>
    </cfRule>
  </conditionalFormatting>
  <conditionalFormatting sqref="R83">
    <cfRule type="cellIs" dxfId="1689" priority="1689" operator="greaterThan">
      <formula>1</formula>
    </cfRule>
    <cfRule type="cellIs" dxfId="1688" priority="1690" operator="lessThan">
      <formula>0.8</formula>
    </cfRule>
  </conditionalFormatting>
  <conditionalFormatting sqref="P83">
    <cfRule type="cellIs" dxfId="1687" priority="1688" operator="greaterThan">
      <formula>0</formula>
    </cfRule>
  </conditionalFormatting>
  <conditionalFormatting sqref="Q83">
    <cfRule type="cellIs" dxfId="1686" priority="1687" operator="lessThan">
      <formula>0</formula>
    </cfRule>
  </conditionalFormatting>
  <conditionalFormatting sqref="R83">
    <cfRule type="cellIs" dxfId="1685" priority="1685" operator="lessThan">
      <formula>0.8</formula>
    </cfRule>
    <cfRule type="cellIs" dxfId="1684" priority="1686" operator="greaterThan">
      <formula>1</formula>
    </cfRule>
  </conditionalFormatting>
  <conditionalFormatting sqref="R83">
    <cfRule type="cellIs" dxfId="1683" priority="1683" operator="greaterThan">
      <formula>1</formula>
    </cfRule>
    <cfRule type="cellIs" dxfId="1682" priority="1684" operator="lessThan">
      <formula>0.8</formula>
    </cfRule>
  </conditionalFormatting>
  <conditionalFormatting sqref="P83">
    <cfRule type="cellIs" dxfId="1681" priority="1682" operator="greaterThan">
      <formula>0</formula>
    </cfRule>
  </conditionalFormatting>
  <conditionalFormatting sqref="Q32:Q39">
    <cfRule type="cellIs" dxfId="1680" priority="1676" operator="lessThan">
      <formula>0</formula>
    </cfRule>
  </conditionalFormatting>
  <conditionalFormatting sqref="P39">
    <cfRule type="cellIs" dxfId="1679" priority="1677" operator="greaterThan">
      <formula>0</formula>
    </cfRule>
  </conditionalFormatting>
  <conditionalFormatting sqref="R32:R39">
    <cfRule type="cellIs" dxfId="1678" priority="1680" operator="lessThan">
      <formula>0.8</formula>
    </cfRule>
    <cfRule type="cellIs" dxfId="1677" priority="1681" operator="greaterThan">
      <formula>1</formula>
    </cfRule>
  </conditionalFormatting>
  <conditionalFormatting sqref="R32:R39">
    <cfRule type="cellIs" dxfId="1676" priority="1678" operator="greaterThan">
      <formula>1</formula>
    </cfRule>
    <cfRule type="cellIs" dxfId="1675" priority="1679" operator="lessThan">
      <formula>0.8</formula>
    </cfRule>
  </conditionalFormatting>
  <conditionalFormatting sqref="Q32:Q39">
    <cfRule type="cellIs" dxfId="1674" priority="1670" operator="lessThan">
      <formula>0</formula>
    </cfRule>
  </conditionalFormatting>
  <conditionalFormatting sqref="R32:R39">
    <cfRule type="cellIs" dxfId="1673" priority="1674" operator="lessThan">
      <formula>0.8</formula>
    </cfRule>
    <cfRule type="cellIs" dxfId="1672" priority="1675" operator="greaterThan">
      <formula>1</formula>
    </cfRule>
  </conditionalFormatting>
  <conditionalFormatting sqref="R32:R39">
    <cfRule type="cellIs" dxfId="1671" priority="1672" operator="greaterThan">
      <formula>1</formula>
    </cfRule>
    <cfRule type="cellIs" dxfId="1670" priority="1673" operator="lessThan">
      <formula>0.8</formula>
    </cfRule>
  </conditionalFormatting>
  <conditionalFormatting sqref="P39">
    <cfRule type="cellIs" dxfId="1669" priority="1671" operator="greaterThan">
      <formula>0</formula>
    </cfRule>
  </conditionalFormatting>
  <conditionalFormatting sqref="Q32:Q39">
    <cfRule type="cellIs" dxfId="1668" priority="1669" operator="lessThan">
      <formula>0</formula>
    </cfRule>
  </conditionalFormatting>
  <conditionalFormatting sqref="R32:R39">
    <cfRule type="cellIs" dxfId="1667" priority="1667" operator="lessThan">
      <formula>0.8</formula>
    </cfRule>
    <cfRule type="cellIs" dxfId="1666" priority="1668" operator="greaterThan">
      <formula>1</formula>
    </cfRule>
  </conditionalFormatting>
  <conditionalFormatting sqref="R32:R39">
    <cfRule type="cellIs" dxfId="1665" priority="1665" operator="greaterThan">
      <formula>1</formula>
    </cfRule>
    <cfRule type="cellIs" dxfId="1664" priority="1666" operator="lessThan">
      <formula>0.8</formula>
    </cfRule>
  </conditionalFormatting>
  <conditionalFormatting sqref="P39">
    <cfRule type="cellIs" dxfId="1663" priority="1664" operator="greaterThan">
      <formula>0</formula>
    </cfRule>
  </conditionalFormatting>
  <conditionalFormatting sqref="Q32:Q39">
    <cfRule type="cellIs" dxfId="1662" priority="1663" operator="lessThan">
      <formula>0</formula>
    </cfRule>
  </conditionalFormatting>
  <conditionalFormatting sqref="R32:R39">
    <cfRule type="cellIs" dxfId="1661" priority="1661" operator="lessThan">
      <formula>0.8</formula>
    </cfRule>
    <cfRule type="cellIs" dxfId="1660" priority="1662" operator="greaterThan">
      <formula>1</formula>
    </cfRule>
  </conditionalFormatting>
  <conditionalFormatting sqref="R32:R39">
    <cfRule type="cellIs" dxfId="1659" priority="1659" operator="greaterThan">
      <formula>1</formula>
    </cfRule>
    <cfRule type="cellIs" dxfId="1658" priority="1660" operator="lessThan">
      <formula>0.8</formula>
    </cfRule>
  </conditionalFormatting>
  <conditionalFormatting sqref="P39">
    <cfRule type="cellIs" dxfId="1657" priority="1658" operator="greaterThan">
      <formula>0</formula>
    </cfRule>
  </conditionalFormatting>
  <conditionalFormatting sqref="Q32:Q39">
    <cfRule type="cellIs" dxfId="1656" priority="1652" operator="lessThan">
      <formula>0</formula>
    </cfRule>
  </conditionalFormatting>
  <conditionalFormatting sqref="R32:R39">
    <cfRule type="cellIs" dxfId="1655" priority="1656" operator="lessThan">
      <formula>0.8</formula>
    </cfRule>
    <cfRule type="cellIs" dxfId="1654" priority="1657" operator="greaterThan">
      <formula>1</formula>
    </cfRule>
  </conditionalFormatting>
  <conditionalFormatting sqref="R32:R39">
    <cfRule type="cellIs" dxfId="1653" priority="1654" operator="greaterThan">
      <formula>1</formula>
    </cfRule>
    <cfRule type="cellIs" dxfId="1652" priority="1655" operator="lessThan">
      <formula>0.8</formula>
    </cfRule>
  </conditionalFormatting>
  <conditionalFormatting sqref="P39">
    <cfRule type="cellIs" dxfId="1651" priority="1653" operator="greaterThan">
      <formula>0</formula>
    </cfRule>
  </conditionalFormatting>
  <conditionalFormatting sqref="Q32:Q39">
    <cfRule type="cellIs" dxfId="1650" priority="1651" operator="lessThan">
      <formula>0</formula>
    </cfRule>
  </conditionalFormatting>
  <conditionalFormatting sqref="R32:R39">
    <cfRule type="cellIs" dxfId="1649" priority="1649" operator="lessThan">
      <formula>0.8</formula>
    </cfRule>
    <cfRule type="cellIs" dxfId="1648" priority="1650" operator="greaterThan">
      <formula>1</formula>
    </cfRule>
  </conditionalFormatting>
  <conditionalFormatting sqref="R32:R39">
    <cfRule type="cellIs" dxfId="1647" priority="1647" operator="greaterThan">
      <formula>1</formula>
    </cfRule>
    <cfRule type="cellIs" dxfId="1646" priority="1648" operator="lessThan">
      <formula>0.8</formula>
    </cfRule>
  </conditionalFormatting>
  <conditionalFormatting sqref="P39">
    <cfRule type="cellIs" dxfId="1645" priority="1646" operator="greaterThan">
      <formula>0</formula>
    </cfRule>
  </conditionalFormatting>
  <conditionalFormatting sqref="Q32:Q39">
    <cfRule type="cellIs" dxfId="1644" priority="1645" operator="lessThan">
      <formula>0</formula>
    </cfRule>
  </conditionalFormatting>
  <conditionalFormatting sqref="R32:R39">
    <cfRule type="cellIs" dxfId="1643" priority="1643" operator="lessThan">
      <formula>0.8</formula>
    </cfRule>
    <cfRule type="cellIs" dxfId="1642" priority="1644" operator="greaterThan">
      <formula>1</formula>
    </cfRule>
  </conditionalFormatting>
  <conditionalFormatting sqref="R32:R39">
    <cfRule type="cellIs" dxfId="1641" priority="1641" operator="greaterThan">
      <formula>1</formula>
    </cfRule>
    <cfRule type="cellIs" dxfId="1640" priority="1642" operator="lessThan">
      <formula>0.8</formula>
    </cfRule>
  </conditionalFormatting>
  <conditionalFormatting sqref="P39">
    <cfRule type="cellIs" dxfId="1639" priority="1640" operator="greaterThan">
      <formula>0</formula>
    </cfRule>
  </conditionalFormatting>
  <conditionalFormatting sqref="Q32:Q39">
    <cfRule type="cellIs" dxfId="1638" priority="1639" operator="lessThan">
      <formula>0</formula>
    </cfRule>
  </conditionalFormatting>
  <conditionalFormatting sqref="R32:R39">
    <cfRule type="cellIs" dxfId="1637" priority="1637" operator="lessThan">
      <formula>0.8</formula>
    </cfRule>
    <cfRule type="cellIs" dxfId="1636" priority="1638" operator="greaterThan">
      <formula>1</formula>
    </cfRule>
  </conditionalFormatting>
  <conditionalFormatting sqref="R32:R39">
    <cfRule type="cellIs" dxfId="1635" priority="1635" operator="greaterThan">
      <formula>1</formula>
    </cfRule>
    <cfRule type="cellIs" dxfId="1634" priority="1636" operator="lessThan">
      <formula>0.8</formula>
    </cfRule>
  </conditionalFormatting>
  <conditionalFormatting sqref="P39">
    <cfRule type="cellIs" dxfId="1633" priority="1634" operator="greaterThan">
      <formula>0</formula>
    </cfRule>
  </conditionalFormatting>
  <conditionalFormatting sqref="Q32:Q39">
    <cfRule type="cellIs" dxfId="1632" priority="1633" operator="lessThan">
      <formula>0</formula>
    </cfRule>
  </conditionalFormatting>
  <conditionalFormatting sqref="R32:R39">
    <cfRule type="cellIs" dxfId="1631" priority="1631" operator="lessThan">
      <formula>0.8</formula>
    </cfRule>
    <cfRule type="cellIs" dxfId="1630" priority="1632" operator="greaterThan">
      <formula>1</formula>
    </cfRule>
  </conditionalFormatting>
  <conditionalFormatting sqref="R32:R39">
    <cfRule type="cellIs" dxfId="1629" priority="1629" operator="greaterThan">
      <formula>1</formula>
    </cfRule>
    <cfRule type="cellIs" dxfId="1628" priority="1630" operator="lessThan">
      <formula>0.8</formula>
    </cfRule>
  </conditionalFormatting>
  <conditionalFormatting sqref="P39">
    <cfRule type="cellIs" dxfId="1627" priority="1628" operator="greaterThan">
      <formula>0</formula>
    </cfRule>
  </conditionalFormatting>
  <conditionalFormatting sqref="Q32:Q39">
    <cfRule type="cellIs" dxfId="1626" priority="1627" operator="lessThan">
      <formula>0</formula>
    </cfRule>
  </conditionalFormatting>
  <conditionalFormatting sqref="R32:R39">
    <cfRule type="cellIs" dxfId="1625" priority="1625" operator="lessThan">
      <formula>0.8</formula>
    </cfRule>
    <cfRule type="cellIs" dxfId="1624" priority="1626" operator="greaterThan">
      <formula>1</formula>
    </cfRule>
  </conditionalFormatting>
  <conditionalFormatting sqref="R32:R39">
    <cfRule type="cellIs" dxfId="1623" priority="1623" operator="greaterThan">
      <formula>1</formula>
    </cfRule>
    <cfRule type="cellIs" dxfId="1622" priority="1624" operator="lessThan">
      <formula>0.8</formula>
    </cfRule>
  </conditionalFormatting>
  <conditionalFormatting sqref="P39">
    <cfRule type="cellIs" dxfId="1621" priority="1622" operator="greaterThan">
      <formula>0</formula>
    </cfRule>
  </conditionalFormatting>
  <conditionalFormatting sqref="P39">
    <cfRule type="cellIs" dxfId="1620" priority="1616" operator="greaterThan">
      <formula>0</formula>
    </cfRule>
  </conditionalFormatting>
  <conditionalFormatting sqref="Q32:Q39">
    <cfRule type="cellIs" dxfId="1619" priority="1621" operator="lessThan">
      <formula>0</formula>
    </cfRule>
  </conditionalFormatting>
  <conditionalFormatting sqref="R32:R39">
    <cfRule type="cellIs" dxfId="1618" priority="1619" operator="lessThan">
      <formula>0.8</formula>
    </cfRule>
    <cfRule type="cellIs" dxfId="1617" priority="1620" operator="greaterThan">
      <formula>1</formula>
    </cfRule>
  </conditionalFormatting>
  <conditionalFormatting sqref="R32:R39">
    <cfRule type="cellIs" dxfId="1616" priority="1617" operator="greaterThan">
      <formula>1</formula>
    </cfRule>
    <cfRule type="cellIs" dxfId="1615" priority="1618" operator="lessThan">
      <formula>0.8</formula>
    </cfRule>
  </conditionalFormatting>
  <conditionalFormatting sqref="P39">
    <cfRule type="cellIs" dxfId="1614" priority="1610" operator="greaterThan">
      <formula>0</formula>
    </cfRule>
  </conditionalFormatting>
  <conditionalFormatting sqref="Q32:Q39">
    <cfRule type="cellIs" dxfId="1613" priority="1615" operator="lessThan">
      <formula>0</formula>
    </cfRule>
  </conditionalFormatting>
  <conditionalFormatting sqref="R32:R39">
    <cfRule type="cellIs" dxfId="1612" priority="1613" operator="lessThan">
      <formula>0.8</formula>
    </cfRule>
    <cfRule type="cellIs" dxfId="1611" priority="1614" operator="greaterThan">
      <formula>1</formula>
    </cfRule>
  </conditionalFormatting>
  <conditionalFormatting sqref="R32:R39">
    <cfRule type="cellIs" dxfId="1610" priority="1611" operator="greaterThan">
      <formula>1</formula>
    </cfRule>
    <cfRule type="cellIs" dxfId="1609" priority="1612" operator="lessThan">
      <formula>0.8</formula>
    </cfRule>
  </conditionalFormatting>
  <conditionalFormatting sqref="R32:R39">
    <cfRule type="cellIs" dxfId="1608" priority="1607" operator="lessThan">
      <formula>0.8</formula>
    </cfRule>
    <cfRule type="cellIs" dxfId="1607" priority="1608" operator="greaterThan">
      <formula>1</formula>
    </cfRule>
  </conditionalFormatting>
  <conditionalFormatting sqref="R32:R39">
    <cfRule type="cellIs" dxfId="1606" priority="1605" operator="greaterThan">
      <formula>1</formula>
    </cfRule>
    <cfRule type="cellIs" dxfId="1605" priority="1606" operator="lessThan">
      <formula>0.8</formula>
    </cfRule>
  </conditionalFormatting>
  <conditionalFormatting sqref="P39">
    <cfRule type="cellIs" dxfId="1604" priority="1604" operator="greaterThan">
      <formula>0</formula>
    </cfRule>
  </conditionalFormatting>
  <conditionalFormatting sqref="Q32:Q39">
    <cfRule type="cellIs" dxfId="1603" priority="1609" operator="lessThan">
      <formula>0</formula>
    </cfRule>
  </conditionalFormatting>
  <conditionalFormatting sqref="Q32:Q39">
    <cfRule type="cellIs" dxfId="1602" priority="1598" operator="lessThan">
      <formula>0</formula>
    </cfRule>
  </conditionalFormatting>
  <conditionalFormatting sqref="P39">
    <cfRule type="cellIs" dxfId="1601" priority="1599" operator="greaterThan">
      <formula>0</formula>
    </cfRule>
  </conditionalFormatting>
  <conditionalFormatting sqref="R32:R39">
    <cfRule type="cellIs" dxfId="1600" priority="1602" operator="lessThan">
      <formula>0.8</formula>
    </cfRule>
    <cfRule type="cellIs" dxfId="1599" priority="1603" operator="greaterThan">
      <formula>1</formula>
    </cfRule>
  </conditionalFormatting>
  <conditionalFormatting sqref="R32:R39">
    <cfRule type="cellIs" dxfId="1598" priority="1600" operator="greaterThan">
      <formula>1</formula>
    </cfRule>
    <cfRule type="cellIs" dxfId="1597" priority="1601" operator="lessThan">
      <formula>0.8</formula>
    </cfRule>
  </conditionalFormatting>
  <conditionalFormatting sqref="Q32:Q39">
    <cfRule type="cellIs" dxfId="1596" priority="1592" operator="lessThan">
      <formula>0</formula>
    </cfRule>
  </conditionalFormatting>
  <conditionalFormatting sqref="R32:R39">
    <cfRule type="cellIs" dxfId="1595" priority="1596" operator="lessThan">
      <formula>0.8</formula>
    </cfRule>
    <cfRule type="cellIs" dxfId="1594" priority="1597" operator="greaterThan">
      <formula>1</formula>
    </cfRule>
  </conditionalFormatting>
  <conditionalFormatting sqref="R32:R39">
    <cfRule type="cellIs" dxfId="1593" priority="1594" operator="greaterThan">
      <formula>1</formula>
    </cfRule>
    <cfRule type="cellIs" dxfId="1592" priority="1595" operator="lessThan">
      <formula>0.8</formula>
    </cfRule>
  </conditionalFormatting>
  <conditionalFormatting sqref="P39">
    <cfRule type="cellIs" dxfId="1591" priority="1593" operator="greaterThan">
      <formula>0</formula>
    </cfRule>
  </conditionalFormatting>
  <conditionalFormatting sqref="Q32:Q39">
    <cfRule type="cellIs" dxfId="1590" priority="1591" operator="lessThan">
      <formula>0</formula>
    </cfRule>
  </conditionalFormatting>
  <conditionalFormatting sqref="R32:R39">
    <cfRule type="cellIs" dxfId="1589" priority="1589" operator="lessThan">
      <formula>0.8</formula>
    </cfRule>
    <cfRule type="cellIs" dxfId="1588" priority="1590" operator="greaterThan">
      <formula>1</formula>
    </cfRule>
  </conditionalFormatting>
  <conditionalFormatting sqref="R32:R39">
    <cfRule type="cellIs" dxfId="1587" priority="1587" operator="greaterThan">
      <formula>1</formula>
    </cfRule>
    <cfRule type="cellIs" dxfId="1586" priority="1588" operator="lessThan">
      <formula>0.8</formula>
    </cfRule>
  </conditionalFormatting>
  <conditionalFormatting sqref="P39">
    <cfRule type="cellIs" dxfId="1585" priority="1586" operator="greaterThan">
      <formula>0</formula>
    </cfRule>
  </conditionalFormatting>
  <conditionalFormatting sqref="Q32:Q39">
    <cfRule type="cellIs" dxfId="1584" priority="1585" operator="lessThan">
      <formula>0</formula>
    </cfRule>
  </conditionalFormatting>
  <conditionalFormatting sqref="R32:R39">
    <cfRule type="cellIs" dxfId="1583" priority="1583" operator="lessThan">
      <formula>0.8</formula>
    </cfRule>
    <cfRule type="cellIs" dxfId="1582" priority="1584" operator="greaterThan">
      <formula>1</formula>
    </cfRule>
  </conditionalFormatting>
  <conditionalFormatting sqref="R32:R39">
    <cfRule type="cellIs" dxfId="1581" priority="1581" operator="greaterThan">
      <formula>1</formula>
    </cfRule>
    <cfRule type="cellIs" dxfId="1580" priority="1582" operator="lessThan">
      <formula>0.8</formula>
    </cfRule>
  </conditionalFormatting>
  <conditionalFormatting sqref="P39">
    <cfRule type="cellIs" dxfId="1579" priority="1580" operator="greaterThan">
      <formula>0</formula>
    </cfRule>
  </conditionalFormatting>
  <conditionalFormatting sqref="Q32:Q39">
    <cfRule type="cellIs" dxfId="1578" priority="1574" operator="lessThan">
      <formula>0</formula>
    </cfRule>
  </conditionalFormatting>
  <conditionalFormatting sqref="P39">
    <cfRule type="cellIs" dxfId="1577" priority="1575" operator="greaterThan">
      <formula>0</formula>
    </cfRule>
  </conditionalFormatting>
  <conditionalFormatting sqref="R32:R39">
    <cfRule type="cellIs" dxfId="1576" priority="1578" operator="lessThan">
      <formula>0.8</formula>
    </cfRule>
    <cfRule type="cellIs" dxfId="1575" priority="1579" operator="greaterThan">
      <formula>1</formula>
    </cfRule>
  </conditionalFormatting>
  <conditionalFormatting sqref="R32:R39">
    <cfRule type="cellIs" dxfId="1574" priority="1576" operator="greaterThan">
      <formula>1</formula>
    </cfRule>
    <cfRule type="cellIs" dxfId="1573" priority="1577" operator="lessThan">
      <formula>0.8</formula>
    </cfRule>
  </conditionalFormatting>
  <conditionalFormatting sqref="Q32:Q39">
    <cfRule type="cellIs" dxfId="1572" priority="1568" operator="lessThan">
      <formula>0</formula>
    </cfRule>
  </conditionalFormatting>
  <conditionalFormatting sqref="R32:R39">
    <cfRule type="cellIs" dxfId="1571" priority="1572" operator="lessThan">
      <formula>0.8</formula>
    </cfRule>
    <cfRule type="cellIs" dxfId="1570" priority="1573" operator="greaterThan">
      <formula>1</formula>
    </cfRule>
  </conditionalFormatting>
  <conditionalFormatting sqref="R32:R39">
    <cfRule type="cellIs" dxfId="1569" priority="1570" operator="greaterThan">
      <formula>1</formula>
    </cfRule>
    <cfRule type="cellIs" dxfId="1568" priority="1571" operator="lessThan">
      <formula>0.8</formula>
    </cfRule>
  </conditionalFormatting>
  <conditionalFormatting sqref="P39">
    <cfRule type="cellIs" dxfId="1567" priority="1569" operator="greaterThan">
      <formula>0</formula>
    </cfRule>
  </conditionalFormatting>
  <conditionalFormatting sqref="Q32:Q39">
    <cfRule type="cellIs" dxfId="1566" priority="1567" operator="lessThan">
      <formula>0</formula>
    </cfRule>
  </conditionalFormatting>
  <conditionalFormatting sqref="R32:R39">
    <cfRule type="cellIs" dxfId="1565" priority="1565" operator="lessThan">
      <formula>0.8</formula>
    </cfRule>
    <cfRule type="cellIs" dxfId="1564" priority="1566" operator="greaterThan">
      <formula>1</formula>
    </cfRule>
  </conditionalFormatting>
  <conditionalFormatting sqref="R32:R39">
    <cfRule type="cellIs" dxfId="1563" priority="1563" operator="greaterThan">
      <formula>1</formula>
    </cfRule>
    <cfRule type="cellIs" dxfId="1562" priority="1564" operator="lessThan">
      <formula>0.8</formula>
    </cfRule>
  </conditionalFormatting>
  <conditionalFormatting sqref="P39">
    <cfRule type="cellIs" dxfId="1561" priority="1562" operator="greaterThan">
      <formula>0</formula>
    </cfRule>
  </conditionalFormatting>
  <conditionalFormatting sqref="Q32:Q39">
    <cfRule type="cellIs" dxfId="1560" priority="1561" operator="lessThan">
      <formula>0</formula>
    </cfRule>
  </conditionalFormatting>
  <conditionalFormatting sqref="R32:R39">
    <cfRule type="cellIs" dxfId="1559" priority="1559" operator="lessThan">
      <formula>0.8</formula>
    </cfRule>
    <cfRule type="cellIs" dxfId="1558" priority="1560" operator="greaterThan">
      <formula>1</formula>
    </cfRule>
  </conditionalFormatting>
  <conditionalFormatting sqref="R32:R39">
    <cfRule type="cellIs" dxfId="1557" priority="1557" operator="greaterThan">
      <formula>1</formula>
    </cfRule>
    <cfRule type="cellIs" dxfId="1556" priority="1558" operator="lessThan">
      <formula>0.8</formula>
    </cfRule>
  </conditionalFormatting>
  <conditionalFormatting sqref="P39">
    <cfRule type="cellIs" dxfId="1555" priority="1556" operator="greaterThan">
      <formula>0</formula>
    </cfRule>
  </conditionalFormatting>
  <conditionalFormatting sqref="Q19:Q25">
    <cfRule type="cellIs" dxfId="1554" priority="1555" operator="lessThan">
      <formula>0</formula>
    </cfRule>
  </conditionalFormatting>
  <conditionalFormatting sqref="R19:R25">
    <cfRule type="cellIs" dxfId="1553" priority="1553" operator="lessThan">
      <formula>0.8</formula>
    </cfRule>
    <cfRule type="cellIs" dxfId="1552" priority="1554" operator="greaterThan">
      <formula>1</formula>
    </cfRule>
  </conditionalFormatting>
  <conditionalFormatting sqref="R19:R25">
    <cfRule type="cellIs" dxfId="1551" priority="1551" operator="greaterThan">
      <formula>1</formula>
    </cfRule>
    <cfRule type="cellIs" dxfId="1550" priority="1552" operator="lessThan">
      <formula>0.8</formula>
    </cfRule>
  </conditionalFormatting>
  <conditionalFormatting sqref="P19:P25">
    <cfRule type="cellIs" dxfId="1549" priority="1550" operator="greaterThan">
      <formula>0</formula>
    </cfRule>
  </conditionalFormatting>
  <conditionalFormatting sqref="R19:R25">
    <cfRule type="cellIs" dxfId="1548" priority="1547" operator="lessThan">
      <formula>0.8</formula>
    </cfRule>
    <cfRule type="cellIs" dxfId="1547" priority="1548" operator="greaterThan">
      <formula>1</formula>
    </cfRule>
  </conditionalFormatting>
  <conditionalFormatting sqref="R19:R25">
    <cfRule type="cellIs" dxfId="1546" priority="1545" operator="greaterThan">
      <formula>1</formula>
    </cfRule>
    <cfRule type="cellIs" dxfId="1545" priority="1546" operator="lessThan">
      <formula>0.8</formula>
    </cfRule>
  </conditionalFormatting>
  <conditionalFormatting sqref="P19:P25">
    <cfRule type="cellIs" dxfId="1544" priority="1544" operator="greaterThan">
      <formula>0</formula>
    </cfRule>
  </conditionalFormatting>
  <conditionalFormatting sqref="Q19:Q25">
    <cfRule type="cellIs" dxfId="1543" priority="1549" operator="lessThan">
      <formula>0</formula>
    </cfRule>
  </conditionalFormatting>
  <conditionalFormatting sqref="R19:R25">
    <cfRule type="cellIs" dxfId="1542" priority="1541" operator="lessThan">
      <formula>0.8</formula>
    </cfRule>
    <cfRule type="cellIs" dxfId="1541" priority="1542" operator="greaterThan">
      <formula>1</formula>
    </cfRule>
  </conditionalFormatting>
  <conditionalFormatting sqref="R19:R25">
    <cfRule type="cellIs" dxfId="1540" priority="1539" operator="greaterThan">
      <formula>1</formula>
    </cfRule>
    <cfRule type="cellIs" dxfId="1539" priority="1540" operator="lessThan">
      <formula>0.8</formula>
    </cfRule>
  </conditionalFormatting>
  <conditionalFormatting sqref="P19:P25">
    <cfRule type="cellIs" dxfId="1538" priority="1538" operator="greaterThan">
      <formula>0</formula>
    </cfRule>
  </conditionalFormatting>
  <conditionalFormatting sqref="Q19:Q25">
    <cfRule type="cellIs" dxfId="1537" priority="1543" operator="lessThan">
      <formula>0</formula>
    </cfRule>
  </conditionalFormatting>
  <conditionalFormatting sqref="Q19:Q25">
    <cfRule type="cellIs" dxfId="1536" priority="1537" operator="lessThan">
      <formula>0</formula>
    </cfRule>
  </conditionalFormatting>
  <conditionalFormatting sqref="R19:R25">
    <cfRule type="cellIs" dxfId="1535" priority="1535" operator="lessThan">
      <formula>0.8</formula>
    </cfRule>
    <cfRule type="cellIs" dxfId="1534" priority="1536" operator="greaterThan">
      <formula>1</formula>
    </cfRule>
  </conditionalFormatting>
  <conditionalFormatting sqref="R19:R25">
    <cfRule type="cellIs" dxfId="1533" priority="1533" operator="greaterThan">
      <formula>1</formula>
    </cfRule>
    <cfRule type="cellIs" dxfId="1532" priority="1534" operator="lessThan">
      <formula>0.8</formula>
    </cfRule>
  </conditionalFormatting>
  <conditionalFormatting sqref="P19:P25">
    <cfRule type="cellIs" dxfId="1531" priority="1532" operator="greaterThan">
      <formula>0</formula>
    </cfRule>
  </conditionalFormatting>
  <conditionalFormatting sqref="Q135:Q136">
    <cfRule type="cellIs" dxfId="1530" priority="1531" operator="lessThan">
      <formula>0</formula>
    </cfRule>
  </conditionalFormatting>
  <conditionalFormatting sqref="R135:R136 R139:R144">
    <cfRule type="cellIs" dxfId="1529" priority="1529" operator="lessThan">
      <formula>0.8</formula>
    </cfRule>
    <cfRule type="cellIs" dxfId="1528" priority="1530" operator="greaterThan">
      <formula>1</formula>
    </cfRule>
  </conditionalFormatting>
  <conditionalFormatting sqref="R135:R136 R139:R144">
    <cfRule type="cellIs" dxfId="1527" priority="1527" operator="greaterThan">
      <formula>1</formula>
    </cfRule>
    <cfRule type="cellIs" dxfId="1526" priority="1528" operator="lessThan">
      <formula>0.8</formula>
    </cfRule>
  </conditionalFormatting>
  <conditionalFormatting sqref="P135:P136 P139">
    <cfRule type="cellIs" dxfId="1525" priority="1526" operator="greaterThan">
      <formula>0</formula>
    </cfRule>
  </conditionalFormatting>
  <conditionalFormatting sqref="P135:P136 P139">
    <cfRule type="cellIs" dxfId="1524" priority="1520" operator="greaterThan">
      <formula>0</formula>
    </cfRule>
  </conditionalFormatting>
  <conditionalFormatting sqref="Q135:Q136">
    <cfRule type="cellIs" dxfId="1523" priority="1525" operator="lessThan">
      <formula>0</formula>
    </cfRule>
  </conditionalFormatting>
  <conditionalFormatting sqref="R135:R136 R139:R144">
    <cfRule type="cellIs" dxfId="1522" priority="1523" operator="lessThan">
      <formula>0.8</formula>
    </cfRule>
    <cfRule type="cellIs" dxfId="1521" priority="1524" operator="greaterThan">
      <formula>1</formula>
    </cfRule>
  </conditionalFormatting>
  <conditionalFormatting sqref="R135:R136 R139:R144">
    <cfRule type="cellIs" dxfId="1520" priority="1521" operator="greaterThan">
      <formula>1</formula>
    </cfRule>
    <cfRule type="cellIs" dxfId="1519" priority="1522" operator="lessThan">
      <formula>0.8</formula>
    </cfRule>
  </conditionalFormatting>
  <conditionalFormatting sqref="P19:P25">
    <cfRule type="cellIs" dxfId="1518" priority="1514" operator="greaterThan">
      <formula>0</formula>
    </cfRule>
  </conditionalFormatting>
  <conditionalFormatting sqref="Q19:Q25">
    <cfRule type="cellIs" dxfId="1517" priority="1519" operator="lessThan">
      <formula>0</formula>
    </cfRule>
  </conditionalFormatting>
  <conditionalFormatting sqref="R19:R25">
    <cfRule type="cellIs" dxfId="1516" priority="1517" operator="lessThan">
      <formula>0.8</formula>
    </cfRule>
    <cfRule type="cellIs" dxfId="1515" priority="1518" operator="greaterThan">
      <formula>1</formula>
    </cfRule>
  </conditionalFormatting>
  <conditionalFormatting sqref="R19:R25">
    <cfRule type="cellIs" dxfId="1514" priority="1515" operator="greaterThan">
      <formula>1</formula>
    </cfRule>
    <cfRule type="cellIs" dxfId="1513" priority="1516" operator="lessThan">
      <formula>0.8</formula>
    </cfRule>
  </conditionalFormatting>
  <conditionalFormatting sqref="Q19:Q25">
    <cfRule type="cellIs" dxfId="1512" priority="1513" operator="lessThan">
      <formula>0</formula>
    </cfRule>
  </conditionalFormatting>
  <conditionalFormatting sqref="R19:R25">
    <cfRule type="cellIs" dxfId="1511" priority="1511" operator="lessThan">
      <formula>0.8</formula>
    </cfRule>
    <cfRule type="cellIs" dxfId="1510" priority="1512" operator="greaterThan">
      <formula>1</formula>
    </cfRule>
  </conditionalFormatting>
  <conditionalFormatting sqref="R19:R25">
    <cfRule type="cellIs" dxfId="1509" priority="1509" operator="greaterThan">
      <formula>1</formula>
    </cfRule>
    <cfRule type="cellIs" dxfId="1508" priority="1510" operator="lessThan">
      <formula>0.8</formula>
    </cfRule>
  </conditionalFormatting>
  <conditionalFormatting sqref="P19:P25">
    <cfRule type="cellIs" dxfId="1507" priority="1508" operator="greaterThan">
      <formula>0</formula>
    </cfRule>
  </conditionalFormatting>
  <conditionalFormatting sqref="Q19:Q25">
    <cfRule type="cellIs" dxfId="1506" priority="1507" operator="lessThan">
      <formula>0</formula>
    </cfRule>
  </conditionalFormatting>
  <conditionalFormatting sqref="R19:R25">
    <cfRule type="cellIs" dxfId="1505" priority="1505" operator="lessThan">
      <formula>0.8</formula>
    </cfRule>
    <cfRule type="cellIs" dxfId="1504" priority="1506" operator="greaterThan">
      <formula>1</formula>
    </cfRule>
  </conditionalFormatting>
  <conditionalFormatting sqref="R19:R25">
    <cfRule type="cellIs" dxfId="1503" priority="1503" operator="greaterThan">
      <formula>1</formula>
    </cfRule>
    <cfRule type="cellIs" dxfId="1502" priority="1504" operator="lessThan">
      <formula>0.8</formula>
    </cfRule>
  </conditionalFormatting>
  <conditionalFormatting sqref="P19:P25">
    <cfRule type="cellIs" dxfId="1501" priority="1502" operator="greaterThan">
      <formula>0</formula>
    </cfRule>
  </conditionalFormatting>
  <conditionalFormatting sqref="Q19:Q25">
    <cfRule type="cellIs" dxfId="1500" priority="1501" operator="lessThan">
      <formula>0</formula>
    </cfRule>
  </conditionalFormatting>
  <conditionalFormatting sqref="R19:R25">
    <cfRule type="cellIs" dxfId="1499" priority="1499" operator="lessThan">
      <formula>0.8</formula>
    </cfRule>
    <cfRule type="cellIs" dxfId="1498" priority="1500" operator="greaterThan">
      <formula>1</formula>
    </cfRule>
  </conditionalFormatting>
  <conditionalFormatting sqref="R19:R25">
    <cfRule type="cellIs" dxfId="1497" priority="1497" operator="greaterThan">
      <formula>1</formula>
    </cfRule>
    <cfRule type="cellIs" dxfId="1496" priority="1498" operator="lessThan">
      <formula>0.8</formula>
    </cfRule>
  </conditionalFormatting>
  <conditionalFormatting sqref="P19:P25">
    <cfRule type="cellIs" dxfId="1495" priority="1496" operator="greaterThan">
      <formula>0</formula>
    </cfRule>
  </conditionalFormatting>
  <conditionalFormatting sqref="R19:R25">
    <cfRule type="cellIs" dxfId="1494" priority="1493" operator="lessThan">
      <formula>0.8</formula>
    </cfRule>
    <cfRule type="cellIs" dxfId="1493" priority="1494" operator="greaterThan">
      <formula>1</formula>
    </cfRule>
  </conditionalFormatting>
  <conditionalFormatting sqref="R19:R25">
    <cfRule type="cellIs" dxfId="1492" priority="1491" operator="greaterThan">
      <formula>1</formula>
    </cfRule>
    <cfRule type="cellIs" dxfId="1491" priority="1492" operator="lessThan">
      <formula>0.8</formula>
    </cfRule>
  </conditionalFormatting>
  <conditionalFormatting sqref="P19:P25">
    <cfRule type="cellIs" dxfId="1490" priority="1490" operator="greaterThan">
      <formula>0</formula>
    </cfRule>
  </conditionalFormatting>
  <conditionalFormatting sqref="Q19:Q25">
    <cfRule type="cellIs" dxfId="1489" priority="1495" operator="lessThan">
      <formula>0</formula>
    </cfRule>
  </conditionalFormatting>
  <conditionalFormatting sqref="Q19:Q25">
    <cfRule type="cellIs" dxfId="1488" priority="1489" operator="lessThan">
      <formula>0</formula>
    </cfRule>
  </conditionalFormatting>
  <conditionalFormatting sqref="R19:R25">
    <cfRule type="cellIs" dxfId="1487" priority="1487" operator="lessThan">
      <formula>0.8</formula>
    </cfRule>
    <cfRule type="cellIs" dxfId="1486" priority="1488" operator="greaterThan">
      <formula>1</formula>
    </cfRule>
  </conditionalFormatting>
  <conditionalFormatting sqref="R19:R25">
    <cfRule type="cellIs" dxfId="1485" priority="1485" operator="greaterThan">
      <formula>1</formula>
    </cfRule>
    <cfRule type="cellIs" dxfId="1484" priority="1486" operator="lessThan">
      <formula>0.8</formula>
    </cfRule>
  </conditionalFormatting>
  <conditionalFormatting sqref="P19:P25">
    <cfRule type="cellIs" dxfId="1483" priority="1484" operator="greaterThan">
      <formula>0</formula>
    </cfRule>
  </conditionalFormatting>
  <conditionalFormatting sqref="P19:P25">
    <cfRule type="cellIs" dxfId="1482" priority="1478" operator="greaterThan">
      <formula>0</formula>
    </cfRule>
  </conditionalFormatting>
  <conditionalFormatting sqref="Q19:Q25">
    <cfRule type="cellIs" dxfId="1481" priority="1483" operator="lessThan">
      <formula>0</formula>
    </cfRule>
  </conditionalFormatting>
  <conditionalFormatting sqref="R19:R25">
    <cfRule type="cellIs" dxfId="1480" priority="1481" operator="lessThan">
      <formula>0.8</formula>
    </cfRule>
    <cfRule type="cellIs" dxfId="1479" priority="1482" operator="greaterThan">
      <formula>1</formula>
    </cfRule>
  </conditionalFormatting>
  <conditionalFormatting sqref="R19:R25">
    <cfRule type="cellIs" dxfId="1478" priority="1479" operator="greaterThan">
      <formula>1</formula>
    </cfRule>
    <cfRule type="cellIs" dxfId="1477" priority="1480" operator="lessThan">
      <formula>0.8</formula>
    </cfRule>
  </conditionalFormatting>
  <conditionalFormatting sqref="P19:P25">
    <cfRule type="cellIs" dxfId="1476" priority="1472" operator="greaterThan">
      <formula>0</formula>
    </cfRule>
  </conditionalFormatting>
  <conditionalFormatting sqref="Q19:Q25">
    <cfRule type="cellIs" dxfId="1475" priority="1477" operator="lessThan">
      <formula>0</formula>
    </cfRule>
  </conditionalFormatting>
  <conditionalFormatting sqref="R19:R25">
    <cfRule type="cellIs" dxfId="1474" priority="1475" operator="lessThan">
      <formula>0.8</formula>
    </cfRule>
    <cfRule type="cellIs" dxfId="1473" priority="1476" operator="greaterThan">
      <formula>1</formula>
    </cfRule>
  </conditionalFormatting>
  <conditionalFormatting sqref="R19:R25">
    <cfRule type="cellIs" dxfId="1472" priority="1473" operator="greaterThan">
      <formula>1</formula>
    </cfRule>
    <cfRule type="cellIs" dxfId="1471" priority="1474" operator="lessThan">
      <formula>0.8</formula>
    </cfRule>
  </conditionalFormatting>
  <conditionalFormatting sqref="Q19:Q25">
    <cfRule type="cellIs" dxfId="1470" priority="1471" operator="lessThan">
      <formula>0</formula>
    </cfRule>
  </conditionalFormatting>
  <conditionalFormatting sqref="R19:R25">
    <cfRule type="cellIs" dxfId="1469" priority="1469" operator="lessThan">
      <formula>0.8</formula>
    </cfRule>
    <cfRule type="cellIs" dxfId="1468" priority="1470" operator="greaterThan">
      <formula>1</formula>
    </cfRule>
  </conditionalFormatting>
  <conditionalFormatting sqref="R19:R25">
    <cfRule type="cellIs" dxfId="1467" priority="1467" operator="greaterThan">
      <formula>1</formula>
    </cfRule>
    <cfRule type="cellIs" dxfId="1466" priority="1468" operator="lessThan">
      <formula>0.8</formula>
    </cfRule>
  </conditionalFormatting>
  <conditionalFormatting sqref="P19:P25">
    <cfRule type="cellIs" dxfId="1465" priority="1466" operator="greaterThan">
      <formula>0</formula>
    </cfRule>
  </conditionalFormatting>
  <conditionalFormatting sqref="Q19:Q25">
    <cfRule type="cellIs" dxfId="1464" priority="1465" operator="lessThan">
      <formula>0</formula>
    </cfRule>
  </conditionalFormatting>
  <conditionalFormatting sqref="R19:R25">
    <cfRule type="cellIs" dxfId="1463" priority="1463" operator="lessThan">
      <formula>0.8</formula>
    </cfRule>
    <cfRule type="cellIs" dxfId="1462" priority="1464" operator="greaterThan">
      <formula>1</formula>
    </cfRule>
  </conditionalFormatting>
  <conditionalFormatting sqref="R19:R25">
    <cfRule type="cellIs" dxfId="1461" priority="1461" operator="greaterThan">
      <formula>1</formula>
    </cfRule>
    <cfRule type="cellIs" dxfId="1460" priority="1462" operator="lessThan">
      <formula>0.8</formula>
    </cfRule>
  </conditionalFormatting>
  <conditionalFormatting sqref="P19:P25">
    <cfRule type="cellIs" dxfId="1459" priority="1460" operator="greaterThan">
      <formula>0</formula>
    </cfRule>
  </conditionalFormatting>
  <conditionalFormatting sqref="P19:P25">
    <cfRule type="cellIs" dxfId="1458" priority="1454" operator="greaterThan">
      <formula>0</formula>
    </cfRule>
  </conditionalFormatting>
  <conditionalFormatting sqref="Q19:Q25">
    <cfRule type="cellIs" dxfId="1457" priority="1459" operator="lessThan">
      <formula>0</formula>
    </cfRule>
  </conditionalFormatting>
  <conditionalFormatting sqref="R19:R25">
    <cfRule type="cellIs" dxfId="1456" priority="1457" operator="lessThan">
      <formula>0.8</formula>
    </cfRule>
    <cfRule type="cellIs" dxfId="1455" priority="1458" operator="greaterThan">
      <formula>1</formula>
    </cfRule>
  </conditionalFormatting>
  <conditionalFormatting sqref="R19:R25">
    <cfRule type="cellIs" dxfId="1454" priority="1455" operator="greaterThan">
      <formula>1</formula>
    </cfRule>
    <cfRule type="cellIs" dxfId="1453" priority="1456" operator="lessThan">
      <formula>0.8</formula>
    </cfRule>
  </conditionalFormatting>
  <conditionalFormatting sqref="Q19:Q25">
    <cfRule type="cellIs" dxfId="1452" priority="1453" operator="lessThan">
      <formula>0</formula>
    </cfRule>
  </conditionalFormatting>
  <conditionalFormatting sqref="R19:R25">
    <cfRule type="cellIs" dxfId="1451" priority="1451" operator="lessThan">
      <formula>0.8</formula>
    </cfRule>
    <cfRule type="cellIs" dxfId="1450" priority="1452" operator="greaterThan">
      <formula>1</formula>
    </cfRule>
  </conditionalFormatting>
  <conditionalFormatting sqref="R19:R25">
    <cfRule type="cellIs" dxfId="1449" priority="1449" operator="greaterThan">
      <formula>1</formula>
    </cfRule>
    <cfRule type="cellIs" dxfId="1448" priority="1450" operator="lessThan">
      <formula>0.8</formula>
    </cfRule>
  </conditionalFormatting>
  <conditionalFormatting sqref="P19:P25">
    <cfRule type="cellIs" dxfId="1447" priority="1448" operator="greaterThan">
      <formula>0</formula>
    </cfRule>
  </conditionalFormatting>
  <conditionalFormatting sqref="Q19:Q25">
    <cfRule type="cellIs" dxfId="1446" priority="1447" operator="lessThan">
      <formula>0</formula>
    </cfRule>
  </conditionalFormatting>
  <conditionalFormatting sqref="R19:R25">
    <cfRule type="cellIs" dxfId="1445" priority="1445" operator="lessThan">
      <formula>0.8</formula>
    </cfRule>
    <cfRule type="cellIs" dxfId="1444" priority="1446" operator="greaterThan">
      <formula>1</formula>
    </cfRule>
  </conditionalFormatting>
  <conditionalFormatting sqref="R19:R25">
    <cfRule type="cellIs" dxfId="1443" priority="1443" operator="greaterThan">
      <formula>1</formula>
    </cfRule>
    <cfRule type="cellIs" dxfId="1442" priority="1444" operator="lessThan">
      <formula>0.8</formula>
    </cfRule>
  </conditionalFormatting>
  <conditionalFormatting sqref="P19:P25">
    <cfRule type="cellIs" dxfId="1441" priority="1442" operator="greaterThan">
      <formula>0</formula>
    </cfRule>
  </conditionalFormatting>
  <conditionalFormatting sqref="Q19:Q25">
    <cfRule type="cellIs" dxfId="1440" priority="1441" operator="lessThan">
      <formula>0</formula>
    </cfRule>
  </conditionalFormatting>
  <conditionalFormatting sqref="R19:R25">
    <cfRule type="cellIs" dxfId="1439" priority="1439" operator="lessThan">
      <formula>0.8</formula>
    </cfRule>
    <cfRule type="cellIs" dxfId="1438" priority="1440" operator="greaterThan">
      <formula>1</formula>
    </cfRule>
  </conditionalFormatting>
  <conditionalFormatting sqref="R19:R25">
    <cfRule type="cellIs" dxfId="1437" priority="1437" operator="greaterThan">
      <formula>1</formula>
    </cfRule>
    <cfRule type="cellIs" dxfId="1436" priority="1438" operator="lessThan">
      <formula>0.8</formula>
    </cfRule>
  </conditionalFormatting>
  <conditionalFormatting sqref="P19:P25">
    <cfRule type="cellIs" dxfId="1435" priority="1436" operator="greaterThan">
      <formula>0</formula>
    </cfRule>
  </conditionalFormatting>
  <conditionalFormatting sqref="R19:R25">
    <cfRule type="cellIs" dxfId="1434" priority="1433" operator="lessThan">
      <formula>0.8</formula>
    </cfRule>
    <cfRule type="cellIs" dxfId="1433" priority="1434" operator="greaterThan">
      <formula>1</formula>
    </cfRule>
  </conditionalFormatting>
  <conditionalFormatting sqref="R19:R25">
    <cfRule type="cellIs" dxfId="1432" priority="1431" operator="greaterThan">
      <formula>1</formula>
    </cfRule>
    <cfRule type="cellIs" dxfId="1431" priority="1432" operator="lessThan">
      <formula>0.8</formula>
    </cfRule>
  </conditionalFormatting>
  <conditionalFormatting sqref="P19:P25">
    <cfRule type="cellIs" dxfId="1430" priority="1430" operator="greaterThan">
      <formula>0</formula>
    </cfRule>
  </conditionalFormatting>
  <conditionalFormatting sqref="Q19:Q25">
    <cfRule type="cellIs" dxfId="1429" priority="1435" operator="lessThan">
      <formula>0</formula>
    </cfRule>
  </conditionalFormatting>
  <conditionalFormatting sqref="Q40">
    <cfRule type="cellIs" dxfId="1428" priority="1429" operator="lessThan">
      <formula>0</formula>
    </cfRule>
  </conditionalFormatting>
  <conditionalFormatting sqref="R40">
    <cfRule type="cellIs" dxfId="1427" priority="1427" operator="lessThan">
      <formula>0.8</formula>
    </cfRule>
    <cfRule type="cellIs" dxfId="1426" priority="1428" operator="greaterThan">
      <formula>1</formula>
    </cfRule>
  </conditionalFormatting>
  <conditionalFormatting sqref="R40">
    <cfRule type="cellIs" dxfId="1425" priority="1425" operator="greaterThan">
      <formula>1</formula>
    </cfRule>
    <cfRule type="cellIs" dxfId="1424" priority="1426" operator="lessThan">
      <formula>0.8</formula>
    </cfRule>
  </conditionalFormatting>
  <conditionalFormatting sqref="P40">
    <cfRule type="cellIs" dxfId="1423" priority="1424" operator="greaterThan">
      <formula>0</formula>
    </cfRule>
  </conditionalFormatting>
  <conditionalFormatting sqref="P40">
    <cfRule type="cellIs" dxfId="1422" priority="1418" operator="greaterThan">
      <formula>0</formula>
    </cfRule>
  </conditionalFormatting>
  <conditionalFormatting sqref="Q40">
    <cfRule type="cellIs" dxfId="1421" priority="1423" operator="lessThan">
      <formula>0</formula>
    </cfRule>
  </conditionalFormatting>
  <conditionalFormatting sqref="R40">
    <cfRule type="cellIs" dxfId="1420" priority="1421" operator="lessThan">
      <formula>0.8</formula>
    </cfRule>
    <cfRule type="cellIs" dxfId="1419" priority="1422" operator="greaterThan">
      <formula>1</formula>
    </cfRule>
  </conditionalFormatting>
  <conditionalFormatting sqref="R40">
    <cfRule type="cellIs" dxfId="1418" priority="1419" operator="greaterThan">
      <formula>1</formula>
    </cfRule>
    <cfRule type="cellIs" dxfId="1417" priority="1420" operator="lessThan">
      <formula>0.8</formula>
    </cfRule>
  </conditionalFormatting>
  <conditionalFormatting sqref="P40">
    <cfRule type="cellIs" dxfId="1416" priority="1412" operator="greaterThan">
      <formula>0</formula>
    </cfRule>
  </conditionalFormatting>
  <conditionalFormatting sqref="Q40">
    <cfRule type="cellIs" dxfId="1415" priority="1417" operator="lessThan">
      <formula>0</formula>
    </cfRule>
  </conditionalFormatting>
  <conditionalFormatting sqref="R40">
    <cfRule type="cellIs" dxfId="1414" priority="1415" operator="lessThan">
      <formula>0.8</formula>
    </cfRule>
    <cfRule type="cellIs" dxfId="1413" priority="1416" operator="greaterThan">
      <formula>1</formula>
    </cfRule>
  </conditionalFormatting>
  <conditionalFormatting sqref="R40">
    <cfRule type="cellIs" dxfId="1412" priority="1413" operator="greaterThan">
      <formula>1</formula>
    </cfRule>
    <cfRule type="cellIs" dxfId="1411" priority="1414" operator="lessThan">
      <formula>0.8</formula>
    </cfRule>
  </conditionalFormatting>
  <conditionalFormatting sqref="Q40">
    <cfRule type="cellIs" dxfId="1410" priority="1411" operator="lessThan">
      <formula>0</formula>
    </cfRule>
  </conditionalFormatting>
  <conditionalFormatting sqref="R40">
    <cfRule type="cellIs" dxfId="1409" priority="1409" operator="lessThan">
      <formula>0.8</formula>
    </cfRule>
    <cfRule type="cellIs" dxfId="1408" priority="1410" operator="greaterThan">
      <formula>1</formula>
    </cfRule>
  </conditionalFormatting>
  <conditionalFormatting sqref="R40">
    <cfRule type="cellIs" dxfId="1407" priority="1407" operator="greaterThan">
      <formula>1</formula>
    </cfRule>
    <cfRule type="cellIs" dxfId="1406" priority="1408" operator="lessThan">
      <formula>0.8</formula>
    </cfRule>
  </conditionalFormatting>
  <conditionalFormatting sqref="P40">
    <cfRule type="cellIs" dxfId="1405" priority="1406" operator="greaterThan">
      <formula>0</formula>
    </cfRule>
  </conditionalFormatting>
  <conditionalFormatting sqref="P40">
    <cfRule type="cellIs" dxfId="1404" priority="1400" operator="greaterThan">
      <formula>0</formula>
    </cfRule>
  </conditionalFormatting>
  <conditionalFormatting sqref="Q40">
    <cfRule type="cellIs" dxfId="1403" priority="1405" operator="lessThan">
      <formula>0</formula>
    </cfRule>
  </conditionalFormatting>
  <conditionalFormatting sqref="R40">
    <cfRule type="cellIs" dxfId="1402" priority="1403" operator="lessThan">
      <formula>0.8</formula>
    </cfRule>
    <cfRule type="cellIs" dxfId="1401" priority="1404" operator="greaterThan">
      <formula>1</formula>
    </cfRule>
  </conditionalFormatting>
  <conditionalFormatting sqref="R40">
    <cfRule type="cellIs" dxfId="1400" priority="1401" operator="greaterThan">
      <formula>1</formula>
    </cfRule>
    <cfRule type="cellIs" dxfId="1399" priority="1402" operator="lessThan">
      <formula>0.8</formula>
    </cfRule>
  </conditionalFormatting>
  <conditionalFormatting sqref="P40">
    <cfRule type="cellIs" dxfId="1398" priority="1394" operator="greaterThan">
      <formula>0</formula>
    </cfRule>
  </conditionalFormatting>
  <conditionalFormatting sqref="Q40">
    <cfRule type="cellIs" dxfId="1397" priority="1399" operator="lessThan">
      <formula>0</formula>
    </cfRule>
  </conditionalFormatting>
  <conditionalFormatting sqref="R40">
    <cfRule type="cellIs" dxfId="1396" priority="1397" operator="lessThan">
      <formula>0.8</formula>
    </cfRule>
    <cfRule type="cellIs" dxfId="1395" priority="1398" operator="greaterThan">
      <formula>1</formula>
    </cfRule>
  </conditionalFormatting>
  <conditionalFormatting sqref="R40">
    <cfRule type="cellIs" dxfId="1394" priority="1395" operator="greaterThan">
      <formula>1</formula>
    </cfRule>
    <cfRule type="cellIs" dxfId="1393" priority="1396" operator="lessThan">
      <formula>0.8</formula>
    </cfRule>
  </conditionalFormatting>
  <conditionalFormatting sqref="P40">
    <cfRule type="cellIs" dxfId="1392" priority="1388" operator="greaterThan">
      <formula>0</formula>
    </cfRule>
  </conditionalFormatting>
  <conditionalFormatting sqref="Q40">
    <cfRule type="cellIs" dxfId="1391" priority="1393" operator="lessThan">
      <formula>0</formula>
    </cfRule>
  </conditionalFormatting>
  <conditionalFormatting sqref="R40">
    <cfRule type="cellIs" dxfId="1390" priority="1391" operator="lessThan">
      <formula>0.8</formula>
    </cfRule>
    <cfRule type="cellIs" dxfId="1389" priority="1392" operator="greaterThan">
      <formula>1</formula>
    </cfRule>
  </conditionalFormatting>
  <conditionalFormatting sqref="R40">
    <cfRule type="cellIs" dxfId="1388" priority="1389" operator="greaterThan">
      <formula>1</formula>
    </cfRule>
    <cfRule type="cellIs" dxfId="1387" priority="1390" operator="lessThan">
      <formula>0.8</formula>
    </cfRule>
  </conditionalFormatting>
  <conditionalFormatting sqref="Q40">
    <cfRule type="cellIs" dxfId="1386" priority="1382" operator="lessThan">
      <formula>0</formula>
    </cfRule>
  </conditionalFormatting>
  <conditionalFormatting sqref="P40">
    <cfRule type="cellIs" dxfId="1385" priority="1383" operator="greaterThan">
      <formula>0</formula>
    </cfRule>
  </conditionalFormatting>
  <conditionalFormatting sqref="R40">
    <cfRule type="cellIs" dxfId="1384" priority="1386" operator="lessThan">
      <formula>0.8</formula>
    </cfRule>
    <cfRule type="cellIs" dxfId="1383" priority="1387" operator="greaterThan">
      <formula>1</formula>
    </cfRule>
  </conditionalFormatting>
  <conditionalFormatting sqref="R40">
    <cfRule type="cellIs" dxfId="1382" priority="1384" operator="greaterThan">
      <formula>1</formula>
    </cfRule>
    <cfRule type="cellIs" dxfId="1381" priority="1385" operator="lessThan">
      <formula>0.8</formula>
    </cfRule>
  </conditionalFormatting>
  <conditionalFormatting sqref="Q40">
    <cfRule type="cellIs" dxfId="1380" priority="1376" operator="lessThan">
      <formula>0</formula>
    </cfRule>
  </conditionalFormatting>
  <conditionalFormatting sqref="R40">
    <cfRule type="cellIs" dxfId="1379" priority="1380" operator="lessThan">
      <formula>0.8</formula>
    </cfRule>
    <cfRule type="cellIs" dxfId="1378" priority="1381" operator="greaterThan">
      <formula>1</formula>
    </cfRule>
  </conditionalFormatting>
  <conditionalFormatting sqref="R40">
    <cfRule type="cellIs" dxfId="1377" priority="1378" operator="greaterThan">
      <formula>1</formula>
    </cfRule>
    <cfRule type="cellIs" dxfId="1376" priority="1379" operator="lessThan">
      <formula>0.8</formula>
    </cfRule>
  </conditionalFormatting>
  <conditionalFormatting sqref="P40">
    <cfRule type="cellIs" dxfId="1375" priority="1377" operator="greaterThan">
      <formula>0</formula>
    </cfRule>
  </conditionalFormatting>
  <conditionalFormatting sqref="Q40">
    <cfRule type="cellIs" dxfId="1374" priority="1375" operator="lessThan">
      <formula>0</formula>
    </cfRule>
  </conditionalFormatting>
  <conditionalFormatting sqref="R40">
    <cfRule type="cellIs" dxfId="1373" priority="1373" operator="lessThan">
      <formula>0.8</formula>
    </cfRule>
    <cfRule type="cellIs" dxfId="1372" priority="1374" operator="greaterThan">
      <formula>1</formula>
    </cfRule>
  </conditionalFormatting>
  <conditionalFormatting sqref="R40">
    <cfRule type="cellIs" dxfId="1371" priority="1371" operator="greaterThan">
      <formula>1</formula>
    </cfRule>
    <cfRule type="cellIs" dxfId="1370" priority="1372" operator="lessThan">
      <formula>0.8</formula>
    </cfRule>
  </conditionalFormatting>
  <conditionalFormatting sqref="P40">
    <cfRule type="cellIs" dxfId="1369" priority="1370" operator="greaterThan">
      <formula>0</formula>
    </cfRule>
  </conditionalFormatting>
  <conditionalFormatting sqref="Q40">
    <cfRule type="cellIs" dxfId="1368" priority="1369" operator="lessThan">
      <formula>0</formula>
    </cfRule>
  </conditionalFormatting>
  <conditionalFormatting sqref="R40">
    <cfRule type="cellIs" dxfId="1367" priority="1367" operator="lessThan">
      <formula>0.8</formula>
    </cfRule>
    <cfRule type="cellIs" dxfId="1366" priority="1368" operator="greaterThan">
      <formula>1</formula>
    </cfRule>
  </conditionalFormatting>
  <conditionalFormatting sqref="R40">
    <cfRule type="cellIs" dxfId="1365" priority="1365" operator="greaterThan">
      <formula>1</formula>
    </cfRule>
    <cfRule type="cellIs" dxfId="1364" priority="1366" operator="lessThan">
      <formula>0.8</formula>
    </cfRule>
  </conditionalFormatting>
  <conditionalFormatting sqref="P40">
    <cfRule type="cellIs" dxfId="1363" priority="1364" operator="greaterThan">
      <formula>0</formula>
    </cfRule>
  </conditionalFormatting>
  <conditionalFormatting sqref="Q32:Q39">
    <cfRule type="cellIs" dxfId="1362" priority="1363" operator="lessThan">
      <formula>0</formula>
    </cfRule>
  </conditionalFormatting>
  <conditionalFormatting sqref="R32:R39">
    <cfRule type="cellIs" dxfId="1361" priority="1361" operator="lessThan">
      <formula>0.8</formula>
    </cfRule>
    <cfRule type="cellIs" dxfId="1360" priority="1362" operator="greaterThan">
      <formula>1</formula>
    </cfRule>
  </conditionalFormatting>
  <conditionalFormatting sqref="R32:R39">
    <cfRule type="cellIs" dxfId="1359" priority="1359" operator="greaterThan">
      <formula>1</formula>
    </cfRule>
    <cfRule type="cellIs" dxfId="1358" priority="1360" operator="lessThan">
      <formula>0.8</formula>
    </cfRule>
  </conditionalFormatting>
  <conditionalFormatting sqref="P39">
    <cfRule type="cellIs" dxfId="1357" priority="1358" operator="greaterThan">
      <formula>0</formula>
    </cfRule>
  </conditionalFormatting>
  <conditionalFormatting sqref="Q32:Q39">
    <cfRule type="cellIs" dxfId="1356" priority="1357" operator="lessThan">
      <formula>0</formula>
    </cfRule>
  </conditionalFormatting>
  <conditionalFormatting sqref="R32:R39">
    <cfRule type="cellIs" dxfId="1355" priority="1355" operator="lessThan">
      <formula>0.8</formula>
    </cfRule>
    <cfRule type="cellIs" dxfId="1354" priority="1356" operator="greaterThan">
      <formula>1</formula>
    </cfRule>
  </conditionalFormatting>
  <conditionalFormatting sqref="R32:R39">
    <cfRule type="cellIs" dxfId="1353" priority="1353" operator="greaterThan">
      <formula>1</formula>
    </cfRule>
    <cfRule type="cellIs" dxfId="1352" priority="1354" operator="lessThan">
      <formula>0.8</formula>
    </cfRule>
  </conditionalFormatting>
  <conditionalFormatting sqref="P39">
    <cfRule type="cellIs" dxfId="1351" priority="1352" operator="greaterThan">
      <formula>0</formula>
    </cfRule>
  </conditionalFormatting>
  <conditionalFormatting sqref="Q32:Q39">
    <cfRule type="cellIs" dxfId="1350" priority="1351" operator="lessThan">
      <formula>0</formula>
    </cfRule>
  </conditionalFormatting>
  <conditionalFormatting sqref="R32:R39">
    <cfRule type="cellIs" dxfId="1349" priority="1349" operator="lessThan">
      <formula>0.8</formula>
    </cfRule>
    <cfRule type="cellIs" dxfId="1348" priority="1350" operator="greaterThan">
      <formula>1</formula>
    </cfRule>
  </conditionalFormatting>
  <conditionalFormatting sqref="R32:R39">
    <cfRule type="cellIs" dxfId="1347" priority="1347" operator="greaterThan">
      <formula>1</formula>
    </cfRule>
    <cfRule type="cellIs" dxfId="1346" priority="1348" operator="lessThan">
      <formula>0.8</formula>
    </cfRule>
  </conditionalFormatting>
  <conditionalFormatting sqref="P39">
    <cfRule type="cellIs" dxfId="1345" priority="1346" operator="greaterThan">
      <formula>0</formula>
    </cfRule>
  </conditionalFormatting>
  <conditionalFormatting sqref="Q32:Q39">
    <cfRule type="cellIs" dxfId="1344" priority="1345" operator="lessThan">
      <formula>0</formula>
    </cfRule>
  </conditionalFormatting>
  <conditionalFormatting sqref="R32:R39">
    <cfRule type="cellIs" dxfId="1343" priority="1343" operator="lessThan">
      <formula>0.8</formula>
    </cfRule>
    <cfRule type="cellIs" dxfId="1342" priority="1344" operator="greaterThan">
      <formula>1</formula>
    </cfRule>
  </conditionalFormatting>
  <conditionalFormatting sqref="R32:R39">
    <cfRule type="cellIs" dxfId="1341" priority="1341" operator="greaterThan">
      <formula>1</formula>
    </cfRule>
    <cfRule type="cellIs" dxfId="1340" priority="1342" operator="lessThan">
      <formula>0.8</formula>
    </cfRule>
  </conditionalFormatting>
  <conditionalFormatting sqref="P39">
    <cfRule type="cellIs" dxfId="1339" priority="1340" operator="greaterThan">
      <formula>0</formula>
    </cfRule>
  </conditionalFormatting>
  <conditionalFormatting sqref="P39">
    <cfRule type="cellIs" dxfId="1338" priority="1334" operator="greaterThan">
      <formula>0</formula>
    </cfRule>
  </conditionalFormatting>
  <conditionalFormatting sqref="Q32:Q39">
    <cfRule type="cellIs" dxfId="1337" priority="1339" operator="lessThan">
      <formula>0</formula>
    </cfRule>
  </conditionalFormatting>
  <conditionalFormatting sqref="R32:R39">
    <cfRule type="cellIs" dxfId="1336" priority="1337" operator="lessThan">
      <formula>0.8</formula>
    </cfRule>
    <cfRule type="cellIs" dxfId="1335" priority="1338" operator="greaterThan">
      <formula>1</formula>
    </cfRule>
  </conditionalFormatting>
  <conditionalFormatting sqref="R32:R39">
    <cfRule type="cellIs" dxfId="1334" priority="1335" operator="greaterThan">
      <formula>1</formula>
    </cfRule>
    <cfRule type="cellIs" dxfId="1333" priority="1336" operator="lessThan">
      <formula>0.8</formula>
    </cfRule>
  </conditionalFormatting>
  <conditionalFormatting sqref="P39">
    <cfRule type="cellIs" dxfId="1332" priority="1328" operator="greaterThan">
      <formula>0</formula>
    </cfRule>
  </conditionalFormatting>
  <conditionalFormatting sqref="Q32:Q39">
    <cfRule type="cellIs" dxfId="1331" priority="1333" operator="lessThan">
      <formula>0</formula>
    </cfRule>
  </conditionalFormatting>
  <conditionalFormatting sqref="R32:R39">
    <cfRule type="cellIs" dxfId="1330" priority="1331" operator="lessThan">
      <formula>0.8</formula>
    </cfRule>
    <cfRule type="cellIs" dxfId="1329" priority="1332" operator="greaterThan">
      <formula>1</formula>
    </cfRule>
  </conditionalFormatting>
  <conditionalFormatting sqref="R32:R39">
    <cfRule type="cellIs" dxfId="1328" priority="1329" operator="greaterThan">
      <formula>1</formula>
    </cfRule>
    <cfRule type="cellIs" dxfId="1327" priority="1330" operator="lessThan">
      <formula>0.8</formula>
    </cfRule>
  </conditionalFormatting>
  <conditionalFormatting sqref="R32:R39">
    <cfRule type="cellIs" dxfId="1326" priority="1325" operator="lessThan">
      <formula>0.8</formula>
    </cfRule>
    <cfRule type="cellIs" dxfId="1325" priority="1326" operator="greaterThan">
      <formula>1</formula>
    </cfRule>
  </conditionalFormatting>
  <conditionalFormatting sqref="R32:R39">
    <cfRule type="cellIs" dxfId="1324" priority="1323" operator="greaterThan">
      <formula>1</formula>
    </cfRule>
    <cfRule type="cellIs" dxfId="1323" priority="1324" operator="lessThan">
      <formula>0.8</formula>
    </cfRule>
  </conditionalFormatting>
  <conditionalFormatting sqref="P39">
    <cfRule type="cellIs" dxfId="1322" priority="1322" operator="greaterThan">
      <formula>0</formula>
    </cfRule>
  </conditionalFormatting>
  <conditionalFormatting sqref="Q32:Q39">
    <cfRule type="cellIs" dxfId="1321" priority="1327" operator="lessThan">
      <formula>0</formula>
    </cfRule>
  </conditionalFormatting>
  <conditionalFormatting sqref="Q32:Q39">
    <cfRule type="cellIs" dxfId="1320" priority="1321" operator="lessThan">
      <formula>0</formula>
    </cfRule>
  </conditionalFormatting>
  <conditionalFormatting sqref="R32:R39">
    <cfRule type="cellIs" dxfId="1319" priority="1319" operator="lessThan">
      <formula>0.8</formula>
    </cfRule>
    <cfRule type="cellIs" dxfId="1318" priority="1320" operator="greaterThan">
      <formula>1</formula>
    </cfRule>
  </conditionalFormatting>
  <conditionalFormatting sqref="R32:R39">
    <cfRule type="cellIs" dxfId="1317" priority="1317" operator="greaterThan">
      <formula>1</formula>
    </cfRule>
    <cfRule type="cellIs" dxfId="1316" priority="1318" operator="lessThan">
      <formula>0.8</formula>
    </cfRule>
  </conditionalFormatting>
  <conditionalFormatting sqref="P39">
    <cfRule type="cellIs" dxfId="1315" priority="1316" operator="greaterThan">
      <formula>0</formula>
    </cfRule>
  </conditionalFormatting>
  <conditionalFormatting sqref="P39">
    <cfRule type="cellIs" dxfId="1314" priority="1310" operator="greaterThan">
      <formula>0</formula>
    </cfRule>
  </conditionalFormatting>
  <conditionalFormatting sqref="Q32:Q39">
    <cfRule type="cellIs" dxfId="1313" priority="1315" operator="lessThan">
      <formula>0</formula>
    </cfRule>
  </conditionalFormatting>
  <conditionalFormatting sqref="R32:R39">
    <cfRule type="cellIs" dxfId="1312" priority="1313" operator="lessThan">
      <formula>0.8</formula>
    </cfRule>
    <cfRule type="cellIs" dxfId="1311" priority="1314" operator="greaterThan">
      <formula>1</formula>
    </cfRule>
  </conditionalFormatting>
  <conditionalFormatting sqref="R32:R39">
    <cfRule type="cellIs" dxfId="1310" priority="1311" operator="greaterThan">
      <formula>1</formula>
    </cfRule>
    <cfRule type="cellIs" dxfId="1309" priority="1312" operator="lessThan">
      <formula>0.8</formula>
    </cfRule>
  </conditionalFormatting>
  <conditionalFormatting sqref="P39">
    <cfRule type="cellIs" dxfId="1308" priority="1304" operator="greaterThan">
      <formula>0</formula>
    </cfRule>
  </conditionalFormatting>
  <conditionalFormatting sqref="Q32:Q39">
    <cfRule type="cellIs" dxfId="1307" priority="1309" operator="lessThan">
      <formula>0</formula>
    </cfRule>
  </conditionalFormatting>
  <conditionalFormatting sqref="R32:R39">
    <cfRule type="cellIs" dxfId="1306" priority="1307" operator="lessThan">
      <formula>0.8</formula>
    </cfRule>
    <cfRule type="cellIs" dxfId="1305" priority="1308" operator="greaterThan">
      <formula>1</formula>
    </cfRule>
  </conditionalFormatting>
  <conditionalFormatting sqref="R32:R39">
    <cfRule type="cellIs" dxfId="1304" priority="1305" operator="greaterThan">
      <formula>1</formula>
    </cfRule>
    <cfRule type="cellIs" dxfId="1303" priority="1306" operator="lessThan">
      <formula>0.8</formula>
    </cfRule>
  </conditionalFormatting>
  <conditionalFormatting sqref="R32:R39">
    <cfRule type="cellIs" dxfId="1302" priority="1301" operator="lessThan">
      <formula>0.8</formula>
    </cfRule>
    <cfRule type="cellIs" dxfId="1301" priority="1302" operator="greaterThan">
      <formula>1</formula>
    </cfRule>
  </conditionalFormatting>
  <conditionalFormatting sqref="R32:R39">
    <cfRule type="cellIs" dxfId="1300" priority="1299" operator="greaterThan">
      <formula>1</formula>
    </cfRule>
    <cfRule type="cellIs" dxfId="1299" priority="1300" operator="lessThan">
      <formula>0.8</formula>
    </cfRule>
  </conditionalFormatting>
  <conditionalFormatting sqref="P39">
    <cfRule type="cellIs" dxfId="1298" priority="1298" operator="greaterThan">
      <formula>0</formula>
    </cfRule>
  </conditionalFormatting>
  <conditionalFormatting sqref="Q32:Q39">
    <cfRule type="cellIs" dxfId="1297" priority="1303" operator="lessThan">
      <formula>0</formula>
    </cfRule>
  </conditionalFormatting>
  <conditionalFormatting sqref="P39">
    <cfRule type="cellIs" dxfId="1296" priority="1292" operator="greaterThan">
      <formula>0</formula>
    </cfRule>
  </conditionalFormatting>
  <conditionalFormatting sqref="Q32:Q39">
    <cfRule type="cellIs" dxfId="1295" priority="1297" operator="lessThan">
      <formula>0</formula>
    </cfRule>
  </conditionalFormatting>
  <conditionalFormatting sqref="R32:R39">
    <cfRule type="cellIs" dxfId="1294" priority="1295" operator="lessThan">
      <formula>0.8</formula>
    </cfRule>
    <cfRule type="cellIs" dxfId="1293" priority="1296" operator="greaterThan">
      <formula>1</formula>
    </cfRule>
  </conditionalFormatting>
  <conditionalFormatting sqref="R32:R39">
    <cfRule type="cellIs" dxfId="1292" priority="1293" operator="greaterThan">
      <formula>1</formula>
    </cfRule>
    <cfRule type="cellIs" dxfId="1291" priority="1294" operator="lessThan">
      <formula>0.8</formula>
    </cfRule>
  </conditionalFormatting>
  <conditionalFormatting sqref="R32:R39">
    <cfRule type="cellIs" dxfId="1290" priority="1289" operator="lessThan">
      <formula>0.8</formula>
    </cfRule>
    <cfRule type="cellIs" dxfId="1289" priority="1290" operator="greaterThan">
      <formula>1</formula>
    </cfRule>
  </conditionalFormatting>
  <conditionalFormatting sqref="R32:R39">
    <cfRule type="cellIs" dxfId="1288" priority="1287" operator="greaterThan">
      <formula>1</formula>
    </cfRule>
    <cfRule type="cellIs" dxfId="1287" priority="1288" operator="lessThan">
      <formula>0.8</formula>
    </cfRule>
  </conditionalFormatting>
  <conditionalFormatting sqref="P39">
    <cfRule type="cellIs" dxfId="1286" priority="1286" operator="greaterThan">
      <formula>0</formula>
    </cfRule>
  </conditionalFormatting>
  <conditionalFormatting sqref="Q32:Q39">
    <cfRule type="cellIs" dxfId="1285" priority="1291" operator="lessThan">
      <formula>0</formula>
    </cfRule>
  </conditionalFormatting>
  <conditionalFormatting sqref="R32:R39">
    <cfRule type="cellIs" dxfId="1284" priority="1283" operator="lessThan">
      <formula>0.8</formula>
    </cfRule>
    <cfRule type="cellIs" dxfId="1283" priority="1284" operator="greaterThan">
      <formula>1</formula>
    </cfRule>
  </conditionalFormatting>
  <conditionalFormatting sqref="R32:R39">
    <cfRule type="cellIs" dxfId="1282" priority="1281" operator="greaterThan">
      <formula>1</formula>
    </cfRule>
    <cfRule type="cellIs" dxfId="1281" priority="1282" operator="lessThan">
      <formula>0.8</formula>
    </cfRule>
  </conditionalFormatting>
  <conditionalFormatting sqref="P39">
    <cfRule type="cellIs" dxfId="1280" priority="1280" operator="greaterThan">
      <formula>0</formula>
    </cfRule>
  </conditionalFormatting>
  <conditionalFormatting sqref="Q32:Q39">
    <cfRule type="cellIs" dxfId="1279" priority="1285" operator="lessThan">
      <formula>0</formula>
    </cfRule>
  </conditionalFormatting>
  <conditionalFormatting sqref="Q32:Q39">
    <cfRule type="cellIs" dxfId="1278" priority="1279" operator="lessThan">
      <formula>0</formula>
    </cfRule>
  </conditionalFormatting>
  <conditionalFormatting sqref="R32:R39">
    <cfRule type="cellIs" dxfId="1277" priority="1277" operator="lessThan">
      <formula>0.8</formula>
    </cfRule>
    <cfRule type="cellIs" dxfId="1276" priority="1278" operator="greaterThan">
      <formula>1</formula>
    </cfRule>
  </conditionalFormatting>
  <conditionalFormatting sqref="R32:R39">
    <cfRule type="cellIs" dxfId="1275" priority="1275" operator="greaterThan">
      <formula>1</formula>
    </cfRule>
    <cfRule type="cellIs" dxfId="1274" priority="1276" operator="lessThan">
      <formula>0.8</formula>
    </cfRule>
  </conditionalFormatting>
  <conditionalFormatting sqref="P39">
    <cfRule type="cellIs" dxfId="1273" priority="1274" operator="greaterThan">
      <formula>0</formula>
    </cfRule>
  </conditionalFormatting>
  <conditionalFormatting sqref="Q32:Q39">
    <cfRule type="cellIs" dxfId="1272" priority="1268" operator="lessThan">
      <formula>0</formula>
    </cfRule>
  </conditionalFormatting>
  <conditionalFormatting sqref="R32:R39">
    <cfRule type="cellIs" dxfId="1271" priority="1272" operator="lessThan">
      <formula>0.8</formula>
    </cfRule>
    <cfRule type="cellIs" dxfId="1270" priority="1273" operator="greaterThan">
      <formula>1</formula>
    </cfRule>
  </conditionalFormatting>
  <conditionalFormatting sqref="R32:R39">
    <cfRule type="cellIs" dxfId="1269" priority="1270" operator="greaterThan">
      <formula>1</formula>
    </cfRule>
    <cfRule type="cellIs" dxfId="1268" priority="1271" operator="lessThan">
      <formula>0.8</formula>
    </cfRule>
  </conditionalFormatting>
  <conditionalFormatting sqref="P39">
    <cfRule type="cellIs" dxfId="1267" priority="1269" operator="greaterThan">
      <formula>0</formula>
    </cfRule>
  </conditionalFormatting>
  <conditionalFormatting sqref="Q32:Q39">
    <cfRule type="cellIs" dxfId="1266" priority="1267" operator="lessThan">
      <formula>0</formula>
    </cfRule>
  </conditionalFormatting>
  <conditionalFormatting sqref="R32:R39">
    <cfRule type="cellIs" dxfId="1265" priority="1265" operator="lessThan">
      <formula>0.8</formula>
    </cfRule>
    <cfRule type="cellIs" dxfId="1264" priority="1266" operator="greaterThan">
      <formula>1</formula>
    </cfRule>
  </conditionalFormatting>
  <conditionalFormatting sqref="R32:R39">
    <cfRule type="cellIs" dxfId="1263" priority="1263" operator="greaterThan">
      <formula>1</formula>
    </cfRule>
    <cfRule type="cellIs" dxfId="1262" priority="1264" operator="lessThan">
      <formula>0.8</formula>
    </cfRule>
  </conditionalFormatting>
  <conditionalFormatting sqref="P39">
    <cfRule type="cellIs" dxfId="1261" priority="1262" operator="greaterThan">
      <formula>0</formula>
    </cfRule>
  </conditionalFormatting>
  <conditionalFormatting sqref="Q32:Q39">
    <cfRule type="cellIs" dxfId="1260" priority="1261" operator="lessThan">
      <formula>0</formula>
    </cfRule>
  </conditionalFormatting>
  <conditionalFormatting sqref="R32:R39">
    <cfRule type="cellIs" dxfId="1259" priority="1259" operator="lessThan">
      <formula>0.8</formula>
    </cfRule>
    <cfRule type="cellIs" dxfId="1258" priority="1260" operator="greaterThan">
      <formula>1</formula>
    </cfRule>
  </conditionalFormatting>
  <conditionalFormatting sqref="R32:R39">
    <cfRule type="cellIs" dxfId="1257" priority="1257" operator="greaterThan">
      <formula>1</formula>
    </cfRule>
    <cfRule type="cellIs" dxfId="1256" priority="1258" operator="lessThan">
      <formula>0.8</formula>
    </cfRule>
  </conditionalFormatting>
  <conditionalFormatting sqref="P39">
    <cfRule type="cellIs" dxfId="1255" priority="1256" operator="greaterThan">
      <formula>0</formula>
    </cfRule>
  </conditionalFormatting>
  <conditionalFormatting sqref="Q32:Q39">
    <cfRule type="cellIs" dxfId="1254" priority="1255" operator="lessThan">
      <formula>0</formula>
    </cfRule>
  </conditionalFormatting>
  <conditionalFormatting sqref="R32:R39">
    <cfRule type="cellIs" dxfId="1253" priority="1253" operator="lessThan">
      <formula>0.8</formula>
    </cfRule>
    <cfRule type="cellIs" dxfId="1252" priority="1254" operator="greaterThan">
      <formula>1</formula>
    </cfRule>
  </conditionalFormatting>
  <conditionalFormatting sqref="R32:R39">
    <cfRule type="cellIs" dxfId="1251" priority="1251" operator="greaterThan">
      <formula>1</formula>
    </cfRule>
    <cfRule type="cellIs" dxfId="1250" priority="1252" operator="lessThan">
      <formula>0.8</formula>
    </cfRule>
  </conditionalFormatting>
  <conditionalFormatting sqref="P39">
    <cfRule type="cellIs" dxfId="1249" priority="1250" operator="greaterThan">
      <formula>0</formula>
    </cfRule>
  </conditionalFormatting>
  <conditionalFormatting sqref="Q32:Q39">
    <cfRule type="cellIs" dxfId="1248" priority="1249" operator="lessThan">
      <formula>0</formula>
    </cfRule>
  </conditionalFormatting>
  <conditionalFormatting sqref="R32:R39">
    <cfRule type="cellIs" dxfId="1247" priority="1247" operator="lessThan">
      <formula>0.8</formula>
    </cfRule>
    <cfRule type="cellIs" dxfId="1246" priority="1248" operator="greaterThan">
      <formula>1</formula>
    </cfRule>
  </conditionalFormatting>
  <conditionalFormatting sqref="R32:R39">
    <cfRule type="cellIs" dxfId="1245" priority="1245" operator="greaterThan">
      <formula>1</formula>
    </cfRule>
    <cfRule type="cellIs" dxfId="1244" priority="1246" operator="lessThan">
      <formula>0.8</formula>
    </cfRule>
  </conditionalFormatting>
  <conditionalFormatting sqref="P39">
    <cfRule type="cellIs" dxfId="1243" priority="1244" operator="greaterThan">
      <formula>0</formula>
    </cfRule>
  </conditionalFormatting>
  <conditionalFormatting sqref="Q32:Q39">
    <cfRule type="cellIs" dxfId="1242" priority="1243" operator="lessThan">
      <formula>0</formula>
    </cfRule>
  </conditionalFormatting>
  <conditionalFormatting sqref="R32:R39">
    <cfRule type="cellIs" dxfId="1241" priority="1241" operator="lessThan">
      <formula>0.8</formula>
    </cfRule>
    <cfRule type="cellIs" dxfId="1240" priority="1242" operator="greaterThan">
      <formula>1</formula>
    </cfRule>
  </conditionalFormatting>
  <conditionalFormatting sqref="R32:R39">
    <cfRule type="cellIs" dxfId="1239" priority="1239" operator="greaterThan">
      <formula>1</formula>
    </cfRule>
    <cfRule type="cellIs" dxfId="1238" priority="1240" operator="lessThan">
      <formula>0.8</formula>
    </cfRule>
  </conditionalFormatting>
  <conditionalFormatting sqref="P39">
    <cfRule type="cellIs" dxfId="1237" priority="1238" operator="greaterThan">
      <formula>0</formula>
    </cfRule>
  </conditionalFormatting>
  <conditionalFormatting sqref="P39">
    <cfRule type="cellIs" dxfId="1236" priority="1232" operator="greaterThan">
      <formula>0</formula>
    </cfRule>
  </conditionalFormatting>
  <conditionalFormatting sqref="Q32:Q39">
    <cfRule type="cellIs" dxfId="1235" priority="1237" operator="lessThan">
      <formula>0</formula>
    </cfRule>
  </conditionalFormatting>
  <conditionalFormatting sqref="R32:R39">
    <cfRule type="cellIs" dxfId="1234" priority="1235" operator="lessThan">
      <formula>0.8</formula>
    </cfRule>
    <cfRule type="cellIs" dxfId="1233" priority="1236" operator="greaterThan">
      <formula>1</formula>
    </cfRule>
  </conditionalFormatting>
  <conditionalFormatting sqref="R32:R39">
    <cfRule type="cellIs" dxfId="1232" priority="1233" operator="greaterThan">
      <formula>1</formula>
    </cfRule>
    <cfRule type="cellIs" dxfId="1231" priority="1234" operator="lessThan">
      <formula>0.8</formula>
    </cfRule>
  </conditionalFormatting>
  <conditionalFormatting sqref="P39">
    <cfRule type="cellIs" dxfId="1230" priority="1226" operator="greaterThan">
      <formula>0</formula>
    </cfRule>
  </conditionalFormatting>
  <conditionalFormatting sqref="Q32:Q39">
    <cfRule type="cellIs" dxfId="1229" priority="1231" operator="lessThan">
      <formula>0</formula>
    </cfRule>
  </conditionalFormatting>
  <conditionalFormatting sqref="R32:R39">
    <cfRule type="cellIs" dxfId="1228" priority="1229" operator="lessThan">
      <formula>0.8</formula>
    </cfRule>
    <cfRule type="cellIs" dxfId="1227" priority="1230" operator="greaterThan">
      <formula>1</formula>
    </cfRule>
  </conditionalFormatting>
  <conditionalFormatting sqref="R32:R39">
    <cfRule type="cellIs" dxfId="1226" priority="1227" operator="greaterThan">
      <formula>1</formula>
    </cfRule>
    <cfRule type="cellIs" dxfId="1225" priority="1228" operator="lessThan">
      <formula>0.8</formula>
    </cfRule>
  </conditionalFormatting>
  <conditionalFormatting sqref="R32:R39">
    <cfRule type="cellIs" dxfId="1224" priority="1223" operator="lessThan">
      <formula>0.8</formula>
    </cfRule>
    <cfRule type="cellIs" dxfId="1223" priority="1224" operator="greaterThan">
      <formula>1</formula>
    </cfRule>
  </conditionalFormatting>
  <conditionalFormatting sqref="R32:R39">
    <cfRule type="cellIs" dxfId="1222" priority="1221" operator="greaterThan">
      <formula>1</formula>
    </cfRule>
    <cfRule type="cellIs" dxfId="1221" priority="1222" operator="lessThan">
      <formula>0.8</formula>
    </cfRule>
  </conditionalFormatting>
  <conditionalFormatting sqref="P39">
    <cfRule type="cellIs" dxfId="1220" priority="1220" operator="greaterThan">
      <formula>0</formula>
    </cfRule>
  </conditionalFormatting>
  <conditionalFormatting sqref="Q32:Q39">
    <cfRule type="cellIs" dxfId="1219" priority="1225" operator="lessThan">
      <formula>0</formula>
    </cfRule>
  </conditionalFormatting>
  <conditionalFormatting sqref="Q32:Q39">
    <cfRule type="cellIs" dxfId="1218" priority="1214" operator="lessThan">
      <formula>0</formula>
    </cfRule>
  </conditionalFormatting>
  <conditionalFormatting sqref="P39">
    <cfRule type="cellIs" dxfId="1217" priority="1215" operator="greaterThan">
      <formula>0</formula>
    </cfRule>
  </conditionalFormatting>
  <conditionalFormatting sqref="R32:R39">
    <cfRule type="cellIs" dxfId="1216" priority="1218" operator="lessThan">
      <formula>0.8</formula>
    </cfRule>
    <cfRule type="cellIs" dxfId="1215" priority="1219" operator="greaterThan">
      <formula>1</formula>
    </cfRule>
  </conditionalFormatting>
  <conditionalFormatting sqref="R32:R39">
    <cfRule type="cellIs" dxfId="1214" priority="1216" operator="greaterThan">
      <formula>1</formula>
    </cfRule>
    <cfRule type="cellIs" dxfId="1213" priority="1217" operator="lessThan">
      <formula>0.8</formula>
    </cfRule>
  </conditionalFormatting>
  <conditionalFormatting sqref="Q32:Q39">
    <cfRule type="cellIs" dxfId="1212" priority="1208" operator="lessThan">
      <formula>0</formula>
    </cfRule>
  </conditionalFormatting>
  <conditionalFormatting sqref="R32:R39">
    <cfRule type="cellIs" dxfId="1211" priority="1212" operator="lessThan">
      <formula>0.8</formula>
    </cfRule>
    <cfRule type="cellIs" dxfId="1210" priority="1213" operator="greaterThan">
      <formula>1</formula>
    </cfRule>
  </conditionalFormatting>
  <conditionalFormatting sqref="R32:R39">
    <cfRule type="cellIs" dxfId="1209" priority="1210" operator="greaterThan">
      <formula>1</formula>
    </cfRule>
    <cfRule type="cellIs" dxfId="1208" priority="1211" operator="lessThan">
      <formula>0.8</formula>
    </cfRule>
  </conditionalFormatting>
  <conditionalFormatting sqref="P39">
    <cfRule type="cellIs" dxfId="1207" priority="1209" operator="greaterThan">
      <formula>0</formula>
    </cfRule>
  </conditionalFormatting>
  <conditionalFormatting sqref="Q32:Q39">
    <cfRule type="cellIs" dxfId="1206" priority="1207" operator="lessThan">
      <formula>0</formula>
    </cfRule>
  </conditionalFormatting>
  <conditionalFormatting sqref="R32:R39">
    <cfRule type="cellIs" dxfId="1205" priority="1205" operator="lessThan">
      <formula>0.8</formula>
    </cfRule>
    <cfRule type="cellIs" dxfId="1204" priority="1206" operator="greaterThan">
      <formula>1</formula>
    </cfRule>
  </conditionalFormatting>
  <conditionalFormatting sqref="R32:R39">
    <cfRule type="cellIs" dxfId="1203" priority="1203" operator="greaterThan">
      <formula>1</formula>
    </cfRule>
    <cfRule type="cellIs" dxfId="1202" priority="1204" operator="lessThan">
      <formula>0.8</formula>
    </cfRule>
  </conditionalFormatting>
  <conditionalFormatting sqref="P39">
    <cfRule type="cellIs" dxfId="1201" priority="1202" operator="greaterThan">
      <formula>0</formula>
    </cfRule>
  </conditionalFormatting>
  <conditionalFormatting sqref="Q32:Q39">
    <cfRule type="cellIs" dxfId="1200" priority="1201" operator="lessThan">
      <formula>0</formula>
    </cfRule>
  </conditionalFormatting>
  <conditionalFormatting sqref="R32:R39">
    <cfRule type="cellIs" dxfId="1199" priority="1199" operator="lessThan">
      <formula>0.8</formula>
    </cfRule>
    <cfRule type="cellIs" dxfId="1198" priority="1200" operator="greaterThan">
      <formula>1</formula>
    </cfRule>
  </conditionalFormatting>
  <conditionalFormatting sqref="R32:R39">
    <cfRule type="cellIs" dxfId="1197" priority="1197" operator="greaterThan">
      <formula>1</formula>
    </cfRule>
    <cfRule type="cellIs" dxfId="1196" priority="1198" operator="lessThan">
      <formula>0.8</formula>
    </cfRule>
  </conditionalFormatting>
  <conditionalFormatting sqref="P39">
    <cfRule type="cellIs" dxfId="1195" priority="1196" operator="greaterThan">
      <formula>0</formula>
    </cfRule>
  </conditionalFormatting>
  <conditionalFormatting sqref="Q32:Q39">
    <cfRule type="cellIs" dxfId="1194" priority="1195" operator="lessThan">
      <formula>0</formula>
    </cfRule>
  </conditionalFormatting>
  <conditionalFormatting sqref="R32:R39">
    <cfRule type="cellIs" dxfId="1193" priority="1193" operator="lessThan">
      <formula>0.8</formula>
    </cfRule>
    <cfRule type="cellIs" dxfId="1192" priority="1194" operator="greaterThan">
      <formula>1</formula>
    </cfRule>
  </conditionalFormatting>
  <conditionalFormatting sqref="R32:R39">
    <cfRule type="cellIs" dxfId="1191" priority="1191" operator="greaterThan">
      <formula>1</formula>
    </cfRule>
    <cfRule type="cellIs" dxfId="1190" priority="1192" operator="lessThan">
      <formula>0.8</formula>
    </cfRule>
  </conditionalFormatting>
  <conditionalFormatting sqref="P39">
    <cfRule type="cellIs" dxfId="1189" priority="1190" operator="greaterThan">
      <formula>0</formula>
    </cfRule>
  </conditionalFormatting>
  <conditionalFormatting sqref="Q32:Q39">
    <cfRule type="cellIs" dxfId="1188" priority="1189" operator="lessThan">
      <formula>0</formula>
    </cfRule>
  </conditionalFormatting>
  <conditionalFormatting sqref="R32:R39">
    <cfRule type="cellIs" dxfId="1187" priority="1187" operator="lessThan">
      <formula>0.8</formula>
    </cfRule>
    <cfRule type="cellIs" dxfId="1186" priority="1188" operator="greaterThan">
      <formula>1</formula>
    </cfRule>
  </conditionalFormatting>
  <conditionalFormatting sqref="R32:R39">
    <cfRule type="cellIs" dxfId="1185" priority="1185" operator="greaterThan">
      <formula>1</formula>
    </cfRule>
    <cfRule type="cellIs" dxfId="1184" priority="1186" operator="lessThan">
      <formula>0.8</formula>
    </cfRule>
  </conditionalFormatting>
  <conditionalFormatting sqref="P39">
    <cfRule type="cellIs" dxfId="1183" priority="1184" operator="greaterThan">
      <formula>0</formula>
    </cfRule>
  </conditionalFormatting>
  <conditionalFormatting sqref="Q96:Q105">
    <cfRule type="cellIs" dxfId="1182" priority="1178" operator="lessThan">
      <formula>0</formula>
    </cfRule>
  </conditionalFormatting>
  <conditionalFormatting sqref="P96:P105">
    <cfRule type="cellIs" dxfId="1181" priority="1179" operator="greaterThan">
      <formula>0</formula>
    </cfRule>
  </conditionalFormatting>
  <conditionalFormatting sqref="R96:R105">
    <cfRule type="cellIs" dxfId="1180" priority="1182" operator="lessThan">
      <formula>0.8</formula>
    </cfRule>
    <cfRule type="cellIs" dxfId="1179" priority="1183" operator="greaterThan">
      <formula>1</formula>
    </cfRule>
  </conditionalFormatting>
  <conditionalFormatting sqref="R96:R105">
    <cfRule type="cellIs" dxfId="1178" priority="1180" operator="greaterThan">
      <formula>1</formula>
    </cfRule>
    <cfRule type="cellIs" dxfId="1177" priority="1181" operator="lessThan">
      <formula>0.8</formula>
    </cfRule>
  </conditionalFormatting>
  <conditionalFormatting sqref="Q96:Q105">
    <cfRule type="cellIs" dxfId="1176" priority="1172" operator="lessThan">
      <formula>0</formula>
    </cfRule>
  </conditionalFormatting>
  <conditionalFormatting sqref="R96:R105">
    <cfRule type="cellIs" dxfId="1175" priority="1176" operator="lessThan">
      <formula>0.8</formula>
    </cfRule>
    <cfRule type="cellIs" dxfId="1174" priority="1177" operator="greaterThan">
      <formula>1</formula>
    </cfRule>
  </conditionalFormatting>
  <conditionalFormatting sqref="R96:R105">
    <cfRule type="cellIs" dxfId="1173" priority="1174" operator="greaterThan">
      <formula>1</formula>
    </cfRule>
    <cfRule type="cellIs" dxfId="1172" priority="1175" operator="lessThan">
      <formula>0.8</formula>
    </cfRule>
  </conditionalFormatting>
  <conditionalFormatting sqref="P96:P105">
    <cfRule type="cellIs" dxfId="1171" priority="1173" operator="greaterThan">
      <formula>0</formula>
    </cfRule>
  </conditionalFormatting>
  <conditionalFormatting sqref="Q96:Q105">
    <cfRule type="cellIs" dxfId="1170" priority="1171" operator="lessThan">
      <formula>0</formula>
    </cfRule>
  </conditionalFormatting>
  <conditionalFormatting sqref="R96:R105">
    <cfRule type="cellIs" dxfId="1169" priority="1169" operator="lessThan">
      <formula>0.8</formula>
    </cfRule>
    <cfRule type="cellIs" dxfId="1168" priority="1170" operator="greaterThan">
      <formula>1</formula>
    </cfRule>
  </conditionalFormatting>
  <conditionalFormatting sqref="R96:R105">
    <cfRule type="cellIs" dxfId="1167" priority="1167" operator="greaterThan">
      <formula>1</formula>
    </cfRule>
    <cfRule type="cellIs" dxfId="1166" priority="1168" operator="lessThan">
      <formula>0.8</formula>
    </cfRule>
  </conditionalFormatting>
  <conditionalFormatting sqref="P96:P105">
    <cfRule type="cellIs" dxfId="1165" priority="1166" operator="greaterThan">
      <formula>0</formula>
    </cfRule>
  </conditionalFormatting>
  <conditionalFormatting sqref="Q96:Q105">
    <cfRule type="cellIs" dxfId="1164" priority="1165" operator="lessThan">
      <formula>0</formula>
    </cfRule>
  </conditionalFormatting>
  <conditionalFormatting sqref="R96:R105">
    <cfRule type="cellIs" dxfId="1163" priority="1163" operator="lessThan">
      <formula>0.8</formula>
    </cfRule>
    <cfRule type="cellIs" dxfId="1162" priority="1164" operator="greaterThan">
      <formula>1</formula>
    </cfRule>
  </conditionalFormatting>
  <conditionalFormatting sqref="R96:R105">
    <cfRule type="cellIs" dxfId="1161" priority="1161" operator="greaterThan">
      <formula>1</formula>
    </cfRule>
    <cfRule type="cellIs" dxfId="1160" priority="1162" operator="lessThan">
      <formula>0.8</formula>
    </cfRule>
  </conditionalFormatting>
  <conditionalFormatting sqref="P96:P105">
    <cfRule type="cellIs" dxfId="1159" priority="1160" operator="greaterThan">
      <formula>0</formula>
    </cfRule>
  </conditionalFormatting>
  <conditionalFormatting sqref="Q96:Q105">
    <cfRule type="cellIs" dxfId="1158" priority="1154" operator="lessThan">
      <formula>0</formula>
    </cfRule>
  </conditionalFormatting>
  <conditionalFormatting sqref="R96:R105">
    <cfRule type="cellIs" dxfId="1157" priority="1158" operator="lessThan">
      <formula>0.8</formula>
    </cfRule>
    <cfRule type="cellIs" dxfId="1156" priority="1159" operator="greaterThan">
      <formula>1</formula>
    </cfRule>
  </conditionalFormatting>
  <conditionalFormatting sqref="R96:R105">
    <cfRule type="cellIs" dxfId="1155" priority="1156" operator="greaterThan">
      <formula>1</formula>
    </cfRule>
    <cfRule type="cellIs" dxfId="1154" priority="1157" operator="lessThan">
      <formula>0.8</formula>
    </cfRule>
  </conditionalFormatting>
  <conditionalFormatting sqref="P96:P105">
    <cfRule type="cellIs" dxfId="1153" priority="1155" operator="greaterThan">
      <formula>0</formula>
    </cfRule>
  </conditionalFormatting>
  <conditionalFormatting sqref="Q96:Q105">
    <cfRule type="cellIs" dxfId="1152" priority="1153" operator="lessThan">
      <formula>0</formula>
    </cfRule>
  </conditionalFormatting>
  <conditionalFormatting sqref="R96:R105">
    <cfRule type="cellIs" dxfId="1151" priority="1151" operator="lessThan">
      <formula>0.8</formula>
    </cfRule>
    <cfRule type="cellIs" dxfId="1150" priority="1152" operator="greaterThan">
      <formula>1</formula>
    </cfRule>
  </conditionalFormatting>
  <conditionalFormatting sqref="R96:R105">
    <cfRule type="cellIs" dxfId="1149" priority="1149" operator="greaterThan">
      <formula>1</formula>
    </cfRule>
    <cfRule type="cellIs" dxfId="1148" priority="1150" operator="lessThan">
      <formula>0.8</formula>
    </cfRule>
  </conditionalFormatting>
  <conditionalFormatting sqref="P96:P105">
    <cfRule type="cellIs" dxfId="1147" priority="1148" operator="greaterThan">
      <formula>0</formula>
    </cfRule>
  </conditionalFormatting>
  <conditionalFormatting sqref="Q96:Q105">
    <cfRule type="cellIs" dxfId="1146" priority="1147" operator="lessThan">
      <formula>0</formula>
    </cfRule>
  </conditionalFormatting>
  <conditionalFormatting sqref="R96:R105">
    <cfRule type="cellIs" dxfId="1145" priority="1145" operator="lessThan">
      <formula>0.8</formula>
    </cfRule>
    <cfRule type="cellIs" dxfId="1144" priority="1146" operator="greaterThan">
      <formula>1</formula>
    </cfRule>
  </conditionalFormatting>
  <conditionalFormatting sqref="R96:R105">
    <cfRule type="cellIs" dxfId="1143" priority="1143" operator="greaterThan">
      <formula>1</formula>
    </cfRule>
    <cfRule type="cellIs" dxfId="1142" priority="1144" operator="lessThan">
      <formula>0.8</formula>
    </cfRule>
  </conditionalFormatting>
  <conditionalFormatting sqref="P96:P105">
    <cfRule type="cellIs" dxfId="1141" priority="1142" operator="greaterThan">
      <formula>0</formula>
    </cfRule>
  </conditionalFormatting>
  <conditionalFormatting sqref="Q96:Q105">
    <cfRule type="cellIs" dxfId="1140" priority="1141" operator="lessThan">
      <formula>0</formula>
    </cfRule>
  </conditionalFormatting>
  <conditionalFormatting sqref="R96:R105">
    <cfRule type="cellIs" dxfId="1139" priority="1139" operator="lessThan">
      <formula>0.8</formula>
    </cfRule>
    <cfRule type="cellIs" dxfId="1138" priority="1140" operator="greaterThan">
      <formula>1</formula>
    </cfRule>
  </conditionalFormatting>
  <conditionalFormatting sqref="R96:R105">
    <cfRule type="cellIs" dxfId="1137" priority="1137" operator="greaterThan">
      <formula>1</formula>
    </cfRule>
    <cfRule type="cellIs" dxfId="1136" priority="1138" operator="lessThan">
      <formula>0.8</formula>
    </cfRule>
  </conditionalFormatting>
  <conditionalFormatting sqref="P96:P105">
    <cfRule type="cellIs" dxfId="1135" priority="1136" operator="greaterThan">
      <formula>0</formula>
    </cfRule>
  </conditionalFormatting>
  <conditionalFormatting sqref="Q96:Q105">
    <cfRule type="cellIs" dxfId="1134" priority="1135" operator="lessThan">
      <formula>0</formula>
    </cfRule>
  </conditionalFormatting>
  <conditionalFormatting sqref="R96:R105">
    <cfRule type="cellIs" dxfId="1133" priority="1133" operator="lessThan">
      <formula>0.8</formula>
    </cfRule>
    <cfRule type="cellIs" dxfId="1132" priority="1134" operator="greaterThan">
      <formula>1</formula>
    </cfRule>
  </conditionalFormatting>
  <conditionalFormatting sqref="R96:R105">
    <cfRule type="cellIs" dxfId="1131" priority="1131" operator="greaterThan">
      <formula>1</formula>
    </cfRule>
    <cfRule type="cellIs" dxfId="1130" priority="1132" operator="lessThan">
      <formula>0.8</formula>
    </cfRule>
  </conditionalFormatting>
  <conditionalFormatting sqref="P96:P105">
    <cfRule type="cellIs" dxfId="1129" priority="1130" operator="greaterThan">
      <formula>0</formula>
    </cfRule>
  </conditionalFormatting>
  <conditionalFormatting sqref="Q96:Q105">
    <cfRule type="cellIs" dxfId="1128" priority="1129" operator="lessThan">
      <formula>0</formula>
    </cfRule>
  </conditionalFormatting>
  <conditionalFormatting sqref="R96:R105">
    <cfRule type="cellIs" dxfId="1127" priority="1127" operator="lessThan">
      <formula>0.8</formula>
    </cfRule>
    <cfRule type="cellIs" dxfId="1126" priority="1128" operator="greaterThan">
      <formula>1</formula>
    </cfRule>
  </conditionalFormatting>
  <conditionalFormatting sqref="R96:R105">
    <cfRule type="cellIs" dxfId="1125" priority="1125" operator="greaterThan">
      <formula>1</formula>
    </cfRule>
    <cfRule type="cellIs" dxfId="1124" priority="1126" operator="lessThan">
      <formula>0.8</formula>
    </cfRule>
  </conditionalFormatting>
  <conditionalFormatting sqref="P96:P105">
    <cfRule type="cellIs" dxfId="1123" priority="1124" operator="greaterThan">
      <formula>0</formula>
    </cfRule>
  </conditionalFormatting>
  <conditionalFormatting sqref="P96:P105">
    <cfRule type="cellIs" dxfId="1122" priority="1118" operator="greaterThan">
      <formula>0</formula>
    </cfRule>
  </conditionalFormatting>
  <conditionalFormatting sqref="Q96:Q105">
    <cfRule type="cellIs" dxfId="1121" priority="1123" operator="lessThan">
      <formula>0</formula>
    </cfRule>
  </conditionalFormatting>
  <conditionalFormatting sqref="R96:R105">
    <cfRule type="cellIs" dxfId="1120" priority="1121" operator="lessThan">
      <formula>0.8</formula>
    </cfRule>
    <cfRule type="cellIs" dxfId="1119" priority="1122" operator="greaterThan">
      <formula>1</formula>
    </cfRule>
  </conditionalFormatting>
  <conditionalFormatting sqref="R96:R105">
    <cfRule type="cellIs" dxfId="1118" priority="1119" operator="greaterThan">
      <formula>1</formula>
    </cfRule>
    <cfRule type="cellIs" dxfId="1117" priority="1120" operator="lessThan">
      <formula>0.8</formula>
    </cfRule>
  </conditionalFormatting>
  <conditionalFormatting sqref="P96:P105">
    <cfRule type="cellIs" dxfId="1116" priority="1112" operator="greaterThan">
      <formula>0</formula>
    </cfRule>
  </conditionalFormatting>
  <conditionalFormatting sqref="Q96:Q105">
    <cfRule type="cellIs" dxfId="1115" priority="1117" operator="lessThan">
      <formula>0</formula>
    </cfRule>
  </conditionalFormatting>
  <conditionalFormatting sqref="R96:R105">
    <cfRule type="cellIs" dxfId="1114" priority="1115" operator="lessThan">
      <formula>0.8</formula>
    </cfRule>
    <cfRule type="cellIs" dxfId="1113" priority="1116" operator="greaterThan">
      <formula>1</formula>
    </cfRule>
  </conditionalFormatting>
  <conditionalFormatting sqref="R96:R105">
    <cfRule type="cellIs" dxfId="1112" priority="1113" operator="greaterThan">
      <formula>1</formula>
    </cfRule>
    <cfRule type="cellIs" dxfId="1111" priority="1114" operator="lessThan">
      <formula>0.8</formula>
    </cfRule>
  </conditionalFormatting>
  <conditionalFormatting sqref="R96:R105">
    <cfRule type="cellIs" dxfId="1110" priority="1109" operator="lessThan">
      <formula>0.8</formula>
    </cfRule>
    <cfRule type="cellIs" dxfId="1109" priority="1110" operator="greaterThan">
      <formula>1</formula>
    </cfRule>
  </conditionalFormatting>
  <conditionalFormatting sqref="R96:R105">
    <cfRule type="cellIs" dxfId="1108" priority="1107" operator="greaterThan">
      <formula>1</formula>
    </cfRule>
    <cfRule type="cellIs" dxfId="1107" priority="1108" operator="lessThan">
      <formula>0.8</formula>
    </cfRule>
  </conditionalFormatting>
  <conditionalFormatting sqref="P96:P105">
    <cfRule type="cellIs" dxfId="1106" priority="1106" operator="greaterThan">
      <formula>0</formula>
    </cfRule>
  </conditionalFormatting>
  <conditionalFormatting sqref="Q96:Q105">
    <cfRule type="cellIs" dxfId="1105" priority="1111" operator="lessThan">
      <formula>0</formula>
    </cfRule>
  </conditionalFormatting>
  <conditionalFormatting sqref="Q96:Q105">
    <cfRule type="cellIs" dxfId="1104" priority="1100" operator="lessThan">
      <formula>0</formula>
    </cfRule>
  </conditionalFormatting>
  <conditionalFormatting sqref="P96:P105">
    <cfRule type="cellIs" dxfId="1103" priority="1101" operator="greaterThan">
      <formula>0</formula>
    </cfRule>
  </conditionalFormatting>
  <conditionalFormatting sqref="R96:R105">
    <cfRule type="cellIs" dxfId="1102" priority="1104" operator="lessThan">
      <formula>0.8</formula>
    </cfRule>
    <cfRule type="cellIs" dxfId="1101" priority="1105" operator="greaterThan">
      <formula>1</formula>
    </cfRule>
  </conditionalFormatting>
  <conditionalFormatting sqref="R96:R105">
    <cfRule type="cellIs" dxfId="1100" priority="1102" operator="greaterThan">
      <formula>1</formula>
    </cfRule>
    <cfRule type="cellIs" dxfId="1099" priority="1103" operator="lessThan">
      <formula>0.8</formula>
    </cfRule>
  </conditionalFormatting>
  <conditionalFormatting sqref="Q96:Q105">
    <cfRule type="cellIs" dxfId="1098" priority="1094" operator="lessThan">
      <formula>0</formula>
    </cfRule>
  </conditionalFormatting>
  <conditionalFormatting sqref="R96:R105">
    <cfRule type="cellIs" dxfId="1097" priority="1098" operator="lessThan">
      <formula>0.8</formula>
    </cfRule>
    <cfRule type="cellIs" dxfId="1096" priority="1099" operator="greaterThan">
      <formula>1</formula>
    </cfRule>
  </conditionalFormatting>
  <conditionalFormatting sqref="R96:R105">
    <cfRule type="cellIs" dxfId="1095" priority="1096" operator="greaterThan">
      <formula>1</formula>
    </cfRule>
    <cfRule type="cellIs" dxfId="1094" priority="1097" operator="lessThan">
      <formula>0.8</formula>
    </cfRule>
  </conditionalFormatting>
  <conditionalFormatting sqref="P96:P105">
    <cfRule type="cellIs" dxfId="1093" priority="1095" operator="greaterThan">
      <formula>0</formula>
    </cfRule>
  </conditionalFormatting>
  <conditionalFormatting sqref="Q96:Q105">
    <cfRule type="cellIs" dxfId="1092" priority="1093" operator="lessThan">
      <formula>0</formula>
    </cfRule>
  </conditionalFormatting>
  <conditionalFormatting sqref="R96:R105">
    <cfRule type="cellIs" dxfId="1091" priority="1091" operator="lessThan">
      <formula>0.8</formula>
    </cfRule>
    <cfRule type="cellIs" dxfId="1090" priority="1092" operator="greaterThan">
      <formula>1</formula>
    </cfRule>
  </conditionalFormatting>
  <conditionalFormatting sqref="R96:R105">
    <cfRule type="cellIs" dxfId="1089" priority="1089" operator="greaterThan">
      <formula>1</formula>
    </cfRule>
    <cfRule type="cellIs" dxfId="1088" priority="1090" operator="lessThan">
      <formula>0.8</formula>
    </cfRule>
  </conditionalFormatting>
  <conditionalFormatting sqref="P96:P105">
    <cfRule type="cellIs" dxfId="1087" priority="1088" operator="greaterThan">
      <formula>0</formula>
    </cfRule>
  </conditionalFormatting>
  <conditionalFormatting sqref="Q96:Q105">
    <cfRule type="cellIs" dxfId="1086" priority="1087" operator="lessThan">
      <formula>0</formula>
    </cfRule>
  </conditionalFormatting>
  <conditionalFormatting sqref="R96:R105">
    <cfRule type="cellIs" dxfId="1085" priority="1085" operator="lessThan">
      <formula>0.8</formula>
    </cfRule>
    <cfRule type="cellIs" dxfId="1084" priority="1086" operator="greaterThan">
      <formula>1</formula>
    </cfRule>
  </conditionalFormatting>
  <conditionalFormatting sqref="R96:R105">
    <cfRule type="cellIs" dxfId="1083" priority="1083" operator="greaterThan">
      <formula>1</formula>
    </cfRule>
    <cfRule type="cellIs" dxfId="1082" priority="1084" operator="lessThan">
      <formula>0.8</formula>
    </cfRule>
  </conditionalFormatting>
  <conditionalFormatting sqref="P96:P105">
    <cfRule type="cellIs" dxfId="1081" priority="1082" operator="greaterThan">
      <formula>0</formula>
    </cfRule>
  </conditionalFormatting>
  <conditionalFormatting sqref="Q96:Q105">
    <cfRule type="cellIs" dxfId="1080" priority="1076" operator="lessThan">
      <formula>0</formula>
    </cfRule>
  </conditionalFormatting>
  <conditionalFormatting sqref="P96:P105">
    <cfRule type="cellIs" dxfId="1079" priority="1077" operator="greaterThan">
      <formula>0</formula>
    </cfRule>
  </conditionalFormatting>
  <conditionalFormatting sqref="R96:R105">
    <cfRule type="cellIs" dxfId="1078" priority="1080" operator="lessThan">
      <formula>0.8</formula>
    </cfRule>
    <cfRule type="cellIs" dxfId="1077" priority="1081" operator="greaterThan">
      <formula>1</formula>
    </cfRule>
  </conditionalFormatting>
  <conditionalFormatting sqref="R96:R105">
    <cfRule type="cellIs" dxfId="1076" priority="1078" operator="greaterThan">
      <formula>1</formula>
    </cfRule>
    <cfRule type="cellIs" dxfId="1075" priority="1079" operator="lessThan">
      <formula>0.8</formula>
    </cfRule>
  </conditionalFormatting>
  <conditionalFormatting sqref="Q96:Q105">
    <cfRule type="cellIs" dxfId="1074" priority="1070" operator="lessThan">
      <formula>0</formula>
    </cfRule>
  </conditionalFormatting>
  <conditionalFormatting sqref="R96:R105">
    <cfRule type="cellIs" dxfId="1073" priority="1074" operator="lessThan">
      <formula>0.8</formula>
    </cfRule>
    <cfRule type="cellIs" dxfId="1072" priority="1075" operator="greaterThan">
      <formula>1</formula>
    </cfRule>
  </conditionalFormatting>
  <conditionalFormatting sqref="R96:R105">
    <cfRule type="cellIs" dxfId="1071" priority="1072" operator="greaterThan">
      <formula>1</formula>
    </cfRule>
    <cfRule type="cellIs" dxfId="1070" priority="1073" operator="lessThan">
      <formula>0.8</formula>
    </cfRule>
  </conditionalFormatting>
  <conditionalFormatting sqref="P96:P105">
    <cfRule type="cellIs" dxfId="1069" priority="1071" operator="greaterThan">
      <formula>0</formula>
    </cfRule>
  </conditionalFormatting>
  <conditionalFormatting sqref="Q96:Q105">
    <cfRule type="cellIs" dxfId="1068" priority="1069" operator="lessThan">
      <formula>0</formula>
    </cfRule>
  </conditionalFormatting>
  <conditionalFormatting sqref="R96:R105">
    <cfRule type="cellIs" dxfId="1067" priority="1067" operator="lessThan">
      <formula>0.8</formula>
    </cfRule>
    <cfRule type="cellIs" dxfId="1066" priority="1068" operator="greaterThan">
      <formula>1</formula>
    </cfRule>
  </conditionalFormatting>
  <conditionalFormatting sqref="R96:R105">
    <cfRule type="cellIs" dxfId="1065" priority="1065" operator="greaterThan">
      <formula>1</formula>
    </cfRule>
    <cfRule type="cellIs" dxfId="1064" priority="1066" operator="lessThan">
      <formula>0.8</formula>
    </cfRule>
  </conditionalFormatting>
  <conditionalFormatting sqref="P96:P105">
    <cfRule type="cellIs" dxfId="1063" priority="1064" operator="greaterThan">
      <formula>0</formula>
    </cfRule>
  </conditionalFormatting>
  <conditionalFormatting sqref="Q96:Q105">
    <cfRule type="cellIs" dxfId="1062" priority="1063" operator="lessThan">
      <formula>0</formula>
    </cfRule>
  </conditionalFormatting>
  <conditionalFormatting sqref="R96:R105">
    <cfRule type="cellIs" dxfId="1061" priority="1061" operator="lessThan">
      <formula>0.8</formula>
    </cfRule>
    <cfRule type="cellIs" dxfId="1060" priority="1062" operator="greaterThan">
      <formula>1</formula>
    </cfRule>
  </conditionalFormatting>
  <conditionalFormatting sqref="R96:R105">
    <cfRule type="cellIs" dxfId="1059" priority="1059" operator="greaterThan">
      <formula>1</formula>
    </cfRule>
    <cfRule type="cellIs" dxfId="1058" priority="1060" operator="lessThan">
      <formula>0.8</formula>
    </cfRule>
  </conditionalFormatting>
  <conditionalFormatting sqref="P96:P105">
    <cfRule type="cellIs" dxfId="1057" priority="1058" operator="greaterThan">
      <formula>0</formula>
    </cfRule>
  </conditionalFormatting>
  <conditionalFormatting sqref="P124 P127 P130">
    <cfRule type="cellIs" dxfId="1056" priority="1052" operator="greaterThan">
      <formula>0</formula>
    </cfRule>
  </conditionalFormatting>
  <conditionalFormatting sqref="Q124 Q127 Q130">
    <cfRule type="cellIs" dxfId="1055" priority="1057" operator="lessThan">
      <formula>0</formula>
    </cfRule>
  </conditionalFormatting>
  <conditionalFormatting sqref="R124 R127 R130">
    <cfRule type="cellIs" dxfId="1054" priority="1055" operator="lessThan">
      <formula>0.8</formula>
    </cfRule>
    <cfRule type="cellIs" dxfId="1053" priority="1056" operator="greaterThan">
      <formula>1</formula>
    </cfRule>
  </conditionalFormatting>
  <conditionalFormatting sqref="R124 R127 R130">
    <cfRule type="cellIs" dxfId="1052" priority="1053" operator="greaterThan">
      <formula>1</formula>
    </cfRule>
    <cfRule type="cellIs" dxfId="1051" priority="1054" operator="lessThan">
      <formula>0.8</formula>
    </cfRule>
  </conditionalFormatting>
  <conditionalFormatting sqref="Q124 Q127 Q130">
    <cfRule type="cellIs" dxfId="1050" priority="1051" operator="lessThan">
      <formula>0</formula>
    </cfRule>
  </conditionalFormatting>
  <conditionalFormatting sqref="R124 R127 R130">
    <cfRule type="cellIs" dxfId="1049" priority="1049" operator="lessThan">
      <formula>0.8</formula>
    </cfRule>
    <cfRule type="cellIs" dxfId="1048" priority="1050" operator="greaterThan">
      <formula>1</formula>
    </cfRule>
  </conditionalFormatting>
  <conditionalFormatting sqref="R124 R127 R130">
    <cfRule type="cellIs" dxfId="1047" priority="1047" operator="greaterThan">
      <formula>1</formula>
    </cfRule>
    <cfRule type="cellIs" dxfId="1046" priority="1048" operator="lessThan">
      <formula>0.8</formula>
    </cfRule>
  </conditionalFormatting>
  <conditionalFormatting sqref="P124 P127 P130">
    <cfRule type="cellIs" dxfId="1045" priority="1046" operator="greaterThan">
      <formula>0</formula>
    </cfRule>
  </conditionalFormatting>
  <conditionalFormatting sqref="Q123 Q125:Q126 Q131 Q128:Q129">
    <cfRule type="cellIs" dxfId="1044" priority="1045" operator="lessThan">
      <formula>0</formula>
    </cfRule>
  </conditionalFormatting>
  <conditionalFormatting sqref="R123 R125:R126 R131 R128:R129">
    <cfRule type="cellIs" dxfId="1043" priority="1043" operator="lessThan">
      <formula>0.8</formula>
    </cfRule>
    <cfRule type="cellIs" dxfId="1042" priority="1044" operator="greaterThan">
      <formula>1</formula>
    </cfRule>
  </conditionalFormatting>
  <conditionalFormatting sqref="R123 R125:R126 R131 R128:R129">
    <cfRule type="cellIs" dxfId="1041" priority="1041" operator="greaterThan">
      <formula>1</formula>
    </cfRule>
    <cfRule type="cellIs" dxfId="1040" priority="1042" operator="lessThan">
      <formula>0.8</formula>
    </cfRule>
  </conditionalFormatting>
  <conditionalFormatting sqref="P123 P125:P126 P131 P128:P129">
    <cfRule type="cellIs" dxfId="1039" priority="1040" operator="greaterThan">
      <formula>0</formula>
    </cfRule>
  </conditionalFormatting>
  <conditionalFormatting sqref="P123 P125:P126 P131 P128:P129">
    <cfRule type="cellIs" dxfId="1038" priority="1034" operator="greaterThan">
      <formula>0</formula>
    </cfRule>
  </conditionalFormatting>
  <conditionalFormatting sqref="Q123 Q125:Q126 Q131 Q128:Q129">
    <cfRule type="cellIs" dxfId="1037" priority="1039" operator="lessThan">
      <formula>0</formula>
    </cfRule>
  </conditionalFormatting>
  <conditionalFormatting sqref="R123 R125:R126 R131 R128:R129">
    <cfRule type="cellIs" dxfId="1036" priority="1037" operator="lessThan">
      <formula>0.8</formula>
    </cfRule>
    <cfRule type="cellIs" dxfId="1035" priority="1038" operator="greaterThan">
      <formula>1</formula>
    </cfRule>
  </conditionalFormatting>
  <conditionalFormatting sqref="R123 R125:R126 R131 R128:R129">
    <cfRule type="cellIs" dxfId="1034" priority="1035" operator="greaterThan">
      <formula>1</formula>
    </cfRule>
    <cfRule type="cellIs" dxfId="1033" priority="1036" operator="lessThan">
      <formula>0.8</formula>
    </cfRule>
  </conditionalFormatting>
  <conditionalFormatting sqref="P122">
    <cfRule type="cellIs" dxfId="1032" priority="1028" operator="greaterThan">
      <formula>0</formula>
    </cfRule>
  </conditionalFormatting>
  <conditionalFormatting sqref="Q122">
    <cfRule type="cellIs" dxfId="1031" priority="1033" operator="lessThan">
      <formula>0</formula>
    </cfRule>
  </conditionalFormatting>
  <conditionalFormatting sqref="R122">
    <cfRule type="cellIs" dxfId="1030" priority="1031" operator="lessThan">
      <formula>0.8</formula>
    </cfRule>
    <cfRule type="cellIs" dxfId="1029" priority="1032" operator="greaterThan">
      <formula>1</formula>
    </cfRule>
  </conditionalFormatting>
  <conditionalFormatting sqref="R122">
    <cfRule type="cellIs" dxfId="1028" priority="1029" operator="greaterThan">
      <formula>1</formula>
    </cfRule>
    <cfRule type="cellIs" dxfId="1027" priority="1030" operator="lessThan">
      <formula>0.8</formula>
    </cfRule>
  </conditionalFormatting>
  <conditionalFormatting sqref="P137 P140 P142 P144">
    <cfRule type="cellIs" dxfId="1026" priority="1027" operator="greaterThan">
      <formula>0</formula>
    </cfRule>
  </conditionalFormatting>
  <conditionalFormatting sqref="Q137:Q144">
    <cfRule type="cellIs" dxfId="1025" priority="1026" operator="lessThan">
      <formula>0</formula>
    </cfRule>
  </conditionalFormatting>
  <conditionalFormatting sqref="R137">
    <cfRule type="cellIs" dxfId="1024" priority="1024" operator="lessThan">
      <formula>0.8</formula>
    </cfRule>
    <cfRule type="cellIs" dxfId="1023" priority="1025" operator="greaterThan">
      <formula>1</formula>
    </cfRule>
  </conditionalFormatting>
  <conditionalFormatting sqref="R137">
    <cfRule type="cellIs" dxfId="1022" priority="1022" operator="greaterThan">
      <formula>1</formula>
    </cfRule>
    <cfRule type="cellIs" dxfId="1021" priority="1023" operator="lessThan">
      <formula>0.8</formula>
    </cfRule>
  </conditionalFormatting>
  <conditionalFormatting sqref="P137 P140 P142 P144">
    <cfRule type="cellIs" dxfId="1020" priority="1021" operator="greaterThan">
      <formula>0</formula>
    </cfRule>
  </conditionalFormatting>
  <conditionalFormatting sqref="Q137:Q144">
    <cfRule type="cellIs" dxfId="1019" priority="1020" operator="lessThan">
      <formula>0</formula>
    </cfRule>
  </conditionalFormatting>
  <conditionalFormatting sqref="R137">
    <cfRule type="cellIs" dxfId="1018" priority="1018" operator="lessThan">
      <formula>0.8</formula>
    </cfRule>
    <cfRule type="cellIs" dxfId="1017" priority="1019" operator="greaterThan">
      <formula>1</formula>
    </cfRule>
  </conditionalFormatting>
  <conditionalFormatting sqref="R137">
    <cfRule type="cellIs" dxfId="1016" priority="1016" operator="greaterThan">
      <formula>1</formula>
    </cfRule>
    <cfRule type="cellIs" dxfId="1015" priority="1017" operator="lessThan">
      <formula>0.8</formula>
    </cfRule>
  </conditionalFormatting>
  <conditionalFormatting sqref="P137 P140 P142 P144">
    <cfRule type="cellIs" dxfId="1014" priority="1015" operator="greaterThan">
      <formula>0</formula>
    </cfRule>
  </conditionalFormatting>
  <conditionalFormatting sqref="P137 P140 P142 P144">
    <cfRule type="cellIs" dxfId="1013" priority="1009" operator="greaterThan">
      <formula>0</formula>
    </cfRule>
  </conditionalFormatting>
  <conditionalFormatting sqref="Q137:Q144">
    <cfRule type="cellIs" dxfId="1012" priority="1014" operator="lessThan">
      <formula>0</formula>
    </cfRule>
  </conditionalFormatting>
  <conditionalFormatting sqref="R137">
    <cfRule type="cellIs" dxfId="1011" priority="1012" operator="lessThan">
      <formula>0.8</formula>
    </cfRule>
    <cfRule type="cellIs" dxfId="1010" priority="1013" operator="greaterThan">
      <formula>1</formula>
    </cfRule>
  </conditionalFormatting>
  <conditionalFormatting sqref="R137">
    <cfRule type="cellIs" dxfId="1009" priority="1010" operator="greaterThan">
      <formula>1</formula>
    </cfRule>
    <cfRule type="cellIs" dxfId="1008" priority="1011" operator="lessThan">
      <formula>0.8</formula>
    </cfRule>
  </conditionalFormatting>
  <conditionalFormatting sqref="Q137:Q144">
    <cfRule type="cellIs" dxfId="1007" priority="1008" operator="lessThan">
      <formula>0</formula>
    </cfRule>
  </conditionalFormatting>
  <conditionalFormatting sqref="R137">
    <cfRule type="cellIs" dxfId="1006" priority="1006" operator="lessThan">
      <formula>0.8</formula>
    </cfRule>
    <cfRule type="cellIs" dxfId="1005" priority="1007" operator="greaterThan">
      <formula>1</formula>
    </cfRule>
  </conditionalFormatting>
  <conditionalFormatting sqref="R137">
    <cfRule type="cellIs" dxfId="1004" priority="1004" operator="greaterThan">
      <formula>1</formula>
    </cfRule>
    <cfRule type="cellIs" dxfId="1003" priority="1005" operator="lessThan">
      <formula>0.8</formula>
    </cfRule>
  </conditionalFormatting>
  <conditionalFormatting sqref="P137 P140 P142 P144">
    <cfRule type="cellIs" dxfId="1002" priority="1003" operator="greaterThan">
      <formula>0</formula>
    </cfRule>
  </conditionalFormatting>
  <conditionalFormatting sqref="Q137:Q144">
    <cfRule type="cellIs" dxfId="1001" priority="1002" operator="lessThan">
      <formula>0</formula>
    </cfRule>
  </conditionalFormatting>
  <conditionalFormatting sqref="R137">
    <cfRule type="cellIs" dxfId="1000" priority="1000" operator="lessThan">
      <formula>0.8</formula>
    </cfRule>
    <cfRule type="cellIs" dxfId="999" priority="1001" operator="greaterThan">
      <formula>1</formula>
    </cfRule>
  </conditionalFormatting>
  <conditionalFormatting sqref="R137">
    <cfRule type="cellIs" dxfId="998" priority="998" operator="greaterThan">
      <formula>1</formula>
    </cfRule>
    <cfRule type="cellIs" dxfId="997" priority="999" operator="lessThan">
      <formula>0.8</formula>
    </cfRule>
  </conditionalFormatting>
  <conditionalFormatting sqref="P137 P140 P142 P144">
    <cfRule type="cellIs" dxfId="996" priority="997" operator="greaterThan">
      <formula>0</formula>
    </cfRule>
  </conditionalFormatting>
  <conditionalFormatting sqref="P137 P140 P142 P144">
    <cfRule type="cellIs" dxfId="995" priority="991" operator="greaterThan">
      <formula>0</formula>
    </cfRule>
  </conditionalFormatting>
  <conditionalFormatting sqref="Q137:Q144">
    <cfRule type="cellIs" dxfId="994" priority="996" operator="lessThan">
      <formula>0</formula>
    </cfRule>
  </conditionalFormatting>
  <conditionalFormatting sqref="R137">
    <cfRule type="cellIs" dxfId="993" priority="994" operator="lessThan">
      <formula>0.8</formula>
    </cfRule>
    <cfRule type="cellIs" dxfId="992" priority="995" operator="greaterThan">
      <formula>1</formula>
    </cfRule>
  </conditionalFormatting>
  <conditionalFormatting sqref="R137">
    <cfRule type="cellIs" dxfId="991" priority="992" operator="greaterThan">
      <formula>1</formula>
    </cfRule>
    <cfRule type="cellIs" dxfId="990" priority="993" operator="lessThan">
      <formula>0.8</formula>
    </cfRule>
  </conditionalFormatting>
  <conditionalFormatting sqref="Q137:Q144">
    <cfRule type="cellIs" dxfId="989" priority="990" operator="lessThan">
      <formula>0</formula>
    </cfRule>
  </conditionalFormatting>
  <conditionalFormatting sqref="R137">
    <cfRule type="cellIs" dxfId="988" priority="988" operator="lessThan">
      <formula>0.8</formula>
    </cfRule>
    <cfRule type="cellIs" dxfId="987" priority="989" operator="greaterThan">
      <formula>1</formula>
    </cfRule>
  </conditionalFormatting>
  <conditionalFormatting sqref="R137">
    <cfRule type="cellIs" dxfId="986" priority="986" operator="greaterThan">
      <formula>1</formula>
    </cfRule>
    <cfRule type="cellIs" dxfId="985" priority="987" operator="lessThan">
      <formula>0.8</formula>
    </cfRule>
  </conditionalFormatting>
  <conditionalFormatting sqref="P137 P140 P142 P144">
    <cfRule type="cellIs" dxfId="984" priority="985" operator="greaterThan">
      <formula>0</formula>
    </cfRule>
  </conditionalFormatting>
  <conditionalFormatting sqref="Q137:Q144">
    <cfRule type="cellIs" dxfId="983" priority="984" operator="lessThan">
      <formula>0</formula>
    </cfRule>
  </conditionalFormatting>
  <conditionalFormatting sqref="R137">
    <cfRule type="cellIs" dxfId="982" priority="982" operator="lessThan">
      <formula>0.8</formula>
    </cfRule>
    <cfRule type="cellIs" dxfId="981" priority="983" operator="greaterThan">
      <formula>1</formula>
    </cfRule>
  </conditionalFormatting>
  <conditionalFormatting sqref="R137">
    <cfRule type="cellIs" dxfId="980" priority="980" operator="greaterThan">
      <formula>1</formula>
    </cfRule>
    <cfRule type="cellIs" dxfId="979" priority="981" operator="lessThan">
      <formula>0.8</formula>
    </cfRule>
  </conditionalFormatting>
  <conditionalFormatting sqref="P137 P140 P142 P144">
    <cfRule type="cellIs" dxfId="978" priority="979" operator="greaterThan">
      <formula>0</formula>
    </cfRule>
  </conditionalFormatting>
  <conditionalFormatting sqref="P137 P140 P142 P144">
    <cfRule type="cellIs" dxfId="977" priority="973" operator="greaterThan">
      <formula>0</formula>
    </cfRule>
  </conditionalFormatting>
  <conditionalFormatting sqref="Q137:Q144">
    <cfRule type="cellIs" dxfId="976" priority="978" operator="lessThan">
      <formula>0</formula>
    </cfRule>
  </conditionalFormatting>
  <conditionalFormatting sqref="R137">
    <cfRule type="cellIs" dxfId="975" priority="976" operator="lessThan">
      <formula>0.8</formula>
    </cfRule>
    <cfRule type="cellIs" dxfId="974" priority="977" operator="greaterThan">
      <formula>1</formula>
    </cfRule>
  </conditionalFormatting>
  <conditionalFormatting sqref="R137">
    <cfRule type="cellIs" dxfId="973" priority="974" operator="greaterThan">
      <formula>1</formula>
    </cfRule>
    <cfRule type="cellIs" dxfId="972" priority="975" operator="lessThan">
      <formula>0.8</formula>
    </cfRule>
  </conditionalFormatting>
  <conditionalFormatting sqref="Q137:Q144">
    <cfRule type="cellIs" dxfId="971" priority="972" operator="lessThan">
      <formula>0</formula>
    </cfRule>
  </conditionalFormatting>
  <conditionalFormatting sqref="R137">
    <cfRule type="cellIs" dxfId="970" priority="970" operator="lessThan">
      <formula>0.8</formula>
    </cfRule>
    <cfRule type="cellIs" dxfId="969" priority="971" operator="greaterThan">
      <formula>1</formula>
    </cfRule>
  </conditionalFormatting>
  <conditionalFormatting sqref="R137">
    <cfRule type="cellIs" dxfId="968" priority="968" operator="greaterThan">
      <formula>1</formula>
    </cfRule>
    <cfRule type="cellIs" dxfId="967" priority="969" operator="lessThan">
      <formula>0.8</formula>
    </cfRule>
  </conditionalFormatting>
  <conditionalFormatting sqref="P137 P140 P142 P144">
    <cfRule type="cellIs" dxfId="966" priority="967" operator="greaterThan">
      <formula>0</formula>
    </cfRule>
  </conditionalFormatting>
  <conditionalFormatting sqref="P138 P141 P143">
    <cfRule type="cellIs" dxfId="965" priority="962" operator="greaterThan">
      <formula>0</formula>
    </cfRule>
  </conditionalFormatting>
  <conditionalFormatting sqref="R138">
    <cfRule type="cellIs" dxfId="964" priority="965" operator="lessThan">
      <formula>0.8</formula>
    </cfRule>
    <cfRule type="cellIs" dxfId="963" priority="966" operator="greaterThan">
      <formula>1</formula>
    </cfRule>
  </conditionalFormatting>
  <conditionalFormatting sqref="R138">
    <cfRule type="cellIs" dxfId="962" priority="963" operator="greaterThan">
      <formula>1</formula>
    </cfRule>
    <cfRule type="cellIs" dxfId="961" priority="964" operator="lessThan">
      <formula>0.8</formula>
    </cfRule>
  </conditionalFormatting>
  <conditionalFormatting sqref="R138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 P141 P143">
    <cfRule type="cellIs" dxfId="956" priority="957" operator="greaterThan">
      <formula>0</formula>
    </cfRule>
  </conditionalFormatting>
  <conditionalFormatting sqref="R138">
    <cfRule type="cellIs" dxfId="955" priority="955" operator="lessThan">
      <formula>0.8</formula>
    </cfRule>
    <cfRule type="cellIs" dxfId="954" priority="956" operator="greaterThan">
      <formula>1</formula>
    </cfRule>
  </conditionalFormatting>
  <conditionalFormatting sqref="R138">
    <cfRule type="cellIs" dxfId="953" priority="953" operator="greaterThan">
      <formula>1</formula>
    </cfRule>
    <cfRule type="cellIs" dxfId="952" priority="954" operator="lessThan">
      <formula>0.8</formula>
    </cfRule>
  </conditionalFormatting>
  <conditionalFormatting sqref="P138 P141 P143">
    <cfRule type="cellIs" dxfId="951" priority="952" operator="greaterThan">
      <formula>0</formula>
    </cfRule>
  </conditionalFormatting>
  <conditionalFormatting sqref="R138">
    <cfRule type="cellIs" dxfId="950" priority="950" operator="lessThan">
      <formula>0.8</formula>
    </cfRule>
    <cfRule type="cellIs" dxfId="949" priority="951" operator="greaterThan">
      <formula>1</formula>
    </cfRule>
  </conditionalFormatting>
  <conditionalFormatting sqref="R138">
    <cfRule type="cellIs" dxfId="948" priority="948" operator="greaterThan">
      <formula>1</formula>
    </cfRule>
    <cfRule type="cellIs" dxfId="947" priority="949" operator="lessThan">
      <formula>0.8</formula>
    </cfRule>
  </conditionalFormatting>
  <conditionalFormatting sqref="P138 P141 P143">
    <cfRule type="cellIs" dxfId="946" priority="947" operator="greaterThan">
      <formula>0</formula>
    </cfRule>
  </conditionalFormatting>
  <conditionalFormatting sqref="R138">
    <cfRule type="cellIs" dxfId="945" priority="945" operator="lessThan">
      <formula>0.8</formula>
    </cfRule>
    <cfRule type="cellIs" dxfId="944" priority="946" operator="greaterThan">
      <formula>1</formula>
    </cfRule>
  </conditionalFormatting>
  <conditionalFormatting sqref="R138">
    <cfRule type="cellIs" dxfId="943" priority="943" operator="greaterThan">
      <formula>1</formula>
    </cfRule>
    <cfRule type="cellIs" dxfId="942" priority="944" operator="lessThan">
      <formula>0.8</formula>
    </cfRule>
  </conditionalFormatting>
  <conditionalFormatting sqref="R138">
    <cfRule type="cellIs" dxfId="941" priority="941" operator="lessThan">
      <formula>0.8</formula>
    </cfRule>
    <cfRule type="cellIs" dxfId="940" priority="942" operator="greaterThan">
      <formula>1</formula>
    </cfRule>
  </conditionalFormatting>
  <conditionalFormatting sqref="R138">
    <cfRule type="cellIs" dxfId="939" priority="939" operator="greaterThan">
      <formula>1</formula>
    </cfRule>
    <cfRule type="cellIs" dxfId="938" priority="940" operator="lessThan">
      <formula>0.8</formula>
    </cfRule>
  </conditionalFormatting>
  <conditionalFormatting sqref="P138 P141 P143">
    <cfRule type="cellIs" dxfId="937" priority="938" operator="greaterThan">
      <formula>0</formula>
    </cfRule>
  </conditionalFormatting>
  <conditionalFormatting sqref="P138 P141 P143">
    <cfRule type="cellIs" dxfId="936" priority="933" operator="greaterThan">
      <formula>0</formula>
    </cfRule>
  </conditionalFormatting>
  <conditionalFormatting sqref="R138">
    <cfRule type="cellIs" dxfId="935" priority="936" operator="lessThan">
      <formula>0.8</formula>
    </cfRule>
    <cfRule type="cellIs" dxfId="934" priority="937" operator="greaterThan">
      <formula>1</formula>
    </cfRule>
  </conditionalFormatting>
  <conditionalFormatting sqref="R138">
    <cfRule type="cellIs" dxfId="933" priority="934" operator="greaterThan">
      <formula>1</formula>
    </cfRule>
    <cfRule type="cellIs" dxfId="932" priority="935" operator="lessThan">
      <formula>0.8</formula>
    </cfRule>
  </conditionalFormatting>
  <conditionalFormatting sqref="R138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 P141 P143">
    <cfRule type="cellIs" dxfId="927" priority="928" operator="greaterThan">
      <formula>0</formula>
    </cfRule>
  </conditionalFormatting>
  <conditionalFormatting sqref="Q148:Q154">
    <cfRule type="cellIs" dxfId="926" priority="927" operator="lessThan">
      <formula>0</formula>
    </cfRule>
  </conditionalFormatting>
  <conditionalFormatting sqref="R148:R154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4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4">
    <cfRule type="cellIs" dxfId="921" priority="922" operator="greaterThan">
      <formula>0</formula>
    </cfRule>
  </conditionalFormatting>
  <conditionalFormatting sqref="P148:P154">
    <cfRule type="cellIs" dxfId="920" priority="916" operator="greaterThan">
      <formula>0</formula>
    </cfRule>
  </conditionalFormatting>
  <conditionalFormatting sqref="Q148:Q154">
    <cfRule type="cellIs" dxfId="919" priority="921" operator="lessThan">
      <formula>0</formula>
    </cfRule>
  </conditionalFormatting>
  <conditionalFormatting sqref="R148:R154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4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4">
    <cfRule type="cellIs" dxfId="914" priority="915" operator="lessThan">
      <formula>0</formula>
    </cfRule>
  </conditionalFormatting>
  <conditionalFormatting sqref="R148:R154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4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4">
    <cfRule type="cellIs" dxfId="909" priority="910" operator="greaterThan">
      <formula>0</formula>
    </cfRule>
  </conditionalFormatting>
  <conditionalFormatting sqref="Q148:Q154">
    <cfRule type="cellIs" dxfId="908" priority="909" operator="lessThan">
      <formula>0</formula>
    </cfRule>
  </conditionalFormatting>
  <conditionalFormatting sqref="R148:R154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4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4">
    <cfRule type="cellIs" dxfId="903" priority="904" operator="greaterThan">
      <formula>0</formula>
    </cfRule>
  </conditionalFormatting>
  <conditionalFormatting sqref="P148:P154">
    <cfRule type="cellIs" dxfId="902" priority="898" operator="greaterThan">
      <formula>0</formula>
    </cfRule>
  </conditionalFormatting>
  <conditionalFormatting sqref="Q148:Q154">
    <cfRule type="cellIs" dxfId="901" priority="903" operator="lessThan">
      <formula>0</formula>
    </cfRule>
  </conditionalFormatting>
  <conditionalFormatting sqref="R148:R154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4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4">
    <cfRule type="cellIs" dxfId="896" priority="897" operator="lessThan">
      <formula>0</formula>
    </cfRule>
  </conditionalFormatting>
  <conditionalFormatting sqref="R148:R154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4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4">
    <cfRule type="cellIs" dxfId="891" priority="892" operator="greaterThan">
      <formula>0</formula>
    </cfRule>
  </conditionalFormatting>
  <conditionalFormatting sqref="Q148:Q154">
    <cfRule type="cellIs" dxfId="890" priority="886" operator="lessThan">
      <formula>0</formula>
    </cfRule>
  </conditionalFormatting>
  <conditionalFormatting sqref="P148:P154">
    <cfRule type="cellIs" dxfId="889" priority="887" operator="greaterThan">
      <formula>0</formula>
    </cfRule>
  </conditionalFormatting>
  <conditionalFormatting sqref="R148:R154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4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4">
    <cfRule type="cellIs" dxfId="884" priority="880" operator="lessThan">
      <formula>0</formula>
    </cfRule>
  </conditionalFormatting>
  <conditionalFormatting sqref="R148:R154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4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4">
    <cfRule type="cellIs" dxfId="879" priority="881" operator="greaterThan">
      <formula>0</formula>
    </cfRule>
  </conditionalFormatting>
  <conditionalFormatting sqref="Q148:Q154">
    <cfRule type="cellIs" dxfId="878" priority="879" operator="lessThan">
      <formula>0</formula>
    </cfRule>
  </conditionalFormatting>
  <conditionalFormatting sqref="R148:R154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4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4">
    <cfRule type="cellIs" dxfId="873" priority="874" operator="greaterThan">
      <formula>0</formula>
    </cfRule>
  </conditionalFormatting>
  <conditionalFormatting sqref="Q148:Q154">
    <cfRule type="cellIs" dxfId="872" priority="873" operator="lessThan">
      <formula>0</formula>
    </cfRule>
  </conditionalFormatting>
  <conditionalFormatting sqref="R148:R154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4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4">
    <cfRule type="cellIs" dxfId="867" priority="868" operator="greaterThan">
      <formula>0</formula>
    </cfRule>
  </conditionalFormatting>
  <conditionalFormatting sqref="Q148:Q154">
    <cfRule type="cellIs" dxfId="866" priority="867" operator="lessThan">
      <formula>0</formula>
    </cfRule>
  </conditionalFormatting>
  <conditionalFormatting sqref="R148:R154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4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4">
    <cfRule type="cellIs" dxfId="861" priority="862" operator="greaterThan">
      <formula>0</formula>
    </cfRule>
  </conditionalFormatting>
  <conditionalFormatting sqref="Q148:Q154">
    <cfRule type="cellIs" dxfId="860" priority="861" operator="lessThan">
      <formula>0</formula>
    </cfRule>
  </conditionalFormatting>
  <conditionalFormatting sqref="R148:R154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4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4">
    <cfRule type="cellIs" dxfId="855" priority="856" operator="greaterThan">
      <formula>0</formula>
    </cfRule>
  </conditionalFormatting>
  <conditionalFormatting sqref="Q148:Q154">
    <cfRule type="cellIs" dxfId="854" priority="855" operator="lessThan">
      <formula>0</formula>
    </cfRule>
  </conditionalFormatting>
  <conditionalFormatting sqref="R148:R154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4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4">
    <cfRule type="cellIs" dxfId="849" priority="850" operator="greaterThan">
      <formula>0</formula>
    </cfRule>
  </conditionalFormatting>
  <conditionalFormatting sqref="Q148:Q154">
    <cfRule type="cellIs" dxfId="848" priority="849" operator="lessThan">
      <formula>0</formula>
    </cfRule>
  </conditionalFormatting>
  <conditionalFormatting sqref="R148:R154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4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4">
    <cfRule type="cellIs" dxfId="843" priority="844" operator="greaterThan">
      <formula>0</formula>
    </cfRule>
  </conditionalFormatting>
  <conditionalFormatting sqref="Q148:Q154">
    <cfRule type="cellIs" dxfId="842" priority="843" operator="lessThan">
      <formula>0</formula>
    </cfRule>
  </conditionalFormatting>
  <conditionalFormatting sqref="R148:R154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4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4">
    <cfRule type="cellIs" dxfId="837" priority="838" operator="greaterThan">
      <formula>0</formula>
    </cfRule>
  </conditionalFormatting>
  <conditionalFormatting sqref="P148:P154">
    <cfRule type="cellIs" dxfId="836" priority="832" operator="greaterThan">
      <formula>0</formula>
    </cfRule>
  </conditionalFormatting>
  <conditionalFormatting sqref="Q148:Q154">
    <cfRule type="cellIs" dxfId="835" priority="837" operator="lessThan">
      <formula>0</formula>
    </cfRule>
  </conditionalFormatting>
  <conditionalFormatting sqref="R148:R154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4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4">
    <cfRule type="cellIs" dxfId="830" priority="826" operator="greaterThan">
      <formula>0</formula>
    </cfRule>
  </conditionalFormatting>
  <conditionalFormatting sqref="Q148:Q154">
    <cfRule type="cellIs" dxfId="829" priority="831" operator="lessThan">
      <formula>0</formula>
    </cfRule>
  </conditionalFormatting>
  <conditionalFormatting sqref="R148:R154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4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4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4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4">
    <cfRule type="cellIs" dxfId="820" priority="820" operator="greaterThan">
      <formula>0</formula>
    </cfRule>
  </conditionalFormatting>
  <conditionalFormatting sqref="Q148:Q154">
    <cfRule type="cellIs" dxfId="819" priority="825" operator="lessThan">
      <formula>0</formula>
    </cfRule>
  </conditionalFormatting>
  <conditionalFormatting sqref="Q148:Q154">
    <cfRule type="cellIs" dxfId="818" priority="819" operator="lessThan">
      <formula>0</formula>
    </cfRule>
  </conditionalFormatting>
  <conditionalFormatting sqref="R148:R154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4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4">
    <cfRule type="cellIs" dxfId="813" priority="814" operator="greaterThan">
      <formula>0</formula>
    </cfRule>
  </conditionalFormatting>
  <conditionalFormatting sqref="P148:P154">
    <cfRule type="cellIs" dxfId="812" priority="808" operator="greaterThan">
      <formula>0</formula>
    </cfRule>
  </conditionalFormatting>
  <conditionalFormatting sqref="Q148:Q154">
    <cfRule type="cellIs" dxfId="811" priority="813" operator="lessThan">
      <formula>0</formula>
    </cfRule>
  </conditionalFormatting>
  <conditionalFormatting sqref="R148:R154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4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4">
    <cfRule type="cellIs" dxfId="806" priority="802" operator="greaterThan">
      <formula>0</formula>
    </cfRule>
  </conditionalFormatting>
  <conditionalFormatting sqref="Q148:Q154">
    <cfRule type="cellIs" dxfId="805" priority="807" operator="lessThan">
      <formula>0</formula>
    </cfRule>
  </conditionalFormatting>
  <conditionalFormatting sqref="R148:R154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4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4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4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4">
    <cfRule type="cellIs" dxfId="796" priority="796" operator="greaterThan">
      <formula>0</formula>
    </cfRule>
  </conditionalFormatting>
  <conditionalFormatting sqref="Q148:Q154">
    <cfRule type="cellIs" dxfId="795" priority="801" operator="lessThan">
      <formula>0</formula>
    </cfRule>
  </conditionalFormatting>
  <conditionalFormatting sqref="P148:P154">
    <cfRule type="cellIs" dxfId="794" priority="790" operator="greaterThan">
      <formula>0</formula>
    </cfRule>
  </conditionalFormatting>
  <conditionalFormatting sqref="Q148:Q154">
    <cfRule type="cellIs" dxfId="793" priority="795" operator="lessThan">
      <formula>0</formula>
    </cfRule>
  </conditionalFormatting>
  <conditionalFormatting sqref="R148:R154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4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4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4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4">
    <cfRule type="cellIs" dxfId="784" priority="784" operator="greaterThan">
      <formula>0</formula>
    </cfRule>
  </conditionalFormatting>
  <conditionalFormatting sqref="Q148:Q154">
    <cfRule type="cellIs" dxfId="783" priority="789" operator="lessThan">
      <formula>0</formula>
    </cfRule>
  </conditionalFormatting>
  <conditionalFormatting sqref="R148:R154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4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4">
    <cfRule type="cellIs" dxfId="778" priority="778" operator="greaterThan">
      <formula>0</formula>
    </cfRule>
  </conditionalFormatting>
  <conditionalFormatting sqref="Q148:Q154">
    <cfRule type="cellIs" dxfId="777" priority="783" operator="lessThan">
      <formula>0</formula>
    </cfRule>
  </conditionalFormatting>
  <conditionalFormatting sqref="Q148:Q154">
    <cfRule type="cellIs" dxfId="776" priority="777" operator="lessThan">
      <formula>0</formula>
    </cfRule>
  </conditionalFormatting>
  <conditionalFormatting sqref="R148:R154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4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4">
    <cfRule type="cellIs" dxfId="771" priority="772" operator="greaterThan">
      <formula>0</formula>
    </cfRule>
  </conditionalFormatting>
  <conditionalFormatting sqref="Q148:Q154">
    <cfRule type="cellIs" dxfId="770" priority="766" operator="lessThan">
      <formula>0</formula>
    </cfRule>
  </conditionalFormatting>
  <conditionalFormatting sqref="R148:R154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4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4">
    <cfRule type="cellIs" dxfId="765" priority="767" operator="greaterThan">
      <formula>0</formula>
    </cfRule>
  </conditionalFormatting>
  <conditionalFormatting sqref="Q148:Q154">
    <cfRule type="cellIs" dxfId="764" priority="765" operator="lessThan">
      <formula>0</formula>
    </cfRule>
  </conditionalFormatting>
  <conditionalFormatting sqref="R148:R154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4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4">
    <cfRule type="cellIs" dxfId="759" priority="760" operator="greaterThan">
      <formula>0</formula>
    </cfRule>
  </conditionalFormatting>
  <conditionalFormatting sqref="Q148:Q154">
    <cfRule type="cellIs" dxfId="758" priority="759" operator="lessThan">
      <formula>0</formula>
    </cfRule>
  </conditionalFormatting>
  <conditionalFormatting sqref="R148:R154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4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4">
    <cfRule type="cellIs" dxfId="753" priority="754" operator="greaterThan">
      <formula>0</formula>
    </cfRule>
  </conditionalFormatting>
  <conditionalFormatting sqref="Q148:Q154">
    <cfRule type="cellIs" dxfId="752" priority="753" operator="lessThan">
      <formula>0</formula>
    </cfRule>
  </conditionalFormatting>
  <conditionalFormatting sqref="R148:R154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4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4">
    <cfRule type="cellIs" dxfId="747" priority="748" operator="greaterThan">
      <formula>0</formula>
    </cfRule>
  </conditionalFormatting>
  <conditionalFormatting sqref="Q148:Q154">
    <cfRule type="cellIs" dxfId="746" priority="747" operator="lessThan">
      <formula>0</formula>
    </cfRule>
  </conditionalFormatting>
  <conditionalFormatting sqref="R148:R154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4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4">
    <cfRule type="cellIs" dxfId="741" priority="742" operator="greaterThan">
      <formula>0</formula>
    </cfRule>
  </conditionalFormatting>
  <conditionalFormatting sqref="Q148:Q154">
    <cfRule type="cellIs" dxfId="740" priority="741" operator="lessThan">
      <formula>0</formula>
    </cfRule>
  </conditionalFormatting>
  <conditionalFormatting sqref="R148:R154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4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4">
    <cfRule type="cellIs" dxfId="735" priority="736" operator="greaterThan">
      <formula>0</formula>
    </cfRule>
  </conditionalFormatting>
  <conditionalFormatting sqref="P148:P154">
    <cfRule type="cellIs" dxfId="734" priority="730" operator="greaterThan">
      <formula>0</formula>
    </cfRule>
  </conditionalFormatting>
  <conditionalFormatting sqref="Q148:Q154">
    <cfRule type="cellIs" dxfId="733" priority="735" operator="lessThan">
      <formula>0</formula>
    </cfRule>
  </conditionalFormatting>
  <conditionalFormatting sqref="R148:R154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4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4">
    <cfRule type="cellIs" dxfId="728" priority="724" operator="greaterThan">
      <formula>0</formula>
    </cfRule>
  </conditionalFormatting>
  <conditionalFormatting sqref="Q148:Q154">
    <cfRule type="cellIs" dxfId="727" priority="729" operator="lessThan">
      <formula>0</formula>
    </cfRule>
  </conditionalFormatting>
  <conditionalFormatting sqref="R148:R154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4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4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4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4">
    <cfRule type="cellIs" dxfId="718" priority="718" operator="greaterThan">
      <formula>0</formula>
    </cfRule>
  </conditionalFormatting>
  <conditionalFormatting sqref="Q148:Q154">
    <cfRule type="cellIs" dxfId="717" priority="723" operator="lessThan">
      <formula>0</formula>
    </cfRule>
  </conditionalFormatting>
  <conditionalFormatting sqref="P44:P51">
    <cfRule type="cellIs" dxfId="716" priority="712" operator="greaterThan">
      <formula>0</formula>
    </cfRule>
  </conditionalFormatting>
  <conditionalFormatting sqref="Q44:Q51">
    <cfRule type="cellIs" dxfId="715" priority="717" operator="lessThan">
      <formula>0</formula>
    </cfRule>
  </conditionalFormatting>
  <conditionalFormatting sqref="R44:R51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1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91">
    <cfRule type="cellIs" dxfId="710" priority="711" operator="lessThan">
      <formula>0</formula>
    </cfRule>
  </conditionalFormatting>
  <conditionalFormatting sqref="R84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91">
    <cfRule type="cellIs" dxfId="705" priority="706" operator="greaterThan">
      <formula>0</formula>
    </cfRule>
  </conditionalFormatting>
  <conditionalFormatting sqref="Q84:Q91">
    <cfRule type="cellIs" dxfId="704" priority="705" operator="lessThan">
      <formula>0</formula>
    </cfRule>
  </conditionalFormatting>
  <conditionalFormatting sqref="R84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91">
    <cfRule type="cellIs" dxfId="699" priority="700" operator="greaterThan">
      <formula>0</formula>
    </cfRule>
  </conditionalFormatting>
  <conditionalFormatting sqref="Q84:Q91">
    <cfRule type="cellIs" dxfId="698" priority="699" operator="lessThan">
      <formula>0</formula>
    </cfRule>
  </conditionalFormatting>
  <conditionalFormatting sqref="R84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91">
    <cfRule type="cellIs" dxfId="693" priority="694" operator="greaterThan">
      <formula>0</formula>
    </cfRule>
  </conditionalFormatting>
  <conditionalFormatting sqref="Q84:Q91">
    <cfRule type="cellIs" dxfId="692" priority="693" operator="lessThan">
      <formula>0</formula>
    </cfRule>
  </conditionalFormatting>
  <conditionalFormatting sqref="R84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91">
    <cfRule type="cellIs" dxfId="687" priority="688" operator="greaterThan">
      <formula>0</formula>
    </cfRule>
  </conditionalFormatting>
  <conditionalFormatting sqref="P84:P91">
    <cfRule type="cellIs" dxfId="686" priority="682" operator="greaterThan">
      <formula>0</formula>
    </cfRule>
  </conditionalFormatting>
  <conditionalFormatting sqref="Q84:Q91">
    <cfRule type="cellIs" dxfId="685" priority="687" operator="lessThan">
      <formula>0</formula>
    </cfRule>
  </conditionalFormatting>
  <conditionalFormatting sqref="R84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91">
    <cfRule type="cellIs" dxfId="680" priority="676" operator="greaterThan">
      <formula>0</formula>
    </cfRule>
  </conditionalFormatting>
  <conditionalFormatting sqref="Q84:Q91">
    <cfRule type="cellIs" dxfId="679" priority="681" operator="lessThan">
      <formula>0</formula>
    </cfRule>
  </conditionalFormatting>
  <conditionalFormatting sqref="R84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91">
    <cfRule type="cellIs" dxfId="670" priority="670" operator="greaterThan">
      <formula>0</formula>
    </cfRule>
  </conditionalFormatting>
  <conditionalFormatting sqref="Q84:Q91">
    <cfRule type="cellIs" dxfId="669" priority="675" operator="lessThan">
      <formula>0</formula>
    </cfRule>
  </conditionalFormatting>
  <conditionalFormatting sqref="Q84:Q91">
    <cfRule type="cellIs" dxfId="668" priority="669" operator="lessThan">
      <formula>0</formula>
    </cfRule>
  </conditionalFormatting>
  <conditionalFormatting sqref="R84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91">
    <cfRule type="cellIs" dxfId="663" priority="664" operator="greaterThan">
      <formula>0</formula>
    </cfRule>
  </conditionalFormatting>
  <conditionalFormatting sqref="P84:P91">
    <cfRule type="cellIs" dxfId="662" priority="658" operator="greaterThan">
      <formula>0</formula>
    </cfRule>
  </conditionalFormatting>
  <conditionalFormatting sqref="Q84:Q91">
    <cfRule type="cellIs" dxfId="661" priority="663" operator="lessThan">
      <formula>0</formula>
    </cfRule>
  </conditionalFormatting>
  <conditionalFormatting sqref="R84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91">
    <cfRule type="cellIs" dxfId="656" priority="652" operator="greaterThan">
      <formula>0</formula>
    </cfRule>
  </conditionalFormatting>
  <conditionalFormatting sqref="Q84:Q91">
    <cfRule type="cellIs" dxfId="655" priority="657" operator="lessThan">
      <formula>0</formula>
    </cfRule>
  </conditionalFormatting>
  <conditionalFormatting sqref="R84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91">
    <cfRule type="cellIs" dxfId="646" priority="646" operator="greaterThan">
      <formula>0</formula>
    </cfRule>
  </conditionalFormatting>
  <conditionalFormatting sqref="Q84:Q91">
    <cfRule type="cellIs" dxfId="645" priority="651" operator="lessThan">
      <formula>0</formula>
    </cfRule>
  </conditionalFormatting>
  <conditionalFormatting sqref="P84:P91">
    <cfRule type="cellIs" dxfId="644" priority="640" operator="greaterThan">
      <formula>0</formula>
    </cfRule>
  </conditionalFormatting>
  <conditionalFormatting sqref="Q84:Q91">
    <cfRule type="cellIs" dxfId="643" priority="645" operator="lessThan">
      <formula>0</formula>
    </cfRule>
  </conditionalFormatting>
  <conditionalFormatting sqref="R84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91">
    <cfRule type="cellIs" dxfId="634" priority="634" operator="greaterThan">
      <formula>0</formula>
    </cfRule>
  </conditionalFormatting>
  <conditionalFormatting sqref="Q84:Q91">
    <cfRule type="cellIs" dxfId="633" priority="639" operator="lessThan">
      <formula>0</formula>
    </cfRule>
  </conditionalFormatting>
  <conditionalFormatting sqref="R84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91">
    <cfRule type="cellIs" dxfId="628" priority="628" operator="greaterThan">
      <formula>0</formula>
    </cfRule>
  </conditionalFormatting>
  <conditionalFormatting sqref="Q84:Q91">
    <cfRule type="cellIs" dxfId="627" priority="633" operator="lessThan">
      <formula>0</formula>
    </cfRule>
  </conditionalFormatting>
  <conditionalFormatting sqref="Q84:Q91">
    <cfRule type="cellIs" dxfId="626" priority="627" operator="lessThan">
      <formula>0</formula>
    </cfRule>
  </conditionalFormatting>
  <conditionalFormatting sqref="R84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91">
    <cfRule type="cellIs" dxfId="621" priority="622" operator="greaterThan">
      <formula>0</formula>
    </cfRule>
  </conditionalFormatting>
  <conditionalFormatting sqref="Q84:Q91">
    <cfRule type="cellIs" dxfId="620" priority="616" operator="lessThan">
      <formula>0</formula>
    </cfRule>
  </conditionalFormatting>
  <conditionalFormatting sqref="R84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91">
    <cfRule type="cellIs" dxfId="615" priority="617" operator="greaterThan">
      <formula>0</formula>
    </cfRule>
  </conditionalFormatting>
  <conditionalFormatting sqref="Q84:Q91">
    <cfRule type="cellIs" dxfId="614" priority="615" operator="lessThan">
      <formula>0</formula>
    </cfRule>
  </conditionalFormatting>
  <conditionalFormatting sqref="R84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91">
    <cfRule type="cellIs" dxfId="609" priority="610" operator="greaterThan">
      <formula>0</formula>
    </cfRule>
  </conditionalFormatting>
  <conditionalFormatting sqref="Q84:Q91">
    <cfRule type="cellIs" dxfId="608" priority="609" operator="lessThan">
      <formula>0</formula>
    </cfRule>
  </conditionalFormatting>
  <conditionalFormatting sqref="R84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91">
    <cfRule type="cellIs" dxfId="603" priority="604" operator="greaterThan">
      <formula>0</formula>
    </cfRule>
  </conditionalFormatting>
  <conditionalFormatting sqref="Q84:Q91">
    <cfRule type="cellIs" dxfId="602" priority="603" operator="lessThan">
      <formula>0</formula>
    </cfRule>
  </conditionalFormatting>
  <conditionalFormatting sqref="R84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91">
    <cfRule type="cellIs" dxfId="597" priority="598" operator="greaterThan">
      <formula>0</formula>
    </cfRule>
  </conditionalFormatting>
  <conditionalFormatting sqref="Q84:Q91">
    <cfRule type="cellIs" dxfId="596" priority="597" operator="lessThan">
      <formula>0</formula>
    </cfRule>
  </conditionalFormatting>
  <conditionalFormatting sqref="R84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91">
    <cfRule type="cellIs" dxfId="591" priority="592" operator="greaterThan">
      <formula>0</formula>
    </cfRule>
  </conditionalFormatting>
  <conditionalFormatting sqref="Q84:Q91">
    <cfRule type="cellIs" dxfId="590" priority="591" operator="lessThan">
      <formula>0</formula>
    </cfRule>
  </conditionalFormatting>
  <conditionalFormatting sqref="R84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91">
    <cfRule type="cellIs" dxfId="585" priority="586" operator="greaterThan">
      <formula>0</formula>
    </cfRule>
  </conditionalFormatting>
  <conditionalFormatting sqref="P84:P91">
    <cfRule type="cellIs" dxfId="584" priority="580" operator="greaterThan">
      <formula>0</formula>
    </cfRule>
  </conditionalFormatting>
  <conditionalFormatting sqref="Q84:Q91">
    <cfRule type="cellIs" dxfId="583" priority="585" operator="lessThan">
      <formula>0</formula>
    </cfRule>
  </conditionalFormatting>
  <conditionalFormatting sqref="R84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91">
    <cfRule type="cellIs" dxfId="578" priority="574" operator="greaterThan">
      <formula>0</formula>
    </cfRule>
  </conditionalFormatting>
  <conditionalFormatting sqref="Q84:Q91">
    <cfRule type="cellIs" dxfId="577" priority="579" operator="lessThan">
      <formula>0</formula>
    </cfRule>
  </conditionalFormatting>
  <conditionalFormatting sqref="R84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91">
    <cfRule type="cellIs" dxfId="568" priority="568" operator="greaterThan">
      <formula>0</formula>
    </cfRule>
  </conditionalFormatting>
  <conditionalFormatting sqref="Q84:Q91">
    <cfRule type="cellIs" dxfId="567" priority="573" operator="lessThan">
      <formula>0</formula>
    </cfRule>
  </conditionalFormatting>
  <conditionalFormatting sqref="Q84:Q91">
    <cfRule type="cellIs" dxfId="566" priority="567" operator="lessThan">
      <formula>0</formula>
    </cfRule>
  </conditionalFormatting>
  <conditionalFormatting sqref="R84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91">
    <cfRule type="cellIs" dxfId="561" priority="562" operator="greaterThan">
      <formula>0</formula>
    </cfRule>
  </conditionalFormatting>
  <conditionalFormatting sqref="Q84:Q91">
    <cfRule type="cellIs" dxfId="560" priority="561" operator="lessThan">
      <formula>0</formula>
    </cfRule>
  </conditionalFormatting>
  <conditionalFormatting sqref="R84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91">
    <cfRule type="cellIs" dxfId="555" priority="556" operator="greaterThan">
      <formula>0</formula>
    </cfRule>
  </conditionalFormatting>
  <conditionalFormatting sqref="Q84:Q91">
    <cfRule type="cellIs" dxfId="554" priority="555" operator="lessThan">
      <formula>0</formula>
    </cfRule>
  </conditionalFormatting>
  <conditionalFormatting sqref="R84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91">
    <cfRule type="cellIs" dxfId="549" priority="550" operator="greaterThan">
      <formula>0</formula>
    </cfRule>
  </conditionalFormatting>
  <conditionalFormatting sqref="Q84:Q91">
    <cfRule type="cellIs" dxfId="548" priority="549" operator="lessThan">
      <formula>0</formula>
    </cfRule>
  </conditionalFormatting>
  <conditionalFormatting sqref="R84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91">
    <cfRule type="cellIs" dxfId="543" priority="544" operator="greaterThan">
      <formula>0</formula>
    </cfRule>
  </conditionalFormatting>
  <conditionalFormatting sqref="P84:P91">
    <cfRule type="cellIs" dxfId="542" priority="538" operator="greaterThan">
      <formula>0</formula>
    </cfRule>
  </conditionalFormatting>
  <conditionalFormatting sqref="Q84:Q91">
    <cfRule type="cellIs" dxfId="541" priority="543" operator="lessThan">
      <formula>0</formula>
    </cfRule>
  </conditionalFormatting>
  <conditionalFormatting sqref="R84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91">
    <cfRule type="cellIs" dxfId="536" priority="532" operator="greaterThan">
      <formula>0</formula>
    </cfRule>
  </conditionalFormatting>
  <conditionalFormatting sqref="Q84:Q91">
    <cfRule type="cellIs" dxfId="535" priority="537" operator="lessThan">
      <formula>0</formula>
    </cfRule>
  </conditionalFormatting>
  <conditionalFormatting sqref="R84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91">
    <cfRule type="cellIs" dxfId="526" priority="526" operator="greaterThan">
      <formula>0</formula>
    </cfRule>
  </conditionalFormatting>
  <conditionalFormatting sqref="Q84:Q91">
    <cfRule type="cellIs" dxfId="525" priority="531" operator="lessThan">
      <formula>0</formula>
    </cfRule>
  </conditionalFormatting>
  <conditionalFormatting sqref="Q84:Q91">
    <cfRule type="cellIs" dxfId="524" priority="525" operator="lessThan">
      <formula>0</formula>
    </cfRule>
  </conditionalFormatting>
  <conditionalFormatting sqref="R84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91">
    <cfRule type="cellIs" dxfId="519" priority="520" operator="greaterThan">
      <formula>0</formula>
    </cfRule>
  </conditionalFormatting>
  <conditionalFormatting sqref="P84:P91">
    <cfRule type="cellIs" dxfId="518" priority="514" operator="greaterThan">
      <formula>0</formula>
    </cfRule>
  </conditionalFormatting>
  <conditionalFormatting sqref="Q84:Q91">
    <cfRule type="cellIs" dxfId="517" priority="519" operator="lessThan">
      <formula>0</formula>
    </cfRule>
  </conditionalFormatting>
  <conditionalFormatting sqref="R84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91">
    <cfRule type="cellIs" dxfId="512" priority="508" operator="greaterThan">
      <formula>0</formula>
    </cfRule>
  </conditionalFormatting>
  <conditionalFormatting sqref="Q84:Q91">
    <cfRule type="cellIs" dxfId="511" priority="513" operator="lessThan">
      <formula>0</formula>
    </cfRule>
  </conditionalFormatting>
  <conditionalFormatting sqref="R84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91">
    <cfRule type="cellIs" dxfId="502" priority="502" operator="greaterThan">
      <formula>0</formula>
    </cfRule>
  </conditionalFormatting>
  <conditionalFormatting sqref="Q84:Q91">
    <cfRule type="cellIs" dxfId="501" priority="507" operator="lessThan">
      <formula>0</formula>
    </cfRule>
  </conditionalFormatting>
  <conditionalFormatting sqref="P84:P91">
    <cfRule type="cellIs" dxfId="500" priority="496" operator="greaterThan">
      <formula>0</formula>
    </cfRule>
  </conditionalFormatting>
  <conditionalFormatting sqref="Q84:Q91">
    <cfRule type="cellIs" dxfId="499" priority="501" operator="lessThan">
      <formula>0</formula>
    </cfRule>
  </conditionalFormatting>
  <conditionalFormatting sqref="R84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91">
    <cfRule type="cellIs" dxfId="490" priority="490" operator="greaterThan">
      <formula>0</formula>
    </cfRule>
  </conditionalFormatting>
  <conditionalFormatting sqref="Q84:Q91">
    <cfRule type="cellIs" dxfId="489" priority="495" operator="lessThan">
      <formula>0</formula>
    </cfRule>
  </conditionalFormatting>
  <conditionalFormatting sqref="R84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91">
    <cfRule type="cellIs" dxfId="484" priority="484" operator="greaterThan">
      <formula>0</formula>
    </cfRule>
  </conditionalFormatting>
  <conditionalFormatting sqref="Q84:Q91">
    <cfRule type="cellIs" dxfId="483" priority="489" operator="lessThan">
      <formula>0</formula>
    </cfRule>
  </conditionalFormatting>
  <conditionalFormatting sqref="Q84:Q91">
    <cfRule type="cellIs" dxfId="482" priority="483" operator="lessThan">
      <formula>0</formula>
    </cfRule>
  </conditionalFormatting>
  <conditionalFormatting sqref="R84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91">
    <cfRule type="cellIs" dxfId="477" priority="478" operator="greaterThan">
      <formula>0</formula>
    </cfRule>
  </conditionalFormatting>
  <conditionalFormatting sqref="Q84:Q91">
    <cfRule type="cellIs" dxfId="476" priority="472" operator="lessThan">
      <formula>0</formula>
    </cfRule>
  </conditionalFormatting>
  <conditionalFormatting sqref="R84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91">
    <cfRule type="cellIs" dxfId="471" priority="473" operator="greaterThan">
      <formula>0</formula>
    </cfRule>
  </conditionalFormatting>
  <conditionalFormatting sqref="Q84:Q91">
    <cfRule type="cellIs" dxfId="470" priority="471" operator="lessThan">
      <formula>0</formula>
    </cfRule>
  </conditionalFormatting>
  <conditionalFormatting sqref="R84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91">
    <cfRule type="cellIs" dxfId="465" priority="466" operator="greaterThan">
      <formula>0</formula>
    </cfRule>
  </conditionalFormatting>
  <conditionalFormatting sqref="Q84:Q91">
    <cfRule type="cellIs" dxfId="464" priority="465" operator="lessThan">
      <formula>0</formula>
    </cfRule>
  </conditionalFormatting>
  <conditionalFormatting sqref="R84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91">
    <cfRule type="cellIs" dxfId="459" priority="460" operator="greaterThan">
      <formula>0</formula>
    </cfRule>
  </conditionalFormatting>
  <conditionalFormatting sqref="Q84:Q91">
    <cfRule type="cellIs" dxfId="458" priority="459" operator="lessThan">
      <formula>0</formula>
    </cfRule>
  </conditionalFormatting>
  <conditionalFormatting sqref="R84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91">
    <cfRule type="cellIs" dxfId="453" priority="454" operator="greaterThan">
      <formula>0</formula>
    </cfRule>
  </conditionalFormatting>
  <conditionalFormatting sqref="Q84:Q91">
    <cfRule type="cellIs" dxfId="452" priority="453" operator="lessThan">
      <formula>0</formula>
    </cfRule>
  </conditionalFormatting>
  <conditionalFormatting sqref="R84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91">
    <cfRule type="cellIs" dxfId="447" priority="448" operator="greaterThan">
      <formula>0</formula>
    </cfRule>
  </conditionalFormatting>
  <conditionalFormatting sqref="Q84:Q91">
    <cfRule type="cellIs" dxfId="446" priority="447" operator="lessThan">
      <formula>0</formula>
    </cfRule>
  </conditionalFormatting>
  <conditionalFormatting sqref="R84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91">
    <cfRule type="cellIs" dxfId="441" priority="442" operator="greaterThan">
      <formula>0</formula>
    </cfRule>
  </conditionalFormatting>
  <conditionalFormatting sqref="P84:P91">
    <cfRule type="cellIs" dxfId="440" priority="436" operator="greaterThan">
      <formula>0</formula>
    </cfRule>
  </conditionalFormatting>
  <conditionalFormatting sqref="Q84:Q91">
    <cfRule type="cellIs" dxfId="439" priority="441" operator="lessThan">
      <formula>0</formula>
    </cfRule>
  </conditionalFormatting>
  <conditionalFormatting sqref="R84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91">
    <cfRule type="cellIs" dxfId="434" priority="430" operator="greaterThan">
      <formula>0</formula>
    </cfRule>
  </conditionalFormatting>
  <conditionalFormatting sqref="Q84:Q91">
    <cfRule type="cellIs" dxfId="433" priority="435" operator="lessThan">
      <formula>0</formula>
    </cfRule>
  </conditionalFormatting>
  <conditionalFormatting sqref="R84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91">
    <cfRule type="cellIs" dxfId="424" priority="424" operator="greaterThan">
      <formula>0</formula>
    </cfRule>
  </conditionalFormatting>
  <conditionalFormatting sqref="Q84:Q91">
    <cfRule type="cellIs" dxfId="423" priority="429" operator="lessThan">
      <formula>0</formula>
    </cfRule>
  </conditionalFormatting>
  <conditionalFormatting sqref="Q84:Q91">
    <cfRule type="cellIs" dxfId="422" priority="418" operator="lessThan">
      <formula>0</formula>
    </cfRule>
  </conditionalFormatting>
  <conditionalFormatting sqref="P84:P91">
    <cfRule type="cellIs" dxfId="421" priority="419" operator="greaterThan">
      <formula>0</formula>
    </cfRule>
  </conditionalFormatting>
  <conditionalFormatting sqref="R84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91">
    <cfRule type="cellIs" dxfId="416" priority="412" operator="lessThan">
      <formula>0</formula>
    </cfRule>
  </conditionalFormatting>
  <conditionalFormatting sqref="R84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91">
    <cfRule type="cellIs" dxfId="411" priority="413" operator="greaterThan">
      <formula>0</formula>
    </cfRule>
  </conditionalFormatting>
  <conditionalFormatting sqref="Q84:Q91">
    <cfRule type="cellIs" dxfId="410" priority="411" operator="lessThan">
      <formula>0</formula>
    </cfRule>
  </conditionalFormatting>
  <conditionalFormatting sqref="R84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91">
    <cfRule type="cellIs" dxfId="405" priority="406" operator="greaterThan">
      <formula>0</formula>
    </cfRule>
  </conditionalFormatting>
  <conditionalFormatting sqref="Q84:Q91">
    <cfRule type="cellIs" dxfId="404" priority="405" operator="lessThan">
      <formula>0</formula>
    </cfRule>
  </conditionalFormatting>
  <conditionalFormatting sqref="R84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91">
    <cfRule type="cellIs" dxfId="399" priority="400" operator="greaterThan">
      <formula>0</formula>
    </cfRule>
  </conditionalFormatting>
  <conditionalFormatting sqref="Q84:Q91">
    <cfRule type="cellIs" dxfId="398" priority="399" operator="lessThan">
      <formula>0</formula>
    </cfRule>
  </conditionalFormatting>
  <conditionalFormatting sqref="R84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91">
    <cfRule type="cellIs" dxfId="393" priority="394" operator="greaterThan">
      <formula>0</formula>
    </cfRule>
  </conditionalFormatting>
  <conditionalFormatting sqref="Q84:Q91">
    <cfRule type="cellIs" dxfId="392" priority="393" operator="lessThan">
      <formula>0</formula>
    </cfRule>
  </conditionalFormatting>
  <conditionalFormatting sqref="R84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91">
    <cfRule type="cellIs" dxfId="387" priority="388" operator="greaterThan">
      <formula>0</formula>
    </cfRule>
  </conditionalFormatting>
  <conditionalFormatting sqref="Q84:Q91">
    <cfRule type="cellIs" dxfId="386" priority="387" operator="lessThan">
      <formula>0</formula>
    </cfRule>
  </conditionalFormatting>
  <conditionalFormatting sqref="R84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91">
    <cfRule type="cellIs" dxfId="381" priority="382" operator="greaterThan">
      <formula>0</formula>
    </cfRule>
  </conditionalFormatting>
  <conditionalFormatting sqref="Q84:Q91">
    <cfRule type="cellIs" dxfId="380" priority="381" operator="lessThan">
      <formula>0</formula>
    </cfRule>
  </conditionalFormatting>
  <conditionalFormatting sqref="R84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91">
    <cfRule type="cellIs" dxfId="375" priority="376" operator="greaterThan">
      <formula>0</formula>
    </cfRule>
  </conditionalFormatting>
  <conditionalFormatting sqref="Q84:Q91">
    <cfRule type="cellIs" dxfId="374" priority="375" operator="lessThan">
      <formula>0</formula>
    </cfRule>
  </conditionalFormatting>
  <conditionalFormatting sqref="R84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91">
    <cfRule type="cellIs" dxfId="369" priority="370" operator="greaterThan">
      <formula>0</formula>
    </cfRule>
  </conditionalFormatting>
  <conditionalFormatting sqref="P84:P91">
    <cfRule type="cellIs" dxfId="368" priority="364" operator="greaterThan">
      <formula>0</formula>
    </cfRule>
  </conditionalFormatting>
  <conditionalFormatting sqref="Q84:Q91">
    <cfRule type="cellIs" dxfId="367" priority="369" operator="lessThan">
      <formula>0</formula>
    </cfRule>
  </conditionalFormatting>
  <conditionalFormatting sqref="R84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91">
    <cfRule type="cellIs" dxfId="362" priority="358" operator="greaterThan">
      <formula>0</formula>
    </cfRule>
  </conditionalFormatting>
  <conditionalFormatting sqref="Q84:Q91">
    <cfRule type="cellIs" dxfId="361" priority="363" operator="lessThan">
      <formula>0</formula>
    </cfRule>
  </conditionalFormatting>
  <conditionalFormatting sqref="R84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91">
    <cfRule type="cellIs" dxfId="352" priority="352" operator="greaterThan">
      <formula>0</formula>
    </cfRule>
  </conditionalFormatting>
  <conditionalFormatting sqref="Q84:Q91">
    <cfRule type="cellIs" dxfId="351" priority="357" operator="lessThan">
      <formula>0</formula>
    </cfRule>
  </conditionalFormatting>
  <conditionalFormatting sqref="Q84:Q91">
    <cfRule type="cellIs" dxfId="350" priority="351" operator="lessThan">
      <formula>0</formula>
    </cfRule>
  </conditionalFormatting>
  <conditionalFormatting sqref="R84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91">
    <cfRule type="cellIs" dxfId="345" priority="346" operator="greaterThan">
      <formula>0</formula>
    </cfRule>
  </conditionalFormatting>
  <conditionalFormatting sqref="P84:P91">
    <cfRule type="cellIs" dxfId="344" priority="340" operator="greaterThan">
      <formula>0</formula>
    </cfRule>
  </conditionalFormatting>
  <conditionalFormatting sqref="Q84:Q91">
    <cfRule type="cellIs" dxfId="343" priority="345" operator="lessThan">
      <formula>0</formula>
    </cfRule>
  </conditionalFormatting>
  <conditionalFormatting sqref="R84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91">
    <cfRule type="cellIs" dxfId="338" priority="334" operator="greaterThan">
      <formula>0</formula>
    </cfRule>
  </conditionalFormatting>
  <conditionalFormatting sqref="Q84:Q91">
    <cfRule type="cellIs" dxfId="337" priority="339" operator="lessThan">
      <formula>0</formula>
    </cfRule>
  </conditionalFormatting>
  <conditionalFormatting sqref="R84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91">
    <cfRule type="cellIs" dxfId="328" priority="328" operator="greaterThan">
      <formula>0</formula>
    </cfRule>
  </conditionalFormatting>
  <conditionalFormatting sqref="Q84:Q91">
    <cfRule type="cellIs" dxfId="327" priority="333" operator="lessThan">
      <formula>0</formula>
    </cfRule>
  </conditionalFormatting>
  <conditionalFormatting sqref="P84:P91">
    <cfRule type="cellIs" dxfId="326" priority="322" operator="greaterThan">
      <formula>0</formula>
    </cfRule>
  </conditionalFormatting>
  <conditionalFormatting sqref="Q84:Q91">
    <cfRule type="cellIs" dxfId="325" priority="327" operator="lessThan">
      <formula>0</formula>
    </cfRule>
  </conditionalFormatting>
  <conditionalFormatting sqref="R84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91">
    <cfRule type="cellIs" dxfId="316" priority="316" operator="greaterThan">
      <formula>0</formula>
    </cfRule>
  </conditionalFormatting>
  <conditionalFormatting sqref="Q84:Q91">
    <cfRule type="cellIs" dxfId="315" priority="321" operator="lessThan">
      <formula>0</formula>
    </cfRule>
  </conditionalFormatting>
  <conditionalFormatting sqref="R84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91">
    <cfRule type="cellIs" dxfId="310" priority="310" operator="greaterThan">
      <formula>0</formula>
    </cfRule>
  </conditionalFormatting>
  <conditionalFormatting sqref="Q84:Q91">
    <cfRule type="cellIs" dxfId="309" priority="315" operator="lessThan">
      <formula>0</formula>
    </cfRule>
  </conditionalFormatting>
  <conditionalFormatting sqref="Q84:Q91">
    <cfRule type="cellIs" dxfId="308" priority="309" operator="lessThan">
      <formula>0</formula>
    </cfRule>
  </conditionalFormatting>
  <conditionalFormatting sqref="R84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91">
    <cfRule type="cellIs" dxfId="303" priority="304" operator="greaterThan">
      <formula>0</formula>
    </cfRule>
  </conditionalFormatting>
  <conditionalFormatting sqref="Q84:Q91">
    <cfRule type="cellIs" dxfId="302" priority="298" operator="lessThan">
      <formula>0</formula>
    </cfRule>
  </conditionalFormatting>
  <conditionalFormatting sqref="R84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91">
    <cfRule type="cellIs" dxfId="297" priority="299" operator="greaterThan">
      <formula>0</formula>
    </cfRule>
  </conditionalFormatting>
  <conditionalFormatting sqref="Q84:Q91">
    <cfRule type="cellIs" dxfId="296" priority="297" operator="lessThan">
      <formula>0</formula>
    </cfRule>
  </conditionalFormatting>
  <conditionalFormatting sqref="R84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91">
    <cfRule type="cellIs" dxfId="291" priority="292" operator="greaterThan">
      <formula>0</formula>
    </cfRule>
  </conditionalFormatting>
  <conditionalFormatting sqref="Q84:Q91">
    <cfRule type="cellIs" dxfId="290" priority="291" operator="lessThan">
      <formula>0</formula>
    </cfRule>
  </conditionalFormatting>
  <conditionalFormatting sqref="R84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91">
    <cfRule type="cellIs" dxfId="285" priority="286" operator="greaterThan">
      <formula>0</formula>
    </cfRule>
  </conditionalFormatting>
  <conditionalFormatting sqref="Q84:Q91">
    <cfRule type="cellIs" dxfId="284" priority="285" operator="lessThan">
      <formula>0</formula>
    </cfRule>
  </conditionalFormatting>
  <conditionalFormatting sqref="R84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91">
    <cfRule type="cellIs" dxfId="279" priority="280" operator="greaterThan">
      <formula>0</formula>
    </cfRule>
  </conditionalFormatting>
  <conditionalFormatting sqref="Q84:Q91">
    <cfRule type="cellIs" dxfId="278" priority="279" operator="lessThan">
      <formula>0</formula>
    </cfRule>
  </conditionalFormatting>
  <conditionalFormatting sqref="R84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91">
    <cfRule type="cellIs" dxfId="273" priority="274" operator="greaterThan">
      <formula>0</formula>
    </cfRule>
  </conditionalFormatting>
  <conditionalFormatting sqref="Q84:Q91">
    <cfRule type="cellIs" dxfId="272" priority="273" operator="lessThan">
      <formula>0</formula>
    </cfRule>
  </conditionalFormatting>
  <conditionalFormatting sqref="R84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91">
    <cfRule type="cellIs" dxfId="267" priority="268" operator="greaterThan">
      <formula>0</formula>
    </cfRule>
  </conditionalFormatting>
  <conditionalFormatting sqref="P84:P91">
    <cfRule type="cellIs" dxfId="266" priority="262" operator="greaterThan">
      <formula>0</formula>
    </cfRule>
  </conditionalFormatting>
  <conditionalFormatting sqref="Q84:Q91">
    <cfRule type="cellIs" dxfId="265" priority="267" operator="lessThan">
      <formula>0</formula>
    </cfRule>
  </conditionalFormatting>
  <conditionalFormatting sqref="R84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91">
    <cfRule type="cellIs" dxfId="260" priority="256" operator="greaterThan">
      <formula>0</formula>
    </cfRule>
  </conditionalFormatting>
  <conditionalFormatting sqref="Q84:Q91">
    <cfRule type="cellIs" dxfId="259" priority="261" operator="lessThan">
      <formula>0</formula>
    </cfRule>
  </conditionalFormatting>
  <conditionalFormatting sqref="R84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91">
    <cfRule type="cellIs" dxfId="250" priority="250" operator="greaterThan">
      <formula>0</formula>
    </cfRule>
  </conditionalFormatting>
  <conditionalFormatting sqref="Q84:Q91">
    <cfRule type="cellIs" dxfId="249" priority="255" operator="lessThan">
      <formula>0</formula>
    </cfRule>
  </conditionalFormatting>
  <conditionalFormatting sqref="Q84:Q91">
    <cfRule type="cellIs" dxfId="248" priority="249" operator="lessThan">
      <formula>0</formula>
    </cfRule>
  </conditionalFormatting>
  <conditionalFormatting sqref="R84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91">
    <cfRule type="cellIs" dxfId="243" priority="244" operator="greaterThan">
      <formula>0</formula>
    </cfRule>
  </conditionalFormatting>
  <conditionalFormatting sqref="Q84:Q91">
    <cfRule type="cellIs" dxfId="242" priority="243" operator="lessThan">
      <formula>0</formula>
    </cfRule>
  </conditionalFormatting>
  <conditionalFormatting sqref="R84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91">
    <cfRule type="cellIs" dxfId="237" priority="238" operator="greaterThan">
      <formula>0</formula>
    </cfRule>
  </conditionalFormatting>
  <conditionalFormatting sqref="Q84:Q91">
    <cfRule type="cellIs" dxfId="236" priority="237" operator="lessThan">
      <formula>0</formula>
    </cfRule>
  </conditionalFormatting>
  <conditionalFormatting sqref="R84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91">
    <cfRule type="cellIs" dxfId="231" priority="232" operator="greaterThan">
      <formula>0</formula>
    </cfRule>
  </conditionalFormatting>
  <conditionalFormatting sqref="Q84:Q91">
    <cfRule type="cellIs" dxfId="230" priority="231" operator="lessThan">
      <formula>0</formula>
    </cfRule>
  </conditionalFormatting>
  <conditionalFormatting sqref="R84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91">
    <cfRule type="cellIs" dxfId="225" priority="226" operator="greaterThan">
      <formula>0</formula>
    </cfRule>
  </conditionalFormatting>
  <conditionalFormatting sqref="P84:P91">
    <cfRule type="cellIs" dxfId="224" priority="220" operator="greaterThan">
      <formula>0</formula>
    </cfRule>
  </conditionalFormatting>
  <conditionalFormatting sqref="Q84:Q91">
    <cfRule type="cellIs" dxfId="223" priority="225" operator="lessThan">
      <formula>0</formula>
    </cfRule>
  </conditionalFormatting>
  <conditionalFormatting sqref="R84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91">
    <cfRule type="cellIs" dxfId="218" priority="214" operator="greaterThan">
      <formula>0</formula>
    </cfRule>
  </conditionalFormatting>
  <conditionalFormatting sqref="Q84:Q91">
    <cfRule type="cellIs" dxfId="217" priority="219" operator="lessThan">
      <formula>0</formula>
    </cfRule>
  </conditionalFormatting>
  <conditionalFormatting sqref="R84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91">
    <cfRule type="cellIs" dxfId="208" priority="208" operator="greaterThan">
      <formula>0</formula>
    </cfRule>
  </conditionalFormatting>
  <conditionalFormatting sqref="Q84:Q91">
    <cfRule type="cellIs" dxfId="207" priority="213" operator="lessThan">
      <formula>0</formula>
    </cfRule>
  </conditionalFormatting>
  <conditionalFormatting sqref="Q84:Q91">
    <cfRule type="cellIs" dxfId="206" priority="207" operator="lessThan">
      <formula>0</formula>
    </cfRule>
  </conditionalFormatting>
  <conditionalFormatting sqref="R84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91">
    <cfRule type="cellIs" dxfId="201" priority="202" operator="greaterThan">
      <formula>0</formula>
    </cfRule>
  </conditionalFormatting>
  <conditionalFormatting sqref="P84:P91">
    <cfRule type="cellIs" dxfId="200" priority="196" operator="greaterThan">
      <formula>0</formula>
    </cfRule>
  </conditionalFormatting>
  <conditionalFormatting sqref="Q84:Q91">
    <cfRule type="cellIs" dxfId="199" priority="201" operator="lessThan">
      <formula>0</formula>
    </cfRule>
  </conditionalFormatting>
  <conditionalFormatting sqref="R84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91">
    <cfRule type="cellIs" dxfId="194" priority="190" operator="greaterThan">
      <formula>0</formula>
    </cfRule>
  </conditionalFormatting>
  <conditionalFormatting sqref="Q84:Q91">
    <cfRule type="cellIs" dxfId="193" priority="195" operator="lessThan">
      <formula>0</formula>
    </cfRule>
  </conditionalFormatting>
  <conditionalFormatting sqref="R84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91">
    <cfRule type="cellIs" dxfId="184" priority="184" operator="greaterThan">
      <formula>0</formula>
    </cfRule>
  </conditionalFormatting>
  <conditionalFormatting sqref="Q84:Q91">
    <cfRule type="cellIs" dxfId="183" priority="189" operator="lessThan">
      <formula>0</formula>
    </cfRule>
  </conditionalFormatting>
  <conditionalFormatting sqref="P84:P91">
    <cfRule type="cellIs" dxfId="182" priority="178" operator="greaterThan">
      <formula>0</formula>
    </cfRule>
  </conditionalFormatting>
  <conditionalFormatting sqref="Q84:Q91">
    <cfRule type="cellIs" dxfId="181" priority="183" operator="lessThan">
      <formula>0</formula>
    </cfRule>
  </conditionalFormatting>
  <conditionalFormatting sqref="R84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91">
    <cfRule type="cellIs" dxfId="172" priority="172" operator="greaterThan">
      <formula>0</formula>
    </cfRule>
  </conditionalFormatting>
  <conditionalFormatting sqref="Q84:Q91">
    <cfRule type="cellIs" dxfId="171" priority="177" operator="lessThan">
      <formula>0</formula>
    </cfRule>
  </conditionalFormatting>
  <conditionalFormatting sqref="R84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91">
    <cfRule type="cellIs" dxfId="166" priority="166" operator="greaterThan">
      <formula>0</formula>
    </cfRule>
  </conditionalFormatting>
  <conditionalFormatting sqref="Q84:Q91">
    <cfRule type="cellIs" dxfId="165" priority="171" operator="lessThan">
      <formula>0</formula>
    </cfRule>
  </conditionalFormatting>
  <conditionalFormatting sqref="Q84:Q91">
    <cfRule type="cellIs" dxfId="164" priority="165" operator="lessThan">
      <formula>0</formula>
    </cfRule>
  </conditionalFormatting>
  <conditionalFormatting sqref="R84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91">
    <cfRule type="cellIs" dxfId="159" priority="160" operator="greaterThan">
      <formula>0</formula>
    </cfRule>
  </conditionalFormatting>
  <conditionalFormatting sqref="Q84:Q91">
    <cfRule type="cellIs" dxfId="158" priority="154" operator="lessThan">
      <formula>0</formula>
    </cfRule>
  </conditionalFormatting>
  <conditionalFormatting sqref="R84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91">
    <cfRule type="cellIs" dxfId="153" priority="155" operator="greaterThan">
      <formula>0</formula>
    </cfRule>
  </conditionalFormatting>
  <conditionalFormatting sqref="Q84:Q91">
    <cfRule type="cellIs" dxfId="152" priority="153" operator="lessThan">
      <formula>0</formula>
    </cfRule>
  </conditionalFormatting>
  <conditionalFormatting sqref="R84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91">
    <cfRule type="cellIs" dxfId="147" priority="148" operator="greaterThan">
      <formula>0</formula>
    </cfRule>
  </conditionalFormatting>
  <conditionalFormatting sqref="Q84:Q91">
    <cfRule type="cellIs" dxfId="146" priority="147" operator="lessThan">
      <formula>0</formula>
    </cfRule>
  </conditionalFormatting>
  <conditionalFormatting sqref="R84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91">
    <cfRule type="cellIs" dxfId="141" priority="142" operator="greaterThan">
      <formula>0</formula>
    </cfRule>
  </conditionalFormatting>
  <conditionalFormatting sqref="Q84:Q91">
    <cfRule type="cellIs" dxfId="140" priority="141" operator="lessThan">
      <formula>0</formula>
    </cfRule>
  </conditionalFormatting>
  <conditionalFormatting sqref="R84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91">
    <cfRule type="cellIs" dxfId="135" priority="136" operator="greaterThan">
      <formula>0</formula>
    </cfRule>
  </conditionalFormatting>
  <conditionalFormatting sqref="Q84:Q91">
    <cfRule type="cellIs" dxfId="134" priority="135" operator="lessThan">
      <formula>0</formula>
    </cfRule>
  </conditionalFormatting>
  <conditionalFormatting sqref="R84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91">
    <cfRule type="cellIs" dxfId="129" priority="130" operator="greaterThan">
      <formula>0</formula>
    </cfRule>
  </conditionalFormatting>
  <conditionalFormatting sqref="Q84:Q91">
    <cfRule type="cellIs" dxfId="128" priority="129" operator="lessThan">
      <formula>0</formula>
    </cfRule>
  </conditionalFormatting>
  <conditionalFormatting sqref="R84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91">
    <cfRule type="cellIs" dxfId="123" priority="124" operator="greaterThan">
      <formula>0</formula>
    </cfRule>
  </conditionalFormatting>
  <conditionalFormatting sqref="P84:P91">
    <cfRule type="cellIs" dxfId="122" priority="118" operator="greaterThan">
      <formula>0</formula>
    </cfRule>
  </conditionalFormatting>
  <conditionalFormatting sqref="Q84:Q91">
    <cfRule type="cellIs" dxfId="121" priority="123" operator="lessThan">
      <formula>0</formula>
    </cfRule>
  </conditionalFormatting>
  <conditionalFormatting sqref="R84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91">
    <cfRule type="cellIs" dxfId="116" priority="112" operator="greaterThan">
      <formula>0</formula>
    </cfRule>
  </conditionalFormatting>
  <conditionalFormatting sqref="Q84:Q91">
    <cfRule type="cellIs" dxfId="115" priority="117" operator="lessThan">
      <formula>0</formula>
    </cfRule>
  </conditionalFormatting>
  <conditionalFormatting sqref="R84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91">
    <cfRule type="cellIs" dxfId="106" priority="106" operator="greaterThan">
      <formula>0</formula>
    </cfRule>
  </conditionalFormatting>
  <conditionalFormatting sqref="Q84:Q91">
    <cfRule type="cellIs" dxfId="105" priority="111" operator="lessThan">
      <formula>0</formula>
    </cfRule>
  </conditionalFormatting>
  <conditionalFormatting sqref="Q84:Q91">
    <cfRule type="cellIs" dxfId="104" priority="100" operator="lessThan">
      <formula>0</formula>
    </cfRule>
  </conditionalFormatting>
  <conditionalFormatting sqref="P84:P91">
    <cfRule type="cellIs" dxfId="103" priority="101" operator="greaterThan">
      <formula>0</formula>
    </cfRule>
  </conditionalFormatting>
  <conditionalFormatting sqref="R84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91">
    <cfRule type="cellIs" dxfId="98" priority="94" operator="lessThan">
      <formula>0</formula>
    </cfRule>
  </conditionalFormatting>
  <conditionalFormatting sqref="R84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91">
    <cfRule type="cellIs" dxfId="93" priority="95" operator="greaterThan">
      <formula>0</formula>
    </cfRule>
  </conditionalFormatting>
  <conditionalFormatting sqref="Q84:Q91">
    <cfRule type="cellIs" dxfId="92" priority="93" operator="lessThan">
      <formula>0</formula>
    </cfRule>
  </conditionalFormatting>
  <conditionalFormatting sqref="R84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91">
    <cfRule type="cellIs" dxfId="87" priority="88" operator="greaterThan">
      <formula>0</formula>
    </cfRule>
  </conditionalFormatting>
  <conditionalFormatting sqref="Q84:Q91">
    <cfRule type="cellIs" dxfId="86" priority="87" operator="lessThan">
      <formula>0</formula>
    </cfRule>
  </conditionalFormatting>
  <conditionalFormatting sqref="R84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91">
    <cfRule type="cellIs" dxfId="81" priority="82" operator="greaterThan">
      <formula>0</formula>
    </cfRule>
  </conditionalFormatting>
  <conditionalFormatting sqref="Q84:Q91">
    <cfRule type="cellIs" dxfId="80" priority="81" operator="lessThan">
      <formula>0</formula>
    </cfRule>
  </conditionalFormatting>
  <conditionalFormatting sqref="R84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91">
    <cfRule type="cellIs" dxfId="75" priority="76" operator="greaterThan">
      <formula>0</formula>
    </cfRule>
  </conditionalFormatting>
  <conditionalFormatting sqref="Q162:Q167">
    <cfRule type="cellIs" dxfId="74" priority="75" operator="lessThan">
      <formula>0</formula>
    </cfRule>
  </conditionalFormatting>
  <conditionalFormatting sqref="R162:R167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7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7">
    <cfRule type="cellIs" dxfId="69" priority="70" operator="greaterThan">
      <formula>0</formula>
    </cfRule>
  </conditionalFormatting>
  <conditionalFormatting sqref="P168">
    <cfRule type="cellIs" dxfId="68" priority="64" operator="greaterThan">
      <formula>0</formula>
    </cfRule>
  </conditionalFormatting>
  <conditionalFormatting sqref="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7">
    <cfRule type="cellIs" dxfId="56" priority="57" operator="lessThan">
      <formula>0</formula>
    </cfRule>
  </conditionalFormatting>
  <conditionalFormatting sqref="R162:R167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7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7">
    <cfRule type="cellIs" dxfId="51" priority="52" operator="greaterThan">
      <formula>0</formula>
    </cfRule>
  </conditionalFormatting>
  <conditionalFormatting sqref="Q162:Q167">
    <cfRule type="cellIs" dxfId="50" priority="51" operator="lessThan">
      <formula>0</formula>
    </cfRule>
  </conditionalFormatting>
  <conditionalFormatting sqref="R162:R167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7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7">
    <cfRule type="cellIs" dxfId="45" priority="46" operator="greaterThan">
      <formula>0</formula>
    </cfRule>
  </conditionalFormatting>
  <conditionalFormatting sqref="Q168">
    <cfRule type="cellIs" dxfId="44" priority="45" operator="lessThan">
      <formula>0</formula>
    </cfRule>
  </conditionalFormatting>
  <conditionalFormatting sqref="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7">
    <cfRule type="cellIs" dxfId="32" priority="33" operator="lessThan">
      <formula>0</formula>
    </cfRule>
  </conditionalFormatting>
  <conditionalFormatting sqref="R162:R167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7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7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7">
    <cfRule type="cellIs" dxfId="20" priority="21" operator="lessThan">
      <formula>0</formula>
    </cfRule>
  </conditionalFormatting>
  <conditionalFormatting sqref="R162:R167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7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7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8">
    <cfRule type="cellIs" dxfId="8" priority="4" operator="greaterThan">
      <formula>0</formula>
    </cfRule>
  </conditionalFormatting>
  <conditionalFormatting sqref="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940B06-F006-4405-A4CD-3F4656FB4AAC}"/>
</file>

<file path=customXml/itemProps2.xml><?xml version="1.0" encoding="utf-8"?>
<ds:datastoreItem xmlns:ds="http://schemas.openxmlformats.org/officeDocument/2006/customXml" ds:itemID="{B11FE149-F9FD-4369-9A40-E766D944E34D}"/>
</file>

<file path=customXml/itemProps3.xml><?xml version="1.0" encoding="utf-8"?>
<ds:datastoreItem xmlns:ds="http://schemas.openxmlformats.org/officeDocument/2006/customXml" ds:itemID="{A495DDE3-D5D6-449D-A8F6-4ECDD3B34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0501</vt:lpstr>
      <vt:lpstr>晉欣18度C0501</vt:lpstr>
      <vt:lpstr>晉欣4度C0501</vt:lpstr>
      <vt:lpstr>0502</vt:lpstr>
      <vt:lpstr>晉欣18度C0502</vt:lpstr>
      <vt:lpstr>晉欣4度C0502</vt:lpstr>
      <vt:lpstr>0503</vt:lpstr>
      <vt:lpstr>晉欣18度C0503</vt:lpstr>
      <vt:lpstr>晉欣4度C0503</vt:lpstr>
      <vt:lpstr>0504</vt:lpstr>
      <vt:lpstr>晉欣18度C0504</vt:lpstr>
      <vt:lpstr>晉欣4度C0504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2026-05-05T09:24:13Z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